
<file path=[Content_Types].xml><?xml version="1.0" encoding="utf-8"?>
<Types xmlns="http://schemas.openxmlformats.org/package/2006/content-types">
  <Default Extension="bin" ContentType="application/vnd.openxmlformats-officedocument.spreadsheetml.printerSettings"/>
  <Default Extension="png" ContentType="image/png"/>
  <Default Extension="jpeg" ContentType="image/jpeg"/>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harts/chart1.xml" ContentType="application/vnd.openxmlformats-officedocument.drawingml.chart+xml"/>
  <Override PartName="/xl/charts/chart2.xml" ContentType="application/vnd.openxmlformats-officedocument.drawingml.chart+xml"/>
  <Override PartName="/xl/drawings/drawing2.xml" ContentType="application/vnd.openxmlformats-officedocument.drawing+xml"/>
  <Override PartName="/xl/charts/chart3.xml" ContentType="application/vnd.openxmlformats-officedocument.drawingml.chart+xml"/>
  <Override PartName="/xl/charts/chart4.xml" ContentType="application/vnd.openxmlformats-officedocument.drawingml.chart+xml"/>
  <Override PartName="/xl/drawings/drawing3.xml" ContentType="application/vnd.openxmlformats-officedocument.drawing+xml"/>
  <Override PartName="/xl/calcChain.xml" ContentType="application/vnd.openxmlformats-officedocument.spreadsheetml.calcChain+xml"/>
  <Override PartName="/xl/volatileDependencies.xml" ContentType="application/vnd.openxmlformats-officedocument.spreadsheetml.volatileDependenc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5" lowestEdited="5" rupBuild="9303" codeName="{8C4F1C90-05EB-6A55-5F09-09C24B55AC0B}"/>
  <workbookPr codeName="ThisWorkbook" defaultThemeVersion="124226"/>
  <bookViews>
    <workbookView xWindow="3150" yWindow="150" windowWidth="15180" windowHeight="11895"/>
  </bookViews>
  <sheets>
    <sheet name="USA" sheetId="1" r:id="rId1"/>
    <sheet name="TRSYS" sheetId="5" state="hidden" r:id="rId2"/>
    <sheet name="SWPS" sheetId="2" state="hidden" r:id="rId3"/>
    <sheet name="Sheet3" sheetId="3" state="hidden" r:id="rId4"/>
    <sheet name="Canada" sheetId="7" r:id="rId5"/>
    <sheet name="SWPS Canada" sheetId="8" state="hidden" r:id="rId6"/>
    <sheet name="TRSYS Canada" sheetId="9" state="hidden" r:id="rId7"/>
    <sheet name="Calc Canada" sheetId="10" state="hidden" r:id="rId8"/>
    <sheet name="CHT Canada" sheetId="11" state="hidden" r:id="rId9"/>
    <sheet name="CHT" sheetId="6" state="hidden" r:id="rId10"/>
    <sheet name="HELP" sheetId="4" r:id="rId11"/>
  </sheets>
  <functionGroups builtInGroupCount="17"/>
  <externalReferences>
    <externalReference r:id="rId12"/>
  </externalReferences>
  <definedNames>
    <definedName name="CAN_Dataset">Canada!$H$41</definedName>
    <definedName name="CAN_Display">Canada!$H$8</definedName>
    <definedName name="CAN_End">Canada!$N$41</definedName>
    <definedName name="CAN_Graph">Canada!$H$9</definedName>
    <definedName name="CAN_Index">Canada!$A$40</definedName>
    <definedName name="CAN_SpreadCorr">Canada!$G$44:$Q$54</definedName>
    <definedName name="CAN_STACKED">Canada!$11:$40</definedName>
    <definedName name="CAN_Start">Canada!$K$41</definedName>
    <definedName name="CAN_SWPS">Canada!$26:$40</definedName>
    <definedName name="CAN_TRSY">Canada!$11:$25</definedName>
    <definedName name="CAN_X">Canada!$F$44:$F$54</definedName>
    <definedName name="CAN_Y">Canada!$G$43:$Q$43</definedName>
    <definedName name="check">USA!$F$43</definedName>
    <definedName name="checkCanada">Canada!$F$43</definedName>
    <definedName name="chtmax">CHT!$F$1</definedName>
    <definedName name="chtmaxCanada">'CHT Canada'!$F$1</definedName>
    <definedName name="chtmin">CHT!$G$1</definedName>
    <definedName name="chtminCanada">'CHT Canada'!$G$1</definedName>
    <definedName name="col">USA!$B$39</definedName>
    <definedName name="colCanada">Canada!$B$39</definedName>
    <definedName name="dataset">USA!$H$41</definedName>
    <definedName name="datasetCanada">Canada!$H$41</definedName>
    <definedName name="end">USA!$N$41</definedName>
    <definedName name="endCanada">Canada!$N$41</definedName>
    <definedName name="new" localSheetId="1">TRSYS!$V$1</definedName>
    <definedName name="new">SWPS!$V$1</definedName>
    <definedName name="newCanada" localSheetId="6">'TRSYS Canada'!$V$1</definedName>
    <definedName name="newCanada">'SWPS Canada'!$V$1</definedName>
    <definedName name="old" localSheetId="1">TRSYS!$U$1</definedName>
    <definedName name="old">SWPS!$U$1</definedName>
    <definedName name="oldCanada" localSheetId="6">'TRSYS Canada'!$U$1</definedName>
    <definedName name="oldCanada">'SWPS Canada'!$U$1</definedName>
    <definedName name="rawend" localSheetId="1">TRSYS!$V$2</definedName>
    <definedName name="rawend">SWPS!$V$2</definedName>
    <definedName name="rawendCanada" localSheetId="6">'TRSYS Canada'!$V$2</definedName>
    <definedName name="rawendCanada">'SWPS Canada'!$V$2</definedName>
    <definedName name="rawstart" localSheetId="1">TRSYS!$U$2</definedName>
    <definedName name="rawstart">SWPS!$U$2</definedName>
    <definedName name="rawstartCanada" localSheetId="6">'TRSYS Canada'!$U$2</definedName>
    <definedName name="rawstartCanada">'SWPS Canada'!$U$2</definedName>
    <definedName name="row">USA!$A$39</definedName>
    <definedName name="rowCanada">Canada!$A$39</definedName>
    <definedName name="select">USA!$H$9</definedName>
    <definedName name="selectCanada">Canada!$H$9</definedName>
    <definedName name="start">USA!$K$41</definedName>
    <definedName name="startCanada">Canada!$K$41</definedName>
    <definedName name="USA_Dataset">USA!$H$41</definedName>
    <definedName name="USA_Display">USA!$H$8</definedName>
    <definedName name="USA_End">USA!$N$41</definedName>
    <definedName name="USA_Graph">USA!$H$9</definedName>
    <definedName name="USA_Index">USA!$A$40</definedName>
    <definedName name="USA_SpreadCorr">USA!$G$44:$Z$63</definedName>
    <definedName name="USA_STACKED">USA!$11:$40</definedName>
    <definedName name="USA_Start">USA!$K$41</definedName>
    <definedName name="USA_SWPS">USA!$26:$40</definedName>
    <definedName name="USA_TRSY">USA!$11:$25</definedName>
    <definedName name="USA_X">USA!$F$44:$F$63</definedName>
    <definedName name="USA_Y">USA!$G$43:$Z$43</definedName>
  </definedNames>
  <calcPr calcId="145621" calcOnSave="0"/>
</workbook>
</file>

<file path=xl/calcChain.xml><?xml version="1.0" encoding="utf-8"?>
<calcChain xmlns="http://schemas.openxmlformats.org/spreadsheetml/2006/main">
  <c r="C1" i="6" l="1"/>
  <c r="C2" i="6"/>
  <c r="C3" i="6"/>
  <c r="C4" i="6"/>
  <c r="C5" i="6"/>
  <c r="C6" i="6"/>
  <c r="C7" i="6"/>
  <c r="C8" i="6"/>
  <c r="C9" i="6"/>
  <c r="C10" i="6"/>
  <c r="C11" i="6"/>
  <c r="C12" i="6"/>
  <c r="C13" i="6"/>
  <c r="C14" i="6"/>
  <c r="C15" i="6"/>
  <c r="C16" i="6"/>
  <c r="C17" i="6"/>
  <c r="C18" i="6"/>
  <c r="C19" i="6"/>
  <c r="C20" i="6"/>
  <c r="C21" i="6"/>
  <c r="C22" i="6"/>
  <c r="C23" i="6"/>
  <c r="C24" i="6"/>
  <c r="C25" i="6"/>
  <c r="C26" i="6"/>
  <c r="C27" i="6"/>
  <c r="C28" i="6"/>
  <c r="C29" i="6"/>
  <c r="C30" i="6"/>
  <c r="C31" i="6"/>
  <c r="C32" i="6"/>
  <c r="C33" i="6"/>
  <c r="C34" i="6"/>
  <c r="C35" i="6"/>
  <c r="C36" i="6"/>
  <c r="C37" i="6"/>
  <c r="C38" i="6"/>
  <c r="C39" i="6"/>
  <c r="C40" i="6"/>
  <c r="C41" i="6"/>
  <c r="C42" i="6"/>
  <c r="C43" i="6"/>
  <c r="C44" i="6"/>
  <c r="C45" i="6"/>
  <c r="C46" i="6"/>
  <c r="C47" i="6"/>
  <c r="C48" i="6"/>
  <c r="C49" i="6"/>
  <c r="C50" i="6"/>
  <c r="C51" i="6"/>
  <c r="C52" i="6"/>
  <c r="C53" i="6"/>
  <c r="C54" i="6"/>
  <c r="C55" i="6"/>
  <c r="C56" i="6"/>
  <c r="C57" i="6"/>
  <c r="C58" i="6"/>
  <c r="C59" i="6"/>
  <c r="C60" i="6"/>
  <c r="C61" i="6"/>
  <c r="C62" i="6"/>
  <c r="C63" i="6"/>
  <c r="C64" i="6"/>
  <c r="C65" i="6"/>
  <c r="C66" i="6"/>
  <c r="C67" i="6"/>
  <c r="C68" i="6"/>
  <c r="C69" i="6"/>
  <c r="C70" i="6"/>
  <c r="C71" i="6"/>
  <c r="C72" i="6"/>
  <c r="C73" i="6"/>
  <c r="C74" i="6"/>
  <c r="C75" i="6"/>
  <c r="C76" i="6"/>
  <c r="C77" i="6"/>
  <c r="C78" i="6"/>
  <c r="C79" i="6"/>
  <c r="C80" i="6"/>
  <c r="C81" i="6"/>
  <c r="C82" i="6"/>
  <c r="C83" i="6"/>
  <c r="C84" i="6"/>
  <c r="C85" i="6"/>
  <c r="C86" i="6"/>
  <c r="C87" i="6"/>
  <c r="C88" i="6"/>
  <c r="C89" i="6"/>
  <c r="C90" i="6"/>
  <c r="C91" i="6"/>
  <c r="C92" i="6"/>
  <c r="C93" i="6"/>
  <c r="C94" i="6"/>
  <c r="C95" i="6"/>
  <c r="C96" i="6"/>
  <c r="C97" i="6"/>
  <c r="C98" i="6"/>
  <c r="C99" i="6"/>
  <c r="C100" i="6"/>
  <c r="C101" i="6"/>
  <c r="C102" i="6"/>
  <c r="C103" i="6"/>
  <c r="C104" i="6"/>
  <c r="C105" i="6"/>
  <c r="C106" i="6"/>
  <c r="C107" i="6"/>
  <c r="C108" i="6"/>
  <c r="C109" i="6"/>
  <c r="C110" i="6"/>
  <c r="C111" i="6"/>
  <c r="C112" i="6"/>
  <c r="C113" i="6"/>
  <c r="C114" i="6"/>
  <c r="C115" i="6"/>
  <c r="C116" i="6"/>
  <c r="C117" i="6"/>
  <c r="C118" i="6"/>
  <c r="C119" i="6"/>
  <c r="C120" i="6"/>
  <c r="C121" i="6"/>
  <c r="C122" i="6"/>
  <c r="C123" i="6"/>
  <c r="C124" i="6"/>
  <c r="C125" i="6"/>
  <c r="C126" i="6"/>
  <c r="C127" i="6"/>
  <c r="C128" i="6"/>
  <c r="C129" i="6"/>
  <c r="C130" i="6"/>
  <c r="C131" i="6"/>
  <c r="C132" i="6"/>
  <c r="C133" i="6"/>
  <c r="C134" i="6"/>
  <c r="C135" i="6"/>
  <c r="C136" i="6"/>
  <c r="C137" i="6"/>
  <c r="C138" i="6"/>
  <c r="C139" i="6"/>
  <c r="C140" i="6"/>
  <c r="C141" i="6"/>
  <c r="C142" i="6"/>
  <c r="C143" i="6"/>
  <c r="C144" i="6"/>
  <c r="C145" i="6"/>
  <c r="C146" i="6"/>
  <c r="C147" i="6"/>
  <c r="C148" i="6"/>
  <c r="C149" i="6"/>
  <c r="C150" i="6"/>
  <c r="C151" i="6"/>
  <c r="C152" i="6"/>
  <c r="C153" i="6"/>
  <c r="C154" i="6"/>
  <c r="C155" i="6"/>
  <c r="C156" i="6"/>
  <c r="C157" i="6"/>
  <c r="C158" i="6"/>
  <c r="C159" i="6"/>
  <c r="C160" i="6"/>
  <c r="C161" i="6"/>
  <c r="C162" i="6"/>
  <c r="C163" i="6"/>
  <c r="C164" i="6"/>
  <c r="C165" i="6"/>
  <c r="C166" i="6"/>
  <c r="C167" i="6"/>
  <c r="C168" i="6"/>
  <c r="C169" i="6"/>
  <c r="C170" i="6"/>
  <c r="C171" i="6"/>
  <c r="C172" i="6"/>
  <c r="C173" i="6"/>
  <c r="C174" i="6"/>
  <c r="C175" i="6"/>
  <c r="C176" i="6"/>
  <c r="C177" i="6"/>
  <c r="C178" i="6"/>
  <c r="C179" i="6"/>
  <c r="C180" i="6"/>
  <c r="C181" i="6"/>
  <c r="C182" i="6"/>
  <c r="C183" i="6"/>
  <c r="C184" i="6"/>
  <c r="C185" i="6"/>
  <c r="C186" i="6"/>
  <c r="C187" i="6"/>
  <c r="C188" i="6"/>
  <c r="C189" i="6"/>
  <c r="C190" i="6"/>
  <c r="C191" i="6"/>
  <c r="C192" i="6"/>
  <c r="C193" i="6"/>
  <c r="C194" i="6"/>
  <c r="C195" i="6"/>
  <c r="C196" i="6"/>
  <c r="C197" i="6"/>
  <c r="C198" i="6"/>
  <c r="C199" i="6"/>
  <c r="C200" i="6"/>
  <c r="C201" i="6"/>
  <c r="C202" i="6"/>
  <c r="C203" i="6"/>
  <c r="C204" i="6"/>
  <c r="C205" i="6"/>
  <c r="C206" i="6"/>
  <c r="C207" i="6"/>
  <c r="C208" i="6"/>
  <c r="C209" i="6"/>
  <c r="C210" i="6"/>
  <c r="C211" i="6"/>
  <c r="C212" i="6"/>
  <c r="C213" i="6"/>
  <c r="C214" i="6"/>
  <c r="C215" i="6"/>
  <c r="C216" i="6"/>
  <c r="C217" i="6"/>
  <c r="C218" i="6"/>
  <c r="C219" i="6"/>
  <c r="C220" i="6"/>
  <c r="C221" i="6"/>
  <c r="C222" i="6"/>
  <c r="C223" i="6"/>
  <c r="C224" i="6"/>
  <c r="C225" i="6"/>
  <c r="C226" i="6"/>
  <c r="C227" i="6"/>
  <c r="C228" i="6"/>
  <c r="C229" i="6"/>
  <c r="C230" i="6"/>
  <c r="C231" i="6"/>
  <c r="C232" i="6"/>
  <c r="C233" i="6"/>
  <c r="C234" i="6"/>
  <c r="C235" i="6"/>
  <c r="C236" i="6"/>
  <c r="C237" i="6"/>
  <c r="C238" i="6"/>
  <c r="C239" i="6"/>
  <c r="C240" i="6"/>
  <c r="C241" i="6"/>
  <c r="C242" i="6"/>
  <c r="C243" i="6"/>
  <c r="C244" i="6"/>
  <c r="C245" i="6"/>
  <c r="C246" i="6"/>
  <c r="C247" i="6"/>
  <c r="C248" i="6"/>
  <c r="C249" i="6"/>
  <c r="C250" i="6"/>
  <c r="C251" i="6"/>
  <c r="C252" i="6"/>
  <c r="C253" i="6"/>
  <c r="C254" i="6"/>
  <c r="C255" i="6"/>
  <c r="C256" i="6"/>
  <c r="C257" i="6"/>
  <c r="C258" i="6"/>
  <c r="C259" i="6"/>
  <c r="C260" i="6"/>
  <c r="C261" i="6"/>
  <c r="C262" i="6"/>
  <c r="C263" i="6"/>
  <c r="C1" i="11"/>
  <c r="C2" i="11"/>
  <c r="C3" i="11"/>
  <c r="C4" i="11"/>
  <c r="C5" i="11"/>
  <c r="C6" i="11"/>
  <c r="C7" i="11"/>
  <c r="C8" i="11"/>
  <c r="C9" i="11"/>
  <c r="C10" i="11"/>
  <c r="C11" i="11"/>
  <c r="C12" i="11"/>
  <c r="C13" i="11"/>
  <c r="C14" i="11"/>
  <c r="C15" i="11"/>
  <c r="C16" i="11"/>
  <c r="C17" i="11"/>
  <c r="C18" i="11"/>
  <c r="C19" i="11"/>
  <c r="C20" i="11"/>
  <c r="C21" i="11"/>
  <c r="C22" i="11"/>
  <c r="C23" i="11"/>
  <c r="C24" i="11"/>
  <c r="C25" i="11"/>
  <c r="C26" i="11"/>
  <c r="C27" i="11"/>
  <c r="C28" i="11"/>
  <c r="C29" i="11"/>
  <c r="C30" i="11"/>
  <c r="C31" i="11"/>
  <c r="C32" i="11"/>
  <c r="C33" i="11"/>
  <c r="C34" i="11"/>
  <c r="C35" i="11"/>
  <c r="C36" i="11"/>
  <c r="C37" i="11"/>
  <c r="C38" i="11"/>
  <c r="C39" i="11"/>
  <c r="C40" i="11"/>
  <c r="C41" i="11"/>
  <c r="C42" i="11"/>
  <c r="C43" i="11"/>
  <c r="C44" i="11"/>
  <c r="C45" i="11"/>
  <c r="C46" i="11"/>
  <c r="C47" i="11"/>
  <c r="C48" i="11"/>
  <c r="C49" i="11"/>
  <c r="C50" i="11"/>
  <c r="C51" i="11"/>
  <c r="C52" i="11"/>
  <c r="C53" i="11"/>
  <c r="C54" i="11"/>
  <c r="C55" i="11"/>
  <c r="C56" i="11"/>
  <c r="C57" i="11"/>
  <c r="C58" i="11"/>
  <c r="C59" i="11"/>
  <c r="C60" i="11"/>
  <c r="C61" i="11"/>
  <c r="C62" i="11"/>
  <c r="C63" i="11"/>
  <c r="C64" i="11"/>
  <c r="C65" i="11"/>
  <c r="C66" i="11"/>
  <c r="C67" i="11"/>
  <c r="C68" i="11"/>
  <c r="C69" i="11"/>
  <c r="C70" i="11"/>
  <c r="C71" i="11"/>
  <c r="C72" i="11"/>
  <c r="C73" i="11"/>
  <c r="C74" i="11"/>
  <c r="C75" i="11"/>
  <c r="C76" i="11"/>
  <c r="C77" i="11"/>
  <c r="C78" i="11"/>
  <c r="C79" i="11"/>
  <c r="C80" i="11"/>
  <c r="C81" i="11"/>
  <c r="C82" i="11"/>
  <c r="C83" i="11"/>
  <c r="C84" i="11"/>
  <c r="C85" i="11"/>
  <c r="C86" i="11"/>
  <c r="C87" i="11"/>
  <c r="C88" i="11"/>
  <c r="C89" i="11"/>
  <c r="C90" i="11"/>
  <c r="C91" i="11"/>
  <c r="C92" i="11"/>
  <c r="C93" i="11"/>
  <c r="C94" i="11"/>
  <c r="C95" i="11"/>
  <c r="C96" i="11"/>
  <c r="C97" i="11"/>
  <c r="C98" i="11"/>
  <c r="C99" i="11"/>
  <c r="C100" i="11"/>
  <c r="C101" i="11"/>
  <c r="C102" i="11"/>
  <c r="C103" i="11"/>
  <c r="C104" i="11"/>
  <c r="C105" i="11"/>
  <c r="C106" i="11"/>
  <c r="C107" i="11"/>
  <c r="C108" i="11"/>
  <c r="C109" i="11"/>
  <c r="C110" i="11"/>
  <c r="C111" i="11"/>
  <c r="C112" i="11"/>
  <c r="C113" i="11"/>
  <c r="C114" i="11"/>
  <c r="C115" i="11"/>
  <c r="C116" i="11"/>
  <c r="C117" i="11"/>
  <c r="C118" i="11"/>
  <c r="C119" i="11"/>
  <c r="C120" i="11"/>
  <c r="C121" i="11"/>
  <c r="C122" i="11"/>
  <c r="C123" i="11"/>
  <c r="C124" i="11"/>
  <c r="C125" i="11"/>
  <c r="C126" i="11"/>
  <c r="C127" i="11"/>
  <c r="C128" i="11"/>
  <c r="C129" i="11"/>
  <c r="C130" i="11"/>
  <c r="C131" i="11"/>
  <c r="C132" i="11"/>
  <c r="C133" i="11"/>
  <c r="C134" i="11"/>
  <c r="C135" i="11"/>
  <c r="C136" i="11"/>
  <c r="C137" i="11"/>
  <c r="C138" i="11"/>
  <c r="C139" i="11"/>
  <c r="C140" i="11"/>
  <c r="C141" i="11"/>
  <c r="C142" i="11"/>
  <c r="C143" i="11"/>
  <c r="C144" i="11"/>
  <c r="C145" i="11"/>
  <c r="C146" i="11"/>
  <c r="C147" i="11"/>
  <c r="C148" i="11"/>
  <c r="C149" i="11"/>
  <c r="C150" i="11"/>
  <c r="C151" i="11"/>
  <c r="C152" i="11"/>
  <c r="C153" i="11"/>
  <c r="C154" i="11"/>
  <c r="C155" i="11"/>
  <c r="C156" i="11"/>
  <c r="C157" i="11"/>
  <c r="C158" i="11"/>
  <c r="C159" i="11"/>
  <c r="C160" i="11"/>
  <c r="C161" i="11"/>
  <c r="C162" i="11"/>
  <c r="C163" i="11"/>
  <c r="C164" i="11"/>
  <c r="C165" i="11"/>
  <c r="C166" i="11"/>
  <c r="C167" i="11"/>
  <c r="C168" i="11"/>
  <c r="C169" i="11"/>
  <c r="C170" i="11"/>
  <c r="C171" i="11"/>
  <c r="C172" i="11"/>
  <c r="C173" i="11"/>
  <c r="C174" i="11"/>
  <c r="C175" i="11"/>
  <c r="C176" i="11"/>
  <c r="C177" i="11"/>
  <c r="C178" i="11"/>
  <c r="C179" i="11"/>
  <c r="C180" i="11"/>
  <c r="C181" i="11"/>
  <c r="C182" i="11"/>
  <c r="C183" i="11"/>
  <c r="C184" i="11"/>
  <c r="C185" i="11"/>
  <c r="C186" i="11"/>
  <c r="C187" i="11"/>
  <c r="C188" i="11"/>
  <c r="C189" i="11"/>
  <c r="C190" i="11"/>
  <c r="C191" i="11"/>
  <c r="C192" i="11"/>
  <c r="C193" i="11"/>
  <c r="C194" i="11"/>
  <c r="C195" i="11"/>
  <c r="C196" i="11"/>
  <c r="C197" i="11"/>
  <c r="C198" i="11"/>
  <c r="C199" i="11"/>
  <c r="C200" i="11"/>
  <c r="C201" i="11"/>
  <c r="C202" i="11"/>
  <c r="C203" i="11"/>
  <c r="C204" i="11"/>
  <c r="C205" i="11"/>
  <c r="C206" i="11"/>
  <c r="C207" i="11"/>
  <c r="C208" i="11"/>
  <c r="C209" i="11"/>
  <c r="C210" i="11"/>
  <c r="C211" i="11"/>
  <c r="C212" i="11"/>
  <c r="C213" i="11"/>
  <c r="C214" i="11"/>
  <c r="C215" i="11"/>
  <c r="C216" i="11"/>
  <c r="C217" i="11"/>
  <c r="C218" i="11"/>
  <c r="C219" i="11"/>
  <c r="C220" i="11"/>
  <c r="C221" i="11"/>
  <c r="C222" i="11"/>
  <c r="C223" i="11"/>
  <c r="C224" i="11"/>
  <c r="C225" i="11"/>
  <c r="C226" i="11"/>
  <c r="C227" i="11"/>
  <c r="C228" i="11"/>
  <c r="C229" i="11"/>
  <c r="C230" i="11"/>
  <c r="C231" i="11"/>
  <c r="C232" i="11"/>
  <c r="C233" i="11"/>
  <c r="C234" i="11"/>
  <c r="C235" i="11"/>
  <c r="C236" i="11"/>
  <c r="C237" i="11"/>
  <c r="C238" i="11"/>
  <c r="C239" i="11"/>
  <c r="C240" i="11"/>
  <c r="C241" i="11"/>
  <c r="C242" i="11"/>
  <c r="C243" i="11"/>
  <c r="C244" i="11"/>
  <c r="C245" i="11"/>
  <c r="C246" i="11"/>
  <c r="C247" i="11"/>
  <c r="C248" i="11"/>
  <c r="C249" i="11"/>
  <c r="C250" i="11"/>
  <c r="C251" i="11"/>
  <c r="C252" i="11"/>
  <c r="C253" i="11"/>
  <c r="C254" i="11"/>
  <c r="C255" i="11"/>
  <c r="C256" i="11"/>
  <c r="C257" i="11"/>
  <c r="C258" i="11"/>
  <c r="C259" i="11"/>
  <c r="C260" i="11"/>
  <c r="C261" i="11"/>
  <c r="C262" i="11"/>
  <c r="C263" i="11"/>
  <c r="M1" i="10"/>
  <c r="N1" i="10"/>
  <c r="O1" i="10"/>
  <c r="P1" i="10"/>
  <c r="Q1" i="10"/>
  <c r="R1" i="10"/>
  <c r="S1" i="10"/>
  <c r="T1" i="10"/>
  <c r="U1" i="10"/>
  <c r="M2" i="10"/>
  <c r="P2" i="10"/>
  <c r="T2" i="10"/>
  <c r="U2" i="10"/>
  <c r="N2" i="10"/>
  <c r="O2" i="10"/>
  <c r="Q2" i="10"/>
  <c r="R2" i="10"/>
  <c r="S2" i="10"/>
  <c r="D2" i="9"/>
  <c r="D3" i="9"/>
  <c r="U3" i="9"/>
  <c r="V3" i="9"/>
  <c r="Z3" i="9"/>
  <c r="E4" i="9"/>
  <c r="Z4" i="9"/>
  <c r="F5" i="9"/>
  <c r="Z5" i="9"/>
  <c r="G6" i="9"/>
  <c r="Z6" i="9"/>
  <c r="H7" i="9"/>
  <c r="Z7" i="9"/>
  <c r="I8" i="9"/>
  <c r="Z8" i="9"/>
  <c r="Z9" i="9"/>
  <c r="Z10" i="9"/>
  <c r="Z11" i="9"/>
  <c r="H12" i="9"/>
  <c r="I12" i="9"/>
  <c r="J12" i="9"/>
  <c r="K12" i="9"/>
  <c r="L12" i="9"/>
  <c r="M12" i="9"/>
  <c r="N12" i="9"/>
  <c r="O12" i="9"/>
  <c r="P12" i="9"/>
  <c r="Q12" i="9"/>
  <c r="R12" i="9"/>
  <c r="S12" i="9"/>
  <c r="T12" i="9"/>
  <c r="Z12" i="9"/>
  <c r="Z13" i="9"/>
  <c r="H14" i="9"/>
  <c r="I14" i="9"/>
  <c r="J14" i="9"/>
  <c r="K14" i="9"/>
  <c r="L14" i="9"/>
  <c r="M14" i="9"/>
  <c r="N14" i="9"/>
  <c r="O14" i="9"/>
  <c r="P14" i="9"/>
  <c r="Q14" i="9"/>
  <c r="R14" i="9"/>
  <c r="S14" i="9"/>
  <c r="T14" i="9"/>
  <c r="V14" i="9"/>
  <c r="Z14" i="9"/>
  <c r="H15" i="9"/>
  <c r="I15" i="9"/>
  <c r="J15" i="9"/>
  <c r="K15" i="9"/>
  <c r="L15" i="9"/>
  <c r="M15" i="9"/>
  <c r="N15" i="9"/>
  <c r="O15" i="9"/>
  <c r="P15" i="9"/>
  <c r="Q15" i="9"/>
  <c r="R15" i="9"/>
  <c r="S15" i="9"/>
  <c r="T15" i="9"/>
  <c r="V15" i="9"/>
  <c r="Z15" i="9"/>
  <c r="H16" i="9"/>
  <c r="I16" i="9"/>
  <c r="J16" i="9"/>
  <c r="K16" i="9"/>
  <c r="L16" i="9"/>
  <c r="M16" i="9"/>
  <c r="N16" i="9"/>
  <c r="O16" i="9"/>
  <c r="P16" i="9"/>
  <c r="Q16" i="9"/>
  <c r="R16" i="9"/>
  <c r="S16" i="9"/>
  <c r="T16" i="9"/>
  <c r="V16" i="9"/>
  <c r="Z16" i="9"/>
  <c r="H17" i="9"/>
  <c r="I17" i="9"/>
  <c r="J17" i="9"/>
  <c r="K17" i="9"/>
  <c r="L17" i="9"/>
  <c r="M17" i="9"/>
  <c r="N17" i="9"/>
  <c r="O17" i="9"/>
  <c r="P17" i="9"/>
  <c r="Q17" i="9"/>
  <c r="R17" i="9"/>
  <c r="S17" i="9"/>
  <c r="T17" i="9"/>
  <c r="V17" i="9"/>
  <c r="Z17" i="9"/>
  <c r="H18" i="9"/>
  <c r="I18" i="9"/>
  <c r="J18" i="9"/>
  <c r="K18" i="9"/>
  <c r="L18" i="9"/>
  <c r="M18" i="9"/>
  <c r="N18" i="9"/>
  <c r="O18" i="9"/>
  <c r="P18" i="9"/>
  <c r="Q18" i="9"/>
  <c r="R18" i="9"/>
  <c r="S18" i="9"/>
  <c r="T18" i="9"/>
  <c r="V18" i="9"/>
  <c r="Z18" i="9"/>
  <c r="H19" i="9"/>
  <c r="I19" i="9"/>
  <c r="J19" i="9"/>
  <c r="K19" i="9"/>
  <c r="L19" i="9"/>
  <c r="M19" i="9"/>
  <c r="N19" i="9"/>
  <c r="O19" i="9"/>
  <c r="P19" i="9"/>
  <c r="Q19" i="9"/>
  <c r="R19" i="9"/>
  <c r="S19" i="9"/>
  <c r="T19" i="9"/>
  <c r="V19" i="9"/>
  <c r="Z19" i="9"/>
  <c r="H20" i="9"/>
  <c r="I20" i="9"/>
  <c r="J20" i="9"/>
  <c r="K20" i="9"/>
  <c r="L20" i="9"/>
  <c r="M20" i="9"/>
  <c r="N20" i="9"/>
  <c r="O20" i="9"/>
  <c r="P20" i="9"/>
  <c r="Q20" i="9"/>
  <c r="R20" i="9"/>
  <c r="S20" i="9"/>
  <c r="T20" i="9"/>
  <c r="V20" i="9"/>
  <c r="Z20" i="9"/>
  <c r="H21" i="9"/>
  <c r="I21" i="9"/>
  <c r="J21" i="9"/>
  <c r="K21" i="9"/>
  <c r="L21" i="9"/>
  <c r="M21" i="9"/>
  <c r="N21" i="9"/>
  <c r="O21" i="9"/>
  <c r="P21" i="9"/>
  <c r="Q21" i="9"/>
  <c r="R21" i="9"/>
  <c r="S21" i="9"/>
  <c r="T21" i="9"/>
  <c r="V21" i="9"/>
  <c r="Z21" i="9"/>
  <c r="H22" i="9"/>
  <c r="I22" i="9"/>
  <c r="J22" i="9"/>
  <c r="K22" i="9"/>
  <c r="L22" i="9"/>
  <c r="M22" i="9"/>
  <c r="N22" i="9"/>
  <c r="O22" i="9"/>
  <c r="P22" i="9"/>
  <c r="Q22" i="9"/>
  <c r="R22" i="9"/>
  <c r="S22" i="9"/>
  <c r="T22" i="9"/>
  <c r="V22" i="9"/>
  <c r="Z22" i="9"/>
  <c r="H23" i="9"/>
  <c r="I23" i="9"/>
  <c r="J23" i="9"/>
  <c r="K23" i="9"/>
  <c r="L23" i="9"/>
  <c r="M23" i="9"/>
  <c r="N23" i="9"/>
  <c r="O23" i="9"/>
  <c r="P23" i="9"/>
  <c r="Q23" i="9"/>
  <c r="R23" i="9"/>
  <c r="S23" i="9"/>
  <c r="T23" i="9"/>
  <c r="V23" i="9"/>
  <c r="Z23" i="9"/>
  <c r="H24" i="9"/>
  <c r="I24" i="9"/>
  <c r="J24" i="9"/>
  <c r="K24" i="9"/>
  <c r="L24" i="9"/>
  <c r="M24" i="9"/>
  <c r="N24" i="9"/>
  <c r="O24" i="9"/>
  <c r="P24" i="9"/>
  <c r="Q24" i="9"/>
  <c r="R24" i="9"/>
  <c r="S24" i="9"/>
  <c r="T24" i="9"/>
  <c r="V24" i="9"/>
  <c r="Z24" i="9"/>
  <c r="H25" i="9"/>
  <c r="I25" i="9"/>
  <c r="J25" i="9"/>
  <c r="K25" i="9"/>
  <c r="L25" i="9"/>
  <c r="M25" i="9"/>
  <c r="N25" i="9"/>
  <c r="O25" i="9"/>
  <c r="P25" i="9"/>
  <c r="Q25" i="9"/>
  <c r="R25" i="9"/>
  <c r="S25" i="9"/>
  <c r="T25" i="9"/>
  <c r="V25" i="9"/>
  <c r="Z25" i="9"/>
  <c r="H26" i="9"/>
  <c r="I26" i="9"/>
  <c r="J26" i="9"/>
  <c r="K26" i="9"/>
  <c r="L26" i="9"/>
  <c r="M26" i="9"/>
  <c r="N26" i="9"/>
  <c r="O26" i="9"/>
  <c r="P26" i="9"/>
  <c r="Q26" i="9"/>
  <c r="R26" i="9"/>
  <c r="S26" i="9"/>
  <c r="T26" i="9"/>
  <c r="V26" i="9"/>
  <c r="Z26" i="9"/>
  <c r="H27" i="9"/>
  <c r="I27" i="9"/>
  <c r="J27" i="9"/>
  <c r="K27" i="9"/>
  <c r="L27" i="9"/>
  <c r="M27" i="9"/>
  <c r="N27" i="9"/>
  <c r="O27" i="9"/>
  <c r="P27" i="9"/>
  <c r="Q27" i="9"/>
  <c r="R27" i="9"/>
  <c r="S27" i="9"/>
  <c r="T27" i="9"/>
  <c r="V27" i="9"/>
  <c r="Z27" i="9"/>
  <c r="H28" i="9"/>
  <c r="I28" i="9"/>
  <c r="J28" i="9"/>
  <c r="K28" i="9"/>
  <c r="L28" i="9"/>
  <c r="M28" i="9"/>
  <c r="N28" i="9"/>
  <c r="O28" i="9"/>
  <c r="P28" i="9"/>
  <c r="Q28" i="9"/>
  <c r="R28" i="9"/>
  <c r="S28" i="9"/>
  <c r="T28" i="9"/>
  <c r="V28" i="9"/>
  <c r="Z28" i="9"/>
  <c r="H29" i="9"/>
  <c r="I29" i="9"/>
  <c r="J29" i="9"/>
  <c r="K29" i="9"/>
  <c r="L29" i="9"/>
  <c r="M29" i="9"/>
  <c r="N29" i="9"/>
  <c r="O29" i="9"/>
  <c r="P29" i="9"/>
  <c r="Q29" i="9"/>
  <c r="R29" i="9"/>
  <c r="S29" i="9"/>
  <c r="T29" i="9"/>
  <c r="V29" i="9"/>
  <c r="Z29" i="9"/>
  <c r="H30" i="9"/>
  <c r="I30" i="9"/>
  <c r="J30" i="9"/>
  <c r="K30" i="9"/>
  <c r="L30" i="9"/>
  <c r="M30" i="9"/>
  <c r="N30" i="9"/>
  <c r="O30" i="9"/>
  <c r="P30" i="9"/>
  <c r="Q30" i="9"/>
  <c r="R30" i="9"/>
  <c r="S30" i="9"/>
  <c r="T30" i="9"/>
  <c r="V30" i="9"/>
  <c r="Z30" i="9"/>
  <c r="H31" i="9"/>
  <c r="I31" i="9"/>
  <c r="J31" i="9"/>
  <c r="K31" i="9"/>
  <c r="L31" i="9"/>
  <c r="M31" i="9"/>
  <c r="N31" i="9"/>
  <c r="O31" i="9"/>
  <c r="P31" i="9"/>
  <c r="Q31" i="9"/>
  <c r="R31" i="9"/>
  <c r="S31" i="9"/>
  <c r="T31" i="9"/>
  <c r="V31" i="9"/>
  <c r="Z31" i="9"/>
  <c r="H32" i="9"/>
  <c r="I32" i="9"/>
  <c r="J32" i="9"/>
  <c r="K32" i="9"/>
  <c r="L32" i="9"/>
  <c r="M32" i="9"/>
  <c r="N32" i="9"/>
  <c r="O32" i="9"/>
  <c r="P32" i="9"/>
  <c r="Q32" i="9"/>
  <c r="R32" i="9"/>
  <c r="S32" i="9"/>
  <c r="T32" i="9"/>
  <c r="V32" i="9"/>
  <c r="Z32" i="9"/>
  <c r="H33" i="9"/>
  <c r="I33" i="9"/>
  <c r="J33" i="9"/>
  <c r="K33" i="9"/>
  <c r="L33" i="9"/>
  <c r="M33" i="9"/>
  <c r="N33" i="9"/>
  <c r="O33" i="9"/>
  <c r="P33" i="9"/>
  <c r="Q33" i="9"/>
  <c r="R33" i="9"/>
  <c r="S33" i="9"/>
  <c r="T33" i="9"/>
  <c r="V33" i="9"/>
  <c r="Z33" i="9"/>
  <c r="H34" i="9"/>
  <c r="I34" i="9"/>
  <c r="J34" i="9"/>
  <c r="K34" i="9"/>
  <c r="L34" i="9"/>
  <c r="M34" i="9"/>
  <c r="N34" i="9"/>
  <c r="O34" i="9"/>
  <c r="P34" i="9"/>
  <c r="Q34" i="9"/>
  <c r="R34" i="9"/>
  <c r="S34" i="9"/>
  <c r="T34" i="9"/>
  <c r="V34" i="9"/>
  <c r="Z34" i="9"/>
  <c r="H35" i="9"/>
  <c r="I35" i="9"/>
  <c r="J35" i="9"/>
  <c r="K35" i="9"/>
  <c r="L35" i="9"/>
  <c r="M35" i="9"/>
  <c r="N35" i="9"/>
  <c r="O35" i="9"/>
  <c r="P35" i="9"/>
  <c r="Q35" i="9"/>
  <c r="R35" i="9"/>
  <c r="S35" i="9"/>
  <c r="T35" i="9"/>
  <c r="V35" i="9"/>
  <c r="Z35" i="9"/>
  <c r="H36" i="9"/>
  <c r="I36" i="9"/>
  <c r="J36" i="9"/>
  <c r="K36" i="9"/>
  <c r="L36" i="9"/>
  <c r="M36" i="9"/>
  <c r="N36" i="9"/>
  <c r="O36" i="9"/>
  <c r="P36" i="9"/>
  <c r="Q36" i="9"/>
  <c r="R36" i="9"/>
  <c r="S36" i="9"/>
  <c r="T36" i="9"/>
  <c r="V36" i="9"/>
  <c r="Z36" i="9"/>
  <c r="H37" i="9"/>
  <c r="I37" i="9"/>
  <c r="J37" i="9"/>
  <c r="K37" i="9"/>
  <c r="L37" i="9"/>
  <c r="M37" i="9"/>
  <c r="N37" i="9"/>
  <c r="O37" i="9"/>
  <c r="P37" i="9"/>
  <c r="Q37" i="9"/>
  <c r="R37" i="9"/>
  <c r="S37" i="9"/>
  <c r="T37" i="9"/>
  <c r="V37" i="9"/>
  <c r="Z37" i="9"/>
  <c r="H38" i="9"/>
  <c r="I38" i="9"/>
  <c r="J38" i="9"/>
  <c r="K38" i="9"/>
  <c r="L38" i="9"/>
  <c r="M38" i="9"/>
  <c r="N38" i="9"/>
  <c r="O38" i="9"/>
  <c r="P38" i="9"/>
  <c r="Q38" i="9"/>
  <c r="R38" i="9"/>
  <c r="S38" i="9"/>
  <c r="T38" i="9"/>
  <c r="V38" i="9"/>
  <c r="Z38" i="9"/>
  <c r="H39" i="9"/>
  <c r="I39" i="9"/>
  <c r="J39" i="9"/>
  <c r="K39" i="9"/>
  <c r="L39" i="9"/>
  <c r="M39" i="9"/>
  <c r="N39" i="9"/>
  <c r="O39" i="9"/>
  <c r="P39" i="9"/>
  <c r="Q39" i="9"/>
  <c r="R39" i="9"/>
  <c r="S39" i="9"/>
  <c r="T39" i="9"/>
  <c r="V39" i="9"/>
  <c r="Z39" i="9"/>
  <c r="H40" i="9"/>
  <c r="I40" i="9"/>
  <c r="J40" i="9"/>
  <c r="K40" i="9"/>
  <c r="L40" i="9"/>
  <c r="M40" i="9"/>
  <c r="N40" i="9"/>
  <c r="O40" i="9"/>
  <c r="P40" i="9"/>
  <c r="Q40" i="9"/>
  <c r="R40" i="9"/>
  <c r="S40" i="9"/>
  <c r="T40" i="9"/>
  <c r="V40" i="9"/>
  <c r="Z40" i="9"/>
  <c r="H41" i="9"/>
  <c r="I41" i="9"/>
  <c r="J41" i="9"/>
  <c r="K41" i="9"/>
  <c r="L41" i="9"/>
  <c r="M41" i="9"/>
  <c r="N41" i="9"/>
  <c r="O41" i="9"/>
  <c r="P41" i="9"/>
  <c r="Q41" i="9"/>
  <c r="R41" i="9"/>
  <c r="S41" i="9"/>
  <c r="T41" i="9"/>
  <c r="V41" i="9"/>
  <c r="Z41" i="9"/>
  <c r="H42" i="9"/>
  <c r="I42" i="9"/>
  <c r="J42" i="9"/>
  <c r="K42" i="9"/>
  <c r="L42" i="9"/>
  <c r="M42" i="9"/>
  <c r="N42" i="9"/>
  <c r="O42" i="9"/>
  <c r="P42" i="9"/>
  <c r="Q42" i="9"/>
  <c r="R42" i="9"/>
  <c r="S42" i="9"/>
  <c r="T42" i="9"/>
  <c r="V42" i="9"/>
  <c r="Z42" i="9"/>
  <c r="H43" i="9"/>
  <c r="I43" i="9"/>
  <c r="J43" i="9"/>
  <c r="K43" i="9"/>
  <c r="L43" i="9"/>
  <c r="M43" i="9"/>
  <c r="N43" i="9"/>
  <c r="O43" i="9"/>
  <c r="P43" i="9"/>
  <c r="Q43" i="9"/>
  <c r="R43" i="9"/>
  <c r="S43" i="9"/>
  <c r="T43" i="9"/>
  <c r="V43" i="9"/>
  <c r="Z43" i="9"/>
  <c r="H44" i="9"/>
  <c r="I44" i="9"/>
  <c r="J44" i="9"/>
  <c r="K44" i="9"/>
  <c r="L44" i="9"/>
  <c r="M44" i="9"/>
  <c r="N44" i="9"/>
  <c r="O44" i="9"/>
  <c r="P44" i="9"/>
  <c r="Q44" i="9"/>
  <c r="R44" i="9"/>
  <c r="S44" i="9"/>
  <c r="T44" i="9"/>
  <c r="V44" i="9"/>
  <c r="Z44" i="9"/>
  <c r="H45" i="9"/>
  <c r="I45" i="9"/>
  <c r="J45" i="9"/>
  <c r="K45" i="9"/>
  <c r="L45" i="9"/>
  <c r="M45" i="9"/>
  <c r="N45" i="9"/>
  <c r="O45" i="9"/>
  <c r="P45" i="9"/>
  <c r="Q45" i="9"/>
  <c r="R45" i="9"/>
  <c r="S45" i="9"/>
  <c r="T45" i="9"/>
  <c r="V45" i="9"/>
  <c r="Z45" i="9"/>
  <c r="H46" i="9"/>
  <c r="I46" i="9"/>
  <c r="J46" i="9"/>
  <c r="K46" i="9"/>
  <c r="L46" i="9"/>
  <c r="M46" i="9"/>
  <c r="N46" i="9"/>
  <c r="O46" i="9"/>
  <c r="P46" i="9"/>
  <c r="Q46" i="9"/>
  <c r="R46" i="9"/>
  <c r="S46" i="9"/>
  <c r="T46" i="9"/>
  <c r="V46" i="9"/>
  <c r="Z46" i="9"/>
  <c r="H47" i="9"/>
  <c r="I47" i="9"/>
  <c r="J47" i="9"/>
  <c r="K47" i="9"/>
  <c r="L47" i="9"/>
  <c r="M47" i="9"/>
  <c r="N47" i="9"/>
  <c r="O47" i="9"/>
  <c r="P47" i="9"/>
  <c r="Q47" i="9"/>
  <c r="R47" i="9"/>
  <c r="S47" i="9"/>
  <c r="T47" i="9"/>
  <c r="V47" i="9"/>
  <c r="Z47" i="9"/>
  <c r="H48" i="9"/>
  <c r="I48" i="9"/>
  <c r="J48" i="9"/>
  <c r="K48" i="9"/>
  <c r="L48" i="9"/>
  <c r="M48" i="9"/>
  <c r="N48" i="9"/>
  <c r="O48" i="9"/>
  <c r="P48" i="9"/>
  <c r="Q48" i="9"/>
  <c r="R48" i="9"/>
  <c r="S48" i="9"/>
  <c r="T48" i="9"/>
  <c r="V48" i="9"/>
  <c r="Z48" i="9"/>
  <c r="H49" i="9"/>
  <c r="I49" i="9"/>
  <c r="J49" i="9"/>
  <c r="K49" i="9"/>
  <c r="L49" i="9"/>
  <c r="M49" i="9"/>
  <c r="N49" i="9"/>
  <c r="O49" i="9"/>
  <c r="P49" i="9"/>
  <c r="Q49" i="9"/>
  <c r="R49" i="9"/>
  <c r="S49" i="9"/>
  <c r="T49" i="9"/>
  <c r="V49" i="9"/>
  <c r="Z49" i="9"/>
  <c r="H50" i="9"/>
  <c r="I50" i="9"/>
  <c r="J50" i="9"/>
  <c r="K50" i="9"/>
  <c r="L50" i="9"/>
  <c r="M50" i="9"/>
  <c r="N50" i="9"/>
  <c r="O50" i="9"/>
  <c r="P50" i="9"/>
  <c r="Q50" i="9"/>
  <c r="R50" i="9"/>
  <c r="S50" i="9"/>
  <c r="T50" i="9"/>
  <c r="V50" i="9"/>
  <c r="Z50" i="9"/>
  <c r="H51" i="9"/>
  <c r="I51" i="9"/>
  <c r="J51" i="9"/>
  <c r="K51" i="9"/>
  <c r="L51" i="9"/>
  <c r="M51" i="9"/>
  <c r="N51" i="9"/>
  <c r="O51" i="9"/>
  <c r="P51" i="9"/>
  <c r="Q51" i="9"/>
  <c r="R51" i="9"/>
  <c r="S51" i="9"/>
  <c r="T51" i="9"/>
  <c r="V51" i="9"/>
  <c r="Z51" i="9"/>
  <c r="H52" i="9"/>
  <c r="I52" i="9"/>
  <c r="J52" i="9"/>
  <c r="K52" i="9"/>
  <c r="L52" i="9"/>
  <c r="M52" i="9"/>
  <c r="N52" i="9"/>
  <c r="O52" i="9"/>
  <c r="P52" i="9"/>
  <c r="Q52" i="9"/>
  <c r="R52" i="9"/>
  <c r="S52" i="9"/>
  <c r="T52" i="9"/>
  <c r="V52" i="9"/>
  <c r="Z52" i="9"/>
  <c r="H53" i="9"/>
  <c r="I53" i="9"/>
  <c r="J53" i="9"/>
  <c r="K53" i="9"/>
  <c r="L53" i="9"/>
  <c r="M53" i="9"/>
  <c r="N53" i="9"/>
  <c r="O53" i="9"/>
  <c r="P53" i="9"/>
  <c r="Q53" i="9"/>
  <c r="R53" i="9"/>
  <c r="S53" i="9"/>
  <c r="T53" i="9"/>
  <c r="V53" i="9"/>
  <c r="Z53" i="9"/>
  <c r="H54" i="9"/>
  <c r="I54" i="9"/>
  <c r="J54" i="9"/>
  <c r="K54" i="9"/>
  <c r="L54" i="9"/>
  <c r="M54" i="9"/>
  <c r="N54" i="9"/>
  <c r="O54" i="9"/>
  <c r="P54" i="9"/>
  <c r="Q54" i="9"/>
  <c r="R54" i="9"/>
  <c r="S54" i="9"/>
  <c r="T54" i="9"/>
  <c r="V54" i="9"/>
  <c r="Z54" i="9"/>
  <c r="H55" i="9"/>
  <c r="I55" i="9"/>
  <c r="J55" i="9"/>
  <c r="K55" i="9"/>
  <c r="L55" i="9"/>
  <c r="M55" i="9"/>
  <c r="N55" i="9"/>
  <c r="O55" i="9"/>
  <c r="P55" i="9"/>
  <c r="Q55" i="9"/>
  <c r="R55" i="9"/>
  <c r="S55" i="9"/>
  <c r="T55" i="9"/>
  <c r="V55" i="9"/>
  <c r="Z55" i="9"/>
  <c r="H56" i="9"/>
  <c r="I56" i="9"/>
  <c r="J56" i="9"/>
  <c r="K56" i="9"/>
  <c r="L56" i="9"/>
  <c r="M56" i="9"/>
  <c r="N56" i="9"/>
  <c r="O56" i="9"/>
  <c r="P56" i="9"/>
  <c r="Q56" i="9"/>
  <c r="R56" i="9"/>
  <c r="S56" i="9"/>
  <c r="T56" i="9"/>
  <c r="V56" i="9"/>
  <c r="Z56" i="9"/>
  <c r="H57" i="9"/>
  <c r="I57" i="9"/>
  <c r="J57" i="9"/>
  <c r="K57" i="9"/>
  <c r="L57" i="9"/>
  <c r="M57" i="9"/>
  <c r="N57" i="9"/>
  <c r="O57" i="9"/>
  <c r="P57" i="9"/>
  <c r="Q57" i="9"/>
  <c r="R57" i="9"/>
  <c r="S57" i="9"/>
  <c r="T57" i="9"/>
  <c r="V57" i="9"/>
  <c r="Z57" i="9"/>
  <c r="H58" i="9"/>
  <c r="I58" i="9"/>
  <c r="J58" i="9"/>
  <c r="K58" i="9"/>
  <c r="L58" i="9"/>
  <c r="M58" i="9"/>
  <c r="N58" i="9"/>
  <c r="O58" i="9"/>
  <c r="P58" i="9"/>
  <c r="Q58" i="9"/>
  <c r="R58" i="9"/>
  <c r="S58" i="9"/>
  <c r="T58" i="9"/>
  <c r="V58" i="9"/>
  <c r="Z58" i="9"/>
  <c r="H59" i="9"/>
  <c r="I59" i="9"/>
  <c r="J59" i="9"/>
  <c r="K59" i="9"/>
  <c r="L59" i="9"/>
  <c r="M59" i="9"/>
  <c r="N59" i="9"/>
  <c r="O59" i="9"/>
  <c r="P59" i="9"/>
  <c r="Q59" i="9"/>
  <c r="R59" i="9"/>
  <c r="S59" i="9"/>
  <c r="T59" i="9"/>
  <c r="V59" i="9"/>
  <c r="Z59" i="9"/>
  <c r="H60" i="9"/>
  <c r="I60" i="9"/>
  <c r="J60" i="9"/>
  <c r="K60" i="9"/>
  <c r="L60" i="9"/>
  <c r="M60" i="9"/>
  <c r="N60" i="9"/>
  <c r="O60" i="9"/>
  <c r="P60" i="9"/>
  <c r="Q60" i="9"/>
  <c r="R60" i="9"/>
  <c r="S60" i="9"/>
  <c r="T60" i="9"/>
  <c r="V60" i="9"/>
  <c r="Z60" i="9"/>
  <c r="H61" i="9"/>
  <c r="I61" i="9"/>
  <c r="J61" i="9"/>
  <c r="K61" i="9"/>
  <c r="L61" i="9"/>
  <c r="M61" i="9"/>
  <c r="N61" i="9"/>
  <c r="O61" i="9"/>
  <c r="P61" i="9"/>
  <c r="Q61" i="9"/>
  <c r="R61" i="9"/>
  <c r="S61" i="9"/>
  <c r="T61" i="9"/>
  <c r="V61" i="9"/>
  <c r="Z61" i="9"/>
  <c r="H62" i="9"/>
  <c r="I62" i="9"/>
  <c r="J62" i="9"/>
  <c r="K62" i="9"/>
  <c r="L62" i="9"/>
  <c r="M62" i="9"/>
  <c r="N62" i="9"/>
  <c r="O62" i="9"/>
  <c r="P62" i="9"/>
  <c r="Q62" i="9"/>
  <c r="R62" i="9"/>
  <c r="S62" i="9"/>
  <c r="T62" i="9"/>
  <c r="V62" i="9"/>
  <c r="Z62" i="9"/>
  <c r="H63" i="9"/>
  <c r="I63" i="9"/>
  <c r="J63" i="9"/>
  <c r="K63" i="9"/>
  <c r="L63" i="9"/>
  <c r="M63" i="9"/>
  <c r="N63" i="9"/>
  <c r="O63" i="9"/>
  <c r="P63" i="9"/>
  <c r="Q63" i="9"/>
  <c r="R63" i="9"/>
  <c r="S63" i="9"/>
  <c r="T63" i="9"/>
  <c r="V63" i="9"/>
  <c r="Z63" i="9"/>
  <c r="H64" i="9"/>
  <c r="I64" i="9"/>
  <c r="J64" i="9"/>
  <c r="K64" i="9"/>
  <c r="L64" i="9"/>
  <c r="M64" i="9"/>
  <c r="N64" i="9"/>
  <c r="O64" i="9"/>
  <c r="P64" i="9"/>
  <c r="Q64" i="9"/>
  <c r="R64" i="9"/>
  <c r="S64" i="9"/>
  <c r="T64" i="9"/>
  <c r="V64" i="9"/>
  <c r="Z64" i="9"/>
  <c r="H65" i="9"/>
  <c r="I65" i="9"/>
  <c r="J65" i="9"/>
  <c r="K65" i="9"/>
  <c r="L65" i="9"/>
  <c r="M65" i="9"/>
  <c r="N65" i="9"/>
  <c r="O65" i="9"/>
  <c r="P65" i="9"/>
  <c r="Q65" i="9"/>
  <c r="R65" i="9"/>
  <c r="S65" i="9"/>
  <c r="T65" i="9"/>
  <c r="V65" i="9"/>
  <c r="Z65" i="9"/>
  <c r="H66" i="9"/>
  <c r="I66" i="9"/>
  <c r="J66" i="9"/>
  <c r="K66" i="9"/>
  <c r="L66" i="9"/>
  <c r="M66" i="9"/>
  <c r="N66" i="9"/>
  <c r="O66" i="9"/>
  <c r="P66" i="9"/>
  <c r="Q66" i="9"/>
  <c r="R66" i="9"/>
  <c r="S66" i="9"/>
  <c r="T66" i="9"/>
  <c r="V66" i="9"/>
  <c r="Z66" i="9"/>
  <c r="H67" i="9"/>
  <c r="I67" i="9"/>
  <c r="J67" i="9"/>
  <c r="K67" i="9"/>
  <c r="L67" i="9"/>
  <c r="M67" i="9"/>
  <c r="N67" i="9"/>
  <c r="O67" i="9"/>
  <c r="P67" i="9"/>
  <c r="Q67" i="9"/>
  <c r="R67" i="9"/>
  <c r="S67" i="9"/>
  <c r="T67" i="9"/>
  <c r="V67" i="9"/>
  <c r="Z67" i="9"/>
  <c r="H68" i="9"/>
  <c r="I68" i="9"/>
  <c r="J68" i="9"/>
  <c r="K68" i="9"/>
  <c r="L68" i="9"/>
  <c r="M68" i="9"/>
  <c r="N68" i="9"/>
  <c r="O68" i="9"/>
  <c r="P68" i="9"/>
  <c r="Q68" i="9"/>
  <c r="R68" i="9"/>
  <c r="S68" i="9"/>
  <c r="T68" i="9"/>
  <c r="V68" i="9"/>
  <c r="Z68" i="9"/>
  <c r="H69" i="9"/>
  <c r="I69" i="9"/>
  <c r="J69" i="9"/>
  <c r="K69" i="9"/>
  <c r="L69" i="9"/>
  <c r="M69" i="9"/>
  <c r="N69" i="9"/>
  <c r="O69" i="9"/>
  <c r="P69" i="9"/>
  <c r="Q69" i="9"/>
  <c r="R69" i="9"/>
  <c r="S69" i="9"/>
  <c r="T69" i="9"/>
  <c r="V69" i="9"/>
  <c r="Z69" i="9"/>
  <c r="H70" i="9"/>
  <c r="I70" i="9"/>
  <c r="J70" i="9"/>
  <c r="K70" i="9"/>
  <c r="L70" i="9"/>
  <c r="M70" i="9"/>
  <c r="N70" i="9"/>
  <c r="O70" i="9"/>
  <c r="P70" i="9"/>
  <c r="Q70" i="9"/>
  <c r="R70" i="9"/>
  <c r="S70" i="9"/>
  <c r="T70" i="9"/>
  <c r="V70" i="9"/>
  <c r="Z70" i="9"/>
  <c r="H71" i="9"/>
  <c r="I71" i="9"/>
  <c r="J71" i="9"/>
  <c r="K71" i="9"/>
  <c r="L71" i="9"/>
  <c r="M71" i="9"/>
  <c r="N71" i="9"/>
  <c r="O71" i="9"/>
  <c r="P71" i="9"/>
  <c r="Q71" i="9"/>
  <c r="R71" i="9"/>
  <c r="S71" i="9"/>
  <c r="T71" i="9"/>
  <c r="V71" i="9"/>
  <c r="Z71" i="9"/>
  <c r="H72" i="9"/>
  <c r="I72" i="9"/>
  <c r="J72" i="9"/>
  <c r="K72" i="9"/>
  <c r="L72" i="9"/>
  <c r="M72" i="9"/>
  <c r="N72" i="9"/>
  <c r="O72" i="9"/>
  <c r="P72" i="9"/>
  <c r="Q72" i="9"/>
  <c r="R72" i="9"/>
  <c r="S72" i="9"/>
  <c r="T72" i="9"/>
  <c r="V72" i="9"/>
  <c r="Z72" i="9"/>
  <c r="H73" i="9"/>
  <c r="I73" i="9"/>
  <c r="J73" i="9"/>
  <c r="K73" i="9"/>
  <c r="L73" i="9"/>
  <c r="M73" i="9"/>
  <c r="N73" i="9"/>
  <c r="O73" i="9"/>
  <c r="P73" i="9"/>
  <c r="Q73" i="9"/>
  <c r="R73" i="9"/>
  <c r="S73" i="9"/>
  <c r="T73" i="9"/>
  <c r="V73" i="9"/>
  <c r="Z73" i="9"/>
  <c r="H74" i="9"/>
  <c r="I74" i="9"/>
  <c r="J74" i="9"/>
  <c r="K74" i="9"/>
  <c r="L74" i="9"/>
  <c r="M74" i="9"/>
  <c r="N74" i="9"/>
  <c r="O74" i="9"/>
  <c r="P74" i="9"/>
  <c r="Q74" i="9"/>
  <c r="R74" i="9"/>
  <c r="S74" i="9"/>
  <c r="T74" i="9"/>
  <c r="V74" i="9"/>
  <c r="Z74" i="9"/>
  <c r="H75" i="9"/>
  <c r="I75" i="9"/>
  <c r="J75" i="9"/>
  <c r="K75" i="9"/>
  <c r="L75" i="9"/>
  <c r="M75" i="9"/>
  <c r="N75" i="9"/>
  <c r="O75" i="9"/>
  <c r="P75" i="9"/>
  <c r="Q75" i="9"/>
  <c r="R75" i="9"/>
  <c r="S75" i="9"/>
  <c r="T75" i="9"/>
  <c r="V75" i="9"/>
  <c r="Z75" i="9"/>
  <c r="H76" i="9"/>
  <c r="I76" i="9"/>
  <c r="J76" i="9"/>
  <c r="K76" i="9"/>
  <c r="L76" i="9"/>
  <c r="M76" i="9"/>
  <c r="N76" i="9"/>
  <c r="O76" i="9"/>
  <c r="P76" i="9"/>
  <c r="Q76" i="9"/>
  <c r="R76" i="9"/>
  <c r="S76" i="9"/>
  <c r="T76" i="9"/>
  <c r="V76" i="9"/>
  <c r="Z76" i="9"/>
  <c r="H77" i="9"/>
  <c r="I77" i="9"/>
  <c r="J77" i="9"/>
  <c r="K77" i="9"/>
  <c r="L77" i="9"/>
  <c r="M77" i="9"/>
  <c r="N77" i="9"/>
  <c r="O77" i="9"/>
  <c r="P77" i="9"/>
  <c r="Q77" i="9"/>
  <c r="R77" i="9"/>
  <c r="S77" i="9"/>
  <c r="T77" i="9"/>
  <c r="V77" i="9"/>
  <c r="Z77" i="9"/>
  <c r="H78" i="9"/>
  <c r="I78" i="9"/>
  <c r="J78" i="9"/>
  <c r="K78" i="9"/>
  <c r="L78" i="9"/>
  <c r="M78" i="9"/>
  <c r="N78" i="9"/>
  <c r="O78" i="9"/>
  <c r="P78" i="9"/>
  <c r="Q78" i="9"/>
  <c r="R78" i="9"/>
  <c r="S78" i="9"/>
  <c r="T78" i="9"/>
  <c r="V78" i="9"/>
  <c r="Z78" i="9"/>
  <c r="H79" i="9"/>
  <c r="I79" i="9"/>
  <c r="J79" i="9"/>
  <c r="K79" i="9"/>
  <c r="L79" i="9"/>
  <c r="M79" i="9"/>
  <c r="N79" i="9"/>
  <c r="O79" i="9"/>
  <c r="P79" i="9"/>
  <c r="Q79" i="9"/>
  <c r="R79" i="9"/>
  <c r="S79" i="9"/>
  <c r="T79" i="9"/>
  <c r="V79" i="9"/>
  <c r="Z79" i="9"/>
  <c r="H80" i="9"/>
  <c r="I80" i="9"/>
  <c r="J80" i="9"/>
  <c r="K80" i="9"/>
  <c r="L80" i="9"/>
  <c r="M80" i="9"/>
  <c r="N80" i="9"/>
  <c r="O80" i="9"/>
  <c r="P80" i="9"/>
  <c r="Q80" i="9"/>
  <c r="R80" i="9"/>
  <c r="S80" i="9"/>
  <c r="T80" i="9"/>
  <c r="V80" i="9"/>
  <c r="Z80" i="9"/>
  <c r="H81" i="9"/>
  <c r="I81" i="9"/>
  <c r="J81" i="9"/>
  <c r="K81" i="9"/>
  <c r="L81" i="9"/>
  <c r="M81" i="9"/>
  <c r="N81" i="9"/>
  <c r="O81" i="9"/>
  <c r="P81" i="9"/>
  <c r="Q81" i="9"/>
  <c r="R81" i="9"/>
  <c r="S81" i="9"/>
  <c r="T81" i="9"/>
  <c r="V81" i="9"/>
  <c r="Z81" i="9"/>
  <c r="H82" i="9"/>
  <c r="I82" i="9"/>
  <c r="J82" i="9"/>
  <c r="K82" i="9"/>
  <c r="L82" i="9"/>
  <c r="M82" i="9"/>
  <c r="N82" i="9"/>
  <c r="O82" i="9"/>
  <c r="P82" i="9"/>
  <c r="Q82" i="9"/>
  <c r="R82" i="9"/>
  <c r="S82" i="9"/>
  <c r="T82" i="9"/>
  <c r="V82" i="9"/>
  <c r="Z82" i="9"/>
  <c r="H83" i="9"/>
  <c r="I83" i="9"/>
  <c r="J83" i="9"/>
  <c r="K83" i="9"/>
  <c r="L83" i="9"/>
  <c r="M83" i="9"/>
  <c r="N83" i="9"/>
  <c r="O83" i="9"/>
  <c r="P83" i="9"/>
  <c r="Q83" i="9"/>
  <c r="R83" i="9"/>
  <c r="S83" i="9"/>
  <c r="T83" i="9"/>
  <c r="V83" i="9"/>
  <c r="Z83" i="9"/>
  <c r="H84" i="9"/>
  <c r="I84" i="9"/>
  <c r="J84" i="9"/>
  <c r="K84" i="9"/>
  <c r="L84" i="9"/>
  <c r="M84" i="9"/>
  <c r="N84" i="9"/>
  <c r="O84" i="9"/>
  <c r="P84" i="9"/>
  <c r="Q84" i="9"/>
  <c r="R84" i="9"/>
  <c r="S84" i="9"/>
  <c r="T84" i="9"/>
  <c r="V84" i="9"/>
  <c r="Z84" i="9"/>
  <c r="H85" i="9"/>
  <c r="I85" i="9"/>
  <c r="J85" i="9"/>
  <c r="K85" i="9"/>
  <c r="L85" i="9"/>
  <c r="M85" i="9"/>
  <c r="N85" i="9"/>
  <c r="O85" i="9"/>
  <c r="P85" i="9"/>
  <c r="Q85" i="9"/>
  <c r="R85" i="9"/>
  <c r="S85" i="9"/>
  <c r="T85" i="9"/>
  <c r="V85" i="9"/>
  <c r="Z85" i="9"/>
  <c r="H86" i="9"/>
  <c r="I86" i="9"/>
  <c r="J86" i="9"/>
  <c r="K86" i="9"/>
  <c r="L86" i="9"/>
  <c r="M86" i="9"/>
  <c r="N86" i="9"/>
  <c r="O86" i="9"/>
  <c r="P86" i="9"/>
  <c r="Q86" i="9"/>
  <c r="R86" i="9"/>
  <c r="S86" i="9"/>
  <c r="T86" i="9"/>
  <c r="V86" i="9"/>
  <c r="Z86" i="9"/>
  <c r="H87" i="9"/>
  <c r="I87" i="9"/>
  <c r="J87" i="9"/>
  <c r="K87" i="9"/>
  <c r="L87" i="9"/>
  <c r="M87" i="9"/>
  <c r="N87" i="9"/>
  <c r="O87" i="9"/>
  <c r="P87" i="9"/>
  <c r="Q87" i="9"/>
  <c r="R87" i="9"/>
  <c r="S87" i="9"/>
  <c r="T87" i="9"/>
  <c r="V87" i="9"/>
  <c r="Z87" i="9"/>
  <c r="H88" i="9"/>
  <c r="I88" i="9"/>
  <c r="J88" i="9"/>
  <c r="K88" i="9"/>
  <c r="L88" i="9"/>
  <c r="M88" i="9"/>
  <c r="N88" i="9"/>
  <c r="O88" i="9"/>
  <c r="P88" i="9"/>
  <c r="Q88" i="9"/>
  <c r="R88" i="9"/>
  <c r="S88" i="9"/>
  <c r="T88" i="9"/>
  <c r="V88" i="9"/>
  <c r="Z88" i="9"/>
  <c r="H89" i="9"/>
  <c r="I89" i="9"/>
  <c r="J89" i="9"/>
  <c r="K89" i="9"/>
  <c r="L89" i="9"/>
  <c r="M89" i="9"/>
  <c r="N89" i="9"/>
  <c r="O89" i="9"/>
  <c r="P89" i="9"/>
  <c r="Q89" i="9"/>
  <c r="R89" i="9"/>
  <c r="S89" i="9"/>
  <c r="T89" i="9"/>
  <c r="V89" i="9"/>
  <c r="Z89" i="9"/>
  <c r="H90" i="9"/>
  <c r="I90" i="9"/>
  <c r="J90" i="9"/>
  <c r="K90" i="9"/>
  <c r="L90" i="9"/>
  <c r="M90" i="9"/>
  <c r="N90" i="9"/>
  <c r="O90" i="9"/>
  <c r="P90" i="9"/>
  <c r="Q90" i="9"/>
  <c r="R90" i="9"/>
  <c r="S90" i="9"/>
  <c r="T90" i="9"/>
  <c r="V90" i="9"/>
  <c r="Z90" i="9"/>
  <c r="H91" i="9"/>
  <c r="I91" i="9"/>
  <c r="J91" i="9"/>
  <c r="K91" i="9"/>
  <c r="L91" i="9"/>
  <c r="M91" i="9"/>
  <c r="N91" i="9"/>
  <c r="O91" i="9"/>
  <c r="P91" i="9"/>
  <c r="Q91" i="9"/>
  <c r="R91" i="9"/>
  <c r="S91" i="9"/>
  <c r="T91" i="9"/>
  <c r="V91" i="9"/>
  <c r="Z91" i="9"/>
  <c r="H92" i="9"/>
  <c r="I92" i="9"/>
  <c r="J92" i="9"/>
  <c r="K92" i="9"/>
  <c r="L92" i="9"/>
  <c r="M92" i="9"/>
  <c r="N92" i="9"/>
  <c r="O92" i="9"/>
  <c r="P92" i="9"/>
  <c r="Q92" i="9"/>
  <c r="R92" i="9"/>
  <c r="S92" i="9"/>
  <c r="T92" i="9"/>
  <c r="V92" i="9"/>
  <c r="Z92" i="9"/>
  <c r="H93" i="9"/>
  <c r="I93" i="9"/>
  <c r="J93" i="9"/>
  <c r="K93" i="9"/>
  <c r="L93" i="9"/>
  <c r="M93" i="9"/>
  <c r="N93" i="9"/>
  <c r="O93" i="9"/>
  <c r="P93" i="9"/>
  <c r="Q93" i="9"/>
  <c r="R93" i="9"/>
  <c r="S93" i="9"/>
  <c r="T93" i="9"/>
  <c r="V93" i="9"/>
  <c r="Z93" i="9"/>
  <c r="H94" i="9"/>
  <c r="I94" i="9"/>
  <c r="J94" i="9"/>
  <c r="K94" i="9"/>
  <c r="L94" i="9"/>
  <c r="M94" i="9"/>
  <c r="N94" i="9"/>
  <c r="O94" i="9"/>
  <c r="P94" i="9"/>
  <c r="Q94" i="9"/>
  <c r="R94" i="9"/>
  <c r="S94" i="9"/>
  <c r="T94" i="9"/>
  <c r="V94" i="9"/>
  <c r="Z94" i="9"/>
  <c r="H95" i="9"/>
  <c r="I95" i="9"/>
  <c r="J95" i="9"/>
  <c r="K95" i="9"/>
  <c r="L95" i="9"/>
  <c r="M95" i="9"/>
  <c r="N95" i="9"/>
  <c r="O95" i="9"/>
  <c r="P95" i="9"/>
  <c r="Q95" i="9"/>
  <c r="R95" i="9"/>
  <c r="S95" i="9"/>
  <c r="T95" i="9"/>
  <c r="V95" i="9"/>
  <c r="Z95" i="9"/>
  <c r="H96" i="9"/>
  <c r="I96" i="9"/>
  <c r="J96" i="9"/>
  <c r="K96" i="9"/>
  <c r="L96" i="9"/>
  <c r="M96" i="9"/>
  <c r="N96" i="9"/>
  <c r="O96" i="9"/>
  <c r="P96" i="9"/>
  <c r="Q96" i="9"/>
  <c r="R96" i="9"/>
  <c r="S96" i="9"/>
  <c r="T96" i="9"/>
  <c r="V96" i="9"/>
  <c r="Z96" i="9"/>
  <c r="H97" i="9"/>
  <c r="I97" i="9"/>
  <c r="J97" i="9"/>
  <c r="K97" i="9"/>
  <c r="L97" i="9"/>
  <c r="M97" i="9"/>
  <c r="N97" i="9"/>
  <c r="O97" i="9"/>
  <c r="P97" i="9"/>
  <c r="Q97" i="9"/>
  <c r="R97" i="9"/>
  <c r="S97" i="9"/>
  <c r="T97" i="9"/>
  <c r="V97" i="9"/>
  <c r="Z97" i="9"/>
  <c r="H98" i="9"/>
  <c r="I98" i="9"/>
  <c r="J98" i="9"/>
  <c r="K98" i="9"/>
  <c r="L98" i="9"/>
  <c r="M98" i="9"/>
  <c r="N98" i="9"/>
  <c r="O98" i="9"/>
  <c r="P98" i="9"/>
  <c r="Q98" i="9"/>
  <c r="R98" i="9"/>
  <c r="S98" i="9"/>
  <c r="T98" i="9"/>
  <c r="V98" i="9"/>
  <c r="Z98" i="9"/>
  <c r="H99" i="9"/>
  <c r="I99" i="9"/>
  <c r="J99" i="9"/>
  <c r="K99" i="9"/>
  <c r="L99" i="9"/>
  <c r="M99" i="9"/>
  <c r="N99" i="9"/>
  <c r="O99" i="9"/>
  <c r="P99" i="9"/>
  <c r="Q99" i="9"/>
  <c r="R99" i="9"/>
  <c r="S99" i="9"/>
  <c r="T99" i="9"/>
  <c r="V99" i="9"/>
  <c r="Z99" i="9"/>
  <c r="H100" i="9"/>
  <c r="I100" i="9"/>
  <c r="J100" i="9"/>
  <c r="K100" i="9"/>
  <c r="L100" i="9"/>
  <c r="M100" i="9"/>
  <c r="N100" i="9"/>
  <c r="O100" i="9"/>
  <c r="P100" i="9"/>
  <c r="Q100" i="9"/>
  <c r="R100" i="9"/>
  <c r="S100" i="9"/>
  <c r="T100" i="9"/>
  <c r="V100" i="9"/>
  <c r="Z100" i="9"/>
  <c r="H101" i="9"/>
  <c r="I101" i="9"/>
  <c r="J101" i="9"/>
  <c r="K101" i="9"/>
  <c r="L101" i="9"/>
  <c r="M101" i="9"/>
  <c r="N101" i="9"/>
  <c r="O101" i="9"/>
  <c r="P101" i="9"/>
  <c r="Q101" i="9"/>
  <c r="R101" i="9"/>
  <c r="S101" i="9"/>
  <c r="T101" i="9"/>
  <c r="V101" i="9"/>
  <c r="Z101" i="9"/>
  <c r="H102" i="9"/>
  <c r="I102" i="9"/>
  <c r="J102" i="9"/>
  <c r="K102" i="9"/>
  <c r="L102" i="9"/>
  <c r="M102" i="9"/>
  <c r="N102" i="9"/>
  <c r="O102" i="9"/>
  <c r="P102" i="9"/>
  <c r="Q102" i="9"/>
  <c r="R102" i="9"/>
  <c r="S102" i="9"/>
  <c r="T102" i="9"/>
  <c r="V102" i="9"/>
  <c r="Z102" i="9"/>
  <c r="H103" i="9"/>
  <c r="I103" i="9"/>
  <c r="J103" i="9"/>
  <c r="K103" i="9"/>
  <c r="L103" i="9"/>
  <c r="M103" i="9"/>
  <c r="N103" i="9"/>
  <c r="O103" i="9"/>
  <c r="P103" i="9"/>
  <c r="Q103" i="9"/>
  <c r="R103" i="9"/>
  <c r="S103" i="9"/>
  <c r="T103" i="9"/>
  <c r="V103" i="9"/>
  <c r="Z103" i="9"/>
  <c r="H104" i="9"/>
  <c r="I104" i="9"/>
  <c r="J104" i="9"/>
  <c r="K104" i="9"/>
  <c r="L104" i="9"/>
  <c r="M104" i="9"/>
  <c r="N104" i="9"/>
  <c r="O104" i="9"/>
  <c r="P104" i="9"/>
  <c r="Q104" i="9"/>
  <c r="R104" i="9"/>
  <c r="S104" i="9"/>
  <c r="T104" i="9"/>
  <c r="V104" i="9"/>
  <c r="Z104" i="9"/>
  <c r="H105" i="9"/>
  <c r="I105" i="9"/>
  <c r="J105" i="9"/>
  <c r="K105" i="9"/>
  <c r="L105" i="9"/>
  <c r="M105" i="9"/>
  <c r="N105" i="9"/>
  <c r="O105" i="9"/>
  <c r="P105" i="9"/>
  <c r="Q105" i="9"/>
  <c r="R105" i="9"/>
  <c r="S105" i="9"/>
  <c r="T105" i="9"/>
  <c r="V105" i="9"/>
  <c r="Z105" i="9"/>
  <c r="H106" i="9"/>
  <c r="I106" i="9"/>
  <c r="J106" i="9"/>
  <c r="K106" i="9"/>
  <c r="L106" i="9"/>
  <c r="M106" i="9"/>
  <c r="N106" i="9"/>
  <c r="O106" i="9"/>
  <c r="P106" i="9"/>
  <c r="Q106" i="9"/>
  <c r="R106" i="9"/>
  <c r="S106" i="9"/>
  <c r="T106" i="9"/>
  <c r="V106" i="9"/>
  <c r="Z106" i="9"/>
  <c r="H107" i="9"/>
  <c r="I107" i="9"/>
  <c r="J107" i="9"/>
  <c r="K107" i="9"/>
  <c r="L107" i="9"/>
  <c r="M107" i="9"/>
  <c r="N107" i="9"/>
  <c r="O107" i="9"/>
  <c r="P107" i="9"/>
  <c r="Q107" i="9"/>
  <c r="R107" i="9"/>
  <c r="S107" i="9"/>
  <c r="T107" i="9"/>
  <c r="V107" i="9"/>
  <c r="Z107" i="9"/>
  <c r="H108" i="9"/>
  <c r="I108" i="9"/>
  <c r="J108" i="9"/>
  <c r="K108" i="9"/>
  <c r="L108" i="9"/>
  <c r="M108" i="9"/>
  <c r="N108" i="9"/>
  <c r="O108" i="9"/>
  <c r="P108" i="9"/>
  <c r="Q108" i="9"/>
  <c r="R108" i="9"/>
  <c r="S108" i="9"/>
  <c r="T108" i="9"/>
  <c r="V108" i="9"/>
  <c r="Z108" i="9"/>
  <c r="H109" i="9"/>
  <c r="I109" i="9"/>
  <c r="J109" i="9"/>
  <c r="K109" i="9"/>
  <c r="L109" i="9"/>
  <c r="M109" i="9"/>
  <c r="N109" i="9"/>
  <c r="O109" i="9"/>
  <c r="P109" i="9"/>
  <c r="Q109" i="9"/>
  <c r="R109" i="9"/>
  <c r="S109" i="9"/>
  <c r="T109" i="9"/>
  <c r="V109" i="9"/>
  <c r="Z109" i="9"/>
  <c r="H110" i="9"/>
  <c r="I110" i="9"/>
  <c r="J110" i="9"/>
  <c r="K110" i="9"/>
  <c r="L110" i="9"/>
  <c r="M110" i="9"/>
  <c r="N110" i="9"/>
  <c r="O110" i="9"/>
  <c r="P110" i="9"/>
  <c r="Q110" i="9"/>
  <c r="R110" i="9"/>
  <c r="S110" i="9"/>
  <c r="T110" i="9"/>
  <c r="V110" i="9"/>
  <c r="Z110" i="9"/>
  <c r="H111" i="9"/>
  <c r="I111" i="9"/>
  <c r="J111" i="9"/>
  <c r="K111" i="9"/>
  <c r="L111" i="9"/>
  <c r="M111" i="9"/>
  <c r="N111" i="9"/>
  <c r="O111" i="9"/>
  <c r="P111" i="9"/>
  <c r="Q111" i="9"/>
  <c r="R111" i="9"/>
  <c r="S111" i="9"/>
  <c r="T111" i="9"/>
  <c r="V111" i="9"/>
  <c r="Z111" i="9"/>
  <c r="H112" i="9"/>
  <c r="I112" i="9"/>
  <c r="J112" i="9"/>
  <c r="K112" i="9"/>
  <c r="L112" i="9"/>
  <c r="M112" i="9"/>
  <c r="N112" i="9"/>
  <c r="O112" i="9"/>
  <c r="P112" i="9"/>
  <c r="Q112" i="9"/>
  <c r="R112" i="9"/>
  <c r="S112" i="9"/>
  <c r="T112" i="9"/>
  <c r="V112" i="9"/>
  <c r="Z112" i="9"/>
  <c r="H113" i="9"/>
  <c r="I113" i="9"/>
  <c r="J113" i="9"/>
  <c r="K113" i="9"/>
  <c r="L113" i="9"/>
  <c r="M113" i="9"/>
  <c r="N113" i="9"/>
  <c r="O113" i="9"/>
  <c r="P113" i="9"/>
  <c r="Q113" i="9"/>
  <c r="R113" i="9"/>
  <c r="S113" i="9"/>
  <c r="T113" i="9"/>
  <c r="V113" i="9"/>
  <c r="Z113" i="9"/>
  <c r="H114" i="9"/>
  <c r="I114" i="9"/>
  <c r="J114" i="9"/>
  <c r="K114" i="9"/>
  <c r="L114" i="9"/>
  <c r="M114" i="9"/>
  <c r="N114" i="9"/>
  <c r="O114" i="9"/>
  <c r="P114" i="9"/>
  <c r="Q114" i="9"/>
  <c r="R114" i="9"/>
  <c r="S114" i="9"/>
  <c r="T114" i="9"/>
  <c r="V114" i="9"/>
  <c r="Z114" i="9"/>
  <c r="H115" i="9"/>
  <c r="I115" i="9"/>
  <c r="J115" i="9"/>
  <c r="K115" i="9"/>
  <c r="L115" i="9"/>
  <c r="M115" i="9"/>
  <c r="N115" i="9"/>
  <c r="O115" i="9"/>
  <c r="P115" i="9"/>
  <c r="Q115" i="9"/>
  <c r="R115" i="9"/>
  <c r="S115" i="9"/>
  <c r="T115" i="9"/>
  <c r="V115" i="9"/>
  <c r="Z115" i="9"/>
  <c r="H116" i="9"/>
  <c r="I116" i="9"/>
  <c r="J116" i="9"/>
  <c r="K116" i="9"/>
  <c r="L116" i="9"/>
  <c r="M116" i="9"/>
  <c r="N116" i="9"/>
  <c r="O116" i="9"/>
  <c r="P116" i="9"/>
  <c r="Q116" i="9"/>
  <c r="R116" i="9"/>
  <c r="S116" i="9"/>
  <c r="T116" i="9"/>
  <c r="V116" i="9"/>
  <c r="Z116" i="9"/>
  <c r="H117" i="9"/>
  <c r="I117" i="9"/>
  <c r="J117" i="9"/>
  <c r="K117" i="9"/>
  <c r="L117" i="9"/>
  <c r="M117" i="9"/>
  <c r="N117" i="9"/>
  <c r="O117" i="9"/>
  <c r="P117" i="9"/>
  <c r="Q117" i="9"/>
  <c r="R117" i="9"/>
  <c r="S117" i="9"/>
  <c r="T117" i="9"/>
  <c r="V117" i="9"/>
  <c r="Z117" i="9"/>
  <c r="H118" i="9"/>
  <c r="I118" i="9"/>
  <c r="J118" i="9"/>
  <c r="K118" i="9"/>
  <c r="L118" i="9"/>
  <c r="M118" i="9"/>
  <c r="N118" i="9"/>
  <c r="O118" i="9"/>
  <c r="P118" i="9"/>
  <c r="Q118" i="9"/>
  <c r="R118" i="9"/>
  <c r="S118" i="9"/>
  <c r="T118" i="9"/>
  <c r="V118" i="9"/>
  <c r="Z118" i="9"/>
  <c r="H119" i="9"/>
  <c r="I119" i="9"/>
  <c r="J119" i="9"/>
  <c r="K119" i="9"/>
  <c r="L119" i="9"/>
  <c r="M119" i="9"/>
  <c r="N119" i="9"/>
  <c r="O119" i="9"/>
  <c r="P119" i="9"/>
  <c r="Q119" i="9"/>
  <c r="R119" i="9"/>
  <c r="S119" i="9"/>
  <c r="T119" i="9"/>
  <c r="V119" i="9"/>
  <c r="Z119" i="9"/>
  <c r="H120" i="9"/>
  <c r="I120" i="9"/>
  <c r="J120" i="9"/>
  <c r="K120" i="9"/>
  <c r="L120" i="9"/>
  <c r="M120" i="9"/>
  <c r="N120" i="9"/>
  <c r="O120" i="9"/>
  <c r="P120" i="9"/>
  <c r="Q120" i="9"/>
  <c r="R120" i="9"/>
  <c r="S120" i="9"/>
  <c r="T120" i="9"/>
  <c r="V120" i="9"/>
  <c r="Z120" i="9"/>
  <c r="H121" i="9"/>
  <c r="I121" i="9"/>
  <c r="J121" i="9"/>
  <c r="K121" i="9"/>
  <c r="L121" i="9"/>
  <c r="M121" i="9"/>
  <c r="N121" i="9"/>
  <c r="O121" i="9"/>
  <c r="P121" i="9"/>
  <c r="Q121" i="9"/>
  <c r="R121" i="9"/>
  <c r="S121" i="9"/>
  <c r="T121" i="9"/>
  <c r="V121" i="9"/>
  <c r="Z121" i="9"/>
  <c r="H122" i="9"/>
  <c r="I122" i="9"/>
  <c r="J122" i="9"/>
  <c r="K122" i="9"/>
  <c r="L122" i="9"/>
  <c r="M122" i="9"/>
  <c r="N122" i="9"/>
  <c r="O122" i="9"/>
  <c r="P122" i="9"/>
  <c r="Q122" i="9"/>
  <c r="R122" i="9"/>
  <c r="S122" i="9"/>
  <c r="T122" i="9"/>
  <c r="V122" i="9"/>
  <c r="Z122" i="9"/>
  <c r="H123" i="9"/>
  <c r="I123" i="9"/>
  <c r="J123" i="9"/>
  <c r="K123" i="9"/>
  <c r="L123" i="9"/>
  <c r="M123" i="9"/>
  <c r="N123" i="9"/>
  <c r="O123" i="9"/>
  <c r="P123" i="9"/>
  <c r="Q123" i="9"/>
  <c r="R123" i="9"/>
  <c r="S123" i="9"/>
  <c r="T123" i="9"/>
  <c r="V123" i="9"/>
  <c r="Z123" i="9"/>
  <c r="H124" i="9"/>
  <c r="I124" i="9"/>
  <c r="J124" i="9"/>
  <c r="K124" i="9"/>
  <c r="L124" i="9"/>
  <c r="M124" i="9"/>
  <c r="N124" i="9"/>
  <c r="O124" i="9"/>
  <c r="P124" i="9"/>
  <c r="Q124" i="9"/>
  <c r="R124" i="9"/>
  <c r="S124" i="9"/>
  <c r="T124" i="9"/>
  <c r="V124" i="9"/>
  <c r="Z124" i="9"/>
  <c r="H125" i="9"/>
  <c r="I125" i="9"/>
  <c r="J125" i="9"/>
  <c r="K125" i="9"/>
  <c r="L125" i="9"/>
  <c r="M125" i="9"/>
  <c r="N125" i="9"/>
  <c r="O125" i="9"/>
  <c r="P125" i="9"/>
  <c r="Q125" i="9"/>
  <c r="R125" i="9"/>
  <c r="S125" i="9"/>
  <c r="T125" i="9"/>
  <c r="V125" i="9"/>
  <c r="Z125" i="9"/>
  <c r="H126" i="9"/>
  <c r="I126" i="9"/>
  <c r="J126" i="9"/>
  <c r="K126" i="9"/>
  <c r="L126" i="9"/>
  <c r="M126" i="9"/>
  <c r="N126" i="9"/>
  <c r="O126" i="9"/>
  <c r="P126" i="9"/>
  <c r="Q126" i="9"/>
  <c r="R126" i="9"/>
  <c r="S126" i="9"/>
  <c r="T126" i="9"/>
  <c r="V126" i="9"/>
  <c r="Z126" i="9"/>
  <c r="H127" i="9"/>
  <c r="I127" i="9"/>
  <c r="J127" i="9"/>
  <c r="K127" i="9"/>
  <c r="L127" i="9"/>
  <c r="M127" i="9"/>
  <c r="N127" i="9"/>
  <c r="O127" i="9"/>
  <c r="P127" i="9"/>
  <c r="Q127" i="9"/>
  <c r="R127" i="9"/>
  <c r="S127" i="9"/>
  <c r="T127" i="9"/>
  <c r="V127" i="9"/>
  <c r="Z127" i="9"/>
  <c r="H128" i="9"/>
  <c r="I128" i="9"/>
  <c r="J128" i="9"/>
  <c r="K128" i="9"/>
  <c r="L128" i="9"/>
  <c r="M128" i="9"/>
  <c r="N128" i="9"/>
  <c r="O128" i="9"/>
  <c r="P128" i="9"/>
  <c r="Q128" i="9"/>
  <c r="R128" i="9"/>
  <c r="S128" i="9"/>
  <c r="T128" i="9"/>
  <c r="V128" i="9"/>
  <c r="Z128" i="9"/>
  <c r="H129" i="9"/>
  <c r="I129" i="9"/>
  <c r="J129" i="9"/>
  <c r="K129" i="9"/>
  <c r="L129" i="9"/>
  <c r="M129" i="9"/>
  <c r="N129" i="9"/>
  <c r="O129" i="9"/>
  <c r="P129" i="9"/>
  <c r="Q129" i="9"/>
  <c r="R129" i="9"/>
  <c r="S129" i="9"/>
  <c r="T129" i="9"/>
  <c r="V129" i="9"/>
  <c r="Z129" i="9"/>
  <c r="H130" i="9"/>
  <c r="I130" i="9"/>
  <c r="J130" i="9"/>
  <c r="K130" i="9"/>
  <c r="L130" i="9"/>
  <c r="M130" i="9"/>
  <c r="N130" i="9"/>
  <c r="O130" i="9"/>
  <c r="P130" i="9"/>
  <c r="Q130" i="9"/>
  <c r="R130" i="9"/>
  <c r="S130" i="9"/>
  <c r="T130" i="9"/>
  <c r="V130" i="9"/>
  <c r="Z130" i="9"/>
  <c r="H131" i="9"/>
  <c r="I131" i="9"/>
  <c r="J131" i="9"/>
  <c r="K131" i="9"/>
  <c r="L131" i="9"/>
  <c r="M131" i="9"/>
  <c r="N131" i="9"/>
  <c r="O131" i="9"/>
  <c r="P131" i="9"/>
  <c r="Q131" i="9"/>
  <c r="R131" i="9"/>
  <c r="S131" i="9"/>
  <c r="T131" i="9"/>
  <c r="V131" i="9"/>
  <c r="Z131" i="9"/>
  <c r="H132" i="9"/>
  <c r="I132" i="9"/>
  <c r="J132" i="9"/>
  <c r="K132" i="9"/>
  <c r="L132" i="9"/>
  <c r="M132" i="9"/>
  <c r="N132" i="9"/>
  <c r="O132" i="9"/>
  <c r="P132" i="9"/>
  <c r="Q132" i="9"/>
  <c r="R132" i="9"/>
  <c r="S132" i="9"/>
  <c r="T132" i="9"/>
  <c r="V132" i="9"/>
  <c r="Z132" i="9"/>
  <c r="H133" i="9"/>
  <c r="I133" i="9"/>
  <c r="J133" i="9"/>
  <c r="K133" i="9"/>
  <c r="L133" i="9"/>
  <c r="M133" i="9"/>
  <c r="N133" i="9"/>
  <c r="O133" i="9"/>
  <c r="P133" i="9"/>
  <c r="Q133" i="9"/>
  <c r="R133" i="9"/>
  <c r="S133" i="9"/>
  <c r="T133" i="9"/>
  <c r="V133" i="9"/>
  <c r="Z133" i="9"/>
  <c r="H134" i="9"/>
  <c r="I134" i="9"/>
  <c r="J134" i="9"/>
  <c r="K134" i="9"/>
  <c r="L134" i="9"/>
  <c r="M134" i="9"/>
  <c r="N134" i="9"/>
  <c r="O134" i="9"/>
  <c r="P134" i="9"/>
  <c r="Q134" i="9"/>
  <c r="R134" i="9"/>
  <c r="S134" i="9"/>
  <c r="T134" i="9"/>
  <c r="V134" i="9"/>
  <c r="Z134" i="9"/>
  <c r="H135" i="9"/>
  <c r="I135" i="9"/>
  <c r="J135" i="9"/>
  <c r="K135" i="9"/>
  <c r="L135" i="9"/>
  <c r="M135" i="9"/>
  <c r="N135" i="9"/>
  <c r="O135" i="9"/>
  <c r="P135" i="9"/>
  <c r="Q135" i="9"/>
  <c r="R135" i="9"/>
  <c r="S135" i="9"/>
  <c r="T135" i="9"/>
  <c r="V135" i="9"/>
  <c r="Z135" i="9"/>
  <c r="H136" i="9"/>
  <c r="I136" i="9"/>
  <c r="J136" i="9"/>
  <c r="K136" i="9"/>
  <c r="L136" i="9"/>
  <c r="M136" i="9"/>
  <c r="N136" i="9"/>
  <c r="O136" i="9"/>
  <c r="P136" i="9"/>
  <c r="Q136" i="9"/>
  <c r="R136" i="9"/>
  <c r="S136" i="9"/>
  <c r="T136" i="9"/>
  <c r="V136" i="9"/>
  <c r="Z136" i="9"/>
  <c r="H137" i="9"/>
  <c r="I137" i="9"/>
  <c r="J137" i="9"/>
  <c r="K137" i="9"/>
  <c r="L137" i="9"/>
  <c r="M137" i="9"/>
  <c r="N137" i="9"/>
  <c r="O137" i="9"/>
  <c r="P137" i="9"/>
  <c r="Q137" i="9"/>
  <c r="R137" i="9"/>
  <c r="S137" i="9"/>
  <c r="T137" i="9"/>
  <c r="V137" i="9"/>
  <c r="Z137" i="9"/>
  <c r="H138" i="9"/>
  <c r="I138" i="9"/>
  <c r="J138" i="9"/>
  <c r="K138" i="9"/>
  <c r="L138" i="9"/>
  <c r="M138" i="9"/>
  <c r="N138" i="9"/>
  <c r="O138" i="9"/>
  <c r="P138" i="9"/>
  <c r="Q138" i="9"/>
  <c r="R138" i="9"/>
  <c r="S138" i="9"/>
  <c r="T138" i="9"/>
  <c r="V138" i="9"/>
  <c r="Z138" i="9"/>
  <c r="H139" i="9"/>
  <c r="I139" i="9"/>
  <c r="J139" i="9"/>
  <c r="K139" i="9"/>
  <c r="L139" i="9"/>
  <c r="M139" i="9"/>
  <c r="N139" i="9"/>
  <c r="O139" i="9"/>
  <c r="P139" i="9"/>
  <c r="Q139" i="9"/>
  <c r="R139" i="9"/>
  <c r="S139" i="9"/>
  <c r="T139" i="9"/>
  <c r="V139" i="9"/>
  <c r="Z139" i="9"/>
  <c r="H140" i="9"/>
  <c r="I140" i="9"/>
  <c r="J140" i="9"/>
  <c r="K140" i="9"/>
  <c r="L140" i="9"/>
  <c r="M140" i="9"/>
  <c r="N140" i="9"/>
  <c r="O140" i="9"/>
  <c r="P140" i="9"/>
  <c r="Q140" i="9"/>
  <c r="R140" i="9"/>
  <c r="S140" i="9"/>
  <c r="T140" i="9"/>
  <c r="V140" i="9"/>
  <c r="Z140" i="9"/>
  <c r="H141" i="9"/>
  <c r="I141" i="9"/>
  <c r="J141" i="9"/>
  <c r="K141" i="9"/>
  <c r="L141" i="9"/>
  <c r="M141" i="9"/>
  <c r="N141" i="9"/>
  <c r="O141" i="9"/>
  <c r="P141" i="9"/>
  <c r="Q141" i="9"/>
  <c r="R141" i="9"/>
  <c r="S141" i="9"/>
  <c r="T141" i="9"/>
  <c r="V141" i="9"/>
  <c r="Z141" i="9"/>
  <c r="H142" i="9"/>
  <c r="I142" i="9"/>
  <c r="J142" i="9"/>
  <c r="K142" i="9"/>
  <c r="L142" i="9"/>
  <c r="M142" i="9"/>
  <c r="N142" i="9"/>
  <c r="O142" i="9"/>
  <c r="P142" i="9"/>
  <c r="Q142" i="9"/>
  <c r="R142" i="9"/>
  <c r="S142" i="9"/>
  <c r="T142" i="9"/>
  <c r="V142" i="9"/>
  <c r="Z142" i="9"/>
  <c r="H143" i="9"/>
  <c r="I143" i="9"/>
  <c r="J143" i="9"/>
  <c r="K143" i="9"/>
  <c r="L143" i="9"/>
  <c r="M143" i="9"/>
  <c r="N143" i="9"/>
  <c r="O143" i="9"/>
  <c r="P143" i="9"/>
  <c r="Q143" i="9"/>
  <c r="R143" i="9"/>
  <c r="S143" i="9"/>
  <c r="T143" i="9"/>
  <c r="V143" i="9"/>
  <c r="Z143" i="9"/>
  <c r="H144" i="9"/>
  <c r="I144" i="9"/>
  <c r="J144" i="9"/>
  <c r="K144" i="9"/>
  <c r="L144" i="9"/>
  <c r="M144" i="9"/>
  <c r="N144" i="9"/>
  <c r="O144" i="9"/>
  <c r="P144" i="9"/>
  <c r="Q144" i="9"/>
  <c r="R144" i="9"/>
  <c r="S144" i="9"/>
  <c r="T144" i="9"/>
  <c r="V144" i="9"/>
  <c r="Z144" i="9"/>
  <c r="H145" i="9"/>
  <c r="I145" i="9"/>
  <c r="J145" i="9"/>
  <c r="K145" i="9"/>
  <c r="L145" i="9"/>
  <c r="M145" i="9"/>
  <c r="N145" i="9"/>
  <c r="O145" i="9"/>
  <c r="P145" i="9"/>
  <c r="Q145" i="9"/>
  <c r="R145" i="9"/>
  <c r="W145" i="9" s="1"/>
  <c r="S145" i="9"/>
  <c r="T145" i="9"/>
  <c r="V145" i="9"/>
  <c r="Z145" i="9"/>
  <c r="H146" i="9"/>
  <c r="I146" i="9"/>
  <c r="J146" i="9"/>
  <c r="K146" i="9"/>
  <c r="L146" i="9"/>
  <c r="M146" i="9"/>
  <c r="N146" i="9"/>
  <c r="O146" i="9"/>
  <c r="P146" i="9"/>
  <c r="Q146" i="9"/>
  <c r="R146" i="9"/>
  <c r="S146" i="9"/>
  <c r="T146" i="9"/>
  <c r="V146" i="9"/>
  <c r="Z146" i="9"/>
  <c r="H147" i="9"/>
  <c r="I147" i="9"/>
  <c r="J147" i="9"/>
  <c r="K147" i="9"/>
  <c r="L147" i="9"/>
  <c r="M147" i="9"/>
  <c r="N147" i="9"/>
  <c r="O147" i="9"/>
  <c r="P147" i="9"/>
  <c r="Q147" i="9"/>
  <c r="R147" i="9"/>
  <c r="S147" i="9"/>
  <c r="T147" i="9"/>
  <c r="V147" i="9"/>
  <c r="Z147" i="9"/>
  <c r="H148" i="9"/>
  <c r="I148" i="9"/>
  <c r="J148" i="9"/>
  <c r="K148" i="9"/>
  <c r="L148" i="9"/>
  <c r="M148" i="9"/>
  <c r="N148" i="9"/>
  <c r="O148" i="9"/>
  <c r="P148" i="9"/>
  <c r="Q148" i="9"/>
  <c r="R148" i="9"/>
  <c r="S148" i="9"/>
  <c r="T148" i="9"/>
  <c r="V148" i="9"/>
  <c r="Z148" i="9"/>
  <c r="H149" i="9"/>
  <c r="I149" i="9"/>
  <c r="J149" i="9"/>
  <c r="K149" i="9"/>
  <c r="L149" i="9"/>
  <c r="M149" i="9"/>
  <c r="N149" i="9"/>
  <c r="O149" i="9"/>
  <c r="P149" i="9"/>
  <c r="Q149" i="9"/>
  <c r="R149" i="9"/>
  <c r="S149" i="9"/>
  <c r="T149" i="9"/>
  <c r="V149" i="9"/>
  <c r="Z149" i="9"/>
  <c r="H150" i="9"/>
  <c r="I150" i="9"/>
  <c r="J150" i="9"/>
  <c r="K150" i="9"/>
  <c r="L150" i="9"/>
  <c r="M150" i="9"/>
  <c r="N150" i="9"/>
  <c r="O150" i="9"/>
  <c r="P150" i="9"/>
  <c r="Q150" i="9"/>
  <c r="R150" i="9"/>
  <c r="S150" i="9"/>
  <c r="T150" i="9"/>
  <c r="V150" i="9"/>
  <c r="Z150" i="9"/>
  <c r="H151" i="9"/>
  <c r="I151" i="9"/>
  <c r="J151" i="9"/>
  <c r="K151" i="9"/>
  <c r="L151" i="9"/>
  <c r="M151" i="9"/>
  <c r="N151" i="9"/>
  <c r="O151" i="9"/>
  <c r="P151" i="9"/>
  <c r="Q151" i="9"/>
  <c r="R151" i="9"/>
  <c r="S151" i="9"/>
  <c r="T151" i="9"/>
  <c r="V151" i="9"/>
  <c r="Z151" i="9"/>
  <c r="H152" i="9"/>
  <c r="I152" i="9"/>
  <c r="J152" i="9"/>
  <c r="K152" i="9"/>
  <c r="L152" i="9"/>
  <c r="M152" i="9"/>
  <c r="N152" i="9"/>
  <c r="O152" i="9"/>
  <c r="P152" i="9"/>
  <c r="Q152" i="9"/>
  <c r="R152" i="9"/>
  <c r="S152" i="9"/>
  <c r="T152" i="9"/>
  <c r="V152" i="9"/>
  <c r="Z152" i="9"/>
  <c r="H153" i="9"/>
  <c r="I153" i="9"/>
  <c r="J153" i="9"/>
  <c r="K153" i="9"/>
  <c r="L153" i="9"/>
  <c r="M153" i="9"/>
  <c r="N153" i="9"/>
  <c r="O153" i="9"/>
  <c r="P153" i="9"/>
  <c r="Q153" i="9"/>
  <c r="R153" i="9"/>
  <c r="S153" i="9"/>
  <c r="T153" i="9"/>
  <c r="V153" i="9"/>
  <c r="Z153" i="9"/>
  <c r="H154" i="9"/>
  <c r="I154" i="9"/>
  <c r="J154" i="9"/>
  <c r="K154" i="9"/>
  <c r="L154" i="9"/>
  <c r="M154" i="9"/>
  <c r="N154" i="9"/>
  <c r="O154" i="9"/>
  <c r="P154" i="9"/>
  <c r="Q154" i="9"/>
  <c r="R154" i="9"/>
  <c r="S154" i="9"/>
  <c r="T154" i="9"/>
  <c r="V154" i="9"/>
  <c r="Z154" i="9"/>
  <c r="H155" i="9"/>
  <c r="I155" i="9"/>
  <c r="J155" i="9"/>
  <c r="K155" i="9"/>
  <c r="L155" i="9"/>
  <c r="M155" i="9"/>
  <c r="N155" i="9"/>
  <c r="O155" i="9"/>
  <c r="P155" i="9"/>
  <c r="Q155" i="9"/>
  <c r="R155" i="9"/>
  <c r="S155" i="9"/>
  <c r="T155" i="9"/>
  <c r="V155" i="9"/>
  <c r="Z155" i="9"/>
  <c r="H156" i="9"/>
  <c r="I156" i="9"/>
  <c r="J156" i="9"/>
  <c r="K156" i="9"/>
  <c r="L156" i="9"/>
  <c r="M156" i="9"/>
  <c r="N156" i="9"/>
  <c r="O156" i="9"/>
  <c r="P156" i="9"/>
  <c r="Q156" i="9"/>
  <c r="R156" i="9"/>
  <c r="S156" i="9"/>
  <c r="T156" i="9"/>
  <c r="V156" i="9"/>
  <c r="Z156" i="9"/>
  <c r="H157" i="9"/>
  <c r="I157" i="9"/>
  <c r="J157" i="9"/>
  <c r="K157" i="9"/>
  <c r="L157" i="9"/>
  <c r="M157" i="9"/>
  <c r="N157" i="9"/>
  <c r="O157" i="9"/>
  <c r="P157" i="9"/>
  <c r="Q157" i="9"/>
  <c r="R157" i="9"/>
  <c r="S157" i="9"/>
  <c r="T157" i="9"/>
  <c r="V157" i="9"/>
  <c r="Z157" i="9"/>
  <c r="H158" i="9"/>
  <c r="I158" i="9"/>
  <c r="J158" i="9"/>
  <c r="K158" i="9"/>
  <c r="L158" i="9"/>
  <c r="M158" i="9"/>
  <c r="N158" i="9"/>
  <c r="O158" i="9"/>
  <c r="P158" i="9"/>
  <c r="Q158" i="9"/>
  <c r="R158" i="9"/>
  <c r="S158" i="9"/>
  <c r="T158" i="9"/>
  <c r="V158" i="9"/>
  <c r="Z158" i="9"/>
  <c r="H159" i="9"/>
  <c r="I159" i="9"/>
  <c r="J159" i="9"/>
  <c r="K159" i="9"/>
  <c r="L159" i="9"/>
  <c r="M159" i="9"/>
  <c r="N159" i="9"/>
  <c r="O159" i="9"/>
  <c r="P159" i="9"/>
  <c r="Q159" i="9"/>
  <c r="R159" i="9"/>
  <c r="S159" i="9"/>
  <c r="T159" i="9"/>
  <c r="V159" i="9"/>
  <c r="Z159" i="9"/>
  <c r="H160" i="9"/>
  <c r="I160" i="9"/>
  <c r="J160" i="9"/>
  <c r="K160" i="9"/>
  <c r="L160" i="9"/>
  <c r="M160" i="9"/>
  <c r="N160" i="9"/>
  <c r="O160" i="9"/>
  <c r="P160" i="9"/>
  <c r="Q160" i="9"/>
  <c r="R160" i="9"/>
  <c r="S160" i="9"/>
  <c r="T160" i="9"/>
  <c r="V160" i="9"/>
  <c r="Z160" i="9"/>
  <c r="H161" i="9"/>
  <c r="I161" i="9"/>
  <c r="J161" i="9"/>
  <c r="K161" i="9"/>
  <c r="L161" i="9"/>
  <c r="M161" i="9"/>
  <c r="N161" i="9"/>
  <c r="O161" i="9"/>
  <c r="P161" i="9"/>
  <c r="Q161" i="9"/>
  <c r="R161" i="9"/>
  <c r="W161" i="9" s="1"/>
  <c r="S161" i="9"/>
  <c r="T161" i="9"/>
  <c r="V161" i="9"/>
  <c r="Z161" i="9"/>
  <c r="H162" i="9"/>
  <c r="I162" i="9"/>
  <c r="J162" i="9"/>
  <c r="K162" i="9"/>
  <c r="L162" i="9"/>
  <c r="M162" i="9"/>
  <c r="N162" i="9"/>
  <c r="O162" i="9"/>
  <c r="P162" i="9"/>
  <c r="Q162" i="9"/>
  <c r="R162" i="9"/>
  <c r="S162" i="9"/>
  <c r="T162" i="9"/>
  <c r="V162" i="9"/>
  <c r="Z162" i="9"/>
  <c r="H163" i="9"/>
  <c r="I163" i="9"/>
  <c r="J163" i="9"/>
  <c r="K163" i="9"/>
  <c r="L163" i="9"/>
  <c r="M163" i="9"/>
  <c r="N163" i="9"/>
  <c r="O163" i="9"/>
  <c r="P163" i="9"/>
  <c r="Q163" i="9"/>
  <c r="R163" i="9"/>
  <c r="S163" i="9"/>
  <c r="T163" i="9"/>
  <c r="V163" i="9"/>
  <c r="Z163" i="9"/>
  <c r="H164" i="9"/>
  <c r="I164" i="9"/>
  <c r="J164" i="9"/>
  <c r="K164" i="9"/>
  <c r="L164" i="9"/>
  <c r="M164" i="9"/>
  <c r="N164" i="9"/>
  <c r="O164" i="9"/>
  <c r="P164" i="9"/>
  <c r="Q164" i="9"/>
  <c r="R164" i="9"/>
  <c r="S164" i="9"/>
  <c r="T164" i="9"/>
  <c r="V164" i="9"/>
  <c r="Z164" i="9"/>
  <c r="H165" i="9"/>
  <c r="I165" i="9"/>
  <c r="J165" i="9"/>
  <c r="K165" i="9"/>
  <c r="L165" i="9"/>
  <c r="M165" i="9"/>
  <c r="N165" i="9"/>
  <c r="O165" i="9"/>
  <c r="P165" i="9"/>
  <c r="Q165" i="9"/>
  <c r="R165" i="9"/>
  <c r="S165" i="9"/>
  <c r="T165" i="9"/>
  <c r="V165" i="9"/>
  <c r="Z165" i="9"/>
  <c r="H166" i="9"/>
  <c r="I166" i="9"/>
  <c r="J166" i="9"/>
  <c r="K166" i="9"/>
  <c r="L166" i="9"/>
  <c r="M166" i="9"/>
  <c r="N166" i="9"/>
  <c r="O166" i="9"/>
  <c r="P166" i="9"/>
  <c r="Q166" i="9"/>
  <c r="R166" i="9"/>
  <c r="S166" i="9"/>
  <c r="T166" i="9"/>
  <c r="V166" i="9"/>
  <c r="Z166" i="9"/>
  <c r="H167" i="9"/>
  <c r="I167" i="9"/>
  <c r="J167" i="9"/>
  <c r="K167" i="9"/>
  <c r="L167" i="9"/>
  <c r="M167" i="9"/>
  <c r="N167" i="9"/>
  <c r="O167" i="9"/>
  <c r="P167" i="9"/>
  <c r="Q167" i="9"/>
  <c r="R167" i="9"/>
  <c r="S167" i="9"/>
  <c r="T167" i="9"/>
  <c r="V167" i="9"/>
  <c r="Z167" i="9"/>
  <c r="H168" i="9"/>
  <c r="I168" i="9"/>
  <c r="J168" i="9"/>
  <c r="K168" i="9"/>
  <c r="L168" i="9"/>
  <c r="M168" i="9"/>
  <c r="N168" i="9"/>
  <c r="O168" i="9"/>
  <c r="P168" i="9"/>
  <c r="Q168" i="9"/>
  <c r="R168" i="9"/>
  <c r="S168" i="9"/>
  <c r="T168" i="9"/>
  <c r="V168" i="9"/>
  <c r="Z168" i="9"/>
  <c r="H169" i="9"/>
  <c r="I169" i="9"/>
  <c r="J169" i="9"/>
  <c r="K169" i="9"/>
  <c r="L169" i="9"/>
  <c r="M169" i="9"/>
  <c r="N169" i="9"/>
  <c r="O169" i="9"/>
  <c r="P169" i="9"/>
  <c r="Q169" i="9"/>
  <c r="R169" i="9"/>
  <c r="S169" i="9"/>
  <c r="T169" i="9"/>
  <c r="V169" i="9"/>
  <c r="Z169" i="9"/>
  <c r="H170" i="9"/>
  <c r="I170" i="9"/>
  <c r="J170" i="9"/>
  <c r="K170" i="9"/>
  <c r="L170" i="9"/>
  <c r="M170" i="9"/>
  <c r="N170" i="9"/>
  <c r="O170" i="9"/>
  <c r="P170" i="9"/>
  <c r="Q170" i="9"/>
  <c r="R170" i="9"/>
  <c r="S170" i="9"/>
  <c r="T170" i="9"/>
  <c r="V170" i="9"/>
  <c r="Z170" i="9"/>
  <c r="H171" i="9"/>
  <c r="I171" i="9"/>
  <c r="J171" i="9"/>
  <c r="K171" i="9"/>
  <c r="L171" i="9"/>
  <c r="M171" i="9"/>
  <c r="N171" i="9"/>
  <c r="O171" i="9"/>
  <c r="P171" i="9"/>
  <c r="Q171" i="9"/>
  <c r="R171" i="9"/>
  <c r="S171" i="9"/>
  <c r="T171" i="9"/>
  <c r="V171" i="9"/>
  <c r="Z171" i="9"/>
  <c r="H172" i="9"/>
  <c r="I172" i="9"/>
  <c r="J172" i="9"/>
  <c r="K172" i="9"/>
  <c r="L172" i="9"/>
  <c r="M172" i="9"/>
  <c r="N172" i="9"/>
  <c r="O172" i="9"/>
  <c r="P172" i="9"/>
  <c r="Q172" i="9"/>
  <c r="R172" i="9"/>
  <c r="S172" i="9"/>
  <c r="T172" i="9"/>
  <c r="V172" i="9"/>
  <c r="Z172" i="9"/>
  <c r="H173" i="9"/>
  <c r="I173" i="9"/>
  <c r="J173" i="9"/>
  <c r="K173" i="9"/>
  <c r="L173" i="9"/>
  <c r="M173" i="9"/>
  <c r="N173" i="9"/>
  <c r="O173" i="9"/>
  <c r="P173" i="9"/>
  <c r="Q173" i="9"/>
  <c r="R173" i="9"/>
  <c r="S173" i="9"/>
  <c r="T173" i="9"/>
  <c r="V173" i="9"/>
  <c r="Z173" i="9"/>
  <c r="H174" i="9"/>
  <c r="I174" i="9"/>
  <c r="J174" i="9"/>
  <c r="K174" i="9"/>
  <c r="L174" i="9"/>
  <c r="M174" i="9"/>
  <c r="N174" i="9"/>
  <c r="O174" i="9"/>
  <c r="P174" i="9"/>
  <c r="Q174" i="9"/>
  <c r="R174" i="9"/>
  <c r="S174" i="9"/>
  <c r="T174" i="9"/>
  <c r="V174" i="9"/>
  <c r="Z174" i="9"/>
  <c r="H175" i="9"/>
  <c r="I175" i="9"/>
  <c r="J175" i="9"/>
  <c r="K175" i="9"/>
  <c r="L175" i="9"/>
  <c r="M175" i="9"/>
  <c r="N175" i="9"/>
  <c r="O175" i="9"/>
  <c r="P175" i="9"/>
  <c r="Q175" i="9"/>
  <c r="R175" i="9"/>
  <c r="S175" i="9"/>
  <c r="T175" i="9"/>
  <c r="V175" i="9"/>
  <c r="Z175" i="9"/>
  <c r="H176" i="9"/>
  <c r="I176" i="9"/>
  <c r="J176" i="9"/>
  <c r="K176" i="9"/>
  <c r="L176" i="9"/>
  <c r="M176" i="9"/>
  <c r="N176" i="9"/>
  <c r="O176" i="9"/>
  <c r="P176" i="9"/>
  <c r="Q176" i="9"/>
  <c r="R176" i="9"/>
  <c r="S176" i="9"/>
  <c r="T176" i="9"/>
  <c r="V176" i="9"/>
  <c r="Z176" i="9"/>
  <c r="H177" i="9"/>
  <c r="I177" i="9"/>
  <c r="J177" i="9"/>
  <c r="K177" i="9"/>
  <c r="L177" i="9"/>
  <c r="M177" i="9"/>
  <c r="N177" i="9"/>
  <c r="O177" i="9"/>
  <c r="P177" i="9"/>
  <c r="Q177" i="9"/>
  <c r="R177" i="9"/>
  <c r="W177" i="9" s="1"/>
  <c r="S177" i="9"/>
  <c r="T177" i="9"/>
  <c r="V177" i="9"/>
  <c r="Z177" i="9"/>
  <c r="H178" i="9"/>
  <c r="I178" i="9"/>
  <c r="J178" i="9"/>
  <c r="K178" i="9"/>
  <c r="L178" i="9"/>
  <c r="M178" i="9"/>
  <c r="N178" i="9"/>
  <c r="O178" i="9"/>
  <c r="P178" i="9"/>
  <c r="Q178" i="9"/>
  <c r="R178" i="9"/>
  <c r="S178" i="9"/>
  <c r="T178" i="9"/>
  <c r="V178" i="9"/>
  <c r="Z178" i="9"/>
  <c r="H179" i="9"/>
  <c r="I179" i="9"/>
  <c r="J179" i="9"/>
  <c r="K179" i="9"/>
  <c r="L179" i="9"/>
  <c r="M179" i="9"/>
  <c r="N179" i="9"/>
  <c r="O179" i="9"/>
  <c r="P179" i="9"/>
  <c r="Q179" i="9"/>
  <c r="R179" i="9"/>
  <c r="S179" i="9"/>
  <c r="T179" i="9"/>
  <c r="V179" i="9"/>
  <c r="Z179" i="9"/>
  <c r="H180" i="9"/>
  <c r="I180" i="9"/>
  <c r="J180" i="9"/>
  <c r="K180" i="9"/>
  <c r="L180" i="9"/>
  <c r="M180" i="9"/>
  <c r="N180" i="9"/>
  <c r="O180" i="9"/>
  <c r="P180" i="9"/>
  <c r="Q180" i="9"/>
  <c r="R180" i="9"/>
  <c r="S180" i="9"/>
  <c r="T180" i="9"/>
  <c r="V180" i="9"/>
  <c r="Z180" i="9"/>
  <c r="H181" i="9"/>
  <c r="I181" i="9"/>
  <c r="J181" i="9"/>
  <c r="K181" i="9"/>
  <c r="L181" i="9"/>
  <c r="M181" i="9"/>
  <c r="N181" i="9"/>
  <c r="O181" i="9"/>
  <c r="P181" i="9"/>
  <c r="Q181" i="9"/>
  <c r="R181" i="9"/>
  <c r="S181" i="9"/>
  <c r="T181" i="9"/>
  <c r="V181" i="9"/>
  <c r="Z181" i="9"/>
  <c r="H182" i="9"/>
  <c r="I182" i="9"/>
  <c r="J182" i="9"/>
  <c r="K182" i="9"/>
  <c r="L182" i="9"/>
  <c r="M182" i="9"/>
  <c r="N182" i="9"/>
  <c r="O182" i="9"/>
  <c r="P182" i="9"/>
  <c r="Q182" i="9"/>
  <c r="R182" i="9"/>
  <c r="S182" i="9"/>
  <c r="T182" i="9"/>
  <c r="V182" i="9"/>
  <c r="Z182" i="9"/>
  <c r="H183" i="9"/>
  <c r="I183" i="9"/>
  <c r="J183" i="9"/>
  <c r="K183" i="9"/>
  <c r="L183" i="9"/>
  <c r="M183" i="9"/>
  <c r="N183" i="9"/>
  <c r="O183" i="9"/>
  <c r="P183" i="9"/>
  <c r="Q183" i="9"/>
  <c r="R183" i="9"/>
  <c r="S183" i="9"/>
  <c r="T183" i="9"/>
  <c r="V183" i="9"/>
  <c r="Z183" i="9"/>
  <c r="H184" i="9"/>
  <c r="I184" i="9"/>
  <c r="J184" i="9"/>
  <c r="K184" i="9"/>
  <c r="L184" i="9"/>
  <c r="M184" i="9"/>
  <c r="N184" i="9"/>
  <c r="O184" i="9"/>
  <c r="P184" i="9"/>
  <c r="Q184" i="9"/>
  <c r="R184" i="9"/>
  <c r="S184" i="9"/>
  <c r="T184" i="9"/>
  <c r="V184" i="9"/>
  <c r="Z184" i="9"/>
  <c r="H185" i="9"/>
  <c r="I185" i="9"/>
  <c r="J185" i="9"/>
  <c r="K185" i="9"/>
  <c r="L185" i="9"/>
  <c r="M185" i="9"/>
  <c r="N185" i="9"/>
  <c r="O185" i="9"/>
  <c r="P185" i="9"/>
  <c r="Q185" i="9"/>
  <c r="R185" i="9"/>
  <c r="S185" i="9"/>
  <c r="T185" i="9"/>
  <c r="V185" i="9"/>
  <c r="Z185" i="9"/>
  <c r="H186" i="9"/>
  <c r="I186" i="9"/>
  <c r="J186" i="9"/>
  <c r="K186" i="9"/>
  <c r="L186" i="9"/>
  <c r="M186" i="9"/>
  <c r="N186" i="9"/>
  <c r="O186" i="9"/>
  <c r="P186" i="9"/>
  <c r="Q186" i="9"/>
  <c r="R186" i="9"/>
  <c r="S186" i="9"/>
  <c r="T186" i="9"/>
  <c r="V186" i="9"/>
  <c r="Z186" i="9"/>
  <c r="H187" i="9"/>
  <c r="I187" i="9"/>
  <c r="J187" i="9"/>
  <c r="K187" i="9"/>
  <c r="L187" i="9"/>
  <c r="M187" i="9"/>
  <c r="N187" i="9"/>
  <c r="O187" i="9"/>
  <c r="P187" i="9"/>
  <c r="Q187" i="9"/>
  <c r="R187" i="9"/>
  <c r="S187" i="9"/>
  <c r="T187" i="9"/>
  <c r="V187" i="9"/>
  <c r="Z187" i="9"/>
  <c r="H188" i="9"/>
  <c r="I188" i="9"/>
  <c r="J188" i="9"/>
  <c r="K188" i="9"/>
  <c r="L188" i="9"/>
  <c r="M188" i="9"/>
  <c r="N188" i="9"/>
  <c r="O188" i="9"/>
  <c r="P188" i="9"/>
  <c r="Q188" i="9"/>
  <c r="R188" i="9"/>
  <c r="S188" i="9"/>
  <c r="T188" i="9"/>
  <c r="V188" i="9"/>
  <c r="Z188" i="9"/>
  <c r="H189" i="9"/>
  <c r="I189" i="9"/>
  <c r="J189" i="9"/>
  <c r="K189" i="9"/>
  <c r="L189" i="9"/>
  <c r="M189" i="9"/>
  <c r="N189" i="9"/>
  <c r="O189" i="9"/>
  <c r="P189" i="9"/>
  <c r="Q189" i="9"/>
  <c r="R189" i="9"/>
  <c r="S189" i="9"/>
  <c r="T189" i="9"/>
  <c r="V189" i="9"/>
  <c r="Z189" i="9"/>
  <c r="H190" i="9"/>
  <c r="I190" i="9"/>
  <c r="J190" i="9"/>
  <c r="K190" i="9"/>
  <c r="L190" i="9"/>
  <c r="M190" i="9"/>
  <c r="N190" i="9"/>
  <c r="O190" i="9"/>
  <c r="P190" i="9"/>
  <c r="Q190" i="9"/>
  <c r="R190" i="9"/>
  <c r="S190" i="9"/>
  <c r="T190" i="9"/>
  <c r="V190" i="9"/>
  <c r="Z190" i="9"/>
  <c r="H191" i="9"/>
  <c r="I191" i="9"/>
  <c r="J191" i="9"/>
  <c r="K191" i="9"/>
  <c r="L191" i="9"/>
  <c r="M191" i="9"/>
  <c r="N191" i="9"/>
  <c r="O191" i="9"/>
  <c r="P191" i="9"/>
  <c r="Q191" i="9"/>
  <c r="R191" i="9"/>
  <c r="S191" i="9"/>
  <c r="T191" i="9"/>
  <c r="V191" i="9"/>
  <c r="Z191" i="9"/>
  <c r="H192" i="9"/>
  <c r="I192" i="9"/>
  <c r="J192" i="9"/>
  <c r="K192" i="9"/>
  <c r="L192" i="9"/>
  <c r="M192" i="9"/>
  <c r="N192" i="9"/>
  <c r="O192" i="9"/>
  <c r="P192" i="9"/>
  <c r="Q192" i="9"/>
  <c r="R192" i="9"/>
  <c r="S192" i="9"/>
  <c r="T192" i="9"/>
  <c r="V192" i="9"/>
  <c r="Z192" i="9"/>
  <c r="H193" i="9"/>
  <c r="I193" i="9"/>
  <c r="J193" i="9"/>
  <c r="K193" i="9"/>
  <c r="L193" i="9"/>
  <c r="M193" i="9"/>
  <c r="N193" i="9"/>
  <c r="O193" i="9"/>
  <c r="P193" i="9"/>
  <c r="Q193" i="9"/>
  <c r="R193" i="9"/>
  <c r="W193" i="9" s="1"/>
  <c r="S193" i="9"/>
  <c r="T193" i="9"/>
  <c r="V193" i="9"/>
  <c r="Z193" i="9"/>
  <c r="H194" i="9"/>
  <c r="I194" i="9"/>
  <c r="J194" i="9"/>
  <c r="K194" i="9"/>
  <c r="L194" i="9"/>
  <c r="M194" i="9"/>
  <c r="N194" i="9"/>
  <c r="O194" i="9"/>
  <c r="P194" i="9"/>
  <c r="Q194" i="9"/>
  <c r="R194" i="9"/>
  <c r="S194" i="9"/>
  <c r="T194" i="9"/>
  <c r="V194" i="9"/>
  <c r="Z194" i="9"/>
  <c r="H195" i="9"/>
  <c r="I195" i="9"/>
  <c r="J195" i="9"/>
  <c r="K195" i="9"/>
  <c r="L195" i="9"/>
  <c r="M195" i="9"/>
  <c r="N195" i="9"/>
  <c r="O195" i="9"/>
  <c r="P195" i="9"/>
  <c r="Q195" i="9"/>
  <c r="R195" i="9"/>
  <c r="S195" i="9"/>
  <c r="T195" i="9"/>
  <c r="V195" i="9"/>
  <c r="Z195" i="9"/>
  <c r="H196" i="9"/>
  <c r="I196" i="9"/>
  <c r="J196" i="9"/>
  <c r="K196" i="9"/>
  <c r="L196" i="9"/>
  <c r="M196" i="9"/>
  <c r="N196" i="9"/>
  <c r="O196" i="9"/>
  <c r="P196" i="9"/>
  <c r="Q196" i="9"/>
  <c r="R196" i="9"/>
  <c r="S196" i="9"/>
  <c r="T196" i="9"/>
  <c r="V196" i="9"/>
  <c r="Z196" i="9"/>
  <c r="H197" i="9"/>
  <c r="I197" i="9"/>
  <c r="J197" i="9"/>
  <c r="K197" i="9"/>
  <c r="L197" i="9"/>
  <c r="M197" i="9"/>
  <c r="N197" i="9"/>
  <c r="O197" i="9"/>
  <c r="P197" i="9"/>
  <c r="Q197" i="9"/>
  <c r="R197" i="9"/>
  <c r="S197" i="9"/>
  <c r="T197" i="9"/>
  <c r="V197" i="9"/>
  <c r="Z197" i="9"/>
  <c r="H198" i="9"/>
  <c r="I198" i="9"/>
  <c r="J198" i="9"/>
  <c r="K198" i="9"/>
  <c r="L198" i="9"/>
  <c r="M198" i="9"/>
  <c r="N198" i="9"/>
  <c r="O198" i="9"/>
  <c r="P198" i="9"/>
  <c r="Q198" i="9"/>
  <c r="R198" i="9"/>
  <c r="S198" i="9"/>
  <c r="T198" i="9"/>
  <c r="V198" i="9"/>
  <c r="Z198" i="9"/>
  <c r="H199" i="9"/>
  <c r="I199" i="9"/>
  <c r="J199" i="9"/>
  <c r="K199" i="9"/>
  <c r="L199" i="9"/>
  <c r="M199" i="9"/>
  <c r="N199" i="9"/>
  <c r="O199" i="9"/>
  <c r="P199" i="9"/>
  <c r="Q199" i="9"/>
  <c r="R199" i="9"/>
  <c r="S199" i="9"/>
  <c r="T199" i="9"/>
  <c r="V199" i="9"/>
  <c r="Z199" i="9"/>
  <c r="H200" i="9"/>
  <c r="I200" i="9"/>
  <c r="J200" i="9"/>
  <c r="K200" i="9"/>
  <c r="L200" i="9"/>
  <c r="M200" i="9"/>
  <c r="N200" i="9"/>
  <c r="O200" i="9"/>
  <c r="P200" i="9"/>
  <c r="Q200" i="9"/>
  <c r="R200" i="9"/>
  <c r="S200" i="9"/>
  <c r="T200" i="9"/>
  <c r="V200" i="9"/>
  <c r="Z200" i="9"/>
  <c r="H201" i="9"/>
  <c r="I201" i="9"/>
  <c r="J201" i="9"/>
  <c r="K201" i="9"/>
  <c r="L201" i="9"/>
  <c r="M201" i="9"/>
  <c r="N201" i="9"/>
  <c r="O201" i="9"/>
  <c r="P201" i="9"/>
  <c r="Q201" i="9"/>
  <c r="R201" i="9"/>
  <c r="S201" i="9"/>
  <c r="T201" i="9"/>
  <c r="V201" i="9"/>
  <c r="Z201" i="9"/>
  <c r="H202" i="9"/>
  <c r="I202" i="9"/>
  <c r="J202" i="9"/>
  <c r="K202" i="9"/>
  <c r="L202" i="9"/>
  <c r="M202" i="9"/>
  <c r="N202" i="9"/>
  <c r="O202" i="9"/>
  <c r="P202" i="9"/>
  <c r="Q202" i="9"/>
  <c r="R202" i="9"/>
  <c r="S202" i="9"/>
  <c r="T202" i="9"/>
  <c r="V202" i="9"/>
  <c r="Z202" i="9"/>
  <c r="H203" i="9"/>
  <c r="I203" i="9"/>
  <c r="J203" i="9"/>
  <c r="K203" i="9"/>
  <c r="L203" i="9"/>
  <c r="M203" i="9"/>
  <c r="N203" i="9"/>
  <c r="O203" i="9"/>
  <c r="P203" i="9"/>
  <c r="Q203" i="9"/>
  <c r="R203" i="9"/>
  <c r="S203" i="9"/>
  <c r="T203" i="9"/>
  <c r="V203" i="9"/>
  <c r="Z203" i="9"/>
  <c r="H204" i="9"/>
  <c r="I204" i="9"/>
  <c r="J204" i="9"/>
  <c r="K204" i="9"/>
  <c r="L204" i="9"/>
  <c r="M204" i="9"/>
  <c r="N204" i="9"/>
  <c r="O204" i="9"/>
  <c r="P204" i="9"/>
  <c r="Q204" i="9"/>
  <c r="R204" i="9"/>
  <c r="S204" i="9"/>
  <c r="T204" i="9"/>
  <c r="V204" i="9"/>
  <c r="Z204" i="9"/>
  <c r="H205" i="9"/>
  <c r="I205" i="9"/>
  <c r="J205" i="9"/>
  <c r="K205" i="9"/>
  <c r="L205" i="9"/>
  <c r="M205" i="9"/>
  <c r="N205" i="9"/>
  <c r="O205" i="9"/>
  <c r="P205" i="9"/>
  <c r="Q205" i="9"/>
  <c r="R205" i="9"/>
  <c r="S205" i="9"/>
  <c r="T205" i="9"/>
  <c r="V205" i="9"/>
  <c r="Z205" i="9"/>
  <c r="H206" i="9"/>
  <c r="I206" i="9"/>
  <c r="J206" i="9"/>
  <c r="K206" i="9"/>
  <c r="L206" i="9"/>
  <c r="M206" i="9"/>
  <c r="N206" i="9"/>
  <c r="O206" i="9"/>
  <c r="P206" i="9"/>
  <c r="Q206" i="9"/>
  <c r="R206" i="9"/>
  <c r="S206" i="9"/>
  <c r="T206" i="9"/>
  <c r="V206" i="9"/>
  <c r="Z206" i="9"/>
  <c r="H207" i="9"/>
  <c r="I207" i="9"/>
  <c r="J207" i="9"/>
  <c r="K207" i="9"/>
  <c r="L207" i="9"/>
  <c r="M207" i="9"/>
  <c r="N207" i="9"/>
  <c r="O207" i="9"/>
  <c r="P207" i="9"/>
  <c r="Q207" i="9"/>
  <c r="R207" i="9"/>
  <c r="S207" i="9"/>
  <c r="T207" i="9"/>
  <c r="V207" i="9"/>
  <c r="Z207" i="9"/>
  <c r="H208" i="9"/>
  <c r="I208" i="9"/>
  <c r="J208" i="9"/>
  <c r="K208" i="9"/>
  <c r="L208" i="9"/>
  <c r="M208" i="9"/>
  <c r="N208" i="9"/>
  <c r="O208" i="9"/>
  <c r="P208" i="9"/>
  <c r="Q208" i="9"/>
  <c r="R208" i="9"/>
  <c r="S208" i="9"/>
  <c r="T208" i="9"/>
  <c r="V208" i="9"/>
  <c r="Z208" i="9"/>
  <c r="H209" i="9"/>
  <c r="I209" i="9"/>
  <c r="J209" i="9"/>
  <c r="K209" i="9"/>
  <c r="L209" i="9"/>
  <c r="M209" i="9"/>
  <c r="N209" i="9"/>
  <c r="O209" i="9"/>
  <c r="P209" i="9"/>
  <c r="Q209" i="9"/>
  <c r="R209" i="9"/>
  <c r="W209" i="9" s="1"/>
  <c r="S209" i="9"/>
  <c r="T209" i="9"/>
  <c r="V209" i="9"/>
  <c r="Z209" i="9"/>
  <c r="H210" i="9"/>
  <c r="I210" i="9"/>
  <c r="J210" i="9"/>
  <c r="K210" i="9"/>
  <c r="L210" i="9"/>
  <c r="M210" i="9"/>
  <c r="N210" i="9"/>
  <c r="O210" i="9"/>
  <c r="P210" i="9"/>
  <c r="Q210" i="9"/>
  <c r="R210" i="9"/>
  <c r="S210" i="9"/>
  <c r="T210" i="9"/>
  <c r="V210" i="9"/>
  <c r="Z210" i="9"/>
  <c r="H211" i="9"/>
  <c r="I211" i="9"/>
  <c r="J211" i="9"/>
  <c r="K211" i="9"/>
  <c r="L211" i="9"/>
  <c r="M211" i="9"/>
  <c r="N211" i="9"/>
  <c r="O211" i="9"/>
  <c r="P211" i="9"/>
  <c r="Q211" i="9"/>
  <c r="R211" i="9"/>
  <c r="S211" i="9"/>
  <c r="T211" i="9"/>
  <c r="V211" i="9"/>
  <c r="Z211" i="9"/>
  <c r="H212" i="9"/>
  <c r="I212" i="9"/>
  <c r="J212" i="9"/>
  <c r="K212" i="9"/>
  <c r="L212" i="9"/>
  <c r="M212" i="9"/>
  <c r="N212" i="9"/>
  <c r="O212" i="9"/>
  <c r="P212" i="9"/>
  <c r="Q212" i="9"/>
  <c r="R212" i="9"/>
  <c r="S212" i="9"/>
  <c r="T212" i="9"/>
  <c r="V212" i="9"/>
  <c r="Z212" i="9"/>
  <c r="H213" i="9"/>
  <c r="I213" i="9"/>
  <c r="J213" i="9"/>
  <c r="K213" i="9"/>
  <c r="L213" i="9"/>
  <c r="M213" i="9"/>
  <c r="N213" i="9"/>
  <c r="O213" i="9"/>
  <c r="P213" i="9"/>
  <c r="Q213" i="9"/>
  <c r="R213" i="9"/>
  <c r="S213" i="9"/>
  <c r="T213" i="9"/>
  <c r="V213" i="9"/>
  <c r="Z213" i="9"/>
  <c r="H214" i="9"/>
  <c r="I214" i="9"/>
  <c r="J214" i="9"/>
  <c r="K214" i="9"/>
  <c r="L214" i="9"/>
  <c r="M214" i="9"/>
  <c r="N214" i="9"/>
  <c r="O214" i="9"/>
  <c r="P214" i="9"/>
  <c r="Q214" i="9"/>
  <c r="R214" i="9"/>
  <c r="S214" i="9"/>
  <c r="T214" i="9"/>
  <c r="V214" i="9"/>
  <c r="Z214" i="9"/>
  <c r="H215" i="9"/>
  <c r="I215" i="9"/>
  <c r="J215" i="9"/>
  <c r="K215" i="9"/>
  <c r="L215" i="9"/>
  <c r="M215" i="9"/>
  <c r="N215" i="9"/>
  <c r="O215" i="9"/>
  <c r="P215" i="9"/>
  <c r="Q215" i="9"/>
  <c r="R215" i="9"/>
  <c r="S215" i="9"/>
  <c r="T215" i="9"/>
  <c r="V215" i="9"/>
  <c r="Z215" i="9"/>
  <c r="H216" i="9"/>
  <c r="I216" i="9"/>
  <c r="J216" i="9"/>
  <c r="K216" i="9"/>
  <c r="L216" i="9"/>
  <c r="M216" i="9"/>
  <c r="N216" i="9"/>
  <c r="O216" i="9"/>
  <c r="P216" i="9"/>
  <c r="Q216" i="9"/>
  <c r="R216" i="9"/>
  <c r="S216" i="9"/>
  <c r="T216" i="9"/>
  <c r="V216" i="9"/>
  <c r="Z216" i="9"/>
  <c r="H217" i="9"/>
  <c r="I217" i="9"/>
  <c r="J217" i="9"/>
  <c r="K217" i="9"/>
  <c r="L217" i="9"/>
  <c r="M217" i="9"/>
  <c r="N217" i="9"/>
  <c r="O217" i="9"/>
  <c r="P217" i="9"/>
  <c r="Q217" i="9"/>
  <c r="R217" i="9"/>
  <c r="S217" i="9"/>
  <c r="T217" i="9"/>
  <c r="V217" i="9"/>
  <c r="Z217" i="9"/>
  <c r="H218" i="9"/>
  <c r="I218" i="9"/>
  <c r="J218" i="9"/>
  <c r="K218" i="9"/>
  <c r="L218" i="9"/>
  <c r="M218" i="9"/>
  <c r="N218" i="9"/>
  <c r="O218" i="9"/>
  <c r="P218" i="9"/>
  <c r="Q218" i="9"/>
  <c r="R218" i="9"/>
  <c r="S218" i="9"/>
  <c r="T218" i="9"/>
  <c r="V218" i="9"/>
  <c r="Z218" i="9"/>
  <c r="H219" i="9"/>
  <c r="I219" i="9"/>
  <c r="J219" i="9"/>
  <c r="K219" i="9"/>
  <c r="L219" i="9"/>
  <c r="M219" i="9"/>
  <c r="N219" i="9"/>
  <c r="O219" i="9"/>
  <c r="P219" i="9"/>
  <c r="Q219" i="9"/>
  <c r="R219" i="9"/>
  <c r="S219" i="9"/>
  <c r="T219" i="9"/>
  <c r="V219" i="9"/>
  <c r="Z219" i="9"/>
  <c r="H220" i="9"/>
  <c r="I220" i="9"/>
  <c r="J220" i="9"/>
  <c r="K220" i="9"/>
  <c r="L220" i="9"/>
  <c r="M220" i="9"/>
  <c r="N220" i="9"/>
  <c r="O220" i="9"/>
  <c r="P220" i="9"/>
  <c r="Q220" i="9"/>
  <c r="R220" i="9"/>
  <c r="S220" i="9"/>
  <c r="T220" i="9"/>
  <c r="V220" i="9"/>
  <c r="Z220" i="9"/>
  <c r="H221" i="9"/>
  <c r="I221" i="9"/>
  <c r="J221" i="9"/>
  <c r="K221" i="9"/>
  <c r="L221" i="9"/>
  <c r="M221" i="9"/>
  <c r="N221" i="9"/>
  <c r="O221" i="9"/>
  <c r="P221" i="9"/>
  <c r="Q221" i="9"/>
  <c r="R221" i="9"/>
  <c r="S221" i="9"/>
  <c r="T221" i="9"/>
  <c r="V221" i="9"/>
  <c r="Z221" i="9"/>
  <c r="H222" i="9"/>
  <c r="I222" i="9"/>
  <c r="J222" i="9"/>
  <c r="K222" i="9"/>
  <c r="L222" i="9"/>
  <c r="M222" i="9"/>
  <c r="N222" i="9"/>
  <c r="O222" i="9"/>
  <c r="P222" i="9"/>
  <c r="Q222" i="9"/>
  <c r="R222" i="9"/>
  <c r="S222" i="9"/>
  <c r="T222" i="9"/>
  <c r="V222" i="9"/>
  <c r="Z222" i="9"/>
  <c r="H223" i="9"/>
  <c r="I223" i="9"/>
  <c r="J223" i="9"/>
  <c r="K223" i="9"/>
  <c r="L223" i="9"/>
  <c r="M223" i="9"/>
  <c r="N223" i="9"/>
  <c r="O223" i="9"/>
  <c r="P223" i="9"/>
  <c r="Q223" i="9"/>
  <c r="R223" i="9"/>
  <c r="S223" i="9"/>
  <c r="T223" i="9"/>
  <c r="V223" i="9"/>
  <c r="Z223" i="9"/>
  <c r="H224" i="9"/>
  <c r="I224" i="9"/>
  <c r="J224" i="9"/>
  <c r="K224" i="9"/>
  <c r="L224" i="9"/>
  <c r="M224" i="9"/>
  <c r="N224" i="9"/>
  <c r="O224" i="9"/>
  <c r="P224" i="9"/>
  <c r="Q224" i="9"/>
  <c r="R224" i="9"/>
  <c r="S224" i="9"/>
  <c r="T224" i="9"/>
  <c r="V224" i="9"/>
  <c r="Z224" i="9"/>
  <c r="H225" i="9"/>
  <c r="I225" i="9"/>
  <c r="J225" i="9"/>
  <c r="K225" i="9"/>
  <c r="L225" i="9"/>
  <c r="M225" i="9"/>
  <c r="N225" i="9"/>
  <c r="O225" i="9"/>
  <c r="P225" i="9"/>
  <c r="Q225" i="9"/>
  <c r="R225" i="9"/>
  <c r="W225" i="9" s="1"/>
  <c r="S225" i="9"/>
  <c r="T225" i="9"/>
  <c r="V225" i="9"/>
  <c r="Z225" i="9"/>
  <c r="H226" i="9"/>
  <c r="I226" i="9"/>
  <c r="J226" i="9"/>
  <c r="K226" i="9"/>
  <c r="L226" i="9"/>
  <c r="M226" i="9"/>
  <c r="N226" i="9"/>
  <c r="O226" i="9"/>
  <c r="P226" i="9"/>
  <c r="Q226" i="9"/>
  <c r="R226" i="9"/>
  <c r="S226" i="9"/>
  <c r="T226" i="9"/>
  <c r="V226" i="9"/>
  <c r="Z226" i="9"/>
  <c r="H227" i="9"/>
  <c r="I227" i="9"/>
  <c r="J227" i="9"/>
  <c r="K227" i="9"/>
  <c r="L227" i="9"/>
  <c r="M227" i="9"/>
  <c r="N227" i="9"/>
  <c r="O227" i="9"/>
  <c r="P227" i="9"/>
  <c r="Q227" i="9"/>
  <c r="R227" i="9"/>
  <c r="S227" i="9"/>
  <c r="T227" i="9"/>
  <c r="V227" i="9"/>
  <c r="Z227" i="9"/>
  <c r="H228" i="9"/>
  <c r="I228" i="9"/>
  <c r="J228" i="9"/>
  <c r="K228" i="9"/>
  <c r="L228" i="9"/>
  <c r="M228" i="9"/>
  <c r="N228" i="9"/>
  <c r="O228" i="9"/>
  <c r="P228" i="9"/>
  <c r="Q228" i="9"/>
  <c r="R228" i="9"/>
  <c r="S228" i="9"/>
  <c r="T228" i="9"/>
  <c r="V228" i="9"/>
  <c r="Z228" i="9"/>
  <c r="H229" i="9"/>
  <c r="I229" i="9"/>
  <c r="J229" i="9"/>
  <c r="K229" i="9"/>
  <c r="L229" i="9"/>
  <c r="M229" i="9"/>
  <c r="N229" i="9"/>
  <c r="O229" i="9"/>
  <c r="P229" i="9"/>
  <c r="Q229" i="9"/>
  <c r="R229" i="9"/>
  <c r="S229" i="9"/>
  <c r="T229" i="9"/>
  <c r="V229" i="9"/>
  <c r="Z229" i="9"/>
  <c r="H230" i="9"/>
  <c r="I230" i="9"/>
  <c r="J230" i="9"/>
  <c r="K230" i="9"/>
  <c r="L230" i="9"/>
  <c r="M230" i="9"/>
  <c r="N230" i="9"/>
  <c r="O230" i="9"/>
  <c r="P230" i="9"/>
  <c r="Q230" i="9"/>
  <c r="R230" i="9"/>
  <c r="S230" i="9"/>
  <c r="T230" i="9"/>
  <c r="V230" i="9"/>
  <c r="Z230" i="9"/>
  <c r="H231" i="9"/>
  <c r="I231" i="9"/>
  <c r="J231" i="9"/>
  <c r="K231" i="9"/>
  <c r="L231" i="9"/>
  <c r="M231" i="9"/>
  <c r="N231" i="9"/>
  <c r="O231" i="9"/>
  <c r="P231" i="9"/>
  <c r="Q231" i="9"/>
  <c r="R231" i="9"/>
  <c r="S231" i="9"/>
  <c r="T231" i="9"/>
  <c r="V231" i="9"/>
  <c r="Z231" i="9"/>
  <c r="H232" i="9"/>
  <c r="I232" i="9"/>
  <c r="J232" i="9"/>
  <c r="K232" i="9"/>
  <c r="L232" i="9"/>
  <c r="M232" i="9"/>
  <c r="N232" i="9"/>
  <c r="O232" i="9"/>
  <c r="P232" i="9"/>
  <c r="Q232" i="9"/>
  <c r="R232" i="9"/>
  <c r="S232" i="9"/>
  <c r="T232" i="9"/>
  <c r="V232" i="9"/>
  <c r="Z232" i="9"/>
  <c r="H233" i="9"/>
  <c r="I233" i="9"/>
  <c r="J233" i="9"/>
  <c r="K233" i="9"/>
  <c r="L233" i="9"/>
  <c r="M233" i="9"/>
  <c r="N233" i="9"/>
  <c r="O233" i="9"/>
  <c r="P233" i="9"/>
  <c r="Q233" i="9"/>
  <c r="R233" i="9"/>
  <c r="W233" i="9" s="1"/>
  <c r="S233" i="9"/>
  <c r="T233" i="9"/>
  <c r="V233" i="9"/>
  <c r="Z233" i="9"/>
  <c r="H234" i="9"/>
  <c r="I234" i="9"/>
  <c r="J234" i="9"/>
  <c r="K234" i="9"/>
  <c r="L234" i="9"/>
  <c r="M234" i="9"/>
  <c r="N234" i="9"/>
  <c r="O234" i="9"/>
  <c r="P234" i="9"/>
  <c r="Q234" i="9"/>
  <c r="R234" i="9"/>
  <c r="S234" i="9"/>
  <c r="T234" i="9"/>
  <c r="V234" i="9"/>
  <c r="Z234" i="9"/>
  <c r="H235" i="9"/>
  <c r="I235" i="9"/>
  <c r="J235" i="9"/>
  <c r="K235" i="9"/>
  <c r="L235" i="9"/>
  <c r="M235" i="9"/>
  <c r="N235" i="9"/>
  <c r="O235" i="9"/>
  <c r="P235" i="9"/>
  <c r="Q235" i="9"/>
  <c r="R235" i="9"/>
  <c r="S235" i="9"/>
  <c r="T235" i="9"/>
  <c r="V235" i="9"/>
  <c r="Z235" i="9"/>
  <c r="H236" i="9"/>
  <c r="I236" i="9"/>
  <c r="J236" i="9"/>
  <c r="K236" i="9"/>
  <c r="L236" i="9"/>
  <c r="M236" i="9"/>
  <c r="N236" i="9"/>
  <c r="O236" i="9"/>
  <c r="P236" i="9"/>
  <c r="Q236" i="9"/>
  <c r="R236" i="9"/>
  <c r="S236" i="9"/>
  <c r="T236" i="9"/>
  <c r="V236" i="9"/>
  <c r="Z236" i="9"/>
  <c r="H237" i="9"/>
  <c r="I237" i="9"/>
  <c r="J237" i="9"/>
  <c r="K237" i="9"/>
  <c r="L237" i="9"/>
  <c r="M237" i="9"/>
  <c r="N237" i="9"/>
  <c r="O237" i="9"/>
  <c r="P237" i="9"/>
  <c r="Q237" i="9"/>
  <c r="R237" i="9"/>
  <c r="S237" i="9"/>
  <c r="T237" i="9"/>
  <c r="V237" i="9"/>
  <c r="Z237" i="9"/>
  <c r="H238" i="9"/>
  <c r="I238" i="9"/>
  <c r="J238" i="9"/>
  <c r="K238" i="9"/>
  <c r="L238" i="9"/>
  <c r="M238" i="9"/>
  <c r="N238" i="9"/>
  <c r="O238" i="9"/>
  <c r="P238" i="9"/>
  <c r="Q238" i="9"/>
  <c r="R238" i="9"/>
  <c r="S238" i="9"/>
  <c r="T238" i="9"/>
  <c r="V238" i="9"/>
  <c r="Z238" i="9"/>
  <c r="H239" i="9"/>
  <c r="I239" i="9"/>
  <c r="J239" i="9"/>
  <c r="K239" i="9"/>
  <c r="L239" i="9"/>
  <c r="M239" i="9"/>
  <c r="N239" i="9"/>
  <c r="O239" i="9"/>
  <c r="P239" i="9"/>
  <c r="Q239" i="9"/>
  <c r="R239" i="9"/>
  <c r="S239" i="9"/>
  <c r="T239" i="9"/>
  <c r="V239" i="9"/>
  <c r="Z239" i="9"/>
  <c r="H240" i="9"/>
  <c r="I240" i="9"/>
  <c r="J240" i="9"/>
  <c r="K240" i="9"/>
  <c r="L240" i="9"/>
  <c r="M240" i="9"/>
  <c r="N240" i="9"/>
  <c r="O240" i="9"/>
  <c r="P240" i="9"/>
  <c r="Q240" i="9"/>
  <c r="R240" i="9"/>
  <c r="W240" i="9" s="1"/>
  <c r="S240" i="9"/>
  <c r="T240" i="9"/>
  <c r="V240" i="9"/>
  <c r="Z240" i="9"/>
  <c r="H241" i="9"/>
  <c r="I241" i="9"/>
  <c r="J241" i="9"/>
  <c r="K241" i="9"/>
  <c r="L241" i="9"/>
  <c r="M241" i="9"/>
  <c r="N241" i="9"/>
  <c r="O241" i="9"/>
  <c r="P241" i="9"/>
  <c r="Q241" i="9"/>
  <c r="R241" i="9"/>
  <c r="S241" i="9"/>
  <c r="T241" i="9"/>
  <c r="V241" i="9"/>
  <c r="Z241" i="9"/>
  <c r="H242" i="9"/>
  <c r="I242" i="9"/>
  <c r="J242" i="9"/>
  <c r="K242" i="9"/>
  <c r="L242" i="9"/>
  <c r="M242" i="9"/>
  <c r="N242" i="9"/>
  <c r="O242" i="9"/>
  <c r="P242" i="9"/>
  <c r="Q242" i="9"/>
  <c r="R242" i="9"/>
  <c r="S242" i="9"/>
  <c r="T242" i="9"/>
  <c r="V242" i="9"/>
  <c r="Z242" i="9"/>
  <c r="H243" i="9"/>
  <c r="I243" i="9"/>
  <c r="J243" i="9"/>
  <c r="K243" i="9"/>
  <c r="L243" i="9"/>
  <c r="M243" i="9"/>
  <c r="N243" i="9"/>
  <c r="O243" i="9"/>
  <c r="P243" i="9"/>
  <c r="Q243" i="9"/>
  <c r="R243" i="9"/>
  <c r="S243" i="9"/>
  <c r="T243" i="9"/>
  <c r="V243" i="9"/>
  <c r="Z243" i="9"/>
  <c r="H244" i="9"/>
  <c r="I244" i="9"/>
  <c r="J244" i="9"/>
  <c r="K244" i="9"/>
  <c r="L244" i="9"/>
  <c r="M244" i="9"/>
  <c r="N244" i="9"/>
  <c r="O244" i="9"/>
  <c r="P244" i="9"/>
  <c r="Q244" i="9"/>
  <c r="R244" i="9"/>
  <c r="S244" i="9"/>
  <c r="T244" i="9"/>
  <c r="V244" i="9"/>
  <c r="Z244" i="9"/>
  <c r="H245" i="9"/>
  <c r="I245" i="9"/>
  <c r="J245" i="9"/>
  <c r="K245" i="9"/>
  <c r="L245" i="9"/>
  <c r="M245" i="9"/>
  <c r="N245" i="9"/>
  <c r="O245" i="9"/>
  <c r="P245" i="9"/>
  <c r="Q245" i="9"/>
  <c r="R245" i="9"/>
  <c r="W245" i="9" s="1"/>
  <c r="S245" i="9"/>
  <c r="T245" i="9"/>
  <c r="V245" i="9"/>
  <c r="Z245" i="9"/>
  <c r="H246" i="9"/>
  <c r="I246" i="9"/>
  <c r="J246" i="9"/>
  <c r="K246" i="9"/>
  <c r="L246" i="9"/>
  <c r="M246" i="9"/>
  <c r="N246" i="9"/>
  <c r="O246" i="9"/>
  <c r="P246" i="9"/>
  <c r="Q246" i="9"/>
  <c r="R246" i="9"/>
  <c r="S246" i="9"/>
  <c r="T246" i="9"/>
  <c r="V246" i="9"/>
  <c r="Z246" i="9"/>
  <c r="H247" i="9"/>
  <c r="I247" i="9"/>
  <c r="J247" i="9"/>
  <c r="K247" i="9"/>
  <c r="L247" i="9"/>
  <c r="M247" i="9"/>
  <c r="N247" i="9"/>
  <c r="O247" i="9"/>
  <c r="P247" i="9"/>
  <c r="Q247" i="9"/>
  <c r="R247" i="9"/>
  <c r="S247" i="9"/>
  <c r="T247" i="9"/>
  <c r="V247" i="9"/>
  <c r="Z247" i="9"/>
  <c r="H248" i="9"/>
  <c r="I248" i="9"/>
  <c r="J248" i="9"/>
  <c r="K248" i="9"/>
  <c r="L248" i="9"/>
  <c r="M248" i="9"/>
  <c r="N248" i="9"/>
  <c r="O248" i="9"/>
  <c r="P248" i="9"/>
  <c r="Q248" i="9"/>
  <c r="R248" i="9"/>
  <c r="S248" i="9"/>
  <c r="T248" i="9"/>
  <c r="V248" i="9"/>
  <c r="Z248" i="9"/>
  <c r="H249" i="9"/>
  <c r="I249" i="9"/>
  <c r="J249" i="9"/>
  <c r="K249" i="9"/>
  <c r="L249" i="9"/>
  <c r="M249" i="9"/>
  <c r="N249" i="9"/>
  <c r="O249" i="9"/>
  <c r="P249" i="9"/>
  <c r="Q249" i="9"/>
  <c r="R249" i="9"/>
  <c r="W249" i="9" s="1"/>
  <c r="S249" i="9"/>
  <c r="T249" i="9"/>
  <c r="V249" i="9"/>
  <c r="Z249" i="9"/>
  <c r="H250" i="9"/>
  <c r="I250" i="9"/>
  <c r="J250" i="9"/>
  <c r="K250" i="9"/>
  <c r="L250" i="9"/>
  <c r="M250" i="9"/>
  <c r="N250" i="9"/>
  <c r="O250" i="9"/>
  <c r="P250" i="9"/>
  <c r="Q250" i="9"/>
  <c r="R250" i="9"/>
  <c r="S250" i="9"/>
  <c r="T250" i="9"/>
  <c r="V250" i="9"/>
  <c r="Z250" i="9"/>
  <c r="H251" i="9"/>
  <c r="I251" i="9"/>
  <c r="J251" i="9"/>
  <c r="K251" i="9"/>
  <c r="L251" i="9"/>
  <c r="M251" i="9"/>
  <c r="N251" i="9"/>
  <c r="O251" i="9"/>
  <c r="P251" i="9"/>
  <c r="Q251" i="9"/>
  <c r="R251" i="9"/>
  <c r="S251" i="9"/>
  <c r="T251" i="9"/>
  <c r="V251" i="9"/>
  <c r="Z251" i="9"/>
  <c r="H252" i="9"/>
  <c r="I252" i="9"/>
  <c r="J252" i="9"/>
  <c r="K252" i="9"/>
  <c r="L252" i="9"/>
  <c r="M252" i="9"/>
  <c r="N252" i="9"/>
  <c r="O252" i="9"/>
  <c r="P252" i="9"/>
  <c r="Q252" i="9"/>
  <c r="R252" i="9"/>
  <c r="W252" i="9" s="1"/>
  <c r="S252" i="9"/>
  <c r="T252" i="9"/>
  <c r="V252" i="9"/>
  <c r="Z252" i="9"/>
  <c r="H253" i="9"/>
  <c r="I253" i="9"/>
  <c r="J253" i="9"/>
  <c r="K253" i="9"/>
  <c r="L253" i="9"/>
  <c r="M253" i="9"/>
  <c r="N253" i="9"/>
  <c r="O253" i="9"/>
  <c r="P253" i="9"/>
  <c r="Q253" i="9"/>
  <c r="R253" i="9"/>
  <c r="S253" i="9"/>
  <c r="T253" i="9"/>
  <c r="V253" i="9"/>
  <c r="Z253" i="9"/>
  <c r="H254" i="9"/>
  <c r="I254" i="9"/>
  <c r="J254" i="9"/>
  <c r="K254" i="9"/>
  <c r="L254" i="9"/>
  <c r="M254" i="9"/>
  <c r="N254" i="9"/>
  <c r="O254" i="9"/>
  <c r="P254" i="9"/>
  <c r="Q254" i="9"/>
  <c r="R254" i="9"/>
  <c r="S254" i="9"/>
  <c r="T254" i="9"/>
  <c r="V254" i="9"/>
  <c r="Z254" i="9"/>
  <c r="H255" i="9"/>
  <c r="I255" i="9"/>
  <c r="J255" i="9"/>
  <c r="K255" i="9"/>
  <c r="L255" i="9"/>
  <c r="M255" i="9"/>
  <c r="N255" i="9"/>
  <c r="O255" i="9"/>
  <c r="P255" i="9"/>
  <c r="Q255" i="9"/>
  <c r="R255" i="9"/>
  <c r="S255" i="9"/>
  <c r="T255" i="9"/>
  <c r="V255" i="9"/>
  <c r="Z255" i="9"/>
  <c r="H256" i="9"/>
  <c r="I256" i="9"/>
  <c r="J256" i="9"/>
  <c r="K256" i="9"/>
  <c r="L256" i="9"/>
  <c r="M256" i="9"/>
  <c r="N256" i="9"/>
  <c r="O256" i="9"/>
  <c r="P256" i="9"/>
  <c r="Q256" i="9"/>
  <c r="R256" i="9"/>
  <c r="W256" i="9" s="1"/>
  <c r="S256" i="9"/>
  <c r="T256" i="9"/>
  <c r="V256" i="9"/>
  <c r="Z256" i="9"/>
  <c r="H257" i="9"/>
  <c r="I257" i="9"/>
  <c r="J257" i="9"/>
  <c r="K257" i="9"/>
  <c r="L257" i="9"/>
  <c r="M257" i="9"/>
  <c r="N257" i="9"/>
  <c r="O257" i="9"/>
  <c r="P257" i="9"/>
  <c r="Q257" i="9"/>
  <c r="R257" i="9"/>
  <c r="S257" i="9"/>
  <c r="T257" i="9"/>
  <c r="V257" i="9"/>
  <c r="Z257" i="9"/>
  <c r="H258" i="9"/>
  <c r="I258" i="9"/>
  <c r="J258" i="9"/>
  <c r="K258" i="9"/>
  <c r="L258" i="9"/>
  <c r="M258" i="9"/>
  <c r="N258" i="9"/>
  <c r="O258" i="9"/>
  <c r="P258" i="9"/>
  <c r="Q258" i="9"/>
  <c r="R258" i="9"/>
  <c r="S258" i="9"/>
  <c r="T258" i="9"/>
  <c r="V258" i="9"/>
  <c r="Z258" i="9"/>
  <c r="H259" i="9"/>
  <c r="I259" i="9"/>
  <c r="J259" i="9"/>
  <c r="K259" i="9"/>
  <c r="L259" i="9"/>
  <c r="M259" i="9"/>
  <c r="N259" i="9"/>
  <c r="O259" i="9"/>
  <c r="P259" i="9"/>
  <c r="Q259" i="9"/>
  <c r="R259" i="9"/>
  <c r="S259" i="9"/>
  <c r="T259" i="9"/>
  <c r="V259" i="9"/>
  <c r="Z259" i="9"/>
  <c r="H260" i="9"/>
  <c r="I260" i="9"/>
  <c r="J260" i="9"/>
  <c r="K260" i="9"/>
  <c r="L260" i="9"/>
  <c r="M260" i="9"/>
  <c r="N260" i="9"/>
  <c r="O260" i="9"/>
  <c r="P260" i="9"/>
  <c r="Q260" i="9"/>
  <c r="R260" i="9"/>
  <c r="S260" i="9"/>
  <c r="T260" i="9"/>
  <c r="V260" i="9"/>
  <c r="Z260" i="9"/>
  <c r="H261" i="9"/>
  <c r="I261" i="9"/>
  <c r="J261" i="9"/>
  <c r="K261" i="9"/>
  <c r="L261" i="9"/>
  <c r="M261" i="9"/>
  <c r="N261" i="9"/>
  <c r="O261" i="9"/>
  <c r="P261" i="9"/>
  <c r="Q261" i="9"/>
  <c r="R261" i="9"/>
  <c r="W261" i="9" s="1"/>
  <c r="S261" i="9"/>
  <c r="T261" i="9"/>
  <c r="V261" i="9"/>
  <c r="Z261" i="9"/>
  <c r="H262" i="9"/>
  <c r="I262" i="9"/>
  <c r="J262" i="9"/>
  <c r="K262" i="9"/>
  <c r="L262" i="9"/>
  <c r="M262" i="9"/>
  <c r="N262" i="9"/>
  <c r="O262" i="9"/>
  <c r="P262" i="9"/>
  <c r="Q262" i="9"/>
  <c r="R262" i="9"/>
  <c r="S262" i="9"/>
  <c r="T262" i="9"/>
  <c r="V262" i="9"/>
  <c r="Z262" i="9"/>
  <c r="H263" i="9"/>
  <c r="I263" i="9"/>
  <c r="J263" i="9"/>
  <c r="K263" i="9"/>
  <c r="L263" i="9"/>
  <c r="M263" i="9"/>
  <c r="N263" i="9"/>
  <c r="O263" i="9"/>
  <c r="P263" i="9"/>
  <c r="Q263" i="9"/>
  <c r="R263" i="9"/>
  <c r="S263" i="9"/>
  <c r="T263" i="9"/>
  <c r="V263" i="9"/>
  <c r="Z263" i="9"/>
  <c r="H264" i="9"/>
  <c r="I264" i="9"/>
  <c r="J264" i="9"/>
  <c r="K264" i="9"/>
  <c r="L264" i="9"/>
  <c r="M264" i="9"/>
  <c r="N264" i="9"/>
  <c r="O264" i="9"/>
  <c r="P264" i="9"/>
  <c r="Q264" i="9"/>
  <c r="R264" i="9"/>
  <c r="S264" i="9"/>
  <c r="T264" i="9"/>
  <c r="V264" i="9"/>
  <c r="Z264" i="9"/>
  <c r="H265" i="9"/>
  <c r="I265" i="9"/>
  <c r="J265" i="9"/>
  <c r="K265" i="9"/>
  <c r="L265" i="9"/>
  <c r="M265" i="9"/>
  <c r="N265" i="9"/>
  <c r="O265" i="9"/>
  <c r="P265" i="9"/>
  <c r="Q265" i="9"/>
  <c r="R265" i="9"/>
  <c r="W265" i="9" s="1"/>
  <c r="S265" i="9"/>
  <c r="T265" i="9"/>
  <c r="V265" i="9"/>
  <c r="Z265" i="9"/>
  <c r="H266" i="9"/>
  <c r="I266" i="9"/>
  <c r="J266" i="9"/>
  <c r="K266" i="9"/>
  <c r="L266" i="9"/>
  <c r="M266" i="9"/>
  <c r="N266" i="9"/>
  <c r="O266" i="9"/>
  <c r="P266" i="9"/>
  <c r="Q266" i="9"/>
  <c r="R266" i="9"/>
  <c r="S266" i="9"/>
  <c r="T266" i="9"/>
  <c r="V266" i="9"/>
  <c r="Z266" i="9"/>
  <c r="H267" i="9"/>
  <c r="I267" i="9"/>
  <c r="J267" i="9"/>
  <c r="K267" i="9"/>
  <c r="L267" i="9"/>
  <c r="M267" i="9"/>
  <c r="N267" i="9"/>
  <c r="O267" i="9"/>
  <c r="P267" i="9"/>
  <c r="Q267" i="9"/>
  <c r="R267" i="9"/>
  <c r="S267" i="9"/>
  <c r="T267" i="9"/>
  <c r="V267" i="9"/>
  <c r="Z267" i="9"/>
  <c r="H268" i="9"/>
  <c r="I268" i="9"/>
  <c r="J268" i="9"/>
  <c r="K268" i="9"/>
  <c r="L268" i="9"/>
  <c r="M268" i="9"/>
  <c r="N268" i="9"/>
  <c r="O268" i="9"/>
  <c r="P268" i="9"/>
  <c r="Q268" i="9"/>
  <c r="R268" i="9"/>
  <c r="W268" i="9" s="1"/>
  <c r="S268" i="9"/>
  <c r="T268" i="9"/>
  <c r="V268" i="9"/>
  <c r="Z268" i="9"/>
  <c r="H269" i="9"/>
  <c r="I269" i="9"/>
  <c r="J269" i="9"/>
  <c r="K269" i="9"/>
  <c r="L269" i="9"/>
  <c r="M269" i="9"/>
  <c r="N269" i="9"/>
  <c r="O269" i="9"/>
  <c r="P269" i="9"/>
  <c r="Q269" i="9"/>
  <c r="R269" i="9"/>
  <c r="S269" i="9"/>
  <c r="T269" i="9"/>
  <c r="V269" i="9"/>
  <c r="Z269" i="9"/>
  <c r="H270" i="9"/>
  <c r="I270" i="9"/>
  <c r="J270" i="9"/>
  <c r="K270" i="9"/>
  <c r="L270" i="9"/>
  <c r="M270" i="9"/>
  <c r="N270" i="9"/>
  <c r="O270" i="9"/>
  <c r="P270" i="9"/>
  <c r="Q270" i="9"/>
  <c r="R270" i="9"/>
  <c r="S270" i="9"/>
  <c r="T270" i="9"/>
  <c r="V270" i="9"/>
  <c r="Z270" i="9"/>
  <c r="H271" i="9"/>
  <c r="I271" i="9"/>
  <c r="J271" i="9"/>
  <c r="K271" i="9"/>
  <c r="L271" i="9"/>
  <c r="M271" i="9"/>
  <c r="N271" i="9"/>
  <c r="O271" i="9"/>
  <c r="P271" i="9"/>
  <c r="Q271" i="9"/>
  <c r="R271" i="9"/>
  <c r="S271" i="9"/>
  <c r="T271" i="9"/>
  <c r="V271" i="9"/>
  <c r="Z271" i="9"/>
  <c r="H272" i="9"/>
  <c r="I272" i="9"/>
  <c r="J272" i="9"/>
  <c r="K272" i="9"/>
  <c r="L272" i="9"/>
  <c r="M272" i="9"/>
  <c r="N272" i="9"/>
  <c r="O272" i="9"/>
  <c r="P272" i="9"/>
  <c r="Q272" i="9"/>
  <c r="R272" i="9"/>
  <c r="W272" i="9" s="1"/>
  <c r="S272" i="9"/>
  <c r="T272" i="9"/>
  <c r="V272" i="9"/>
  <c r="Z272" i="9"/>
  <c r="H273" i="9"/>
  <c r="I273" i="9"/>
  <c r="J273" i="9"/>
  <c r="K273" i="9"/>
  <c r="L273" i="9"/>
  <c r="M273" i="9"/>
  <c r="N273" i="9"/>
  <c r="O273" i="9"/>
  <c r="P273" i="9"/>
  <c r="Q273" i="9"/>
  <c r="R273" i="9"/>
  <c r="S273" i="9"/>
  <c r="T273" i="9"/>
  <c r="V273" i="9"/>
  <c r="Z273" i="9"/>
  <c r="H274" i="9"/>
  <c r="I274" i="9"/>
  <c r="J274" i="9"/>
  <c r="K274" i="9"/>
  <c r="L274" i="9"/>
  <c r="M274" i="9"/>
  <c r="N274" i="9"/>
  <c r="O274" i="9"/>
  <c r="P274" i="9"/>
  <c r="Q274" i="9"/>
  <c r="R274" i="9"/>
  <c r="S274" i="9"/>
  <c r="T274" i="9"/>
  <c r="V274" i="9"/>
  <c r="Z274" i="9"/>
  <c r="Z275" i="9"/>
  <c r="Z276" i="9"/>
  <c r="Z277" i="9"/>
  <c r="Z278" i="9"/>
  <c r="Z279" i="9"/>
  <c r="Z280" i="9"/>
  <c r="Z281" i="9"/>
  <c r="Z282" i="9"/>
  <c r="Z283" i="9"/>
  <c r="Z284" i="9"/>
  <c r="Z285" i="9"/>
  <c r="Z286" i="9"/>
  <c r="Z287" i="9"/>
  <c r="Z288" i="9"/>
  <c r="Z289" i="9"/>
  <c r="Z290" i="9"/>
  <c r="Z291" i="9"/>
  <c r="Z292" i="9"/>
  <c r="Z293" i="9"/>
  <c r="Z294" i="9"/>
  <c r="Z295" i="9"/>
  <c r="Z296" i="9"/>
  <c r="Z297" i="9"/>
  <c r="Z298" i="9"/>
  <c r="Z299" i="9"/>
  <c r="Z300" i="9"/>
  <c r="E2" i="9"/>
  <c r="C4" i="9"/>
  <c r="D13" i="9"/>
  <c r="G2" i="9"/>
  <c r="F13" i="9"/>
  <c r="A13" i="9"/>
  <c r="C7" i="9"/>
  <c r="C6" i="9"/>
  <c r="F2" i="9"/>
  <c r="C8" i="9"/>
  <c r="H2" i="9"/>
  <c r="I2" i="9"/>
  <c r="C13" i="9"/>
  <c r="C3" i="9"/>
  <c r="E13" i="9"/>
  <c r="G13" i="9"/>
  <c r="C5" i="9"/>
  <c r="D2" i="8"/>
  <c r="W147" i="9" l="1"/>
  <c r="W149" i="9"/>
  <c r="W155" i="9"/>
  <c r="W236" i="9"/>
  <c r="W229" i="9"/>
  <c r="W221" i="9"/>
  <c r="W205" i="9"/>
  <c r="W189" i="9"/>
  <c r="W173" i="9"/>
  <c r="W157" i="9"/>
  <c r="W270" i="9"/>
  <c r="W263" i="9"/>
  <c r="W254" i="9"/>
  <c r="W247" i="9"/>
  <c r="W238" i="9"/>
  <c r="W231" i="9"/>
  <c r="W223" i="9"/>
  <c r="W207" i="9"/>
  <c r="W191" i="9"/>
  <c r="W175" i="9"/>
  <c r="W159" i="9"/>
  <c r="W143" i="9"/>
  <c r="W195" i="9"/>
  <c r="W163" i="9"/>
  <c r="W237" i="9"/>
  <c r="W228" i="9"/>
  <c r="W213" i="9"/>
  <c r="W271" i="9"/>
  <c r="W262" i="9"/>
  <c r="W255" i="9"/>
  <c r="W246" i="9"/>
  <c r="W239" i="9"/>
  <c r="W230" i="9"/>
  <c r="W215" i="9"/>
  <c r="W199" i="9"/>
  <c r="W183" i="9"/>
  <c r="W167" i="9"/>
  <c r="W151" i="9"/>
  <c r="W138" i="9"/>
  <c r="W179" i="9"/>
  <c r="W264" i="9"/>
  <c r="W257" i="9"/>
  <c r="W248" i="9"/>
  <c r="W241" i="9"/>
  <c r="W232" i="9"/>
  <c r="W217" i="9"/>
  <c r="W201" i="9"/>
  <c r="W185" i="9"/>
  <c r="W169" i="9"/>
  <c r="W153" i="9"/>
  <c r="W274" i="9"/>
  <c r="W267" i="9"/>
  <c r="W258" i="9"/>
  <c r="W251" i="9"/>
  <c r="W242" i="9"/>
  <c r="W235" i="9"/>
  <c r="W211" i="9"/>
  <c r="W12" i="9"/>
  <c r="W269" i="9"/>
  <c r="W260" i="9"/>
  <c r="W253" i="9"/>
  <c r="W244" i="9"/>
  <c r="W197" i="9"/>
  <c r="W181" i="9"/>
  <c r="W165" i="9"/>
  <c r="W273" i="9"/>
  <c r="W266" i="9"/>
  <c r="W259" i="9"/>
  <c r="W250" i="9"/>
  <c r="W243" i="9"/>
  <c r="W234" i="9"/>
  <c r="W227" i="9"/>
  <c r="W219" i="9"/>
  <c r="W203" i="9"/>
  <c r="W187" i="9"/>
  <c r="W171" i="9"/>
  <c r="D5" i="9"/>
  <c r="I5" i="9"/>
  <c r="E5" i="9"/>
  <c r="G5" i="9"/>
  <c r="H5" i="9"/>
  <c r="Q13" i="9"/>
  <c r="O13" i="9"/>
  <c r="P13" i="9"/>
  <c r="F3" i="9"/>
  <c r="I3" i="9"/>
  <c r="G3" i="9"/>
  <c r="E3" i="9"/>
  <c r="H3" i="9"/>
  <c r="I13" i="9"/>
  <c r="J13" i="9"/>
  <c r="R13" i="9"/>
  <c r="W13" i="9" s="1"/>
  <c r="H13" i="9"/>
  <c r="I12" i="7" s="1"/>
  <c r="D8" i="9"/>
  <c r="G8" i="9"/>
  <c r="H8" i="9"/>
  <c r="E8" i="9"/>
  <c r="F8" i="9"/>
  <c r="E6" i="9"/>
  <c r="D6" i="9"/>
  <c r="F6" i="9"/>
  <c r="H6" i="9"/>
  <c r="I6" i="9"/>
  <c r="F7" i="9"/>
  <c r="D7" i="9"/>
  <c r="E7" i="9"/>
  <c r="G7" i="9"/>
  <c r="I7" i="9"/>
  <c r="L6" i="9"/>
  <c r="L2" i="9"/>
  <c r="L3" i="9"/>
  <c r="L5" i="9"/>
  <c r="L4" i="9"/>
  <c r="V13" i="9"/>
  <c r="L13" i="9"/>
  <c r="T13" i="9"/>
  <c r="N13" i="9"/>
  <c r="S13" i="9"/>
  <c r="M13" i="9"/>
  <c r="K13" i="9"/>
  <c r="H4" i="9"/>
  <c r="I4" i="9"/>
  <c r="F4" i="9"/>
  <c r="G4" i="9"/>
  <c r="D4" i="9"/>
  <c r="W142" i="9"/>
  <c r="W144" i="9"/>
  <c r="W146" i="9"/>
  <c r="W148" i="9"/>
  <c r="W150" i="9"/>
  <c r="W152" i="9"/>
  <c r="W154" i="9"/>
  <c r="W156" i="9"/>
  <c r="W158" i="9"/>
  <c r="W160" i="9"/>
  <c r="W162" i="9"/>
  <c r="W164" i="9"/>
  <c r="W166" i="9"/>
  <c r="W168" i="9"/>
  <c r="W170" i="9"/>
  <c r="W172" i="9"/>
  <c r="W174" i="9"/>
  <c r="W176" i="9"/>
  <c r="W178" i="9"/>
  <c r="W180" i="9"/>
  <c r="W182" i="9"/>
  <c r="W184" i="9"/>
  <c r="W186" i="9"/>
  <c r="W188" i="9"/>
  <c r="W190" i="9"/>
  <c r="W192" i="9"/>
  <c r="W194" i="9"/>
  <c r="W196" i="9"/>
  <c r="W198" i="9"/>
  <c r="W200" i="9"/>
  <c r="W202" i="9"/>
  <c r="W204" i="9"/>
  <c r="W206" i="9"/>
  <c r="W208" i="9"/>
  <c r="W210" i="9"/>
  <c r="W212" i="9"/>
  <c r="W214" i="9"/>
  <c r="W216" i="9"/>
  <c r="W218" i="9"/>
  <c r="W220" i="9"/>
  <c r="W222" i="9"/>
  <c r="W224" i="9"/>
  <c r="W226" i="9"/>
  <c r="W140" i="9"/>
  <c r="W15" i="9"/>
  <c r="W17" i="9"/>
  <c r="W19" i="9"/>
  <c r="W21" i="9"/>
  <c r="W23" i="9"/>
  <c r="W25" i="9"/>
  <c r="W27" i="9"/>
  <c r="W29" i="9"/>
  <c r="W31" i="9"/>
  <c r="W33" i="9"/>
  <c r="W35" i="9"/>
  <c r="W37" i="9"/>
  <c r="W39" i="9"/>
  <c r="W41" i="9"/>
  <c r="W43" i="9"/>
  <c r="W45" i="9"/>
  <c r="W47" i="9"/>
  <c r="W49" i="9"/>
  <c r="W51" i="9"/>
  <c r="W53" i="9"/>
  <c r="W55" i="9"/>
  <c r="W57" i="9"/>
  <c r="W59" i="9"/>
  <c r="W61" i="9"/>
  <c r="W63" i="9"/>
  <c r="W65" i="9"/>
  <c r="W67" i="9"/>
  <c r="W69" i="9"/>
  <c r="W71" i="9"/>
  <c r="W73" i="9"/>
  <c r="W75" i="9"/>
  <c r="W77" i="9"/>
  <c r="W79" i="9"/>
  <c r="W81" i="9"/>
  <c r="W83" i="9"/>
  <c r="W85" i="9"/>
  <c r="W87" i="9"/>
  <c r="W89" i="9"/>
  <c r="W91" i="9"/>
  <c r="W93" i="9"/>
  <c r="W95" i="9"/>
  <c r="W97" i="9"/>
  <c r="W99" i="9"/>
  <c r="W101" i="9"/>
  <c r="W103" i="9"/>
  <c r="W105" i="9"/>
  <c r="W107" i="9"/>
  <c r="W109" i="9"/>
  <c r="W111" i="9"/>
  <c r="W113" i="9"/>
  <c r="W115" i="9"/>
  <c r="W117" i="9"/>
  <c r="W119" i="9"/>
  <c r="W121" i="9"/>
  <c r="W123" i="9"/>
  <c r="W125" i="9"/>
  <c r="W127" i="9"/>
  <c r="W129" i="9"/>
  <c r="W131" i="9"/>
  <c r="W133" i="9"/>
  <c r="W135" i="9"/>
  <c r="W137" i="9"/>
  <c r="W139" i="9"/>
  <c r="W141" i="9"/>
  <c r="W14" i="9"/>
  <c r="W16" i="9"/>
  <c r="W18" i="9"/>
  <c r="W20" i="9"/>
  <c r="W22" i="9"/>
  <c r="W24" i="9"/>
  <c r="W26" i="9"/>
  <c r="W28" i="9"/>
  <c r="W30" i="9"/>
  <c r="W32" i="9"/>
  <c r="W34" i="9"/>
  <c r="W36" i="9"/>
  <c r="W38" i="9"/>
  <c r="W40" i="9"/>
  <c r="W42" i="9"/>
  <c r="W44" i="9"/>
  <c r="W46" i="9"/>
  <c r="W48" i="9"/>
  <c r="W50" i="9"/>
  <c r="W52" i="9"/>
  <c r="W54" i="9"/>
  <c r="W56" i="9"/>
  <c r="W58" i="9"/>
  <c r="W60" i="9"/>
  <c r="W62" i="9"/>
  <c r="W64" i="9"/>
  <c r="W66" i="9"/>
  <c r="W68" i="9"/>
  <c r="W70" i="9"/>
  <c r="W72" i="9"/>
  <c r="W74" i="9"/>
  <c r="W76" i="9"/>
  <c r="W78" i="9"/>
  <c r="W80" i="9"/>
  <c r="W82" i="9"/>
  <c r="W84" i="9"/>
  <c r="W86" i="9"/>
  <c r="W88" i="9"/>
  <c r="W90" i="9"/>
  <c r="W92" i="9"/>
  <c r="W94" i="9"/>
  <c r="W96" i="9"/>
  <c r="W98" i="9"/>
  <c r="W100" i="9"/>
  <c r="W102" i="9"/>
  <c r="W104" i="9"/>
  <c r="W106" i="9"/>
  <c r="W108" i="9"/>
  <c r="W110" i="9"/>
  <c r="W112" i="9"/>
  <c r="W114" i="9"/>
  <c r="W116" i="9"/>
  <c r="W118" i="9"/>
  <c r="W120" i="9"/>
  <c r="W122" i="9"/>
  <c r="W124" i="9"/>
  <c r="W126" i="9"/>
  <c r="W128" i="9"/>
  <c r="W130" i="9"/>
  <c r="W132" i="9"/>
  <c r="W134" i="9"/>
  <c r="W136" i="9"/>
  <c r="D3" i="8"/>
  <c r="U3" i="8"/>
  <c r="V3" i="8"/>
  <c r="Z3" i="8"/>
  <c r="E4" i="8"/>
  <c r="Z4" i="8"/>
  <c r="F5" i="8"/>
  <c r="Z5" i="8"/>
  <c r="G6" i="8"/>
  <c r="Z6" i="8"/>
  <c r="H7" i="8"/>
  <c r="Z7" i="8"/>
  <c r="I8" i="8"/>
  <c r="Z8" i="8"/>
  <c r="Z9" i="8"/>
  <c r="Z10" i="8"/>
  <c r="Z11" i="8"/>
  <c r="H12" i="8"/>
  <c r="I12" i="8"/>
  <c r="J12" i="8"/>
  <c r="K12" i="8"/>
  <c r="L12" i="8"/>
  <c r="M12" i="8"/>
  <c r="N12" i="8"/>
  <c r="O12" i="8"/>
  <c r="P12" i="8"/>
  <c r="Q12" i="8"/>
  <c r="R12" i="8"/>
  <c r="S12" i="8"/>
  <c r="T12" i="8"/>
  <c r="Z12" i="8"/>
  <c r="Z13" i="8"/>
  <c r="H14" i="8"/>
  <c r="I14" i="8"/>
  <c r="J14" i="8"/>
  <c r="K14" i="8"/>
  <c r="L14" i="8"/>
  <c r="M14" i="8"/>
  <c r="N14" i="8"/>
  <c r="O14" i="8"/>
  <c r="P14" i="8"/>
  <c r="Q14" i="8"/>
  <c r="R14" i="8"/>
  <c r="S14" i="8"/>
  <c r="T14" i="8"/>
  <c r="V14" i="8"/>
  <c r="A3" i="11" s="1"/>
  <c r="Z14" i="8"/>
  <c r="H15" i="8"/>
  <c r="I15" i="8"/>
  <c r="J15" i="8"/>
  <c r="K15" i="8"/>
  <c r="L15" i="8"/>
  <c r="M15" i="8"/>
  <c r="N15" i="8"/>
  <c r="O15" i="8"/>
  <c r="P15" i="8"/>
  <c r="Q15" i="8"/>
  <c r="R15" i="8"/>
  <c r="S15" i="8"/>
  <c r="T15" i="8"/>
  <c r="V15" i="8"/>
  <c r="A4" i="11" s="1"/>
  <c r="Z15" i="8"/>
  <c r="H16" i="8"/>
  <c r="I16" i="8"/>
  <c r="J16" i="8"/>
  <c r="K16" i="8"/>
  <c r="L16" i="8"/>
  <c r="M16" i="8"/>
  <c r="N16" i="8"/>
  <c r="O16" i="8"/>
  <c r="P16" i="8"/>
  <c r="Q16" i="8"/>
  <c r="R16" i="8"/>
  <c r="S16" i="8"/>
  <c r="T16" i="8"/>
  <c r="V16" i="8"/>
  <c r="A5" i="11" s="1"/>
  <c r="Z16" i="8"/>
  <c r="H17" i="8"/>
  <c r="I17" i="8"/>
  <c r="J17" i="8"/>
  <c r="K17" i="8"/>
  <c r="L17" i="8"/>
  <c r="M17" i="8"/>
  <c r="N17" i="8"/>
  <c r="O17" i="8"/>
  <c r="P17" i="8"/>
  <c r="Q17" i="8"/>
  <c r="R17" i="8"/>
  <c r="S17" i="8"/>
  <c r="T17" i="8"/>
  <c r="V17" i="8"/>
  <c r="A6" i="11" s="1"/>
  <c r="Z17" i="8"/>
  <c r="H18" i="8"/>
  <c r="I18" i="8"/>
  <c r="J18" i="8"/>
  <c r="K18" i="8"/>
  <c r="L18" i="8"/>
  <c r="M18" i="8"/>
  <c r="N18" i="8"/>
  <c r="O18" i="8"/>
  <c r="P18" i="8"/>
  <c r="Q18" i="8"/>
  <c r="R18" i="8"/>
  <c r="S18" i="8"/>
  <c r="T18" i="8"/>
  <c r="V18" i="8"/>
  <c r="A7" i="11" s="1"/>
  <c r="Z18" i="8"/>
  <c r="H19" i="8"/>
  <c r="I19" i="8"/>
  <c r="J19" i="8"/>
  <c r="K19" i="8"/>
  <c r="L19" i="8"/>
  <c r="M19" i="8"/>
  <c r="N19" i="8"/>
  <c r="O19" i="8"/>
  <c r="P19" i="8"/>
  <c r="Q19" i="8"/>
  <c r="R19" i="8"/>
  <c r="S19" i="8"/>
  <c r="T19" i="8"/>
  <c r="V19" i="8"/>
  <c r="A8" i="11" s="1"/>
  <c r="Z19" i="8"/>
  <c r="H20" i="8"/>
  <c r="I20" i="8"/>
  <c r="J20" i="8"/>
  <c r="K20" i="8"/>
  <c r="L20" i="8"/>
  <c r="M20" i="8"/>
  <c r="N20" i="8"/>
  <c r="O20" i="8"/>
  <c r="P20" i="8"/>
  <c r="Q20" i="8"/>
  <c r="R20" i="8"/>
  <c r="S20" i="8"/>
  <c r="T20" i="8"/>
  <c r="V20" i="8"/>
  <c r="A9" i="11" s="1"/>
  <c r="Z20" i="8"/>
  <c r="H21" i="8"/>
  <c r="I21" i="8"/>
  <c r="J21" i="8"/>
  <c r="K21" i="8"/>
  <c r="L21" i="8"/>
  <c r="M21" i="8"/>
  <c r="N21" i="8"/>
  <c r="O21" i="8"/>
  <c r="P21" i="8"/>
  <c r="Q21" i="8"/>
  <c r="R21" i="8"/>
  <c r="S21" i="8"/>
  <c r="T21" i="8"/>
  <c r="V21" i="8"/>
  <c r="A10" i="11" s="1"/>
  <c r="Z21" i="8"/>
  <c r="H22" i="8"/>
  <c r="I22" i="8"/>
  <c r="J22" i="8"/>
  <c r="K22" i="8"/>
  <c r="L22" i="8"/>
  <c r="M22" i="8"/>
  <c r="N22" i="8"/>
  <c r="O22" i="8"/>
  <c r="P22" i="8"/>
  <c r="Q22" i="8"/>
  <c r="R22" i="8"/>
  <c r="S22" i="8"/>
  <c r="T22" i="8"/>
  <c r="V22" i="8"/>
  <c r="A11" i="11" s="1"/>
  <c r="Z22" i="8"/>
  <c r="H23" i="8"/>
  <c r="I23" i="8"/>
  <c r="J23" i="8"/>
  <c r="K23" i="8"/>
  <c r="L23" i="8"/>
  <c r="M23" i="8"/>
  <c r="N23" i="8"/>
  <c r="O23" i="8"/>
  <c r="P23" i="8"/>
  <c r="Q23" i="8"/>
  <c r="R23" i="8"/>
  <c r="S23" i="8"/>
  <c r="T23" i="8"/>
  <c r="V23" i="8"/>
  <c r="A12" i="11" s="1"/>
  <c r="Z23" i="8"/>
  <c r="H24" i="8"/>
  <c r="I24" i="8"/>
  <c r="J24" i="8"/>
  <c r="K24" i="8"/>
  <c r="L24" i="8"/>
  <c r="M24" i="8"/>
  <c r="N24" i="8"/>
  <c r="O24" i="8"/>
  <c r="P24" i="8"/>
  <c r="Q24" i="8"/>
  <c r="R24" i="8"/>
  <c r="S24" i="8"/>
  <c r="T24" i="8"/>
  <c r="V24" i="8"/>
  <c r="A13" i="11" s="1"/>
  <c r="Z24" i="8"/>
  <c r="H25" i="8"/>
  <c r="I25" i="8"/>
  <c r="J25" i="8"/>
  <c r="K25" i="8"/>
  <c r="L25" i="8"/>
  <c r="M25" i="8"/>
  <c r="N25" i="8"/>
  <c r="O25" i="8"/>
  <c r="P25" i="8"/>
  <c r="Q25" i="8"/>
  <c r="R25" i="8"/>
  <c r="S25" i="8"/>
  <c r="T25" i="8"/>
  <c r="V25" i="8"/>
  <c r="A14" i="11" s="1"/>
  <c r="Z25" i="8"/>
  <c r="H26" i="8"/>
  <c r="I26" i="8"/>
  <c r="J26" i="8"/>
  <c r="K26" i="8"/>
  <c r="L26" i="8"/>
  <c r="M26" i="8"/>
  <c r="N26" i="8"/>
  <c r="O26" i="8"/>
  <c r="P26" i="8"/>
  <c r="Q26" i="8"/>
  <c r="R26" i="8"/>
  <c r="S26" i="8"/>
  <c r="T26" i="8"/>
  <c r="V26" i="8"/>
  <c r="A15" i="11" s="1"/>
  <c r="Z26" i="8"/>
  <c r="H27" i="8"/>
  <c r="I27" i="8"/>
  <c r="J27" i="8"/>
  <c r="K27" i="8"/>
  <c r="L27" i="8"/>
  <c r="M27" i="8"/>
  <c r="N27" i="8"/>
  <c r="O27" i="8"/>
  <c r="P27" i="8"/>
  <c r="Q27" i="8"/>
  <c r="R27" i="8"/>
  <c r="S27" i="8"/>
  <c r="T27" i="8"/>
  <c r="V27" i="8"/>
  <c r="A16" i="11" s="1"/>
  <c r="Z27" i="8"/>
  <c r="H28" i="8"/>
  <c r="I28" i="8"/>
  <c r="J28" i="8"/>
  <c r="K28" i="8"/>
  <c r="L28" i="8"/>
  <c r="M28" i="8"/>
  <c r="N28" i="8"/>
  <c r="O28" i="8"/>
  <c r="P28" i="8"/>
  <c r="Q28" i="8"/>
  <c r="R28" i="8"/>
  <c r="S28" i="8"/>
  <c r="T28" i="8"/>
  <c r="V28" i="8"/>
  <c r="A17" i="11" s="1"/>
  <c r="Z28" i="8"/>
  <c r="H29" i="8"/>
  <c r="I29" i="8"/>
  <c r="J29" i="8"/>
  <c r="K29" i="8"/>
  <c r="L29" i="8"/>
  <c r="M29" i="8"/>
  <c r="N29" i="8"/>
  <c r="O29" i="8"/>
  <c r="P29" i="8"/>
  <c r="Q29" i="8"/>
  <c r="R29" i="8"/>
  <c r="S29" i="8"/>
  <c r="T29" i="8"/>
  <c r="V29" i="8"/>
  <c r="A18" i="11" s="1"/>
  <c r="Z29" i="8"/>
  <c r="H30" i="8"/>
  <c r="I30" i="8"/>
  <c r="J30" i="8"/>
  <c r="K30" i="8"/>
  <c r="L30" i="8"/>
  <c r="M30" i="8"/>
  <c r="N30" i="8"/>
  <c r="O30" i="8"/>
  <c r="P30" i="8"/>
  <c r="Q30" i="8"/>
  <c r="R30" i="8"/>
  <c r="S30" i="8"/>
  <c r="T30" i="8"/>
  <c r="V30" i="8"/>
  <c r="A19" i="11" s="1"/>
  <c r="Z30" i="8"/>
  <c r="H31" i="8"/>
  <c r="I31" i="8"/>
  <c r="J31" i="8"/>
  <c r="K31" i="8"/>
  <c r="L31" i="8"/>
  <c r="M31" i="8"/>
  <c r="N31" i="8"/>
  <c r="O31" i="8"/>
  <c r="P31" i="8"/>
  <c r="Q31" i="8"/>
  <c r="R31" i="8"/>
  <c r="S31" i="8"/>
  <c r="T31" i="8"/>
  <c r="V31" i="8"/>
  <c r="A20" i="11" s="1"/>
  <c r="Z31" i="8"/>
  <c r="H32" i="8"/>
  <c r="I32" i="8"/>
  <c r="J32" i="8"/>
  <c r="K32" i="8"/>
  <c r="L32" i="8"/>
  <c r="M32" i="8"/>
  <c r="N32" i="8"/>
  <c r="O32" i="8"/>
  <c r="P32" i="8"/>
  <c r="Q32" i="8"/>
  <c r="R32" i="8"/>
  <c r="S32" i="8"/>
  <c r="T32" i="8"/>
  <c r="V32" i="8"/>
  <c r="A21" i="11" s="1"/>
  <c r="Z32" i="8"/>
  <c r="H33" i="8"/>
  <c r="I33" i="8"/>
  <c r="J33" i="8"/>
  <c r="K33" i="8"/>
  <c r="L33" i="8"/>
  <c r="M33" i="8"/>
  <c r="N33" i="8"/>
  <c r="O33" i="8"/>
  <c r="P33" i="8"/>
  <c r="Q33" i="8"/>
  <c r="R33" i="8"/>
  <c r="S33" i="8"/>
  <c r="T33" i="8"/>
  <c r="V33" i="8"/>
  <c r="A22" i="11" s="1"/>
  <c r="Z33" i="8"/>
  <c r="H34" i="8"/>
  <c r="I34" i="8"/>
  <c r="J34" i="8"/>
  <c r="K34" i="8"/>
  <c r="L34" i="8"/>
  <c r="M34" i="8"/>
  <c r="N34" i="8"/>
  <c r="O34" i="8"/>
  <c r="P34" i="8"/>
  <c r="Q34" i="8"/>
  <c r="R34" i="8"/>
  <c r="S34" i="8"/>
  <c r="T34" i="8"/>
  <c r="V34" i="8"/>
  <c r="A23" i="11" s="1"/>
  <c r="Z34" i="8"/>
  <c r="H35" i="8"/>
  <c r="I35" i="8"/>
  <c r="J35" i="8"/>
  <c r="K35" i="8"/>
  <c r="L35" i="8"/>
  <c r="M35" i="8"/>
  <c r="N35" i="8"/>
  <c r="O35" i="8"/>
  <c r="P35" i="8"/>
  <c r="Q35" i="8"/>
  <c r="R35" i="8"/>
  <c r="S35" i="8"/>
  <c r="T35" i="8"/>
  <c r="V35" i="8"/>
  <c r="A24" i="11" s="1"/>
  <c r="Z35" i="8"/>
  <c r="H36" i="8"/>
  <c r="I36" i="8"/>
  <c r="J36" i="8"/>
  <c r="K36" i="8"/>
  <c r="L36" i="8"/>
  <c r="M36" i="8"/>
  <c r="N36" i="8"/>
  <c r="O36" i="8"/>
  <c r="P36" i="8"/>
  <c r="Q36" i="8"/>
  <c r="R36" i="8"/>
  <c r="S36" i="8"/>
  <c r="T36" i="8"/>
  <c r="V36" i="8"/>
  <c r="A25" i="11" s="1"/>
  <c r="Z36" i="8"/>
  <c r="H37" i="8"/>
  <c r="I37" i="8"/>
  <c r="J37" i="8"/>
  <c r="K37" i="8"/>
  <c r="L37" i="8"/>
  <c r="M37" i="8"/>
  <c r="N37" i="8"/>
  <c r="O37" i="8"/>
  <c r="P37" i="8"/>
  <c r="Q37" i="8"/>
  <c r="R37" i="8"/>
  <c r="S37" i="8"/>
  <c r="T37" i="8"/>
  <c r="V37" i="8"/>
  <c r="A26" i="11" s="1"/>
  <c r="Z37" i="8"/>
  <c r="H38" i="8"/>
  <c r="I38" i="8"/>
  <c r="J38" i="8"/>
  <c r="K38" i="8"/>
  <c r="L38" i="8"/>
  <c r="M38" i="8"/>
  <c r="N38" i="8"/>
  <c r="O38" i="8"/>
  <c r="P38" i="8"/>
  <c r="Q38" i="8"/>
  <c r="R38" i="8"/>
  <c r="S38" i="8"/>
  <c r="T38" i="8"/>
  <c r="V38" i="8"/>
  <c r="A27" i="11" s="1"/>
  <c r="Z38" i="8"/>
  <c r="H39" i="8"/>
  <c r="I39" i="8"/>
  <c r="J39" i="8"/>
  <c r="K39" i="8"/>
  <c r="L39" i="8"/>
  <c r="M39" i="8"/>
  <c r="N39" i="8"/>
  <c r="O39" i="8"/>
  <c r="P39" i="8"/>
  <c r="Q39" i="8"/>
  <c r="R39" i="8"/>
  <c r="S39" i="8"/>
  <c r="T39" i="8"/>
  <c r="V39" i="8"/>
  <c r="A28" i="11" s="1"/>
  <c r="Z39" i="8"/>
  <c r="H40" i="8"/>
  <c r="I40" i="8"/>
  <c r="J40" i="8"/>
  <c r="K40" i="8"/>
  <c r="L40" i="8"/>
  <c r="M40" i="8"/>
  <c r="N40" i="8"/>
  <c r="O40" i="8"/>
  <c r="P40" i="8"/>
  <c r="Q40" i="8"/>
  <c r="R40" i="8"/>
  <c r="S40" i="8"/>
  <c r="T40" i="8"/>
  <c r="V40" i="8"/>
  <c r="A29" i="11" s="1"/>
  <c r="Z40" i="8"/>
  <c r="H41" i="8"/>
  <c r="I41" i="8"/>
  <c r="J41" i="8"/>
  <c r="K41" i="8"/>
  <c r="L41" i="8"/>
  <c r="M41" i="8"/>
  <c r="N41" i="8"/>
  <c r="O41" i="8"/>
  <c r="P41" i="8"/>
  <c r="Q41" i="8"/>
  <c r="R41" i="8"/>
  <c r="S41" i="8"/>
  <c r="T41" i="8"/>
  <c r="V41" i="8"/>
  <c r="A30" i="11" s="1"/>
  <c r="Z41" i="8"/>
  <c r="H42" i="8"/>
  <c r="I42" i="8"/>
  <c r="J42" i="8"/>
  <c r="K42" i="8"/>
  <c r="L42" i="8"/>
  <c r="M42" i="8"/>
  <c r="N42" i="8"/>
  <c r="O42" i="8"/>
  <c r="P42" i="8"/>
  <c r="Q42" i="8"/>
  <c r="R42" i="8"/>
  <c r="S42" i="8"/>
  <c r="T42" i="8"/>
  <c r="V42" i="8"/>
  <c r="A31" i="11" s="1"/>
  <c r="Z42" i="8"/>
  <c r="H43" i="8"/>
  <c r="I43" i="8"/>
  <c r="J43" i="8"/>
  <c r="K43" i="8"/>
  <c r="L43" i="8"/>
  <c r="M43" i="8"/>
  <c r="N43" i="8"/>
  <c r="O43" i="8"/>
  <c r="P43" i="8"/>
  <c r="Q43" i="8"/>
  <c r="R43" i="8"/>
  <c r="S43" i="8"/>
  <c r="T43" i="8"/>
  <c r="V43" i="8"/>
  <c r="A32" i="11" s="1"/>
  <c r="Z43" i="8"/>
  <c r="H44" i="8"/>
  <c r="I44" i="8"/>
  <c r="J44" i="8"/>
  <c r="K44" i="8"/>
  <c r="L44" i="8"/>
  <c r="M44" i="8"/>
  <c r="N44" i="8"/>
  <c r="O44" i="8"/>
  <c r="P44" i="8"/>
  <c r="Q44" i="8"/>
  <c r="R44" i="8"/>
  <c r="S44" i="8"/>
  <c r="T44" i="8"/>
  <c r="V44" i="8"/>
  <c r="A33" i="11" s="1"/>
  <c r="Z44" i="8"/>
  <c r="H45" i="8"/>
  <c r="I45" i="8"/>
  <c r="J45" i="8"/>
  <c r="K45" i="8"/>
  <c r="L45" i="8"/>
  <c r="M45" i="8"/>
  <c r="N45" i="8"/>
  <c r="O45" i="8"/>
  <c r="P45" i="8"/>
  <c r="Q45" i="8"/>
  <c r="R45" i="8"/>
  <c r="S45" i="8"/>
  <c r="T45" i="8"/>
  <c r="V45" i="8"/>
  <c r="A34" i="11" s="1"/>
  <c r="Z45" i="8"/>
  <c r="H46" i="8"/>
  <c r="I46" i="8"/>
  <c r="J46" i="8"/>
  <c r="K46" i="8"/>
  <c r="L46" i="8"/>
  <c r="M46" i="8"/>
  <c r="N46" i="8"/>
  <c r="O46" i="8"/>
  <c r="P46" i="8"/>
  <c r="Q46" i="8"/>
  <c r="R46" i="8"/>
  <c r="S46" i="8"/>
  <c r="T46" i="8"/>
  <c r="V46" i="8"/>
  <c r="A35" i="11" s="1"/>
  <c r="Z46" i="8"/>
  <c r="H47" i="8"/>
  <c r="I47" i="8"/>
  <c r="J47" i="8"/>
  <c r="K47" i="8"/>
  <c r="L47" i="8"/>
  <c r="M47" i="8"/>
  <c r="N47" i="8"/>
  <c r="O47" i="8"/>
  <c r="P47" i="8"/>
  <c r="Q47" i="8"/>
  <c r="R47" i="8"/>
  <c r="S47" i="8"/>
  <c r="T47" i="8"/>
  <c r="V47" i="8"/>
  <c r="A36" i="11" s="1"/>
  <c r="Z47" i="8"/>
  <c r="H48" i="8"/>
  <c r="I48" i="8"/>
  <c r="J48" i="8"/>
  <c r="K48" i="8"/>
  <c r="L48" i="8"/>
  <c r="M48" i="8"/>
  <c r="N48" i="8"/>
  <c r="O48" i="8"/>
  <c r="P48" i="8"/>
  <c r="Q48" i="8"/>
  <c r="R48" i="8"/>
  <c r="S48" i="8"/>
  <c r="T48" i="8"/>
  <c r="V48" i="8"/>
  <c r="A37" i="11" s="1"/>
  <c r="Z48" i="8"/>
  <c r="H49" i="8"/>
  <c r="I49" i="8"/>
  <c r="J49" i="8"/>
  <c r="K49" i="8"/>
  <c r="L49" i="8"/>
  <c r="M49" i="8"/>
  <c r="N49" i="8"/>
  <c r="O49" i="8"/>
  <c r="P49" i="8"/>
  <c r="Q49" i="8"/>
  <c r="R49" i="8"/>
  <c r="S49" i="8"/>
  <c r="T49" i="8"/>
  <c r="V49" i="8"/>
  <c r="A38" i="11" s="1"/>
  <c r="Z49" i="8"/>
  <c r="H50" i="8"/>
  <c r="I50" i="8"/>
  <c r="J50" i="8"/>
  <c r="K50" i="8"/>
  <c r="L50" i="8"/>
  <c r="M50" i="8"/>
  <c r="N50" i="8"/>
  <c r="O50" i="8"/>
  <c r="P50" i="8"/>
  <c r="Q50" i="8"/>
  <c r="R50" i="8"/>
  <c r="S50" i="8"/>
  <c r="T50" i="8"/>
  <c r="V50" i="8"/>
  <c r="A39" i="11" s="1"/>
  <c r="Z50" i="8"/>
  <c r="H51" i="8"/>
  <c r="I51" i="8"/>
  <c r="J51" i="8"/>
  <c r="K51" i="8"/>
  <c r="L51" i="8"/>
  <c r="M51" i="8"/>
  <c r="N51" i="8"/>
  <c r="O51" i="8"/>
  <c r="P51" i="8"/>
  <c r="Q51" i="8"/>
  <c r="R51" i="8"/>
  <c r="S51" i="8"/>
  <c r="T51" i="8"/>
  <c r="V51" i="8"/>
  <c r="A40" i="11" s="1"/>
  <c r="Z51" i="8"/>
  <c r="H52" i="8"/>
  <c r="I52" i="8"/>
  <c r="J52" i="8"/>
  <c r="K52" i="8"/>
  <c r="L52" i="8"/>
  <c r="M52" i="8"/>
  <c r="N52" i="8"/>
  <c r="O52" i="8"/>
  <c r="P52" i="8"/>
  <c r="Q52" i="8"/>
  <c r="R52" i="8"/>
  <c r="S52" i="8"/>
  <c r="T52" i="8"/>
  <c r="V52" i="8"/>
  <c r="A41" i="11" s="1"/>
  <c r="Z52" i="8"/>
  <c r="H53" i="8"/>
  <c r="I53" i="8"/>
  <c r="J53" i="8"/>
  <c r="K53" i="8"/>
  <c r="L53" i="8"/>
  <c r="M53" i="8"/>
  <c r="N53" i="8"/>
  <c r="O53" i="8"/>
  <c r="P53" i="8"/>
  <c r="Q53" i="8"/>
  <c r="R53" i="8"/>
  <c r="S53" i="8"/>
  <c r="T53" i="8"/>
  <c r="V53" i="8"/>
  <c r="A42" i="11" s="1"/>
  <c r="Z53" i="8"/>
  <c r="H54" i="8"/>
  <c r="I54" i="8"/>
  <c r="J54" i="8"/>
  <c r="K54" i="8"/>
  <c r="L54" i="8"/>
  <c r="M54" i="8"/>
  <c r="N54" i="8"/>
  <c r="O54" i="8"/>
  <c r="P54" i="8"/>
  <c r="Q54" i="8"/>
  <c r="R54" i="8"/>
  <c r="S54" i="8"/>
  <c r="T54" i="8"/>
  <c r="V54" i="8"/>
  <c r="A43" i="11" s="1"/>
  <c r="Z54" i="8"/>
  <c r="H55" i="8"/>
  <c r="I55" i="8"/>
  <c r="J55" i="8"/>
  <c r="K55" i="8"/>
  <c r="L55" i="8"/>
  <c r="M55" i="8"/>
  <c r="N55" i="8"/>
  <c r="O55" i="8"/>
  <c r="P55" i="8"/>
  <c r="Q55" i="8"/>
  <c r="R55" i="8"/>
  <c r="S55" i="8"/>
  <c r="T55" i="8"/>
  <c r="V55" i="8"/>
  <c r="A44" i="11" s="1"/>
  <c r="Z55" i="8"/>
  <c r="H56" i="8"/>
  <c r="I56" i="8"/>
  <c r="J56" i="8"/>
  <c r="K56" i="8"/>
  <c r="L56" i="8"/>
  <c r="M56" i="8"/>
  <c r="N56" i="8"/>
  <c r="O56" i="8"/>
  <c r="P56" i="8"/>
  <c r="Q56" i="8"/>
  <c r="R56" i="8"/>
  <c r="S56" i="8"/>
  <c r="T56" i="8"/>
  <c r="V56" i="8"/>
  <c r="A45" i="11" s="1"/>
  <c r="Z56" i="8"/>
  <c r="H57" i="8"/>
  <c r="I57" i="8"/>
  <c r="J57" i="8"/>
  <c r="K57" i="8"/>
  <c r="L57" i="8"/>
  <c r="M57" i="8"/>
  <c r="N57" i="8"/>
  <c r="O57" i="8"/>
  <c r="P57" i="8"/>
  <c r="Q57" i="8"/>
  <c r="R57" i="8"/>
  <c r="S57" i="8"/>
  <c r="T57" i="8"/>
  <c r="V57" i="8"/>
  <c r="A46" i="11" s="1"/>
  <c r="Z57" i="8"/>
  <c r="H58" i="8"/>
  <c r="I58" i="8"/>
  <c r="J58" i="8"/>
  <c r="K58" i="8"/>
  <c r="L58" i="8"/>
  <c r="M58" i="8"/>
  <c r="N58" i="8"/>
  <c r="O58" i="8"/>
  <c r="P58" i="8"/>
  <c r="Q58" i="8"/>
  <c r="R58" i="8"/>
  <c r="S58" i="8"/>
  <c r="T58" i="8"/>
  <c r="V58" i="8"/>
  <c r="A47" i="11" s="1"/>
  <c r="Z58" i="8"/>
  <c r="H59" i="8"/>
  <c r="I59" i="8"/>
  <c r="J59" i="8"/>
  <c r="K59" i="8"/>
  <c r="L59" i="8"/>
  <c r="M59" i="8"/>
  <c r="N59" i="8"/>
  <c r="O59" i="8"/>
  <c r="P59" i="8"/>
  <c r="Q59" i="8"/>
  <c r="R59" i="8"/>
  <c r="S59" i="8"/>
  <c r="T59" i="8"/>
  <c r="V59" i="8"/>
  <c r="A48" i="11" s="1"/>
  <c r="Z59" i="8"/>
  <c r="H60" i="8"/>
  <c r="I60" i="8"/>
  <c r="J60" i="8"/>
  <c r="K60" i="8"/>
  <c r="L60" i="8"/>
  <c r="M60" i="8"/>
  <c r="N60" i="8"/>
  <c r="O60" i="8"/>
  <c r="P60" i="8"/>
  <c r="Q60" i="8"/>
  <c r="R60" i="8"/>
  <c r="S60" i="8"/>
  <c r="T60" i="8"/>
  <c r="V60" i="8"/>
  <c r="A49" i="11" s="1"/>
  <c r="Z60" i="8"/>
  <c r="H61" i="8"/>
  <c r="I61" i="8"/>
  <c r="J61" i="8"/>
  <c r="K61" i="8"/>
  <c r="L61" i="8"/>
  <c r="M61" i="8"/>
  <c r="N61" i="8"/>
  <c r="O61" i="8"/>
  <c r="P61" i="8"/>
  <c r="Q61" i="8"/>
  <c r="R61" i="8"/>
  <c r="S61" i="8"/>
  <c r="T61" i="8"/>
  <c r="V61" i="8"/>
  <c r="A50" i="11" s="1"/>
  <c r="Z61" i="8"/>
  <c r="H62" i="8"/>
  <c r="I62" i="8"/>
  <c r="J62" i="8"/>
  <c r="K62" i="8"/>
  <c r="L62" i="8"/>
  <c r="M62" i="8"/>
  <c r="N62" i="8"/>
  <c r="O62" i="8"/>
  <c r="P62" i="8"/>
  <c r="Q62" i="8"/>
  <c r="R62" i="8"/>
  <c r="S62" i="8"/>
  <c r="T62" i="8"/>
  <c r="V62" i="8"/>
  <c r="A51" i="11" s="1"/>
  <c r="Z62" i="8"/>
  <c r="H63" i="8"/>
  <c r="I63" i="8"/>
  <c r="J63" i="8"/>
  <c r="K63" i="8"/>
  <c r="L63" i="8"/>
  <c r="M63" i="8"/>
  <c r="N63" i="8"/>
  <c r="O63" i="8"/>
  <c r="P63" i="8"/>
  <c r="Q63" i="8"/>
  <c r="R63" i="8"/>
  <c r="S63" i="8"/>
  <c r="T63" i="8"/>
  <c r="V63" i="8"/>
  <c r="A52" i="11" s="1"/>
  <c r="Z63" i="8"/>
  <c r="H64" i="8"/>
  <c r="I64" i="8"/>
  <c r="J64" i="8"/>
  <c r="K64" i="8"/>
  <c r="L64" i="8"/>
  <c r="M64" i="8"/>
  <c r="N64" i="8"/>
  <c r="O64" i="8"/>
  <c r="P64" i="8"/>
  <c r="Q64" i="8"/>
  <c r="R64" i="8"/>
  <c r="S64" i="8"/>
  <c r="T64" i="8"/>
  <c r="V64" i="8"/>
  <c r="A53" i="11" s="1"/>
  <c r="Z64" i="8"/>
  <c r="H65" i="8"/>
  <c r="I65" i="8"/>
  <c r="J65" i="8"/>
  <c r="K65" i="8"/>
  <c r="L65" i="8"/>
  <c r="M65" i="8"/>
  <c r="N65" i="8"/>
  <c r="O65" i="8"/>
  <c r="P65" i="8"/>
  <c r="Q65" i="8"/>
  <c r="R65" i="8"/>
  <c r="S65" i="8"/>
  <c r="T65" i="8"/>
  <c r="V65" i="8"/>
  <c r="A54" i="11" s="1"/>
  <c r="Z65" i="8"/>
  <c r="H66" i="8"/>
  <c r="I66" i="8"/>
  <c r="J66" i="8"/>
  <c r="K66" i="8"/>
  <c r="L66" i="8"/>
  <c r="M66" i="8"/>
  <c r="N66" i="8"/>
  <c r="O66" i="8"/>
  <c r="P66" i="8"/>
  <c r="Q66" i="8"/>
  <c r="R66" i="8"/>
  <c r="S66" i="8"/>
  <c r="T66" i="8"/>
  <c r="V66" i="8"/>
  <c r="A55" i="11" s="1"/>
  <c r="Z66" i="8"/>
  <c r="H67" i="8"/>
  <c r="I67" i="8"/>
  <c r="J67" i="8"/>
  <c r="K67" i="8"/>
  <c r="L67" i="8"/>
  <c r="M67" i="8"/>
  <c r="N67" i="8"/>
  <c r="O67" i="8"/>
  <c r="P67" i="8"/>
  <c r="Q67" i="8"/>
  <c r="R67" i="8"/>
  <c r="S67" i="8"/>
  <c r="T67" i="8"/>
  <c r="V67" i="8"/>
  <c r="A56" i="11" s="1"/>
  <c r="Z67" i="8"/>
  <c r="H68" i="8"/>
  <c r="I68" i="8"/>
  <c r="J68" i="8"/>
  <c r="K68" i="8"/>
  <c r="L68" i="8"/>
  <c r="M68" i="8"/>
  <c r="N68" i="8"/>
  <c r="O68" i="8"/>
  <c r="P68" i="8"/>
  <c r="Q68" i="8"/>
  <c r="R68" i="8"/>
  <c r="S68" i="8"/>
  <c r="T68" i="8"/>
  <c r="V68" i="8"/>
  <c r="A57" i="11" s="1"/>
  <c r="Z68" i="8"/>
  <c r="H69" i="8"/>
  <c r="I69" i="8"/>
  <c r="J69" i="8"/>
  <c r="K69" i="8"/>
  <c r="L69" i="8"/>
  <c r="M69" i="8"/>
  <c r="N69" i="8"/>
  <c r="O69" i="8"/>
  <c r="P69" i="8"/>
  <c r="Q69" i="8"/>
  <c r="R69" i="8"/>
  <c r="S69" i="8"/>
  <c r="T69" i="8"/>
  <c r="V69" i="8"/>
  <c r="A58" i="11" s="1"/>
  <c r="Z69" i="8"/>
  <c r="H70" i="8"/>
  <c r="I70" i="8"/>
  <c r="J70" i="8"/>
  <c r="K70" i="8"/>
  <c r="L70" i="8"/>
  <c r="M70" i="8"/>
  <c r="N70" i="8"/>
  <c r="O70" i="8"/>
  <c r="P70" i="8"/>
  <c r="Q70" i="8"/>
  <c r="R70" i="8"/>
  <c r="S70" i="8"/>
  <c r="T70" i="8"/>
  <c r="V70" i="8"/>
  <c r="A59" i="11" s="1"/>
  <c r="Z70" i="8"/>
  <c r="H71" i="8"/>
  <c r="I71" i="8"/>
  <c r="J71" i="8"/>
  <c r="K71" i="8"/>
  <c r="L71" i="8"/>
  <c r="M71" i="8"/>
  <c r="N71" i="8"/>
  <c r="O71" i="8"/>
  <c r="P71" i="8"/>
  <c r="Q71" i="8"/>
  <c r="R71" i="8"/>
  <c r="S71" i="8"/>
  <c r="T71" i="8"/>
  <c r="V71" i="8"/>
  <c r="A60" i="11" s="1"/>
  <c r="Z71" i="8"/>
  <c r="H72" i="8"/>
  <c r="I72" i="8"/>
  <c r="J72" i="8"/>
  <c r="K72" i="8"/>
  <c r="L72" i="8"/>
  <c r="M72" i="8"/>
  <c r="N72" i="8"/>
  <c r="O72" i="8"/>
  <c r="P72" i="8"/>
  <c r="Q72" i="8"/>
  <c r="R72" i="8"/>
  <c r="S72" i="8"/>
  <c r="T72" i="8"/>
  <c r="V72" i="8"/>
  <c r="A61" i="11" s="1"/>
  <c r="Z72" i="8"/>
  <c r="H73" i="8"/>
  <c r="I73" i="8"/>
  <c r="J73" i="8"/>
  <c r="K73" i="8"/>
  <c r="L73" i="8"/>
  <c r="M73" i="8"/>
  <c r="N73" i="8"/>
  <c r="O73" i="8"/>
  <c r="P73" i="8"/>
  <c r="Q73" i="8"/>
  <c r="R73" i="8"/>
  <c r="S73" i="8"/>
  <c r="T73" i="8"/>
  <c r="V73" i="8"/>
  <c r="A62" i="11" s="1"/>
  <c r="Z73" i="8"/>
  <c r="H74" i="8"/>
  <c r="I74" i="8"/>
  <c r="J74" i="8"/>
  <c r="K74" i="8"/>
  <c r="L74" i="8"/>
  <c r="M74" i="8"/>
  <c r="N74" i="8"/>
  <c r="O74" i="8"/>
  <c r="P74" i="8"/>
  <c r="Q74" i="8"/>
  <c r="R74" i="8"/>
  <c r="S74" i="8"/>
  <c r="T74" i="8"/>
  <c r="V74" i="8"/>
  <c r="A63" i="11" s="1"/>
  <c r="Z74" i="8"/>
  <c r="H75" i="8"/>
  <c r="I75" i="8"/>
  <c r="J75" i="8"/>
  <c r="K75" i="8"/>
  <c r="L75" i="8"/>
  <c r="M75" i="8"/>
  <c r="N75" i="8"/>
  <c r="O75" i="8"/>
  <c r="P75" i="8"/>
  <c r="Q75" i="8"/>
  <c r="R75" i="8"/>
  <c r="S75" i="8"/>
  <c r="T75" i="8"/>
  <c r="V75" i="8"/>
  <c r="A64" i="11" s="1"/>
  <c r="Z75" i="8"/>
  <c r="H76" i="8"/>
  <c r="I76" i="8"/>
  <c r="J76" i="8"/>
  <c r="K76" i="8"/>
  <c r="L76" i="8"/>
  <c r="M76" i="8"/>
  <c r="N76" i="8"/>
  <c r="O76" i="8"/>
  <c r="P76" i="8"/>
  <c r="Q76" i="8"/>
  <c r="R76" i="8"/>
  <c r="S76" i="8"/>
  <c r="T76" i="8"/>
  <c r="V76" i="8"/>
  <c r="A65" i="11" s="1"/>
  <c r="Z76" i="8"/>
  <c r="H77" i="8"/>
  <c r="I77" i="8"/>
  <c r="J77" i="8"/>
  <c r="K77" i="8"/>
  <c r="L77" i="8"/>
  <c r="M77" i="8"/>
  <c r="N77" i="8"/>
  <c r="O77" i="8"/>
  <c r="P77" i="8"/>
  <c r="Q77" i="8"/>
  <c r="R77" i="8"/>
  <c r="S77" i="8"/>
  <c r="T77" i="8"/>
  <c r="V77" i="8"/>
  <c r="A66" i="11" s="1"/>
  <c r="Z77" i="8"/>
  <c r="H78" i="8"/>
  <c r="I78" i="8"/>
  <c r="J78" i="8"/>
  <c r="K78" i="8"/>
  <c r="L78" i="8"/>
  <c r="M78" i="8"/>
  <c r="N78" i="8"/>
  <c r="O78" i="8"/>
  <c r="P78" i="8"/>
  <c r="Q78" i="8"/>
  <c r="R78" i="8"/>
  <c r="S78" i="8"/>
  <c r="T78" i="8"/>
  <c r="V78" i="8"/>
  <c r="A67" i="11" s="1"/>
  <c r="Z78" i="8"/>
  <c r="H79" i="8"/>
  <c r="I79" i="8"/>
  <c r="J79" i="8"/>
  <c r="K79" i="8"/>
  <c r="L79" i="8"/>
  <c r="M79" i="8"/>
  <c r="N79" i="8"/>
  <c r="O79" i="8"/>
  <c r="P79" i="8"/>
  <c r="Q79" i="8"/>
  <c r="R79" i="8"/>
  <c r="S79" i="8"/>
  <c r="T79" i="8"/>
  <c r="V79" i="8"/>
  <c r="A68" i="11" s="1"/>
  <c r="Z79" i="8"/>
  <c r="H80" i="8"/>
  <c r="I80" i="8"/>
  <c r="J80" i="8"/>
  <c r="K80" i="8"/>
  <c r="L80" i="8"/>
  <c r="M80" i="8"/>
  <c r="N80" i="8"/>
  <c r="O80" i="8"/>
  <c r="P80" i="8"/>
  <c r="Q80" i="8"/>
  <c r="R80" i="8"/>
  <c r="S80" i="8"/>
  <c r="T80" i="8"/>
  <c r="V80" i="8"/>
  <c r="A69" i="11" s="1"/>
  <c r="Z80" i="8"/>
  <c r="H81" i="8"/>
  <c r="I81" i="8"/>
  <c r="J81" i="8"/>
  <c r="K81" i="8"/>
  <c r="L81" i="8"/>
  <c r="M81" i="8"/>
  <c r="N81" i="8"/>
  <c r="O81" i="8"/>
  <c r="P81" i="8"/>
  <c r="Q81" i="8"/>
  <c r="R81" i="8"/>
  <c r="S81" i="8"/>
  <c r="T81" i="8"/>
  <c r="V81" i="8"/>
  <c r="A70" i="11" s="1"/>
  <c r="Z81" i="8"/>
  <c r="H82" i="8"/>
  <c r="I82" i="8"/>
  <c r="J82" i="8"/>
  <c r="K82" i="8"/>
  <c r="L82" i="8"/>
  <c r="M82" i="8"/>
  <c r="N82" i="8"/>
  <c r="O82" i="8"/>
  <c r="P82" i="8"/>
  <c r="Q82" i="8"/>
  <c r="R82" i="8"/>
  <c r="S82" i="8"/>
  <c r="T82" i="8"/>
  <c r="V82" i="8"/>
  <c r="A71" i="11" s="1"/>
  <c r="Z82" i="8"/>
  <c r="H83" i="8"/>
  <c r="I83" i="8"/>
  <c r="J83" i="8"/>
  <c r="K83" i="8"/>
  <c r="L83" i="8"/>
  <c r="M83" i="8"/>
  <c r="N83" i="8"/>
  <c r="O83" i="8"/>
  <c r="P83" i="8"/>
  <c r="Q83" i="8"/>
  <c r="R83" i="8"/>
  <c r="S83" i="8"/>
  <c r="T83" i="8"/>
  <c r="V83" i="8"/>
  <c r="A72" i="11" s="1"/>
  <c r="Z83" i="8"/>
  <c r="H84" i="8"/>
  <c r="I84" i="8"/>
  <c r="J84" i="8"/>
  <c r="K84" i="8"/>
  <c r="L84" i="8"/>
  <c r="M84" i="8"/>
  <c r="N84" i="8"/>
  <c r="O84" i="8"/>
  <c r="P84" i="8"/>
  <c r="Q84" i="8"/>
  <c r="R84" i="8"/>
  <c r="S84" i="8"/>
  <c r="T84" i="8"/>
  <c r="V84" i="8"/>
  <c r="A73" i="11" s="1"/>
  <c r="Z84" i="8"/>
  <c r="H85" i="8"/>
  <c r="I85" i="8"/>
  <c r="J85" i="8"/>
  <c r="K85" i="8"/>
  <c r="L85" i="8"/>
  <c r="M85" i="8"/>
  <c r="N85" i="8"/>
  <c r="O85" i="8"/>
  <c r="P85" i="8"/>
  <c r="Q85" i="8"/>
  <c r="R85" i="8"/>
  <c r="S85" i="8"/>
  <c r="T85" i="8"/>
  <c r="V85" i="8"/>
  <c r="A74" i="11" s="1"/>
  <c r="Z85" i="8"/>
  <c r="H86" i="8"/>
  <c r="I86" i="8"/>
  <c r="J86" i="8"/>
  <c r="K86" i="8"/>
  <c r="L86" i="8"/>
  <c r="M86" i="8"/>
  <c r="N86" i="8"/>
  <c r="O86" i="8"/>
  <c r="P86" i="8"/>
  <c r="Q86" i="8"/>
  <c r="R86" i="8"/>
  <c r="S86" i="8"/>
  <c r="T86" i="8"/>
  <c r="V86" i="8"/>
  <c r="A75" i="11" s="1"/>
  <c r="Z86" i="8"/>
  <c r="H87" i="8"/>
  <c r="I87" i="8"/>
  <c r="J87" i="8"/>
  <c r="K87" i="8"/>
  <c r="L87" i="8"/>
  <c r="M87" i="8"/>
  <c r="N87" i="8"/>
  <c r="O87" i="8"/>
  <c r="P87" i="8"/>
  <c r="Q87" i="8"/>
  <c r="R87" i="8"/>
  <c r="S87" i="8"/>
  <c r="T87" i="8"/>
  <c r="V87" i="8"/>
  <c r="A76" i="11" s="1"/>
  <c r="Z87" i="8"/>
  <c r="H88" i="8"/>
  <c r="I88" i="8"/>
  <c r="J88" i="8"/>
  <c r="K88" i="8"/>
  <c r="L88" i="8"/>
  <c r="M88" i="8"/>
  <c r="N88" i="8"/>
  <c r="O88" i="8"/>
  <c r="P88" i="8"/>
  <c r="Q88" i="8"/>
  <c r="R88" i="8"/>
  <c r="S88" i="8"/>
  <c r="T88" i="8"/>
  <c r="V88" i="8"/>
  <c r="A77" i="11" s="1"/>
  <c r="Z88" i="8"/>
  <c r="H89" i="8"/>
  <c r="I89" i="8"/>
  <c r="J89" i="8"/>
  <c r="K89" i="8"/>
  <c r="L89" i="8"/>
  <c r="M89" i="8"/>
  <c r="N89" i="8"/>
  <c r="O89" i="8"/>
  <c r="P89" i="8"/>
  <c r="Q89" i="8"/>
  <c r="R89" i="8"/>
  <c r="S89" i="8"/>
  <c r="T89" i="8"/>
  <c r="V89" i="8"/>
  <c r="A78" i="11" s="1"/>
  <c r="Z89" i="8"/>
  <c r="H90" i="8"/>
  <c r="I90" i="8"/>
  <c r="J90" i="8"/>
  <c r="K90" i="8"/>
  <c r="L90" i="8"/>
  <c r="M90" i="8"/>
  <c r="N90" i="8"/>
  <c r="O90" i="8"/>
  <c r="P90" i="8"/>
  <c r="Q90" i="8"/>
  <c r="R90" i="8"/>
  <c r="S90" i="8"/>
  <c r="T90" i="8"/>
  <c r="V90" i="8"/>
  <c r="A79" i="11" s="1"/>
  <c r="Z90" i="8"/>
  <c r="H91" i="8"/>
  <c r="I91" i="8"/>
  <c r="J91" i="8"/>
  <c r="K91" i="8"/>
  <c r="L91" i="8"/>
  <c r="M91" i="8"/>
  <c r="N91" i="8"/>
  <c r="O91" i="8"/>
  <c r="P91" i="8"/>
  <c r="Q91" i="8"/>
  <c r="R91" i="8"/>
  <c r="S91" i="8"/>
  <c r="T91" i="8"/>
  <c r="V91" i="8"/>
  <c r="A80" i="11" s="1"/>
  <c r="Z91" i="8"/>
  <c r="H92" i="8"/>
  <c r="I92" i="8"/>
  <c r="J92" i="8"/>
  <c r="K92" i="8"/>
  <c r="L92" i="8"/>
  <c r="M92" i="8"/>
  <c r="N92" i="8"/>
  <c r="O92" i="8"/>
  <c r="P92" i="8"/>
  <c r="Q92" i="8"/>
  <c r="R92" i="8"/>
  <c r="S92" i="8"/>
  <c r="T92" i="8"/>
  <c r="V92" i="8"/>
  <c r="A81" i="11" s="1"/>
  <c r="Z92" i="8"/>
  <c r="H93" i="8"/>
  <c r="I93" i="8"/>
  <c r="J93" i="8"/>
  <c r="K93" i="8"/>
  <c r="L93" i="8"/>
  <c r="M93" i="8"/>
  <c r="N93" i="8"/>
  <c r="O93" i="8"/>
  <c r="P93" i="8"/>
  <c r="Q93" i="8"/>
  <c r="R93" i="8"/>
  <c r="S93" i="8"/>
  <c r="T93" i="8"/>
  <c r="V93" i="8"/>
  <c r="A82" i="11" s="1"/>
  <c r="Z93" i="8"/>
  <c r="H94" i="8"/>
  <c r="I94" i="8"/>
  <c r="J94" i="8"/>
  <c r="K94" i="8"/>
  <c r="L94" i="8"/>
  <c r="M94" i="8"/>
  <c r="N94" i="8"/>
  <c r="O94" i="8"/>
  <c r="P94" i="8"/>
  <c r="Q94" i="8"/>
  <c r="R94" i="8"/>
  <c r="S94" i="8"/>
  <c r="T94" i="8"/>
  <c r="V94" i="8"/>
  <c r="A83" i="11" s="1"/>
  <c r="Z94" i="8"/>
  <c r="H95" i="8"/>
  <c r="I95" i="8"/>
  <c r="J95" i="8"/>
  <c r="K95" i="8"/>
  <c r="L95" i="8"/>
  <c r="M95" i="8"/>
  <c r="N95" i="8"/>
  <c r="O95" i="8"/>
  <c r="P95" i="8"/>
  <c r="Q95" i="8"/>
  <c r="R95" i="8"/>
  <c r="S95" i="8"/>
  <c r="T95" i="8"/>
  <c r="V95" i="8"/>
  <c r="A84" i="11" s="1"/>
  <c r="Z95" i="8"/>
  <c r="H96" i="8"/>
  <c r="I96" i="8"/>
  <c r="J96" i="8"/>
  <c r="K96" i="8"/>
  <c r="L96" i="8"/>
  <c r="M96" i="8"/>
  <c r="N96" i="8"/>
  <c r="O96" i="8"/>
  <c r="P96" i="8"/>
  <c r="Q96" i="8"/>
  <c r="R96" i="8"/>
  <c r="S96" i="8"/>
  <c r="T96" i="8"/>
  <c r="V96" i="8"/>
  <c r="A85" i="11" s="1"/>
  <c r="Z96" i="8"/>
  <c r="H97" i="8"/>
  <c r="I97" i="8"/>
  <c r="J97" i="8"/>
  <c r="K97" i="8"/>
  <c r="L97" i="8"/>
  <c r="M97" i="8"/>
  <c r="N97" i="8"/>
  <c r="O97" i="8"/>
  <c r="P97" i="8"/>
  <c r="Q97" i="8"/>
  <c r="R97" i="8"/>
  <c r="S97" i="8"/>
  <c r="T97" i="8"/>
  <c r="V97" i="8"/>
  <c r="A86" i="11" s="1"/>
  <c r="Z97" i="8"/>
  <c r="H98" i="8"/>
  <c r="I98" i="8"/>
  <c r="J98" i="8"/>
  <c r="K98" i="8"/>
  <c r="L98" i="8"/>
  <c r="M98" i="8"/>
  <c r="N98" i="8"/>
  <c r="O98" i="8"/>
  <c r="P98" i="8"/>
  <c r="Q98" i="8"/>
  <c r="R98" i="8"/>
  <c r="S98" i="8"/>
  <c r="T98" i="8"/>
  <c r="V98" i="8"/>
  <c r="A87" i="11" s="1"/>
  <c r="Z98" i="8"/>
  <c r="H99" i="8"/>
  <c r="I99" i="8"/>
  <c r="J99" i="8"/>
  <c r="K99" i="8"/>
  <c r="L99" i="8"/>
  <c r="M99" i="8"/>
  <c r="N99" i="8"/>
  <c r="O99" i="8"/>
  <c r="P99" i="8"/>
  <c r="Q99" i="8"/>
  <c r="R99" i="8"/>
  <c r="S99" i="8"/>
  <c r="T99" i="8"/>
  <c r="V99" i="8"/>
  <c r="A88" i="11" s="1"/>
  <c r="Z99" i="8"/>
  <c r="H100" i="8"/>
  <c r="I100" i="8"/>
  <c r="J100" i="8"/>
  <c r="K100" i="8"/>
  <c r="L100" i="8"/>
  <c r="M100" i="8"/>
  <c r="N100" i="8"/>
  <c r="O100" i="8"/>
  <c r="P100" i="8"/>
  <c r="Q100" i="8"/>
  <c r="R100" i="8"/>
  <c r="S100" i="8"/>
  <c r="T100" i="8"/>
  <c r="V100" i="8"/>
  <c r="A89" i="11" s="1"/>
  <c r="Z100" i="8"/>
  <c r="H101" i="8"/>
  <c r="I101" i="8"/>
  <c r="J101" i="8"/>
  <c r="K101" i="8"/>
  <c r="L101" i="8"/>
  <c r="M101" i="8"/>
  <c r="N101" i="8"/>
  <c r="O101" i="8"/>
  <c r="P101" i="8"/>
  <c r="Q101" i="8"/>
  <c r="R101" i="8"/>
  <c r="S101" i="8"/>
  <c r="T101" i="8"/>
  <c r="V101" i="8"/>
  <c r="A90" i="11" s="1"/>
  <c r="Z101" i="8"/>
  <c r="H102" i="8"/>
  <c r="I102" i="8"/>
  <c r="J102" i="8"/>
  <c r="K102" i="8"/>
  <c r="L102" i="8"/>
  <c r="M102" i="8"/>
  <c r="N102" i="8"/>
  <c r="O102" i="8"/>
  <c r="P102" i="8"/>
  <c r="Q102" i="8"/>
  <c r="R102" i="8"/>
  <c r="S102" i="8"/>
  <c r="T102" i="8"/>
  <c r="V102" i="8"/>
  <c r="A91" i="11" s="1"/>
  <c r="Z102" i="8"/>
  <c r="H103" i="8"/>
  <c r="I103" i="8"/>
  <c r="J103" i="8"/>
  <c r="K103" i="8"/>
  <c r="L103" i="8"/>
  <c r="M103" i="8"/>
  <c r="N103" i="8"/>
  <c r="O103" i="8"/>
  <c r="P103" i="8"/>
  <c r="Q103" i="8"/>
  <c r="R103" i="8"/>
  <c r="S103" i="8"/>
  <c r="T103" i="8"/>
  <c r="V103" i="8"/>
  <c r="A92" i="11" s="1"/>
  <c r="Z103" i="8"/>
  <c r="H104" i="8"/>
  <c r="I104" i="8"/>
  <c r="J104" i="8"/>
  <c r="K104" i="8"/>
  <c r="L104" i="8"/>
  <c r="M104" i="8"/>
  <c r="N104" i="8"/>
  <c r="O104" i="8"/>
  <c r="P104" i="8"/>
  <c r="Q104" i="8"/>
  <c r="R104" i="8"/>
  <c r="S104" i="8"/>
  <c r="T104" i="8"/>
  <c r="V104" i="8"/>
  <c r="A93" i="11" s="1"/>
  <c r="Z104" i="8"/>
  <c r="H105" i="8"/>
  <c r="I105" i="8"/>
  <c r="J105" i="8"/>
  <c r="K105" i="8"/>
  <c r="L105" i="8"/>
  <c r="M105" i="8"/>
  <c r="N105" i="8"/>
  <c r="O105" i="8"/>
  <c r="P105" i="8"/>
  <c r="Q105" i="8"/>
  <c r="R105" i="8"/>
  <c r="S105" i="8"/>
  <c r="T105" i="8"/>
  <c r="V105" i="8"/>
  <c r="A94" i="11" s="1"/>
  <c r="Z105" i="8"/>
  <c r="H106" i="8"/>
  <c r="I106" i="8"/>
  <c r="J106" i="8"/>
  <c r="K106" i="8"/>
  <c r="L106" i="8"/>
  <c r="M106" i="8"/>
  <c r="N106" i="8"/>
  <c r="O106" i="8"/>
  <c r="P106" i="8"/>
  <c r="Q106" i="8"/>
  <c r="R106" i="8"/>
  <c r="S106" i="8"/>
  <c r="T106" i="8"/>
  <c r="V106" i="8"/>
  <c r="A95" i="11" s="1"/>
  <c r="Z106" i="8"/>
  <c r="H107" i="8"/>
  <c r="I107" i="8"/>
  <c r="J107" i="8"/>
  <c r="K107" i="8"/>
  <c r="L107" i="8"/>
  <c r="M107" i="8"/>
  <c r="N107" i="8"/>
  <c r="O107" i="8"/>
  <c r="P107" i="8"/>
  <c r="Q107" i="8"/>
  <c r="R107" i="8"/>
  <c r="S107" i="8"/>
  <c r="T107" i="8"/>
  <c r="V107" i="8"/>
  <c r="A96" i="11" s="1"/>
  <c r="Z107" i="8"/>
  <c r="H108" i="8"/>
  <c r="I108" i="8"/>
  <c r="J108" i="8"/>
  <c r="K108" i="8"/>
  <c r="L108" i="8"/>
  <c r="M108" i="8"/>
  <c r="N108" i="8"/>
  <c r="O108" i="8"/>
  <c r="P108" i="8"/>
  <c r="Q108" i="8"/>
  <c r="R108" i="8"/>
  <c r="S108" i="8"/>
  <c r="T108" i="8"/>
  <c r="V108" i="8"/>
  <c r="A97" i="11" s="1"/>
  <c r="Z108" i="8"/>
  <c r="H109" i="8"/>
  <c r="I109" i="8"/>
  <c r="J109" i="8"/>
  <c r="K109" i="8"/>
  <c r="L109" i="8"/>
  <c r="M109" i="8"/>
  <c r="N109" i="8"/>
  <c r="O109" i="8"/>
  <c r="P109" i="8"/>
  <c r="Q109" i="8"/>
  <c r="R109" i="8"/>
  <c r="S109" i="8"/>
  <c r="T109" i="8"/>
  <c r="V109" i="8"/>
  <c r="A98" i="11" s="1"/>
  <c r="Z109" i="8"/>
  <c r="H110" i="8"/>
  <c r="I110" i="8"/>
  <c r="J110" i="8"/>
  <c r="K110" i="8"/>
  <c r="L110" i="8"/>
  <c r="M110" i="8"/>
  <c r="N110" i="8"/>
  <c r="O110" i="8"/>
  <c r="P110" i="8"/>
  <c r="Q110" i="8"/>
  <c r="R110" i="8"/>
  <c r="S110" i="8"/>
  <c r="T110" i="8"/>
  <c r="V110" i="8"/>
  <c r="A99" i="11" s="1"/>
  <c r="Z110" i="8"/>
  <c r="H111" i="8"/>
  <c r="I111" i="8"/>
  <c r="J111" i="8"/>
  <c r="K111" i="8"/>
  <c r="L111" i="8"/>
  <c r="M111" i="8"/>
  <c r="N111" i="8"/>
  <c r="O111" i="8"/>
  <c r="P111" i="8"/>
  <c r="Q111" i="8"/>
  <c r="R111" i="8"/>
  <c r="S111" i="8"/>
  <c r="T111" i="8"/>
  <c r="V111" i="8"/>
  <c r="A100" i="11" s="1"/>
  <c r="Z111" i="8"/>
  <c r="H112" i="8"/>
  <c r="I112" i="8"/>
  <c r="J112" i="8"/>
  <c r="K112" i="8"/>
  <c r="L112" i="8"/>
  <c r="M112" i="8"/>
  <c r="N112" i="8"/>
  <c r="O112" i="8"/>
  <c r="P112" i="8"/>
  <c r="Q112" i="8"/>
  <c r="R112" i="8"/>
  <c r="S112" i="8"/>
  <c r="T112" i="8"/>
  <c r="V112" i="8"/>
  <c r="A101" i="11" s="1"/>
  <c r="Z112" i="8"/>
  <c r="H113" i="8"/>
  <c r="I113" i="8"/>
  <c r="J113" i="8"/>
  <c r="K113" i="8"/>
  <c r="L113" i="8"/>
  <c r="M113" i="8"/>
  <c r="N113" i="8"/>
  <c r="O113" i="8"/>
  <c r="P113" i="8"/>
  <c r="Q113" i="8"/>
  <c r="R113" i="8"/>
  <c r="S113" i="8"/>
  <c r="T113" i="8"/>
  <c r="V113" i="8"/>
  <c r="A102" i="11" s="1"/>
  <c r="Z113" i="8"/>
  <c r="H114" i="8"/>
  <c r="I114" i="8"/>
  <c r="J114" i="8"/>
  <c r="K114" i="8"/>
  <c r="L114" i="8"/>
  <c r="M114" i="8"/>
  <c r="N114" i="8"/>
  <c r="O114" i="8"/>
  <c r="P114" i="8"/>
  <c r="Q114" i="8"/>
  <c r="R114" i="8"/>
  <c r="S114" i="8"/>
  <c r="T114" i="8"/>
  <c r="V114" i="8"/>
  <c r="A103" i="11" s="1"/>
  <c r="Z114" i="8"/>
  <c r="H115" i="8"/>
  <c r="I115" i="8"/>
  <c r="J115" i="8"/>
  <c r="K115" i="8"/>
  <c r="L115" i="8"/>
  <c r="M115" i="8"/>
  <c r="N115" i="8"/>
  <c r="O115" i="8"/>
  <c r="P115" i="8"/>
  <c r="Q115" i="8"/>
  <c r="R115" i="8"/>
  <c r="S115" i="8"/>
  <c r="T115" i="8"/>
  <c r="V115" i="8"/>
  <c r="A104" i="11" s="1"/>
  <c r="Z115" i="8"/>
  <c r="H116" i="8"/>
  <c r="I116" i="8"/>
  <c r="J116" i="8"/>
  <c r="K116" i="8"/>
  <c r="L116" i="8"/>
  <c r="M116" i="8"/>
  <c r="N116" i="8"/>
  <c r="O116" i="8"/>
  <c r="P116" i="8"/>
  <c r="Q116" i="8"/>
  <c r="R116" i="8"/>
  <c r="S116" i="8"/>
  <c r="T116" i="8"/>
  <c r="V116" i="8"/>
  <c r="A105" i="11" s="1"/>
  <c r="Z116" i="8"/>
  <c r="H117" i="8"/>
  <c r="I117" i="8"/>
  <c r="J117" i="8"/>
  <c r="K117" i="8"/>
  <c r="L117" i="8"/>
  <c r="M117" i="8"/>
  <c r="N117" i="8"/>
  <c r="O117" i="8"/>
  <c r="P117" i="8"/>
  <c r="Q117" i="8"/>
  <c r="R117" i="8"/>
  <c r="S117" i="8"/>
  <c r="T117" i="8"/>
  <c r="V117" i="8"/>
  <c r="A106" i="11" s="1"/>
  <c r="Z117" i="8"/>
  <c r="H118" i="8"/>
  <c r="I118" i="8"/>
  <c r="J118" i="8"/>
  <c r="K118" i="8"/>
  <c r="L118" i="8"/>
  <c r="M118" i="8"/>
  <c r="N118" i="8"/>
  <c r="O118" i="8"/>
  <c r="P118" i="8"/>
  <c r="Q118" i="8"/>
  <c r="R118" i="8"/>
  <c r="S118" i="8"/>
  <c r="T118" i="8"/>
  <c r="V118" i="8"/>
  <c r="A107" i="11" s="1"/>
  <c r="Z118" i="8"/>
  <c r="H119" i="8"/>
  <c r="I119" i="8"/>
  <c r="J119" i="8"/>
  <c r="K119" i="8"/>
  <c r="L119" i="8"/>
  <c r="M119" i="8"/>
  <c r="N119" i="8"/>
  <c r="O119" i="8"/>
  <c r="P119" i="8"/>
  <c r="Q119" i="8"/>
  <c r="R119" i="8"/>
  <c r="S119" i="8"/>
  <c r="T119" i="8"/>
  <c r="V119" i="8"/>
  <c r="A108" i="11" s="1"/>
  <c r="Z119" i="8"/>
  <c r="H120" i="8"/>
  <c r="I120" i="8"/>
  <c r="J120" i="8"/>
  <c r="K120" i="8"/>
  <c r="L120" i="8"/>
  <c r="M120" i="8"/>
  <c r="N120" i="8"/>
  <c r="O120" i="8"/>
  <c r="P120" i="8"/>
  <c r="Q120" i="8"/>
  <c r="R120" i="8"/>
  <c r="S120" i="8"/>
  <c r="T120" i="8"/>
  <c r="V120" i="8"/>
  <c r="A109" i="11" s="1"/>
  <c r="Z120" i="8"/>
  <c r="H121" i="8"/>
  <c r="I121" i="8"/>
  <c r="J121" i="8"/>
  <c r="K121" i="8"/>
  <c r="L121" i="8"/>
  <c r="M121" i="8"/>
  <c r="N121" i="8"/>
  <c r="O121" i="8"/>
  <c r="P121" i="8"/>
  <c r="Q121" i="8"/>
  <c r="R121" i="8"/>
  <c r="S121" i="8"/>
  <c r="T121" i="8"/>
  <c r="V121" i="8"/>
  <c r="A110" i="11" s="1"/>
  <c r="Z121" i="8"/>
  <c r="H122" i="8"/>
  <c r="I122" i="8"/>
  <c r="J122" i="8"/>
  <c r="K122" i="8"/>
  <c r="L122" i="8"/>
  <c r="M122" i="8"/>
  <c r="N122" i="8"/>
  <c r="O122" i="8"/>
  <c r="P122" i="8"/>
  <c r="Q122" i="8"/>
  <c r="R122" i="8"/>
  <c r="S122" i="8"/>
  <c r="T122" i="8"/>
  <c r="V122" i="8"/>
  <c r="A111" i="11" s="1"/>
  <c r="Z122" i="8"/>
  <c r="H123" i="8"/>
  <c r="I123" i="8"/>
  <c r="J123" i="8"/>
  <c r="K123" i="8"/>
  <c r="L123" i="8"/>
  <c r="M123" i="8"/>
  <c r="N123" i="8"/>
  <c r="O123" i="8"/>
  <c r="P123" i="8"/>
  <c r="Q123" i="8"/>
  <c r="R123" i="8"/>
  <c r="S123" i="8"/>
  <c r="T123" i="8"/>
  <c r="V123" i="8"/>
  <c r="A112" i="11" s="1"/>
  <c r="Z123" i="8"/>
  <c r="H124" i="8"/>
  <c r="I124" i="8"/>
  <c r="J124" i="8"/>
  <c r="K124" i="8"/>
  <c r="L124" i="8"/>
  <c r="M124" i="8"/>
  <c r="N124" i="8"/>
  <c r="O124" i="8"/>
  <c r="P124" i="8"/>
  <c r="Q124" i="8"/>
  <c r="R124" i="8"/>
  <c r="S124" i="8"/>
  <c r="T124" i="8"/>
  <c r="V124" i="8"/>
  <c r="A113" i="11" s="1"/>
  <c r="Z124" i="8"/>
  <c r="H125" i="8"/>
  <c r="I125" i="8"/>
  <c r="J125" i="8"/>
  <c r="K125" i="8"/>
  <c r="L125" i="8"/>
  <c r="M125" i="8"/>
  <c r="N125" i="8"/>
  <c r="O125" i="8"/>
  <c r="P125" i="8"/>
  <c r="Q125" i="8"/>
  <c r="R125" i="8"/>
  <c r="S125" i="8"/>
  <c r="T125" i="8"/>
  <c r="V125" i="8"/>
  <c r="A114" i="11" s="1"/>
  <c r="Z125" i="8"/>
  <c r="H126" i="8"/>
  <c r="I126" i="8"/>
  <c r="J126" i="8"/>
  <c r="K126" i="8"/>
  <c r="L126" i="8"/>
  <c r="M126" i="8"/>
  <c r="N126" i="8"/>
  <c r="O126" i="8"/>
  <c r="P126" i="8"/>
  <c r="Q126" i="8"/>
  <c r="R126" i="8"/>
  <c r="S126" i="8"/>
  <c r="T126" i="8"/>
  <c r="V126" i="8"/>
  <c r="A115" i="11" s="1"/>
  <c r="Z126" i="8"/>
  <c r="H127" i="8"/>
  <c r="I127" i="8"/>
  <c r="J127" i="8"/>
  <c r="K127" i="8"/>
  <c r="L127" i="8"/>
  <c r="M127" i="8"/>
  <c r="N127" i="8"/>
  <c r="O127" i="8"/>
  <c r="P127" i="8"/>
  <c r="Q127" i="8"/>
  <c r="R127" i="8"/>
  <c r="S127" i="8"/>
  <c r="T127" i="8"/>
  <c r="V127" i="8"/>
  <c r="A116" i="11" s="1"/>
  <c r="Z127" i="8"/>
  <c r="H128" i="8"/>
  <c r="I128" i="8"/>
  <c r="J128" i="8"/>
  <c r="K128" i="8"/>
  <c r="L128" i="8"/>
  <c r="M128" i="8"/>
  <c r="N128" i="8"/>
  <c r="O128" i="8"/>
  <c r="P128" i="8"/>
  <c r="Q128" i="8"/>
  <c r="R128" i="8"/>
  <c r="S128" i="8"/>
  <c r="T128" i="8"/>
  <c r="V128" i="8"/>
  <c r="A117" i="11" s="1"/>
  <c r="Z128" i="8"/>
  <c r="H129" i="8"/>
  <c r="I129" i="8"/>
  <c r="J129" i="8"/>
  <c r="K129" i="8"/>
  <c r="L129" i="8"/>
  <c r="M129" i="8"/>
  <c r="N129" i="8"/>
  <c r="O129" i="8"/>
  <c r="P129" i="8"/>
  <c r="Q129" i="8"/>
  <c r="R129" i="8"/>
  <c r="S129" i="8"/>
  <c r="T129" i="8"/>
  <c r="V129" i="8"/>
  <c r="A118" i="11" s="1"/>
  <c r="Z129" i="8"/>
  <c r="H130" i="8"/>
  <c r="I130" i="8"/>
  <c r="J130" i="8"/>
  <c r="K130" i="8"/>
  <c r="L130" i="8"/>
  <c r="M130" i="8"/>
  <c r="N130" i="8"/>
  <c r="O130" i="8"/>
  <c r="P130" i="8"/>
  <c r="Q130" i="8"/>
  <c r="R130" i="8"/>
  <c r="S130" i="8"/>
  <c r="T130" i="8"/>
  <c r="V130" i="8"/>
  <c r="A119" i="11" s="1"/>
  <c r="Z130" i="8"/>
  <c r="H131" i="8"/>
  <c r="I131" i="8"/>
  <c r="J131" i="8"/>
  <c r="K131" i="8"/>
  <c r="L131" i="8"/>
  <c r="M131" i="8"/>
  <c r="N131" i="8"/>
  <c r="O131" i="8"/>
  <c r="P131" i="8"/>
  <c r="Q131" i="8"/>
  <c r="R131" i="8"/>
  <c r="S131" i="8"/>
  <c r="T131" i="8"/>
  <c r="V131" i="8"/>
  <c r="A120" i="11" s="1"/>
  <c r="Z131" i="8"/>
  <c r="H132" i="8"/>
  <c r="I132" i="8"/>
  <c r="J132" i="8"/>
  <c r="K132" i="8"/>
  <c r="L132" i="8"/>
  <c r="M132" i="8"/>
  <c r="N132" i="8"/>
  <c r="O132" i="8"/>
  <c r="P132" i="8"/>
  <c r="Q132" i="8"/>
  <c r="R132" i="8"/>
  <c r="S132" i="8"/>
  <c r="T132" i="8"/>
  <c r="V132" i="8"/>
  <c r="A121" i="11" s="1"/>
  <c r="Z132" i="8"/>
  <c r="H133" i="8"/>
  <c r="I133" i="8"/>
  <c r="J133" i="8"/>
  <c r="K133" i="8"/>
  <c r="L133" i="8"/>
  <c r="M133" i="8"/>
  <c r="N133" i="8"/>
  <c r="O133" i="8"/>
  <c r="P133" i="8"/>
  <c r="Q133" i="8"/>
  <c r="R133" i="8"/>
  <c r="S133" i="8"/>
  <c r="T133" i="8"/>
  <c r="V133" i="8"/>
  <c r="A122" i="11" s="1"/>
  <c r="Z133" i="8"/>
  <c r="H134" i="8"/>
  <c r="I134" i="8"/>
  <c r="J134" i="8"/>
  <c r="K134" i="8"/>
  <c r="L134" i="8"/>
  <c r="M134" i="8"/>
  <c r="N134" i="8"/>
  <c r="O134" i="8"/>
  <c r="P134" i="8"/>
  <c r="Q134" i="8"/>
  <c r="R134" i="8"/>
  <c r="S134" i="8"/>
  <c r="T134" i="8"/>
  <c r="V134" i="8"/>
  <c r="A123" i="11" s="1"/>
  <c r="Z134" i="8"/>
  <c r="H135" i="8"/>
  <c r="I135" i="8"/>
  <c r="J135" i="8"/>
  <c r="K135" i="8"/>
  <c r="L135" i="8"/>
  <c r="M135" i="8"/>
  <c r="N135" i="8"/>
  <c r="O135" i="8"/>
  <c r="P135" i="8"/>
  <c r="Q135" i="8"/>
  <c r="R135" i="8"/>
  <c r="S135" i="8"/>
  <c r="T135" i="8"/>
  <c r="V135" i="8"/>
  <c r="A124" i="11" s="1"/>
  <c r="Z135" i="8"/>
  <c r="H136" i="8"/>
  <c r="I136" i="8"/>
  <c r="J136" i="8"/>
  <c r="K136" i="8"/>
  <c r="L136" i="8"/>
  <c r="M136" i="8"/>
  <c r="N136" i="8"/>
  <c r="O136" i="8"/>
  <c r="P136" i="8"/>
  <c r="Q136" i="8"/>
  <c r="R136" i="8"/>
  <c r="S136" i="8"/>
  <c r="T136" i="8"/>
  <c r="V136" i="8"/>
  <c r="A125" i="11" s="1"/>
  <c r="Z136" i="8"/>
  <c r="H137" i="8"/>
  <c r="I137" i="8"/>
  <c r="J137" i="8"/>
  <c r="K137" i="8"/>
  <c r="L137" i="8"/>
  <c r="M137" i="8"/>
  <c r="N137" i="8"/>
  <c r="O137" i="8"/>
  <c r="P137" i="8"/>
  <c r="Q137" i="8"/>
  <c r="R137" i="8"/>
  <c r="S137" i="8"/>
  <c r="T137" i="8"/>
  <c r="V137" i="8"/>
  <c r="A126" i="11" s="1"/>
  <c r="Z137" i="8"/>
  <c r="H138" i="8"/>
  <c r="I138" i="8"/>
  <c r="J138" i="8"/>
  <c r="K138" i="8"/>
  <c r="L138" i="8"/>
  <c r="M138" i="8"/>
  <c r="N138" i="8"/>
  <c r="O138" i="8"/>
  <c r="P138" i="8"/>
  <c r="Q138" i="8"/>
  <c r="R138" i="8"/>
  <c r="S138" i="8"/>
  <c r="T138" i="8"/>
  <c r="V138" i="8"/>
  <c r="A127" i="11" s="1"/>
  <c r="Z138" i="8"/>
  <c r="H139" i="8"/>
  <c r="I139" i="8"/>
  <c r="J139" i="8"/>
  <c r="K139" i="8"/>
  <c r="L139" i="8"/>
  <c r="M139" i="8"/>
  <c r="N139" i="8"/>
  <c r="O139" i="8"/>
  <c r="P139" i="8"/>
  <c r="Q139" i="8"/>
  <c r="R139" i="8"/>
  <c r="S139" i="8"/>
  <c r="T139" i="8"/>
  <c r="V139" i="8"/>
  <c r="A128" i="11" s="1"/>
  <c r="Z139" i="8"/>
  <c r="H140" i="8"/>
  <c r="I140" i="8"/>
  <c r="J140" i="8"/>
  <c r="K140" i="8"/>
  <c r="L140" i="8"/>
  <c r="M140" i="8"/>
  <c r="N140" i="8"/>
  <c r="O140" i="8"/>
  <c r="P140" i="8"/>
  <c r="Q140" i="8"/>
  <c r="R140" i="8"/>
  <c r="S140" i="8"/>
  <c r="T140" i="8"/>
  <c r="V140" i="8"/>
  <c r="A129" i="11" s="1"/>
  <c r="Z140" i="8"/>
  <c r="H141" i="8"/>
  <c r="I141" i="8"/>
  <c r="J141" i="8"/>
  <c r="K141" i="8"/>
  <c r="L141" i="8"/>
  <c r="M141" i="8"/>
  <c r="N141" i="8"/>
  <c r="O141" i="8"/>
  <c r="P141" i="8"/>
  <c r="Q141" i="8"/>
  <c r="R141" i="8"/>
  <c r="S141" i="8"/>
  <c r="T141" i="8"/>
  <c r="V141" i="8"/>
  <c r="A130" i="11" s="1"/>
  <c r="Z141" i="8"/>
  <c r="H142" i="8"/>
  <c r="I142" i="8"/>
  <c r="J142" i="8"/>
  <c r="K142" i="8"/>
  <c r="L142" i="8"/>
  <c r="M142" i="8"/>
  <c r="N142" i="8"/>
  <c r="O142" i="8"/>
  <c r="P142" i="8"/>
  <c r="Q142" i="8"/>
  <c r="R142" i="8"/>
  <c r="S142" i="8"/>
  <c r="T142" i="8"/>
  <c r="V142" i="8"/>
  <c r="A131" i="11" s="1"/>
  <c r="Z142" i="8"/>
  <c r="H143" i="8"/>
  <c r="I143" i="8"/>
  <c r="J143" i="8"/>
  <c r="K143" i="8"/>
  <c r="L143" i="8"/>
  <c r="M143" i="8"/>
  <c r="N143" i="8"/>
  <c r="O143" i="8"/>
  <c r="P143" i="8"/>
  <c r="Q143" i="8"/>
  <c r="R143" i="8"/>
  <c r="S143" i="8"/>
  <c r="T143" i="8"/>
  <c r="V143" i="8"/>
  <c r="A132" i="11" s="1"/>
  <c r="Z143" i="8"/>
  <c r="H144" i="8"/>
  <c r="I144" i="8"/>
  <c r="J144" i="8"/>
  <c r="K144" i="8"/>
  <c r="L144" i="8"/>
  <c r="M144" i="8"/>
  <c r="N144" i="8"/>
  <c r="O144" i="8"/>
  <c r="P144" i="8"/>
  <c r="Q144" i="8"/>
  <c r="R144" i="8"/>
  <c r="S144" i="8"/>
  <c r="T144" i="8"/>
  <c r="V144" i="8"/>
  <c r="A133" i="11" s="1"/>
  <c r="Z144" i="8"/>
  <c r="H145" i="8"/>
  <c r="I145" i="8"/>
  <c r="J145" i="8"/>
  <c r="K145" i="8"/>
  <c r="L145" i="8"/>
  <c r="M145" i="8"/>
  <c r="N145" i="8"/>
  <c r="O145" i="8"/>
  <c r="P145" i="8"/>
  <c r="Q145" i="8"/>
  <c r="R145" i="8"/>
  <c r="S145" i="8"/>
  <c r="T145" i="8"/>
  <c r="V145" i="8"/>
  <c r="A134" i="11" s="1"/>
  <c r="Z145" i="8"/>
  <c r="H146" i="8"/>
  <c r="I146" i="8"/>
  <c r="J146" i="8"/>
  <c r="K146" i="8"/>
  <c r="L146" i="8"/>
  <c r="M146" i="8"/>
  <c r="N146" i="8"/>
  <c r="O146" i="8"/>
  <c r="P146" i="8"/>
  <c r="Q146" i="8"/>
  <c r="R146" i="8"/>
  <c r="S146" i="8"/>
  <c r="T146" i="8"/>
  <c r="V146" i="8"/>
  <c r="A135" i="11" s="1"/>
  <c r="Z146" i="8"/>
  <c r="H147" i="8"/>
  <c r="I147" i="8"/>
  <c r="J147" i="8"/>
  <c r="K147" i="8"/>
  <c r="L147" i="8"/>
  <c r="M147" i="8"/>
  <c r="N147" i="8"/>
  <c r="O147" i="8"/>
  <c r="P147" i="8"/>
  <c r="Q147" i="8"/>
  <c r="R147" i="8"/>
  <c r="S147" i="8"/>
  <c r="T147" i="8"/>
  <c r="V147" i="8"/>
  <c r="A136" i="11" s="1"/>
  <c r="Z147" i="8"/>
  <c r="H148" i="8"/>
  <c r="I148" i="8"/>
  <c r="J148" i="8"/>
  <c r="K148" i="8"/>
  <c r="L148" i="8"/>
  <c r="M148" i="8"/>
  <c r="N148" i="8"/>
  <c r="O148" i="8"/>
  <c r="P148" i="8"/>
  <c r="Q148" i="8"/>
  <c r="R148" i="8"/>
  <c r="S148" i="8"/>
  <c r="T148" i="8"/>
  <c r="V148" i="8"/>
  <c r="A137" i="11" s="1"/>
  <c r="Z148" i="8"/>
  <c r="H149" i="8"/>
  <c r="I149" i="8"/>
  <c r="J149" i="8"/>
  <c r="K149" i="8"/>
  <c r="L149" i="8"/>
  <c r="M149" i="8"/>
  <c r="N149" i="8"/>
  <c r="O149" i="8"/>
  <c r="P149" i="8"/>
  <c r="Q149" i="8"/>
  <c r="R149" i="8"/>
  <c r="S149" i="8"/>
  <c r="T149" i="8"/>
  <c r="V149" i="8"/>
  <c r="A138" i="11" s="1"/>
  <c r="Z149" i="8"/>
  <c r="H150" i="8"/>
  <c r="I150" i="8"/>
  <c r="J150" i="8"/>
  <c r="K150" i="8"/>
  <c r="L150" i="8"/>
  <c r="M150" i="8"/>
  <c r="N150" i="8"/>
  <c r="O150" i="8"/>
  <c r="P150" i="8"/>
  <c r="Q150" i="8"/>
  <c r="R150" i="8"/>
  <c r="S150" i="8"/>
  <c r="T150" i="8"/>
  <c r="V150" i="8"/>
  <c r="A139" i="11" s="1"/>
  <c r="Z150" i="8"/>
  <c r="H151" i="8"/>
  <c r="I151" i="8"/>
  <c r="J151" i="8"/>
  <c r="K151" i="8"/>
  <c r="L151" i="8"/>
  <c r="M151" i="8"/>
  <c r="N151" i="8"/>
  <c r="O151" i="8"/>
  <c r="P151" i="8"/>
  <c r="Q151" i="8"/>
  <c r="R151" i="8"/>
  <c r="S151" i="8"/>
  <c r="T151" i="8"/>
  <c r="V151" i="8"/>
  <c r="A140" i="11" s="1"/>
  <c r="Z151" i="8"/>
  <c r="H152" i="8"/>
  <c r="I152" i="8"/>
  <c r="J152" i="8"/>
  <c r="K152" i="8"/>
  <c r="L152" i="8"/>
  <c r="M152" i="8"/>
  <c r="N152" i="8"/>
  <c r="O152" i="8"/>
  <c r="P152" i="8"/>
  <c r="Q152" i="8"/>
  <c r="R152" i="8"/>
  <c r="S152" i="8"/>
  <c r="T152" i="8"/>
  <c r="V152" i="8"/>
  <c r="A141" i="11" s="1"/>
  <c r="Z152" i="8"/>
  <c r="H153" i="8"/>
  <c r="I153" i="8"/>
  <c r="J153" i="8"/>
  <c r="K153" i="8"/>
  <c r="L153" i="8"/>
  <c r="M153" i="8"/>
  <c r="N153" i="8"/>
  <c r="O153" i="8"/>
  <c r="P153" i="8"/>
  <c r="Q153" i="8"/>
  <c r="R153" i="8"/>
  <c r="S153" i="8"/>
  <c r="T153" i="8"/>
  <c r="V153" i="8"/>
  <c r="A142" i="11" s="1"/>
  <c r="Z153" i="8"/>
  <c r="H154" i="8"/>
  <c r="I154" i="8"/>
  <c r="J154" i="8"/>
  <c r="K154" i="8"/>
  <c r="L154" i="8"/>
  <c r="M154" i="8"/>
  <c r="N154" i="8"/>
  <c r="O154" i="8"/>
  <c r="P154" i="8"/>
  <c r="Q154" i="8"/>
  <c r="R154" i="8"/>
  <c r="S154" i="8"/>
  <c r="T154" i="8"/>
  <c r="V154" i="8"/>
  <c r="A143" i="11" s="1"/>
  <c r="Z154" i="8"/>
  <c r="H155" i="8"/>
  <c r="I155" i="8"/>
  <c r="J155" i="8"/>
  <c r="K155" i="8"/>
  <c r="L155" i="8"/>
  <c r="M155" i="8"/>
  <c r="N155" i="8"/>
  <c r="O155" i="8"/>
  <c r="P155" i="8"/>
  <c r="Q155" i="8"/>
  <c r="R155" i="8"/>
  <c r="S155" i="8"/>
  <c r="T155" i="8"/>
  <c r="V155" i="8"/>
  <c r="A144" i="11" s="1"/>
  <c r="Z155" i="8"/>
  <c r="H156" i="8"/>
  <c r="I156" i="8"/>
  <c r="J156" i="8"/>
  <c r="K156" i="8"/>
  <c r="L156" i="8"/>
  <c r="M156" i="8"/>
  <c r="N156" i="8"/>
  <c r="O156" i="8"/>
  <c r="P156" i="8"/>
  <c r="Q156" i="8"/>
  <c r="R156" i="8"/>
  <c r="S156" i="8"/>
  <c r="T156" i="8"/>
  <c r="V156" i="8"/>
  <c r="A145" i="11" s="1"/>
  <c r="Z156" i="8"/>
  <c r="H157" i="8"/>
  <c r="I157" i="8"/>
  <c r="J157" i="8"/>
  <c r="K157" i="8"/>
  <c r="L157" i="8"/>
  <c r="M157" i="8"/>
  <c r="N157" i="8"/>
  <c r="O157" i="8"/>
  <c r="P157" i="8"/>
  <c r="Q157" i="8"/>
  <c r="R157" i="8"/>
  <c r="S157" i="8"/>
  <c r="T157" i="8"/>
  <c r="V157" i="8"/>
  <c r="A146" i="11" s="1"/>
  <c r="Z157" i="8"/>
  <c r="H158" i="8"/>
  <c r="I158" i="8"/>
  <c r="J158" i="8"/>
  <c r="K158" i="8"/>
  <c r="L158" i="8"/>
  <c r="M158" i="8"/>
  <c r="N158" i="8"/>
  <c r="O158" i="8"/>
  <c r="P158" i="8"/>
  <c r="Q158" i="8"/>
  <c r="R158" i="8"/>
  <c r="S158" i="8"/>
  <c r="T158" i="8"/>
  <c r="V158" i="8"/>
  <c r="A147" i="11" s="1"/>
  <c r="Z158" i="8"/>
  <c r="H159" i="8"/>
  <c r="I159" i="8"/>
  <c r="J159" i="8"/>
  <c r="K159" i="8"/>
  <c r="L159" i="8"/>
  <c r="M159" i="8"/>
  <c r="N159" i="8"/>
  <c r="O159" i="8"/>
  <c r="P159" i="8"/>
  <c r="Q159" i="8"/>
  <c r="R159" i="8"/>
  <c r="S159" i="8"/>
  <c r="T159" i="8"/>
  <c r="V159" i="8"/>
  <c r="A148" i="11" s="1"/>
  <c r="Z159" i="8"/>
  <c r="H160" i="8"/>
  <c r="I160" i="8"/>
  <c r="J160" i="8"/>
  <c r="K160" i="8"/>
  <c r="L160" i="8"/>
  <c r="M160" i="8"/>
  <c r="N160" i="8"/>
  <c r="O160" i="8"/>
  <c r="P160" i="8"/>
  <c r="Q160" i="8"/>
  <c r="R160" i="8"/>
  <c r="W160" i="8" s="1"/>
  <c r="B149" i="11" s="1"/>
  <c r="S160" i="8"/>
  <c r="T160" i="8"/>
  <c r="V160" i="8"/>
  <c r="A149" i="11" s="1"/>
  <c r="Z160" i="8"/>
  <c r="H161" i="8"/>
  <c r="I161" i="8"/>
  <c r="J161" i="8"/>
  <c r="K161" i="8"/>
  <c r="L161" i="8"/>
  <c r="M161" i="8"/>
  <c r="N161" i="8"/>
  <c r="O161" i="8"/>
  <c r="P161" i="8"/>
  <c r="Q161" i="8"/>
  <c r="R161" i="8"/>
  <c r="S161" i="8"/>
  <c r="T161" i="8"/>
  <c r="V161" i="8"/>
  <c r="A150" i="11" s="1"/>
  <c r="Z161" i="8"/>
  <c r="H162" i="8"/>
  <c r="I162" i="8"/>
  <c r="J162" i="8"/>
  <c r="K162" i="8"/>
  <c r="L162" i="8"/>
  <c r="M162" i="8"/>
  <c r="N162" i="8"/>
  <c r="O162" i="8"/>
  <c r="P162" i="8"/>
  <c r="Q162" i="8"/>
  <c r="R162" i="8"/>
  <c r="S162" i="8"/>
  <c r="T162" i="8"/>
  <c r="V162" i="8"/>
  <c r="A151" i="11" s="1"/>
  <c r="Z162" i="8"/>
  <c r="H163" i="8"/>
  <c r="I163" i="8"/>
  <c r="J163" i="8"/>
  <c r="K163" i="8"/>
  <c r="L163" i="8"/>
  <c r="M163" i="8"/>
  <c r="N163" i="8"/>
  <c r="O163" i="8"/>
  <c r="P163" i="8"/>
  <c r="Q163" i="8"/>
  <c r="R163" i="8"/>
  <c r="S163" i="8"/>
  <c r="T163" i="8"/>
  <c r="V163" i="8"/>
  <c r="A152" i="11" s="1"/>
  <c r="Z163" i="8"/>
  <c r="H164" i="8"/>
  <c r="I164" i="8"/>
  <c r="J164" i="8"/>
  <c r="K164" i="8"/>
  <c r="L164" i="8"/>
  <c r="M164" i="8"/>
  <c r="N164" i="8"/>
  <c r="O164" i="8"/>
  <c r="P164" i="8"/>
  <c r="Q164" i="8"/>
  <c r="R164" i="8"/>
  <c r="S164" i="8"/>
  <c r="T164" i="8"/>
  <c r="V164" i="8"/>
  <c r="A153" i="11" s="1"/>
  <c r="Z164" i="8"/>
  <c r="H165" i="8"/>
  <c r="I165" i="8"/>
  <c r="J165" i="8"/>
  <c r="K165" i="8"/>
  <c r="L165" i="8"/>
  <c r="M165" i="8"/>
  <c r="N165" i="8"/>
  <c r="O165" i="8"/>
  <c r="P165" i="8"/>
  <c r="Q165" i="8"/>
  <c r="R165" i="8"/>
  <c r="S165" i="8"/>
  <c r="T165" i="8"/>
  <c r="V165" i="8"/>
  <c r="A154" i="11" s="1"/>
  <c r="Z165" i="8"/>
  <c r="H166" i="8"/>
  <c r="I166" i="8"/>
  <c r="J166" i="8"/>
  <c r="K166" i="8"/>
  <c r="L166" i="8"/>
  <c r="M166" i="8"/>
  <c r="N166" i="8"/>
  <c r="O166" i="8"/>
  <c r="P166" i="8"/>
  <c r="Q166" i="8"/>
  <c r="R166" i="8"/>
  <c r="S166" i="8"/>
  <c r="T166" i="8"/>
  <c r="V166" i="8"/>
  <c r="A155" i="11" s="1"/>
  <c r="Z166" i="8"/>
  <c r="H167" i="8"/>
  <c r="I167" i="8"/>
  <c r="J167" i="8"/>
  <c r="K167" i="8"/>
  <c r="L167" i="8"/>
  <c r="M167" i="8"/>
  <c r="N167" i="8"/>
  <c r="O167" i="8"/>
  <c r="P167" i="8"/>
  <c r="Q167" i="8"/>
  <c r="R167" i="8"/>
  <c r="S167" i="8"/>
  <c r="T167" i="8"/>
  <c r="V167" i="8"/>
  <c r="A156" i="11" s="1"/>
  <c r="Z167" i="8"/>
  <c r="H168" i="8"/>
  <c r="I168" i="8"/>
  <c r="J168" i="8"/>
  <c r="K168" i="8"/>
  <c r="L168" i="8"/>
  <c r="M168" i="8"/>
  <c r="N168" i="8"/>
  <c r="O168" i="8"/>
  <c r="P168" i="8"/>
  <c r="Q168" i="8"/>
  <c r="R168" i="8"/>
  <c r="S168" i="8"/>
  <c r="T168" i="8"/>
  <c r="V168" i="8"/>
  <c r="A157" i="11" s="1"/>
  <c r="Z168" i="8"/>
  <c r="H169" i="8"/>
  <c r="I169" i="8"/>
  <c r="J169" i="8"/>
  <c r="K169" i="8"/>
  <c r="L169" i="8"/>
  <c r="M169" i="8"/>
  <c r="N169" i="8"/>
  <c r="O169" i="8"/>
  <c r="P169" i="8"/>
  <c r="Q169" i="8"/>
  <c r="R169" i="8"/>
  <c r="S169" i="8"/>
  <c r="T169" i="8"/>
  <c r="V169" i="8"/>
  <c r="A158" i="11" s="1"/>
  <c r="Z169" i="8"/>
  <c r="H170" i="8"/>
  <c r="I170" i="8"/>
  <c r="J170" i="8"/>
  <c r="K170" i="8"/>
  <c r="L170" i="8"/>
  <c r="M170" i="8"/>
  <c r="N170" i="8"/>
  <c r="O170" i="8"/>
  <c r="P170" i="8"/>
  <c r="Q170" i="8"/>
  <c r="R170" i="8"/>
  <c r="S170" i="8"/>
  <c r="T170" i="8"/>
  <c r="V170" i="8"/>
  <c r="A159" i="11" s="1"/>
  <c r="Z170" i="8"/>
  <c r="H171" i="8"/>
  <c r="I171" i="8"/>
  <c r="J171" i="8"/>
  <c r="K171" i="8"/>
  <c r="L171" i="8"/>
  <c r="M171" i="8"/>
  <c r="N171" i="8"/>
  <c r="O171" i="8"/>
  <c r="P171" i="8"/>
  <c r="Q171" i="8"/>
  <c r="R171" i="8"/>
  <c r="S171" i="8"/>
  <c r="T171" i="8"/>
  <c r="V171" i="8"/>
  <c r="A160" i="11" s="1"/>
  <c r="Z171" i="8"/>
  <c r="H172" i="8"/>
  <c r="I172" i="8"/>
  <c r="J172" i="8"/>
  <c r="K172" i="8"/>
  <c r="L172" i="8"/>
  <c r="M172" i="8"/>
  <c r="N172" i="8"/>
  <c r="O172" i="8"/>
  <c r="P172" i="8"/>
  <c r="Q172" i="8"/>
  <c r="R172" i="8"/>
  <c r="S172" i="8"/>
  <c r="T172" i="8"/>
  <c r="V172" i="8"/>
  <c r="A161" i="11" s="1"/>
  <c r="Z172" i="8"/>
  <c r="H173" i="8"/>
  <c r="I173" i="8"/>
  <c r="J173" i="8"/>
  <c r="K173" i="8"/>
  <c r="L173" i="8"/>
  <c r="M173" i="8"/>
  <c r="N173" i="8"/>
  <c r="O173" i="8"/>
  <c r="P173" i="8"/>
  <c r="Q173" i="8"/>
  <c r="R173" i="8"/>
  <c r="S173" i="8"/>
  <c r="T173" i="8"/>
  <c r="V173" i="8"/>
  <c r="A162" i="11" s="1"/>
  <c r="Z173" i="8"/>
  <c r="H174" i="8"/>
  <c r="I174" i="8"/>
  <c r="J174" i="8"/>
  <c r="K174" i="8"/>
  <c r="L174" i="8"/>
  <c r="M174" i="8"/>
  <c r="N174" i="8"/>
  <c r="O174" i="8"/>
  <c r="P174" i="8"/>
  <c r="Q174" i="8"/>
  <c r="R174" i="8"/>
  <c r="S174" i="8"/>
  <c r="T174" i="8"/>
  <c r="V174" i="8"/>
  <c r="A163" i="11" s="1"/>
  <c r="Z174" i="8"/>
  <c r="H175" i="8"/>
  <c r="I175" i="8"/>
  <c r="J175" i="8"/>
  <c r="K175" i="8"/>
  <c r="L175" i="8"/>
  <c r="M175" i="8"/>
  <c r="N175" i="8"/>
  <c r="O175" i="8"/>
  <c r="P175" i="8"/>
  <c r="Q175" i="8"/>
  <c r="R175" i="8"/>
  <c r="S175" i="8"/>
  <c r="T175" i="8"/>
  <c r="V175" i="8"/>
  <c r="A164" i="11" s="1"/>
  <c r="Z175" i="8"/>
  <c r="H176" i="8"/>
  <c r="I176" i="8"/>
  <c r="J176" i="8"/>
  <c r="K176" i="8"/>
  <c r="L176" i="8"/>
  <c r="M176" i="8"/>
  <c r="N176" i="8"/>
  <c r="O176" i="8"/>
  <c r="P176" i="8"/>
  <c r="Q176" i="8"/>
  <c r="R176" i="8"/>
  <c r="S176" i="8"/>
  <c r="T176" i="8"/>
  <c r="V176" i="8"/>
  <c r="A165" i="11" s="1"/>
  <c r="Z176" i="8"/>
  <c r="H177" i="8"/>
  <c r="I177" i="8"/>
  <c r="J177" i="8"/>
  <c r="K177" i="8"/>
  <c r="L177" i="8"/>
  <c r="M177" i="8"/>
  <c r="N177" i="8"/>
  <c r="O177" i="8"/>
  <c r="P177" i="8"/>
  <c r="Q177" i="8"/>
  <c r="R177" i="8"/>
  <c r="S177" i="8"/>
  <c r="T177" i="8"/>
  <c r="V177" i="8"/>
  <c r="A166" i="11" s="1"/>
  <c r="Z177" i="8"/>
  <c r="H178" i="8"/>
  <c r="I178" i="8"/>
  <c r="J178" i="8"/>
  <c r="K178" i="8"/>
  <c r="L178" i="8"/>
  <c r="M178" i="8"/>
  <c r="N178" i="8"/>
  <c r="O178" i="8"/>
  <c r="P178" i="8"/>
  <c r="Q178" i="8"/>
  <c r="R178" i="8"/>
  <c r="S178" i="8"/>
  <c r="T178" i="8"/>
  <c r="V178" i="8"/>
  <c r="A167" i="11" s="1"/>
  <c r="Z178" i="8"/>
  <c r="H179" i="8"/>
  <c r="I179" i="8"/>
  <c r="J179" i="8"/>
  <c r="K179" i="8"/>
  <c r="L179" i="8"/>
  <c r="M179" i="8"/>
  <c r="N179" i="8"/>
  <c r="O179" i="8"/>
  <c r="P179" i="8"/>
  <c r="Q179" i="8"/>
  <c r="R179" i="8"/>
  <c r="S179" i="8"/>
  <c r="T179" i="8"/>
  <c r="V179" i="8"/>
  <c r="A168" i="11" s="1"/>
  <c r="Z179" i="8"/>
  <c r="H180" i="8"/>
  <c r="I180" i="8"/>
  <c r="J180" i="8"/>
  <c r="K180" i="8"/>
  <c r="L180" i="8"/>
  <c r="M180" i="8"/>
  <c r="N180" i="8"/>
  <c r="O180" i="8"/>
  <c r="P180" i="8"/>
  <c r="Q180" i="8"/>
  <c r="R180" i="8"/>
  <c r="S180" i="8"/>
  <c r="T180" i="8"/>
  <c r="V180" i="8"/>
  <c r="A169" i="11" s="1"/>
  <c r="Z180" i="8"/>
  <c r="H181" i="8"/>
  <c r="I181" i="8"/>
  <c r="J181" i="8"/>
  <c r="K181" i="8"/>
  <c r="L181" i="8"/>
  <c r="M181" i="8"/>
  <c r="N181" i="8"/>
  <c r="O181" i="8"/>
  <c r="P181" i="8"/>
  <c r="Q181" i="8"/>
  <c r="R181" i="8"/>
  <c r="S181" i="8"/>
  <c r="T181" i="8"/>
  <c r="V181" i="8"/>
  <c r="A170" i="11" s="1"/>
  <c r="Z181" i="8"/>
  <c r="H182" i="8"/>
  <c r="I182" i="8"/>
  <c r="J182" i="8"/>
  <c r="K182" i="8"/>
  <c r="L182" i="8"/>
  <c r="M182" i="8"/>
  <c r="N182" i="8"/>
  <c r="O182" i="8"/>
  <c r="P182" i="8"/>
  <c r="Q182" i="8"/>
  <c r="R182" i="8"/>
  <c r="S182" i="8"/>
  <c r="T182" i="8"/>
  <c r="V182" i="8"/>
  <c r="A171" i="11" s="1"/>
  <c r="Z182" i="8"/>
  <c r="H183" i="8"/>
  <c r="I183" i="8"/>
  <c r="J183" i="8"/>
  <c r="K183" i="8"/>
  <c r="L183" i="8"/>
  <c r="M183" i="8"/>
  <c r="N183" i="8"/>
  <c r="O183" i="8"/>
  <c r="P183" i="8"/>
  <c r="Q183" i="8"/>
  <c r="R183" i="8"/>
  <c r="S183" i="8"/>
  <c r="T183" i="8"/>
  <c r="V183" i="8"/>
  <c r="A172" i="11" s="1"/>
  <c r="Z183" i="8"/>
  <c r="H184" i="8"/>
  <c r="I184" i="8"/>
  <c r="J184" i="8"/>
  <c r="K184" i="8"/>
  <c r="L184" i="8"/>
  <c r="M184" i="8"/>
  <c r="N184" i="8"/>
  <c r="O184" i="8"/>
  <c r="P184" i="8"/>
  <c r="Q184" i="8"/>
  <c r="R184" i="8"/>
  <c r="S184" i="8"/>
  <c r="T184" i="8"/>
  <c r="V184" i="8"/>
  <c r="A173" i="11" s="1"/>
  <c r="Z184" i="8"/>
  <c r="H185" i="8"/>
  <c r="I185" i="8"/>
  <c r="J185" i="8"/>
  <c r="K185" i="8"/>
  <c r="L185" i="8"/>
  <c r="M185" i="8"/>
  <c r="N185" i="8"/>
  <c r="O185" i="8"/>
  <c r="P185" i="8"/>
  <c r="Q185" i="8"/>
  <c r="R185" i="8"/>
  <c r="S185" i="8"/>
  <c r="T185" i="8"/>
  <c r="V185" i="8"/>
  <c r="A174" i="11" s="1"/>
  <c r="Z185" i="8"/>
  <c r="H186" i="8"/>
  <c r="I186" i="8"/>
  <c r="J186" i="8"/>
  <c r="K186" i="8"/>
  <c r="L186" i="8"/>
  <c r="M186" i="8"/>
  <c r="N186" i="8"/>
  <c r="O186" i="8"/>
  <c r="P186" i="8"/>
  <c r="Q186" i="8"/>
  <c r="R186" i="8"/>
  <c r="S186" i="8"/>
  <c r="T186" i="8"/>
  <c r="V186" i="8"/>
  <c r="A175" i="11" s="1"/>
  <c r="Z186" i="8"/>
  <c r="H187" i="8"/>
  <c r="I187" i="8"/>
  <c r="J187" i="8"/>
  <c r="K187" i="8"/>
  <c r="L187" i="8"/>
  <c r="M187" i="8"/>
  <c r="N187" i="8"/>
  <c r="O187" i="8"/>
  <c r="P187" i="8"/>
  <c r="Q187" i="8"/>
  <c r="R187" i="8"/>
  <c r="S187" i="8"/>
  <c r="T187" i="8"/>
  <c r="V187" i="8"/>
  <c r="A176" i="11" s="1"/>
  <c r="Z187" i="8"/>
  <c r="H188" i="8"/>
  <c r="I188" i="8"/>
  <c r="J188" i="8"/>
  <c r="K188" i="8"/>
  <c r="L188" i="8"/>
  <c r="M188" i="8"/>
  <c r="N188" i="8"/>
  <c r="O188" i="8"/>
  <c r="P188" i="8"/>
  <c r="Q188" i="8"/>
  <c r="R188" i="8"/>
  <c r="S188" i="8"/>
  <c r="T188" i="8"/>
  <c r="V188" i="8"/>
  <c r="A177" i="11" s="1"/>
  <c r="Z188" i="8"/>
  <c r="H189" i="8"/>
  <c r="I189" i="8"/>
  <c r="J189" i="8"/>
  <c r="K189" i="8"/>
  <c r="L189" i="8"/>
  <c r="M189" i="8"/>
  <c r="N189" i="8"/>
  <c r="O189" i="8"/>
  <c r="P189" i="8"/>
  <c r="Q189" i="8"/>
  <c r="R189" i="8"/>
  <c r="S189" i="8"/>
  <c r="T189" i="8"/>
  <c r="V189" i="8"/>
  <c r="A178" i="11" s="1"/>
  <c r="Z189" i="8"/>
  <c r="H190" i="8"/>
  <c r="I190" i="8"/>
  <c r="J190" i="8"/>
  <c r="K190" i="8"/>
  <c r="L190" i="8"/>
  <c r="M190" i="8"/>
  <c r="N190" i="8"/>
  <c r="O190" i="8"/>
  <c r="P190" i="8"/>
  <c r="Q190" i="8"/>
  <c r="R190" i="8"/>
  <c r="S190" i="8"/>
  <c r="T190" i="8"/>
  <c r="V190" i="8"/>
  <c r="A179" i="11" s="1"/>
  <c r="Z190" i="8"/>
  <c r="H191" i="8"/>
  <c r="I191" i="8"/>
  <c r="J191" i="8"/>
  <c r="K191" i="8"/>
  <c r="L191" i="8"/>
  <c r="M191" i="8"/>
  <c r="N191" i="8"/>
  <c r="O191" i="8"/>
  <c r="P191" i="8"/>
  <c r="Q191" i="8"/>
  <c r="R191" i="8"/>
  <c r="S191" i="8"/>
  <c r="T191" i="8"/>
  <c r="V191" i="8"/>
  <c r="A180" i="11" s="1"/>
  <c r="Z191" i="8"/>
  <c r="H192" i="8"/>
  <c r="I192" i="8"/>
  <c r="J192" i="8"/>
  <c r="K192" i="8"/>
  <c r="L192" i="8"/>
  <c r="M192" i="8"/>
  <c r="N192" i="8"/>
  <c r="O192" i="8"/>
  <c r="P192" i="8"/>
  <c r="Q192" i="8"/>
  <c r="R192" i="8"/>
  <c r="W192" i="8" s="1"/>
  <c r="B181" i="11" s="1"/>
  <c r="S192" i="8"/>
  <c r="T192" i="8"/>
  <c r="V192" i="8"/>
  <c r="A181" i="11" s="1"/>
  <c r="Z192" i="8"/>
  <c r="H193" i="8"/>
  <c r="I193" i="8"/>
  <c r="J193" i="8"/>
  <c r="K193" i="8"/>
  <c r="L193" i="8"/>
  <c r="M193" i="8"/>
  <c r="N193" i="8"/>
  <c r="O193" i="8"/>
  <c r="P193" i="8"/>
  <c r="Q193" i="8"/>
  <c r="R193" i="8"/>
  <c r="S193" i="8"/>
  <c r="T193" i="8"/>
  <c r="V193" i="8"/>
  <c r="A182" i="11" s="1"/>
  <c r="Z193" i="8"/>
  <c r="H194" i="8"/>
  <c r="I194" i="8"/>
  <c r="J194" i="8"/>
  <c r="K194" i="8"/>
  <c r="L194" i="8"/>
  <c r="M194" i="8"/>
  <c r="N194" i="8"/>
  <c r="O194" i="8"/>
  <c r="P194" i="8"/>
  <c r="Q194" i="8"/>
  <c r="R194" i="8"/>
  <c r="S194" i="8"/>
  <c r="T194" i="8"/>
  <c r="V194" i="8"/>
  <c r="A183" i="11" s="1"/>
  <c r="Z194" i="8"/>
  <c r="H195" i="8"/>
  <c r="I195" i="8"/>
  <c r="J195" i="8"/>
  <c r="K195" i="8"/>
  <c r="L195" i="8"/>
  <c r="M195" i="8"/>
  <c r="N195" i="8"/>
  <c r="O195" i="8"/>
  <c r="P195" i="8"/>
  <c r="Q195" i="8"/>
  <c r="R195" i="8"/>
  <c r="S195" i="8"/>
  <c r="T195" i="8"/>
  <c r="V195" i="8"/>
  <c r="A184" i="11" s="1"/>
  <c r="Z195" i="8"/>
  <c r="H196" i="8"/>
  <c r="I196" i="8"/>
  <c r="J196" i="8"/>
  <c r="K196" i="8"/>
  <c r="L196" i="8"/>
  <c r="M196" i="8"/>
  <c r="N196" i="8"/>
  <c r="O196" i="8"/>
  <c r="P196" i="8"/>
  <c r="Q196" i="8"/>
  <c r="R196" i="8"/>
  <c r="S196" i="8"/>
  <c r="T196" i="8"/>
  <c r="V196" i="8"/>
  <c r="A185" i="11" s="1"/>
  <c r="Z196" i="8"/>
  <c r="H197" i="8"/>
  <c r="I197" i="8"/>
  <c r="J197" i="8"/>
  <c r="K197" i="8"/>
  <c r="L197" i="8"/>
  <c r="M197" i="8"/>
  <c r="N197" i="8"/>
  <c r="O197" i="8"/>
  <c r="P197" i="8"/>
  <c r="Q197" i="8"/>
  <c r="R197" i="8"/>
  <c r="S197" i="8"/>
  <c r="T197" i="8"/>
  <c r="V197" i="8"/>
  <c r="A186" i="11" s="1"/>
  <c r="Z197" i="8"/>
  <c r="H198" i="8"/>
  <c r="I198" i="8"/>
  <c r="J198" i="8"/>
  <c r="K198" i="8"/>
  <c r="L198" i="8"/>
  <c r="M198" i="8"/>
  <c r="N198" i="8"/>
  <c r="O198" i="8"/>
  <c r="P198" i="8"/>
  <c r="Q198" i="8"/>
  <c r="R198" i="8"/>
  <c r="S198" i="8"/>
  <c r="T198" i="8"/>
  <c r="V198" i="8"/>
  <c r="A187" i="11" s="1"/>
  <c r="Z198" i="8"/>
  <c r="H199" i="8"/>
  <c r="I199" i="8"/>
  <c r="J199" i="8"/>
  <c r="K199" i="8"/>
  <c r="L199" i="8"/>
  <c r="M199" i="8"/>
  <c r="N199" i="8"/>
  <c r="O199" i="8"/>
  <c r="P199" i="8"/>
  <c r="Q199" i="8"/>
  <c r="R199" i="8"/>
  <c r="S199" i="8"/>
  <c r="T199" i="8"/>
  <c r="V199" i="8"/>
  <c r="A188" i="11" s="1"/>
  <c r="Z199" i="8"/>
  <c r="H200" i="8"/>
  <c r="I200" i="8"/>
  <c r="J200" i="8"/>
  <c r="K200" i="8"/>
  <c r="L200" i="8"/>
  <c r="M200" i="8"/>
  <c r="N200" i="8"/>
  <c r="O200" i="8"/>
  <c r="P200" i="8"/>
  <c r="Q200" i="8"/>
  <c r="R200" i="8"/>
  <c r="S200" i="8"/>
  <c r="T200" i="8"/>
  <c r="V200" i="8"/>
  <c r="A189" i="11" s="1"/>
  <c r="Z200" i="8"/>
  <c r="H201" i="8"/>
  <c r="I201" i="8"/>
  <c r="J201" i="8"/>
  <c r="K201" i="8"/>
  <c r="L201" i="8"/>
  <c r="M201" i="8"/>
  <c r="N201" i="8"/>
  <c r="O201" i="8"/>
  <c r="P201" i="8"/>
  <c r="Q201" i="8"/>
  <c r="R201" i="8"/>
  <c r="S201" i="8"/>
  <c r="T201" i="8"/>
  <c r="V201" i="8"/>
  <c r="A190" i="11" s="1"/>
  <c r="Z201" i="8"/>
  <c r="H202" i="8"/>
  <c r="I202" i="8"/>
  <c r="J202" i="8"/>
  <c r="K202" i="8"/>
  <c r="L202" i="8"/>
  <c r="M202" i="8"/>
  <c r="N202" i="8"/>
  <c r="O202" i="8"/>
  <c r="P202" i="8"/>
  <c r="Q202" i="8"/>
  <c r="R202" i="8"/>
  <c r="S202" i="8"/>
  <c r="T202" i="8"/>
  <c r="V202" i="8"/>
  <c r="A191" i="11" s="1"/>
  <c r="Z202" i="8"/>
  <c r="H203" i="8"/>
  <c r="I203" i="8"/>
  <c r="J203" i="8"/>
  <c r="K203" i="8"/>
  <c r="L203" i="8"/>
  <c r="M203" i="8"/>
  <c r="N203" i="8"/>
  <c r="O203" i="8"/>
  <c r="P203" i="8"/>
  <c r="Q203" i="8"/>
  <c r="R203" i="8"/>
  <c r="S203" i="8"/>
  <c r="T203" i="8"/>
  <c r="V203" i="8"/>
  <c r="A192" i="11" s="1"/>
  <c r="Z203" i="8"/>
  <c r="H204" i="8"/>
  <c r="I204" i="8"/>
  <c r="J204" i="8"/>
  <c r="K204" i="8"/>
  <c r="L204" i="8"/>
  <c r="M204" i="8"/>
  <c r="N204" i="8"/>
  <c r="O204" i="8"/>
  <c r="P204" i="8"/>
  <c r="Q204" i="8"/>
  <c r="R204" i="8"/>
  <c r="S204" i="8"/>
  <c r="T204" i="8"/>
  <c r="V204" i="8"/>
  <c r="A193" i="11" s="1"/>
  <c r="Z204" i="8"/>
  <c r="H205" i="8"/>
  <c r="I205" i="8"/>
  <c r="J205" i="8"/>
  <c r="K205" i="8"/>
  <c r="L205" i="8"/>
  <c r="M205" i="8"/>
  <c r="N205" i="8"/>
  <c r="O205" i="8"/>
  <c r="P205" i="8"/>
  <c r="Q205" i="8"/>
  <c r="R205" i="8"/>
  <c r="S205" i="8"/>
  <c r="T205" i="8"/>
  <c r="V205" i="8"/>
  <c r="A194" i="11" s="1"/>
  <c r="Z205" i="8"/>
  <c r="H206" i="8"/>
  <c r="I206" i="8"/>
  <c r="J206" i="8"/>
  <c r="K206" i="8"/>
  <c r="L206" i="8"/>
  <c r="M206" i="8"/>
  <c r="N206" i="8"/>
  <c r="O206" i="8"/>
  <c r="P206" i="8"/>
  <c r="Q206" i="8"/>
  <c r="R206" i="8"/>
  <c r="S206" i="8"/>
  <c r="T206" i="8"/>
  <c r="V206" i="8"/>
  <c r="A195" i="11" s="1"/>
  <c r="Z206" i="8"/>
  <c r="H207" i="8"/>
  <c r="I207" i="8"/>
  <c r="J207" i="8"/>
  <c r="K207" i="8"/>
  <c r="L207" i="8"/>
  <c r="M207" i="8"/>
  <c r="N207" i="8"/>
  <c r="O207" i="8"/>
  <c r="P207" i="8"/>
  <c r="Q207" i="8"/>
  <c r="R207" i="8"/>
  <c r="S207" i="8"/>
  <c r="T207" i="8"/>
  <c r="V207" i="8"/>
  <c r="A196" i="11" s="1"/>
  <c r="Z207" i="8"/>
  <c r="H208" i="8"/>
  <c r="I208" i="8"/>
  <c r="J208" i="8"/>
  <c r="K208" i="8"/>
  <c r="L208" i="8"/>
  <c r="M208" i="8"/>
  <c r="N208" i="8"/>
  <c r="O208" i="8"/>
  <c r="P208" i="8"/>
  <c r="Q208" i="8"/>
  <c r="R208" i="8"/>
  <c r="S208" i="8"/>
  <c r="T208" i="8"/>
  <c r="V208" i="8"/>
  <c r="A197" i="11" s="1"/>
  <c r="Z208" i="8"/>
  <c r="H209" i="8"/>
  <c r="I209" i="8"/>
  <c r="J209" i="8"/>
  <c r="K209" i="8"/>
  <c r="L209" i="8"/>
  <c r="M209" i="8"/>
  <c r="N209" i="8"/>
  <c r="O209" i="8"/>
  <c r="P209" i="8"/>
  <c r="Q209" i="8"/>
  <c r="R209" i="8"/>
  <c r="S209" i="8"/>
  <c r="T209" i="8"/>
  <c r="V209" i="8"/>
  <c r="A198" i="11" s="1"/>
  <c r="Z209" i="8"/>
  <c r="H210" i="8"/>
  <c r="I210" i="8"/>
  <c r="J210" i="8"/>
  <c r="K210" i="8"/>
  <c r="L210" i="8"/>
  <c r="M210" i="8"/>
  <c r="N210" i="8"/>
  <c r="O210" i="8"/>
  <c r="P210" i="8"/>
  <c r="Q210" i="8"/>
  <c r="R210" i="8"/>
  <c r="S210" i="8"/>
  <c r="T210" i="8"/>
  <c r="V210" i="8"/>
  <c r="A199" i="11" s="1"/>
  <c r="Z210" i="8"/>
  <c r="H211" i="8"/>
  <c r="I211" i="8"/>
  <c r="J211" i="8"/>
  <c r="K211" i="8"/>
  <c r="L211" i="8"/>
  <c r="M211" i="8"/>
  <c r="N211" i="8"/>
  <c r="O211" i="8"/>
  <c r="P211" i="8"/>
  <c r="Q211" i="8"/>
  <c r="R211" i="8"/>
  <c r="S211" i="8"/>
  <c r="T211" i="8"/>
  <c r="V211" i="8"/>
  <c r="A200" i="11" s="1"/>
  <c r="Z211" i="8"/>
  <c r="H212" i="8"/>
  <c r="I212" i="8"/>
  <c r="J212" i="8"/>
  <c r="K212" i="8"/>
  <c r="L212" i="8"/>
  <c r="M212" i="8"/>
  <c r="N212" i="8"/>
  <c r="O212" i="8"/>
  <c r="P212" i="8"/>
  <c r="Q212" i="8"/>
  <c r="R212" i="8"/>
  <c r="S212" i="8"/>
  <c r="T212" i="8"/>
  <c r="V212" i="8"/>
  <c r="A201" i="11" s="1"/>
  <c r="Z212" i="8"/>
  <c r="H213" i="8"/>
  <c r="I213" i="8"/>
  <c r="J213" i="8"/>
  <c r="K213" i="8"/>
  <c r="L213" i="8"/>
  <c r="M213" i="8"/>
  <c r="N213" i="8"/>
  <c r="O213" i="8"/>
  <c r="P213" i="8"/>
  <c r="Q213" i="8"/>
  <c r="R213" i="8"/>
  <c r="S213" i="8"/>
  <c r="T213" i="8"/>
  <c r="V213" i="8"/>
  <c r="A202" i="11" s="1"/>
  <c r="Z213" i="8"/>
  <c r="H214" i="8"/>
  <c r="I214" i="8"/>
  <c r="J214" i="8"/>
  <c r="K214" i="8"/>
  <c r="L214" i="8"/>
  <c r="M214" i="8"/>
  <c r="N214" i="8"/>
  <c r="O214" i="8"/>
  <c r="P214" i="8"/>
  <c r="Q214" i="8"/>
  <c r="R214" i="8"/>
  <c r="S214" i="8"/>
  <c r="T214" i="8"/>
  <c r="V214" i="8"/>
  <c r="A203" i="11" s="1"/>
  <c r="Z214" i="8"/>
  <c r="H215" i="8"/>
  <c r="I215" i="8"/>
  <c r="J215" i="8"/>
  <c r="K215" i="8"/>
  <c r="L215" i="8"/>
  <c r="M215" i="8"/>
  <c r="N215" i="8"/>
  <c r="O215" i="8"/>
  <c r="P215" i="8"/>
  <c r="Q215" i="8"/>
  <c r="R215" i="8"/>
  <c r="S215" i="8"/>
  <c r="T215" i="8"/>
  <c r="V215" i="8"/>
  <c r="A204" i="11" s="1"/>
  <c r="Z215" i="8"/>
  <c r="H216" i="8"/>
  <c r="I216" i="8"/>
  <c r="J216" i="8"/>
  <c r="K216" i="8"/>
  <c r="L216" i="8"/>
  <c r="M216" i="8"/>
  <c r="N216" i="8"/>
  <c r="O216" i="8"/>
  <c r="P216" i="8"/>
  <c r="Q216" i="8"/>
  <c r="R216" i="8"/>
  <c r="S216" i="8"/>
  <c r="T216" i="8"/>
  <c r="V216" i="8"/>
  <c r="A205" i="11" s="1"/>
  <c r="Z216" i="8"/>
  <c r="H217" i="8"/>
  <c r="I217" i="8"/>
  <c r="J217" i="8"/>
  <c r="K217" i="8"/>
  <c r="L217" i="8"/>
  <c r="M217" i="8"/>
  <c r="N217" i="8"/>
  <c r="O217" i="8"/>
  <c r="P217" i="8"/>
  <c r="Q217" i="8"/>
  <c r="R217" i="8"/>
  <c r="S217" i="8"/>
  <c r="T217" i="8"/>
  <c r="V217" i="8"/>
  <c r="A206" i="11" s="1"/>
  <c r="Z217" i="8"/>
  <c r="H218" i="8"/>
  <c r="I218" i="8"/>
  <c r="J218" i="8"/>
  <c r="K218" i="8"/>
  <c r="L218" i="8"/>
  <c r="M218" i="8"/>
  <c r="N218" i="8"/>
  <c r="O218" i="8"/>
  <c r="P218" i="8"/>
  <c r="Q218" i="8"/>
  <c r="R218" i="8"/>
  <c r="S218" i="8"/>
  <c r="T218" i="8"/>
  <c r="V218" i="8"/>
  <c r="A207" i="11" s="1"/>
  <c r="Z218" i="8"/>
  <c r="H219" i="8"/>
  <c r="I219" i="8"/>
  <c r="J219" i="8"/>
  <c r="K219" i="8"/>
  <c r="L219" i="8"/>
  <c r="M219" i="8"/>
  <c r="N219" i="8"/>
  <c r="O219" i="8"/>
  <c r="P219" i="8"/>
  <c r="Q219" i="8"/>
  <c r="R219" i="8"/>
  <c r="S219" i="8"/>
  <c r="T219" i="8"/>
  <c r="V219" i="8"/>
  <c r="A208" i="11" s="1"/>
  <c r="Z219" i="8"/>
  <c r="H220" i="8"/>
  <c r="I220" i="8"/>
  <c r="J220" i="8"/>
  <c r="K220" i="8"/>
  <c r="L220" i="8"/>
  <c r="M220" i="8"/>
  <c r="N220" i="8"/>
  <c r="O220" i="8"/>
  <c r="P220" i="8"/>
  <c r="Q220" i="8"/>
  <c r="R220" i="8"/>
  <c r="S220" i="8"/>
  <c r="T220" i="8"/>
  <c r="V220" i="8"/>
  <c r="A209" i="11" s="1"/>
  <c r="Z220" i="8"/>
  <c r="H221" i="8"/>
  <c r="I221" i="8"/>
  <c r="J221" i="8"/>
  <c r="K221" i="8"/>
  <c r="L221" i="8"/>
  <c r="M221" i="8"/>
  <c r="N221" i="8"/>
  <c r="O221" i="8"/>
  <c r="P221" i="8"/>
  <c r="Q221" i="8"/>
  <c r="R221" i="8"/>
  <c r="S221" i="8"/>
  <c r="T221" i="8"/>
  <c r="V221" i="8"/>
  <c r="A210" i="11" s="1"/>
  <c r="Z221" i="8"/>
  <c r="H222" i="8"/>
  <c r="I222" i="8"/>
  <c r="J222" i="8"/>
  <c r="K222" i="8"/>
  <c r="L222" i="8"/>
  <c r="M222" i="8"/>
  <c r="N222" i="8"/>
  <c r="O222" i="8"/>
  <c r="P222" i="8"/>
  <c r="Q222" i="8"/>
  <c r="R222" i="8"/>
  <c r="S222" i="8"/>
  <c r="T222" i="8"/>
  <c r="V222" i="8"/>
  <c r="A211" i="11" s="1"/>
  <c r="Z222" i="8"/>
  <c r="H223" i="8"/>
  <c r="I223" i="8"/>
  <c r="J223" i="8"/>
  <c r="K223" i="8"/>
  <c r="L223" i="8"/>
  <c r="M223" i="8"/>
  <c r="N223" i="8"/>
  <c r="O223" i="8"/>
  <c r="P223" i="8"/>
  <c r="Q223" i="8"/>
  <c r="R223" i="8"/>
  <c r="S223" i="8"/>
  <c r="T223" i="8"/>
  <c r="V223" i="8"/>
  <c r="A212" i="11" s="1"/>
  <c r="Z223" i="8"/>
  <c r="H224" i="8"/>
  <c r="I224" i="8"/>
  <c r="J224" i="8"/>
  <c r="K224" i="8"/>
  <c r="L224" i="8"/>
  <c r="M224" i="8"/>
  <c r="N224" i="8"/>
  <c r="O224" i="8"/>
  <c r="P224" i="8"/>
  <c r="Q224" i="8"/>
  <c r="R224" i="8"/>
  <c r="S224" i="8"/>
  <c r="T224" i="8"/>
  <c r="V224" i="8"/>
  <c r="A213" i="11" s="1"/>
  <c r="Z224" i="8"/>
  <c r="H225" i="8"/>
  <c r="I225" i="8"/>
  <c r="J225" i="8"/>
  <c r="K225" i="8"/>
  <c r="L225" i="8"/>
  <c r="M225" i="8"/>
  <c r="N225" i="8"/>
  <c r="O225" i="8"/>
  <c r="P225" i="8"/>
  <c r="Q225" i="8"/>
  <c r="R225" i="8"/>
  <c r="W225" i="8" s="1"/>
  <c r="B214" i="11" s="1"/>
  <c r="S225" i="8"/>
  <c r="T225" i="8"/>
  <c r="V225" i="8"/>
  <c r="A214" i="11" s="1"/>
  <c r="Z225" i="8"/>
  <c r="H226" i="8"/>
  <c r="I226" i="8"/>
  <c r="J226" i="8"/>
  <c r="K226" i="8"/>
  <c r="L226" i="8"/>
  <c r="M226" i="8"/>
  <c r="N226" i="8"/>
  <c r="O226" i="8"/>
  <c r="P226" i="8"/>
  <c r="Q226" i="8"/>
  <c r="R226" i="8"/>
  <c r="W226" i="8" s="1"/>
  <c r="B215" i="11" s="1"/>
  <c r="S226" i="8"/>
  <c r="T226" i="8"/>
  <c r="V226" i="8"/>
  <c r="A215" i="11" s="1"/>
  <c r="Z226" i="8"/>
  <c r="H227" i="8"/>
  <c r="I227" i="8"/>
  <c r="J227" i="8"/>
  <c r="K227" i="8"/>
  <c r="L227" i="8"/>
  <c r="M227" i="8"/>
  <c r="N227" i="8"/>
  <c r="O227" i="8"/>
  <c r="P227" i="8"/>
  <c r="Q227" i="8"/>
  <c r="R227" i="8"/>
  <c r="S227" i="8"/>
  <c r="T227" i="8"/>
  <c r="V227" i="8"/>
  <c r="A216" i="11" s="1"/>
  <c r="Z227" i="8"/>
  <c r="H228" i="8"/>
  <c r="I228" i="8"/>
  <c r="J228" i="8"/>
  <c r="K228" i="8"/>
  <c r="L228" i="8"/>
  <c r="M228" i="8"/>
  <c r="N228" i="8"/>
  <c r="O228" i="8"/>
  <c r="P228" i="8"/>
  <c r="Q228" i="8"/>
  <c r="R228" i="8"/>
  <c r="S228" i="8"/>
  <c r="T228" i="8"/>
  <c r="V228" i="8"/>
  <c r="A217" i="11" s="1"/>
  <c r="Z228" i="8"/>
  <c r="H229" i="8"/>
  <c r="I229" i="8"/>
  <c r="J229" i="8"/>
  <c r="K229" i="8"/>
  <c r="L229" i="8"/>
  <c r="M229" i="8"/>
  <c r="N229" i="8"/>
  <c r="O229" i="8"/>
  <c r="P229" i="8"/>
  <c r="Q229" i="8"/>
  <c r="R229" i="8"/>
  <c r="S229" i="8"/>
  <c r="T229" i="8"/>
  <c r="V229" i="8"/>
  <c r="A218" i="11" s="1"/>
  <c r="Z229" i="8"/>
  <c r="H230" i="8"/>
  <c r="I230" i="8"/>
  <c r="J230" i="8"/>
  <c r="K230" i="8"/>
  <c r="L230" i="8"/>
  <c r="M230" i="8"/>
  <c r="N230" i="8"/>
  <c r="O230" i="8"/>
  <c r="P230" i="8"/>
  <c r="Q230" i="8"/>
  <c r="R230" i="8"/>
  <c r="S230" i="8"/>
  <c r="T230" i="8"/>
  <c r="V230" i="8"/>
  <c r="A219" i="11" s="1"/>
  <c r="Z230" i="8"/>
  <c r="H231" i="8"/>
  <c r="I231" i="8"/>
  <c r="J231" i="8"/>
  <c r="K231" i="8"/>
  <c r="L231" i="8"/>
  <c r="M231" i="8"/>
  <c r="N231" i="8"/>
  <c r="O231" i="8"/>
  <c r="P231" i="8"/>
  <c r="Q231" i="8"/>
  <c r="R231" i="8"/>
  <c r="S231" i="8"/>
  <c r="T231" i="8"/>
  <c r="V231" i="8"/>
  <c r="A220" i="11" s="1"/>
  <c r="Z231" i="8"/>
  <c r="H232" i="8"/>
  <c r="I232" i="8"/>
  <c r="J232" i="8"/>
  <c r="K232" i="8"/>
  <c r="L232" i="8"/>
  <c r="M232" i="8"/>
  <c r="N232" i="8"/>
  <c r="O232" i="8"/>
  <c r="P232" i="8"/>
  <c r="Q232" i="8"/>
  <c r="R232" i="8"/>
  <c r="S232" i="8"/>
  <c r="T232" i="8"/>
  <c r="V232" i="8"/>
  <c r="A221" i="11" s="1"/>
  <c r="Z232" i="8"/>
  <c r="H233" i="8"/>
  <c r="I233" i="8"/>
  <c r="J233" i="8"/>
  <c r="K233" i="8"/>
  <c r="L233" i="8"/>
  <c r="M233" i="8"/>
  <c r="N233" i="8"/>
  <c r="O233" i="8"/>
  <c r="P233" i="8"/>
  <c r="Q233" i="8"/>
  <c r="R233" i="8"/>
  <c r="S233" i="8"/>
  <c r="T233" i="8"/>
  <c r="V233" i="8"/>
  <c r="A222" i="11" s="1"/>
  <c r="Z233" i="8"/>
  <c r="H234" i="8"/>
  <c r="I234" i="8"/>
  <c r="J234" i="8"/>
  <c r="K234" i="8"/>
  <c r="L234" i="8"/>
  <c r="M234" i="8"/>
  <c r="N234" i="8"/>
  <c r="O234" i="8"/>
  <c r="P234" i="8"/>
  <c r="Q234" i="8"/>
  <c r="R234" i="8"/>
  <c r="S234" i="8"/>
  <c r="T234" i="8"/>
  <c r="V234" i="8"/>
  <c r="A223" i="11" s="1"/>
  <c r="Z234" i="8"/>
  <c r="H235" i="8"/>
  <c r="I235" i="8"/>
  <c r="J235" i="8"/>
  <c r="K235" i="8"/>
  <c r="L235" i="8"/>
  <c r="M235" i="8"/>
  <c r="N235" i="8"/>
  <c r="O235" i="8"/>
  <c r="P235" i="8"/>
  <c r="Q235" i="8"/>
  <c r="R235" i="8"/>
  <c r="S235" i="8"/>
  <c r="T235" i="8"/>
  <c r="V235" i="8"/>
  <c r="A224" i="11" s="1"/>
  <c r="Z235" i="8"/>
  <c r="H236" i="8"/>
  <c r="I236" i="8"/>
  <c r="J236" i="8"/>
  <c r="K236" i="8"/>
  <c r="L236" i="8"/>
  <c r="M236" i="8"/>
  <c r="N236" i="8"/>
  <c r="O236" i="8"/>
  <c r="P236" i="8"/>
  <c r="Q236" i="8"/>
  <c r="R236" i="8"/>
  <c r="S236" i="8"/>
  <c r="T236" i="8"/>
  <c r="V236" i="8"/>
  <c r="A225" i="11" s="1"/>
  <c r="Z236" i="8"/>
  <c r="H237" i="8"/>
  <c r="I237" i="8"/>
  <c r="J237" i="8"/>
  <c r="K237" i="8"/>
  <c r="L237" i="8"/>
  <c r="M237" i="8"/>
  <c r="N237" i="8"/>
  <c r="O237" i="8"/>
  <c r="P237" i="8"/>
  <c r="Q237" i="8"/>
  <c r="R237" i="8"/>
  <c r="S237" i="8"/>
  <c r="T237" i="8"/>
  <c r="V237" i="8"/>
  <c r="A226" i="11" s="1"/>
  <c r="Z237" i="8"/>
  <c r="H238" i="8"/>
  <c r="I238" i="8"/>
  <c r="J238" i="8"/>
  <c r="K238" i="8"/>
  <c r="L238" i="8"/>
  <c r="M238" i="8"/>
  <c r="N238" i="8"/>
  <c r="O238" i="8"/>
  <c r="P238" i="8"/>
  <c r="Q238" i="8"/>
  <c r="R238" i="8"/>
  <c r="S238" i="8"/>
  <c r="T238" i="8"/>
  <c r="V238" i="8"/>
  <c r="A227" i="11" s="1"/>
  <c r="Z238" i="8"/>
  <c r="H239" i="8"/>
  <c r="I239" i="8"/>
  <c r="J239" i="8"/>
  <c r="K239" i="8"/>
  <c r="L239" i="8"/>
  <c r="M239" i="8"/>
  <c r="N239" i="8"/>
  <c r="O239" i="8"/>
  <c r="P239" i="8"/>
  <c r="Q239" i="8"/>
  <c r="R239" i="8"/>
  <c r="S239" i="8"/>
  <c r="T239" i="8"/>
  <c r="V239" i="8"/>
  <c r="A228" i="11" s="1"/>
  <c r="Z239" i="8"/>
  <c r="H240" i="8"/>
  <c r="I240" i="8"/>
  <c r="J240" i="8"/>
  <c r="K240" i="8"/>
  <c r="L240" i="8"/>
  <c r="M240" i="8"/>
  <c r="N240" i="8"/>
  <c r="O240" i="8"/>
  <c r="P240" i="8"/>
  <c r="Q240" i="8"/>
  <c r="R240" i="8"/>
  <c r="S240" i="8"/>
  <c r="T240" i="8"/>
  <c r="V240" i="8"/>
  <c r="A229" i="11" s="1"/>
  <c r="Z240" i="8"/>
  <c r="H241" i="8"/>
  <c r="I241" i="8"/>
  <c r="J241" i="8"/>
  <c r="K241" i="8"/>
  <c r="L241" i="8"/>
  <c r="M241" i="8"/>
  <c r="N241" i="8"/>
  <c r="O241" i="8"/>
  <c r="P241" i="8"/>
  <c r="Q241" i="8"/>
  <c r="R241" i="8"/>
  <c r="S241" i="8"/>
  <c r="T241" i="8"/>
  <c r="V241" i="8"/>
  <c r="A230" i="11" s="1"/>
  <c r="Z241" i="8"/>
  <c r="H242" i="8"/>
  <c r="I242" i="8"/>
  <c r="J242" i="8"/>
  <c r="K242" i="8"/>
  <c r="L242" i="8"/>
  <c r="M242" i="8"/>
  <c r="N242" i="8"/>
  <c r="O242" i="8"/>
  <c r="P242" i="8"/>
  <c r="Q242" i="8"/>
  <c r="R242" i="8"/>
  <c r="S242" i="8"/>
  <c r="T242" i="8"/>
  <c r="V242" i="8"/>
  <c r="A231" i="11" s="1"/>
  <c r="Z242" i="8"/>
  <c r="H243" i="8"/>
  <c r="I243" i="8"/>
  <c r="J243" i="8"/>
  <c r="K243" i="8"/>
  <c r="L243" i="8"/>
  <c r="M243" i="8"/>
  <c r="N243" i="8"/>
  <c r="O243" i="8"/>
  <c r="P243" i="8"/>
  <c r="Q243" i="8"/>
  <c r="R243" i="8"/>
  <c r="S243" i="8"/>
  <c r="T243" i="8"/>
  <c r="V243" i="8"/>
  <c r="A232" i="11" s="1"/>
  <c r="Z243" i="8"/>
  <c r="H244" i="8"/>
  <c r="I244" i="8"/>
  <c r="J244" i="8"/>
  <c r="K244" i="8"/>
  <c r="L244" i="8"/>
  <c r="M244" i="8"/>
  <c r="N244" i="8"/>
  <c r="O244" i="8"/>
  <c r="P244" i="8"/>
  <c r="Q244" i="8"/>
  <c r="R244" i="8"/>
  <c r="S244" i="8"/>
  <c r="T244" i="8"/>
  <c r="V244" i="8"/>
  <c r="A233" i="11" s="1"/>
  <c r="Z244" i="8"/>
  <c r="H245" i="8"/>
  <c r="I245" i="8"/>
  <c r="J245" i="8"/>
  <c r="K245" i="8"/>
  <c r="L245" i="8"/>
  <c r="M245" i="8"/>
  <c r="N245" i="8"/>
  <c r="O245" i="8"/>
  <c r="P245" i="8"/>
  <c r="Q245" i="8"/>
  <c r="R245" i="8"/>
  <c r="S245" i="8"/>
  <c r="T245" i="8"/>
  <c r="V245" i="8"/>
  <c r="A234" i="11" s="1"/>
  <c r="Z245" i="8"/>
  <c r="H246" i="8"/>
  <c r="I246" i="8"/>
  <c r="J246" i="8"/>
  <c r="K246" i="8"/>
  <c r="L246" i="8"/>
  <c r="M246" i="8"/>
  <c r="N246" i="8"/>
  <c r="O246" i="8"/>
  <c r="P246" i="8"/>
  <c r="Q246" i="8"/>
  <c r="R246" i="8"/>
  <c r="S246" i="8"/>
  <c r="T246" i="8"/>
  <c r="V246" i="8"/>
  <c r="A235" i="11" s="1"/>
  <c r="Z246" i="8"/>
  <c r="H247" i="8"/>
  <c r="I247" i="8"/>
  <c r="J247" i="8"/>
  <c r="K247" i="8"/>
  <c r="L247" i="8"/>
  <c r="M247" i="8"/>
  <c r="N247" i="8"/>
  <c r="O247" i="8"/>
  <c r="P247" i="8"/>
  <c r="Q247" i="8"/>
  <c r="R247" i="8"/>
  <c r="S247" i="8"/>
  <c r="T247" i="8"/>
  <c r="V247" i="8"/>
  <c r="A236" i="11" s="1"/>
  <c r="Z247" i="8"/>
  <c r="H248" i="8"/>
  <c r="I248" i="8"/>
  <c r="J248" i="8"/>
  <c r="K248" i="8"/>
  <c r="L248" i="8"/>
  <c r="M248" i="8"/>
  <c r="N248" i="8"/>
  <c r="O248" i="8"/>
  <c r="P248" i="8"/>
  <c r="Q248" i="8"/>
  <c r="R248" i="8"/>
  <c r="S248" i="8"/>
  <c r="T248" i="8"/>
  <c r="V248" i="8"/>
  <c r="A237" i="11" s="1"/>
  <c r="Z248" i="8"/>
  <c r="H249" i="8"/>
  <c r="I249" i="8"/>
  <c r="J249" i="8"/>
  <c r="K249" i="8"/>
  <c r="L249" i="8"/>
  <c r="M249" i="8"/>
  <c r="N249" i="8"/>
  <c r="O249" i="8"/>
  <c r="P249" i="8"/>
  <c r="Q249" i="8"/>
  <c r="R249" i="8"/>
  <c r="S249" i="8"/>
  <c r="T249" i="8"/>
  <c r="V249" i="8"/>
  <c r="A238" i="11" s="1"/>
  <c r="Z249" i="8"/>
  <c r="H250" i="8"/>
  <c r="I250" i="8"/>
  <c r="J250" i="8"/>
  <c r="K250" i="8"/>
  <c r="L250" i="8"/>
  <c r="M250" i="8"/>
  <c r="N250" i="8"/>
  <c r="O250" i="8"/>
  <c r="P250" i="8"/>
  <c r="Q250" i="8"/>
  <c r="R250" i="8"/>
  <c r="S250" i="8"/>
  <c r="T250" i="8"/>
  <c r="V250" i="8"/>
  <c r="A239" i="11" s="1"/>
  <c r="Z250" i="8"/>
  <c r="H251" i="8"/>
  <c r="I251" i="8"/>
  <c r="J251" i="8"/>
  <c r="K251" i="8"/>
  <c r="L251" i="8"/>
  <c r="M251" i="8"/>
  <c r="N251" i="8"/>
  <c r="O251" i="8"/>
  <c r="P251" i="8"/>
  <c r="Q251" i="8"/>
  <c r="R251" i="8"/>
  <c r="S251" i="8"/>
  <c r="T251" i="8"/>
  <c r="V251" i="8"/>
  <c r="A240" i="11" s="1"/>
  <c r="Z251" i="8"/>
  <c r="H252" i="8"/>
  <c r="I252" i="8"/>
  <c r="J252" i="8"/>
  <c r="K252" i="8"/>
  <c r="L252" i="8"/>
  <c r="M252" i="8"/>
  <c r="N252" i="8"/>
  <c r="O252" i="8"/>
  <c r="P252" i="8"/>
  <c r="Q252" i="8"/>
  <c r="R252" i="8"/>
  <c r="S252" i="8"/>
  <c r="T252" i="8"/>
  <c r="V252" i="8"/>
  <c r="A241" i="11" s="1"/>
  <c r="Z252" i="8"/>
  <c r="H253" i="8"/>
  <c r="I253" i="8"/>
  <c r="J253" i="8"/>
  <c r="K253" i="8"/>
  <c r="L253" i="8"/>
  <c r="M253" i="8"/>
  <c r="N253" i="8"/>
  <c r="O253" i="8"/>
  <c r="P253" i="8"/>
  <c r="Q253" i="8"/>
  <c r="R253" i="8"/>
  <c r="S253" i="8"/>
  <c r="T253" i="8"/>
  <c r="V253" i="8"/>
  <c r="A242" i="11" s="1"/>
  <c r="Z253" i="8"/>
  <c r="H254" i="8"/>
  <c r="I254" i="8"/>
  <c r="J254" i="8"/>
  <c r="K254" i="8"/>
  <c r="L254" i="8"/>
  <c r="M254" i="8"/>
  <c r="N254" i="8"/>
  <c r="O254" i="8"/>
  <c r="P254" i="8"/>
  <c r="Q254" i="8"/>
  <c r="R254" i="8"/>
  <c r="S254" i="8"/>
  <c r="T254" i="8"/>
  <c r="V254" i="8"/>
  <c r="A243" i="11" s="1"/>
  <c r="Z254" i="8"/>
  <c r="H255" i="8"/>
  <c r="I255" i="8"/>
  <c r="J255" i="8"/>
  <c r="K255" i="8"/>
  <c r="L255" i="8"/>
  <c r="M255" i="8"/>
  <c r="N255" i="8"/>
  <c r="O255" i="8"/>
  <c r="P255" i="8"/>
  <c r="Q255" i="8"/>
  <c r="R255" i="8"/>
  <c r="S255" i="8"/>
  <c r="T255" i="8"/>
  <c r="V255" i="8"/>
  <c r="A244" i="11" s="1"/>
  <c r="Z255" i="8"/>
  <c r="H256" i="8"/>
  <c r="I256" i="8"/>
  <c r="J256" i="8"/>
  <c r="K256" i="8"/>
  <c r="L256" i="8"/>
  <c r="M256" i="8"/>
  <c r="N256" i="8"/>
  <c r="O256" i="8"/>
  <c r="P256" i="8"/>
  <c r="Q256" i="8"/>
  <c r="R256" i="8"/>
  <c r="S256" i="8"/>
  <c r="T256" i="8"/>
  <c r="V256" i="8"/>
  <c r="A245" i="11" s="1"/>
  <c r="Z256" i="8"/>
  <c r="H257" i="8"/>
  <c r="I257" i="8"/>
  <c r="J257" i="8"/>
  <c r="K257" i="8"/>
  <c r="L257" i="8"/>
  <c r="M257" i="8"/>
  <c r="N257" i="8"/>
  <c r="O257" i="8"/>
  <c r="P257" i="8"/>
  <c r="Q257" i="8"/>
  <c r="R257" i="8"/>
  <c r="S257" i="8"/>
  <c r="T257" i="8"/>
  <c r="V257" i="8"/>
  <c r="A246" i="11" s="1"/>
  <c r="Z257" i="8"/>
  <c r="H258" i="8"/>
  <c r="I258" i="8"/>
  <c r="J258" i="8"/>
  <c r="K258" i="8"/>
  <c r="L258" i="8"/>
  <c r="M258" i="8"/>
  <c r="N258" i="8"/>
  <c r="O258" i="8"/>
  <c r="P258" i="8"/>
  <c r="Q258" i="8"/>
  <c r="R258" i="8"/>
  <c r="S258" i="8"/>
  <c r="T258" i="8"/>
  <c r="V258" i="8"/>
  <c r="A247" i="11" s="1"/>
  <c r="Z258" i="8"/>
  <c r="H259" i="8"/>
  <c r="I259" i="8"/>
  <c r="J259" i="8"/>
  <c r="K259" i="8"/>
  <c r="L259" i="8"/>
  <c r="M259" i="8"/>
  <c r="N259" i="8"/>
  <c r="O259" i="8"/>
  <c r="P259" i="8"/>
  <c r="Q259" i="8"/>
  <c r="R259" i="8"/>
  <c r="S259" i="8"/>
  <c r="T259" i="8"/>
  <c r="V259" i="8"/>
  <c r="A248" i="11" s="1"/>
  <c r="Z259" i="8"/>
  <c r="H260" i="8"/>
  <c r="I260" i="8"/>
  <c r="J260" i="8"/>
  <c r="K260" i="8"/>
  <c r="L260" i="8"/>
  <c r="M260" i="8"/>
  <c r="N260" i="8"/>
  <c r="O260" i="8"/>
  <c r="P260" i="8"/>
  <c r="Q260" i="8"/>
  <c r="R260" i="8"/>
  <c r="S260" i="8"/>
  <c r="T260" i="8"/>
  <c r="V260" i="8"/>
  <c r="A249" i="11" s="1"/>
  <c r="Z260" i="8"/>
  <c r="H261" i="8"/>
  <c r="I261" i="8"/>
  <c r="J261" i="8"/>
  <c r="K261" i="8"/>
  <c r="L261" i="8"/>
  <c r="M261" i="8"/>
  <c r="N261" i="8"/>
  <c r="O261" i="8"/>
  <c r="P261" i="8"/>
  <c r="Q261" i="8"/>
  <c r="R261" i="8"/>
  <c r="S261" i="8"/>
  <c r="T261" i="8"/>
  <c r="V261" i="8"/>
  <c r="A250" i="11" s="1"/>
  <c r="Z261" i="8"/>
  <c r="H262" i="8"/>
  <c r="I262" i="8"/>
  <c r="J262" i="8"/>
  <c r="K262" i="8"/>
  <c r="L262" i="8"/>
  <c r="M262" i="8"/>
  <c r="N262" i="8"/>
  <c r="O262" i="8"/>
  <c r="P262" i="8"/>
  <c r="Q262" i="8"/>
  <c r="R262" i="8"/>
  <c r="S262" i="8"/>
  <c r="T262" i="8"/>
  <c r="V262" i="8"/>
  <c r="A251" i="11" s="1"/>
  <c r="Z262" i="8"/>
  <c r="H263" i="8"/>
  <c r="I263" i="8"/>
  <c r="J263" i="8"/>
  <c r="K263" i="8"/>
  <c r="L263" i="8"/>
  <c r="M263" i="8"/>
  <c r="N263" i="8"/>
  <c r="O263" i="8"/>
  <c r="P263" i="8"/>
  <c r="Q263" i="8"/>
  <c r="R263" i="8"/>
  <c r="S263" i="8"/>
  <c r="T263" i="8"/>
  <c r="V263" i="8"/>
  <c r="A252" i="11" s="1"/>
  <c r="Z263" i="8"/>
  <c r="H264" i="8"/>
  <c r="I264" i="8"/>
  <c r="J264" i="8"/>
  <c r="K264" i="8"/>
  <c r="L264" i="8"/>
  <c r="M264" i="8"/>
  <c r="N264" i="8"/>
  <c r="O264" i="8"/>
  <c r="P264" i="8"/>
  <c r="Q264" i="8"/>
  <c r="R264" i="8"/>
  <c r="S264" i="8"/>
  <c r="T264" i="8"/>
  <c r="V264" i="8"/>
  <c r="A253" i="11" s="1"/>
  <c r="Z264" i="8"/>
  <c r="H265" i="8"/>
  <c r="I265" i="8"/>
  <c r="J265" i="8"/>
  <c r="K265" i="8"/>
  <c r="L265" i="8"/>
  <c r="M265" i="8"/>
  <c r="N265" i="8"/>
  <c r="O265" i="8"/>
  <c r="P265" i="8"/>
  <c r="Q265" i="8"/>
  <c r="R265" i="8"/>
  <c r="S265" i="8"/>
  <c r="T265" i="8"/>
  <c r="V265" i="8"/>
  <c r="A254" i="11" s="1"/>
  <c r="Z265" i="8"/>
  <c r="H266" i="8"/>
  <c r="I266" i="8"/>
  <c r="J266" i="8"/>
  <c r="K266" i="8"/>
  <c r="L266" i="8"/>
  <c r="M266" i="8"/>
  <c r="N266" i="8"/>
  <c r="O266" i="8"/>
  <c r="P266" i="8"/>
  <c r="Q266" i="8"/>
  <c r="R266" i="8"/>
  <c r="S266" i="8"/>
  <c r="T266" i="8"/>
  <c r="V266" i="8"/>
  <c r="A255" i="11" s="1"/>
  <c r="Z266" i="8"/>
  <c r="H267" i="8"/>
  <c r="I267" i="8"/>
  <c r="J267" i="8"/>
  <c r="K267" i="8"/>
  <c r="L267" i="8"/>
  <c r="M267" i="8"/>
  <c r="N267" i="8"/>
  <c r="O267" i="8"/>
  <c r="P267" i="8"/>
  <c r="Q267" i="8"/>
  <c r="R267" i="8"/>
  <c r="S267" i="8"/>
  <c r="T267" i="8"/>
  <c r="V267" i="8"/>
  <c r="A256" i="11" s="1"/>
  <c r="Z267" i="8"/>
  <c r="H268" i="8"/>
  <c r="I268" i="8"/>
  <c r="J268" i="8"/>
  <c r="K268" i="8"/>
  <c r="L268" i="8"/>
  <c r="M268" i="8"/>
  <c r="N268" i="8"/>
  <c r="O268" i="8"/>
  <c r="P268" i="8"/>
  <c r="Q268" i="8"/>
  <c r="R268" i="8"/>
  <c r="S268" i="8"/>
  <c r="T268" i="8"/>
  <c r="V268" i="8"/>
  <c r="A257" i="11" s="1"/>
  <c r="Z268" i="8"/>
  <c r="H269" i="8"/>
  <c r="I269" i="8"/>
  <c r="J269" i="8"/>
  <c r="K269" i="8"/>
  <c r="L269" i="8"/>
  <c r="M269" i="8"/>
  <c r="N269" i="8"/>
  <c r="O269" i="8"/>
  <c r="P269" i="8"/>
  <c r="Q269" i="8"/>
  <c r="R269" i="8"/>
  <c r="S269" i="8"/>
  <c r="T269" i="8"/>
  <c r="V269" i="8"/>
  <c r="A258" i="11" s="1"/>
  <c r="Z269" i="8"/>
  <c r="H270" i="8"/>
  <c r="I270" i="8"/>
  <c r="J270" i="8"/>
  <c r="K270" i="8"/>
  <c r="L270" i="8"/>
  <c r="M270" i="8"/>
  <c r="N270" i="8"/>
  <c r="O270" i="8"/>
  <c r="P270" i="8"/>
  <c r="Q270" i="8"/>
  <c r="R270" i="8"/>
  <c r="S270" i="8"/>
  <c r="T270" i="8"/>
  <c r="V270" i="8"/>
  <c r="A259" i="11" s="1"/>
  <c r="Z270" i="8"/>
  <c r="H271" i="8"/>
  <c r="I271" i="8"/>
  <c r="J271" i="8"/>
  <c r="K271" i="8"/>
  <c r="L271" i="8"/>
  <c r="M271" i="8"/>
  <c r="N271" i="8"/>
  <c r="O271" i="8"/>
  <c r="P271" i="8"/>
  <c r="Q271" i="8"/>
  <c r="R271" i="8"/>
  <c r="S271" i="8"/>
  <c r="T271" i="8"/>
  <c r="V271" i="8"/>
  <c r="A260" i="11" s="1"/>
  <c r="Z271" i="8"/>
  <c r="H272" i="8"/>
  <c r="I272" i="8"/>
  <c r="J272" i="8"/>
  <c r="K272" i="8"/>
  <c r="L272" i="8"/>
  <c r="M272" i="8"/>
  <c r="N272" i="8"/>
  <c r="O272" i="8"/>
  <c r="P272" i="8"/>
  <c r="Q272" i="8"/>
  <c r="R272" i="8"/>
  <c r="S272" i="8"/>
  <c r="T272" i="8"/>
  <c r="V272" i="8"/>
  <c r="A261" i="11" s="1"/>
  <c r="Z272" i="8"/>
  <c r="H273" i="8"/>
  <c r="I273" i="8"/>
  <c r="J273" i="8"/>
  <c r="K273" i="8"/>
  <c r="L273" i="8"/>
  <c r="M273" i="8"/>
  <c r="N273" i="8"/>
  <c r="O273" i="8"/>
  <c r="P273" i="8"/>
  <c r="Q273" i="8"/>
  <c r="R273" i="8"/>
  <c r="W273" i="8" s="1"/>
  <c r="B262" i="11" s="1"/>
  <c r="S273" i="8"/>
  <c r="T273" i="8"/>
  <c r="V273" i="8"/>
  <c r="A262" i="11" s="1"/>
  <c r="Z273" i="8"/>
  <c r="H274" i="8"/>
  <c r="I274" i="8"/>
  <c r="J274" i="8"/>
  <c r="K274" i="8"/>
  <c r="L274" i="8"/>
  <c r="M274" i="8"/>
  <c r="N274" i="8"/>
  <c r="O274" i="8"/>
  <c r="P274" i="8"/>
  <c r="Q274" i="8"/>
  <c r="R274" i="8"/>
  <c r="W274" i="8" s="1"/>
  <c r="B263" i="11" s="1"/>
  <c r="S274" i="8"/>
  <c r="T274" i="8"/>
  <c r="V274" i="8"/>
  <c r="A263" i="11" s="1"/>
  <c r="Z274" i="8"/>
  <c r="Z275" i="8"/>
  <c r="Z276" i="8"/>
  <c r="Z277" i="8"/>
  <c r="Z278" i="8"/>
  <c r="Z279" i="8"/>
  <c r="Z280" i="8"/>
  <c r="Z281" i="8"/>
  <c r="Z282" i="8"/>
  <c r="Z283" i="8"/>
  <c r="Z284" i="8"/>
  <c r="Z285" i="8"/>
  <c r="Z286" i="8"/>
  <c r="Z287" i="8"/>
  <c r="Z288" i="8"/>
  <c r="Z289" i="8"/>
  <c r="Z290" i="8"/>
  <c r="Z291" i="8"/>
  <c r="Z292" i="8"/>
  <c r="Z293" i="8"/>
  <c r="Z294" i="8"/>
  <c r="Z295" i="8"/>
  <c r="Z296" i="8"/>
  <c r="Z297" i="8"/>
  <c r="Z298" i="8"/>
  <c r="Z299" i="8"/>
  <c r="Z300" i="8"/>
  <c r="F12" i="7"/>
  <c r="C12" i="7"/>
  <c r="J12" i="7"/>
  <c r="I2" i="8"/>
  <c r="C6" i="8"/>
  <c r="F2" i="8"/>
  <c r="C8" i="8"/>
  <c r="E13" i="8"/>
  <c r="H2" i="8"/>
  <c r="G13" i="8"/>
  <c r="C5" i="8"/>
  <c r="C7" i="8"/>
  <c r="C4" i="8"/>
  <c r="G2" i="8"/>
  <c r="C13" i="8"/>
  <c r="A13" i="8"/>
  <c r="D13" i="8"/>
  <c r="C3" i="8"/>
  <c r="F13" i="8"/>
  <c r="E2" i="8"/>
  <c r="G12" i="7" l="1"/>
  <c r="H12" i="7"/>
  <c r="W101" i="8"/>
  <c r="B90" i="11" s="1"/>
  <c r="W152" i="8"/>
  <c r="B141" i="11" s="1"/>
  <c r="W228" i="8"/>
  <c r="B217" i="11" s="1"/>
  <c r="W168" i="8"/>
  <c r="B157" i="11" s="1"/>
  <c r="W75" i="8"/>
  <c r="B64" i="11" s="1"/>
  <c r="W235" i="8"/>
  <c r="B224" i="11" s="1"/>
  <c r="W223" i="8"/>
  <c r="B212" i="11" s="1"/>
  <c r="W222" i="8"/>
  <c r="B211" i="11" s="1"/>
  <c r="W212" i="8"/>
  <c r="B201" i="11" s="1"/>
  <c r="W180" i="8"/>
  <c r="B169" i="11" s="1"/>
  <c r="W148" i="8"/>
  <c r="B137" i="11" s="1"/>
  <c r="W27" i="8"/>
  <c r="B16" i="11" s="1"/>
  <c r="W251" i="8"/>
  <c r="B240" i="11" s="1"/>
  <c r="W239" i="8"/>
  <c r="B228" i="11" s="1"/>
  <c r="W203" i="8"/>
  <c r="B192" i="11" s="1"/>
  <c r="W172" i="8"/>
  <c r="B161" i="11" s="1"/>
  <c r="W140" i="8"/>
  <c r="B129" i="11" s="1"/>
  <c r="W87" i="8"/>
  <c r="B76" i="11" s="1"/>
  <c r="W242" i="8"/>
  <c r="B231" i="11" s="1"/>
  <c r="W267" i="8"/>
  <c r="B256" i="11" s="1"/>
  <c r="W255" i="8"/>
  <c r="B244" i="11" s="1"/>
  <c r="W254" i="8"/>
  <c r="B243" i="11" s="1"/>
  <c r="W244" i="8"/>
  <c r="B233" i="11" s="1"/>
  <c r="W206" i="8"/>
  <c r="B195" i="11" s="1"/>
  <c r="W196" i="8"/>
  <c r="B185" i="11" s="1"/>
  <c r="W164" i="8"/>
  <c r="B153" i="11" s="1"/>
  <c r="W133" i="8"/>
  <c r="B122" i="11" s="1"/>
  <c r="W238" i="8"/>
  <c r="B227" i="11" s="1"/>
  <c r="W184" i="8"/>
  <c r="B173" i="11" s="1"/>
  <c r="W258" i="8"/>
  <c r="B247" i="11" s="1"/>
  <c r="W257" i="8"/>
  <c r="B246" i="11" s="1"/>
  <c r="W176" i="8"/>
  <c r="B165" i="11" s="1"/>
  <c r="W144" i="8"/>
  <c r="B133" i="11" s="1"/>
  <c r="W117" i="8"/>
  <c r="B106" i="11" s="1"/>
  <c r="W91" i="8"/>
  <c r="B80" i="11" s="1"/>
  <c r="W45" i="8"/>
  <c r="B34" i="11" s="1"/>
  <c r="W241" i="8"/>
  <c r="B230" i="11" s="1"/>
  <c r="W271" i="8"/>
  <c r="B260" i="11" s="1"/>
  <c r="W270" i="8"/>
  <c r="B259" i="11" s="1"/>
  <c r="W260" i="8"/>
  <c r="B249" i="11" s="1"/>
  <c r="W219" i="8"/>
  <c r="B208" i="11" s="1"/>
  <c r="W209" i="8"/>
  <c r="B198" i="11" s="1"/>
  <c r="W188" i="8"/>
  <c r="B177" i="11" s="1"/>
  <c r="W156" i="8"/>
  <c r="B145" i="11" s="1"/>
  <c r="H3" i="8"/>
  <c r="E3" i="8"/>
  <c r="G3" i="8"/>
  <c r="F3" i="8"/>
  <c r="I3" i="8"/>
  <c r="M13" i="8"/>
  <c r="K13" i="8"/>
  <c r="L13" i="8"/>
  <c r="N13" i="8"/>
  <c r="S13" i="8"/>
  <c r="T13" i="8"/>
  <c r="L2" i="8"/>
  <c r="L3" i="8"/>
  <c r="L5" i="8"/>
  <c r="V13" i="8"/>
  <c r="A2" i="11" s="1"/>
  <c r="L4" i="8"/>
  <c r="L6" i="8"/>
  <c r="H13" i="8"/>
  <c r="J13" i="8"/>
  <c r="R13" i="8"/>
  <c r="W13" i="8" s="1"/>
  <c r="B2" i="11" s="1"/>
  <c r="I13" i="8"/>
  <c r="G4" i="8"/>
  <c r="I4" i="8"/>
  <c r="D4" i="8"/>
  <c r="F4" i="8"/>
  <c r="H4" i="8"/>
  <c r="D7" i="8"/>
  <c r="G7" i="8"/>
  <c r="I7" i="8"/>
  <c r="E7" i="8"/>
  <c r="F7" i="8"/>
  <c r="H5" i="8"/>
  <c r="E5" i="8"/>
  <c r="G5" i="8"/>
  <c r="D5" i="8"/>
  <c r="I5" i="8"/>
  <c r="P13" i="8"/>
  <c r="O13" i="8"/>
  <c r="Q13" i="8"/>
  <c r="F8" i="8"/>
  <c r="H8" i="8"/>
  <c r="E8" i="8"/>
  <c r="D8" i="8"/>
  <c r="G8" i="8"/>
  <c r="I6" i="8"/>
  <c r="F6" i="8"/>
  <c r="H6" i="8"/>
  <c r="D6" i="8"/>
  <c r="E6" i="8"/>
  <c r="W210" i="8"/>
  <c r="B199" i="11" s="1"/>
  <c r="W207" i="8"/>
  <c r="B196" i="11" s="1"/>
  <c r="W197" i="8"/>
  <c r="B186" i="11" s="1"/>
  <c r="W193" i="8"/>
  <c r="B182" i="11" s="1"/>
  <c r="W189" i="8"/>
  <c r="B178" i="11" s="1"/>
  <c r="W185" i="8"/>
  <c r="B174" i="11" s="1"/>
  <c r="W181" i="8"/>
  <c r="B170" i="11" s="1"/>
  <c r="W177" i="8"/>
  <c r="B166" i="11" s="1"/>
  <c r="W173" i="8"/>
  <c r="B162" i="11" s="1"/>
  <c r="W169" i="8"/>
  <c r="B158" i="11" s="1"/>
  <c r="W165" i="8"/>
  <c r="B154" i="11" s="1"/>
  <c r="W161" i="8"/>
  <c r="B150" i="11" s="1"/>
  <c r="W157" i="8"/>
  <c r="B146" i="11" s="1"/>
  <c r="W153" i="8"/>
  <c r="B142" i="11" s="1"/>
  <c r="W149" i="8"/>
  <c r="B138" i="11" s="1"/>
  <c r="W145" i="8"/>
  <c r="B134" i="11" s="1"/>
  <c r="W141" i="8"/>
  <c r="B130" i="11" s="1"/>
  <c r="W137" i="8"/>
  <c r="B126" i="11" s="1"/>
  <c r="W121" i="8"/>
  <c r="B110" i="11" s="1"/>
  <c r="W107" i="8"/>
  <c r="B96" i="11" s="1"/>
  <c r="W103" i="8"/>
  <c r="B92" i="11" s="1"/>
  <c r="W77" i="8"/>
  <c r="B66" i="11" s="1"/>
  <c r="W55" i="8"/>
  <c r="B44" i="11" s="1"/>
  <c r="W43" i="8"/>
  <c r="B32" i="11" s="1"/>
  <c r="W264" i="8"/>
  <c r="B253" i="11" s="1"/>
  <c r="W261" i="8"/>
  <c r="B250" i="11" s="1"/>
  <c r="W248" i="8"/>
  <c r="B237" i="11" s="1"/>
  <c r="W245" i="8"/>
  <c r="B234" i="11" s="1"/>
  <c r="W232" i="8"/>
  <c r="B221" i="11" s="1"/>
  <c r="W229" i="8"/>
  <c r="B218" i="11" s="1"/>
  <c r="W216" i="8"/>
  <c r="B205" i="11" s="1"/>
  <c r="W213" i="8"/>
  <c r="B202" i="11" s="1"/>
  <c r="W200" i="8"/>
  <c r="B189" i="11" s="1"/>
  <c r="W93" i="8"/>
  <c r="B82" i="11" s="1"/>
  <c r="W71" i="8"/>
  <c r="B60" i="11" s="1"/>
  <c r="W59" i="8"/>
  <c r="B48" i="11" s="1"/>
  <c r="K4" i="9"/>
  <c r="M4" i="9"/>
  <c r="W266" i="8"/>
  <c r="B255" i="11" s="1"/>
  <c r="W263" i="8"/>
  <c r="B252" i="11" s="1"/>
  <c r="W231" i="8"/>
  <c r="B220" i="11" s="1"/>
  <c r="W215" i="8"/>
  <c r="B204" i="11" s="1"/>
  <c r="W199" i="8"/>
  <c r="B188" i="11" s="1"/>
  <c r="W191" i="8"/>
  <c r="B180" i="11" s="1"/>
  <c r="W183" i="8"/>
  <c r="B172" i="11" s="1"/>
  <c r="W175" i="8"/>
  <c r="B164" i="11" s="1"/>
  <c r="W167" i="8"/>
  <c r="B156" i="11" s="1"/>
  <c r="W159" i="8"/>
  <c r="B148" i="11" s="1"/>
  <c r="W151" i="8"/>
  <c r="B140" i="11" s="1"/>
  <c r="W143" i="8"/>
  <c r="B132" i="11" s="1"/>
  <c r="W113" i="8"/>
  <c r="B102" i="11" s="1"/>
  <c r="W272" i="8"/>
  <c r="B261" i="11" s="1"/>
  <c r="W269" i="8"/>
  <c r="B258" i="11" s="1"/>
  <c r="W256" i="8"/>
  <c r="B245" i="11" s="1"/>
  <c r="W253" i="8"/>
  <c r="B242" i="11" s="1"/>
  <c r="W240" i="8"/>
  <c r="B229" i="11" s="1"/>
  <c r="W237" i="8"/>
  <c r="B226" i="11" s="1"/>
  <c r="W224" i="8"/>
  <c r="B213" i="11" s="1"/>
  <c r="W221" i="8"/>
  <c r="B210" i="11" s="1"/>
  <c r="W208" i="8"/>
  <c r="B197" i="11" s="1"/>
  <c r="W205" i="8"/>
  <c r="B194" i="11" s="1"/>
  <c r="W250" i="8"/>
  <c r="B239" i="11" s="1"/>
  <c r="W247" i="8"/>
  <c r="B236" i="11" s="1"/>
  <c r="W234" i="8"/>
  <c r="B223" i="11" s="1"/>
  <c r="W218" i="8"/>
  <c r="B207" i="11" s="1"/>
  <c r="W202" i="8"/>
  <c r="B191" i="11" s="1"/>
  <c r="W195" i="8"/>
  <c r="B184" i="11" s="1"/>
  <c r="W187" i="8"/>
  <c r="B176" i="11" s="1"/>
  <c r="W179" i="8"/>
  <c r="B168" i="11" s="1"/>
  <c r="W171" i="8"/>
  <c r="B160" i="11" s="1"/>
  <c r="W163" i="8"/>
  <c r="B152" i="11" s="1"/>
  <c r="W155" i="8"/>
  <c r="B144" i="11" s="1"/>
  <c r="W147" i="8"/>
  <c r="B136" i="11" s="1"/>
  <c r="W139" i="8"/>
  <c r="B128" i="11" s="1"/>
  <c r="W129" i="8"/>
  <c r="B118" i="11" s="1"/>
  <c r="W262" i="8"/>
  <c r="B251" i="11" s="1"/>
  <c r="W259" i="8"/>
  <c r="B248" i="11" s="1"/>
  <c r="W246" i="8"/>
  <c r="B235" i="11" s="1"/>
  <c r="W243" i="8"/>
  <c r="B232" i="11" s="1"/>
  <c r="W230" i="8"/>
  <c r="B219" i="11" s="1"/>
  <c r="W227" i="8"/>
  <c r="B216" i="11" s="1"/>
  <c r="W214" i="8"/>
  <c r="B203" i="11" s="1"/>
  <c r="W211" i="8"/>
  <c r="B200" i="11" s="1"/>
  <c r="W198" i="8"/>
  <c r="B187" i="11" s="1"/>
  <c r="W194" i="8"/>
  <c r="B183" i="11" s="1"/>
  <c r="W190" i="8"/>
  <c r="B179" i="11" s="1"/>
  <c r="W186" i="8"/>
  <c r="B175" i="11" s="1"/>
  <c r="W182" i="8"/>
  <c r="B171" i="11" s="1"/>
  <c r="W178" i="8"/>
  <c r="B167" i="11" s="1"/>
  <c r="W174" i="8"/>
  <c r="B163" i="11" s="1"/>
  <c r="W170" i="8"/>
  <c r="B159" i="11" s="1"/>
  <c r="W166" i="8"/>
  <c r="B155" i="11" s="1"/>
  <c r="W162" i="8"/>
  <c r="B151" i="11" s="1"/>
  <c r="W158" i="8"/>
  <c r="B147" i="11" s="1"/>
  <c r="W154" i="8"/>
  <c r="B143" i="11" s="1"/>
  <c r="W150" i="8"/>
  <c r="B139" i="11" s="1"/>
  <c r="W146" i="8"/>
  <c r="B135" i="11" s="1"/>
  <c r="W142" i="8"/>
  <c r="B131" i="11" s="1"/>
  <c r="W138" i="8"/>
  <c r="B127" i="11" s="1"/>
  <c r="W125" i="8"/>
  <c r="B114" i="11" s="1"/>
  <c r="W109" i="8"/>
  <c r="B98" i="11" s="1"/>
  <c r="W85" i="8"/>
  <c r="B74" i="11" s="1"/>
  <c r="W23" i="8"/>
  <c r="B12" i="11" s="1"/>
  <c r="W29" i="8"/>
  <c r="B18" i="11" s="1"/>
  <c r="W268" i="8"/>
  <c r="B257" i="11" s="1"/>
  <c r="W265" i="8"/>
  <c r="B254" i="11" s="1"/>
  <c r="W252" i="8"/>
  <c r="B241" i="11" s="1"/>
  <c r="W249" i="8"/>
  <c r="B238" i="11" s="1"/>
  <c r="W236" i="8"/>
  <c r="B225" i="11" s="1"/>
  <c r="W233" i="8"/>
  <c r="B222" i="11" s="1"/>
  <c r="W220" i="8"/>
  <c r="B209" i="11" s="1"/>
  <c r="W217" i="8"/>
  <c r="B206" i="11" s="1"/>
  <c r="W204" i="8"/>
  <c r="B193" i="11" s="1"/>
  <c r="W201" i="8"/>
  <c r="B190" i="11" s="1"/>
  <c r="W61" i="8"/>
  <c r="B50" i="11" s="1"/>
  <c r="W39" i="8"/>
  <c r="B28" i="11" s="1"/>
  <c r="W14" i="8"/>
  <c r="B3" i="11" s="1"/>
  <c r="W16" i="8"/>
  <c r="B5" i="11" s="1"/>
  <c r="W18" i="8"/>
  <c r="B7" i="11" s="1"/>
  <c r="W20" i="8"/>
  <c r="B9" i="11" s="1"/>
  <c r="W22" i="8"/>
  <c r="B11" i="11" s="1"/>
  <c r="W24" i="8"/>
  <c r="B13" i="11" s="1"/>
  <c r="W26" i="8"/>
  <c r="B15" i="11" s="1"/>
  <c r="W28" i="8"/>
  <c r="B17" i="11" s="1"/>
  <c r="W30" i="8"/>
  <c r="B19" i="11" s="1"/>
  <c r="W32" i="8"/>
  <c r="B21" i="11" s="1"/>
  <c r="W34" i="8"/>
  <c r="B23" i="11" s="1"/>
  <c r="W36" i="8"/>
  <c r="B25" i="11" s="1"/>
  <c r="W38" i="8"/>
  <c r="B27" i="11" s="1"/>
  <c r="W40" i="8"/>
  <c r="B29" i="11" s="1"/>
  <c r="W42" i="8"/>
  <c r="B31" i="11" s="1"/>
  <c r="W44" i="8"/>
  <c r="B33" i="11" s="1"/>
  <c r="W46" i="8"/>
  <c r="B35" i="11" s="1"/>
  <c r="W48" i="8"/>
  <c r="B37" i="11" s="1"/>
  <c r="W50" i="8"/>
  <c r="B39" i="11" s="1"/>
  <c r="W52" i="8"/>
  <c r="B41" i="11" s="1"/>
  <c r="W54" i="8"/>
  <c r="B43" i="11" s="1"/>
  <c r="W56" i="8"/>
  <c r="B45" i="11" s="1"/>
  <c r="W58" i="8"/>
  <c r="B47" i="11" s="1"/>
  <c r="W60" i="8"/>
  <c r="B49" i="11" s="1"/>
  <c r="W62" i="8"/>
  <c r="B51" i="11" s="1"/>
  <c r="W64" i="8"/>
  <c r="B53" i="11" s="1"/>
  <c r="W66" i="8"/>
  <c r="B55" i="11" s="1"/>
  <c r="W68" i="8"/>
  <c r="B57" i="11" s="1"/>
  <c r="W70" i="8"/>
  <c r="B59" i="11" s="1"/>
  <c r="W72" i="8"/>
  <c r="B61" i="11" s="1"/>
  <c r="W74" i="8"/>
  <c r="B63" i="11" s="1"/>
  <c r="W76" i="8"/>
  <c r="B65" i="11" s="1"/>
  <c r="W78" i="8"/>
  <c r="B67" i="11" s="1"/>
  <c r="W80" i="8"/>
  <c r="B69" i="11" s="1"/>
  <c r="W82" i="8"/>
  <c r="B71" i="11" s="1"/>
  <c r="W84" i="8"/>
  <c r="B73" i="11" s="1"/>
  <c r="W86" i="8"/>
  <c r="B75" i="11" s="1"/>
  <c r="W88" i="8"/>
  <c r="B77" i="11" s="1"/>
  <c r="W90" i="8"/>
  <c r="B79" i="11" s="1"/>
  <c r="W92" i="8"/>
  <c r="B81" i="11" s="1"/>
  <c r="W94" i="8"/>
  <c r="B83" i="11" s="1"/>
  <c r="W96" i="8"/>
  <c r="B85" i="11" s="1"/>
  <c r="W98" i="8"/>
  <c r="B87" i="11" s="1"/>
  <c r="W100" i="8"/>
  <c r="B89" i="11" s="1"/>
  <c r="W102" i="8"/>
  <c r="B91" i="11" s="1"/>
  <c r="W104" i="8"/>
  <c r="B93" i="11" s="1"/>
  <c r="W106" i="8"/>
  <c r="B95" i="11" s="1"/>
  <c r="W108" i="8"/>
  <c r="B97" i="11" s="1"/>
  <c r="W110" i="8"/>
  <c r="B99" i="11" s="1"/>
  <c r="W112" i="8"/>
  <c r="B101" i="11" s="1"/>
  <c r="W114" i="8"/>
  <c r="B103" i="11" s="1"/>
  <c r="W116" i="8"/>
  <c r="B105" i="11" s="1"/>
  <c r="W118" i="8"/>
  <c r="B107" i="11" s="1"/>
  <c r="W120" i="8"/>
  <c r="B109" i="11" s="1"/>
  <c r="W122" i="8"/>
  <c r="B111" i="11" s="1"/>
  <c r="W124" i="8"/>
  <c r="B113" i="11" s="1"/>
  <c r="W126" i="8"/>
  <c r="B115" i="11" s="1"/>
  <c r="W128" i="8"/>
  <c r="B117" i="11" s="1"/>
  <c r="W130" i="8"/>
  <c r="B119" i="11" s="1"/>
  <c r="W132" i="8"/>
  <c r="B121" i="11" s="1"/>
  <c r="W134" i="8"/>
  <c r="B123" i="11" s="1"/>
  <c r="W136" i="8"/>
  <c r="B125" i="11" s="1"/>
  <c r="W12" i="8"/>
  <c r="B1" i="11" s="1"/>
  <c r="W97" i="8"/>
  <c r="B86" i="11" s="1"/>
  <c r="W81" i="8"/>
  <c r="B70" i="11" s="1"/>
  <c r="W65" i="8"/>
  <c r="B54" i="11" s="1"/>
  <c r="W49" i="8"/>
  <c r="B38" i="11" s="1"/>
  <c r="W33" i="8"/>
  <c r="B22" i="11" s="1"/>
  <c r="W17" i="8"/>
  <c r="B6" i="11" s="1"/>
  <c r="W69" i="8"/>
  <c r="B58" i="11" s="1"/>
  <c r="W53" i="8"/>
  <c r="B42" i="11" s="1"/>
  <c r="W37" i="8"/>
  <c r="B26" i="11" s="1"/>
  <c r="W21" i="8"/>
  <c r="B10" i="11" s="1"/>
  <c r="M5" i="9"/>
  <c r="K5" i="9"/>
  <c r="W135" i="8"/>
  <c r="B124" i="11" s="1"/>
  <c r="W131" i="8"/>
  <c r="B120" i="11" s="1"/>
  <c r="W127" i="8"/>
  <c r="B116" i="11" s="1"/>
  <c r="W123" i="8"/>
  <c r="B112" i="11" s="1"/>
  <c r="W119" i="8"/>
  <c r="B108" i="11" s="1"/>
  <c r="W115" i="8"/>
  <c r="B104" i="11" s="1"/>
  <c r="W111" i="8"/>
  <c r="B100" i="11" s="1"/>
  <c r="W95" i="8"/>
  <c r="B84" i="11" s="1"/>
  <c r="W79" i="8"/>
  <c r="B68" i="11" s="1"/>
  <c r="W63" i="8"/>
  <c r="B52" i="11" s="1"/>
  <c r="W47" i="8"/>
  <c r="B36" i="11" s="1"/>
  <c r="W31" i="8"/>
  <c r="B20" i="11" s="1"/>
  <c r="W15" i="8"/>
  <c r="B4" i="11" s="1"/>
  <c r="W105" i="8"/>
  <c r="B94" i="11" s="1"/>
  <c r="W89" i="8"/>
  <c r="B78" i="11" s="1"/>
  <c r="W73" i="8"/>
  <c r="B62" i="11" s="1"/>
  <c r="W57" i="8"/>
  <c r="B46" i="11" s="1"/>
  <c r="W41" i="8"/>
  <c r="B30" i="11" s="1"/>
  <c r="W25" i="8"/>
  <c r="B14" i="11" s="1"/>
  <c r="M2" i="9"/>
  <c r="K2" i="9"/>
  <c r="W99" i="8"/>
  <c r="B88" i="11" s="1"/>
  <c r="W83" i="8"/>
  <c r="B72" i="11" s="1"/>
  <c r="W67" i="8"/>
  <c r="B56" i="11" s="1"/>
  <c r="W51" i="8"/>
  <c r="B40" i="11" s="1"/>
  <c r="W35" i="8"/>
  <c r="B24" i="11" s="1"/>
  <c r="W19" i="8"/>
  <c r="B8" i="11" s="1"/>
  <c r="M3" i="9"/>
  <c r="K3" i="9"/>
  <c r="K6" i="9"/>
  <c r="M6" i="9"/>
  <c r="F13" i="7"/>
  <c r="C13" i="7"/>
  <c r="G13" i="7"/>
  <c r="H13" i="7"/>
  <c r="I13" i="7"/>
  <c r="J13" i="7"/>
  <c r="N12" i="7"/>
  <c r="M12" i="7"/>
  <c r="L12" i="7"/>
  <c r="O12" i="7"/>
  <c r="K12" i="7"/>
  <c r="K13" i="7"/>
  <c r="L13" i="7"/>
  <c r="M13" i="7"/>
  <c r="N13" i="7"/>
  <c r="O13" i="7"/>
  <c r="M4" i="8" l="1"/>
  <c r="K4" i="8"/>
  <c r="K5" i="8"/>
  <c r="M5" i="8"/>
  <c r="F1" i="11"/>
  <c r="G1" i="11"/>
  <c r="K3" i="8"/>
  <c r="M3" i="8"/>
  <c r="M2" i="8"/>
  <c r="K2" i="8"/>
  <c r="K6" i="8"/>
  <c r="M6" i="8"/>
  <c r="F14" i="7"/>
  <c r="C14" i="7"/>
  <c r="G14" i="7"/>
  <c r="H14" i="7"/>
  <c r="I14" i="7"/>
  <c r="J14" i="7"/>
  <c r="K14" i="7"/>
  <c r="L14" i="7"/>
  <c r="M14" i="7"/>
  <c r="N14" i="7"/>
  <c r="O14" i="7"/>
  <c r="F15" i="7"/>
  <c r="C15" i="7" s="1"/>
  <c r="G15" i="7"/>
  <c r="H15" i="7"/>
  <c r="I15" i="7"/>
  <c r="J15" i="7"/>
  <c r="K15" i="7"/>
  <c r="L15" i="7"/>
  <c r="M15" i="7"/>
  <c r="N15" i="7"/>
  <c r="O15" i="7"/>
  <c r="F16" i="7"/>
  <c r="C16" i="7"/>
  <c r="G16" i="7"/>
  <c r="H16" i="7"/>
  <c r="I16" i="7"/>
  <c r="J16" i="7"/>
  <c r="K16" i="7"/>
  <c r="L16" i="7"/>
  <c r="M16" i="7"/>
  <c r="N16" i="7"/>
  <c r="O16" i="7"/>
  <c r="F17" i="7"/>
  <c r="C17" i="7"/>
  <c r="G17" i="7"/>
  <c r="H17" i="7"/>
  <c r="I17" i="7"/>
  <c r="J17" i="7"/>
  <c r="K17" i="7"/>
  <c r="L17" i="7"/>
  <c r="M17" i="7"/>
  <c r="N17" i="7"/>
  <c r="O17" i="7"/>
  <c r="F18" i="7"/>
  <c r="C18" i="7" s="1"/>
  <c r="G18" i="7"/>
  <c r="H18" i="7"/>
  <c r="I18" i="7"/>
  <c r="J18" i="7"/>
  <c r="K18" i="7"/>
  <c r="L18" i="7"/>
  <c r="M18" i="7"/>
  <c r="N18" i="7"/>
  <c r="O18" i="7"/>
  <c r="F19" i="7"/>
  <c r="C19" i="7"/>
  <c r="G19" i="7"/>
  <c r="H19" i="7"/>
  <c r="I19" i="7"/>
  <c r="J19" i="7"/>
  <c r="K19" i="7"/>
  <c r="L19" i="7"/>
  <c r="M19" i="7"/>
  <c r="N19" i="7"/>
  <c r="O19" i="7"/>
  <c r="F20" i="7"/>
  <c r="C20" i="7"/>
  <c r="G20" i="7"/>
  <c r="H20" i="7"/>
  <c r="I20" i="7"/>
  <c r="J20" i="7"/>
  <c r="K20" i="7"/>
  <c r="L20" i="7"/>
  <c r="M20" i="7"/>
  <c r="N20" i="7"/>
  <c r="O20" i="7"/>
  <c r="F21" i="7"/>
  <c r="C21" i="7"/>
  <c r="G21" i="7"/>
  <c r="H21" i="7"/>
  <c r="I21" i="7"/>
  <c r="J21" i="7"/>
  <c r="K21" i="7"/>
  <c r="L21" i="7"/>
  <c r="M21" i="7"/>
  <c r="N21" i="7"/>
  <c r="O21" i="7"/>
  <c r="F22" i="7"/>
  <c r="C22" i="7"/>
  <c r="G22" i="7"/>
  <c r="H22" i="7"/>
  <c r="I22" i="7"/>
  <c r="J22" i="7"/>
  <c r="K22" i="7"/>
  <c r="L22" i="7"/>
  <c r="M22" i="7"/>
  <c r="N22" i="7"/>
  <c r="O22" i="7"/>
  <c r="F23" i="7"/>
  <c r="C23" i="7"/>
  <c r="G23" i="7"/>
  <c r="H23" i="7"/>
  <c r="I23" i="7"/>
  <c r="J23" i="7"/>
  <c r="K23" i="7"/>
  <c r="L23" i="7"/>
  <c r="M23" i="7"/>
  <c r="N23" i="7"/>
  <c r="O23" i="7"/>
  <c r="F24" i="7"/>
  <c r="C24" i="7"/>
  <c r="G24" i="7"/>
  <c r="H24" i="7"/>
  <c r="I24" i="7"/>
  <c r="J24" i="7"/>
  <c r="K24" i="7"/>
  <c r="L24" i="7"/>
  <c r="M24" i="7"/>
  <c r="N24" i="7"/>
  <c r="O24" i="7"/>
  <c r="F27" i="7"/>
  <c r="C27" i="7" s="1"/>
  <c r="G27" i="7"/>
  <c r="H27" i="7"/>
  <c r="I27" i="7"/>
  <c r="J27" i="7"/>
  <c r="K27" i="7"/>
  <c r="L27" i="7"/>
  <c r="M27" i="7"/>
  <c r="N27" i="7"/>
  <c r="O27" i="7"/>
  <c r="F28" i="7"/>
  <c r="C28" i="7"/>
  <c r="G28" i="7"/>
  <c r="H28" i="7"/>
  <c r="I28" i="7"/>
  <c r="J28" i="7"/>
  <c r="K28" i="7"/>
  <c r="L28" i="7"/>
  <c r="M28" i="7"/>
  <c r="N28" i="7"/>
  <c r="O28" i="7"/>
  <c r="F29" i="7"/>
  <c r="C29" i="7" s="1"/>
  <c r="G29" i="7"/>
  <c r="H29" i="7"/>
  <c r="I29" i="7"/>
  <c r="J29" i="7"/>
  <c r="K29" i="7"/>
  <c r="L29" i="7"/>
  <c r="M29" i="7"/>
  <c r="N29" i="7"/>
  <c r="O29" i="7"/>
  <c r="F30" i="7"/>
  <c r="C30" i="7" s="1"/>
  <c r="G30" i="7"/>
  <c r="H30" i="7"/>
  <c r="I30" i="7"/>
  <c r="J30" i="7"/>
  <c r="K30" i="7"/>
  <c r="L30" i="7"/>
  <c r="M30" i="7"/>
  <c r="N30" i="7"/>
  <c r="O30" i="7"/>
  <c r="F31" i="7"/>
  <c r="C31" i="7"/>
  <c r="G31" i="7"/>
  <c r="H31" i="7"/>
  <c r="I31" i="7"/>
  <c r="J31" i="7"/>
  <c r="K31" i="7"/>
  <c r="L31" i="7"/>
  <c r="M31" i="7"/>
  <c r="N31" i="7"/>
  <c r="O31" i="7"/>
  <c r="F32" i="7"/>
  <c r="C32" i="7" s="1"/>
  <c r="G32" i="7"/>
  <c r="H32" i="7"/>
  <c r="I32" i="7"/>
  <c r="J32" i="7"/>
  <c r="K32" i="7"/>
  <c r="L32" i="7"/>
  <c r="M32" i="7"/>
  <c r="N32" i="7"/>
  <c r="O32" i="7"/>
  <c r="F33" i="7"/>
  <c r="C33" i="7"/>
  <c r="G33" i="7"/>
  <c r="H33" i="7"/>
  <c r="I33" i="7"/>
  <c r="J33" i="7"/>
  <c r="K33" i="7"/>
  <c r="L33" i="7"/>
  <c r="M33" i="7"/>
  <c r="N33" i="7"/>
  <c r="O33" i="7"/>
  <c r="F34" i="7"/>
  <c r="C34" i="7"/>
  <c r="G34" i="7"/>
  <c r="H34" i="7"/>
  <c r="I34" i="7"/>
  <c r="J34" i="7"/>
  <c r="K34" i="7"/>
  <c r="L34" i="7"/>
  <c r="M34" i="7"/>
  <c r="N34" i="7"/>
  <c r="O34" i="7"/>
  <c r="F35" i="7"/>
  <c r="C35" i="7"/>
  <c r="G35" i="7"/>
  <c r="H35" i="7"/>
  <c r="I35" i="7"/>
  <c r="J35" i="7"/>
  <c r="K35" i="7"/>
  <c r="L35" i="7"/>
  <c r="M35" i="7"/>
  <c r="N35" i="7"/>
  <c r="O35" i="7"/>
  <c r="F36" i="7"/>
  <c r="C36" i="7"/>
  <c r="G36" i="7"/>
  <c r="H36" i="7"/>
  <c r="I36" i="7"/>
  <c r="J36" i="7"/>
  <c r="K36" i="7"/>
  <c r="L36" i="7"/>
  <c r="M36" i="7"/>
  <c r="N36" i="7"/>
  <c r="O36" i="7"/>
  <c r="F37" i="7"/>
  <c r="C37" i="7" s="1"/>
  <c r="G37" i="7"/>
  <c r="H37" i="7"/>
  <c r="I37" i="7"/>
  <c r="J37" i="7"/>
  <c r="K37" i="7"/>
  <c r="L37" i="7"/>
  <c r="M37" i="7"/>
  <c r="N37" i="7"/>
  <c r="O37" i="7"/>
  <c r="F38" i="7"/>
  <c r="C38" i="7"/>
  <c r="G38" i="7"/>
  <c r="H38" i="7"/>
  <c r="I38" i="7"/>
  <c r="J38" i="7"/>
  <c r="K38" i="7"/>
  <c r="L38" i="7"/>
  <c r="M38" i="7"/>
  <c r="N38" i="7"/>
  <c r="O38" i="7"/>
  <c r="A39" i="7"/>
  <c r="B39" i="7"/>
  <c r="F39" i="7"/>
  <c r="C39" i="7"/>
  <c r="G39" i="7"/>
  <c r="H39" i="7"/>
  <c r="I39" i="7"/>
  <c r="J39" i="7"/>
  <c r="K39" i="7"/>
  <c r="L39" i="7"/>
  <c r="M39" i="7"/>
  <c r="N39" i="7"/>
  <c r="O39" i="7"/>
  <c r="C46" i="7"/>
  <c r="C58" i="7"/>
  <c r="C59" i="7"/>
  <c r="C60" i="7"/>
  <c r="C61" i="7"/>
  <c r="C62" i="7"/>
  <c r="C63" i="7"/>
  <c r="C64" i="7"/>
  <c r="C65" i="7"/>
  <c r="C66" i="7"/>
  <c r="C67" i="7"/>
  <c r="C68" i="7"/>
  <c r="C69" i="7"/>
  <c r="C70" i="7"/>
  <c r="C71" i="7"/>
  <c r="C72" i="7"/>
  <c r="C73" i="7"/>
  <c r="C74" i="7"/>
  <c r="C75" i="7"/>
  <c r="C76" i="7"/>
  <c r="C77" i="7"/>
  <c r="C78" i="7"/>
  <c r="C79" i="7"/>
  <c r="C80" i="7"/>
  <c r="C81" i="7"/>
  <c r="C82" i="7"/>
  <c r="C83" i="7"/>
  <c r="C84" i="7"/>
  <c r="C85" i="7"/>
  <c r="C86" i="7"/>
  <c r="C87" i="7"/>
  <c r="A44" i="7"/>
  <c r="C44" i="7" l="1"/>
  <c r="C45" i="7" l="1"/>
  <c r="D44" i="7" l="1"/>
  <c r="C47" i="7"/>
  <c r="F44" i="7"/>
  <c r="G43" i="7" l="1"/>
  <c r="B1" i="10" s="1"/>
  <c r="C49" i="7"/>
  <c r="D47" i="7" s="1"/>
  <c r="C48" i="7"/>
  <c r="D46" i="7" s="1"/>
  <c r="D45" i="7"/>
  <c r="A2" i="10"/>
  <c r="F45" i="7"/>
  <c r="F47" i="7"/>
  <c r="F46" i="7"/>
  <c r="V1" i="8"/>
  <c r="V1" i="9"/>
  <c r="A1" i="10"/>
  <c r="G44" i="7" l="1"/>
  <c r="I43" i="7"/>
  <c r="D1" i="10" s="1"/>
  <c r="J43" i="7"/>
  <c r="E1" i="10" s="1"/>
  <c r="H43" i="7"/>
  <c r="C1" i="10" s="1"/>
  <c r="Z2" i="9"/>
  <c r="Z2" i="8"/>
  <c r="C50" i="7"/>
  <c r="D2" i="10"/>
  <c r="E2" i="10"/>
  <c r="C2" i="10"/>
  <c r="H44" i="7" l="1"/>
  <c r="J44" i="7"/>
  <c r="I44" i="7"/>
  <c r="C52" i="7"/>
  <c r="D50" i="7" s="1"/>
  <c r="D48" i="7"/>
  <c r="D49" i="7"/>
  <c r="C51" i="7"/>
  <c r="F48" i="7"/>
  <c r="F49" i="7"/>
  <c r="F50" i="7"/>
  <c r="C53" i="7" l="1"/>
  <c r="D51" i="7" s="1"/>
  <c r="L43" i="7"/>
  <c r="K43" i="7"/>
  <c r="C54" i="7"/>
  <c r="C55" i="7" s="1"/>
  <c r="C56" i="7" s="1"/>
  <c r="C57" i="7" s="1"/>
  <c r="D43" i="7" s="1"/>
  <c r="M43" i="7"/>
  <c r="H1" i="10" s="1"/>
  <c r="H2" i="10"/>
  <c r="F51" i="7"/>
  <c r="F1" i="10" l="1"/>
  <c r="G1" i="10"/>
  <c r="M44" i="7"/>
  <c r="N43" i="7"/>
  <c r="I1" i="10" s="1"/>
  <c r="D52" i="7"/>
  <c r="G2" i="10"/>
  <c r="I2" i="10"/>
  <c r="F2" i="10"/>
  <c r="F52" i="7"/>
  <c r="K44" i="7" l="1"/>
  <c r="L44" i="7"/>
  <c r="N44" i="7"/>
  <c r="O43" i="7"/>
  <c r="D53" i="7"/>
  <c r="F53" i="7"/>
  <c r="J1" i="10" l="1"/>
  <c r="P43" i="7"/>
  <c r="K1" i="10" s="1"/>
  <c r="D54" i="7"/>
  <c r="J2" i="10"/>
  <c r="K2" i="10"/>
  <c r="F54" i="7"/>
  <c r="P44" i="7" l="1"/>
  <c r="O44" i="7"/>
  <c r="Q43" i="7"/>
  <c r="G45" i="7"/>
  <c r="H45" i="7"/>
  <c r="I45" i="7"/>
  <c r="J45" i="7"/>
  <c r="K45" i="7"/>
  <c r="L45" i="7"/>
  <c r="M45" i="7"/>
  <c r="N45" i="7"/>
  <c r="O45" i="7"/>
  <c r="P45" i="7"/>
  <c r="G46" i="7"/>
  <c r="H46" i="7"/>
  <c r="I46" i="7"/>
  <c r="J46" i="7"/>
  <c r="K46" i="7"/>
  <c r="L46" i="7"/>
  <c r="M46" i="7"/>
  <c r="N46" i="7"/>
  <c r="O46" i="7"/>
  <c r="P46" i="7"/>
  <c r="G47" i="7"/>
  <c r="H47" i="7"/>
  <c r="I47" i="7"/>
  <c r="J47" i="7"/>
  <c r="K47" i="7"/>
  <c r="L47" i="7"/>
  <c r="M47" i="7"/>
  <c r="N47" i="7"/>
  <c r="O47" i="7"/>
  <c r="P47" i="7"/>
  <c r="G48" i="7"/>
  <c r="H48" i="7"/>
  <c r="I48" i="7"/>
  <c r="J48" i="7"/>
  <c r="K48" i="7"/>
  <c r="L48" i="7"/>
  <c r="M48" i="7"/>
  <c r="N48" i="7"/>
  <c r="O48" i="7"/>
  <c r="P48" i="7"/>
  <c r="G49" i="7"/>
  <c r="H49" i="7"/>
  <c r="I49" i="7"/>
  <c r="J49" i="7"/>
  <c r="K49" i="7"/>
  <c r="L49" i="7"/>
  <c r="M49" i="7"/>
  <c r="N49" i="7"/>
  <c r="O49" i="7"/>
  <c r="P49" i="7"/>
  <c r="G50" i="7"/>
  <c r="H50" i="7"/>
  <c r="I50" i="7"/>
  <c r="J50" i="7"/>
  <c r="K50" i="7"/>
  <c r="L50" i="7"/>
  <c r="M50" i="7"/>
  <c r="N50" i="7"/>
  <c r="O50" i="7"/>
  <c r="P50" i="7"/>
  <c r="G51" i="7"/>
  <c r="H51" i="7"/>
  <c r="I51" i="7"/>
  <c r="J51" i="7"/>
  <c r="K51" i="7"/>
  <c r="L51" i="7"/>
  <c r="M51" i="7"/>
  <c r="N51" i="7"/>
  <c r="O51" i="7"/>
  <c r="P51" i="7"/>
  <c r="G52" i="7"/>
  <c r="H52" i="7"/>
  <c r="I52" i="7"/>
  <c r="J52" i="7"/>
  <c r="K52" i="7"/>
  <c r="L52" i="7"/>
  <c r="M52" i="7"/>
  <c r="N52" i="7"/>
  <c r="O52" i="7"/>
  <c r="P52" i="7"/>
  <c r="G53" i="7"/>
  <c r="H53" i="7"/>
  <c r="I53" i="7"/>
  <c r="J53" i="7"/>
  <c r="K53" i="7"/>
  <c r="L53" i="7"/>
  <c r="M53" i="7"/>
  <c r="N53" i="7"/>
  <c r="O53" i="7"/>
  <c r="P53" i="7"/>
  <c r="B44" i="7"/>
  <c r="B45" i="7"/>
  <c r="B46" i="7"/>
  <c r="B47" i="7"/>
  <c r="B48" i="7"/>
  <c r="B49" i="7"/>
  <c r="B50" i="7"/>
  <c r="B51" i="7"/>
  <c r="B52" i="7"/>
  <c r="B53" i="7"/>
  <c r="B54" i="7"/>
  <c r="B55" i="7"/>
  <c r="L1" i="10" l="1"/>
  <c r="D55" i="7"/>
  <c r="L2" i="10"/>
  <c r="F55" i="7"/>
  <c r="Q54" i="7" l="1"/>
  <c r="Q46" i="7"/>
  <c r="Q51" i="7"/>
  <c r="Q48" i="7"/>
  <c r="Q53" i="7"/>
  <c r="Q45" i="7"/>
  <c r="Q52" i="7"/>
  <c r="Q44" i="7"/>
  <c r="I54" i="7"/>
  <c r="L54" i="7"/>
  <c r="J54" i="7"/>
  <c r="K54" i="7"/>
  <c r="G54" i="7"/>
  <c r="O54" i="7"/>
  <c r="Q50" i="7"/>
  <c r="H54" i="7"/>
  <c r="P54" i="7"/>
  <c r="M54" i="7"/>
  <c r="N54" i="7"/>
  <c r="Q47" i="7"/>
  <c r="Q49" i="7"/>
  <c r="AB75" i="9"/>
  <c r="AB289" i="8"/>
  <c r="AB49" i="8"/>
  <c r="AA10" i="8"/>
  <c r="AA194" i="8"/>
  <c r="AA126" i="8"/>
  <c r="AA225" i="8"/>
  <c r="AA7" i="9"/>
  <c r="AA287" i="8"/>
  <c r="AB190" i="8"/>
  <c r="AB300" i="9"/>
  <c r="AA71" i="9"/>
  <c r="AB119" i="9"/>
  <c r="AB16" i="9"/>
  <c r="AA82" i="8"/>
  <c r="AA194" i="9"/>
  <c r="AA269" i="8"/>
  <c r="AA157" i="9"/>
  <c r="AB8" i="9"/>
  <c r="AB260" i="9"/>
  <c r="AB271" i="8"/>
  <c r="AA76" i="8"/>
  <c r="AA164" i="8"/>
  <c r="AB87" i="9"/>
  <c r="AA58" i="9"/>
  <c r="AB79" i="9"/>
  <c r="AA189" i="9"/>
  <c r="AA251" i="9"/>
  <c r="AB80" i="9"/>
  <c r="AA228" i="8"/>
  <c r="AB200" i="9"/>
  <c r="AA145" i="9"/>
  <c r="AA110" i="9"/>
  <c r="AB137" i="8"/>
  <c r="AA52" i="9"/>
  <c r="AA98" i="8"/>
  <c r="AB118" i="9"/>
  <c r="AB163" i="9"/>
  <c r="AB117" i="8"/>
  <c r="AB247" i="9"/>
  <c r="AB170" i="9"/>
  <c r="AA214" i="9"/>
  <c r="AA97" i="9"/>
  <c r="AB91" i="8"/>
  <c r="AA238" i="8"/>
  <c r="AA174" i="9"/>
  <c r="AB225" i="8"/>
  <c r="AB182" i="9"/>
  <c r="AA95" i="9"/>
  <c r="AA261" i="8"/>
  <c r="AB28" i="8"/>
  <c r="AB276" i="8"/>
  <c r="AA11" i="8"/>
  <c r="AA124" i="9"/>
  <c r="AA222" i="8"/>
  <c r="AA7" i="8"/>
  <c r="AB64" i="8"/>
  <c r="AA98" i="9"/>
  <c r="AB286" i="9"/>
  <c r="AA57" i="9"/>
  <c r="AB156" i="8"/>
  <c r="AA268" i="8"/>
  <c r="AA163" i="8"/>
  <c r="AB158" i="9"/>
  <c r="AB279" i="9"/>
  <c r="AB298" i="8"/>
  <c r="AB6" i="8"/>
  <c r="AB241" i="8"/>
  <c r="AB58" i="8"/>
  <c r="AB153" i="9"/>
  <c r="AB193" i="9"/>
  <c r="AA203" i="9"/>
  <c r="AB290" i="9"/>
  <c r="AA296" i="8"/>
  <c r="AB218" i="9"/>
  <c r="AA10" i="9"/>
  <c r="AA299" i="8"/>
  <c r="AB187" i="8"/>
  <c r="AB296" i="9"/>
  <c r="AA56" i="8"/>
  <c r="AB114" i="9"/>
  <c r="AA99" i="8"/>
  <c r="AA122" i="8"/>
  <c r="AA257" i="8"/>
  <c r="AA271" i="8"/>
  <c r="AC271" i="8" s="1"/>
  <c r="AB111" i="8"/>
  <c r="AB4" i="9"/>
  <c r="AA239" i="9"/>
  <c r="AA28" i="9"/>
  <c r="AB66" i="9"/>
  <c r="AB211" i="8"/>
  <c r="AA267" i="9"/>
  <c r="AB81" i="9"/>
  <c r="AB129" i="8"/>
  <c r="AA8" i="9"/>
  <c r="AA273" i="9"/>
  <c r="AA212" i="8"/>
  <c r="AA54" i="8"/>
  <c r="AA278" i="9"/>
  <c r="AA22" i="8"/>
  <c r="AA39" i="9"/>
  <c r="AA144" i="9"/>
  <c r="AB127" i="8"/>
  <c r="AB27" i="8"/>
  <c r="AA62" i="9"/>
  <c r="AB83" i="8"/>
  <c r="AA23" i="8"/>
  <c r="AB219" i="9"/>
  <c r="AA91" i="9"/>
  <c r="AA111" i="9"/>
  <c r="AA60" i="9"/>
  <c r="AB206" i="8"/>
  <c r="AA155" i="9"/>
  <c r="AB42" i="9"/>
  <c r="AB192" i="8"/>
  <c r="AB227" i="8"/>
  <c r="AA101" i="9"/>
  <c r="AA273" i="8"/>
  <c r="AA223" i="8"/>
  <c r="AA3" i="8"/>
  <c r="AB203" i="9"/>
  <c r="AA86" i="8"/>
  <c r="AA5" i="9"/>
  <c r="AA234" i="8"/>
  <c r="AA54" i="9"/>
  <c r="AA213" i="8"/>
  <c r="AA285" i="8"/>
  <c r="AB151" i="9"/>
  <c r="AA109" i="8"/>
  <c r="AA219" i="8"/>
  <c r="AB79" i="8"/>
  <c r="AB55" i="9"/>
  <c r="AB76" i="9"/>
  <c r="AB215" i="9"/>
  <c r="AA170" i="8"/>
  <c r="AB103" i="8"/>
  <c r="AB181" i="8"/>
  <c r="AA173" i="8"/>
  <c r="AA65" i="8"/>
  <c r="AA40" i="9"/>
  <c r="AB157" i="8"/>
  <c r="AA17" i="9"/>
  <c r="AA230" i="9"/>
  <c r="AA280" i="9"/>
  <c r="AA4" i="9"/>
  <c r="AB40" i="8"/>
  <c r="AB102" i="9"/>
  <c r="AA117" i="9"/>
  <c r="AB34" i="8"/>
  <c r="AB25" i="8"/>
  <c r="AA253" i="9"/>
  <c r="AA232" i="8"/>
  <c r="AA173" i="9"/>
  <c r="AB245" i="9"/>
  <c r="AA43" i="9"/>
  <c r="AA199" i="9"/>
  <c r="AB233" i="9"/>
  <c r="AB17" i="8"/>
  <c r="AB30" i="8"/>
  <c r="AA134" i="9"/>
  <c r="AA193" i="9"/>
  <c r="AA267" i="8"/>
  <c r="AB120" i="8"/>
  <c r="AA207" i="8"/>
  <c r="AB249" i="8"/>
  <c r="AA277" i="9"/>
  <c r="AA162" i="9"/>
  <c r="AA109" i="9"/>
  <c r="AB54" i="8"/>
  <c r="AB58" i="9"/>
  <c r="AA206" i="9"/>
  <c r="AA185" i="9"/>
  <c r="AB139" i="8"/>
  <c r="AA250" i="8"/>
  <c r="AB294" i="8"/>
  <c r="AB67" i="9"/>
  <c r="AA210" i="8"/>
  <c r="AA232" i="9"/>
  <c r="AA32" i="8"/>
  <c r="AA269" i="9"/>
  <c r="AA276" i="9"/>
  <c r="AB3" i="8"/>
  <c r="AB154" i="9"/>
  <c r="AB161" i="8"/>
  <c r="AA21" i="8"/>
  <c r="AA142" i="8"/>
  <c r="AB62" i="8"/>
  <c r="AA104" i="9"/>
  <c r="AB122" i="9"/>
  <c r="AA156" i="8"/>
  <c r="AB160" i="8"/>
  <c r="AA51" i="9"/>
  <c r="AB9" i="8"/>
  <c r="AB130" i="8"/>
  <c r="AA83" i="8"/>
  <c r="AB61" i="8"/>
  <c r="AA193" i="8"/>
  <c r="AA288" i="9"/>
  <c r="AA130" i="8"/>
  <c r="AB69" i="9"/>
  <c r="AA15" i="9"/>
  <c r="AB113" i="8"/>
  <c r="AB7" i="9"/>
  <c r="AB141" i="9"/>
  <c r="AA21" i="9"/>
  <c r="AA291" i="9"/>
  <c r="AA72" i="8"/>
  <c r="AA52" i="8"/>
  <c r="AA181" i="9"/>
  <c r="AB236" i="9"/>
  <c r="AA47" i="8"/>
  <c r="AB242" i="9"/>
  <c r="AA209" i="8"/>
  <c r="AA246" i="9"/>
  <c r="AB70" i="8"/>
  <c r="AA228" i="9"/>
  <c r="AB177" i="9"/>
  <c r="AB181" i="9"/>
  <c r="AA221" i="9"/>
  <c r="AA106" i="8"/>
  <c r="AB126" i="9"/>
  <c r="AA111" i="8"/>
  <c r="AC111" i="8" s="1"/>
  <c r="AA133" i="9"/>
  <c r="AA275" i="9"/>
  <c r="AB34" i="9"/>
  <c r="AA14" i="8"/>
  <c r="AB91" i="9"/>
  <c r="AB191" i="9"/>
  <c r="AA121" i="9"/>
  <c r="AB146" i="9"/>
  <c r="AA116" i="8"/>
  <c r="AA247" i="9"/>
  <c r="AC247" i="9" s="1"/>
  <c r="AA86" i="9"/>
  <c r="AA81" i="9"/>
  <c r="AA147" i="9"/>
  <c r="AA105" i="8"/>
  <c r="AB112" i="9"/>
  <c r="AB98" i="8"/>
  <c r="AB129" i="9"/>
  <c r="AB228" i="8"/>
  <c r="AB122" i="8"/>
  <c r="AB97" i="8"/>
  <c r="AA192" i="8"/>
  <c r="AC192" i="8" s="1"/>
  <c r="AA139" i="8"/>
  <c r="AA61" i="9"/>
  <c r="AB63" i="9"/>
  <c r="AB69" i="8"/>
  <c r="AA198" i="8"/>
  <c r="AA120" i="8"/>
  <c r="AA236" i="8"/>
  <c r="AB104" i="9"/>
  <c r="AB56" i="8"/>
  <c r="AA136" i="9"/>
  <c r="AA206" i="8"/>
  <c r="AA237" i="9"/>
  <c r="AA210" i="9"/>
  <c r="AA165" i="8"/>
  <c r="AA216" i="9"/>
  <c r="AA286" i="8"/>
  <c r="AB186" i="8"/>
  <c r="AA161" i="9"/>
  <c r="AA155" i="8"/>
  <c r="AA172" i="8"/>
  <c r="AA180" i="9"/>
  <c r="AA159" i="8"/>
  <c r="AA263" i="9"/>
  <c r="AB42" i="8"/>
  <c r="AA24" i="9"/>
  <c r="AA231" i="9"/>
  <c r="AA26" i="9"/>
  <c r="AB82" i="9"/>
  <c r="AB119" i="8"/>
  <c r="AA60" i="8"/>
  <c r="AA17" i="8"/>
  <c r="AB291" i="8"/>
  <c r="AA298" i="9"/>
  <c r="AB97" i="9"/>
  <c r="AA3" i="9"/>
  <c r="AB251" i="9"/>
  <c r="AB238" i="9"/>
  <c r="AA300" i="8"/>
  <c r="AB17" i="9"/>
  <c r="AB148" i="9"/>
  <c r="AB226" i="9"/>
  <c r="AB162" i="9"/>
  <c r="AA294" i="9"/>
  <c r="AA251" i="8"/>
  <c r="AB64" i="9"/>
  <c r="AB140" i="8"/>
  <c r="AB166" i="9"/>
  <c r="AB141" i="8"/>
  <c r="AB123" i="9"/>
  <c r="AA85" i="8"/>
  <c r="AB121" i="8"/>
  <c r="AB176" i="9"/>
  <c r="AA80" i="9"/>
  <c r="AA137" i="8"/>
  <c r="AB90" i="8"/>
  <c r="AA255" i="8"/>
  <c r="AB84" i="9"/>
  <c r="AA225" i="9"/>
  <c r="AA202" i="9"/>
  <c r="AB68" i="9"/>
  <c r="AA120" i="9"/>
  <c r="AB260" i="8"/>
  <c r="AA290" i="8"/>
  <c r="AA49" i="8"/>
  <c r="AA221" i="8"/>
  <c r="AB99" i="9"/>
  <c r="AA121" i="8"/>
  <c r="AC121" i="8" s="1"/>
  <c r="AA118" i="8"/>
  <c r="AA92" i="9"/>
  <c r="AB31" i="8"/>
  <c r="AB166" i="8"/>
  <c r="AA224" i="9"/>
  <c r="AA6" i="8"/>
  <c r="AB161" i="9"/>
  <c r="AB127" i="9"/>
  <c r="AA243" i="9"/>
  <c r="AB78" i="8"/>
  <c r="AA37" i="8"/>
  <c r="AA187" i="9"/>
  <c r="AA207" i="9"/>
  <c r="AB253" i="9"/>
  <c r="AA119" i="9"/>
  <c r="AC119" i="9" s="1"/>
  <c r="AA154" i="9"/>
  <c r="AA15" i="8"/>
  <c r="AB178" i="9"/>
  <c r="AB134" i="8"/>
  <c r="AB126" i="8"/>
  <c r="AB80" i="8"/>
  <c r="AB2" i="9"/>
  <c r="AB224" i="9"/>
  <c r="AB9" i="9"/>
  <c r="AA67" i="9"/>
  <c r="AA81" i="8"/>
  <c r="AA122" i="9"/>
  <c r="AB18" i="8"/>
  <c r="AB217" i="9"/>
  <c r="AA138" i="9"/>
  <c r="AA284" i="9"/>
  <c r="AB48" i="9"/>
  <c r="AB83" i="9"/>
  <c r="AA295" i="8"/>
  <c r="AB4" i="8"/>
  <c r="AB292" i="8"/>
  <c r="AB60" i="8"/>
  <c r="AA13" i="8"/>
  <c r="AB274" i="8"/>
  <c r="AB52" i="8"/>
  <c r="AA189" i="8"/>
  <c r="AA123" i="9"/>
  <c r="AA90" i="9"/>
  <c r="AB227" i="9"/>
  <c r="AB33" i="9"/>
  <c r="AB115" i="8"/>
  <c r="AB215" i="8"/>
  <c r="AB136" i="8"/>
  <c r="AA209" i="9"/>
  <c r="AB71" i="9"/>
  <c r="AB280" i="9"/>
  <c r="AA30" i="9"/>
  <c r="AB261" i="8"/>
  <c r="AA102" i="9"/>
  <c r="AA166" i="8"/>
  <c r="AC166" i="8" s="1"/>
  <c r="AA265" i="9"/>
  <c r="AB187" i="9"/>
  <c r="AB278" i="9"/>
  <c r="AB183" i="9"/>
  <c r="AB105" i="9"/>
  <c r="AB106" i="9"/>
  <c r="AA123" i="8"/>
  <c r="AB86" i="9"/>
  <c r="AB252" i="8"/>
  <c r="AB231" i="9"/>
  <c r="AB70" i="9"/>
  <c r="AB250" i="9"/>
  <c r="AA140" i="9"/>
  <c r="AB146" i="8"/>
  <c r="AB167" i="9"/>
  <c r="AB145" i="9"/>
  <c r="AA29" i="8"/>
  <c r="AA72" i="9"/>
  <c r="AA175" i="8"/>
  <c r="AA227" i="8"/>
  <c r="AB93" i="8"/>
  <c r="AA289" i="8"/>
  <c r="AB289" i="9"/>
  <c r="AB159" i="8"/>
  <c r="AA38" i="9"/>
  <c r="AB194" i="9"/>
  <c r="AA196" i="8"/>
  <c r="AB237" i="8"/>
  <c r="AB136" i="9"/>
  <c r="AB51" i="9"/>
  <c r="AA16" i="9"/>
  <c r="AB165" i="9"/>
  <c r="AA240" i="9"/>
  <c r="AA73" i="9"/>
  <c r="AA14" i="9"/>
  <c r="AA185" i="8"/>
  <c r="AA130" i="9"/>
  <c r="AA192" i="9"/>
  <c r="AA289" i="9"/>
  <c r="AC289" i="9" s="1"/>
  <c r="AA238" i="9"/>
  <c r="AB6" i="9"/>
  <c r="AA257" i="9"/>
  <c r="AA293" i="8"/>
  <c r="AA275" i="8"/>
  <c r="AB168" i="9"/>
  <c r="AA97" i="8"/>
  <c r="AB59" i="9"/>
  <c r="AA102" i="8"/>
  <c r="AA266" i="8"/>
  <c r="AA9" i="8"/>
  <c r="AC9" i="8" s="1"/>
  <c r="AB188" i="9"/>
  <c r="AA148" i="8"/>
  <c r="AB26" i="9"/>
  <c r="AA88" i="8"/>
  <c r="AA2" i="8"/>
  <c r="AB294" i="9"/>
  <c r="AB273" i="8"/>
  <c r="AB288" i="8"/>
  <c r="AB148" i="8"/>
  <c r="AB167" i="8"/>
  <c r="AB13" i="9"/>
  <c r="AA128" i="8"/>
  <c r="AB115" i="9"/>
  <c r="AB238" i="8"/>
  <c r="AA153" i="9"/>
  <c r="AC153" i="9" s="1"/>
  <c r="AA29" i="9"/>
  <c r="AA4" i="8"/>
  <c r="AC4" i="8" s="1"/>
  <c r="AB96" i="9"/>
  <c r="AA259" i="9"/>
  <c r="AB248" i="8"/>
  <c r="AA229" i="8"/>
  <c r="AA145" i="8"/>
  <c r="AB249" i="9"/>
  <c r="AA138" i="8"/>
  <c r="AB30" i="9"/>
  <c r="AA2" i="9"/>
  <c r="AA241" i="8"/>
  <c r="AA133" i="8"/>
  <c r="AB106" i="8"/>
  <c r="AA34" i="8"/>
  <c r="AC34" i="8" s="1"/>
  <c r="AB87" i="8"/>
  <c r="AB270" i="9"/>
  <c r="AA18" i="9"/>
  <c r="AB189" i="9"/>
  <c r="AA205" i="9"/>
  <c r="AB184" i="8"/>
  <c r="AB45" i="9"/>
  <c r="AA195" i="8"/>
  <c r="AA211" i="9"/>
  <c r="AB94" i="9"/>
  <c r="AB206" i="9"/>
  <c r="AA58" i="8"/>
  <c r="AB8" i="8"/>
  <c r="AA296" i="9"/>
  <c r="AB5" i="8"/>
  <c r="AA105" i="9"/>
  <c r="AC105" i="9" s="1"/>
  <c r="AA231" i="8"/>
  <c r="AB236" i="8"/>
  <c r="AB169" i="9"/>
  <c r="AA84" i="9"/>
  <c r="AA103" i="8"/>
  <c r="AA93" i="8"/>
  <c r="AB124" i="9"/>
  <c r="AB288" i="9"/>
  <c r="AB266" i="8"/>
  <c r="AB163" i="8"/>
  <c r="AA95" i="8"/>
  <c r="AB194" i="8"/>
  <c r="AB185" i="9"/>
  <c r="AA78" i="9"/>
  <c r="AA45" i="8"/>
  <c r="AA73" i="8"/>
  <c r="AB243" i="8"/>
  <c r="AA168" i="9"/>
  <c r="AA184" i="8"/>
  <c r="AB49" i="9"/>
  <c r="AA211" i="8"/>
  <c r="AB287" i="8"/>
  <c r="AB85" i="8"/>
  <c r="AB174" i="8"/>
  <c r="AB36" i="8"/>
  <c r="AA182" i="8"/>
  <c r="AB29" i="9"/>
  <c r="AB250" i="8"/>
  <c r="AB77" i="9"/>
  <c r="AB171" i="9"/>
  <c r="AA114" i="9"/>
  <c r="AB165" i="8"/>
  <c r="AB198" i="8"/>
  <c r="AB220" i="8"/>
  <c r="AA13" i="9"/>
  <c r="AB11" i="8"/>
  <c r="AA31" i="8"/>
  <c r="AA142" i="9"/>
  <c r="AA141" i="8"/>
  <c r="AB185" i="8"/>
  <c r="AA272" i="8"/>
  <c r="AB291" i="9"/>
  <c r="AB39" i="9"/>
  <c r="AB193" i="8"/>
  <c r="AB237" i="9"/>
  <c r="AA66" i="9"/>
  <c r="AA42" i="8"/>
  <c r="AA224" i="8"/>
  <c r="AA217" i="8"/>
  <c r="AB232" i="8"/>
  <c r="AB108" i="8"/>
  <c r="AB212" i="8"/>
  <c r="AA27" i="8"/>
  <c r="AB242" i="8"/>
  <c r="AB201" i="9"/>
  <c r="AA57" i="8"/>
  <c r="AA108" i="9"/>
  <c r="AB128" i="9"/>
  <c r="AA112" i="8"/>
  <c r="AB132" i="9"/>
  <c r="AA285" i="9"/>
  <c r="AA167" i="9"/>
  <c r="AA88" i="9"/>
  <c r="AA178" i="8"/>
  <c r="AA24" i="8"/>
  <c r="AB159" i="9"/>
  <c r="AA118" i="9"/>
  <c r="AA151" i="8"/>
  <c r="AA248" i="9"/>
  <c r="AB262" i="9"/>
  <c r="AB86" i="8"/>
  <c r="AA50" i="9"/>
  <c r="AA108" i="8"/>
  <c r="AA219" i="9"/>
  <c r="AA74" i="8"/>
  <c r="AA254" i="8"/>
  <c r="AA30" i="8"/>
  <c r="AA271" i="9"/>
  <c r="AB230" i="8"/>
  <c r="AA236" i="9"/>
  <c r="AC236" i="9" s="1"/>
  <c r="AB207" i="9"/>
  <c r="AB55" i="8"/>
  <c r="AB35" i="9"/>
  <c r="AA270" i="8"/>
  <c r="AB208" i="9"/>
  <c r="AB247" i="8"/>
  <c r="AB15" i="9"/>
  <c r="AB263" i="9"/>
  <c r="AB137" i="9"/>
  <c r="AA272" i="9"/>
  <c r="AA226" i="9"/>
  <c r="AB95" i="8"/>
  <c r="AA152" i="9"/>
  <c r="AB31" i="9"/>
  <c r="AB212" i="9"/>
  <c r="AB28" i="9"/>
  <c r="AA132" i="8"/>
  <c r="AB138" i="8"/>
  <c r="AA143" i="8"/>
  <c r="AA180" i="8"/>
  <c r="AA61" i="8"/>
  <c r="AB268" i="8"/>
  <c r="AA104" i="8"/>
  <c r="AB151" i="8"/>
  <c r="AB47" i="9"/>
  <c r="AA37" i="9"/>
  <c r="AB295" i="9"/>
  <c r="AB241" i="9"/>
  <c r="AA264" i="8"/>
  <c r="AB41" i="8"/>
  <c r="AA295" i="9"/>
  <c r="AA169" i="9"/>
  <c r="AB223" i="8"/>
  <c r="AA41" i="8"/>
  <c r="AB27" i="9"/>
  <c r="AB295" i="8"/>
  <c r="AB142" i="9"/>
  <c r="AA128" i="9"/>
  <c r="AA171" i="9"/>
  <c r="AB173" i="9"/>
  <c r="AA220" i="9"/>
  <c r="AB82" i="8"/>
  <c r="AA247" i="8"/>
  <c r="AB39" i="8"/>
  <c r="AB233" i="8"/>
  <c r="AA248" i="8"/>
  <c r="AC248" i="8" s="1"/>
  <c r="AA75" i="8"/>
  <c r="AA215" i="8"/>
  <c r="AC215" i="8" s="1"/>
  <c r="AB52" i="9"/>
  <c r="AB231" i="8"/>
  <c r="AB101" i="8"/>
  <c r="AA300" i="9"/>
  <c r="AA282" i="8"/>
  <c r="AB3" i="9"/>
  <c r="AB259" i="9"/>
  <c r="AA55" i="8"/>
  <c r="AB287" i="9"/>
  <c r="AA31" i="9"/>
  <c r="AB234" i="8"/>
  <c r="AB158" i="8"/>
  <c r="AA215" i="9"/>
  <c r="AA50" i="8"/>
  <c r="AB140" i="9"/>
  <c r="AB101" i="9"/>
  <c r="AA244" i="9"/>
  <c r="AA78" i="8"/>
  <c r="AB56" i="9"/>
  <c r="AA40" i="8"/>
  <c r="AB112" i="8"/>
  <c r="AB100" i="9"/>
  <c r="AB144" i="8"/>
  <c r="AA226" i="8"/>
  <c r="AA290" i="9"/>
  <c r="AB197" i="8"/>
  <c r="AB149" i="8"/>
  <c r="AB50" i="9"/>
  <c r="AA20" i="8"/>
  <c r="AB74" i="8"/>
  <c r="AA71" i="8"/>
  <c r="AA63" i="8"/>
  <c r="AB188" i="8"/>
  <c r="AB297" i="9"/>
  <c r="AB50" i="8"/>
  <c r="AA202" i="8"/>
  <c r="AB109" i="9"/>
  <c r="AB14" i="8"/>
  <c r="AA282" i="9"/>
  <c r="AB10" i="8"/>
  <c r="AB142" i="8"/>
  <c r="AB222" i="9"/>
  <c r="AB103" i="9"/>
  <c r="AA38" i="8"/>
  <c r="AB239" i="9"/>
  <c r="AB183" i="8"/>
  <c r="AA262" i="8"/>
  <c r="AA68" i="8"/>
  <c r="AA55" i="9"/>
  <c r="AA146" i="8"/>
  <c r="AA164" i="9"/>
  <c r="AB230" i="9"/>
  <c r="AA135" i="9"/>
  <c r="AA79" i="8"/>
  <c r="AC79" i="8" s="1"/>
  <c r="AA8" i="8"/>
  <c r="AC8" i="8" s="1"/>
  <c r="AA223" i="9"/>
  <c r="AA197" i="8"/>
  <c r="AB204" i="8"/>
  <c r="AB207" i="8"/>
  <c r="AB179" i="8"/>
  <c r="AA298" i="8"/>
  <c r="AC298" i="8" s="1"/>
  <c r="AA239" i="8"/>
  <c r="AA255" i="9"/>
  <c r="AA129" i="9"/>
  <c r="AA65" i="9"/>
  <c r="AA114" i="8"/>
  <c r="AA252" i="9"/>
  <c r="AB93" i="9"/>
  <c r="AA153" i="8"/>
  <c r="AA46" i="8"/>
  <c r="AB257" i="9"/>
  <c r="AB275" i="8"/>
  <c r="AB232" i="9"/>
  <c r="AB96" i="8"/>
  <c r="AA94" i="9"/>
  <c r="AB57" i="9"/>
  <c r="AA262" i="9"/>
  <c r="AA297" i="9"/>
  <c r="AB276" i="9"/>
  <c r="AA292" i="8"/>
  <c r="AC292" i="8" s="1"/>
  <c r="AB200" i="8"/>
  <c r="AA197" i="9"/>
  <c r="AA171" i="8"/>
  <c r="AA214" i="8"/>
  <c r="AA274" i="9"/>
  <c r="AB268" i="9"/>
  <c r="AB38" i="8"/>
  <c r="AA279" i="8"/>
  <c r="AB209" i="9"/>
  <c r="AA113" i="9"/>
  <c r="AA25" i="8"/>
  <c r="AA6" i="9"/>
  <c r="AA43" i="8"/>
  <c r="AA59" i="8"/>
  <c r="AB43" i="9"/>
  <c r="AB125" i="8"/>
  <c r="AB164" i="9"/>
  <c r="AA44" i="9"/>
  <c r="AB88" i="8"/>
  <c r="AA187" i="8"/>
  <c r="AA281" i="8"/>
  <c r="AA70" i="8"/>
  <c r="AB24" i="8"/>
  <c r="AA33" i="8"/>
  <c r="AB77" i="8"/>
  <c r="AA175" i="9"/>
  <c r="AA27" i="9"/>
  <c r="AC27" i="9" s="1"/>
  <c r="AB179" i="9"/>
  <c r="AB150" i="8"/>
  <c r="AB110" i="8"/>
  <c r="AB160" i="9"/>
  <c r="AA179" i="8"/>
  <c r="AC179" i="8" s="1"/>
  <c r="AB72" i="8"/>
  <c r="AA67" i="8"/>
  <c r="AA154" i="8"/>
  <c r="AA181" i="8"/>
  <c r="AC181" i="8" s="1"/>
  <c r="AB150" i="9"/>
  <c r="AB202" i="9"/>
  <c r="AB213" i="9"/>
  <c r="AB157" i="9"/>
  <c r="AA252" i="8"/>
  <c r="AC252" i="8" s="1"/>
  <c r="AB155" i="8"/>
  <c r="AB53" i="9"/>
  <c r="AA294" i="8"/>
  <c r="AA167" i="8"/>
  <c r="AB132" i="8"/>
  <c r="AA5" i="8"/>
  <c r="AC5" i="8" s="1"/>
  <c r="AA158" i="8"/>
  <c r="AC158" i="8" s="1"/>
  <c r="AA169" i="8"/>
  <c r="AB282" i="9"/>
  <c r="AB22" i="9"/>
  <c r="AB60" i="9"/>
  <c r="AA53" i="9"/>
  <c r="AA204" i="8"/>
  <c r="AB299" i="9"/>
  <c r="AA132" i="9"/>
  <c r="AC132" i="9" s="1"/>
  <c r="AB118" i="8"/>
  <c r="AB246" i="9"/>
  <c r="AB116" i="8"/>
  <c r="AB184" i="9"/>
  <c r="AA26" i="8"/>
  <c r="AA265" i="8"/>
  <c r="AA166" i="9"/>
  <c r="AC166" i="9" s="1"/>
  <c r="AA107" i="9"/>
  <c r="AA149" i="9"/>
  <c r="AA186" i="8"/>
  <c r="AB195" i="8"/>
  <c r="AB228" i="9"/>
  <c r="AB134" i="9"/>
  <c r="AB57" i="8"/>
  <c r="AB226" i="8"/>
  <c r="AB195" i="9"/>
  <c r="AB16" i="8"/>
  <c r="AB217" i="8"/>
  <c r="AB124" i="8"/>
  <c r="AB275" i="9"/>
  <c r="AB102" i="8"/>
  <c r="AA143" i="9"/>
  <c r="AA277" i="8"/>
  <c r="AB12" i="8"/>
  <c r="AB210" i="9"/>
  <c r="AB263" i="8"/>
  <c r="AB222" i="8"/>
  <c r="AB135" i="9"/>
  <c r="AB178" i="8"/>
  <c r="AA160" i="9"/>
  <c r="AB220" i="9"/>
  <c r="AA242" i="9"/>
  <c r="AA80" i="8"/>
  <c r="AB20" i="9"/>
  <c r="AA101" i="8"/>
  <c r="AC101" i="8" s="1"/>
  <c r="AB10" i="9"/>
  <c r="AA124" i="8"/>
  <c r="AB192" i="9"/>
  <c r="AB235" i="9"/>
  <c r="AA270" i="9"/>
  <c r="AB21" i="9"/>
  <c r="AB209" i="8"/>
  <c r="AB74" i="9"/>
  <c r="AB214" i="8"/>
  <c r="AA217" i="9"/>
  <c r="AA56" i="9"/>
  <c r="AB265" i="9"/>
  <c r="AA146" i="9"/>
  <c r="AB277" i="8"/>
  <c r="AB221" i="8"/>
  <c r="AA90" i="8"/>
  <c r="AC90" i="8" s="1"/>
  <c r="AB145" i="8"/>
  <c r="AB76" i="8"/>
  <c r="AA163" i="9"/>
  <c r="AA204" i="9"/>
  <c r="AB88" i="9"/>
  <c r="AB213" i="8"/>
  <c r="AA48" i="9"/>
  <c r="AB266" i="9"/>
  <c r="AA77" i="8"/>
  <c r="AB254" i="9"/>
  <c r="AA113" i="8"/>
  <c r="AA263" i="8"/>
  <c r="AA100" i="8"/>
  <c r="AB252" i="9"/>
  <c r="AB299" i="8"/>
  <c r="AB300" i="8"/>
  <c r="AA278" i="8"/>
  <c r="AB130" i="9"/>
  <c r="AA293" i="9"/>
  <c r="AA149" i="8"/>
  <c r="AB156" i="9"/>
  <c r="AA46" i="9"/>
  <c r="AA266" i="9"/>
  <c r="AB45" i="8"/>
  <c r="AB92" i="9"/>
  <c r="AA127" i="9"/>
  <c r="AB89" i="8"/>
  <c r="AA19" i="8"/>
  <c r="AB32" i="8"/>
  <c r="AA91" i="8"/>
  <c r="AB149" i="9"/>
  <c r="AB108" i="9"/>
  <c r="AA177" i="9"/>
  <c r="AC177" i="9" s="1"/>
  <c r="AA200" i="8"/>
  <c r="AB214" i="9"/>
  <c r="AA147" i="8"/>
  <c r="AB81" i="8"/>
  <c r="AA64" i="8"/>
  <c r="AC64" i="8" s="1"/>
  <c r="AA230" i="8"/>
  <c r="AA159" i="9"/>
  <c r="AB202" i="8"/>
  <c r="AB284" i="8"/>
  <c r="AA172" i="9"/>
  <c r="AB48" i="8"/>
  <c r="AA35" i="9"/>
  <c r="AA96" i="8"/>
  <c r="AA116" i="9"/>
  <c r="AB257" i="8"/>
  <c r="AB37" i="8"/>
  <c r="AB269" i="8"/>
  <c r="AB107" i="8"/>
  <c r="AB125" i="9"/>
  <c r="AB117" i="9"/>
  <c r="AA260" i="9"/>
  <c r="AA240" i="8"/>
  <c r="AA140" i="8"/>
  <c r="AC140" i="8" s="1"/>
  <c r="AA39" i="8"/>
  <c r="AC39" i="8" s="1"/>
  <c r="AA244" i="8"/>
  <c r="AA183" i="8"/>
  <c r="AC183" i="8" s="1"/>
  <c r="AA283" i="9"/>
  <c r="AB191" i="8"/>
  <c r="AB29" i="8"/>
  <c r="AB203" i="8"/>
  <c r="AB271" i="9"/>
  <c r="AB73" i="8"/>
  <c r="AA276" i="8"/>
  <c r="AB280" i="8"/>
  <c r="AB261" i="9"/>
  <c r="AB196" i="8"/>
  <c r="AB23" i="8"/>
  <c r="AA158" i="9"/>
  <c r="AB174" i="9"/>
  <c r="AB154" i="8"/>
  <c r="AA216" i="8"/>
  <c r="AA287" i="9"/>
  <c r="AB147" i="9"/>
  <c r="AA200" i="9"/>
  <c r="AB210" i="8"/>
  <c r="AB14" i="9"/>
  <c r="AB139" i="9"/>
  <c r="AB270" i="8"/>
  <c r="AB208" i="8"/>
  <c r="AA82" i="9"/>
  <c r="AB172" i="9"/>
  <c r="AB205" i="9"/>
  <c r="AB196" i="9"/>
  <c r="AB25" i="9"/>
  <c r="AB85" i="9"/>
  <c r="AB172" i="8"/>
  <c r="AA233" i="9"/>
  <c r="AA261" i="9"/>
  <c r="AA119" i="8"/>
  <c r="AA42" i="9"/>
  <c r="AC42" i="9" s="1"/>
  <c r="AA68" i="9"/>
  <c r="AA84" i="8"/>
  <c r="AB180" i="9"/>
  <c r="AA129" i="8"/>
  <c r="AB5" i="9"/>
  <c r="AA168" i="8"/>
  <c r="AA196" i="9"/>
  <c r="AB110" i="9"/>
  <c r="AB240" i="8"/>
  <c r="AA297" i="8"/>
  <c r="AB277" i="9"/>
  <c r="AB173" i="8"/>
  <c r="AA125" i="8"/>
  <c r="AA250" i="9"/>
  <c r="AC250" i="9" s="1"/>
  <c r="AA195" i="9"/>
  <c r="AB199" i="9"/>
  <c r="AB274" i="9"/>
  <c r="AA179" i="9"/>
  <c r="AC179" i="9" s="1"/>
  <c r="AA170" i="9"/>
  <c r="AC170" i="9" s="1"/>
  <c r="AB246" i="8"/>
  <c r="AB297" i="8"/>
  <c r="AA36" i="8"/>
  <c r="AB15" i="8"/>
  <c r="AB234" i="9"/>
  <c r="AA177" i="8"/>
  <c r="AB264" i="8"/>
  <c r="AB182" i="8"/>
  <c r="AA151" i="9"/>
  <c r="AA28" i="8"/>
  <c r="AA176" i="8"/>
  <c r="AB144" i="9"/>
  <c r="AA51" i="8"/>
  <c r="AA115" i="8"/>
  <c r="AB26" i="8"/>
  <c r="AB198" i="9"/>
  <c r="AB201" i="8"/>
  <c r="AB204" i="9"/>
  <c r="AB109" i="8"/>
  <c r="AB223" i="9"/>
  <c r="AB229" i="8"/>
  <c r="AB190" i="9"/>
  <c r="AA233" i="8"/>
  <c r="AA135" i="8"/>
  <c r="AB89" i="9"/>
  <c r="AB61" i="9"/>
  <c r="AA268" i="9"/>
  <c r="AC268" i="9" s="1"/>
  <c r="AA48" i="8"/>
  <c r="AC48" i="8" s="1"/>
  <c r="AA127" i="8"/>
  <c r="AB285" i="9"/>
  <c r="AA53" i="8"/>
  <c r="AB259" i="8"/>
  <c r="AB152" i="8"/>
  <c r="AB152" i="9"/>
  <c r="AB168" i="8"/>
  <c r="AB283" i="8"/>
  <c r="AB199" i="8"/>
  <c r="AA12" i="9"/>
  <c r="AA89" i="9"/>
  <c r="AA203" i="8"/>
  <c r="AB175" i="9"/>
  <c r="AA33" i="9"/>
  <c r="AB131" i="9"/>
  <c r="AA69" i="8"/>
  <c r="AB73" i="9"/>
  <c r="AB147" i="8"/>
  <c r="AB18" i="9"/>
  <c r="AB22" i="8"/>
  <c r="AA150" i="8"/>
  <c r="AA79" i="9"/>
  <c r="AC79" i="9" s="1"/>
  <c r="AB63" i="8"/>
  <c r="AB262" i="8"/>
  <c r="AA156" i="9"/>
  <c r="AC156" i="9" s="1"/>
  <c r="AA160" i="8"/>
  <c r="AB66" i="8"/>
  <c r="AB107" i="9"/>
  <c r="AA218" i="8"/>
  <c r="AA12" i="8"/>
  <c r="AA117" i="8"/>
  <c r="AB44" i="8"/>
  <c r="AB46" i="9"/>
  <c r="AB143" i="9"/>
  <c r="AA258" i="9"/>
  <c r="AA260" i="8"/>
  <c r="AC260" i="8" s="1"/>
  <c r="AB189" i="8"/>
  <c r="AB38" i="9"/>
  <c r="AB19" i="8"/>
  <c r="AB290" i="8"/>
  <c r="AB43" i="8"/>
  <c r="AA144" i="8"/>
  <c r="AB138" i="9"/>
  <c r="AB264" i="9"/>
  <c r="AA258" i="8"/>
  <c r="AB99" i="8"/>
  <c r="AB171" i="8"/>
  <c r="AB205" i="8"/>
  <c r="AA137" i="9"/>
  <c r="AA45" i="9"/>
  <c r="AA242" i="8"/>
  <c r="AB2" i="8"/>
  <c r="AB225" i="9"/>
  <c r="AA288" i="8"/>
  <c r="AA191" i="9"/>
  <c r="AB229" i="9"/>
  <c r="AB65" i="8"/>
  <c r="AA106" i="9"/>
  <c r="AA87" i="9"/>
  <c r="AB32" i="9"/>
  <c r="AA41" i="9"/>
  <c r="AA16" i="8"/>
  <c r="AB267" i="8"/>
  <c r="AB121" i="9"/>
  <c r="AA220" i="8"/>
  <c r="AB284" i="9"/>
  <c r="AA201" i="8"/>
  <c r="AC201" i="8" s="1"/>
  <c r="AA235" i="9"/>
  <c r="AA36" i="9"/>
  <c r="AB116" i="9"/>
  <c r="AB135" i="8"/>
  <c r="AA227" i="9"/>
  <c r="AC227" i="9" s="1"/>
  <c r="AB269" i="9"/>
  <c r="AB256" i="9"/>
  <c r="AA107" i="8"/>
  <c r="AA218" i="9"/>
  <c r="AA150" i="9"/>
  <c r="AA96" i="9"/>
  <c r="AB123" i="8"/>
  <c r="AA110" i="8"/>
  <c r="AA23" i="9"/>
  <c r="AC23" i="9" s="1"/>
  <c r="AB114" i="8"/>
  <c r="AA44" i="8"/>
  <c r="AB272" i="9"/>
  <c r="AB13" i="8"/>
  <c r="AB33" i="8"/>
  <c r="AB219" i="8"/>
  <c r="AB278" i="8"/>
  <c r="AA49" i="9"/>
  <c r="AC49" i="9" s="1"/>
  <c r="AB248" i="9"/>
  <c r="AA100" i="9"/>
  <c r="AB186" i="9"/>
  <c r="AB293" i="8"/>
  <c r="AA286" i="9"/>
  <c r="AB71" i="8"/>
  <c r="AB296" i="8"/>
  <c r="AB281" i="9"/>
  <c r="AA212" i="9"/>
  <c r="AA136" i="8"/>
  <c r="AB113" i="9"/>
  <c r="AA9" i="9"/>
  <c r="AB78" i="9"/>
  <c r="AA249" i="8"/>
  <c r="AA165" i="9"/>
  <c r="AA94" i="8"/>
  <c r="AA11" i="9"/>
  <c r="AA59" i="9"/>
  <c r="AA174" i="8"/>
  <c r="AB11" i="9"/>
  <c r="AB95" i="9"/>
  <c r="AB100" i="8"/>
  <c r="AA85" i="9"/>
  <c r="AA35" i="8"/>
  <c r="AB44" i="9"/>
  <c r="AB273" i="9"/>
  <c r="AA161" i="8"/>
  <c r="AC161" i="8" s="1"/>
  <c r="AB272" i="8"/>
  <c r="AB211" i="9"/>
  <c r="AB298" i="9"/>
  <c r="AA83" i="9"/>
  <c r="AA229" i="9"/>
  <c r="AB111" i="9"/>
  <c r="AB170" i="8"/>
  <c r="AA134" i="8"/>
  <c r="AC134" i="8" s="1"/>
  <c r="AA162" i="8"/>
  <c r="AA188" i="8"/>
  <c r="AA191" i="8"/>
  <c r="AB240" i="9"/>
  <c r="AB255" i="8"/>
  <c r="AA280" i="8"/>
  <c r="AA245" i="8"/>
  <c r="AB90" i="9"/>
  <c r="AA87" i="8"/>
  <c r="AB265" i="8"/>
  <c r="AB59" i="8"/>
  <c r="AA131" i="9"/>
  <c r="AA264" i="9"/>
  <c r="AB180" i="8"/>
  <c r="AA235" i="8"/>
  <c r="AA205" i="8"/>
  <c r="AB54" i="9"/>
  <c r="AA63" i="9"/>
  <c r="AA299" i="9"/>
  <c r="AB75" i="8"/>
  <c r="AA64" i="9"/>
  <c r="AB153" i="8"/>
  <c r="AA256" i="8"/>
  <c r="AB286" i="8"/>
  <c r="AA198" i="9"/>
  <c r="AB162" i="8"/>
  <c r="AB256" i="8"/>
  <c r="AA92" i="8"/>
  <c r="AA182" i="9"/>
  <c r="AB216" i="9"/>
  <c r="AB293" i="9"/>
  <c r="AB254" i="8"/>
  <c r="AB53" i="8"/>
  <c r="AB218" i="8"/>
  <c r="AA245" i="9"/>
  <c r="AA139" i="9"/>
  <c r="AB46" i="8"/>
  <c r="AA190" i="8"/>
  <c r="AB35" i="8"/>
  <c r="AB133" i="8"/>
  <c r="AA178" i="9"/>
  <c r="AB128" i="8"/>
  <c r="AB164" i="8"/>
  <c r="AB239" i="8"/>
  <c r="AB120" i="9"/>
  <c r="AA291" i="8"/>
  <c r="AB283" i="9"/>
  <c r="AA69" i="9"/>
  <c r="AC69" i="9" s="1"/>
  <c r="AB23" i="9"/>
  <c r="AB143" i="8"/>
  <c r="AA99" i="9"/>
  <c r="AB36" i="9"/>
  <c r="AA246" i="8"/>
  <c r="AC246" i="8" s="1"/>
  <c r="AB155" i="9"/>
  <c r="AA75" i="9"/>
  <c r="AC75" i="9" s="1"/>
  <c r="AA199" i="8"/>
  <c r="AA253" i="8"/>
  <c r="AA184" i="9"/>
  <c r="AB235" i="8"/>
  <c r="AA208" i="8"/>
  <c r="AC208" i="8" s="1"/>
  <c r="AB224" i="8"/>
  <c r="AA47" i="9"/>
  <c r="AC47" i="9" s="1"/>
  <c r="AB84" i="8"/>
  <c r="AA249" i="9"/>
  <c r="AB292" i="9"/>
  <c r="AB285" i="8"/>
  <c r="AB245" i="8"/>
  <c r="AB40" i="9"/>
  <c r="AB92" i="8"/>
  <c r="AB267" i="9"/>
  <c r="AB281" i="8"/>
  <c r="AB7" i="8"/>
  <c r="AA208" i="9"/>
  <c r="AA115" i="9"/>
  <c r="AA18" i="8"/>
  <c r="AA131" i="8"/>
  <c r="AA259" i="8"/>
  <c r="AA183" i="9"/>
  <c r="AC183" i="9" s="1"/>
  <c r="AA93" i="9"/>
  <c r="AC93" i="9" s="1"/>
  <c r="AB258" i="9"/>
  <c r="AA125" i="9"/>
  <c r="AB244" i="9"/>
  <c r="AB176" i="8"/>
  <c r="AB244" i="8"/>
  <c r="AA281" i="9"/>
  <c r="AC281" i="9" s="1"/>
  <c r="AA76" i="9"/>
  <c r="AA25" i="9"/>
  <c r="AC25" i="9" s="1"/>
  <c r="AB169" i="8"/>
  <c r="AB253" i="8"/>
  <c r="AB243" i="9"/>
  <c r="AB94" i="8"/>
  <c r="AB258" i="8"/>
  <c r="AA62" i="8"/>
  <c r="AA190" i="9"/>
  <c r="AC190" i="9" s="1"/>
  <c r="AA237" i="8"/>
  <c r="AC237" i="8" s="1"/>
  <c r="AA254" i="9"/>
  <c r="AA222" i="9"/>
  <c r="AB105" i="8"/>
  <c r="AA66" i="8"/>
  <c r="AB41" i="9"/>
  <c r="AA112" i="9"/>
  <c r="AC112" i="9" s="1"/>
  <c r="AB62" i="9"/>
  <c r="AA213" i="9"/>
  <c r="AA283" i="8"/>
  <c r="AB251" i="8"/>
  <c r="AA279" i="9"/>
  <c r="AC279" i="9" s="1"/>
  <c r="AB65" i="9"/>
  <c r="AA89" i="8"/>
  <c r="AB255" i="9"/>
  <c r="AA292" i="9"/>
  <c r="AB72" i="9"/>
  <c r="AB175" i="8"/>
  <c r="AB68" i="8"/>
  <c r="AB197" i="9"/>
  <c r="AA148" i="9"/>
  <c r="AC148" i="9" s="1"/>
  <c r="AB98" i="9"/>
  <c r="AA234" i="9"/>
  <c r="AC234" i="9" s="1"/>
  <c r="AA284" i="8"/>
  <c r="AB12" i="9"/>
  <c r="AA19" i="9"/>
  <c r="AC19" i="9" s="1"/>
  <c r="AB19" i="9"/>
  <c r="AA70" i="9"/>
  <c r="AB20" i="8"/>
  <c r="AA22" i="9"/>
  <c r="AB47" i="8"/>
  <c r="AA74" i="9"/>
  <c r="AA188" i="9"/>
  <c r="AA34" i="9"/>
  <c r="AC34" i="9" s="1"/>
  <c r="AB221" i="9"/>
  <c r="AB24" i="9"/>
  <c r="AA32" i="9"/>
  <c r="AB131" i="8"/>
  <c r="AA201" i="9"/>
  <c r="AB37" i="9"/>
  <c r="AB104" i="8"/>
  <c r="AA241" i="9"/>
  <c r="AC241" i="9" s="1"/>
  <c r="AA77" i="9"/>
  <c r="AB21" i="8"/>
  <c r="AA186" i="9"/>
  <c r="AB51" i="8"/>
  <c r="AA274" i="8"/>
  <c r="AC274" i="8" s="1"/>
  <c r="AA20" i="9"/>
  <c r="AA176" i="9"/>
  <c r="AC176" i="9" s="1"/>
  <c r="AB177" i="8"/>
  <c r="AA152" i="8"/>
  <c r="AC152" i="8" s="1"/>
  <c r="AB279" i="8"/>
  <c r="AB282" i="8"/>
  <c r="AA243" i="8"/>
  <c r="AA126" i="9"/>
  <c r="AC126" i="9" s="1"/>
  <c r="AA103" i="9"/>
  <c r="AA256" i="9"/>
  <c r="AB133" i="9"/>
  <c r="AB67" i="8"/>
  <c r="AA141" i="9"/>
  <c r="AA157" i="8"/>
  <c r="AB216" i="8"/>
  <c r="F43" i="7"/>
  <c r="G55" i="7"/>
  <c r="H55" i="7"/>
  <c r="I55" i="7"/>
  <c r="J55" i="7"/>
  <c r="K55" i="7"/>
  <c r="L55" i="7"/>
  <c r="M55" i="7"/>
  <c r="N55" i="7"/>
  <c r="O55" i="7"/>
  <c r="P55" i="7"/>
  <c r="Q55" i="7"/>
  <c r="R55" i="7"/>
  <c r="S55" i="7"/>
  <c r="T55" i="7"/>
  <c r="U55" i="7"/>
  <c r="V55" i="7"/>
  <c r="W55" i="7"/>
  <c r="X55" i="7"/>
  <c r="Y55" i="7"/>
  <c r="Z55" i="7"/>
  <c r="B56" i="7"/>
  <c r="AC184" i="9" l="1"/>
  <c r="AC96" i="9"/>
  <c r="AC167" i="8"/>
  <c r="AC31" i="8"/>
  <c r="AC292" i="9"/>
  <c r="AC11" i="9"/>
  <c r="AC290" i="9"/>
  <c r="AC64" i="9"/>
  <c r="AC50" i="9"/>
  <c r="AC238" i="9"/>
  <c r="AC182" i="9"/>
  <c r="AC114" i="9"/>
  <c r="AC100" i="9"/>
  <c r="AC107" i="8"/>
  <c r="AC242" i="8"/>
  <c r="AC146" i="8"/>
  <c r="AC31" i="9"/>
  <c r="AC8" i="9"/>
  <c r="AC291" i="8"/>
  <c r="AC280" i="8"/>
  <c r="AC106" i="9"/>
  <c r="AC80" i="8"/>
  <c r="AC35" i="9"/>
  <c r="AC259" i="8"/>
  <c r="AC264" i="9"/>
  <c r="AC169" i="9"/>
  <c r="AC119" i="8"/>
  <c r="AC226" i="9"/>
  <c r="AC203" i="9"/>
  <c r="AC201" i="9"/>
  <c r="AC62" i="8"/>
  <c r="AC229" i="9"/>
  <c r="AC94" i="8"/>
  <c r="AC51" i="8"/>
  <c r="AC100" i="8"/>
  <c r="AC242" i="9"/>
  <c r="AC107" i="9"/>
  <c r="AC33" i="8"/>
  <c r="AC279" i="8"/>
  <c r="AC223" i="9"/>
  <c r="AC68" i="8"/>
  <c r="AC63" i="8"/>
  <c r="AC226" i="8"/>
  <c r="AC178" i="8"/>
  <c r="AC57" i="8"/>
  <c r="AC73" i="8"/>
  <c r="AC195" i="8"/>
  <c r="AC145" i="8"/>
  <c r="AC102" i="8"/>
  <c r="AC225" i="9"/>
  <c r="AC85" i="8"/>
  <c r="AC136" i="9"/>
  <c r="AC61" i="9"/>
  <c r="AC121" i="9"/>
  <c r="AC193" i="8"/>
  <c r="AC276" i="9"/>
  <c r="AC54" i="9"/>
  <c r="AC91" i="9"/>
  <c r="AC39" i="9"/>
  <c r="AC11" i="8"/>
  <c r="AC194" i="8"/>
  <c r="AC49" i="8"/>
  <c r="AC154" i="9"/>
  <c r="AC200" i="9"/>
  <c r="AC270" i="9"/>
  <c r="AC297" i="9"/>
  <c r="AC218" i="9"/>
  <c r="AC203" i="8"/>
  <c r="AC135" i="8"/>
  <c r="AC159" i="9"/>
  <c r="AC154" i="8"/>
  <c r="AC171" i="8"/>
  <c r="AC94" i="9"/>
  <c r="AC247" i="8"/>
  <c r="AC74" i="8"/>
  <c r="AC184" i="8"/>
  <c r="AC95" i="8"/>
  <c r="AC18" i="9"/>
  <c r="AC293" i="8"/>
  <c r="AC14" i="9"/>
  <c r="AC295" i="8"/>
  <c r="AC92" i="9"/>
  <c r="AC275" i="9"/>
  <c r="AC228" i="9"/>
  <c r="AC51" i="9"/>
  <c r="AC232" i="8"/>
  <c r="AC280" i="9"/>
  <c r="AC273" i="9"/>
  <c r="AC194" i="9"/>
  <c r="AC7" i="9"/>
  <c r="AC160" i="8"/>
  <c r="AC68" i="9"/>
  <c r="AC129" i="9"/>
  <c r="AC55" i="8"/>
  <c r="AC231" i="9"/>
  <c r="AC209" i="8"/>
  <c r="AC299" i="8"/>
  <c r="AC89" i="8"/>
  <c r="AC131" i="9"/>
  <c r="AC83" i="9"/>
  <c r="AC110" i="8"/>
  <c r="AC69" i="8"/>
  <c r="AC283" i="9"/>
  <c r="AC19" i="8"/>
  <c r="AC263" i="8"/>
  <c r="AC282" i="9"/>
  <c r="AC71" i="8"/>
  <c r="AC171" i="9"/>
  <c r="AC104" i="8"/>
  <c r="AC42" i="8"/>
  <c r="AC141" i="8"/>
  <c r="AC123" i="8"/>
  <c r="AC102" i="9"/>
  <c r="AC13" i="8"/>
  <c r="AC138" i="9"/>
  <c r="AC6" i="8"/>
  <c r="AC221" i="8"/>
  <c r="AC298" i="9"/>
  <c r="AC104" i="9"/>
  <c r="AC10" i="9"/>
  <c r="AC57" i="9"/>
  <c r="AC251" i="9"/>
  <c r="AC204" i="8"/>
  <c r="AC70" i="8"/>
  <c r="AC128" i="9"/>
  <c r="AC296" i="9"/>
  <c r="AC286" i="9"/>
  <c r="AC288" i="8"/>
  <c r="AC33" i="9"/>
  <c r="AC28" i="8"/>
  <c r="AC217" i="9"/>
  <c r="AC26" i="8"/>
  <c r="AC262" i="9"/>
  <c r="AC135" i="9"/>
  <c r="AC30" i="8"/>
  <c r="AC211" i="8"/>
  <c r="AC187" i="9"/>
  <c r="AC20" i="9"/>
  <c r="AC96" i="8"/>
  <c r="AC197" i="8"/>
  <c r="AC35" i="8"/>
  <c r="AC220" i="8"/>
  <c r="AC127" i="8"/>
  <c r="AC66" i="8"/>
  <c r="AC117" i="8"/>
  <c r="AC82" i="9"/>
  <c r="AC222" i="9"/>
  <c r="AC294" i="8"/>
  <c r="AC300" i="9"/>
  <c r="AD300" i="9" s="1"/>
  <c r="AC120" i="8"/>
  <c r="AC193" i="9"/>
  <c r="AC4" i="9"/>
  <c r="AC254" i="9"/>
  <c r="AC199" i="8"/>
  <c r="AC174" i="8"/>
  <c r="AC143" i="8"/>
  <c r="AC112" i="8"/>
  <c r="AC13" i="9"/>
  <c r="AC123" i="9"/>
  <c r="AC109" i="9"/>
  <c r="AC233" i="8"/>
  <c r="AC283" i="8"/>
  <c r="AC205" i="8"/>
  <c r="AC235" i="9"/>
  <c r="AC134" i="9"/>
  <c r="AC239" i="9"/>
  <c r="AC103" i="9"/>
  <c r="AC74" i="9"/>
  <c r="AC284" i="8"/>
  <c r="AC76" i="9"/>
  <c r="AC190" i="8"/>
  <c r="AC212" i="9"/>
  <c r="AC45" i="9"/>
  <c r="AC144" i="8"/>
  <c r="AC12" i="9"/>
  <c r="AC115" i="8"/>
  <c r="AC177" i="8"/>
  <c r="AC260" i="9"/>
  <c r="AC91" i="8"/>
  <c r="AC46" i="9"/>
  <c r="AC149" i="9"/>
  <c r="AC169" i="8"/>
  <c r="AC65" i="9"/>
  <c r="AC55" i="9"/>
  <c r="AC244" i="9"/>
  <c r="AC220" i="9"/>
  <c r="AC132" i="8"/>
  <c r="AC108" i="8"/>
  <c r="AC24" i="8"/>
  <c r="AC108" i="9"/>
  <c r="AC217" i="8"/>
  <c r="AC272" i="8"/>
  <c r="AC231" i="8"/>
  <c r="AC211" i="9"/>
  <c r="AC240" i="9"/>
  <c r="AC38" i="9"/>
  <c r="AC265" i="9"/>
  <c r="AC202" i="9"/>
  <c r="AC294" i="9"/>
  <c r="AC3" i="9"/>
  <c r="AC26" i="9"/>
  <c r="AC155" i="8"/>
  <c r="AC206" i="8"/>
  <c r="AC246" i="9"/>
  <c r="AC291" i="9"/>
  <c r="AC288" i="9"/>
  <c r="AC156" i="8"/>
  <c r="AC250" i="8"/>
  <c r="AC277" i="9"/>
  <c r="AC17" i="9"/>
  <c r="AC144" i="9"/>
  <c r="AC268" i="8"/>
  <c r="AC124" i="9"/>
  <c r="AC174" i="9"/>
  <c r="AC228" i="8"/>
  <c r="AC76" i="8"/>
  <c r="AC126" i="8"/>
  <c r="AC204" i="9"/>
  <c r="AC24" i="9"/>
  <c r="AC105" i="8"/>
  <c r="AC185" i="9"/>
  <c r="AC18" i="8"/>
  <c r="AC245" i="9"/>
  <c r="AC113" i="8"/>
  <c r="AC66" i="9"/>
  <c r="AC97" i="8"/>
  <c r="AC289" i="8"/>
  <c r="AC83" i="8"/>
  <c r="AC77" i="9"/>
  <c r="AC208" i="9"/>
  <c r="AC150" i="9"/>
  <c r="AC150" i="8"/>
  <c r="AC40" i="8"/>
  <c r="AC137" i="8"/>
  <c r="AC266" i="8"/>
  <c r="AC29" i="8"/>
  <c r="AC213" i="8"/>
  <c r="AC249" i="9"/>
  <c r="AC25" i="8"/>
  <c r="AC252" i="9"/>
  <c r="AC164" i="9"/>
  <c r="AC118" i="9"/>
  <c r="AC196" i="8"/>
  <c r="AC175" i="8"/>
  <c r="AC81" i="8"/>
  <c r="AC120" i="9"/>
  <c r="AC80" i="9"/>
  <c r="AC180" i="9"/>
  <c r="AC210" i="9"/>
  <c r="AC198" i="8"/>
  <c r="AC52" i="8"/>
  <c r="AC3" i="8"/>
  <c r="AC56" i="8"/>
  <c r="AC7" i="8"/>
  <c r="AC145" i="9"/>
  <c r="AC256" i="9"/>
  <c r="AC188" i="9"/>
  <c r="AC213" i="9"/>
  <c r="AC256" i="8"/>
  <c r="AC235" i="8"/>
  <c r="AC245" i="8"/>
  <c r="AC59" i="9"/>
  <c r="AC136" i="8"/>
  <c r="AC44" i="8"/>
  <c r="AC87" i="9"/>
  <c r="AC258" i="9"/>
  <c r="AC89" i="9"/>
  <c r="AC53" i="8"/>
  <c r="AC297" i="8"/>
  <c r="AC84" i="8"/>
  <c r="AC158" i="9"/>
  <c r="AC240" i="8"/>
  <c r="AC116" i="9"/>
  <c r="AC230" i="8"/>
  <c r="AC266" i="9"/>
  <c r="AC48" i="9"/>
  <c r="AC186" i="8"/>
  <c r="AC67" i="8"/>
  <c r="AC175" i="9"/>
  <c r="AC44" i="9"/>
  <c r="AC113" i="9"/>
  <c r="AC197" i="9"/>
  <c r="AC114" i="8"/>
  <c r="AC78" i="8"/>
  <c r="AC41" i="8"/>
  <c r="AC37" i="9"/>
  <c r="AC272" i="9"/>
  <c r="AC219" i="9"/>
  <c r="AC182" i="8"/>
  <c r="AC168" i="9"/>
  <c r="AC138" i="8"/>
  <c r="AC29" i="9"/>
  <c r="AC257" i="9"/>
  <c r="AC73" i="9"/>
  <c r="AC72" i="9"/>
  <c r="AC209" i="9"/>
  <c r="AC189" i="8"/>
  <c r="AC67" i="9"/>
  <c r="AC15" i="8"/>
  <c r="AC243" i="9"/>
  <c r="AC118" i="8"/>
  <c r="AC251" i="8"/>
  <c r="AC172" i="8"/>
  <c r="AC237" i="9"/>
  <c r="AC116" i="8"/>
  <c r="AC133" i="9"/>
  <c r="AC72" i="8"/>
  <c r="AC130" i="8"/>
  <c r="AC162" i="9"/>
  <c r="AC253" i="9"/>
  <c r="AC230" i="9"/>
  <c r="AC170" i="8"/>
  <c r="AC285" i="8"/>
  <c r="AC223" i="8"/>
  <c r="AC60" i="9"/>
  <c r="AC163" i="8"/>
  <c r="AC222" i="8"/>
  <c r="AC164" i="8"/>
  <c r="AC82" i="8"/>
  <c r="AC225" i="8"/>
  <c r="AC111" i="9"/>
  <c r="AC284" i="9"/>
  <c r="AC161" i="9"/>
  <c r="AC195" i="9"/>
  <c r="AC147" i="8"/>
  <c r="AC277" i="8"/>
  <c r="AC255" i="9"/>
  <c r="AC262" i="8"/>
  <c r="AC295" i="9"/>
  <c r="AC88" i="9"/>
  <c r="AC45" i="8"/>
  <c r="AC207" i="8"/>
  <c r="AC117" i="9"/>
  <c r="AC40" i="9"/>
  <c r="AC234" i="8"/>
  <c r="AC267" i="9"/>
  <c r="AC257" i="8"/>
  <c r="AC98" i="8"/>
  <c r="AC71" i="9"/>
  <c r="AC10" i="8"/>
  <c r="AC157" i="8"/>
  <c r="AC186" i="9"/>
  <c r="AC32" i="9"/>
  <c r="AC99" i="9"/>
  <c r="AC299" i="9"/>
  <c r="AC191" i="8"/>
  <c r="AC249" i="8"/>
  <c r="AC191" i="9"/>
  <c r="AC176" i="8"/>
  <c r="AC36" i="8"/>
  <c r="AC168" i="8"/>
  <c r="AC261" i="9"/>
  <c r="AC287" i="9"/>
  <c r="AC172" i="9"/>
  <c r="AC293" i="9"/>
  <c r="AC163" i="9"/>
  <c r="AC56" i="9"/>
  <c r="AC160" i="9"/>
  <c r="AC143" i="9"/>
  <c r="AC265" i="8"/>
  <c r="AC59" i="8"/>
  <c r="AC46" i="8"/>
  <c r="AC239" i="8"/>
  <c r="AC50" i="8"/>
  <c r="AC271" i="9"/>
  <c r="AC167" i="9"/>
  <c r="AC142" i="9"/>
  <c r="AC78" i="9"/>
  <c r="AC93" i="8"/>
  <c r="AC133" i="8"/>
  <c r="AC128" i="8"/>
  <c r="AC88" i="8"/>
  <c r="AC192" i="9"/>
  <c r="AC207" i="9"/>
  <c r="AC224" i="9"/>
  <c r="AC255" i="8"/>
  <c r="AC286" i="8"/>
  <c r="AC147" i="9"/>
  <c r="AC221" i="9"/>
  <c r="AC47" i="8"/>
  <c r="AC32" i="8"/>
  <c r="AC206" i="9"/>
  <c r="AC43" i="9"/>
  <c r="AC65" i="8"/>
  <c r="AC5" i="9"/>
  <c r="AC23" i="8"/>
  <c r="AC278" i="9"/>
  <c r="AC122" i="8"/>
  <c r="AC97" i="9"/>
  <c r="AC52" i="9"/>
  <c r="AC189" i="9"/>
  <c r="AC273" i="8"/>
  <c r="AC146" i="9"/>
  <c r="AC224" i="8"/>
  <c r="AC101" i="9"/>
  <c r="AC238" i="8"/>
  <c r="AC22" i="9"/>
  <c r="AC131" i="8"/>
  <c r="AC85" i="9"/>
  <c r="AC149" i="8"/>
  <c r="AC269" i="9"/>
  <c r="AC199" i="9"/>
  <c r="AC22" i="8"/>
  <c r="AC141" i="9"/>
  <c r="AC16" i="8"/>
  <c r="AC12" i="8"/>
  <c r="AC125" i="8"/>
  <c r="AC233" i="9"/>
  <c r="AC216" i="8"/>
  <c r="AC276" i="8"/>
  <c r="AC244" i="8"/>
  <c r="AC200" i="8"/>
  <c r="AC127" i="9"/>
  <c r="AC124" i="8"/>
  <c r="AC53" i="9"/>
  <c r="AC281" i="8"/>
  <c r="AC43" i="8"/>
  <c r="AC274" i="9"/>
  <c r="AC153" i="8"/>
  <c r="AC20" i="8"/>
  <c r="AC215" i="9"/>
  <c r="AC282" i="8"/>
  <c r="AC264" i="8"/>
  <c r="AC61" i="8"/>
  <c r="AC152" i="9"/>
  <c r="AC248" i="9"/>
  <c r="AC285" i="9"/>
  <c r="AC27" i="8"/>
  <c r="AC103" i="8"/>
  <c r="AC205" i="9"/>
  <c r="AC241" i="8"/>
  <c r="AC259" i="9"/>
  <c r="AC130" i="9"/>
  <c r="AC140" i="9"/>
  <c r="AC30" i="9"/>
  <c r="AC290" i="8"/>
  <c r="AC17" i="8"/>
  <c r="AC263" i="9"/>
  <c r="AC216" i="9"/>
  <c r="AC236" i="8"/>
  <c r="AC81" i="9"/>
  <c r="AC14" i="8"/>
  <c r="AC142" i="8"/>
  <c r="AC232" i="9"/>
  <c r="AC267" i="8"/>
  <c r="AC173" i="8"/>
  <c r="AC219" i="8"/>
  <c r="AC86" i="8"/>
  <c r="AC54" i="8"/>
  <c r="AC99" i="8"/>
  <c r="AC296" i="8"/>
  <c r="AC98" i="9"/>
  <c r="AC261" i="8"/>
  <c r="AC214" i="9"/>
  <c r="AC157" i="9"/>
  <c r="AC137" i="9"/>
  <c r="AC21" i="9"/>
  <c r="AC243" i="8"/>
  <c r="AC139" i="9"/>
  <c r="AC92" i="8"/>
  <c r="AC165" i="9"/>
  <c r="AC196" i="9"/>
  <c r="AC75" i="8"/>
  <c r="AC229" i="8"/>
  <c r="AC2" i="8"/>
  <c r="AC16" i="9"/>
  <c r="AC139" i="8"/>
  <c r="AC106" i="8"/>
  <c r="AC70" i="9"/>
  <c r="AC115" i="9"/>
  <c r="AC63" i="9"/>
  <c r="AC188" i="8"/>
  <c r="AC125" i="9"/>
  <c r="AC253" i="8"/>
  <c r="AC178" i="9"/>
  <c r="AC198" i="9"/>
  <c r="AC87" i="8"/>
  <c r="AC162" i="8"/>
  <c r="AC9" i="9"/>
  <c r="AC36" i="9"/>
  <c r="AC41" i="9"/>
  <c r="AC258" i="8"/>
  <c r="AC218" i="8"/>
  <c r="AC151" i="9"/>
  <c r="AC129" i="8"/>
  <c r="AC278" i="8"/>
  <c r="AC77" i="8"/>
  <c r="AC187" i="8"/>
  <c r="AC6" i="9"/>
  <c r="AC214" i="8"/>
  <c r="AC38" i="8"/>
  <c r="AC202" i="8"/>
  <c r="AC180" i="8"/>
  <c r="AC270" i="8"/>
  <c r="AC254" i="8"/>
  <c r="AC151" i="8"/>
  <c r="AC84" i="9"/>
  <c r="AC58" i="8"/>
  <c r="AC2" i="9"/>
  <c r="AC148" i="8"/>
  <c r="AC275" i="8"/>
  <c r="AC185" i="8"/>
  <c r="AC227" i="8"/>
  <c r="AC90" i="9"/>
  <c r="AC122" i="9"/>
  <c r="AC37" i="8"/>
  <c r="AC300" i="8"/>
  <c r="AD300" i="8" s="1"/>
  <c r="AC60" i="8"/>
  <c r="AC159" i="8"/>
  <c r="AC165" i="8"/>
  <c r="AC86" i="9"/>
  <c r="AC181" i="9"/>
  <c r="AC15" i="9"/>
  <c r="AC21" i="8"/>
  <c r="AC210" i="8"/>
  <c r="AC173" i="9"/>
  <c r="AC109" i="8"/>
  <c r="AC155" i="9"/>
  <c r="AC62" i="9"/>
  <c r="AC212" i="8"/>
  <c r="AC28" i="9"/>
  <c r="AC95" i="9"/>
  <c r="AC110" i="9"/>
  <c r="AC58" i="9"/>
  <c r="AC269" i="8"/>
  <c r="AC287" i="8"/>
  <c r="D56" i="7"/>
  <c r="F56" i="7"/>
  <c r="AD292" i="8" l="1"/>
  <c r="AD299" i="9"/>
  <c r="AD54" i="8"/>
  <c r="AD91" i="8"/>
  <c r="AD284" i="8"/>
  <c r="AD289" i="8"/>
  <c r="AD223" i="9"/>
  <c r="AD166" i="8"/>
  <c r="AD112" i="9"/>
  <c r="AD109" i="9"/>
  <c r="AD83" i="9"/>
  <c r="AD41" i="9"/>
  <c r="AD123" i="9"/>
  <c r="AD202" i="9"/>
  <c r="AD105" i="9"/>
  <c r="AD202" i="8"/>
  <c r="AD201" i="9"/>
  <c r="AD211" i="8"/>
  <c r="AD181" i="9"/>
  <c r="AD145" i="8"/>
  <c r="AD140" i="9"/>
  <c r="AD246" i="9"/>
  <c r="AD183" i="9"/>
  <c r="AD96" i="8"/>
  <c r="AD163" i="8"/>
  <c r="AD45" i="9"/>
  <c r="AD234" i="9"/>
  <c r="AD287" i="8"/>
  <c r="AD154" i="9"/>
  <c r="AD250" i="9"/>
  <c r="AD62" i="8"/>
  <c r="AD69" i="8"/>
  <c r="AD137" i="8"/>
  <c r="AD104" i="8"/>
  <c r="AD167" i="8"/>
  <c r="AD103" i="9"/>
  <c r="AD242" i="8"/>
  <c r="AD80" i="8"/>
  <c r="AD31" i="9"/>
  <c r="AD126" i="9"/>
  <c r="AD165" i="8"/>
  <c r="AD15" i="9"/>
  <c r="AD214" i="8"/>
  <c r="AD253" i="8"/>
  <c r="AD220" i="9"/>
  <c r="AD255" i="8"/>
  <c r="AD59" i="8"/>
  <c r="AD286" i="9"/>
  <c r="AD276" i="9"/>
  <c r="AD117" i="8"/>
  <c r="AD39" i="8"/>
  <c r="AD237" i="8"/>
  <c r="AD236" i="9"/>
  <c r="AD81" i="9"/>
  <c r="AD97" i="9"/>
  <c r="AD159" i="9"/>
  <c r="AD166" i="9"/>
  <c r="AD208" i="9"/>
  <c r="AD29" i="8"/>
  <c r="AD183" i="8"/>
  <c r="AD216" i="9"/>
  <c r="AD271" i="9"/>
  <c r="AD34" i="8"/>
  <c r="AD39" i="9"/>
  <c r="AD182" i="9"/>
  <c r="AD281" i="8"/>
  <c r="AD31" i="8"/>
  <c r="AD254" i="9"/>
  <c r="AD195" i="8"/>
  <c r="AD75" i="8"/>
  <c r="AD121" i="8"/>
  <c r="AD69" i="9"/>
  <c r="AD242" i="9"/>
  <c r="AD200" i="9"/>
  <c r="AD169" i="8"/>
  <c r="AD157" i="8"/>
  <c r="AD220" i="8"/>
  <c r="AD149" i="9"/>
  <c r="AD165" i="9"/>
  <c r="AD132" i="9"/>
  <c r="AD215" i="9"/>
  <c r="AD288" i="9"/>
  <c r="AD206" i="8"/>
  <c r="AD180" i="9"/>
  <c r="AD294" i="9"/>
  <c r="AD62" i="9"/>
  <c r="AD226" i="8"/>
  <c r="AD221" i="8"/>
  <c r="AD232" i="8"/>
  <c r="AD48" i="8"/>
  <c r="AD102" i="8"/>
  <c r="AD278" i="8"/>
  <c r="AD106" i="9"/>
  <c r="AD92" i="9"/>
  <c r="AD2" i="9"/>
  <c r="AD139" i="8"/>
  <c r="AD92" i="8"/>
  <c r="AD227" i="9"/>
  <c r="AD27" i="8"/>
  <c r="AD132" i="8"/>
  <c r="AD169" i="9"/>
  <c r="AD94" i="9"/>
  <c r="AD188" i="8"/>
  <c r="AD54" i="9"/>
  <c r="AD52" i="9"/>
  <c r="AD128" i="8"/>
  <c r="AD113" i="8"/>
  <c r="AD267" i="9"/>
  <c r="AD190" i="8"/>
  <c r="AD257" i="9"/>
  <c r="AD258" i="9"/>
  <c r="AD203" i="9"/>
  <c r="AD37" i="8"/>
  <c r="AD63" i="9"/>
  <c r="AD285" i="9"/>
  <c r="AD276" i="8"/>
  <c r="AD119" i="9"/>
  <c r="AD217" i="8"/>
  <c r="AD49" i="8"/>
  <c r="AD70" i="8"/>
  <c r="AD245" i="9"/>
  <c r="AD289" i="9"/>
  <c r="AD111" i="9"/>
  <c r="AD8" i="9"/>
  <c r="AD175" i="9"/>
  <c r="AD80" i="9"/>
  <c r="AD266" i="8"/>
  <c r="AD184" i="9"/>
  <c r="AD282" i="9"/>
  <c r="AD178" i="8"/>
  <c r="AD157" i="9"/>
  <c r="AD53" i="9"/>
  <c r="AD187" i="8"/>
  <c r="AD77" i="9"/>
  <c r="AD204" i="9"/>
  <c r="AD17" i="8"/>
  <c r="AD124" i="8"/>
  <c r="AD73" i="8"/>
  <c r="AD98" i="8"/>
  <c r="AD108" i="8"/>
  <c r="AD28" i="9"/>
  <c r="AD210" i="8"/>
  <c r="AD60" i="8"/>
  <c r="AD275" i="8"/>
  <c r="AD180" i="8"/>
  <c r="AD294" i="8"/>
  <c r="AD218" i="8"/>
  <c r="AD198" i="9"/>
  <c r="AD288" i="8"/>
  <c r="AD185" i="9"/>
  <c r="AD229" i="8"/>
  <c r="AD196" i="9"/>
  <c r="AD299" i="8"/>
  <c r="AD225" i="9"/>
  <c r="AD179" i="8"/>
  <c r="AD246" i="8"/>
  <c r="AD65" i="9"/>
  <c r="AD291" i="8"/>
  <c r="AD296" i="8"/>
  <c r="AD142" i="8"/>
  <c r="AD187" i="9"/>
  <c r="AD264" i="8"/>
  <c r="AD274" i="9"/>
  <c r="AD127" i="9"/>
  <c r="AD33" i="9"/>
  <c r="AD269" i="9"/>
  <c r="AD149" i="8"/>
  <c r="AD101" i="9"/>
  <c r="AD229" i="9"/>
  <c r="AD26" i="9"/>
  <c r="AD47" i="9"/>
  <c r="AD65" i="8"/>
  <c r="AD192" i="8"/>
  <c r="AD97" i="8"/>
  <c r="AD66" i="9"/>
  <c r="AD46" i="8"/>
  <c r="AD56" i="9"/>
  <c r="AD261" i="9"/>
  <c r="AD249" i="8"/>
  <c r="AD32" i="9"/>
  <c r="AD10" i="9"/>
  <c r="AD298" i="9"/>
  <c r="AD262" i="8"/>
  <c r="AD161" i="9"/>
  <c r="AD63" i="8"/>
  <c r="AD126" i="8"/>
  <c r="AD12" i="9"/>
  <c r="AD164" i="8"/>
  <c r="AD230" i="9"/>
  <c r="AD172" i="8"/>
  <c r="AD72" i="9"/>
  <c r="AD219" i="9"/>
  <c r="AD197" i="9"/>
  <c r="AD230" i="8"/>
  <c r="AD53" i="8"/>
  <c r="AD100" i="9"/>
  <c r="AD25" i="9"/>
  <c r="AD145" i="9"/>
  <c r="AD198" i="8"/>
  <c r="AD184" i="8"/>
  <c r="AD164" i="9"/>
  <c r="AD90" i="8"/>
  <c r="AD218" i="9"/>
  <c r="AD55" i="9"/>
  <c r="AD12" i="8"/>
  <c r="AD38" i="9"/>
  <c r="AD5" i="8"/>
  <c r="AD37" i="9"/>
  <c r="AD59" i="9"/>
  <c r="AD112" i="8"/>
  <c r="AD161" i="8"/>
  <c r="AD38" i="8"/>
  <c r="AD86" i="8"/>
  <c r="AD20" i="8"/>
  <c r="AD128" i="9"/>
  <c r="AD10" i="8"/>
  <c r="AD277" i="8"/>
  <c r="AD33" i="8"/>
  <c r="AD108" i="9"/>
  <c r="AD243" i="9"/>
  <c r="AD158" i="9"/>
  <c r="AD56" i="8"/>
  <c r="AD14" i="9"/>
  <c r="AD134" i="8"/>
  <c r="AD269" i="8"/>
  <c r="AD122" i="9"/>
  <c r="AD125" i="9"/>
  <c r="AD139" i="9"/>
  <c r="AD76" i="8"/>
  <c r="AD68" i="9"/>
  <c r="AD259" i="9"/>
  <c r="AD85" i="9"/>
  <c r="AD173" i="9"/>
  <c r="AD254" i="8"/>
  <c r="AD162" i="8"/>
  <c r="AD16" i="9"/>
  <c r="AD136" i="9"/>
  <c r="AD144" i="9"/>
  <c r="AD261" i="8"/>
  <c r="AD205" i="9"/>
  <c r="AD153" i="8"/>
  <c r="AD22" i="8"/>
  <c r="AD71" i="8"/>
  <c r="AD273" i="8"/>
  <c r="AD23" i="8"/>
  <c r="AD221" i="9"/>
  <c r="AD78" i="9"/>
  <c r="AD143" i="9"/>
  <c r="AD207" i="8"/>
  <c r="AD91" i="9"/>
  <c r="AD285" i="8"/>
  <c r="AD212" i="8"/>
  <c r="AD21" i="8"/>
  <c r="AD148" i="8"/>
  <c r="AD40" i="8"/>
  <c r="AD77" i="8"/>
  <c r="AD258" i="8"/>
  <c r="AD178" i="9"/>
  <c r="AD106" i="8"/>
  <c r="AD141" i="8"/>
  <c r="AD238" i="9"/>
  <c r="AD158" i="8"/>
  <c r="AD259" i="8"/>
  <c r="AD3" i="9"/>
  <c r="AD76" i="9"/>
  <c r="AD99" i="8"/>
  <c r="AD14" i="8"/>
  <c r="AD30" i="9"/>
  <c r="AD282" i="8"/>
  <c r="AD43" i="8"/>
  <c r="AD200" i="8"/>
  <c r="AD79" i="9"/>
  <c r="AD105" i="8"/>
  <c r="AD119" i="8"/>
  <c r="AD209" i="8"/>
  <c r="AD189" i="9"/>
  <c r="AD43" i="9"/>
  <c r="AD286" i="8"/>
  <c r="AD88" i="8"/>
  <c r="AD167" i="9"/>
  <c r="AD297" i="9"/>
  <c r="AD163" i="9"/>
  <c r="AD168" i="8"/>
  <c r="AD191" i="8"/>
  <c r="AD186" i="9"/>
  <c r="AD257" i="8"/>
  <c r="AD138" i="9"/>
  <c r="AD255" i="9"/>
  <c r="AD85" i="8"/>
  <c r="AD127" i="8"/>
  <c r="AD228" i="8"/>
  <c r="AD265" i="9"/>
  <c r="AD222" i="8"/>
  <c r="AD253" i="9"/>
  <c r="AD251" i="8"/>
  <c r="AD73" i="9"/>
  <c r="AD272" i="9"/>
  <c r="AD113" i="9"/>
  <c r="AD116" i="9"/>
  <c r="AD89" i="9"/>
  <c r="AD136" i="8"/>
  <c r="AD7" i="8"/>
  <c r="AD134" i="9"/>
  <c r="AD210" i="9"/>
  <c r="AD175" i="8"/>
  <c r="AD13" i="9"/>
  <c r="AD252" i="9"/>
  <c r="AD174" i="8"/>
  <c r="AD283" i="8"/>
  <c r="AD24" i="9"/>
  <c r="AD61" i="9"/>
  <c r="AD206" i="9"/>
  <c r="AD123" i="8"/>
  <c r="AD131" i="9"/>
  <c r="AD156" i="9"/>
  <c r="AD211" i="9"/>
  <c r="AD118" i="8"/>
  <c r="AD240" i="8"/>
  <c r="AD140" i="8"/>
  <c r="AD19" i="9"/>
  <c r="AD155" i="9"/>
  <c r="AD58" i="8"/>
  <c r="AD177" i="9"/>
  <c r="AD6" i="8"/>
  <c r="AD240" i="9"/>
  <c r="AD236" i="8"/>
  <c r="AD110" i="8"/>
  <c r="AD279" i="8"/>
  <c r="AD32" i="8"/>
  <c r="AD293" i="9"/>
  <c r="AD234" i="8"/>
  <c r="AD89" i="8"/>
  <c r="AD23" i="9"/>
  <c r="AD130" i="8"/>
  <c r="AD9" i="8"/>
  <c r="AD245" i="8"/>
  <c r="AD118" i="9"/>
  <c r="AD170" i="9"/>
  <c r="AD34" i="9"/>
  <c r="AD86" i="9"/>
  <c r="AD21" i="9"/>
  <c r="AD153" i="9"/>
  <c r="AD135" i="9"/>
  <c r="AD216" i="8"/>
  <c r="AD114" i="9"/>
  <c r="AD107" i="9"/>
  <c r="AD122" i="8"/>
  <c r="AD83" i="8"/>
  <c r="AD224" i="9"/>
  <c r="AD296" i="9"/>
  <c r="AD248" i="8"/>
  <c r="AD204" i="8"/>
  <c r="AD172" i="9"/>
  <c r="AD176" i="8"/>
  <c r="AD99" i="9"/>
  <c r="AD71" i="9"/>
  <c r="AD40" i="9"/>
  <c r="AD45" i="8"/>
  <c r="AD263" i="8"/>
  <c r="AD194" i="8"/>
  <c r="AD94" i="8"/>
  <c r="AD17" i="9"/>
  <c r="AD197" i="8"/>
  <c r="AD292" i="9"/>
  <c r="AD60" i="9"/>
  <c r="AD72" i="8"/>
  <c r="AD15" i="8"/>
  <c r="AD29" i="9"/>
  <c r="AD67" i="8"/>
  <c r="AD84" i="8"/>
  <c r="AD87" i="9"/>
  <c r="AD235" i="8"/>
  <c r="AD176" i="9"/>
  <c r="AD239" i="9"/>
  <c r="AD52" i="8"/>
  <c r="AD120" i="9"/>
  <c r="AD293" i="8"/>
  <c r="AD74" i="8"/>
  <c r="AD25" i="8"/>
  <c r="AD135" i="8"/>
  <c r="AD205" i="8"/>
  <c r="AD241" i="9"/>
  <c r="AD231" i="8"/>
  <c r="AD160" i="8"/>
  <c r="AD58" i="9"/>
  <c r="AD4" i="9"/>
  <c r="AD120" i="8"/>
  <c r="AD90" i="9"/>
  <c r="AD151" i="8"/>
  <c r="AD6" i="9"/>
  <c r="AD129" i="8"/>
  <c r="AD9" i="9"/>
  <c r="AD222" i="9"/>
  <c r="AD115" i="9"/>
  <c r="AD102" i="9"/>
  <c r="AD208" i="8"/>
  <c r="AD121" i="9"/>
  <c r="AD215" i="8"/>
  <c r="AD174" i="9"/>
  <c r="AD24" i="8"/>
  <c r="AD144" i="8"/>
  <c r="AD214" i="9"/>
  <c r="AD173" i="8"/>
  <c r="AD263" i="9"/>
  <c r="AD241" i="8"/>
  <c r="AD30" i="8"/>
  <c r="AD298" i="8"/>
  <c r="AD26" i="8"/>
  <c r="AD233" i="9"/>
  <c r="AD141" i="9"/>
  <c r="AD171" i="9"/>
  <c r="AD131" i="8"/>
  <c r="AD146" i="9"/>
  <c r="AD124" i="9"/>
  <c r="AD278" i="9"/>
  <c r="AD47" i="8"/>
  <c r="AD207" i="9"/>
  <c r="AD93" i="8"/>
  <c r="AD50" i="8"/>
  <c r="AD265" i="8"/>
  <c r="AD268" i="9"/>
  <c r="AD18" i="8"/>
  <c r="AD251" i="9"/>
  <c r="AD117" i="9"/>
  <c r="AD42" i="8"/>
  <c r="AD147" i="8"/>
  <c r="AD271" i="8"/>
  <c r="AD57" i="8"/>
  <c r="AD270" i="9"/>
  <c r="AD64" i="9"/>
  <c r="AD277" i="9"/>
  <c r="AD252" i="8"/>
  <c r="AD20" i="9"/>
  <c r="AD223" i="8"/>
  <c r="AD133" i="9"/>
  <c r="AD67" i="9"/>
  <c r="AD138" i="8"/>
  <c r="AD78" i="8"/>
  <c r="AD186" i="8"/>
  <c r="AD297" i="8"/>
  <c r="AD201" i="8"/>
  <c r="AD256" i="8"/>
  <c r="AD256" i="9"/>
  <c r="AD273" i="9"/>
  <c r="AD228" i="9"/>
  <c r="AD4" i="8"/>
  <c r="AD226" i="9"/>
  <c r="AD27" i="9"/>
  <c r="AD203" i="8"/>
  <c r="AD213" i="8"/>
  <c r="AD272" i="8"/>
  <c r="AD244" i="8"/>
  <c r="AD129" i="9"/>
  <c r="AD284" i="9"/>
  <c r="AD268" i="8"/>
  <c r="AD162" i="9"/>
  <c r="AD44" i="9"/>
  <c r="AD213" i="9"/>
  <c r="AD196" i="8"/>
  <c r="AD36" i="9"/>
  <c r="AD51" i="8"/>
  <c r="AD260" i="9"/>
  <c r="AD130" i="9"/>
  <c r="AD16" i="8"/>
  <c r="AD133" i="8"/>
  <c r="AD36" i="8"/>
  <c r="AD41" i="8"/>
  <c r="AD188" i="9"/>
  <c r="AD51" i="9"/>
  <c r="AD171" i="8"/>
  <c r="AD115" i="8"/>
  <c r="AD109" i="8"/>
  <c r="AD84" i="9"/>
  <c r="AD150" i="9"/>
  <c r="AD13" i="8"/>
  <c r="AD137" i="9"/>
  <c r="AD219" i="8"/>
  <c r="AD248" i="9"/>
  <c r="AD96" i="9"/>
  <c r="AD110" i="9"/>
  <c r="AD227" i="8"/>
  <c r="AD151" i="9"/>
  <c r="AD279" i="9"/>
  <c r="AD243" i="8"/>
  <c r="AD35" i="8"/>
  <c r="AD212" i="9"/>
  <c r="AD267" i="8"/>
  <c r="AD152" i="9"/>
  <c r="AD125" i="8"/>
  <c r="AD22" i="9"/>
  <c r="AD42" i="9"/>
  <c r="AD64" i="8"/>
  <c r="AD79" i="8"/>
  <c r="AD287" i="9"/>
  <c r="AD66" i="8"/>
  <c r="AD88" i="9"/>
  <c r="AD283" i="9"/>
  <c r="AD50" i="9"/>
  <c r="AD100" i="8"/>
  <c r="AD281" i="9"/>
  <c r="AD156" i="8"/>
  <c r="AD46" i="9"/>
  <c r="AD225" i="8"/>
  <c r="AD116" i="8"/>
  <c r="AD189" i="8"/>
  <c r="AD168" i="9"/>
  <c r="AD146" i="8"/>
  <c r="AD48" i="9"/>
  <c r="AD179" i="9"/>
  <c r="AD107" i="8"/>
  <c r="AD75" i="9"/>
  <c r="AD7" i="9"/>
  <c r="AD3" i="8"/>
  <c r="AD275" i="9"/>
  <c r="AD81" i="8"/>
  <c r="AD18" i="9"/>
  <c r="AD143" i="8"/>
  <c r="AD154" i="8"/>
  <c r="AD260" i="8"/>
  <c r="AD199" i="8"/>
  <c r="AD190" i="9"/>
  <c r="AD95" i="9"/>
  <c r="AD193" i="9"/>
  <c r="AD159" i="8"/>
  <c r="AD185" i="8"/>
  <c r="AD270" i="8"/>
  <c r="AD181" i="8"/>
  <c r="AD150" i="8"/>
  <c r="AD87" i="8"/>
  <c r="AD152" i="8"/>
  <c r="AD70" i="9"/>
  <c r="AD2" i="8"/>
  <c r="AD19" i="8"/>
  <c r="AD11" i="8"/>
  <c r="AD231" i="9"/>
  <c r="AD68" i="8"/>
  <c r="AD264" i="9"/>
  <c r="AD250" i="8"/>
  <c r="AD290" i="9"/>
  <c r="AD280" i="8"/>
  <c r="AD98" i="9"/>
  <c r="AD232" i="9"/>
  <c r="AD290" i="8"/>
  <c r="AD103" i="8"/>
  <c r="AD61" i="8"/>
  <c r="AD262" i="9"/>
  <c r="AD217" i="9"/>
  <c r="AD28" i="8"/>
  <c r="AD199" i="9"/>
  <c r="AD8" i="8"/>
  <c r="AD238" i="8"/>
  <c r="AD224" i="8"/>
  <c r="AD49" i="9"/>
  <c r="AD291" i="9"/>
  <c r="AD11" i="9"/>
  <c r="AD5" i="9"/>
  <c r="AD147" i="9"/>
  <c r="AD192" i="9"/>
  <c r="AD142" i="9"/>
  <c r="AD239" i="8"/>
  <c r="AD160" i="9"/>
  <c r="AD82" i="9"/>
  <c r="AD191" i="9"/>
  <c r="AD148" i="9"/>
  <c r="AD57" i="9"/>
  <c r="AD104" i="9"/>
  <c r="AD295" i="9"/>
  <c r="AD195" i="9"/>
  <c r="AD193" i="8"/>
  <c r="AD55" i="8"/>
  <c r="AD35" i="9"/>
  <c r="AD274" i="8"/>
  <c r="AD111" i="8"/>
  <c r="AD177" i="8"/>
  <c r="AD82" i="8"/>
  <c r="AD170" i="8"/>
  <c r="AD237" i="9"/>
  <c r="AD209" i="9"/>
  <c r="AD182" i="8"/>
  <c r="AD114" i="8"/>
  <c r="AD266" i="9"/>
  <c r="AD233" i="8"/>
  <c r="AD44" i="8"/>
  <c r="AD93" i="9"/>
  <c r="AD194" i="9"/>
  <c r="AD280" i="9"/>
  <c r="AD247" i="9"/>
  <c r="AD295" i="8"/>
  <c r="AD95" i="8"/>
  <c r="AD247" i="8"/>
  <c r="AD101" i="8"/>
  <c r="AD235" i="9"/>
  <c r="AD249" i="9"/>
  <c r="AD155" i="8"/>
  <c r="AD244" i="9"/>
  <c r="AD74" i="9"/>
  <c r="G56" i="7"/>
  <c r="H56" i="7"/>
  <c r="I56" i="7"/>
  <c r="J56" i="7"/>
  <c r="K56" i="7"/>
  <c r="L56" i="7"/>
  <c r="M56" i="7"/>
  <c r="N56" i="7"/>
  <c r="O56" i="7"/>
  <c r="P56" i="7"/>
  <c r="Q56" i="7"/>
  <c r="R56" i="7"/>
  <c r="S56" i="7"/>
  <c r="T56" i="7"/>
  <c r="U56" i="7"/>
  <c r="V56" i="7"/>
  <c r="W56" i="7"/>
  <c r="X56" i="7"/>
  <c r="Y56" i="7"/>
  <c r="Z56" i="7"/>
  <c r="B57" i="7"/>
  <c r="D57" i="7"/>
  <c r="F57" i="7"/>
  <c r="G57" i="7"/>
  <c r="H57" i="7"/>
  <c r="I57" i="7"/>
  <c r="J57" i="7"/>
  <c r="K57" i="7"/>
  <c r="L57" i="7"/>
  <c r="M57" i="7"/>
  <c r="N57" i="7"/>
  <c r="O57" i="7"/>
  <c r="P57" i="7"/>
  <c r="Q57" i="7"/>
  <c r="R57" i="7"/>
  <c r="S57" i="7"/>
  <c r="T57" i="7"/>
  <c r="U57" i="7"/>
  <c r="V57" i="7"/>
  <c r="W57" i="7"/>
  <c r="X57" i="7"/>
  <c r="Y57" i="7"/>
  <c r="Z57" i="7"/>
  <c r="D58" i="7"/>
  <c r="B58" i="7"/>
  <c r="F58" i="7"/>
  <c r="G58" i="7"/>
  <c r="H58" i="7"/>
  <c r="I58" i="7"/>
  <c r="J58" i="7"/>
  <c r="K58" i="7"/>
  <c r="L58" i="7"/>
  <c r="M58" i="7"/>
  <c r="N58" i="7"/>
  <c r="O58" i="7"/>
  <c r="P58" i="7"/>
  <c r="Q58" i="7"/>
  <c r="R58" i="7"/>
  <c r="S58" i="7"/>
  <c r="T58" i="7"/>
  <c r="U58" i="7"/>
  <c r="V58" i="7"/>
  <c r="W58" i="7"/>
  <c r="X58" i="7"/>
  <c r="Y58" i="7"/>
  <c r="Z58" i="7"/>
  <c r="D59" i="7"/>
  <c r="B59" i="7"/>
  <c r="F59" i="7"/>
  <c r="G59" i="7"/>
  <c r="H59" i="7"/>
  <c r="I59" i="7"/>
  <c r="J59" i="7"/>
  <c r="K59" i="7"/>
  <c r="L59" i="7"/>
  <c r="M59" i="7"/>
  <c r="N59" i="7"/>
  <c r="O59" i="7"/>
  <c r="P59" i="7"/>
  <c r="Q59" i="7"/>
  <c r="R59" i="7"/>
  <c r="S59" i="7"/>
  <c r="T59" i="7"/>
  <c r="U59" i="7"/>
  <c r="V59" i="7"/>
  <c r="W59" i="7"/>
  <c r="X59" i="7"/>
  <c r="Y59" i="7"/>
  <c r="Z59" i="7"/>
  <c r="D60" i="7"/>
  <c r="B60" i="7"/>
  <c r="F60" i="7"/>
  <c r="G60" i="7"/>
  <c r="H60" i="7"/>
  <c r="I60" i="7"/>
  <c r="J60" i="7"/>
  <c r="K60" i="7"/>
  <c r="L60" i="7"/>
  <c r="M60" i="7"/>
  <c r="N60" i="7"/>
  <c r="O60" i="7"/>
  <c r="P60" i="7"/>
  <c r="Q60" i="7"/>
  <c r="R60" i="7"/>
  <c r="S60" i="7"/>
  <c r="T60" i="7"/>
  <c r="U60" i="7"/>
  <c r="V60" i="7"/>
  <c r="W60" i="7"/>
  <c r="X60" i="7"/>
  <c r="Y60" i="7"/>
  <c r="Z60" i="7"/>
  <c r="D61" i="7"/>
  <c r="B61" i="7"/>
  <c r="F61" i="7"/>
  <c r="G61" i="7"/>
  <c r="H61" i="7"/>
  <c r="I61" i="7"/>
  <c r="J61" i="7"/>
  <c r="K61" i="7"/>
  <c r="L61" i="7"/>
  <c r="M61" i="7"/>
  <c r="N61" i="7"/>
  <c r="O61" i="7"/>
  <c r="P61" i="7"/>
  <c r="Q61" i="7"/>
  <c r="R61" i="7"/>
  <c r="S61" i="7"/>
  <c r="T61" i="7"/>
  <c r="U61" i="7"/>
  <c r="V61" i="7"/>
  <c r="W61" i="7"/>
  <c r="X61" i="7"/>
  <c r="Y61" i="7"/>
  <c r="Z61" i="7"/>
  <c r="D62" i="7"/>
  <c r="B62" i="7"/>
  <c r="F62" i="7"/>
  <c r="G62" i="7"/>
  <c r="H62" i="7"/>
  <c r="I62" i="7"/>
  <c r="J62" i="7"/>
  <c r="K62" i="7"/>
  <c r="L62" i="7"/>
  <c r="M62" i="7"/>
  <c r="N62" i="7"/>
  <c r="O62" i="7"/>
  <c r="P62" i="7"/>
  <c r="Q62" i="7"/>
  <c r="R62" i="7"/>
  <c r="S62" i="7"/>
  <c r="T62" i="7"/>
  <c r="U62" i="7"/>
  <c r="V62" i="7"/>
  <c r="W62" i="7"/>
  <c r="X62" i="7"/>
  <c r="Y62" i="7"/>
  <c r="Z62" i="7"/>
  <c r="D63" i="7"/>
  <c r="B63" i="7"/>
  <c r="F63" i="7"/>
  <c r="G63" i="7"/>
  <c r="H63" i="7"/>
  <c r="I63" i="7"/>
  <c r="J63" i="7"/>
  <c r="K63" i="7"/>
  <c r="L63" i="7"/>
  <c r="M63" i="7"/>
  <c r="N63" i="7"/>
  <c r="O63" i="7"/>
  <c r="P63" i="7"/>
  <c r="Q63" i="7"/>
  <c r="R63" i="7"/>
  <c r="S63" i="7"/>
  <c r="T63" i="7"/>
  <c r="U63" i="7"/>
  <c r="V63" i="7"/>
  <c r="W63" i="7"/>
  <c r="X63" i="7"/>
  <c r="Y63" i="7"/>
  <c r="Z63" i="7"/>
  <c r="B68" i="7"/>
  <c r="B76" i="7"/>
  <c r="B84" i="7"/>
  <c r="B69" i="7"/>
  <c r="B77" i="7"/>
  <c r="B64" i="7"/>
  <c r="B72" i="7"/>
  <c r="B65" i="7"/>
  <c r="B73" i="7"/>
  <c r="B70" i="7"/>
  <c r="B78" i="7"/>
  <c r="B86" i="7"/>
  <c r="B87" i="7"/>
  <c r="B66" i="7"/>
  <c r="B82" i="7"/>
  <c r="B67" i="7"/>
  <c r="B75" i="7"/>
  <c r="B83" i="7"/>
  <c r="B85" i="7"/>
  <c r="B71" i="7"/>
  <c r="B79" i="7"/>
  <c r="B80" i="7"/>
  <c r="B81" i="7"/>
  <c r="B74" i="7"/>
  <c r="D2" i="2"/>
  <c r="D3" i="2"/>
  <c r="U3" i="2"/>
  <c r="V3" i="2"/>
  <c r="Z3" i="2"/>
  <c r="E4" i="2"/>
  <c r="Z4" i="2"/>
  <c r="F5" i="2"/>
  <c r="Z5" i="2"/>
  <c r="G6" i="2"/>
  <c r="Z6" i="2"/>
  <c r="H7" i="2"/>
  <c r="Z7" i="2"/>
  <c r="I8" i="2"/>
  <c r="Z8" i="2"/>
  <c r="Z9" i="2"/>
  <c r="Z10" i="2"/>
  <c r="Z11" i="2"/>
  <c r="H12" i="2"/>
  <c r="I12" i="2"/>
  <c r="J12" i="2"/>
  <c r="K12" i="2"/>
  <c r="L12" i="2"/>
  <c r="M12" i="2"/>
  <c r="N12" i="2"/>
  <c r="O12" i="2"/>
  <c r="P12" i="2"/>
  <c r="Q12" i="2"/>
  <c r="R12" i="2"/>
  <c r="S12" i="2"/>
  <c r="T12" i="2"/>
  <c r="Z12" i="2"/>
  <c r="Z13" i="2"/>
  <c r="H14" i="2"/>
  <c r="I14" i="2"/>
  <c r="J14" i="2"/>
  <c r="K14" i="2"/>
  <c r="L14" i="2"/>
  <c r="M14" i="2"/>
  <c r="N14" i="2"/>
  <c r="O14" i="2"/>
  <c r="P14" i="2"/>
  <c r="Q14" i="2"/>
  <c r="R14" i="2"/>
  <c r="S14" i="2"/>
  <c r="T14" i="2"/>
  <c r="V14" i="2"/>
  <c r="Z14" i="2"/>
  <c r="H15" i="2"/>
  <c r="I15" i="2"/>
  <c r="J15" i="2"/>
  <c r="K15" i="2"/>
  <c r="L15" i="2"/>
  <c r="M15" i="2"/>
  <c r="N15" i="2"/>
  <c r="O15" i="2"/>
  <c r="P15" i="2"/>
  <c r="Q15" i="2"/>
  <c r="R15" i="2"/>
  <c r="S15" i="2"/>
  <c r="T15" i="2"/>
  <c r="V15" i="2"/>
  <c r="Z15" i="2"/>
  <c r="H16" i="2"/>
  <c r="I16" i="2"/>
  <c r="J16" i="2"/>
  <c r="K16" i="2"/>
  <c r="L16" i="2"/>
  <c r="M16" i="2"/>
  <c r="N16" i="2"/>
  <c r="O16" i="2"/>
  <c r="P16" i="2"/>
  <c r="Q16" i="2"/>
  <c r="R16" i="2"/>
  <c r="S16" i="2"/>
  <c r="T16" i="2"/>
  <c r="V16" i="2"/>
  <c r="Z16" i="2"/>
  <c r="H17" i="2"/>
  <c r="I17" i="2"/>
  <c r="J17" i="2"/>
  <c r="K17" i="2"/>
  <c r="L17" i="2"/>
  <c r="M17" i="2"/>
  <c r="N17" i="2"/>
  <c r="O17" i="2"/>
  <c r="P17" i="2"/>
  <c r="Q17" i="2"/>
  <c r="R17" i="2"/>
  <c r="S17" i="2"/>
  <c r="T17" i="2"/>
  <c r="V17" i="2"/>
  <c r="Z17" i="2"/>
  <c r="H18" i="2"/>
  <c r="I18" i="2"/>
  <c r="J18" i="2"/>
  <c r="K18" i="2"/>
  <c r="L18" i="2"/>
  <c r="M18" i="2"/>
  <c r="N18" i="2"/>
  <c r="O18" i="2"/>
  <c r="P18" i="2"/>
  <c r="Q18" i="2"/>
  <c r="R18" i="2"/>
  <c r="S18" i="2"/>
  <c r="T18" i="2"/>
  <c r="V18" i="2"/>
  <c r="Z18" i="2"/>
  <c r="H19" i="2"/>
  <c r="I19" i="2"/>
  <c r="J19" i="2"/>
  <c r="K19" i="2"/>
  <c r="L19" i="2"/>
  <c r="M19" i="2"/>
  <c r="N19" i="2"/>
  <c r="O19" i="2"/>
  <c r="P19" i="2"/>
  <c r="Q19" i="2"/>
  <c r="R19" i="2"/>
  <c r="S19" i="2"/>
  <c r="T19" i="2"/>
  <c r="V19" i="2"/>
  <c r="Z19" i="2"/>
  <c r="H20" i="2"/>
  <c r="I20" i="2"/>
  <c r="J20" i="2"/>
  <c r="K20" i="2"/>
  <c r="L20" i="2"/>
  <c r="M20" i="2"/>
  <c r="N20" i="2"/>
  <c r="O20" i="2"/>
  <c r="P20" i="2"/>
  <c r="Q20" i="2"/>
  <c r="R20" i="2"/>
  <c r="S20" i="2"/>
  <c r="T20" i="2"/>
  <c r="V20" i="2"/>
  <c r="Z20" i="2"/>
  <c r="H21" i="2"/>
  <c r="I21" i="2"/>
  <c r="J21" i="2"/>
  <c r="K21" i="2"/>
  <c r="L21" i="2"/>
  <c r="M21" i="2"/>
  <c r="N21" i="2"/>
  <c r="O21" i="2"/>
  <c r="P21" i="2"/>
  <c r="Q21" i="2"/>
  <c r="R21" i="2"/>
  <c r="S21" i="2"/>
  <c r="T21" i="2"/>
  <c r="V21" i="2"/>
  <c r="Z21" i="2"/>
  <c r="H22" i="2"/>
  <c r="I22" i="2"/>
  <c r="J22" i="2"/>
  <c r="K22" i="2"/>
  <c r="L22" i="2"/>
  <c r="M22" i="2"/>
  <c r="N22" i="2"/>
  <c r="O22" i="2"/>
  <c r="P22" i="2"/>
  <c r="Q22" i="2"/>
  <c r="R22" i="2"/>
  <c r="S22" i="2"/>
  <c r="T22" i="2"/>
  <c r="V22" i="2"/>
  <c r="Z22" i="2"/>
  <c r="H23" i="2"/>
  <c r="I23" i="2"/>
  <c r="J23" i="2"/>
  <c r="K23" i="2"/>
  <c r="L23" i="2"/>
  <c r="M23" i="2"/>
  <c r="N23" i="2"/>
  <c r="O23" i="2"/>
  <c r="P23" i="2"/>
  <c r="Q23" i="2"/>
  <c r="R23" i="2"/>
  <c r="S23" i="2"/>
  <c r="T23" i="2"/>
  <c r="V23" i="2"/>
  <c r="Z23" i="2"/>
  <c r="H24" i="2"/>
  <c r="I24" i="2"/>
  <c r="J24" i="2"/>
  <c r="K24" i="2"/>
  <c r="L24" i="2"/>
  <c r="M24" i="2"/>
  <c r="N24" i="2"/>
  <c r="O24" i="2"/>
  <c r="P24" i="2"/>
  <c r="Q24" i="2"/>
  <c r="R24" i="2"/>
  <c r="S24" i="2"/>
  <c r="T24" i="2"/>
  <c r="V24" i="2"/>
  <c r="Z24" i="2"/>
  <c r="H25" i="2"/>
  <c r="I25" i="2"/>
  <c r="J25" i="2"/>
  <c r="K25" i="2"/>
  <c r="L25" i="2"/>
  <c r="M25" i="2"/>
  <c r="N25" i="2"/>
  <c r="O25" i="2"/>
  <c r="P25" i="2"/>
  <c r="Q25" i="2"/>
  <c r="R25" i="2"/>
  <c r="S25" i="2"/>
  <c r="T25" i="2"/>
  <c r="V25" i="2"/>
  <c r="Z25" i="2"/>
  <c r="H26" i="2"/>
  <c r="I26" i="2"/>
  <c r="J26" i="2"/>
  <c r="K26" i="2"/>
  <c r="L26" i="2"/>
  <c r="M26" i="2"/>
  <c r="N26" i="2"/>
  <c r="O26" i="2"/>
  <c r="P26" i="2"/>
  <c r="Q26" i="2"/>
  <c r="R26" i="2"/>
  <c r="S26" i="2"/>
  <c r="T26" i="2"/>
  <c r="V26" i="2"/>
  <c r="Z26" i="2"/>
  <c r="H27" i="2"/>
  <c r="I27" i="2"/>
  <c r="J27" i="2"/>
  <c r="K27" i="2"/>
  <c r="L27" i="2"/>
  <c r="M27" i="2"/>
  <c r="N27" i="2"/>
  <c r="O27" i="2"/>
  <c r="P27" i="2"/>
  <c r="Q27" i="2"/>
  <c r="R27" i="2"/>
  <c r="S27" i="2"/>
  <c r="T27" i="2"/>
  <c r="V27" i="2"/>
  <c r="Z27" i="2"/>
  <c r="H28" i="2"/>
  <c r="I28" i="2"/>
  <c r="J28" i="2"/>
  <c r="K28" i="2"/>
  <c r="L28" i="2"/>
  <c r="M28" i="2"/>
  <c r="N28" i="2"/>
  <c r="O28" i="2"/>
  <c r="P28" i="2"/>
  <c r="Q28" i="2"/>
  <c r="R28" i="2"/>
  <c r="S28" i="2"/>
  <c r="T28" i="2"/>
  <c r="V28" i="2"/>
  <c r="Z28" i="2"/>
  <c r="H29" i="2"/>
  <c r="I29" i="2"/>
  <c r="J29" i="2"/>
  <c r="K29" i="2"/>
  <c r="L29" i="2"/>
  <c r="M29" i="2"/>
  <c r="N29" i="2"/>
  <c r="O29" i="2"/>
  <c r="P29" i="2"/>
  <c r="Q29" i="2"/>
  <c r="R29" i="2"/>
  <c r="S29" i="2"/>
  <c r="T29" i="2"/>
  <c r="V29" i="2"/>
  <c r="Z29" i="2"/>
  <c r="H30" i="2"/>
  <c r="I30" i="2"/>
  <c r="J30" i="2"/>
  <c r="K30" i="2"/>
  <c r="L30" i="2"/>
  <c r="M30" i="2"/>
  <c r="N30" i="2"/>
  <c r="O30" i="2"/>
  <c r="P30" i="2"/>
  <c r="Q30" i="2"/>
  <c r="R30" i="2"/>
  <c r="S30" i="2"/>
  <c r="T30" i="2"/>
  <c r="V30" i="2"/>
  <c r="Z30" i="2"/>
  <c r="H31" i="2"/>
  <c r="I31" i="2"/>
  <c r="J31" i="2"/>
  <c r="K31" i="2"/>
  <c r="L31" i="2"/>
  <c r="M31" i="2"/>
  <c r="N31" i="2"/>
  <c r="O31" i="2"/>
  <c r="P31" i="2"/>
  <c r="Q31" i="2"/>
  <c r="R31" i="2"/>
  <c r="S31" i="2"/>
  <c r="T31" i="2"/>
  <c r="V31" i="2"/>
  <c r="Z31" i="2"/>
  <c r="H32" i="2"/>
  <c r="I32" i="2"/>
  <c r="J32" i="2"/>
  <c r="K32" i="2"/>
  <c r="L32" i="2"/>
  <c r="M32" i="2"/>
  <c r="N32" i="2"/>
  <c r="O32" i="2"/>
  <c r="P32" i="2"/>
  <c r="Q32" i="2"/>
  <c r="R32" i="2"/>
  <c r="S32" i="2"/>
  <c r="T32" i="2"/>
  <c r="V32" i="2"/>
  <c r="Z32" i="2"/>
  <c r="H33" i="2"/>
  <c r="I33" i="2"/>
  <c r="J33" i="2"/>
  <c r="K33" i="2"/>
  <c r="L33" i="2"/>
  <c r="M33" i="2"/>
  <c r="N33" i="2"/>
  <c r="O33" i="2"/>
  <c r="P33" i="2"/>
  <c r="Q33" i="2"/>
  <c r="R33" i="2"/>
  <c r="S33" i="2"/>
  <c r="T33" i="2"/>
  <c r="V33" i="2"/>
  <c r="Z33" i="2"/>
  <c r="H34" i="2"/>
  <c r="I34" i="2"/>
  <c r="J34" i="2"/>
  <c r="K34" i="2"/>
  <c r="L34" i="2"/>
  <c r="M34" i="2"/>
  <c r="N34" i="2"/>
  <c r="O34" i="2"/>
  <c r="P34" i="2"/>
  <c r="Q34" i="2"/>
  <c r="R34" i="2"/>
  <c r="S34" i="2"/>
  <c r="T34" i="2"/>
  <c r="V34" i="2"/>
  <c r="Z34" i="2"/>
  <c r="H35" i="2"/>
  <c r="I35" i="2"/>
  <c r="J35" i="2"/>
  <c r="K35" i="2"/>
  <c r="L35" i="2"/>
  <c r="M35" i="2"/>
  <c r="N35" i="2"/>
  <c r="O35" i="2"/>
  <c r="P35" i="2"/>
  <c r="Q35" i="2"/>
  <c r="R35" i="2"/>
  <c r="S35" i="2"/>
  <c r="T35" i="2"/>
  <c r="V35" i="2"/>
  <c r="Z35" i="2"/>
  <c r="H36" i="2"/>
  <c r="I36" i="2"/>
  <c r="J36" i="2"/>
  <c r="K36" i="2"/>
  <c r="L36" i="2"/>
  <c r="M36" i="2"/>
  <c r="N36" i="2"/>
  <c r="O36" i="2"/>
  <c r="P36" i="2"/>
  <c r="Q36" i="2"/>
  <c r="R36" i="2"/>
  <c r="S36" i="2"/>
  <c r="T36" i="2"/>
  <c r="V36" i="2"/>
  <c r="Z36" i="2"/>
  <c r="H37" i="2"/>
  <c r="I37" i="2"/>
  <c r="J37" i="2"/>
  <c r="K37" i="2"/>
  <c r="L37" i="2"/>
  <c r="M37" i="2"/>
  <c r="N37" i="2"/>
  <c r="O37" i="2"/>
  <c r="P37" i="2"/>
  <c r="Q37" i="2"/>
  <c r="R37" i="2"/>
  <c r="S37" i="2"/>
  <c r="T37" i="2"/>
  <c r="V37" i="2"/>
  <c r="Z37" i="2"/>
  <c r="H38" i="2"/>
  <c r="I38" i="2"/>
  <c r="J38" i="2"/>
  <c r="K38" i="2"/>
  <c r="L38" i="2"/>
  <c r="M38" i="2"/>
  <c r="N38" i="2"/>
  <c r="O38" i="2"/>
  <c r="P38" i="2"/>
  <c r="Q38" i="2"/>
  <c r="R38" i="2"/>
  <c r="S38" i="2"/>
  <c r="T38" i="2"/>
  <c r="V38" i="2"/>
  <c r="Z38" i="2"/>
  <c r="H39" i="2"/>
  <c r="I39" i="2"/>
  <c r="J39" i="2"/>
  <c r="K39" i="2"/>
  <c r="L39" i="2"/>
  <c r="M39" i="2"/>
  <c r="N39" i="2"/>
  <c r="O39" i="2"/>
  <c r="P39" i="2"/>
  <c r="Q39" i="2"/>
  <c r="R39" i="2"/>
  <c r="S39" i="2"/>
  <c r="T39" i="2"/>
  <c r="V39" i="2"/>
  <c r="Z39" i="2"/>
  <c r="H40" i="2"/>
  <c r="I40" i="2"/>
  <c r="J40" i="2"/>
  <c r="K40" i="2"/>
  <c r="L40" i="2"/>
  <c r="M40" i="2"/>
  <c r="N40" i="2"/>
  <c r="O40" i="2"/>
  <c r="P40" i="2"/>
  <c r="Q40" i="2"/>
  <c r="R40" i="2"/>
  <c r="S40" i="2"/>
  <c r="T40" i="2"/>
  <c r="V40" i="2"/>
  <c r="Z40" i="2"/>
  <c r="H41" i="2"/>
  <c r="I41" i="2"/>
  <c r="J41" i="2"/>
  <c r="K41" i="2"/>
  <c r="L41" i="2"/>
  <c r="M41" i="2"/>
  <c r="N41" i="2"/>
  <c r="O41" i="2"/>
  <c r="P41" i="2"/>
  <c r="Q41" i="2"/>
  <c r="R41" i="2"/>
  <c r="S41" i="2"/>
  <c r="T41" i="2"/>
  <c r="V41" i="2"/>
  <c r="Z41" i="2"/>
  <c r="H42" i="2"/>
  <c r="I42" i="2"/>
  <c r="J42" i="2"/>
  <c r="K42" i="2"/>
  <c r="L42" i="2"/>
  <c r="M42" i="2"/>
  <c r="N42" i="2"/>
  <c r="O42" i="2"/>
  <c r="P42" i="2"/>
  <c r="Q42" i="2"/>
  <c r="R42" i="2"/>
  <c r="S42" i="2"/>
  <c r="T42" i="2"/>
  <c r="V42" i="2"/>
  <c r="Z42" i="2"/>
  <c r="H43" i="2"/>
  <c r="I43" i="2"/>
  <c r="J43" i="2"/>
  <c r="K43" i="2"/>
  <c r="L43" i="2"/>
  <c r="M43" i="2"/>
  <c r="N43" i="2"/>
  <c r="O43" i="2"/>
  <c r="P43" i="2"/>
  <c r="Q43" i="2"/>
  <c r="R43" i="2"/>
  <c r="S43" i="2"/>
  <c r="T43" i="2"/>
  <c r="V43" i="2"/>
  <c r="Z43" i="2"/>
  <c r="H44" i="2"/>
  <c r="I44" i="2"/>
  <c r="J44" i="2"/>
  <c r="K44" i="2"/>
  <c r="L44" i="2"/>
  <c r="M44" i="2"/>
  <c r="N44" i="2"/>
  <c r="O44" i="2"/>
  <c r="P44" i="2"/>
  <c r="Q44" i="2"/>
  <c r="R44" i="2"/>
  <c r="S44" i="2"/>
  <c r="T44" i="2"/>
  <c r="V44" i="2"/>
  <c r="Z44" i="2"/>
  <c r="H45" i="2"/>
  <c r="I45" i="2"/>
  <c r="J45" i="2"/>
  <c r="K45" i="2"/>
  <c r="L45" i="2"/>
  <c r="M45" i="2"/>
  <c r="N45" i="2"/>
  <c r="O45" i="2"/>
  <c r="P45" i="2"/>
  <c r="Q45" i="2"/>
  <c r="R45" i="2"/>
  <c r="S45" i="2"/>
  <c r="T45" i="2"/>
  <c r="V45" i="2"/>
  <c r="Z45" i="2"/>
  <c r="H46" i="2"/>
  <c r="I46" i="2"/>
  <c r="J46" i="2"/>
  <c r="K46" i="2"/>
  <c r="L46" i="2"/>
  <c r="M46" i="2"/>
  <c r="N46" i="2"/>
  <c r="O46" i="2"/>
  <c r="P46" i="2"/>
  <c r="Q46" i="2"/>
  <c r="R46" i="2"/>
  <c r="S46" i="2"/>
  <c r="T46" i="2"/>
  <c r="V46" i="2"/>
  <c r="Z46" i="2"/>
  <c r="H47" i="2"/>
  <c r="I47" i="2"/>
  <c r="J47" i="2"/>
  <c r="K47" i="2"/>
  <c r="L47" i="2"/>
  <c r="M47" i="2"/>
  <c r="N47" i="2"/>
  <c r="O47" i="2"/>
  <c r="P47" i="2"/>
  <c r="Q47" i="2"/>
  <c r="R47" i="2"/>
  <c r="S47" i="2"/>
  <c r="T47" i="2"/>
  <c r="V47" i="2"/>
  <c r="Z47" i="2"/>
  <c r="H48" i="2"/>
  <c r="I48" i="2"/>
  <c r="J48" i="2"/>
  <c r="K48" i="2"/>
  <c r="L48" i="2"/>
  <c r="M48" i="2"/>
  <c r="N48" i="2"/>
  <c r="O48" i="2"/>
  <c r="P48" i="2"/>
  <c r="Q48" i="2"/>
  <c r="R48" i="2"/>
  <c r="S48" i="2"/>
  <c r="T48" i="2"/>
  <c r="V48" i="2"/>
  <c r="Z48" i="2"/>
  <c r="H49" i="2"/>
  <c r="I49" i="2"/>
  <c r="J49" i="2"/>
  <c r="K49" i="2"/>
  <c r="L49" i="2"/>
  <c r="M49" i="2"/>
  <c r="N49" i="2"/>
  <c r="O49" i="2"/>
  <c r="P49" i="2"/>
  <c r="Q49" i="2"/>
  <c r="R49" i="2"/>
  <c r="S49" i="2"/>
  <c r="T49" i="2"/>
  <c r="V49" i="2"/>
  <c r="Z49" i="2"/>
  <c r="H50" i="2"/>
  <c r="I50" i="2"/>
  <c r="J50" i="2"/>
  <c r="K50" i="2"/>
  <c r="L50" i="2"/>
  <c r="M50" i="2"/>
  <c r="N50" i="2"/>
  <c r="O50" i="2"/>
  <c r="P50" i="2"/>
  <c r="Q50" i="2"/>
  <c r="R50" i="2"/>
  <c r="S50" i="2"/>
  <c r="T50" i="2"/>
  <c r="V50" i="2"/>
  <c r="Z50" i="2"/>
  <c r="H51" i="2"/>
  <c r="I51" i="2"/>
  <c r="J51" i="2"/>
  <c r="K51" i="2"/>
  <c r="L51" i="2"/>
  <c r="M51" i="2"/>
  <c r="N51" i="2"/>
  <c r="O51" i="2"/>
  <c r="P51" i="2"/>
  <c r="Q51" i="2"/>
  <c r="R51" i="2"/>
  <c r="S51" i="2"/>
  <c r="T51" i="2"/>
  <c r="V51" i="2"/>
  <c r="Z51" i="2"/>
  <c r="H52" i="2"/>
  <c r="I52" i="2"/>
  <c r="J52" i="2"/>
  <c r="K52" i="2"/>
  <c r="L52" i="2"/>
  <c r="M52" i="2"/>
  <c r="N52" i="2"/>
  <c r="O52" i="2"/>
  <c r="P52" i="2"/>
  <c r="Q52" i="2"/>
  <c r="R52" i="2"/>
  <c r="S52" i="2"/>
  <c r="T52" i="2"/>
  <c r="V52" i="2"/>
  <c r="Z52" i="2"/>
  <c r="H53" i="2"/>
  <c r="I53" i="2"/>
  <c r="J53" i="2"/>
  <c r="K53" i="2"/>
  <c r="L53" i="2"/>
  <c r="M53" i="2"/>
  <c r="N53" i="2"/>
  <c r="O53" i="2"/>
  <c r="P53" i="2"/>
  <c r="Q53" i="2"/>
  <c r="R53" i="2"/>
  <c r="S53" i="2"/>
  <c r="T53" i="2"/>
  <c r="V53" i="2"/>
  <c r="Z53" i="2"/>
  <c r="H54" i="2"/>
  <c r="I54" i="2"/>
  <c r="J54" i="2"/>
  <c r="K54" i="2"/>
  <c r="L54" i="2"/>
  <c r="M54" i="2"/>
  <c r="N54" i="2"/>
  <c r="O54" i="2"/>
  <c r="P54" i="2"/>
  <c r="Q54" i="2"/>
  <c r="R54" i="2"/>
  <c r="S54" i="2"/>
  <c r="T54" i="2"/>
  <c r="V54" i="2"/>
  <c r="Z54" i="2"/>
  <c r="H55" i="2"/>
  <c r="I55" i="2"/>
  <c r="J55" i="2"/>
  <c r="K55" i="2"/>
  <c r="L55" i="2"/>
  <c r="M55" i="2"/>
  <c r="N55" i="2"/>
  <c r="O55" i="2"/>
  <c r="P55" i="2"/>
  <c r="Q55" i="2"/>
  <c r="R55" i="2"/>
  <c r="S55" i="2"/>
  <c r="T55" i="2"/>
  <c r="V55" i="2"/>
  <c r="Z55" i="2"/>
  <c r="H56" i="2"/>
  <c r="I56" i="2"/>
  <c r="J56" i="2"/>
  <c r="K56" i="2"/>
  <c r="L56" i="2"/>
  <c r="M56" i="2"/>
  <c r="N56" i="2"/>
  <c r="O56" i="2"/>
  <c r="P56" i="2"/>
  <c r="Q56" i="2"/>
  <c r="R56" i="2"/>
  <c r="S56" i="2"/>
  <c r="T56" i="2"/>
  <c r="V56" i="2"/>
  <c r="Z56" i="2"/>
  <c r="H57" i="2"/>
  <c r="I57" i="2"/>
  <c r="J57" i="2"/>
  <c r="K57" i="2"/>
  <c r="L57" i="2"/>
  <c r="M57" i="2"/>
  <c r="N57" i="2"/>
  <c r="O57" i="2"/>
  <c r="P57" i="2"/>
  <c r="Q57" i="2"/>
  <c r="R57" i="2"/>
  <c r="S57" i="2"/>
  <c r="T57" i="2"/>
  <c r="V57" i="2"/>
  <c r="Z57" i="2"/>
  <c r="H58" i="2"/>
  <c r="I58" i="2"/>
  <c r="J58" i="2"/>
  <c r="K58" i="2"/>
  <c r="L58" i="2"/>
  <c r="M58" i="2"/>
  <c r="N58" i="2"/>
  <c r="O58" i="2"/>
  <c r="P58" i="2"/>
  <c r="Q58" i="2"/>
  <c r="R58" i="2"/>
  <c r="S58" i="2"/>
  <c r="T58" i="2"/>
  <c r="V58" i="2"/>
  <c r="Z58" i="2"/>
  <c r="H59" i="2"/>
  <c r="I59" i="2"/>
  <c r="J59" i="2"/>
  <c r="K59" i="2"/>
  <c r="L59" i="2"/>
  <c r="M59" i="2"/>
  <c r="N59" i="2"/>
  <c r="O59" i="2"/>
  <c r="P59" i="2"/>
  <c r="Q59" i="2"/>
  <c r="R59" i="2"/>
  <c r="S59" i="2"/>
  <c r="T59" i="2"/>
  <c r="V59" i="2"/>
  <c r="Z59" i="2"/>
  <c r="H60" i="2"/>
  <c r="I60" i="2"/>
  <c r="J60" i="2"/>
  <c r="K60" i="2"/>
  <c r="L60" i="2"/>
  <c r="M60" i="2"/>
  <c r="N60" i="2"/>
  <c r="O60" i="2"/>
  <c r="P60" i="2"/>
  <c r="Q60" i="2"/>
  <c r="R60" i="2"/>
  <c r="S60" i="2"/>
  <c r="T60" i="2"/>
  <c r="V60" i="2"/>
  <c r="Z60" i="2"/>
  <c r="H61" i="2"/>
  <c r="I61" i="2"/>
  <c r="J61" i="2"/>
  <c r="K61" i="2"/>
  <c r="L61" i="2"/>
  <c r="M61" i="2"/>
  <c r="N61" i="2"/>
  <c r="O61" i="2"/>
  <c r="P61" i="2"/>
  <c r="Q61" i="2"/>
  <c r="R61" i="2"/>
  <c r="S61" i="2"/>
  <c r="T61" i="2"/>
  <c r="V61" i="2"/>
  <c r="Z61" i="2"/>
  <c r="H62" i="2"/>
  <c r="I62" i="2"/>
  <c r="J62" i="2"/>
  <c r="K62" i="2"/>
  <c r="L62" i="2"/>
  <c r="M62" i="2"/>
  <c r="N62" i="2"/>
  <c r="O62" i="2"/>
  <c r="P62" i="2"/>
  <c r="Q62" i="2"/>
  <c r="R62" i="2"/>
  <c r="S62" i="2"/>
  <c r="T62" i="2"/>
  <c r="V62" i="2"/>
  <c r="Z62" i="2"/>
  <c r="H63" i="2"/>
  <c r="I63" i="2"/>
  <c r="J63" i="2"/>
  <c r="K63" i="2"/>
  <c r="L63" i="2"/>
  <c r="M63" i="2"/>
  <c r="N63" i="2"/>
  <c r="O63" i="2"/>
  <c r="P63" i="2"/>
  <c r="Q63" i="2"/>
  <c r="R63" i="2"/>
  <c r="S63" i="2"/>
  <c r="T63" i="2"/>
  <c r="V63" i="2"/>
  <c r="Z63" i="2"/>
  <c r="H64" i="2"/>
  <c r="I64" i="2"/>
  <c r="J64" i="2"/>
  <c r="K64" i="2"/>
  <c r="L64" i="2"/>
  <c r="M64" i="2"/>
  <c r="N64" i="2"/>
  <c r="O64" i="2"/>
  <c r="P64" i="2"/>
  <c r="Q64" i="2"/>
  <c r="R64" i="2"/>
  <c r="S64" i="2"/>
  <c r="T64" i="2"/>
  <c r="V64" i="2"/>
  <c r="Z64" i="2"/>
  <c r="H65" i="2"/>
  <c r="I65" i="2"/>
  <c r="J65" i="2"/>
  <c r="K65" i="2"/>
  <c r="L65" i="2"/>
  <c r="M65" i="2"/>
  <c r="N65" i="2"/>
  <c r="O65" i="2"/>
  <c r="P65" i="2"/>
  <c r="Q65" i="2"/>
  <c r="R65" i="2"/>
  <c r="S65" i="2"/>
  <c r="T65" i="2"/>
  <c r="V65" i="2"/>
  <c r="Z65" i="2"/>
  <c r="H66" i="2"/>
  <c r="I66" i="2"/>
  <c r="J66" i="2"/>
  <c r="K66" i="2"/>
  <c r="L66" i="2"/>
  <c r="M66" i="2"/>
  <c r="N66" i="2"/>
  <c r="O66" i="2"/>
  <c r="P66" i="2"/>
  <c r="Q66" i="2"/>
  <c r="R66" i="2"/>
  <c r="S66" i="2"/>
  <c r="T66" i="2"/>
  <c r="V66" i="2"/>
  <c r="Z66" i="2"/>
  <c r="H67" i="2"/>
  <c r="I67" i="2"/>
  <c r="J67" i="2"/>
  <c r="K67" i="2"/>
  <c r="L67" i="2"/>
  <c r="M67" i="2"/>
  <c r="N67" i="2"/>
  <c r="O67" i="2"/>
  <c r="P67" i="2"/>
  <c r="Q67" i="2"/>
  <c r="R67" i="2"/>
  <c r="S67" i="2"/>
  <c r="T67" i="2"/>
  <c r="V67" i="2"/>
  <c r="Z67" i="2"/>
  <c r="H68" i="2"/>
  <c r="I68" i="2"/>
  <c r="J68" i="2"/>
  <c r="K68" i="2"/>
  <c r="L68" i="2"/>
  <c r="M68" i="2"/>
  <c r="N68" i="2"/>
  <c r="O68" i="2"/>
  <c r="P68" i="2"/>
  <c r="Q68" i="2"/>
  <c r="R68" i="2"/>
  <c r="S68" i="2"/>
  <c r="T68" i="2"/>
  <c r="V68" i="2"/>
  <c r="Z68" i="2"/>
  <c r="H69" i="2"/>
  <c r="I69" i="2"/>
  <c r="J69" i="2"/>
  <c r="K69" i="2"/>
  <c r="L69" i="2"/>
  <c r="M69" i="2"/>
  <c r="N69" i="2"/>
  <c r="O69" i="2"/>
  <c r="P69" i="2"/>
  <c r="Q69" i="2"/>
  <c r="R69" i="2"/>
  <c r="S69" i="2"/>
  <c r="T69" i="2"/>
  <c r="V69" i="2"/>
  <c r="Z69" i="2"/>
  <c r="H70" i="2"/>
  <c r="I70" i="2"/>
  <c r="J70" i="2"/>
  <c r="K70" i="2"/>
  <c r="L70" i="2"/>
  <c r="M70" i="2"/>
  <c r="N70" i="2"/>
  <c r="O70" i="2"/>
  <c r="P70" i="2"/>
  <c r="Q70" i="2"/>
  <c r="R70" i="2"/>
  <c r="S70" i="2"/>
  <c r="T70" i="2"/>
  <c r="V70" i="2"/>
  <c r="Z70" i="2"/>
  <c r="H71" i="2"/>
  <c r="I71" i="2"/>
  <c r="J71" i="2"/>
  <c r="K71" i="2"/>
  <c r="L71" i="2"/>
  <c r="M71" i="2"/>
  <c r="N71" i="2"/>
  <c r="O71" i="2"/>
  <c r="P71" i="2"/>
  <c r="Q71" i="2"/>
  <c r="R71" i="2"/>
  <c r="S71" i="2"/>
  <c r="T71" i="2"/>
  <c r="V71" i="2"/>
  <c r="Z71" i="2"/>
  <c r="H72" i="2"/>
  <c r="I72" i="2"/>
  <c r="J72" i="2"/>
  <c r="K72" i="2"/>
  <c r="L72" i="2"/>
  <c r="M72" i="2"/>
  <c r="N72" i="2"/>
  <c r="O72" i="2"/>
  <c r="P72" i="2"/>
  <c r="Q72" i="2"/>
  <c r="R72" i="2"/>
  <c r="S72" i="2"/>
  <c r="T72" i="2"/>
  <c r="V72" i="2"/>
  <c r="Z72" i="2"/>
  <c r="H73" i="2"/>
  <c r="I73" i="2"/>
  <c r="J73" i="2"/>
  <c r="K73" i="2"/>
  <c r="L73" i="2"/>
  <c r="M73" i="2"/>
  <c r="N73" i="2"/>
  <c r="O73" i="2"/>
  <c r="P73" i="2"/>
  <c r="Q73" i="2"/>
  <c r="R73" i="2"/>
  <c r="S73" i="2"/>
  <c r="T73" i="2"/>
  <c r="V73" i="2"/>
  <c r="Z73" i="2"/>
  <c r="H74" i="2"/>
  <c r="I74" i="2"/>
  <c r="J74" i="2"/>
  <c r="K74" i="2"/>
  <c r="L74" i="2"/>
  <c r="M74" i="2"/>
  <c r="N74" i="2"/>
  <c r="O74" i="2"/>
  <c r="P74" i="2"/>
  <c r="Q74" i="2"/>
  <c r="R74" i="2"/>
  <c r="S74" i="2"/>
  <c r="T74" i="2"/>
  <c r="V74" i="2"/>
  <c r="Z74" i="2"/>
  <c r="H75" i="2"/>
  <c r="I75" i="2"/>
  <c r="J75" i="2"/>
  <c r="K75" i="2"/>
  <c r="L75" i="2"/>
  <c r="M75" i="2"/>
  <c r="N75" i="2"/>
  <c r="O75" i="2"/>
  <c r="P75" i="2"/>
  <c r="Q75" i="2"/>
  <c r="R75" i="2"/>
  <c r="S75" i="2"/>
  <c r="T75" i="2"/>
  <c r="V75" i="2"/>
  <c r="Z75" i="2"/>
  <c r="H76" i="2"/>
  <c r="I76" i="2"/>
  <c r="J76" i="2"/>
  <c r="K76" i="2"/>
  <c r="L76" i="2"/>
  <c r="M76" i="2"/>
  <c r="N76" i="2"/>
  <c r="O76" i="2"/>
  <c r="P76" i="2"/>
  <c r="Q76" i="2"/>
  <c r="R76" i="2"/>
  <c r="S76" i="2"/>
  <c r="T76" i="2"/>
  <c r="V76" i="2"/>
  <c r="Z76" i="2"/>
  <c r="H77" i="2"/>
  <c r="I77" i="2"/>
  <c r="J77" i="2"/>
  <c r="K77" i="2"/>
  <c r="L77" i="2"/>
  <c r="M77" i="2"/>
  <c r="N77" i="2"/>
  <c r="O77" i="2"/>
  <c r="P77" i="2"/>
  <c r="Q77" i="2"/>
  <c r="R77" i="2"/>
  <c r="S77" i="2"/>
  <c r="T77" i="2"/>
  <c r="V77" i="2"/>
  <c r="Z77" i="2"/>
  <c r="H78" i="2"/>
  <c r="I78" i="2"/>
  <c r="J78" i="2"/>
  <c r="K78" i="2"/>
  <c r="L78" i="2"/>
  <c r="M78" i="2"/>
  <c r="N78" i="2"/>
  <c r="O78" i="2"/>
  <c r="P78" i="2"/>
  <c r="Q78" i="2"/>
  <c r="R78" i="2"/>
  <c r="S78" i="2"/>
  <c r="T78" i="2"/>
  <c r="V78" i="2"/>
  <c r="Z78" i="2"/>
  <c r="H79" i="2"/>
  <c r="I79" i="2"/>
  <c r="J79" i="2"/>
  <c r="K79" i="2"/>
  <c r="L79" i="2"/>
  <c r="M79" i="2"/>
  <c r="N79" i="2"/>
  <c r="O79" i="2"/>
  <c r="P79" i="2"/>
  <c r="Q79" i="2"/>
  <c r="R79" i="2"/>
  <c r="S79" i="2"/>
  <c r="T79" i="2"/>
  <c r="V79" i="2"/>
  <c r="Z79" i="2"/>
  <c r="H80" i="2"/>
  <c r="I80" i="2"/>
  <c r="J80" i="2"/>
  <c r="K80" i="2"/>
  <c r="L80" i="2"/>
  <c r="M80" i="2"/>
  <c r="N80" i="2"/>
  <c r="O80" i="2"/>
  <c r="P80" i="2"/>
  <c r="Q80" i="2"/>
  <c r="R80" i="2"/>
  <c r="S80" i="2"/>
  <c r="T80" i="2"/>
  <c r="V80" i="2"/>
  <c r="Z80" i="2"/>
  <c r="H81" i="2"/>
  <c r="I81" i="2"/>
  <c r="J81" i="2"/>
  <c r="K81" i="2"/>
  <c r="L81" i="2"/>
  <c r="M81" i="2"/>
  <c r="N81" i="2"/>
  <c r="O81" i="2"/>
  <c r="P81" i="2"/>
  <c r="Q81" i="2"/>
  <c r="R81" i="2"/>
  <c r="S81" i="2"/>
  <c r="T81" i="2"/>
  <c r="V81" i="2"/>
  <c r="Z81" i="2"/>
  <c r="H82" i="2"/>
  <c r="I82" i="2"/>
  <c r="J82" i="2"/>
  <c r="K82" i="2"/>
  <c r="L82" i="2"/>
  <c r="M82" i="2"/>
  <c r="N82" i="2"/>
  <c r="O82" i="2"/>
  <c r="P82" i="2"/>
  <c r="Q82" i="2"/>
  <c r="R82" i="2"/>
  <c r="S82" i="2"/>
  <c r="T82" i="2"/>
  <c r="V82" i="2"/>
  <c r="Z82" i="2"/>
  <c r="H83" i="2"/>
  <c r="I83" i="2"/>
  <c r="J83" i="2"/>
  <c r="K83" i="2"/>
  <c r="L83" i="2"/>
  <c r="M83" i="2"/>
  <c r="N83" i="2"/>
  <c r="O83" i="2"/>
  <c r="P83" i="2"/>
  <c r="Q83" i="2"/>
  <c r="R83" i="2"/>
  <c r="S83" i="2"/>
  <c r="T83" i="2"/>
  <c r="V83" i="2"/>
  <c r="Z83" i="2"/>
  <c r="H84" i="2"/>
  <c r="I84" i="2"/>
  <c r="J84" i="2"/>
  <c r="K84" i="2"/>
  <c r="L84" i="2"/>
  <c r="M84" i="2"/>
  <c r="N84" i="2"/>
  <c r="O84" i="2"/>
  <c r="P84" i="2"/>
  <c r="Q84" i="2"/>
  <c r="R84" i="2"/>
  <c r="S84" i="2"/>
  <c r="T84" i="2"/>
  <c r="V84" i="2"/>
  <c r="Z84" i="2"/>
  <c r="H85" i="2"/>
  <c r="I85" i="2"/>
  <c r="J85" i="2"/>
  <c r="K85" i="2"/>
  <c r="L85" i="2"/>
  <c r="M85" i="2"/>
  <c r="N85" i="2"/>
  <c r="O85" i="2"/>
  <c r="P85" i="2"/>
  <c r="Q85" i="2"/>
  <c r="R85" i="2"/>
  <c r="S85" i="2"/>
  <c r="T85" i="2"/>
  <c r="V85" i="2"/>
  <c r="Z85" i="2"/>
  <c r="H86" i="2"/>
  <c r="I86" i="2"/>
  <c r="J86" i="2"/>
  <c r="K86" i="2"/>
  <c r="L86" i="2"/>
  <c r="M86" i="2"/>
  <c r="N86" i="2"/>
  <c r="O86" i="2"/>
  <c r="P86" i="2"/>
  <c r="Q86" i="2"/>
  <c r="R86" i="2"/>
  <c r="S86" i="2"/>
  <c r="T86" i="2"/>
  <c r="V86" i="2"/>
  <c r="Z86" i="2"/>
  <c r="H87" i="2"/>
  <c r="I87" i="2"/>
  <c r="J87" i="2"/>
  <c r="K87" i="2"/>
  <c r="L87" i="2"/>
  <c r="M87" i="2"/>
  <c r="N87" i="2"/>
  <c r="O87" i="2"/>
  <c r="P87" i="2"/>
  <c r="Q87" i="2"/>
  <c r="R87" i="2"/>
  <c r="S87" i="2"/>
  <c r="T87" i="2"/>
  <c r="V87" i="2"/>
  <c r="Z87" i="2"/>
  <c r="H88" i="2"/>
  <c r="I88" i="2"/>
  <c r="J88" i="2"/>
  <c r="K88" i="2"/>
  <c r="L88" i="2"/>
  <c r="M88" i="2"/>
  <c r="N88" i="2"/>
  <c r="O88" i="2"/>
  <c r="P88" i="2"/>
  <c r="Q88" i="2"/>
  <c r="R88" i="2"/>
  <c r="S88" i="2"/>
  <c r="T88" i="2"/>
  <c r="V88" i="2"/>
  <c r="Z88" i="2"/>
  <c r="H89" i="2"/>
  <c r="I89" i="2"/>
  <c r="J89" i="2"/>
  <c r="K89" i="2"/>
  <c r="L89" i="2"/>
  <c r="M89" i="2"/>
  <c r="N89" i="2"/>
  <c r="O89" i="2"/>
  <c r="P89" i="2"/>
  <c r="Q89" i="2"/>
  <c r="R89" i="2"/>
  <c r="S89" i="2"/>
  <c r="T89" i="2"/>
  <c r="V89" i="2"/>
  <c r="Z89" i="2"/>
  <c r="H90" i="2"/>
  <c r="I90" i="2"/>
  <c r="J90" i="2"/>
  <c r="K90" i="2"/>
  <c r="L90" i="2"/>
  <c r="M90" i="2"/>
  <c r="N90" i="2"/>
  <c r="O90" i="2"/>
  <c r="P90" i="2"/>
  <c r="Q90" i="2"/>
  <c r="R90" i="2"/>
  <c r="S90" i="2"/>
  <c r="T90" i="2"/>
  <c r="V90" i="2"/>
  <c r="Z90" i="2"/>
  <c r="H91" i="2"/>
  <c r="I91" i="2"/>
  <c r="J91" i="2"/>
  <c r="K91" i="2"/>
  <c r="L91" i="2"/>
  <c r="M91" i="2"/>
  <c r="N91" i="2"/>
  <c r="O91" i="2"/>
  <c r="P91" i="2"/>
  <c r="Q91" i="2"/>
  <c r="R91" i="2"/>
  <c r="S91" i="2"/>
  <c r="T91" i="2"/>
  <c r="V91" i="2"/>
  <c r="Z91" i="2"/>
  <c r="H92" i="2"/>
  <c r="I92" i="2"/>
  <c r="J92" i="2"/>
  <c r="K92" i="2"/>
  <c r="L92" i="2"/>
  <c r="M92" i="2"/>
  <c r="N92" i="2"/>
  <c r="O92" i="2"/>
  <c r="P92" i="2"/>
  <c r="Q92" i="2"/>
  <c r="R92" i="2"/>
  <c r="S92" i="2"/>
  <c r="T92" i="2"/>
  <c r="V92" i="2"/>
  <c r="Z92" i="2"/>
  <c r="H93" i="2"/>
  <c r="I93" i="2"/>
  <c r="J93" i="2"/>
  <c r="K93" i="2"/>
  <c r="L93" i="2"/>
  <c r="M93" i="2"/>
  <c r="N93" i="2"/>
  <c r="O93" i="2"/>
  <c r="P93" i="2"/>
  <c r="Q93" i="2"/>
  <c r="R93" i="2"/>
  <c r="S93" i="2"/>
  <c r="T93" i="2"/>
  <c r="V93" i="2"/>
  <c r="Z93" i="2"/>
  <c r="H94" i="2"/>
  <c r="I94" i="2"/>
  <c r="J94" i="2"/>
  <c r="K94" i="2"/>
  <c r="L94" i="2"/>
  <c r="M94" i="2"/>
  <c r="N94" i="2"/>
  <c r="O94" i="2"/>
  <c r="P94" i="2"/>
  <c r="Q94" i="2"/>
  <c r="R94" i="2"/>
  <c r="S94" i="2"/>
  <c r="T94" i="2"/>
  <c r="V94" i="2"/>
  <c r="Z94" i="2"/>
  <c r="H95" i="2"/>
  <c r="I95" i="2"/>
  <c r="J95" i="2"/>
  <c r="K95" i="2"/>
  <c r="L95" i="2"/>
  <c r="M95" i="2"/>
  <c r="N95" i="2"/>
  <c r="O95" i="2"/>
  <c r="P95" i="2"/>
  <c r="Q95" i="2"/>
  <c r="R95" i="2"/>
  <c r="S95" i="2"/>
  <c r="T95" i="2"/>
  <c r="V95" i="2"/>
  <c r="Z95" i="2"/>
  <c r="H96" i="2"/>
  <c r="I96" i="2"/>
  <c r="J96" i="2"/>
  <c r="K96" i="2"/>
  <c r="L96" i="2"/>
  <c r="M96" i="2"/>
  <c r="N96" i="2"/>
  <c r="O96" i="2"/>
  <c r="P96" i="2"/>
  <c r="Q96" i="2"/>
  <c r="R96" i="2"/>
  <c r="S96" i="2"/>
  <c r="T96" i="2"/>
  <c r="V96" i="2"/>
  <c r="Z96" i="2"/>
  <c r="H97" i="2"/>
  <c r="I97" i="2"/>
  <c r="J97" i="2"/>
  <c r="K97" i="2"/>
  <c r="L97" i="2"/>
  <c r="M97" i="2"/>
  <c r="N97" i="2"/>
  <c r="O97" i="2"/>
  <c r="P97" i="2"/>
  <c r="Q97" i="2"/>
  <c r="R97" i="2"/>
  <c r="S97" i="2"/>
  <c r="T97" i="2"/>
  <c r="V97" i="2"/>
  <c r="Z97" i="2"/>
  <c r="H98" i="2"/>
  <c r="I98" i="2"/>
  <c r="J98" i="2"/>
  <c r="K98" i="2"/>
  <c r="L98" i="2"/>
  <c r="M98" i="2"/>
  <c r="N98" i="2"/>
  <c r="O98" i="2"/>
  <c r="P98" i="2"/>
  <c r="Q98" i="2"/>
  <c r="R98" i="2"/>
  <c r="S98" i="2"/>
  <c r="T98" i="2"/>
  <c r="V98" i="2"/>
  <c r="Z98" i="2"/>
  <c r="H99" i="2"/>
  <c r="I99" i="2"/>
  <c r="J99" i="2"/>
  <c r="K99" i="2"/>
  <c r="L99" i="2"/>
  <c r="M99" i="2"/>
  <c r="N99" i="2"/>
  <c r="O99" i="2"/>
  <c r="P99" i="2"/>
  <c r="Q99" i="2"/>
  <c r="R99" i="2"/>
  <c r="S99" i="2"/>
  <c r="T99" i="2"/>
  <c r="V99" i="2"/>
  <c r="Z99" i="2"/>
  <c r="H100" i="2"/>
  <c r="I100" i="2"/>
  <c r="J100" i="2"/>
  <c r="K100" i="2"/>
  <c r="L100" i="2"/>
  <c r="M100" i="2"/>
  <c r="N100" i="2"/>
  <c r="O100" i="2"/>
  <c r="P100" i="2"/>
  <c r="Q100" i="2"/>
  <c r="R100" i="2"/>
  <c r="S100" i="2"/>
  <c r="T100" i="2"/>
  <c r="V100" i="2"/>
  <c r="Z100" i="2"/>
  <c r="H101" i="2"/>
  <c r="I101" i="2"/>
  <c r="J101" i="2"/>
  <c r="K101" i="2"/>
  <c r="L101" i="2"/>
  <c r="M101" i="2"/>
  <c r="N101" i="2"/>
  <c r="O101" i="2"/>
  <c r="P101" i="2"/>
  <c r="Q101" i="2"/>
  <c r="R101" i="2"/>
  <c r="S101" i="2"/>
  <c r="T101" i="2"/>
  <c r="V101" i="2"/>
  <c r="Z101" i="2"/>
  <c r="H102" i="2"/>
  <c r="I102" i="2"/>
  <c r="J102" i="2"/>
  <c r="K102" i="2"/>
  <c r="L102" i="2"/>
  <c r="M102" i="2"/>
  <c r="N102" i="2"/>
  <c r="O102" i="2"/>
  <c r="P102" i="2"/>
  <c r="Q102" i="2"/>
  <c r="R102" i="2"/>
  <c r="S102" i="2"/>
  <c r="T102" i="2"/>
  <c r="V102" i="2"/>
  <c r="Z102" i="2"/>
  <c r="H103" i="2"/>
  <c r="I103" i="2"/>
  <c r="J103" i="2"/>
  <c r="K103" i="2"/>
  <c r="L103" i="2"/>
  <c r="M103" i="2"/>
  <c r="N103" i="2"/>
  <c r="O103" i="2"/>
  <c r="P103" i="2"/>
  <c r="Q103" i="2"/>
  <c r="R103" i="2"/>
  <c r="S103" i="2"/>
  <c r="T103" i="2"/>
  <c r="V103" i="2"/>
  <c r="Z103" i="2"/>
  <c r="H104" i="2"/>
  <c r="I104" i="2"/>
  <c r="J104" i="2"/>
  <c r="K104" i="2"/>
  <c r="L104" i="2"/>
  <c r="M104" i="2"/>
  <c r="N104" i="2"/>
  <c r="O104" i="2"/>
  <c r="P104" i="2"/>
  <c r="Q104" i="2"/>
  <c r="R104" i="2"/>
  <c r="S104" i="2"/>
  <c r="T104" i="2"/>
  <c r="V104" i="2"/>
  <c r="Z104" i="2"/>
  <c r="H105" i="2"/>
  <c r="I105" i="2"/>
  <c r="J105" i="2"/>
  <c r="K105" i="2"/>
  <c r="L105" i="2"/>
  <c r="M105" i="2"/>
  <c r="N105" i="2"/>
  <c r="O105" i="2"/>
  <c r="P105" i="2"/>
  <c r="Q105" i="2"/>
  <c r="R105" i="2"/>
  <c r="S105" i="2"/>
  <c r="T105" i="2"/>
  <c r="V105" i="2"/>
  <c r="Z105" i="2"/>
  <c r="H106" i="2"/>
  <c r="I106" i="2"/>
  <c r="J106" i="2"/>
  <c r="K106" i="2"/>
  <c r="L106" i="2"/>
  <c r="M106" i="2"/>
  <c r="N106" i="2"/>
  <c r="O106" i="2"/>
  <c r="P106" i="2"/>
  <c r="Q106" i="2"/>
  <c r="R106" i="2"/>
  <c r="S106" i="2"/>
  <c r="T106" i="2"/>
  <c r="V106" i="2"/>
  <c r="Z106" i="2"/>
  <c r="H107" i="2"/>
  <c r="I107" i="2"/>
  <c r="J107" i="2"/>
  <c r="K107" i="2"/>
  <c r="L107" i="2"/>
  <c r="M107" i="2"/>
  <c r="N107" i="2"/>
  <c r="O107" i="2"/>
  <c r="P107" i="2"/>
  <c r="Q107" i="2"/>
  <c r="R107" i="2"/>
  <c r="S107" i="2"/>
  <c r="T107" i="2"/>
  <c r="V107" i="2"/>
  <c r="Z107" i="2"/>
  <c r="H108" i="2"/>
  <c r="I108" i="2"/>
  <c r="J108" i="2"/>
  <c r="K108" i="2"/>
  <c r="L108" i="2"/>
  <c r="M108" i="2"/>
  <c r="N108" i="2"/>
  <c r="O108" i="2"/>
  <c r="P108" i="2"/>
  <c r="Q108" i="2"/>
  <c r="R108" i="2"/>
  <c r="S108" i="2"/>
  <c r="T108" i="2"/>
  <c r="V108" i="2"/>
  <c r="Z108" i="2"/>
  <c r="H109" i="2"/>
  <c r="I109" i="2"/>
  <c r="J109" i="2"/>
  <c r="K109" i="2"/>
  <c r="L109" i="2"/>
  <c r="M109" i="2"/>
  <c r="N109" i="2"/>
  <c r="O109" i="2"/>
  <c r="P109" i="2"/>
  <c r="Q109" i="2"/>
  <c r="R109" i="2"/>
  <c r="S109" i="2"/>
  <c r="T109" i="2"/>
  <c r="V109" i="2"/>
  <c r="Z109" i="2"/>
  <c r="H110" i="2"/>
  <c r="I110" i="2"/>
  <c r="J110" i="2"/>
  <c r="K110" i="2"/>
  <c r="L110" i="2"/>
  <c r="M110" i="2"/>
  <c r="N110" i="2"/>
  <c r="O110" i="2"/>
  <c r="P110" i="2"/>
  <c r="Q110" i="2"/>
  <c r="R110" i="2"/>
  <c r="S110" i="2"/>
  <c r="T110" i="2"/>
  <c r="V110" i="2"/>
  <c r="Z110" i="2"/>
  <c r="H111" i="2"/>
  <c r="I111" i="2"/>
  <c r="J111" i="2"/>
  <c r="K111" i="2"/>
  <c r="L111" i="2"/>
  <c r="M111" i="2"/>
  <c r="N111" i="2"/>
  <c r="O111" i="2"/>
  <c r="P111" i="2"/>
  <c r="Q111" i="2"/>
  <c r="R111" i="2"/>
  <c r="S111" i="2"/>
  <c r="T111" i="2"/>
  <c r="V111" i="2"/>
  <c r="Z111" i="2"/>
  <c r="H112" i="2"/>
  <c r="I112" i="2"/>
  <c r="J112" i="2"/>
  <c r="K112" i="2"/>
  <c r="L112" i="2"/>
  <c r="M112" i="2"/>
  <c r="N112" i="2"/>
  <c r="O112" i="2"/>
  <c r="P112" i="2"/>
  <c r="Q112" i="2"/>
  <c r="R112" i="2"/>
  <c r="S112" i="2"/>
  <c r="T112" i="2"/>
  <c r="V112" i="2"/>
  <c r="Z112" i="2"/>
  <c r="H113" i="2"/>
  <c r="I113" i="2"/>
  <c r="J113" i="2"/>
  <c r="K113" i="2"/>
  <c r="L113" i="2"/>
  <c r="M113" i="2"/>
  <c r="N113" i="2"/>
  <c r="O113" i="2"/>
  <c r="P113" i="2"/>
  <c r="Q113" i="2"/>
  <c r="R113" i="2"/>
  <c r="S113" i="2"/>
  <c r="T113" i="2"/>
  <c r="V113" i="2"/>
  <c r="Z113" i="2"/>
  <c r="H114" i="2"/>
  <c r="I114" i="2"/>
  <c r="J114" i="2"/>
  <c r="K114" i="2"/>
  <c r="L114" i="2"/>
  <c r="M114" i="2"/>
  <c r="N114" i="2"/>
  <c r="O114" i="2"/>
  <c r="P114" i="2"/>
  <c r="Q114" i="2"/>
  <c r="R114" i="2"/>
  <c r="S114" i="2"/>
  <c r="T114" i="2"/>
  <c r="V114" i="2"/>
  <c r="Z114" i="2"/>
  <c r="H115" i="2"/>
  <c r="I115" i="2"/>
  <c r="J115" i="2"/>
  <c r="K115" i="2"/>
  <c r="L115" i="2"/>
  <c r="M115" i="2"/>
  <c r="N115" i="2"/>
  <c r="O115" i="2"/>
  <c r="P115" i="2"/>
  <c r="Q115" i="2"/>
  <c r="R115" i="2"/>
  <c r="S115" i="2"/>
  <c r="T115" i="2"/>
  <c r="V115" i="2"/>
  <c r="Z115" i="2"/>
  <c r="H116" i="2"/>
  <c r="I116" i="2"/>
  <c r="J116" i="2"/>
  <c r="K116" i="2"/>
  <c r="L116" i="2"/>
  <c r="M116" i="2"/>
  <c r="N116" i="2"/>
  <c r="O116" i="2"/>
  <c r="P116" i="2"/>
  <c r="Q116" i="2"/>
  <c r="R116" i="2"/>
  <c r="S116" i="2"/>
  <c r="T116" i="2"/>
  <c r="V116" i="2"/>
  <c r="Z116" i="2"/>
  <c r="H117" i="2"/>
  <c r="I117" i="2"/>
  <c r="J117" i="2"/>
  <c r="K117" i="2"/>
  <c r="L117" i="2"/>
  <c r="M117" i="2"/>
  <c r="N117" i="2"/>
  <c r="O117" i="2"/>
  <c r="P117" i="2"/>
  <c r="Q117" i="2"/>
  <c r="R117" i="2"/>
  <c r="S117" i="2"/>
  <c r="T117" i="2"/>
  <c r="V117" i="2"/>
  <c r="Z117" i="2"/>
  <c r="H118" i="2"/>
  <c r="I118" i="2"/>
  <c r="J118" i="2"/>
  <c r="K118" i="2"/>
  <c r="L118" i="2"/>
  <c r="M118" i="2"/>
  <c r="N118" i="2"/>
  <c r="O118" i="2"/>
  <c r="P118" i="2"/>
  <c r="Q118" i="2"/>
  <c r="R118" i="2"/>
  <c r="S118" i="2"/>
  <c r="T118" i="2"/>
  <c r="V118" i="2"/>
  <c r="Z118" i="2"/>
  <c r="H119" i="2"/>
  <c r="I119" i="2"/>
  <c r="J119" i="2"/>
  <c r="K119" i="2"/>
  <c r="L119" i="2"/>
  <c r="M119" i="2"/>
  <c r="N119" i="2"/>
  <c r="O119" i="2"/>
  <c r="P119" i="2"/>
  <c r="Q119" i="2"/>
  <c r="R119" i="2"/>
  <c r="S119" i="2"/>
  <c r="T119" i="2"/>
  <c r="V119" i="2"/>
  <c r="Z119" i="2"/>
  <c r="H120" i="2"/>
  <c r="I120" i="2"/>
  <c r="J120" i="2"/>
  <c r="K120" i="2"/>
  <c r="L120" i="2"/>
  <c r="M120" i="2"/>
  <c r="N120" i="2"/>
  <c r="O120" i="2"/>
  <c r="P120" i="2"/>
  <c r="Q120" i="2"/>
  <c r="R120" i="2"/>
  <c r="S120" i="2"/>
  <c r="T120" i="2"/>
  <c r="V120" i="2"/>
  <c r="Z120" i="2"/>
  <c r="H121" i="2"/>
  <c r="I121" i="2"/>
  <c r="J121" i="2"/>
  <c r="K121" i="2"/>
  <c r="L121" i="2"/>
  <c r="M121" i="2"/>
  <c r="N121" i="2"/>
  <c r="O121" i="2"/>
  <c r="P121" i="2"/>
  <c r="Q121" i="2"/>
  <c r="R121" i="2"/>
  <c r="S121" i="2"/>
  <c r="T121" i="2"/>
  <c r="V121" i="2"/>
  <c r="Z121" i="2"/>
  <c r="H122" i="2"/>
  <c r="I122" i="2"/>
  <c r="J122" i="2"/>
  <c r="K122" i="2"/>
  <c r="L122" i="2"/>
  <c r="M122" i="2"/>
  <c r="N122" i="2"/>
  <c r="O122" i="2"/>
  <c r="P122" i="2"/>
  <c r="Q122" i="2"/>
  <c r="R122" i="2"/>
  <c r="S122" i="2"/>
  <c r="T122" i="2"/>
  <c r="V122" i="2"/>
  <c r="Z122" i="2"/>
  <c r="H123" i="2"/>
  <c r="I123" i="2"/>
  <c r="J123" i="2"/>
  <c r="K123" i="2"/>
  <c r="L123" i="2"/>
  <c r="M123" i="2"/>
  <c r="N123" i="2"/>
  <c r="O123" i="2"/>
  <c r="P123" i="2"/>
  <c r="Q123" i="2"/>
  <c r="R123" i="2"/>
  <c r="S123" i="2"/>
  <c r="T123" i="2"/>
  <c r="V123" i="2"/>
  <c r="Z123" i="2"/>
  <c r="H124" i="2"/>
  <c r="I124" i="2"/>
  <c r="J124" i="2"/>
  <c r="K124" i="2"/>
  <c r="L124" i="2"/>
  <c r="M124" i="2"/>
  <c r="N124" i="2"/>
  <c r="O124" i="2"/>
  <c r="P124" i="2"/>
  <c r="Q124" i="2"/>
  <c r="R124" i="2"/>
  <c r="S124" i="2"/>
  <c r="T124" i="2"/>
  <c r="V124" i="2"/>
  <c r="Z124" i="2"/>
  <c r="H125" i="2"/>
  <c r="I125" i="2"/>
  <c r="J125" i="2"/>
  <c r="K125" i="2"/>
  <c r="L125" i="2"/>
  <c r="M125" i="2"/>
  <c r="N125" i="2"/>
  <c r="O125" i="2"/>
  <c r="P125" i="2"/>
  <c r="Q125" i="2"/>
  <c r="R125" i="2"/>
  <c r="S125" i="2"/>
  <c r="T125" i="2"/>
  <c r="V125" i="2"/>
  <c r="Z125" i="2"/>
  <c r="H126" i="2"/>
  <c r="I126" i="2"/>
  <c r="J126" i="2"/>
  <c r="K126" i="2"/>
  <c r="L126" i="2"/>
  <c r="M126" i="2"/>
  <c r="N126" i="2"/>
  <c r="O126" i="2"/>
  <c r="P126" i="2"/>
  <c r="Q126" i="2"/>
  <c r="R126" i="2"/>
  <c r="S126" i="2"/>
  <c r="T126" i="2"/>
  <c r="V126" i="2"/>
  <c r="Z126" i="2"/>
  <c r="H127" i="2"/>
  <c r="I127" i="2"/>
  <c r="J127" i="2"/>
  <c r="K127" i="2"/>
  <c r="L127" i="2"/>
  <c r="M127" i="2"/>
  <c r="N127" i="2"/>
  <c r="O127" i="2"/>
  <c r="P127" i="2"/>
  <c r="Q127" i="2"/>
  <c r="R127" i="2"/>
  <c r="S127" i="2"/>
  <c r="T127" i="2"/>
  <c r="V127" i="2"/>
  <c r="Z127" i="2"/>
  <c r="H128" i="2"/>
  <c r="I128" i="2"/>
  <c r="J128" i="2"/>
  <c r="K128" i="2"/>
  <c r="L128" i="2"/>
  <c r="M128" i="2"/>
  <c r="N128" i="2"/>
  <c r="O128" i="2"/>
  <c r="P128" i="2"/>
  <c r="Q128" i="2"/>
  <c r="R128" i="2"/>
  <c r="S128" i="2"/>
  <c r="T128" i="2"/>
  <c r="V128" i="2"/>
  <c r="Z128" i="2"/>
  <c r="H129" i="2"/>
  <c r="I129" i="2"/>
  <c r="J129" i="2"/>
  <c r="K129" i="2"/>
  <c r="L129" i="2"/>
  <c r="M129" i="2"/>
  <c r="N129" i="2"/>
  <c r="O129" i="2"/>
  <c r="P129" i="2"/>
  <c r="Q129" i="2"/>
  <c r="R129" i="2"/>
  <c r="S129" i="2"/>
  <c r="T129" i="2"/>
  <c r="V129" i="2"/>
  <c r="Z129" i="2"/>
  <c r="H130" i="2"/>
  <c r="I130" i="2"/>
  <c r="J130" i="2"/>
  <c r="K130" i="2"/>
  <c r="L130" i="2"/>
  <c r="M130" i="2"/>
  <c r="N130" i="2"/>
  <c r="O130" i="2"/>
  <c r="P130" i="2"/>
  <c r="Q130" i="2"/>
  <c r="R130" i="2"/>
  <c r="S130" i="2"/>
  <c r="T130" i="2"/>
  <c r="V130" i="2"/>
  <c r="Z130" i="2"/>
  <c r="H131" i="2"/>
  <c r="I131" i="2"/>
  <c r="J131" i="2"/>
  <c r="K131" i="2"/>
  <c r="L131" i="2"/>
  <c r="M131" i="2"/>
  <c r="N131" i="2"/>
  <c r="O131" i="2"/>
  <c r="P131" i="2"/>
  <c r="Q131" i="2"/>
  <c r="R131" i="2"/>
  <c r="S131" i="2"/>
  <c r="T131" i="2"/>
  <c r="V131" i="2"/>
  <c r="Z131" i="2"/>
  <c r="H132" i="2"/>
  <c r="I132" i="2"/>
  <c r="J132" i="2"/>
  <c r="K132" i="2"/>
  <c r="L132" i="2"/>
  <c r="M132" i="2"/>
  <c r="N132" i="2"/>
  <c r="O132" i="2"/>
  <c r="P132" i="2"/>
  <c r="Q132" i="2"/>
  <c r="R132" i="2"/>
  <c r="S132" i="2"/>
  <c r="T132" i="2"/>
  <c r="V132" i="2"/>
  <c r="Z132" i="2"/>
  <c r="H133" i="2"/>
  <c r="I133" i="2"/>
  <c r="J133" i="2"/>
  <c r="K133" i="2"/>
  <c r="L133" i="2"/>
  <c r="M133" i="2"/>
  <c r="N133" i="2"/>
  <c r="O133" i="2"/>
  <c r="P133" i="2"/>
  <c r="Q133" i="2"/>
  <c r="R133" i="2"/>
  <c r="S133" i="2"/>
  <c r="T133" i="2"/>
  <c r="V133" i="2"/>
  <c r="Z133" i="2"/>
  <c r="H134" i="2"/>
  <c r="I134" i="2"/>
  <c r="J134" i="2"/>
  <c r="K134" i="2"/>
  <c r="L134" i="2"/>
  <c r="M134" i="2"/>
  <c r="N134" i="2"/>
  <c r="O134" i="2"/>
  <c r="P134" i="2"/>
  <c r="Q134" i="2"/>
  <c r="R134" i="2"/>
  <c r="S134" i="2"/>
  <c r="T134" i="2"/>
  <c r="V134" i="2"/>
  <c r="Z134" i="2"/>
  <c r="H135" i="2"/>
  <c r="I135" i="2"/>
  <c r="J135" i="2"/>
  <c r="K135" i="2"/>
  <c r="L135" i="2"/>
  <c r="M135" i="2"/>
  <c r="N135" i="2"/>
  <c r="O135" i="2"/>
  <c r="P135" i="2"/>
  <c r="Q135" i="2"/>
  <c r="R135" i="2"/>
  <c r="S135" i="2"/>
  <c r="T135" i="2"/>
  <c r="V135" i="2"/>
  <c r="Z135" i="2"/>
  <c r="H136" i="2"/>
  <c r="I136" i="2"/>
  <c r="J136" i="2"/>
  <c r="K136" i="2"/>
  <c r="L136" i="2"/>
  <c r="M136" i="2"/>
  <c r="N136" i="2"/>
  <c r="O136" i="2"/>
  <c r="P136" i="2"/>
  <c r="Q136" i="2"/>
  <c r="R136" i="2"/>
  <c r="S136" i="2"/>
  <c r="T136" i="2"/>
  <c r="V136" i="2"/>
  <c r="Z136" i="2"/>
  <c r="H137" i="2"/>
  <c r="I137" i="2"/>
  <c r="J137" i="2"/>
  <c r="K137" i="2"/>
  <c r="L137" i="2"/>
  <c r="M137" i="2"/>
  <c r="N137" i="2"/>
  <c r="O137" i="2"/>
  <c r="P137" i="2"/>
  <c r="Q137" i="2"/>
  <c r="R137" i="2"/>
  <c r="S137" i="2"/>
  <c r="T137" i="2"/>
  <c r="V137" i="2"/>
  <c r="Z137" i="2"/>
  <c r="H138" i="2"/>
  <c r="I138" i="2"/>
  <c r="J138" i="2"/>
  <c r="K138" i="2"/>
  <c r="L138" i="2"/>
  <c r="M138" i="2"/>
  <c r="N138" i="2"/>
  <c r="O138" i="2"/>
  <c r="P138" i="2"/>
  <c r="Q138" i="2"/>
  <c r="R138" i="2"/>
  <c r="S138" i="2"/>
  <c r="T138" i="2"/>
  <c r="V138" i="2"/>
  <c r="Z138" i="2"/>
  <c r="H139" i="2"/>
  <c r="I139" i="2"/>
  <c r="J139" i="2"/>
  <c r="K139" i="2"/>
  <c r="L139" i="2"/>
  <c r="M139" i="2"/>
  <c r="N139" i="2"/>
  <c r="O139" i="2"/>
  <c r="P139" i="2"/>
  <c r="Q139" i="2"/>
  <c r="R139" i="2"/>
  <c r="S139" i="2"/>
  <c r="T139" i="2"/>
  <c r="V139" i="2"/>
  <c r="Z139" i="2"/>
  <c r="H140" i="2"/>
  <c r="I140" i="2"/>
  <c r="J140" i="2"/>
  <c r="K140" i="2"/>
  <c r="L140" i="2"/>
  <c r="M140" i="2"/>
  <c r="N140" i="2"/>
  <c r="O140" i="2"/>
  <c r="P140" i="2"/>
  <c r="Q140" i="2"/>
  <c r="R140" i="2"/>
  <c r="S140" i="2"/>
  <c r="T140" i="2"/>
  <c r="V140" i="2"/>
  <c r="Z140" i="2"/>
  <c r="H141" i="2"/>
  <c r="I141" i="2"/>
  <c r="J141" i="2"/>
  <c r="K141" i="2"/>
  <c r="L141" i="2"/>
  <c r="M141" i="2"/>
  <c r="N141" i="2"/>
  <c r="O141" i="2"/>
  <c r="P141" i="2"/>
  <c r="Q141" i="2"/>
  <c r="R141" i="2"/>
  <c r="S141" i="2"/>
  <c r="T141" i="2"/>
  <c r="V141" i="2"/>
  <c r="Z141" i="2"/>
  <c r="H142" i="2"/>
  <c r="I142" i="2"/>
  <c r="J142" i="2"/>
  <c r="K142" i="2"/>
  <c r="L142" i="2"/>
  <c r="M142" i="2"/>
  <c r="N142" i="2"/>
  <c r="O142" i="2"/>
  <c r="P142" i="2"/>
  <c r="Q142" i="2"/>
  <c r="R142" i="2"/>
  <c r="S142" i="2"/>
  <c r="T142" i="2"/>
  <c r="V142" i="2"/>
  <c r="Z142" i="2"/>
  <c r="H143" i="2"/>
  <c r="I143" i="2"/>
  <c r="J143" i="2"/>
  <c r="K143" i="2"/>
  <c r="L143" i="2"/>
  <c r="M143" i="2"/>
  <c r="N143" i="2"/>
  <c r="O143" i="2"/>
  <c r="P143" i="2"/>
  <c r="Q143" i="2"/>
  <c r="R143" i="2"/>
  <c r="S143" i="2"/>
  <c r="T143" i="2"/>
  <c r="V143" i="2"/>
  <c r="Z143" i="2"/>
  <c r="H144" i="2"/>
  <c r="I144" i="2"/>
  <c r="J144" i="2"/>
  <c r="K144" i="2"/>
  <c r="L144" i="2"/>
  <c r="M144" i="2"/>
  <c r="N144" i="2"/>
  <c r="O144" i="2"/>
  <c r="P144" i="2"/>
  <c r="Q144" i="2"/>
  <c r="R144" i="2"/>
  <c r="S144" i="2"/>
  <c r="T144" i="2"/>
  <c r="V144" i="2"/>
  <c r="Z144" i="2"/>
  <c r="H145" i="2"/>
  <c r="I145" i="2"/>
  <c r="J145" i="2"/>
  <c r="K145" i="2"/>
  <c r="L145" i="2"/>
  <c r="M145" i="2"/>
  <c r="N145" i="2"/>
  <c r="O145" i="2"/>
  <c r="P145" i="2"/>
  <c r="Q145" i="2"/>
  <c r="R145" i="2"/>
  <c r="S145" i="2"/>
  <c r="T145" i="2"/>
  <c r="V145" i="2"/>
  <c r="Z145" i="2"/>
  <c r="H146" i="2"/>
  <c r="I146" i="2"/>
  <c r="J146" i="2"/>
  <c r="K146" i="2"/>
  <c r="L146" i="2"/>
  <c r="M146" i="2"/>
  <c r="N146" i="2"/>
  <c r="O146" i="2"/>
  <c r="P146" i="2"/>
  <c r="Q146" i="2"/>
  <c r="R146" i="2"/>
  <c r="S146" i="2"/>
  <c r="T146" i="2"/>
  <c r="V146" i="2"/>
  <c r="Z146" i="2"/>
  <c r="H147" i="2"/>
  <c r="I147" i="2"/>
  <c r="J147" i="2"/>
  <c r="K147" i="2"/>
  <c r="L147" i="2"/>
  <c r="M147" i="2"/>
  <c r="N147" i="2"/>
  <c r="O147" i="2"/>
  <c r="P147" i="2"/>
  <c r="Q147" i="2"/>
  <c r="R147" i="2"/>
  <c r="S147" i="2"/>
  <c r="T147" i="2"/>
  <c r="V147" i="2"/>
  <c r="Z147" i="2"/>
  <c r="H148" i="2"/>
  <c r="I148" i="2"/>
  <c r="J148" i="2"/>
  <c r="K148" i="2"/>
  <c r="L148" i="2"/>
  <c r="M148" i="2"/>
  <c r="N148" i="2"/>
  <c r="O148" i="2"/>
  <c r="P148" i="2"/>
  <c r="Q148" i="2"/>
  <c r="R148" i="2"/>
  <c r="S148" i="2"/>
  <c r="T148" i="2"/>
  <c r="V148" i="2"/>
  <c r="Z148" i="2"/>
  <c r="H149" i="2"/>
  <c r="I149" i="2"/>
  <c r="J149" i="2"/>
  <c r="K149" i="2"/>
  <c r="L149" i="2"/>
  <c r="M149" i="2"/>
  <c r="N149" i="2"/>
  <c r="O149" i="2"/>
  <c r="P149" i="2"/>
  <c r="Q149" i="2"/>
  <c r="R149" i="2"/>
  <c r="S149" i="2"/>
  <c r="T149" i="2"/>
  <c r="V149" i="2"/>
  <c r="Z149" i="2"/>
  <c r="H150" i="2"/>
  <c r="I150" i="2"/>
  <c r="J150" i="2"/>
  <c r="K150" i="2"/>
  <c r="L150" i="2"/>
  <c r="M150" i="2"/>
  <c r="N150" i="2"/>
  <c r="O150" i="2"/>
  <c r="P150" i="2"/>
  <c r="Q150" i="2"/>
  <c r="R150" i="2"/>
  <c r="S150" i="2"/>
  <c r="T150" i="2"/>
  <c r="V150" i="2"/>
  <c r="Z150" i="2"/>
  <c r="H151" i="2"/>
  <c r="I151" i="2"/>
  <c r="J151" i="2"/>
  <c r="K151" i="2"/>
  <c r="L151" i="2"/>
  <c r="M151" i="2"/>
  <c r="N151" i="2"/>
  <c r="O151" i="2"/>
  <c r="P151" i="2"/>
  <c r="Q151" i="2"/>
  <c r="R151" i="2"/>
  <c r="S151" i="2"/>
  <c r="T151" i="2"/>
  <c r="V151" i="2"/>
  <c r="Z151" i="2"/>
  <c r="H152" i="2"/>
  <c r="I152" i="2"/>
  <c r="J152" i="2"/>
  <c r="K152" i="2"/>
  <c r="L152" i="2"/>
  <c r="M152" i="2"/>
  <c r="N152" i="2"/>
  <c r="O152" i="2"/>
  <c r="P152" i="2"/>
  <c r="Q152" i="2"/>
  <c r="R152" i="2"/>
  <c r="S152" i="2"/>
  <c r="T152" i="2"/>
  <c r="V152" i="2"/>
  <c r="Z152" i="2"/>
  <c r="H153" i="2"/>
  <c r="I153" i="2"/>
  <c r="J153" i="2"/>
  <c r="K153" i="2"/>
  <c r="L153" i="2"/>
  <c r="M153" i="2"/>
  <c r="N153" i="2"/>
  <c r="O153" i="2"/>
  <c r="P153" i="2"/>
  <c r="Q153" i="2"/>
  <c r="R153" i="2"/>
  <c r="S153" i="2"/>
  <c r="T153" i="2"/>
  <c r="V153" i="2"/>
  <c r="Z153" i="2"/>
  <c r="H154" i="2"/>
  <c r="I154" i="2"/>
  <c r="J154" i="2"/>
  <c r="K154" i="2"/>
  <c r="L154" i="2"/>
  <c r="M154" i="2"/>
  <c r="N154" i="2"/>
  <c r="O154" i="2"/>
  <c r="P154" i="2"/>
  <c r="Q154" i="2"/>
  <c r="R154" i="2"/>
  <c r="S154" i="2"/>
  <c r="T154" i="2"/>
  <c r="V154" i="2"/>
  <c r="Z154" i="2"/>
  <c r="H155" i="2"/>
  <c r="I155" i="2"/>
  <c r="J155" i="2"/>
  <c r="K155" i="2"/>
  <c r="L155" i="2"/>
  <c r="M155" i="2"/>
  <c r="N155" i="2"/>
  <c r="O155" i="2"/>
  <c r="P155" i="2"/>
  <c r="Q155" i="2"/>
  <c r="R155" i="2"/>
  <c r="S155" i="2"/>
  <c r="T155" i="2"/>
  <c r="V155" i="2"/>
  <c r="Z155" i="2"/>
  <c r="H156" i="2"/>
  <c r="I156" i="2"/>
  <c r="J156" i="2"/>
  <c r="K156" i="2"/>
  <c r="L156" i="2"/>
  <c r="M156" i="2"/>
  <c r="N156" i="2"/>
  <c r="O156" i="2"/>
  <c r="P156" i="2"/>
  <c r="Q156" i="2"/>
  <c r="R156" i="2"/>
  <c r="S156" i="2"/>
  <c r="T156" i="2"/>
  <c r="V156" i="2"/>
  <c r="Z156" i="2"/>
  <c r="H157" i="2"/>
  <c r="I157" i="2"/>
  <c r="J157" i="2"/>
  <c r="K157" i="2"/>
  <c r="L157" i="2"/>
  <c r="M157" i="2"/>
  <c r="N157" i="2"/>
  <c r="O157" i="2"/>
  <c r="P157" i="2"/>
  <c r="Q157" i="2"/>
  <c r="R157" i="2"/>
  <c r="S157" i="2"/>
  <c r="T157" i="2"/>
  <c r="V157" i="2"/>
  <c r="Z157" i="2"/>
  <c r="H158" i="2"/>
  <c r="I158" i="2"/>
  <c r="J158" i="2"/>
  <c r="K158" i="2"/>
  <c r="L158" i="2"/>
  <c r="M158" i="2"/>
  <c r="N158" i="2"/>
  <c r="O158" i="2"/>
  <c r="P158" i="2"/>
  <c r="Q158" i="2"/>
  <c r="R158" i="2"/>
  <c r="S158" i="2"/>
  <c r="T158" i="2"/>
  <c r="V158" i="2"/>
  <c r="Z158" i="2"/>
  <c r="H159" i="2"/>
  <c r="I159" i="2"/>
  <c r="J159" i="2"/>
  <c r="K159" i="2"/>
  <c r="L159" i="2"/>
  <c r="M159" i="2"/>
  <c r="N159" i="2"/>
  <c r="O159" i="2"/>
  <c r="P159" i="2"/>
  <c r="Q159" i="2"/>
  <c r="R159" i="2"/>
  <c r="S159" i="2"/>
  <c r="T159" i="2"/>
  <c r="V159" i="2"/>
  <c r="Z159" i="2"/>
  <c r="H160" i="2"/>
  <c r="I160" i="2"/>
  <c r="J160" i="2"/>
  <c r="K160" i="2"/>
  <c r="L160" i="2"/>
  <c r="M160" i="2"/>
  <c r="N160" i="2"/>
  <c r="O160" i="2"/>
  <c r="P160" i="2"/>
  <c r="Q160" i="2"/>
  <c r="R160" i="2"/>
  <c r="S160" i="2"/>
  <c r="T160" i="2"/>
  <c r="V160" i="2"/>
  <c r="Z160" i="2"/>
  <c r="H161" i="2"/>
  <c r="I161" i="2"/>
  <c r="J161" i="2"/>
  <c r="K161" i="2"/>
  <c r="L161" i="2"/>
  <c r="M161" i="2"/>
  <c r="N161" i="2"/>
  <c r="O161" i="2"/>
  <c r="P161" i="2"/>
  <c r="Q161" i="2"/>
  <c r="R161" i="2"/>
  <c r="S161" i="2"/>
  <c r="T161" i="2"/>
  <c r="V161" i="2"/>
  <c r="Z161" i="2"/>
  <c r="H162" i="2"/>
  <c r="I162" i="2"/>
  <c r="J162" i="2"/>
  <c r="K162" i="2"/>
  <c r="L162" i="2"/>
  <c r="M162" i="2"/>
  <c r="N162" i="2"/>
  <c r="O162" i="2"/>
  <c r="P162" i="2"/>
  <c r="Q162" i="2"/>
  <c r="R162" i="2"/>
  <c r="S162" i="2"/>
  <c r="T162" i="2"/>
  <c r="V162" i="2"/>
  <c r="Z162" i="2"/>
  <c r="H163" i="2"/>
  <c r="I163" i="2"/>
  <c r="J163" i="2"/>
  <c r="K163" i="2"/>
  <c r="L163" i="2"/>
  <c r="M163" i="2"/>
  <c r="N163" i="2"/>
  <c r="O163" i="2"/>
  <c r="P163" i="2"/>
  <c r="Q163" i="2"/>
  <c r="R163" i="2"/>
  <c r="S163" i="2"/>
  <c r="T163" i="2"/>
  <c r="V163" i="2"/>
  <c r="Z163" i="2"/>
  <c r="H164" i="2"/>
  <c r="I164" i="2"/>
  <c r="J164" i="2"/>
  <c r="K164" i="2"/>
  <c r="L164" i="2"/>
  <c r="M164" i="2"/>
  <c r="N164" i="2"/>
  <c r="O164" i="2"/>
  <c r="P164" i="2"/>
  <c r="Q164" i="2"/>
  <c r="R164" i="2"/>
  <c r="S164" i="2"/>
  <c r="T164" i="2"/>
  <c r="V164" i="2"/>
  <c r="Z164" i="2"/>
  <c r="H165" i="2"/>
  <c r="I165" i="2"/>
  <c r="J165" i="2"/>
  <c r="K165" i="2"/>
  <c r="L165" i="2"/>
  <c r="M165" i="2"/>
  <c r="N165" i="2"/>
  <c r="O165" i="2"/>
  <c r="P165" i="2"/>
  <c r="Q165" i="2"/>
  <c r="R165" i="2"/>
  <c r="S165" i="2"/>
  <c r="T165" i="2"/>
  <c r="V165" i="2"/>
  <c r="Z165" i="2"/>
  <c r="H166" i="2"/>
  <c r="I166" i="2"/>
  <c r="J166" i="2"/>
  <c r="K166" i="2"/>
  <c r="L166" i="2"/>
  <c r="M166" i="2"/>
  <c r="N166" i="2"/>
  <c r="O166" i="2"/>
  <c r="P166" i="2"/>
  <c r="Q166" i="2"/>
  <c r="R166" i="2"/>
  <c r="S166" i="2"/>
  <c r="T166" i="2"/>
  <c r="V166" i="2"/>
  <c r="Z166" i="2"/>
  <c r="H167" i="2"/>
  <c r="I167" i="2"/>
  <c r="J167" i="2"/>
  <c r="K167" i="2"/>
  <c r="L167" i="2"/>
  <c r="M167" i="2"/>
  <c r="N167" i="2"/>
  <c r="O167" i="2"/>
  <c r="P167" i="2"/>
  <c r="Q167" i="2"/>
  <c r="R167" i="2"/>
  <c r="S167" i="2"/>
  <c r="T167" i="2"/>
  <c r="V167" i="2"/>
  <c r="Z167" i="2"/>
  <c r="H168" i="2"/>
  <c r="I168" i="2"/>
  <c r="J168" i="2"/>
  <c r="K168" i="2"/>
  <c r="L168" i="2"/>
  <c r="M168" i="2"/>
  <c r="N168" i="2"/>
  <c r="O168" i="2"/>
  <c r="P168" i="2"/>
  <c r="Q168" i="2"/>
  <c r="R168" i="2"/>
  <c r="S168" i="2"/>
  <c r="T168" i="2"/>
  <c r="V168" i="2"/>
  <c r="Z168" i="2"/>
  <c r="H169" i="2"/>
  <c r="I169" i="2"/>
  <c r="J169" i="2"/>
  <c r="K169" i="2"/>
  <c r="L169" i="2"/>
  <c r="M169" i="2"/>
  <c r="N169" i="2"/>
  <c r="O169" i="2"/>
  <c r="P169" i="2"/>
  <c r="Q169" i="2"/>
  <c r="R169" i="2"/>
  <c r="S169" i="2"/>
  <c r="T169" i="2"/>
  <c r="V169" i="2"/>
  <c r="Z169" i="2"/>
  <c r="H170" i="2"/>
  <c r="I170" i="2"/>
  <c r="J170" i="2"/>
  <c r="K170" i="2"/>
  <c r="L170" i="2"/>
  <c r="M170" i="2"/>
  <c r="N170" i="2"/>
  <c r="O170" i="2"/>
  <c r="P170" i="2"/>
  <c r="Q170" i="2"/>
  <c r="R170" i="2"/>
  <c r="S170" i="2"/>
  <c r="T170" i="2"/>
  <c r="V170" i="2"/>
  <c r="Z170" i="2"/>
  <c r="H171" i="2"/>
  <c r="I171" i="2"/>
  <c r="J171" i="2"/>
  <c r="K171" i="2"/>
  <c r="L171" i="2"/>
  <c r="M171" i="2"/>
  <c r="N171" i="2"/>
  <c r="O171" i="2"/>
  <c r="P171" i="2"/>
  <c r="Q171" i="2"/>
  <c r="R171" i="2"/>
  <c r="S171" i="2"/>
  <c r="T171" i="2"/>
  <c r="V171" i="2"/>
  <c r="Z171" i="2"/>
  <c r="H172" i="2"/>
  <c r="I172" i="2"/>
  <c r="J172" i="2"/>
  <c r="K172" i="2"/>
  <c r="L172" i="2"/>
  <c r="M172" i="2"/>
  <c r="N172" i="2"/>
  <c r="O172" i="2"/>
  <c r="P172" i="2"/>
  <c r="Q172" i="2"/>
  <c r="R172" i="2"/>
  <c r="S172" i="2"/>
  <c r="T172" i="2"/>
  <c r="V172" i="2"/>
  <c r="Z172" i="2"/>
  <c r="H173" i="2"/>
  <c r="I173" i="2"/>
  <c r="J173" i="2"/>
  <c r="K173" i="2"/>
  <c r="L173" i="2"/>
  <c r="M173" i="2"/>
  <c r="N173" i="2"/>
  <c r="O173" i="2"/>
  <c r="P173" i="2"/>
  <c r="Q173" i="2"/>
  <c r="R173" i="2"/>
  <c r="S173" i="2"/>
  <c r="T173" i="2"/>
  <c r="V173" i="2"/>
  <c r="Z173" i="2"/>
  <c r="H174" i="2"/>
  <c r="I174" i="2"/>
  <c r="J174" i="2"/>
  <c r="K174" i="2"/>
  <c r="L174" i="2"/>
  <c r="M174" i="2"/>
  <c r="N174" i="2"/>
  <c r="O174" i="2"/>
  <c r="P174" i="2"/>
  <c r="Q174" i="2"/>
  <c r="R174" i="2"/>
  <c r="S174" i="2"/>
  <c r="T174" i="2"/>
  <c r="V174" i="2"/>
  <c r="Z174" i="2"/>
  <c r="H175" i="2"/>
  <c r="I175" i="2"/>
  <c r="J175" i="2"/>
  <c r="K175" i="2"/>
  <c r="L175" i="2"/>
  <c r="M175" i="2"/>
  <c r="N175" i="2"/>
  <c r="O175" i="2"/>
  <c r="P175" i="2"/>
  <c r="Q175" i="2"/>
  <c r="R175" i="2"/>
  <c r="S175" i="2"/>
  <c r="T175" i="2"/>
  <c r="V175" i="2"/>
  <c r="Z175" i="2"/>
  <c r="H176" i="2"/>
  <c r="I176" i="2"/>
  <c r="J176" i="2"/>
  <c r="K176" i="2"/>
  <c r="L176" i="2"/>
  <c r="M176" i="2"/>
  <c r="N176" i="2"/>
  <c r="O176" i="2"/>
  <c r="P176" i="2"/>
  <c r="Q176" i="2"/>
  <c r="R176" i="2"/>
  <c r="S176" i="2"/>
  <c r="T176" i="2"/>
  <c r="V176" i="2"/>
  <c r="Z176" i="2"/>
  <c r="H177" i="2"/>
  <c r="I177" i="2"/>
  <c r="J177" i="2"/>
  <c r="K177" i="2"/>
  <c r="L177" i="2"/>
  <c r="M177" i="2"/>
  <c r="N177" i="2"/>
  <c r="O177" i="2"/>
  <c r="P177" i="2"/>
  <c r="Q177" i="2"/>
  <c r="R177" i="2"/>
  <c r="S177" i="2"/>
  <c r="T177" i="2"/>
  <c r="V177" i="2"/>
  <c r="Z177" i="2"/>
  <c r="H178" i="2"/>
  <c r="I178" i="2"/>
  <c r="J178" i="2"/>
  <c r="K178" i="2"/>
  <c r="L178" i="2"/>
  <c r="M178" i="2"/>
  <c r="N178" i="2"/>
  <c r="O178" i="2"/>
  <c r="P178" i="2"/>
  <c r="Q178" i="2"/>
  <c r="R178" i="2"/>
  <c r="S178" i="2"/>
  <c r="T178" i="2"/>
  <c r="V178" i="2"/>
  <c r="Z178" i="2"/>
  <c r="H179" i="2"/>
  <c r="I179" i="2"/>
  <c r="J179" i="2"/>
  <c r="K179" i="2"/>
  <c r="L179" i="2"/>
  <c r="M179" i="2"/>
  <c r="N179" i="2"/>
  <c r="O179" i="2"/>
  <c r="P179" i="2"/>
  <c r="Q179" i="2"/>
  <c r="R179" i="2"/>
  <c r="S179" i="2"/>
  <c r="T179" i="2"/>
  <c r="V179" i="2"/>
  <c r="Z179" i="2"/>
  <c r="H180" i="2"/>
  <c r="I180" i="2"/>
  <c r="J180" i="2"/>
  <c r="K180" i="2"/>
  <c r="L180" i="2"/>
  <c r="M180" i="2"/>
  <c r="N180" i="2"/>
  <c r="O180" i="2"/>
  <c r="P180" i="2"/>
  <c r="Q180" i="2"/>
  <c r="R180" i="2"/>
  <c r="S180" i="2"/>
  <c r="T180" i="2"/>
  <c r="V180" i="2"/>
  <c r="Z180" i="2"/>
  <c r="H181" i="2"/>
  <c r="I181" i="2"/>
  <c r="J181" i="2"/>
  <c r="K181" i="2"/>
  <c r="L181" i="2"/>
  <c r="M181" i="2"/>
  <c r="N181" i="2"/>
  <c r="O181" i="2"/>
  <c r="P181" i="2"/>
  <c r="Q181" i="2"/>
  <c r="R181" i="2"/>
  <c r="S181" i="2"/>
  <c r="T181" i="2"/>
  <c r="V181" i="2"/>
  <c r="Z181" i="2"/>
  <c r="H182" i="2"/>
  <c r="I182" i="2"/>
  <c r="J182" i="2"/>
  <c r="K182" i="2"/>
  <c r="L182" i="2"/>
  <c r="M182" i="2"/>
  <c r="N182" i="2"/>
  <c r="O182" i="2"/>
  <c r="P182" i="2"/>
  <c r="Q182" i="2"/>
  <c r="R182" i="2"/>
  <c r="S182" i="2"/>
  <c r="T182" i="2"/>
  <c r="V182" i="2"/>
  <c r="Z182" i="2"/>
  <c r="H183" i="2"/>
  <c r="I183" i="2"/>
  <c r="J183" i="2"/>
  <c r="K183" i="2"/>
  <c r="L183" i="2"/>
  <c r="M183" i="2"/>
  <c r="N183" i="2"/>
  <c r="O183" i="2"/>
  <c r="P183" i="2"/>
  <c r="Q183" i="2"/>
  <c r="R183" i="2"/>
  <c r="S183" i="2"/>
  <c r="T183" i="2"/>
  <c r="V183" i="2"/>
  <c r="Z183" i="2"/>
  <c r="H184" i="2"/>
  <c r="I184" i="2"/>
  <c r="J184" i="2"/>
  <c r="K184" i="2"/>
  <c r="L184" i="2"/>
  <c r="M184" i="2"/>
  <c r="N184" i="2"/>
  <c r="O184" i="2"/>
  <c r="P184" i="2"/>
  <c r="Q184" i="2"/>
  <c r="R184" i="2"/>
  <c r="S184" i="2"/>
  <c r="T184" i="2"/>
  <c r="V184" i="2"/>
  <c r="Z184" i="2"/>
  <c r="H185" i="2"/>
  <c r="I185" i="2"/>
  <c r="J185" i="2"/>
  <c r="K185" i="2"/>
  <c r="L185" i="2"/>
  <c r="M185" i="2"/>
  <c r="N185" i="2"/>
  <c r="O185" i="2"/>
  <c r="P185" i="2"/>
  <c r="Q185" i="2"/>
  <c r="R185" i="2"/>
  <c r="S185" i="2"/>
  <c r="T185" i="2"/>
  <c r="V185" i="2"/>
  <c r="Z185" i="2"/>
  <c r="H186" i="2"/>
  <c r="I186" i="2"/>
  <c r="J186" i="2"/>
  <c r="K186" i="2"/>
  <c r="L186" i="2"/>
  <c r="M186" i="2"/>
  <c r="N186" i="2"/>
  <c r="O186" i="2"/>
  <c r="P186" i="2"/>
  <c r="Q186" i="2"/>
  <c r="R186" i="2"/>
  <c r="S186" i="2"/>
  <c r="T186" i="2"/>
  <c r="V186" i="2"/>
  <c r="Z186" i="2"/>
  <c r="H187" i="2"/>
  <c r="I187" i="2"/>
  <c r="J187" i="2"/>
  <c r="K187" i="2"/>
  <c r="L187" i="2"/>
  <c r="M187" i="2"/>
  <c r="N187" i="2"/>
  <c r="O187" i="2"/>
  <c r="P187" i="2"/>
  <c r="Q187" i="2"/>
  <c r="R187" i="2"/>
  <c r="S187" i="2"/>
  <c r="T187" i="2"/>
  <c r="V187" i="2"/>
  <c r="Z187" i="2"/>
  <c r="H188" i="2"/>
  <c r="I188" i="2"/>
  <c r="J188" i="2"/>
  <c r="K188" i="2"/>
  <c r="L188" i="2"/>
  <c r="M188" i="2"/>
  <c r="N188" i="2"/>
  <c r="O188" i="2"/>
  <c r="P188" i="2"/>
  <c r="Q188" i="2"/>
  <c r="R188" i="2"/>
  <c r="S188" i="2"/>
  <c r="T188" i="2"/>
  <c r="V188" i="2"/>
  <c r="Z188" i="2"/>
  <c r="H189" i="2"/>
  <c r="I189" i="2"/>
  <c r="J189" i="2"/>
  <c r="K189" i="2"/>
  <c r="L189" i="2"/>
  <c r="M189" i="2"/>
  <c r="N189" i="2"/>
  <c r="O189" i="2"/>
  <c r="P189" i="2"/>
  <c r="Q189" i="2"/>
  <c r="R189" i="2"/>
  <c r="S189" i="2"/>
  <c r="T189" i="2"/>
  <c r="V189" i="2"/>
  <c r="Z189" i="2"/>
  <c r="H190" i="2"/>
  <c r="I190" i="2"/>
  <c r="J190" i="2"/>
  <c r="K190" i="2"/>
  <c r="L190" i="2"/>
  <c r="M190" i="2"/>
  <c r="N190" i="2"/>
  <c r="O190" i="2"/>
  <c r="P190" i="2"/>
  <c r="Q190" i="2"/>
  <c r="R190" i="2"/>
  <c r="S190" i="2"/>
  <c r="T190" i="2"/>
  <c r="V190" i="2"/>
  <c r="Z190" i="2"/>
  <c r="H191" i="2"/>
  <c r="I191" i="2"/>
  <c r="J191" i="2"/>
  <c r="K191" i="2"/>
  <c r="L191" i="2"/>
  <c r="M191" i="2"/>
  <c r="N191" i="2"/>
  <c r="O191" i="2"/>
  <c r="P191" i="2"/>
  <c r="Q191" i="2"/>
  <c r="R191" i="2"/>
  <c r="S191" i="2"/>
  <c r="T191" i="2"/>
  <c r="V191" i="2"/>
  <c r="Z191" i="2"/>
  <c r="H192" i="2"/>
  <c r="I192" i="2"/>
  <c r="J192" i="2"/>
  <c r="K192" i="2"/>
  <c r="L192" i="2"/>
  <c r="M192" i="2"/>
  <c r="N192" i="2"/>
  <c r="O192" i="2"/>
  <c r="P192" i="2"/>
  <c r="Q192" i="2"/>
  <c r="R192" i="2"/>
  <c r="S192" i="2"/>
  <c r="T192" i="2"/>
  <c r="V192" i="2"/>
  <c r="Z192" i="2"/>
  <c r="H193" i="2"/>
  <c r="I193" i="2"/>
  <c r="J193" i="2"/>
  <c r="K193" i="2"/>
  <c r="L193" i="2"/>
  <c r="M193" i="2"/>
  <c r="N193" i="2"/>
  <c r="O193" i="2"/>
  <c r="P193" i="2"/>
  <c r="Q193" i="2"/>
  <c r="R193" i="2"/>
  <c r="S193" i="2"/>
  <c r="T193" i="2"/>
  <c r="V193" i="2"/>
  <c r="Z193" i="2"/>
  <c r="H194" i="2"/>
  <c r="I194" i="2"/>
  <c r="J194" i="2"/>
  <c r="K194" i="2"/>
  <c r="L194" i="2"/>
  <c r="M194" i="2"/>
  <c r="N194" i="2"/>
  <c r="O194" i="2"/>
  <c r="P194" i="2"/>
  <c r="Q194" i="2"/>
  <c r="R194" i="2"/>
  <c r="S194" i="2"/>
  <c r="T194" i="2"/>
  <c r="V194" i="2"/>
  <c r="Z194" i="2"/>
  <c r="H195" i="2"/>
  <c r="I195" i="2"/>
  <c r="J195" i="2"/>
  <c r="K195" i="2"/>
  <c r="L195" i="2"/>
  <c r="M195" i="2"/>
  <c r="N195" i="2"/>
  <c r="O195" i="2"/>
  <c r="P195" i="2"/>
  <c r="Q195" i="2"/>
  <c r="R195" i="2"/>
  <c r="S195" i="2"/>
  <c r="T195" i="2"/>
  <c r="V195" i="2"/>
  <c r="Z195" i="2"/>
  <c r="H196" i="2"/>
  <c r="I196" i="2"/>
  <c r="J196" i="2"/>
  <c r="K196" i="2"/>
  <c r="L196" i="2"/>
  <c r="M196" i="2"/>
  <c r="N196" i="2"/>
  <c r="O196" i="2"/>
  <c r="P196" i="2"/>
  <c r="Q196" i="2"/>
  <c r="R196" i="2"/>
  <c r="S196" i="2"/>
  <c r="T196" i="2"/>
  <c r="V196" i="2"/>
  <c r="Z196" i="2"/>
  <c r="H197" i="2"/>
  <c r="I197" i="2"/>
  <c r="J197" i="2"/>
  <c r="K197" i="2"/>
  <c r="L197" i="2"/>
  <c r="M197" i="2"/>
  <c r="N197" i="2"/>
  <c r="O197" i="2"/>
  <c r="P197" i="2"/>
  <c r="Q197" i="2"/>
  <c r="R197" i="2"/>
  <c r="S197" i="2"/>
  <c r="T197" i="2"/>
  <c r="V197" i="2"/>
  <c r="Z197" i="2"/>
  <c r="H198" i="2"/>
  <c r="I198" i="2"/>
  <c r="J198" i="2"/>
  <c r="K198" i="2"/>
  <c r="L198" i="2"/>
  <c r="M198" i="2"/>
  <c r="N198" i="2"/>
  <c r="O198" i="2"/>
  <c r="P198" i="2"/>
  <c r="Q198" i="2"/>
  <c r="R198" i="2"/>
  <c r="S198" i="2"/>
  <c r="T198" i="2"/>
  <c r="V198" i="2"/>
  <c r="Z198" i="2"/>
  <c r="H199" i="2"/>
  <c r="I199" i="2"/>
  <c r="J199" i="2"/>
  <c r="K199" i="2"/>
  <c r="L199" i="2"/>
  <c r="M199" i="2"/>
  <c r="N199" i="2"/>
  <c r="O199" i="2"/>
  <c r="P199" i="2"/>
  <c r="Q199" i="2"/>
  <c r="R199" i="2"/>
  <c r="S199" i="2"/>
  <c r="T199" i="2"/>
  <c r="V199" i="2"/>
  <c r="Z199" i="2"/>
  <c r="H200" i="2"/>
  <c r="I200" i="2"/>
  <c r="J200" i="2"/>
  <c r="K200" i="2"/>
  <c r="L200" i="2"/>
  <c r="M200" i="2"/>
  <c r="N200" i="2"/>
  <c r="O200" i="2"/>
  <c r="P200" i="2"/>
  <c r="Q200" i="2"/>
  <c r="R200" i="2"/>
  <c r="S200" i="2"/>
  <c r="T200" i="2"/>
  <c r="V200" i="2"/>
  <c r="Z200" i="2"/>
  <c r="H201" i="2"/>
  <c r="I201" i="2"/>
  <c r="J201" i="2"/>
  <c r="K201" i="2"/>
  <c r="L201" i="2"/>
  <c r="M201" i="2"/>
  <c r="N201" i="2"/>
  <c r="O201" i="2"/>
  <c r="P201" i="2"/>
  <c r="Q201" i="2"/>
  <c r="R201" i="2"/>
  <c r="S201" i="2"/>
  <c r="T201" i="2"/>
  <c r="V201" i="2"/>
  <c r="Z201" i="2"/>
  <c r="H202" i="2"/>
  <c r="I202" i="2"/>
  <c r="J202" i="2"/>
  <c r="K202" i="2"/>
  <c r="L202" i="2"/>
  <c r="M202" i="2"/>
  <c r="N202" i="2"/>
  <c r="O202" i="2"/>
  <c r="P202" i="2"/>
  <c r="Q202" i="2"/>
  <c r="R202" i="2"/>
  <c r="S202" i="2"/>
  <c r="T202" i="2"/>
  <c r="V202" i="2"/>
  <c r="Z202" i="2"/>
  <c r="H203" i="2"/>
  <c r="I203" i="2"/>
  <c r="J203" i="2"/>
  <c r="K203" i="2"/>
  <c r="L203" i="2"/>
  <c r="M203" i="2"/>
  <c r="N203" i="2"/>
  <c r="O203" i="2"/>
  <c r="P203" i="2"/>
  <c r="Q203" i="2"/>
  <c r="R203" i="2"/>
  <c r="S203" i="2"/>
  <c r="T203" i="2"/>
  <c r="V203" i="2"/>
  <c r="Z203" i="2"/>
  <c r="H204" i="2"/>
  <c r="I204" i="2"/>
  <c r="J204" i="2"/>
  <c r="K204" i="2"/>
  <c r="L204" i="2"/>
  <c r="M204" i="2"/>
  <c r="N204" i="2"/>
  <c r="O204" i="2"/>
  <c r="P204" i="2"/>
  <c r="Q204" i="2"/>
  <c r="R204" i="2"/>
  <c r="S204" i="2"/>
  <c r="T204" i="2"/>
  <c r="V204" i="2"/>
  <c r="Z204" i="2"/>
  <c r="H205" i="2"/>
  <c r="I205" i="2"/>
  <c r="J205" i="2"/>
  <c r="K205" i="2"/>
  <c r="L205" i="2"/>
  <c r="M205" i="2"/>
  <c r="N205" i="2"/>
  <c r="O205" i="2"/>
  <c r="P205" i="2"/>
  <c r="Q205" i="2"/>
  <c r="R205" i="2"/>
  <c r="S205" i="2"/>
  <c r="T205" i="2"/>
  <c r="V205" i="2"/>
  <c r="Z205" i="2"/>
  <c r="H206" i="2"/>
  <c r="I206" i="2"/>
  <c r="J206" i="2"/>
  <c r="K206" i="2"/>
  <c r="L206" i="2"/>
  <c r="M206" i="2"/>
  <c r="N206" i="2"/>
  <c r="O206" i="2"/>
  <c r="P206" i="2"/>
  <c r="Q206" i="2"/>
  <c r="R206" i="2"/>
  <c r="S206" i="2"/>
  <c r="T206" i="2"/>
  <c r="V206" i="2"/>
  <c r="Z206" i="2"/>
  <c r="H207" i="2"/>
  <c r="I207" i="2"/>
  <c r="J207" i="2"/>
  <c r="K207" i="2"/>
  <c r="L207" i="2"/>
  <c r="M207" i="2"/>
  <c r="N207" i="2"/>
  <c r="O207" i="2"/>
  <c r="P207" i="2"/>
  <c r="Q207" i="2"/>
  <c r="R207" i="2"/>
  <c r="S207" i="2"/>
  <c r="T207" i="2"/>
  <c r="V207" i="2"/>
  <c r="Z207" i="2"/>
  <c r="H208" i="2"/>
  <c r="I208" i="2"/>
  <c r="J208" i="2"/>
  <c r="K208" i="2"/>
  <c r="L208" i="2"/>
  <c r="M208" i="2"/>
  <c r="N208" i="2"/>
  <c r="O208" i="2"/>
  <c r="P208" i="2"/>
  <c r="Q208" i="2"/>
  <c r="R208" i="2"/>
  <c r="S208" i="2"/>
  <c r="T208" i="2"/>
  <c r="V208" i="2"/>
  <c r="Z208" i="2"/>
  <c r="H209" i="2"/>
  <c r="I209" i="2"/>
  <c r="J209" i="2"/>
  <c r="K209" i="2"/>
  <c r="L209" i="2"/>
  <c r="M209" i="2"/>
  <c r="N209" i="2"/>
  <c r="O209" i="2"/>
  <c r="P209" i="2"/>
  <c r="Q209" i="2"/>
  <c r="R209" i="2"/>
  <c r="S209" i="2"/>
  <c r="T209" i="2"/>
  <c r="V209" i="2"/>
  <c r="Z209" i="2"/>
  <c r="H210" i="2"/>
  <c r="I210" i="2"/>
  <c r="J210" i="2"/>
  <c r="K210" i="2"/>
  <c r="L210" i="2"/>
  <c r="M210" i="2"/>
  <c r="N210" i="2"/>
  <c r="O210" i="2"/>
  <c r="P210" i="2"/>
  <c r="Q210" i="2"/>
  <c r="R210" i="2"/>
  <c r="S210" i="2"/>
  <c r="T210" i="2"/>
  <c r="V210" i="2"/>
  <c r="Z210" i="2"/>
  <c r="H211" i="2"/>
  <c r="I211" i="2"/>
  <c r="J211" i="2"/>
  <c r="K211" i="2"/>
  <c r="L211" i="2"/>
  <c r="M211" i="2"/>
  <c r="N211" i="2"/>
  <c r="O211" i="2"/>
  <c r="P211" i="2"/>
  <c r="Q211" i="2"/>
  <c r="R211" i="2"/>
  <c r="S211" i="2"/>
  <c r="T211" i="2"/>
  <c r="V211" i="2"/>
  <c r="Z211" i="2"/>
  <c r="H212" i="2"/>
  <c r="I212" i="2"/>
  <c r="J212" i="2"/>
  <c r="K212" i="2"/>
  <c r="L212" i="2"/>
  <c r="M212" i="2"/>
  <c r="N212" i="2"/>
  <c r="O212" i="2"/>
  <c r="P212" i="2"/>
  <c r="Q212" i="2"/>
  <c r="R212" i="2"/>
  <c r="S212" i="2"/>
  <c r="T212" i="2"/>
  <c r="V212" i="2"/>
  <c r="Z212" i="2"/>
  <c r="H213" i="2"/>
  <c r="I213" i="2"/>
  <c r="J213" i="2"/>
  <c r="K213" i="2"/>
  <c r="L213" i="2"/>
  <c r="M213" i="2"/>
  <c r="N213" i="2"/>
  <c r="O213" i="2"/>
  <c r="P213" i="2"/>
  <c r="Q213" i="2"/>
  <c r="R213" i="2"/>
  <c r="S213" i="2"/>
  <c r="T213" i="2"/>
  <c r="V213" i="2"/>
  <c r="Z213" i="2"/>
  <c r="H214" i="2"/>
  <c r="I214" i="2"/>
  <c r="J214" i="2"/>
  <c r="K214" i="2"/>
  <c r="L214" i="2"/>
  <c r="M214" i="2"/>
  <c r="N214" i="2"/>
  <c r="O214" i="2"/>
  <c r="P214" i="2"/>
  <c r="Q214" i="2"/>
  <c r="R214" i="2"/>
  <c r="S214" i="2"/>
  <c r="T214" i="2"/>
  <c r="V214" i="2"/>
  <c r="Z214" i="2"/>
  <c r="H215" i="2"/>
  <c r="I215" i="2"/>
  <c r="J215" i="2"/>
  <c r="K215" i="2"/>
  <c r="L215" i="2"/>
  <c r="M215" i="2"/>
  <c r="N215" i="2"/>
  <c r="O215" i="2"/>
  <c r="P215" i="2"/>
  <c r="Q215" i="2"/>
  <c r="R215" i="2"/>
  <c r="S215" i="2"/>
  <c r="T215" i="2"/>
  <c r="V215" i="2"/>
  <c r="Z215" i="2"/>
  <c r="H216" i="2"/>
  <c r="I216" i="2"/>
  <c r="J216" i="2"/>
  <c r="K216" i="2"/>
  <c r="L216" i="2"/>
  <c r="M216" i="2"/>
  <c r="N216" i="2"/>
  <c r="O216" i="2"/>
  <c r="P216" i="2"/>
  <c r="Q216" i="2"/>
  <c r="R216" i="2"/>
  <c r="S216" i="2"/>
  <c r="T216" i="2"/>
  <c r="V216" i="2"/>
  <c r="Z216" i="2"/>
  <c r="H217" i="2"/>
  <c r="I217" i="2"/>
  <c r="J217" i="2"/>
  <c r="K217" i="2"/>
  <c r="L217" i="2"/>
  <c r="M217" i="2"/>
  <c r="N217" i="2"/>
  <c r="O217" i="2"/>
  <c r="P217" i="2"/>
  <c r="Q217" i="2"/>
  <c r="R217" i="2"/>
  <c r="S217" i="2"/>
  <c r="T217" i="2"/>
  <c r="V217" i="2"/>
  <c r="Z217" i="2"/>
  <c r="H218" i="2"/>
  <c r="I218" i="2"/>
  <c r="J218" i="2"/>
  <c r="K218" i="2"/>
  <c r="L218" i="2"/>
  <c r="M218" i="2"/>
  <c r="N218" i="2"/>
  <c r="O218" i="2"/>
  <c r="P218" i="2"/>
  <c r="Q218" i="2"/>
  <c r="R218" i="2"/>
  <c r="S218" i="2"/>
  <c r="T218" i="2"/>
  <c r="V218" i="2"/>
  <c r="Z218" i="2"/>
  <c r="H219" i="2"/>
  <c r="I219" i="2"/>
  <c r="J219" i="2"/>
  <c r="K219" i="2"/>
  <c r="L219" i="2"/>
  <c r="M219" i="2"/>
  <c r="N219" i="2"/>
  <c r="O219" i="2"/>
  <c r="P219" i="2"/>
  <c r="Q219" i="2"/>
  <c r="R219" i="2"/>
  <c r="S219" i="2"/>
  <c r="T219" i="2"/>
  <c r="V219" i="2"/>
  <c r="Z219" i="2"/>
  <c r="H220" i="2"/>
  <c r="I220" i="2"/>
  <c r="J220" i="2"/>
  <c r="K220" i="2"/>
  <c r="L220" i="2"/>
  <c r="M220" i="2"/>
  <c r="N220" i="2"/>
  <c r="O220" i="2"/>
  <c r="P220" i="2"/>
  <c r="Q220" i="2"/>
  <c r="R220" i="2"/>
  <c r="S220" i="2"/>
  <c r="T220" i="2"/>
  <c r="V220" i="2"/>
  <c r="Z220" i="2"/>
  <c r="H221" i="2"/>
  <c r="I221" i="2"/>
  <c r="J221" i="2"/>
  <c r="K221" i="2"/>
  <c r="L221" i="2"/>
  <c r="M221" i="2"/>
  <c r="N221" i="2"/>
  <c r="O221" i="2"/>
  <c r="P221" i="2"/>
  <c r="Q221" i="2"/>
  <c r="R221" i="2"/>
  <c r="S221" i="2"/>
  <c r="T221" i="2"/>
  <c r="V221" i="2"/>
  <c r="Z221" i="2"/>
  <c r="H222" i="2"/>
  <c r="I222" i="2"/>
  <c r="J222" i="2"/>
  <c r="K222" i="2"/>
  <c r="L222" i="2"/>
  <c r="M222" i="2"/>
  <c r="N222" i="2"/>
  <c r="O222" i="2"/>
  <c r="P222" i="2"/>
  <c r="Q222" i="2"/>
  <c r="R222" i="2"/>
  <c r="S222" i="2"/>
  <c r="T222" i="2"/>
  <c r="V222" i="2"/>
  <c r="Z222" i="2"/>
  <c r="H223" i="2"/>
  <c r="I223" i="2"/>
  <c r="J223" i="2"/>
  <c r="K223" i="2"/>
  <c r="L223" i="2"/>
  <c r="M223" i="2"/>
  <c r="N223" i="2"/>
  <c r="O223" i="2"/>
  <c r="P223" i="2"/>
  <c r="Q223" i="2"/>
  <c r="R223" i="2"/>
  <c r="S223" i="2"/>
  <c r="T223" i="2"/>
  <c r="V223" i="2"/>
  <c r="Z223" i="2"/>
  <c r="H224" i="2"/>
  <c r="I224" i="2"/>
  <c r="J224" i="2"/>
  <c r="K224" i="2"/>
  <c r="L224" i="2"/>
  <c r="M224" i="2"/>
  <c r="N224" i="2"/>
  <c r="O224" i="2"/>
  <c r="P224" i="2"/>
  <c r="Q224" i="2"/>
  <c r="R224" i="2"/>
  <c r="S224" i="2"/>
  <c r="T224" i="2"/>
  <c r="V224" i="2"/>
  <c r="Z224" i="2"/>
  <c r="H225" i="2"/>
  <c r="I225" i="2"/>
  <c r="J225" i="2"/>
  <c r="K225" i="2"/>
  <c r="L225" i="2"/>
  <c r="M225" i="2"/>
  <c r="N225" i="2"/>
  <c r="O225" i="2"/>
  <c r="P225" i="2"/>
  <c r="Q225" i="2"/>
  <c r="R225" i="2"/>
  <c r="S225" i="2"/>
  <c r="T225" i="2"/>
  <c r="V225" i="2"/>
  <c r="Z225" i="2"/>
  <c r="H226" i="2"/>
  <c r="I226" i="2"/>
  <c r="J226" i="2"/>
  <c r="K226" i="2"/>
  <c r="L226" i="2"/>
  <c r="M226" i="2"/>
  <c r="N226" i="2"/>
  <c r="O226" i="2"/>
  <c r="P226" i="2"/>
  <c r="Q226" i="2"/>
  <c r="R226" i="2"/>
  <c r="S226" i="2"/>
  <c r="T226" i="2"/>
  <c r="V226" i="2"/>
  <c r="Z226" i="2"/>
  <c r="H227" i="2"/>
  <c r="I227" i="2"/>
  <c r="J227" i="2"/>
  <c r="K227" i="2"/>
  <c r="L227" i="2"/>
  <c r="M227" i="2"/>
  <c r="N227" i="2"/>
  <c r="O227" i="2"/>
  <c r="P227" i="2"/>
  <c r="Q227" i="2"/>
  <c r="R227" i="2"/>
  <c r="S227" i="2"/>
  <c r="T227" i="2"/>
  <c r="V227" i="2"/>
  <c r="Z227" i="2"/>
  <c r="H228" i="2"/>
  <c r="I228" i="2"/>
  <c r="J228" i="2"/>
  <c r="K228" i="2"/>
  <c r="L228" i="2"/>
  <c r="M228" i="2"/>
  <c r="N228" i="2"/>
  <c r="O228" i="2"/>
  <c r="P228" i="2"/>
  <c r="Q228" i="2"/>
  <c r="R228" i="2"/>
  <c r="S228" i="2"/>
  <c r="T228" i="2"/>
  <c r="V228" i="2"/>
  <c r="Z228" i="2"/>
  <c r="H229" i="2"/>
  <c r="I229" i="2"/>
  <c r="J229" i="2"/>
  <c r="K229" i="2"/>
  <c r="L229" i="2"/>
  <c r="M229" i="2"/>
  <c r="N229" i="2"/>
  <c r="O229" i="2"/>
  <c r="P229" i="2"/>
  <c r="Q229" i="2"/>
  <c r="R229" i="2"/>
  <c r="S229" i="2"/>
  <c r="T229" i="2"/>
  <c r="V229" i="2"/>
  <c r="Z229" i="2"/>
  <c r="H230" i="2"/>
  <c r="I230" i="2"/>
  <c r="J230" i="2"/>
  <c r="K230" i="2"/>
  <c r="L230" i="2"/>
  <c r="M230" i="2"/>
  <c r="N230" i="2"/>
  <c r="O230" i="2"/>
  <c r="P230" i="2"/>
  <c r="Q230" i="2"/>
  <c r="R230" i="2"/>
  <c r="S230" i="2"/>
  <c r="T230" i="2"/>
  <c r="V230" i="2"/>
  <c r="Z230" i="2"/>
  <c r="H231" i="2"/>
  <c r="I231" i="2"/>
  <c r="J231" i="2"/>
  <c r="K231" i="2"/>
  <c r="L231" i="2"/>
  <c r="M231" i="2"/>
  <c r="N231" i="2"/>
  <c r="O231" i="2"/>
  <c r="P231" i="2"/>
  <c r="Q231" i="2"/>
  <c r="R231" i="2"/>
  <c r="S231" i="2"/>
  <c r="T231" i="2"/>
  <c r="V231" i="2"/>
  <c r="Z231" i="2"/>
  <c r="H232" i="2"/>
  <c r="I232" i="2"/>
  <c r="J232" i="2"/>
  <c r="K232" i="2"/>
  <c r="L232" i="2"/>
  <c r="M232" i="2"/>
  <c r="N232" i="2"/>
  <c r="O232" i="2"/>
  <c r="P232" i="2"/>
  <c r="Q232" i="2"/>
  <c r="R232" i="2"/>
  <c r="S232" i="2"/>
  <c r="T232" i="2"/>
  <c r="V232" i="2"/>
  <c r="Z232" i="2"/>
  <c r="H233" i="2"/>
  <c r="I233" i="2"/>
  <c r="J233" i="2"/>
  <c r="K233" i="2"/>
  <c r="L233" i="2"/>
  <c r="M233" i="2"/>
  <c r="N233" i="2"/>
  <c r="O233" i="2"/>
  <c r="P233" i="2"/>
  <c r="Q233" i="2"/>
  <c r="R233" i="2"/>
  <c r="S233" i="2"/>
  <c r="T233" i="2"/>
  <c r="V233" i="2"/>
  <c r="Z233" i="2"/>
  <c r="H234" i="2"/>
  <c r="I234" i="2"/>
  <c r="J234" i="2"/>
  <c r="K234" i="2"/>
  <c r="L234" i="2"/>
  <c r="M234" i="2"/>
  <c r="N234" i="2"/>
  <c r="O234" i="2"/>
  <c r="P234" i="2"/>
  <c r="Q234" i="2"/>
  <c r="R234" i="2"/>
  <c r="S234" i="2"/>
  <c r="T234" i="2"/>
  <c r="V234" i="2"/>
  <c r="Z234" i="2"/>
  <c r="H235" i="2"/>
  <c r="I235" i="2"/>
  <c r="J235" i="2"/>
  <c r="K235" i="2"/>
  <c r="L235" i="2"/>
  <c r="M235" i="2"/>
  <c r="N235" i="2"/>
  <c r="O235" i="2"/>
  <c r="P235" i="2"/>
  <c r="Q235" i="2"/>
  <c r="R235" i="2"/>
  <c r="S235" i="2"/>
  <c r="T235" i="2"/>
  <c r="V235" i="2"/>
  <c r="Z235" i="2"/>
  <c r="H236" i="2"/>
  <c r="I236" i="2"/>
  <c r="J236" i="2"/>
  <c r="K236" i="2"/>
  <c r="L236" i="2"/>
  <c r="M236" i="2"/>
  <c r="N236" i="2"/>
  <c r="O236" i="2"/>
  <c r="P236" i="2"/>
  <c r="Q236" i="2"/>
  <c r="R236" i="2"/>
  <c r="S236" i="2"/>
  <c r="T236" i="2"/>
  <c r="V236" i="2"/>
  <c r="Z236" i="2"/>
  <c r="H237" i="2"/>
  <c r="I237" i="2"/>
  <c r="J237" i="2"/>
  <c r="K237" i="2"/>
  <c r="L237" i="2"/>
  <c r="M237" i="2"/>
  <c r="N237" i="2"/>
  <c r="O237" i="2"/>
  <c r="P237" i="2"/>
  <c r="Q237" i="2"/>
  <c r="R237" i="2"/>
  <c r="S237" i="2"/>
  <c r="T237" i="2"/>
  <c r="V237" i="2"/>
  <c r="Z237" i="2"/>
  <c r="H238" i="2"/>
  <c r="I238" i="2"/>
  <c r="J238" i="2"/>
  <c r="K238" i="2"/>
  <c r="L238" i="2"/>
  <c r="M238" i="2"/>
  <c r="N238" i="2"/>
  <c r="O238" i="2"/>
  <c r="P238" i="2"/>
  <c r="Q238" i="2"/>
  <c r="R238" i="2"/>
  <c r="S238" i="2"/>
  <c r="T238" i="2"/>
  <c r="V238" i="2"/>
  <c r="Z238" i="2"/>
  <c r="H239" i="2"/>
  <c r="I239" i="2"/>
  <c r="J239" i="2"/>
  <c r="K239" i="2"/>
  <c r="L239" i="2"/>
  <c r="M239" i="2"/>
  <c r="N239" i="2"/>
  <c r="O239" i="2"/>
  <c r="P239" i="2"/>
  <c r="Q239" i="2"/>
  <c r="R239" i="2"/>
  <c r="S239" i="2"/>
  <c r="T239" i="2"/>
  <c r="V239" i="2"/>
  <c r="Z239" i="2"/>
  <c r="H240" i="2"/>
  <c r="I240" i="2"/>
  <c r="J240" i="2"/>
  <c r="K240" i="2"/>
  <c r="L240" i="2"/>
  <c r="M240" i="2"/>
  <c r="N240" i="2"/>
  <c r="O240" i="2"/>
  <c r="P240" i="2"/>
  <c r="Q240" i="2"/>
  <c r="R240" i="2"/>
  <c r="S240" i="2"/>
  <c r="T240" i="2"/>
  <c r="V240" i="2"/>
  <c r="Z240" i="2"/>
  <c r="H241" i="2"/>
  <c r="I241" i="2"/>
  <c r="J241" i="2"/>
  <c r="K241" i="2"/>
  <c r="L241" i="2"/>
  <c r="M241" i="2"/>
  <c r="N241" i="2"/>
  <c r="O241" i="2"/>
  <c r="P241" i="2"/>
  <c r="Q241" i="2"/>
  <c r="R241" i="2"/>
  <c r="S241" i="2"/>
  <c r="T241" i="2"/>
  <c r="V241" i="2"/>
  <c r="Z241" i="2"/>
  <c r="H242" i="2"/>
  <c r="I242" i="2"/>
  <c r="J242" i="2"/>
  <c r="K242" i="2"/>
  <c r="L242" i="2"/>
  <c r="M242" i="2"/>
  <c r="N242" i="2"/>
  <c r="O242" i="2"/>
  <c r="P242" i="2"/>
  <c r="Q242" i="2"/>
  <c r="R242" i="2"/>
  <c r="S242" i="2"/>
  <c r="T242" i="2"/>
  <c r="V242" i="2"/>
  <c r="Z242" i="2"/>
  <c r="H243" i="2"/>
  <c r="I243" i="2"/>
  <c r="J243" i="2"/>
  <c r="K243" i="2"/>
  <c r="L243" i="2"/>
  <c r="M243" i="2"/>
  <c r="N243" i="2"/>
  <c r="O243" i="2"/>
  <c r="P243" i="2"/>
  <c r="Q243" i="2"/>
  <c r="R243" i="2"/>
  <c r="S243" i="2"/>
  <c r="T243" i="2"/>
  <c r="V243" i="2"/>
  <c r="Z243" i="2"/>
  <c r="H244" i="2"/>
  <c r="I244" i="2"/>
  <c r="J244" i="2"/>
  <c r="K244" i="2"/>
  <c r="L244" i="2"/>
  <c r="M244" i="2"/>
  <c r="N244" i="2"/>
  <c r="O244" i="2"/>
  <c r="P244" i="2"/>
  <c r="Q244" i="2"/>
  <c r="R244" i="2"/>
  <c r="S244" i="2"/>
  <c r="T244" i="2"/>
  <c r="V244" i="2"/>
  <c r="Z244" i="2"/>
  <c r="H245" i="2"/>
  <c r="I245" i="2"/>
  <c r="J245" i="2"/>
  <c r="K245" i="2"/>
  <c r="L245" i="2"/>
  <c r="M245" i="2"/>
  <c r="N245" i="2"/>
  <c r="O245" i="2"/>
  <c r="P245" i="2"/>
  <c r="Q245" i="2"/>
  <c r="R245" i="2"/>
  <c r="S245" i="2"/>
  <c r="T245" i="2"/>
  <c r="V245" i="2"/>
  <c r="Z245" i="2"/>
  <c r="H246" i="2"/>
  <c r="I246" i="2"/>
  <c r="J246" i="2"/>
  <c r="K246" i="2"/>
  <c r="L246" i="2"/>
  <c r="M246" i="2"/>
  <c r="N246" i="2"/>
  <c r="O246" i="2"/>
  <c r="P246" i="2"/>
  <c r="Q246" i="2"/>
  <c r="R246" i="2"/>
  <c r="S246" i="2"/>
  <c r="T246" i="2"/>
  <c r="V246" i="2"/>
  <c r="Z246" i="2"/>
  <c r="H247" i="2"/>
  <c r="I247" i="2"/>
  <c r="J247" i="2"/>
  <c r="K247" i="2"/>
  <c r="L247" i="2"/>
  <c r="M247" i="2"/>
  <c r="N247" i="2"/>
  <c r="O247" i="2"/>
  <c r="P247" i="2"/>
  <c r="Q247" i="2"/>
  <c r="R247" i="2"/>
  <c r="S247" i="2"/>
  <c r="T247" i="2"/>
  <c r="V247" i="2"/>
  <c r="Z247" i="2"/>
  <c r="H248" i="2"/>
  <c r="I248" i="2"/>
  <c r="J248" i="2"/>
  <c r="K248" i="2"/>
  <c r="L248" i="2"/>
  <c r="M248" i="2"/>
  <c r="N248" i="2"/>
  <c r="O248" i="2"/>
  <c r="P248" i="2"/>
  <c r="Q248" i="2"/>
  <c r="R248" i="2"/>
  <c r="S248" i="2"/>
  <c r="T248" i="2"/>
  <c r="V248" i="2"/>
  <c r="Z248" i="2"/>
  <c r="H249" i="2"/>
  <c r="I249" i="2"/>
  <c r="J249" i="2"/>
  <c r="K249" i="2"/>
  <c r="L249" i="2"/>
  <c r="M249" i="2"/>
  <c r="N249" i="2"/>
  <c r="O249" i="2"/>
  <c r="P249" i="2"/>
  <c r="Q249" i="2"/>
  <c r="R249" i="2"/>
  <c r="S249" i="2"/>
  <c r="T249" i="2"/>
  <c r="V249" i="2"/>
  <c r="Z249" i="2"/>
  <c r="H250" i="2"/>
  <c r="I250" i="2"/>
  <c r="J250" i="2"/>
  <c r="K250" i="2"/>
  <c r="L250" i="2"/>
  <c r="M250" i="2"/>
  <c r="N250" i="2"/>
  <c r="O250" i="2"/>
  <c r="P250" i="2"/>
  <c r="Q250" i="2"/>
  <c r="R250" i="2"/>
  <c r="S250" i="2"/>
  <c r="T250" i="2"/>
  <c r="V250" i="2"/>
  <c r="Z250" i="2"/>
  <c r="H251" i="2"/>
  <c r="I251" i="2"/>
  <c r="J251" i="2"/>
  <c r="K251" i="2"/>
  <c r="L251" i="2"/>
  <c r="M251" i="2"/>
  <c r="N251" i="2"/>
  <c r="O251" i="2"/>
  <c r="P251" i="2"/>
  <c r="Q251" i="2"/>
  <c r="R251" i="2"/>
  <c r="S251" i="2"/>
  <c r="T251" i="2"/>
  <c r="V251" i="2"/>
  <c r="Z251" i="2"/>
  <c r="H252" i="2"/>
  <c r="I252" i="2"/>
  <c r="J252" i="2"/>
  <c r="K252" i="2"/>
  <c r="L252" i="2"/>
  <c r="M252" i="2"/>
  <c r="N252" i="2"/>
  <c r="O252" i="2"/>
  <c r="P252" i="2"/>
  <c r="Q252" i="2"/>
  <c r="R252" i="2"/>
  <c r="S252" i="2"/>
  <c r="T252" i="2"/>
  <c r="V252" i="2"/>
  <c r="Z252" i="2"/>
  <c r="H253" i="2"/>
  <c r="I253" i="2"/>
  <c r="J253" i="2"/>
  <c r="K253" i="2"/>
  <c r="L253" i="2"/>
  <c r="M253" i="2"/>
  <c r="N253" i="2"/>
  <c r="O253" i="2"/>
  <c r="P253" i="2"/>
  <c r="Q253" i="2"/>
  <c r="R253" i="2"/>
  <c r="S253" i="2"/>
  <c r="T253" i="2"/>
  <c r="V253" i="2"/>
  <c r="Z253" i="2"/>
  <c r="H254" i="2"/>
  <c r="I254" i="2"/>
  <c r="J254" i="2"/>
  <c r="K254" i="2"/>
  <c r="L254" i="2"/>
  <c r="M254" i="2"/>
  <c r="N254" i="2"/>
  <c r="O254" i="2"/>
  <c r="P254" i="2"/>
  <c r="Q254" i="2"/>
  <c r="R254" i="2"/>
  <c r="S254" i="2"/>
  <c r="T254" i="2"/>
  <c r="V254" i="2"/>
  <c r="Z254" i="2"/>
  <c r="H255" i="2"/>
  <c r="I255" i="2"/>
  <c r="J255" i="2"/>
  <c r="K255" i="2"/>
  <c r="L255" i="2"/>
  <c r="M255" i="2"/>
  <c r="N255" i="2"/>
  <c r="O255" i="2"/>
  <c r="P255" i="2"/>
  <c r="Q255" i="2"/>
  <c r="R255" i="2"/>
  <c r="S255" i="2"/>
  <c r="T255" i="2"/>
  <c r="V255" i="2"/>
  <c r="Z255" i="2"/>
  <c r="H256" i="2"/>
  <c r="I256" i="2"/>
  <c r="J256" i="2"/>
  <c r="K256" i="2"/>
  <c r="L256" i="2"/>
  <c r="M256" i="2"/>
  <c r="N256" i="2"/>
  <c r="O256" i="2"/>
  <c r="P256" i="2"/>
  <c r="Q256" i="2"/>
  <c r="R256" i="2"/>
  <c r="S256" i="2"/>
  <c r="T256" i="2"/>
  <c r="V256" i="2"/>
  <c r="Z256" i="2"/>
  <c r="H257" i="2"/>
  <c r="I257" i="2"/>
  <c r="J257" i="2"/>
  <c r="K257" i="2"/>
  <c r="L257" i="2"/>
  <c r="M257" i="2"/>
  <c r="N257" i="2"/>
  <c r="O257" i="2"/>
  <c r="P257" i="2"/>
  <c r="Q257" i="2"/>
  <c r="R257" i="2"/>
  <c r="S257" i="2"/>
  <c r="T257" i="2"/>
  <c r="V257" i="2"/>
  <c r="Z257" i="2"/>
  <c r="H258" i="2"/>
  <c r="I258" i="2"/>
  <c r="J258" i="2"/>
  <c r="K258" i="2"/>
  <c r="L258" i="2"/>
  <c r="M258" i="2"/>
  <c r="N258" i="2"/>
  <c r="O258" i="2"/>
  <c r="P258" i="2"/>
  <c r="Q258" i="2"/>
  <c r="R258" i="2"/>
  <c r="S258" i="2"/>
  <c r="T258" i="2"/>
  <c r="V258" i="2"/>
  <c r="Z258" i="2"/>
  <c r="H259" i="2"/>
  <c r="I259" i="2"/>
  <c r="J259" i="2"/>
  <c r="K259" i="2"/>
  <c r="L259" i="2"/>
  <c r="M259" i="2"/>
  <c r="N259" i="2"/>
  <c r="O259" i="2"/>
  <c r="P259" i="2"/>
  <c r="Q259" i="2"/>
  <c r="R259" i="2"/>
  <c r="S259" i="2"/>
  <c r="T259" i="2"/>
  <c r="V259" i="2"/>
  <c r="Z259" i="2"/>
  <c r="H260" i="2"/>
  <c r="I260" i="2"/>
  <c r="J260" i="2"/>
  <c r="K260" i="2"/>
  <c r="L260" i="2"/>
  <c r="M260" i="2"/>
  <c r="N260" i="2"/>
  <c r="O260" i="2"/>
  <c r="P260" i="2"/>
  <c r="Q260" i="2"/>
  <c r="R260" i="2"/>
  <c r="S260" i="2"/>
  <c r="T260" i="2"/>
  <c r="V260" i="2"/>
  <c r="Z260" i="2"/>
  <c r="H261" i="2"/>
  <c r="I261" i="2"/>
  <c r="J261" i="2"/>
  <c r="K261" i="2"/>
  <c r="L261" i="2"/>
  <c r="M261" i="2"/>
  <c r="N261" i="2"/>
  <c r="O261" i="2"/>
  <c r="P261" i="2"/>
  <c r="Q261" i="2"/>
  <c r="R261" i="2"/>
  <c r="S261" i="2"/>
  <c r="T261" i="2"/>
  <c r="V261" i="2"/>
  <c r="Z261" i="2"/>
  <c r="H262" i="2"/>
  <c r="I262" i="2"/>
  <c r="J262" i="2"/>
  <c r="K262" i="2"/>
  <c r="L262" i="2"/>
  <c r="M262" i="2"/>
  <c r="N262" i="2"/>
  <c r="O262" i="2"/>
  <c r="P262" i="2"/>
  <c r="Q262" i="2"/>
  <c r="R262" i="2"/>
  <c r="S262" i="2"/>
  <c r="T262" i="2"/>
  <c r="V262" i="2"/>
  <c r="Z262" i="2"/>
  <c r="H263" i="2"/>
  <c r="I263" i="2"/>
  <c r="J263" i="2"/>
  <c r="K263" i="2"/>
  <c r="L263" i="2"/>
  <c r="M263" i="2"/>
  <c r="N263" i="2"/>
  <c r="O263" i="2"/>
  <c r="P263" i="2"/>
  <c r="Q263" i="2"/>
  <c r="R263" i="2"/>
  <c r="S263" i="2"/>
  <c r="T263" i="2"/>
  <c r="V263" i="2"/>
  <c r="Z263" i="2"/>
  <c r="H264" i="2"/>
  <c r="I264" i="2"/>
  <c r="J264" i="2"/>
  <c r="K264" i="2"/>
  <c r="L264" i="2"/>
  <c r="M264" i="2"/>
  <c r="N264" i="2"/>
  <c r="O264" i="2"/>
  <c r="P264" i="2"/>
  <c r="Q264" i="2"/>
  <c r="R264" i="2"/>
  <c r="S264" i="2"/>
  <c r="T264" i="2"/>
  <c r="V264" i="2"/>
  <c r="Z264" i="2"/>
  <c r="H265" i="2"/>
  <c r="I265" i="2"/>
  <c r="J265" i="2"/>
  <c r="K265" i="2"/>
  <c r="L265" i="2"/>
  <c r="M265" i="2"/>
  <c r="N265" i="2"/>
  <c r="O265" i="2"/>
  <c r="P265" i="2"/>
  <c r="Q265" i="2"/>
  <c r="R265" i="2"/>
  <c r="S265" i="2"/>
  <c r="T265" i="2"/>
  <c r="V265" i="2"/>
  <c r="Z265" i="2"/>
  <c r="H266" i="2"/>
  <c r="I266" i="2"/>
  <c r="J266" i="2"/>
  <c r="K266" i="2"/>
  <c r="L266" i="2"/>
  <c r="M266" i="2"/>
  <c r="N266" i="2"/>
  <c r="O266" i="2"/>
  <c r="P266" i="2"/>
  <c r="Q266" i="2"/>
  <c r="R266" i="2"/>
  <c r="S266" i="2"/>
  <c r="T266" i="2"/>
  <c r="V266" i="2"/>
  <c r="Z266" i="2"/>
  <c r="H267" i="2"/>
  <c r="I267" i="2"/>
  <c r="J267" i="2"/>
  <c r="K267" i="2"/>
  <c r="L267" i="2"/>
  <c r="M267" i="2"/>
  <c r="N267" i="2"/>
  <c r="O267" i="2"/>
  <c r="P267" i="2"/>
  <c r="Q267" i="2"/>
  <c r="R267" i="2"/>
  <c r="S267" i="2"/>
  <c r="T267" i="2"/>
  <c r="V267" i="2"/>
  <c r="Z267" i="2"/>
  <c r="H268" i="2"/>
  <c r="I268" i="2"/>
  <c r="J268" i="2"/>
  <c r="K268" i="2"/>
  <c r="L268" i="2"/>
  <c r="M268" i="2"/>
  <c r="N268" i="2"/>
  <c r="O268" i="2"/>
  <c r="P268" i="2"/>
  <c r="Q268" i="2"/>
  <c r="R268" i="2"/>
  <c r="S268" i="2"/>
  <c r="T268" i="2"/>
  <c r="V268" i="2"/>
  <c r="Z268" i="2"/>
  <c r="H269" i="2"/>
  <c r="I269" i="2"/>
  <c r="J269" i="2"/>
  <c r="K269" i="2"/>
  <c r="L269" i="2"/>
  <c r="M269" i="2"/>
  <c r="N269" i="2"/>
  <c r="O269" i="2"/>
  <c r="P269" i="2"/>
  <c r="Q269" i="2"/>
  <c r="R269" i="2"/>
  <c r="S269" i="2"/>
  <c r="T269" i="2"/>
  <c r="V269" i="2"/>
  <c r="Z269" i="2"/>
  <c r="H270" i="2"/>
  <c r="I270" i="2"/>
  <c r="J270" i="2"/>
  <c r="K270" i="2"/>
  <c r="L270" i="2"/>
  <c r="M270" i="2"/>
  <c r="N270" i="2"/>
  <c r="O270" i="2"/>
  <c r="P270" i="2"/>
  <c r="Q270" i="2"/>
  <c r="R270" i="2"/>
  <c r="S270" i="2"/>
  <c r="T270" i="2"/>
  <c r="V270" i="2"/>
  <c r="Z270" i="2"/>
  <c r="H271" i="2"/>
  <c r="I271" i="2"/>
  <c r="J271" i="2"/>
  <c r="K271" i="2"/>
  <c r="L271" i="2"/>
  <c r="M271" i="2"/>
  <c r="N271" i="2"/>
  <c r="O271" i="2"/>
  <c r="P271" i="2"/>
  <c r="Q271" i="2"/>
  <c r="R271" i="2"/>
  <c r="S271" i="2"/>
  <c r="T271" i="2"/>
  <c r="V271" i="2"/>
  <c r="Z271" i="2"/>
  <c r="H272" i="2"/>
  <c r="I272" i="2"/>
  <c r="J272" i="2"/>
  <c r="K272" i="2"/>
  <c r="L272" i="2"/>
  <c r="M272" i="2"/>
  <c r="N272" i="2"/>
  <c r="O272" i="2"/>
  <c r="P272" i="2"/>
  <c r="Q272" i="2"/>
  <c r="R272" i="2"/>
  <c r="S272" i="2"/>
  <c r="T272" i="2"/>
  <c r="V272" i="2"/>
  <c r="Z272" i="2"/>
  <c r="H273" i="2"/>
  <c r="I273" i="2"/>
  <c r="J273" i="2"/>
  <c r="K273" i="2"/>
  <c r="L273" i="2"/>
  <c r="M273" i="2"/>
  <c r="N273" i="2"/>
  <c r="O273" i="2"/>
  <c r="P273" i="2"/>
  <c r="Q273" i="2"/>
  <c r="R273" i="2"/>
  <c r="S273" i="2"/>
  <c r="T273" i="2"/>
  <c r="V273" i="2"/>
  <c r="Z273" i="2"/>
  <c r="H274" i="2"/>
  <c r="I274" i="2"/>
  <c r="J274" i="2"/>
  <c r="K274" i="2"/>
  <c r="L274" i="2"/>
  <c r="M274" i="2"/>
  <c r="N274" i="2"/>
  <c r="O274" i="2"/>
  <c r="P274" i="2"/>
  <c r="Q274" i="2"/>
  <c r="R274" i="2"/>
  <c r="S274" i="2"/>
  <c r="T274" i="2"/>
  <c r="V274" i="2"/>
  <c r="Z274" i="2"/>
  <c r="Z275" i="2"/>
  <c r="Z276" i="2"/>
  <c r="Z277" i="2"/>
  <c r="Z278" i="2"/>
  <c r="Z279" i="2"/>
  <c r="Z280" i="2"/>
  <c r="Z281" i="2"/>
  <c r="Z282" i="2"/>
  <c r="Z283" i="2"/>
  <c r="Z284" i="2"/>
  <c r="Z285" i="2"/>
  <c r="Z286" i="2"/>
  <c r="Z287" i="2"/>
  <c r="Z288" i="2"/>
  <c r="Z289" i="2"/>
  <c r="Z290" i="2"/>
  <c r="Z291" i="2"/>
  <c r="Z292" i="2"/>
  <c r="Z293" i="2"/>
  <c r="Z294" i="2"/>
  <c r="Z295" i="2"/>
  <c r="Z296" i="2"/>
  <c r="Z297" i="2"/>
  <c r="Z298" i="2"/>
  <c r="Z299" i="2"/>
  <c r="Z300" i="2"/>
  <c r="E2" i="2"/>
  <c r="C4" i="2"/>
  <c r="D13" i="2"/>
  <c r="G2" i="2"/>
  <c r="F13" i="2"/>
  <c r="I2" i="2"/>
  <c r="H2" i="2"/>
  <c r="G13" i="2"/>
  <c r="C6" i="2"/>
  <c r="C3" i="2"/>
  <c r="C5" i="2"/>
  <c r="C13" i="2"/>
  <c r="F2" i="2"/>
  <c r="A13" i="2"/>
  <c r="C7" i="2"/>
  <c r="E13" i="2"/>
  <c r="C8" i="2"/>
  <c r="D2" i="5"/>
  <c r="W12" i="2" l="1"/>
  <c r="D8" i="2"/>
  <c r="E8" i="2"/>
  <c r="F8" i="2"/>
  <c r="H8" i="2"/>
  <c r="G8" i="2"/>
  <c r="O13" i="2"/>
  <c r="P13" i="2"/>
  <c r="Q13" i="2"/>
  <c r="F7" i="2"/>
  <c r="I7" i="2"/>
  <c r="D7" i="2"/>
  <c r="E7" i="2"/>
  <c r="G7" i="2"/>
  <c r="L2" i="2"/>
  <c r="L3" i="2"/>
  <c r="L5" i="2"/>
  <c r="L4" i="2"/>
  <c r="V13" i="2"/>
  <c r="L6" i="2"/>
  <c r="H13" i="2"/>
  <c r="J13" i="2"/>
  <c r="R13" i="2"/>
  <c r="I13" i="2"/>
  <c r="D5" i="2"/>
  <c r="H5" i="2"/>
  <c r="G5" i="2"/>
  <c r="I5" i="2"/>
  <c r="E5" i="2"/>
  <c r="F3" i="2"/>
  <c r="G3" i="2"/>
  <c r="H3" i="2"/>
  <c r="E3" i="2"/>
  <c r="I3" i="2"/>
  <c r="E6" i="2"/>
  <c r="I6" i="2"/>
  <c r="H6" i="2"/>
  <c r="D6" i="2"/>
  <c r="F6" i="2"/>
  <c r="L13" i="2"/>
  <c r="T13" i="2"/>
  <c r="N13" i="2"/>
  <c r="K13" i="2"/>
  <c r="S13" i="2"/>
  <c r="M13" i="2"/>
  <c r="W13" i="2" s="1"/>
  <c r="G4" i="2"/>
  <c r="F4" i="2"/>
  <c r="I4" i="2"/>
  <c r="D4" i="2"/>
  <c r="H4" i="2"/>
  <c r="W274" i="2"/>
  <c r="W272" i="2"/>
  <c r="W270" i="2"/>
  <c r="W268" i="2"/>
  <c r="W266" i="2"/>
  <c r="W264" i="2"/>
  <c r="W262" i="2"/>
  <c r="W260" i="2"/>
  <c r="W258" i="2"/>
  <c r="W256" i="2"/>
  <c r="W254" i="2"/>
  <c r="W252" i="2"/>
  <c r="W250" i="2"/>
  <c r="W248" i="2"/>
  <c r="W246" i="2"/>
  <c r="W244" i="2"/>
  <c r="W242" i="2"/>
  <c r="W240" i="2"/>
  <c r="W238" i="2"/>
  <c r="W236" i="2"/>
  <c r="W234" i="2"/>
  <c r="W232" i="2"/>
  <c r="W230" i="2"/>
  <c r="W228" i="2"/>
  <c r="W226" i="2"/>
  <c r="W224" i="2"/>
  <c r="W222" i="2"/>
  <c r="W220" i="2"/>
  <c r="W218" i="2"/>
  <c r="W216" i="2"/>
  <c r="W214" i="2"/>
  <c r="W212" i="2"/>
  <c r="W210" i="2"/>
  <c r="W208" i="2"/>
  <c r="W206" i="2"/>
  <c r="W204" i="2"/>
  <c r="W202" i="2"/>
  <c r="W200" i="2"/>
  <c r="W198" i="2"/>
  <c r="W196" i="2"/>
  <c r="W194" i="2"/>
  <c r="W192" i="2"/>
  <c r="W190" i="2"/>
  <c r="W188" i="2"/>
  <c r="W186" i="2"/>
  <c r="W184" i="2"/>
  <c r="W182" i="2"/>
  <c r="W180" i="2"/>
  <c r="W178" i="2"/>
  <c r="W176" i="2"/>
  <c r="W174" i="2"/>
  <c r="W172" i="2"/>
  <c r="W170" i="2"/>
  <c r="W168" i="2"/>
  <c r="W166" i="2"/>
  <c r="W164" i="2"/>
  <c r="W162" i="2"/>
  <c r="W160" i="2"/>
  <c r="W158" i="2"/>
  <c r="W156" i="2"/>
  <c r="W154" i="2"/>
  <c r="W152" i="2"/>
  <c r="W150" i="2"/>
  <c r="W148" i="2"/>
  <c r="W146" i="2"/>
  <c r="W144" i="2"/>
  <c r="W142" i="2"/>
  <c r="W140" i="2"/>
  <c r="W138" i="2"/>
  <c r="W136" i="2"/>
  <c r="W134" i="2"/>
  <c r="W132" i="2"/>
  <c r="W130" i="2"/>
  <c r="W128" i="2"/>
  <c r="W126" i="2"/>
  <c r="W124" i="2"/>
  <c r="W122" i="2"/>
  <c r="W120" i="2"/>
  <c r="W118" i="2"/>
  <c r="W116" i="2"/>
  <c r="W114" i="2"/>
  <c r="W112" i="2"/>
  <c r="W110" i="2"/>
  <c r="W108" i="2"/>
  <c r="W106" i="2"/>
  <c r="W104" i="2"/>
  <c r="W102" i="2"/>
  <c r="W100" i="2"/>
  <c r="W98" i="2"/>
  <c r="W96" i="2"/>
  <c r="W94" i="2"/>
  <c r="W92" i="2"/>
  <c r="W90" i="2"/>
  <c r="W88" i="2"/>
  <c r="W86" i="2"/>
  <c r="W84" i="2"/>
  <c r="W82" i="2"/>
  <c r="W80" i="2"/>
  <c r="W78" i="2"/>
  <c r="W76" i="2"/>
  <c r="W74" i="2"/>
  <c r="W72" i="2"/>
  <c r="W70" i="2"/>
  <c r="W68" i="2"/>
  <c r="W66" i="2"/>
  <c r="W64" i="2"/>
  <c r="W62" i="2"/>
  <c r="W60" i="2"/>
  <c r="W58" i="2"/>
  <c r="W56" i="2"/>
  <c r="W54" i="2"/>
  <c r="W52" i="2"/>
  <c r="W50" i="2"/>
  <c r="W48" i="2"/>
  <c r="W46" i="2"/>
  <c r="W44" i="2"/>
  <c r="W42" i="2"/>
  <c r="W40" i="2"/>
  <c r="W38" i="2"/>
  <c r="W36" i="2"/>
  <c r="W34" i="2"/>
  <c r="W32" i="2"/>
  <c r="W30" i="2"/>
  <c r="W28" i="2"/>
  <c r="W26" i="2"/>
  <c r="W24" i="2"/>
  <c r="W22" i="2"/>
  <c r="W20" i="2"/>
  <c r="W18" i="2"/>
  <c r="W16" i="2"/>
  <c r="W14" i="2"/>
  <c r="W273" i="2"/>
  <c r="W271" i="2"/>
  <c r="W269" i="2"/>
  <c r="W267" i="2"/>
  <c r="W265" i="2"/>
  <c r="W263" i="2"/>
  <c r="W261" i="2"/>
  <c r="W259" i="2"/>
  <c r="W257" i="2"/>
  <c r="W255" i="2"/>
  <c r="W253" i="2"/>
  <c r="W251" i="2"/>
  <c r="W249" i="2"/>
  <c r="W247" i="2"/>
  <c r="W245" i="2"/>
  <c r="W243" i="2"/>
  <c r="W241" i="2"/>
  <c r="W239" i="2"/>
  <c r="W237" i="2"/>
  <c r="W235" i="2"/>
  <c r="W233" i="2"/>
  <c r="W231" i="2"/>
  <c r="W229" i="2"/>
  <c r="W227" i="2"/>
  <c r="W225" i="2"/>
  <c r="W223" i="2"/>
  <c r="W221" i="2"/>
  <c r="W219" i="2"/>
  <c r="W217" i="2"/>
  <c r="W215" i="2"/>
  <c r="W213" i="2"/>
  <c r="W211" i="2"/>
  <c r="W209" i="2"/>
  <c r="W207" i="2"/>
  <c r="W205" i="2"/>
  <c r="W203" i="2"/>
  <c r="W201" i="2"/>
  <c r="W199" i="2"/>
  <c r="W197" i="2"/>
  <c r="W195" i="2"/>
  <c r="W193" i="2"/>
  <c r="W191" i="2"/>
  <c r="W189" i="2"/>
  <c r="W187" i="2"/>
  <c r="W185" i="2"/>
  <c r="W183" i="2"/>
  <c r="W181" i="2"/>
  <c r="W179" i="2"/>
  <c r="W177" i="2"/>
  <c r="W175" i="2"/>
  <c r="W173" i="2"/>
  <c r="W171" i="2"/>
  <c r="W169" i="2"/>
  <c r="W167" i="2"/>
  <c r="W165" i="2"/>
  <c r="W163" i="2"/>
  <c r="W161" i="2"/>
  <c r="W159" i="2"/>
  <c r="W157" i="2"/>
  <c r="W155" i="2"/>
  <c r="W153" i="2"/>
  <c r="W151" i="2"/>
  <c r="W149" i="2"/>
  <c r="W147" i="2"/>
  <c r="W145" i="2"/>
  <c r="W143" i="2"/>
  <c r="W141" i="2"/>
  <c r="W139" i="2"/>
  <c r="W137" i="2"/>
  <c r="W135" i="2"/>
  <c r="W133" i="2"/>
  <c r="W131" i="2"/>
  <c r="W129" i="2"/>
  <c r="W127" i="2"/>
  <c r="W125" i="2"/>
  <c r="W123" i="2"/>
  <c r="W121" i="2"/>
  <c r="W119" i="2"/>
  <c r="W117" i="2"/>
  <c r="W115" i="2"/>
  <c r="W113" i="2"/>
  <c r="W111" i="2"/>
  <c r="W109" i="2"/>
  <c r="W107" i="2"/>
  <c r="W105" i="2"/>
  <c r="W103" i="2"/>
  <c r="W101" i="2"/>
  <c r="W99" i="2"/>
  <c r="W97" i="2"/>
  <c r="W95" i="2"/>
  <c r="W93" i="2"/>
  <c r="W91" i="2"/>
  <c r="W89" i="2"/>
  <c r="W87" i="2"/>
  <c r="W85" i="2"/>
  <c r="W83" i="2"/>
  <c r="W81" i="2"/>
  <c r="W79" i="2"/>
  <c r="W77" i="2"/>
  <c r="W75" i="2"/>
  <c r="W73" i="2"/>
  <c r="W71" i="2"/>
  <c r="W69" i="2"/>
  <c r="W67" i="2"/>
  <c r="W65" i="2"/>
  <c r="W63" i="2"/>
  <c r="W61" i="2"/>
  <c r="W59" i="2"/>
  <c r="W57" i="2"/>
  <c r="W55" i="2"/>
  <c r="W53" i="2"/>
  <c r="W51" i="2"/>
  <c r="W49" i="2"/>
  <c r="W47" i="2"/>
  <c r="W45" i="2"/>
  <c r="W43" i="2"/>
  <c r="W41" i="2"/>
  <c r="W39" i="2"/>
  <c r="W37" i="2"/>
  <c r="W35" i="2"/>
  <c r="W33" i="2"/>
  <c r="W31" i="2"/>
  <c r="W29" i="2"/>
  <c r="W27" i="2"/>
  <c r="W25" i="2"/>
  <c r="W23" i="2"/>
  <c r="W21" i="2"/>
  <c r="W19" i="2"/>
  <c r="W17" i="2"/>
  <c r="W15" i="2"/>
  <c r="D3" i="5"/>
  <c r="U3" i="5"/>
  <c r="V3" i="5"/>
  <c r="Z3" i="5"/>
  <c r="E4" i="5"/>
  <c r="Z4" i="5"/>
  <c r="F5" i="5"/>
  <c r="Z5" i="5"/>
  <c r="G6" i="5"/>
  <c r="Z6" i="5"/>
  <c r="H7" i="5"/>
  <c r="Z7" i="5"/>
  <c r="I8" i="5"/>
  <c r="Z8" i="5"/>
  <c r="Z9" i="5"/>
  <c r="Z10" i="5"/>
  <c r="Z11" i="5"/>
  <c r="H12" i="5"/>
  <c r="I12" i="5"/>
  <c r="J12" i="5"/>
  <c r="K12" i="5"/>
  <c r="L12" i="5"/>
  <c r="M12" i="5"/>
  <c r="N12" i="5"/>
  <c r="O12" i="5"/>
  <c r="P12" i="5"/>
  <c r="Q12" i="5"/>
  <c r="R12" i="5"/>
  <c r="S12" i="5"/>
  <c r="T12" i="5"/>
  <c r="Z12" i="5"/>
  <c r="Z13" i="5"/>
  <c r="H14" i="5"/>
  <c r="J12" i="1" s="1"/>
  <c r="I14" i="5"/>
  <c r="J14" i="5"/>
  <c r="K14" i="5"/>
  <c r="L14" i="5"/>
  <c r="M14" i="5"/>
  <c r="N14" i="5"/>
  <c r="O14" i="5"/>
  <c r="P14" i="5"/>
  <c r="Q14" i="5"/>
  <c r="R14" i="5"/>
  <c r="S14" i="5"/>
  <c r="T14" i="5"/>
  <c r="V14" i="5"/>
  <c r="A3" i="6" s="1"/>
  <c r="Z14" i="5"/>
  <c r="H15" i="5"/>
  <c r="I15" i="5"/>
  <c r="J15" i="5"/>
  <c r="K15" i="5"/>
  <c r="L15" i="5"/>
  <c r="M15" i="5"/>
  <c r="N15" i="5"/>
  <c r="O15" i="5"/>
  <c r="P15" i="5"/>
  <c r="Q15" i="5"/>
  <c r="R15" i="5"/>
  <c r="S15" i="5"/>
  <c r="T15" i="5"/>
  <c r="V15" i="5"/>
  <c r="A4" i="6" s="1"/>
  <c r="Z15" i="5"/>
  <c r="H16" i="5"/>
  <c r="I16" i="5"/>
  <c r="J16" i="5"/>
  <c r="K16" i="5"/>
  <c r="L16" i="5"/>
  <c r="M16" i="5"/>
  <c r="N16" i="5"/>
  <c r="O16" i="5"/>
  <c r="P16" i="5"/>
  <c r="Q16" i="5"/>
  <c r="R16" i="5"/>
  <c r="S16" i="5"/>
  <c r="T16" i="5"/>
  <c r="V16" i="5"/>
  <c r="A5" i="6" s="1"/>
  <c r="Z16" i="5"/>
  <c r="H17" i="5"/>
  <c r="I17" i="5"/>
  <c r="J17" i="5"/>
  <c r="K17" i="5"/>
  <c r="L17" i="5"/>
  <c r="M17" i="5"/>
  <c r="N17" i="5"/>
  <c r="O17" i="5"/>
  <c r="P17" i="5"/>
  <c r="Q17" i="5"/>
  <c r="R17" i="5"/>
  <c r="S17" i="5"/>
  <c r="T17" i="5"/>
  <c r="V17" i="5"/>
  <c r="A6" i="6" s="1"/>
  <c r="Z17" i="5"/>
  <c r="H18" i="5"/>
  <c r="I18" i="5"/>
  <c r="J18" i="5"/>
  <c r="K18" i="5"/>
  <c r="L18" i="5"/>
  <c r="M18" i="5"/>
  <c r="N18" i="5"/>
  <c r="O18" i="5"/>
  <c r="P18" i="5"/>
  <c r="Q18" i="5"/>
  <c r="R18" i="5"/>
  <c r="S18" i="5"/>
  <c r="T18" i="5"/>
  <c r="V18" i="5"/>
  <c r="A7" i="6" s="1"/>
  <c r="Z18" i="5"/>
  <c r="H19" i="5"/>
  <c r="I19" i="5"/>
  <c r="J19" i="5"/>
  <c r="K19" i="5"/>
  <c r="L19" i="5"/>
  <c r="M19" i="5"/>
  <c r="N19" i="5"/>
  <c r="O19" i="5"/>
  <c r="P19" i="5"/>
  <c r="Q19" i="5"/>
  <c r="R19" i="5"/>
  <c r="S19" i="5"/>
  <c r="T19" i="5"/>
  <c r="V19" i="5"/>
  <c r="A8" i="6" s="1"/>
  <c r="Z19" i="5"/>
  <c r="H20" i="5"/>
  <c r="I20" i="5"/>
  <c r="J20" i="5"/>
  <c r="K20" i="5"/>
  <c r="L20" i="5"/>
  <c r="M20" i="5"/>
  <c r="N20" i="5"/>
  <c r="O20" i="5"/>
  <c r="P20" i="5"/>
  <c r="Q20" i="5"/>
  <c r="R20" i="5"/>
  <c r="S20" i="5"/>
  <c r="T20" i="5"/>
  <c r="V20" i="5"/>
  <c r="A9" i="6" s="1"/>
  <c r="Z20" i="5"/>
  <c r="H21" i="5"/>
  <c r="I21" i="5"/>
  <c r="J21" i="5"/>
  <c r="K21" i="5"/>
  <c r="L21" i="5"/>
  <c r="M21" i="5"/>
  <c r="N21" i="5"/>
  <c r="O21" i="5"/>
  <c r="P21" i="5"/>
  <c r="Q21" i="5"/>
  <c r="R21" i="5"/>
  <c r="S21" i="5"/>
  <c r="T21" i="5"/>
  <c r="V21" i="5"/>
  <c r="A10" i="6" s="1"/>
  <c r="Z21" i="5"/>
  <c r="H22" i="5"/>
  <c r="I22" i="5"/>
  <c r="J22" i="5"/>
  <c r="K22" i="5"/>
  <c r="L22" i="5"/>
  <c r="M22" i="5"/>
  <c r="N22" i="5"/>
  <c r="O22" i="5"/>
  <c r="P22" i="5"/>
  <c r="Q22" i="5"/>
  <c r="R22" i="5"/>
  <c r="S22" i="5"/>
  <c r="T22" i="5"/>
  <c r="V22" i="5"/>
  <c r="A11" i="6" s="1"/>
  <c r="Z22" i="5"/>
  <c r="H23" i="5"/>
  <c r="I23" i="5"/>
  <c r="J23" i="5"/>
  <c r="K23" i="5"/>
  <c r="L23" i="5"/>
  <c r="M23" i="5"/>
  <c r="N23" i="5"/>
  <c r="O23" i="5"/>
  <c r="P23" i="5"/>
  <c r="Q23" i="5"/>
  <c r="R23" i="5"/>
  <c r="S23" i="5"/>
  <c r="T23" i="5"/>
  <c r="V23" i="5"/>
  <c r="A12" i="6" s="1"/>
  <c r="Z23" i="5"/>
  <c r="H24" i="5"/>
  <c r="I24" i="5"/>
  <c r="J24" i="5"/>
  <c r="K24" i="5"/>
  <c r="L24" i="5"/>
  <c r="M24" i="5"/>
  <c r="N24" i="5"/>
  <c r="O24" i="5"/>
  <c r="P24" i="5"/>
  <c r="Q24" i="5"/>
  <c r="R24" i="5"/>
  <c r="S24" i="5"/>
  <c r="T24" i="5"/>
  <c r="V24" i="5"/>
  <c r="A13" i="6" s="1"/>
  <c r="Z24" i="5"/>
  <c r="H25" i="5"/>
  <c r="I25" i="5"/>
  <c r="J25" i="5"/>
  <c r="K25" i="5"/>
  <c r="L25" i="5"/>
  <c r="M25" i="5"/>
  <c r="N25" i="5"/>
  <c r="O25" i="5"/>
  <c r="P25" i="5"/>
  <c r="Q25" i="5"/>
  <c r="R25" i="5"/>
  <c r="S25" i="5"/>
  <c r="T25" i="5"/>
  <c r="V25" i="5"/>
  <c r="A14" i="6" s="1"/>
  <c r="Z25" i="5"/>
  <c r="H26" i="5"/>
  <c r="I26" i="5"/>
  <c r="J26" i="5"/>
  <c r="K26" i="5"/>
  <c r="L26" i="5"/>
  <c r="M26" i="5"/>
  <c r="N26" i="5"/>
  <c r="O26" i="5"/>
  <c r="P26" i="5"/>
  <c r="Q26" i="5"/>
  <c r="R26" i="5"/>
  <c r="S26" i="5"/>
  <c r="T26" i="5"/>
  <c r="V26" i="5"/>
  <c r="A15" i="6" s="1"/>
  <c r="Z26" i="5"/>
  <c r="H27" i="5"/>
  <c r="I27" i="5"/>
  <c r="J27" i="5"/>
  <c r="K27" i="5"/>
  <c r="L27" i="5"/>
  <c r="M27" i="5"/>
  <c r="N27" i="5"/>
  <c r="O27" i="5"/>
  <c r="P27" i="5"/>
  <c r="Q27" i="5"/>
  <c r="R27" i="5"/>
  <c r="S27" i="5"/>
  <c r="T27" i="5"/>
  <c r="V27" i="5"/>
  <c r="A16" i="6" s="1"/>
  <c r="Z27" i="5"/>
  <c r="H28" i="5"/>
  <c r="I28" i="5"/>
  <c r="J28" i="5"/>
  <c r="K28" i="5"/>
  <c r="L28" i="5"/>
  <c r="M28" i="5"/>
  <c r="N28" i="5"/>
  <c r="O28" i="5"/>
  <c r="P28" i="5"/>
  <c r="Q28" i="5"/>
  <c r="R28" i="5"/>
  <c r="S28" i="5"/>
  <c r="T28" i="5"/>
  <c r="V28" i="5"/>
  <c r="A17" i="6" s="1"/>
  <c r="Z28" i="5"/>
  <c r="H29" i="5"/>
  <c r="I29" i="5"/>
  <c r="J29" i="5"/>
  <c r="K29" i="5"/>
  <c r="L29" i="5"/>
  <c r="M29" i="5"/>
  <c r="N29" i="5"/>
  <c r="O29" i="5"/>
  <c r="P29" i="5"/>
  <c r="Q29" i="5"/>
  <c r="R29" i="5"/>
  <c r="S29" i="5"/>
  <c r="T29" i="5"/>
  <c r="V29" i="5"/>
  <c r="A18" i="6" s="1"/>
  <c r="Z29" i="5"/>
  <c r="H30" i="5"/>
  <c r="I30" i="5"/>
  <c r="J30" i="5"/>
  <c r="K30" i="5"/>
  <c r="L30" i="5"/>
  <c r="M30" i="5"/>
  <c r="N30" i="5"/>
  <c r="O30" i="5"/>
  <c r="P30" i="5"/>
  <c r="Q30" i="5"/>
  <c r="R30" i="5"/>
  <c r="S30" i="5"/>
  <c r="T30" i="5"/>
  <c r="V30" i="5"/>
  <c r="A19" i="6" s="1"/>
  <c r="Z30" i="5"/>
  <c r="H31" i="5"/>
  <c r="I31" i="5"/>
  <c r="J31" i="5"/>
  <c r="K31" i="5"/>
  <c r="L31" i="5"/>
  <c r="M31" i="5"/>
  <c r="N31" i="5"/>
  <c r="O31" i="5"/>
  <c r="P31" i="5"/>
  <c r="Q31" i="5"/>
  <c r="R31" i="5"/>
  <c r="S31" i="5"/>
  <c r="T31" i="5"/>
  <c r="V31" i="5"/>
  <c r="A20" i="6" s="1"/>
  <c r="Z31" i="5"/>
  <c r="H32" i="5"/>
  <c r="I32" i="5"/>
  <c r="J32" i="5"/>
  <c r="K32" i="5"/>
  <c r="L32" i="5"/>
  <c r="M32" i="5"/>
  <c r="N32" i="5"/>
  <c r="O32" i="5"/>
  <c r="P32" i="5"/>
  <c r="Q32" i="5"/>
  <c r="R32" i="5"/>
  <c r="S32" i="5"/>
  <c r="T32" i="5"/>
  <c r="V32" i="5"/>
  <c r="A21" i="6" s="1"/>
  <c r="Z32" i="5"/>
  <c r="H33" i="5"/>
  <c r="I33" i="5"/>
  <c r="J33" i="5"/>
  <c r="K33" i="5"/>
  <c r="L33" i="5"/>
  <c r="M33" i="5"/>
  <c r="N33" i="5"/>
  <c r="O33" i="5"/>
  <c r="P33" i="5"/>
  <c r="Q33" i="5"/>
  <c r="R33" i="5"/>
  <c r="S33" i="5"/>
  <c r="T33" i="5"/>
  <c r="V33" i="5"/>
  <c r="A22" i="6" s="1"/>
  <c r="Z33" i="5"/>
  <c r="H34" i="5"/>
  <c r="I34" i="5"/>
  <c r="J34" i="5"/>
  <c r="K34" i="5"/>
  <c r="L34" i="5"/>
  <c r="M34" i="5"/>
  <c r="N34" i="5"/>
  <c r="O34" i="5"/>
  <c r="P34" i="5"/>
  <c r="Q34" i="5"/>
  <c r="R34" i="5"/>
  <c r="S34" i="5"/>
  <c r="T34" i="5"/>
  <c r="V34" i="5"/>
  <c r="A23" i="6" s="1"/>
  <c r="Z34" i="5"/>
  <c r="H35" i="5"/>
  <c r="I35" i="5"/>
  <c r="J35" i="5"/>
  <c r="K35" i="5"/>
  <c r="L35" i="5"/>
  <c r="M35" i="5"/>
  <c r="N35" i="5"/>
  <c r="O35" i="5"/>
  <c r="P35" i="5"/>
  <c r="Q35" i="5"/>
  <c r="R35" i="5"/>
  <c r="S35" i="5"/>
  <c r="T35" i="5"/>
  <c r="V35" i="5"/>
  <c r="A24" i="6" s="1"/>
  <c r="Z35" i="5"/>
  <c r="H36" i="5"/>
  <c r="I36" i="5"/>
  <c r="J36" i="5"/>
  <c r="K36" i="5"/>
  <c r="L36" i="5"/>
  <c r="M36" i="5"/>
  <c r="N36" i="5"/>
  <c r="O36" i="5"/>
  <c r="P36" i="5"/>
  <c r="Q36" i="5"/>
  <c r="R36" i="5"/>
  <c r="S36" i="5"/>
  <c r="T36" i="5"/>
  <c r="V36" i="5"/>
  <c r="A25" i="6" s="1"/>
  <c r="Z36" i="5"/>
  <c r="H37" i="5"/>
  <c r="I37" i="5"/>
  <c r="J37" i="5"/>
  <c r="K37" i="5"/>
  <c r="L37" i="5"/>
  <c r="M37" i="5"/>
  <c r="N37" i="5"/>
  <c r="O37" i="5"/>
  <c r="P37" i="5"/>
  <c r="Q37" i="5"/>
  <c r="R37" i="5"/>
  <c r="S37" i="5"/>
  <c r="T37" i="5"/>
  <c r="V37" i="5"/>
  <c r="A26" i="6" s="1"/>
  <c r="Z37" i="5"/>
  <c r="H38" i="5"/>
  <c r="I38" i="5"/>
  <c r="J38" i="5"/>
  <c r="K38" i="5"/>
  <c r="L38" i="5"/>
  <c r="M38" i="5"/>
  <c r="N38" i="5"/>
  <c r="O38" i="5"/>
  <c r="P38" i="5"/>
  <c r="Q38" i="5"/>
  <c r="R38" i="5"/>
  <c r="S38" i="5"/>
  <c r="T38" i="5"/>
  <c r="V38" i="5"/>
  <c r="A27" i="6" s="1"/>
  <c r="Z38" i="5"/>
  <c r="H39" i="5"/>
  <c r="I39" i="5"/>
  <c r="J39" i="5"/>
  <c r="K39" i="5"/>
  <c r="L39" i="5"/>
  <c r="M39" i="5"/>
  <c r="N39" i="5"/>
  <c r="O39" i="5"/>
  <c r="P39" i="5"/>
  <c r="Q39" i="5"/>
  <c r="R39" i="5"/>
  <c r="S39" i="5"/>
  <c r="T39" i="5"/>
  <c r="V39" i="5"/>
  <c r="A28" i="6" s="1"/>
  <c r="Z39" i="5"/>
  <c r="H40" i="5"/>
  <c r="I40" i="5"/>
  <c r="J40" i="5"/>
  <c r="K40" i="5"/>
  <c r="L40" i="5"/>
  <c r="M40" i="5"/>
  <c r="N40" i="5"/>
  <c r="O40" i="5"/>
  <c r="P40" i="5"/>
  <c r="Q40" i="5"/>
  <c r="R40" i="5"/>
  <c r="S40" i="5"/>
  <c r="T40" i="5"/>
  <c r="V40" i="5"/>
  <c r="A29" i="6" s="1"/>
  <c r="Z40" i="5"/>
  <c r="H41" i="5"/>
  <c r="I41" i="5"/>
  <c r="J41" i="5"/>
  <c r="K41" i="5"/>
  <c r="L41" i="5"/>
  <c r="M41" i="5"/>
  <c r="N41" i="5"/>
  <c r="O41" i="5"/>
  <c r="P41" i="5"/>
  <c r="Q41" i="5"/>
  <c r="R41" i="5"/>
  <c r="S41" i="5"/>
  <c r="T41" i="5"/>
  <c r="V41" i="5"/>
  <c r="A30" i="6" s="1"/>
  <c r="Z41" i="5"/>
  <c r="H42" i="5"/>
  <c r="I42" i="5"/>
  <c r="J42" i="5"/>
  <c r="K42" i="5"/>
  <c r="L42" i="5"/>
  <c r="M42" i="5"/>
  <c r="N42" i="5"/>
  <c r="O42" i="5"/>
  <c r="P42" i="5"/>
  <c r="Q42" i="5"/>
  <c r="R42" i="5"/>
  <c r="S42" i="5"/>
  <c r="T42" i="5"/>
  <c r="V42" i="5"/>
  <c r="A31" i="6" s="1"/>
  <c r="Z42" i="5"/>
  <c r="H43" i="5"/>
  <c r="I43" i="5"/>
  <c r="J43" i="5"/>
  <c r="K43" i="5"/>
  <c r="L43" i="5"/>
  <c r="M43" i="5"/>
  <c r="N43" i="5"/>
  <c r="O43" i="5"/>
  <c r="P43" i="5"/>
  <c r="Q43" i="5"/>
  <c r="R43" i="5"/>
  <c r="S43" i="5"/>
  <c r="T43" i="5"/>
  <c r="V43" i="5"/>
  <c r="A32" i="6" s="1"/>
  <c r="Z43" i="5"/>
  <c r="H44" i="5"/>
  <c r="I44" i="5"/>
  <c r="J44" i="5"/>
  <c r="K44" i="5"/>
  <c r="L44" i="5"/>
  <c r="M44" i="5"/>
  <c r="N44" i="5"/>
  <c r="O44" i="5"/>
  <c r="P44" i="5"/>
  <c r="Q44" i="5"/>
  <c r="R44" i="5"/>
  <c r="S44" i="5"/>
  <c r="T44" i="5"/>
  <c r="V44" i="5"/>
  <c r="A33" i="6" s="1"/>
  <c r="Z44" i="5"/>
  <c r="H45" i="5"/>
  <c r="I45" i="5"/>
  <c r="J45" i="5"/>
  <c r="K45" i="5"/>
  <c r="L45" i="5"/>
  <c r="M45" i="5"/>
  <c r="W45" i="5" s="1"/>
  <c r="B34" i="6" s="1"/>
  <c r="N45" i="5"/>
  <c r="O45" i="5"/>
  <c r="P45" i="5"/>
  <c r="Q45" i="5"/>
  <c r="R45" i="5"/>
  <c r="S45" i="5"/>
  <c r="T45" i="5"/>
  <c r="V45" i="5"/>
  <c r="A34" i="6" s="1"/>
  <c r="Z45" i="5"/>
  <c r="H46" i="5"/>
  <c r="I46" i="5"/>
  <c r="J46" i="5"/>
  <c r="K46" i="5"/>
  <c r="L46" i="5"/>
  <c r="M46" i="5"/>
  <c r="N46" i="5"/>
  <c r="O46" i="5"/>
  <c r="P46" i="5"/>
  <c r="Q46" i="5"/>
  <c r="R46" i="5"/>
  <c r="S46" i="5"/>
  <c r="T46" i="5"/>
  <c r="V46" i="5"/>
  <c r="A35" i="6" s="1"/>
  <c r="Z46" i="5"/>
  <c r="H47" i="5"/>
  <c r="I47" i="5"/>
  <c r="J47" i="5"/>
  <c r="K47" i="5"/>
  <c r="L47" i="5"/>
  <c r="M47" i="5"/>
  <c r="N47" i="5"/>
  <c r="O47" i="5"/>
  <c r="P47" i="5"/>
  <c r="Q47" i="5"/>
  <c r="R47" i="5"/>
  <c r="S47" i="5"/>
  <c r="T47" i="5"/>
  <c r="V47" i="5"/>
  <c r="A36" i="6" s="1"/>
  <c r="Z47" i="5"/>
  <c r="H48" i="5"/>
  <c r="I48" i="5"/>
  <c r="J48" i="5"/>
  <c r="K48" i="5"/>
  <c r="L48" i="5"/>
  <c r="M48" i="5"/>
  <c r="N48" i="5"/>
  <c r="O48" i="5"/>
  <c r="P48" i="5"/>
  <c r="Q48" i="5"/>
  <c r="R48" i="5"/>
  <c r="S48" i="5"/>
  <c r="T48" i="5"/>
  <c r="V48" i="5"/>
  <c r="A37" i="6" s="1"/>
  <c r="Z48" i="5"/>
  <c r="H49" i="5"/>
  <c r="I49" i="5"/>
  <c r="J49" i="5"/>
  <c r="K49" i="5"/>
  <c r="L49" i="5"/>
  <c r="M49" i="5"/>
  <c r="N49" i="5"/>
  <c r="O49" i="5"/>
  <c r="P49" i="5"/>
  <c r="Q49" i="5"/>
  <c r="R49" i="5"/>
  <c r="S49" i="5"/>
  <c r="T49" i="5"/>
  <c r="V49" i="5"/>
  <c r="A38" i="6" s="1"/>
  <c r="Z49" i="5"/>
  <c r="H50" i="5"/>
  <c r="I50" i="5"/>
  <c r="J50" i="5"/>
  <c r="K50" i="5"/>
  <c r="L50" i="5"/>
  <c r="M50" i="5"/>
  <c r="N50" i="5"/>
  <c r="O50" i="5"/>
  <c r="P50" i="5"/>
  <c r="Q50" i="5"/>
  <c r="R50" i="5"/>
  <c r="S50" i="5"/>
  <c r="T50" i="5"/>
  <c r="V50" i="5"/>
  <c r="A39" i="6" s="1"/>
  <c r="Z50" i="5"/>
  <c r="H51" i="5"/>
  <c r="I51" i="5"/>
  <c r="J51" i="5"/>
  <c r="K51" i="5"/>
  <c r="L51" i="5"/>
  <c r="M51" i="5"/>
  <c r="N51" i="5"/>
  <c r="O51" i="5"/>
  <c r="P51" i="5"/>
  <c r="Q51" i="5"/>
  <c r="R51" i="5"/>
  <c r="S51" i="5"/>
  <c r="T51" i="5"/>
  <c r="V51" i="5"/>
  <c r="A40" i="6" s="1"/>
  <c r="Z51" i="5"/>
  <c r="H52" i="5"/>
  <c r="I52" i="5"/>
  <c r="J52" i="5"/>
  <c r="K52" i="5"/>
  <c r="L52" i="5"/>
  <c r="M52" i="5"/>
  <c r="N52" i="5"/>
  <c r="O52" i="5"/>
  <c r="P52" i="5"/>
  <c r="Q52" i="5"/>
  <c r="R52" i="5"/>
  <c r="S52" i="5"/>
  <c r="T52" i="5"/>
  <c r="V52" i="5"/>
  <c r="A41" i="6" s="1"/>
  <c r="Z52" i="5"/>
  <c r="H53" i="5"/>
  <c r="I53" i="5"/>
  <c r="J53" i="5"/>
  <c r="K53" i="5"/>
  <c r="L53" i="5"/>
  <c r="M53" i="5"/>
  <c r="N53" i="5"/>
  <c r="O53" i="5"/>
  <c r="P53" i="5"/>
  <c r="Q53" i="5"/>
  <c r="R53" i="5"/>
  <c r="S53" i="5"/>
  <c r="T53" i="5"/>
  <c r="V53" i="5"/>
  <c r="A42" i="6" s="1"/>
  <c r="Z53" i="5"/>
  <c r="H54" i="5"/>
  <c r="I54" i="5"/>
  <c r="J54" i="5"/>
  <c r="K54" i="5"/>
  <c r="L54" i="5"/>
  <c r="M54" i="5"/>
  <c r="N54" i="5"/>
  <c r="O54" i="5"/>
  <c r="P54" i="5"/>
  <c r="Q54" i="5"/>
  <c r="R54" i="5"/>
  <c r="S54" i="5"/>
  <c r="T54" i="5"/>
  <c r="V54" i="5"/>
  <c r="A43" i="6" s="1"/>
  <c r="Z54" i="5"/>
  <c r="H55" i="5"/>
  <c r="I55" i="5"/>
  <c r="J55" i="5"/>
  <c r="K55" i="5"/>
  <c r="L55" i="5"/>
  <c r="M55" i="5"/>
  <c r="N55" i="5"/>
  <c r="O55" i="5"/>
  <c r="P55" i="5"/>
  <c r="Q55" i="5"/>
  <c r="R55" i="5"/>
  <c r="S55" i="5"/>
  <c r="T55" i="5"/>
  <c r="V55" i="5"/>
  <c r="A44" i="6" s="1"/>
  <c r="Z55" i="5"/>
  <c r="H56" i="5"/>
  <c r="I56" i="5"/>
  <c r="J56" i="5"/>
  <c r="K56" i="5"/>
  <c r="L56" i="5"/>
  <c r="M56" i="5"/>
  <c r="N56" i="5"/>
  <c r="O56" i="5"/>
  <c r="P56" i="5"/>
  <c r="Q56" i="5"/>
  <c r="R56" i="5"/>
  <c r="S56" i="5"/>
  <c r="T56" i="5"/>
  <c r="V56" i="5"/>
  <c r="A45" i="6" s="1"/>
  <c r="Z56" i="5"/>
  <c r="H57" i="5"/>
  <c r="I57" i="5"/>
  <c r="J57" i="5"/>
  <c r="K57" i="5"/>
  <c r="L57" i="5"/>
  <c r="M57" i="5"/>
  <c r="N57" i="5"/>
  <c r="O57" i="5"/>
  <c r="P57" i="5"/>
  <c r="Q57" i="5"/>
  <c r="R57" i="5"/>
  <c r="S57" i="5"/>
  <c r="T57" i="5"/>
  <c r="V57" i="5"/>
  <c r="A46" i="6" s="1"/>
  <c r="Z57" i="5"/>
  <c r="H58" i="5"/>
  <c r="I58" i="5"/>
  <c r="J58" i="5"/>
  <c r="K58" i="5"/>
  <c r="L58" i="5"/>
  <c r="M58" i="5"/>
  <c r="N58" i="5"/>
  <c r="O58" i="5"/>
  <c r="P58" i="5"/>
  <c r="Q58" i="5"/>
  <c r="R58" i="5"/>
  <c r="S58" i="5"/>
  <c r="T58" i="5"/>
  <c r="V58" i="5"/>
  <c r="A47" i="6" s="1"/>
  <c r="Z58" i="5"/>
  <c r="H59" i="5"/>
  <c r="I59" i="5"/>
  <c r="J59" i="5"/>
  <c r="K59" i="5"/>
  <c r="L59" i="5"/>
  <c r="M59" i="5"/>
  <c r="N59" i="5"/>
  <c r="O59" i="5"/>
  <c r="P59" i="5"/>
  <c r="Q59" i="5"/>
  <c r="R59" i="5"/>
  <c r="S59" i="5"/>
  <c r="T59" i="5"/>
  <c r="V59" i="5"/>
  <c r="A48" i="6" s="1"/>
  <c r="Z59" i="5"/>
  <c r="H60" i="5"/>
  <c r="I60" i="5"/>
  <c r="J60" i="5"/>
  <c r="K60" i="5"/>
  <c r="L60" i="5"/>
  <c r="M60" i="5"/>
  <c r="N60" i="5"/>
  <c r="O60" i="5"/>
  <c r="P60" i="5"/>
  <c r="Q60" i="5"/>
  <c r="R60" i="5"/>
  <c r="S60" i="5"/>
  <c r="T60" i="5"/>
  <c r="V60" i="5"/>
  <c r="A49" i="6" s="1"/>
  <c r="Z60" i="5"/>
  <c r="H61" i="5"/>
  <c r="I61" i="5"/>
  <c r="J61" i="5"/>
  <c r="K61" i="5"/>
  <c r="L61" i="5"/>
  <c r="M61" i="5"/>
  <c r="N61" i="5"/>
  <c r="O61" i="5"/>
  <c r="P61" i="5"/>
  <c r="Q61" i="5"/>
  <c r="R61" i="5"/>
  <c r="S61" i="5"/>
  <c r="T61" i="5"/>
  <c r="V61" i="5"/>
  <c r="A50" i="6" s="1"/>
  <c r="Z61" i="5"/>
  <c r="H62" i="5"/>
  <c r="I62" i="5"/>
  <c r="J62" i="5"/>
  <c r="K62" i="5"/>
  <c r="L62" i="5"/>
  <c r="M62" i="5"/>
  <c r="N62" i="5"/>
  <c r="O62" i="5"/>
  <c r="P62" i="5"/>
  <c r="Q62" i="5"/>
  <c r="R62" i="5"/>
  <c r="S62" i="5"/>
  <c r="T62" i="5"/>
  <c r="V62" i="5"/>
  <c r="A51" i="6" s="1"/>
  <c r="Z62" i="5"/>
  <c r="H63" i="5"/>
  <c r="I63" i="5"/>
  <c r="J63" i="5"/>
  <c r="K63" i="5"/>
  <c r="L63" i="5"/>
  <c r="M63" i="5"/>
  <c r="N63" i="5"/>
  <c r="O63" i="5"/>
  <c r="P63" i="5"/>
  <c r="Q63" i="5"/>
  <c r="R63" i="5"/>
  <c r="S63" i="5"/>
  <c r="T63" i="5"/>
  <c r="V63" i="5"/>
  <c r="A52" i="6" s="1"/>
  <c r="Z63" i="5"/>
  <c r="H64" i="5"/>
  <c r="I64" i="5"/>
  <c r="J64" i="5"/>
  <c r="K64" i="5"/>
  <c r="L64" i="5"/>
  <c r="M64" i="5"/>
  <c r="N64" i="5"/>
  <c r="O64" i="5"/>
  <c r="P64" i="5"/>
  <c r="Q64" i="5"/>
  <c r="R64" i="5"/>
  <c r="S64" i="5"/>
  <c r="T64" i="5"/>
  <c r="V64" i="5"/>
  <c r="A53" i="6" s="1"/>
  <c r="Z64" i="5"/>
  <c r="H65" i="5"/>
  <c r="I65" i="5"/>
  <c r="J65" i="5"/>
  <c r="K65" i="5"/>
  <c r="L65" i="5"/>
  <c r="M65" i="5"/>
  <c r="N65" i="5"/>
  <c r="O65" i="5"/>
  <c r="P65" i="5"/>
  <c r="Q65" i="5"/>
  <c r="R65" i="5"/>
  <c r="S65" i="5"/>
  <c r="T65" i="5"/>
  <c r="V65" i="5"/>
  <c r="A54" i="6" s="1"/>
  <c r="Z65" i="5"/>
  <c r="H66" i="5"/>
  <c r="I66" i="5"/>
  <c r="J66" i="5"/>
  <c r="K66" i="5"/>
  <c r="L66" i="5"/>
  <c r="M66" i="5"/>
  <c r="N66" i="5"/>
  <c r="O66" i="5"/>
  <c r="P66" i="5"/>
  <c r="Q66" i="5"/>
  <c r="R66" i="5"/>
  <c r="S66" i="5"/>
  <c r="T66" i="5"/>
  <c r="V66" i="5"/>
  <c r="A55" i="6" s="1"/>
  <c r="Z66" i="5"/>
  <c r="H67" i="5"/>
  <c r="I67" i="5"/>
  <c r="J67" i="5"/>
  <c r="K67" i="5"/>
  <c r="L67" i="5"/>
  <c r="M67" i="5"/>
  <c r="N67" i="5"/>
  <c r="O67" i="5"/>
  <c r="P67" i="5"/>
  <c r="Q67" i="5"/>
  <c r="R67" i="5"/>
  <c r="S67" i="5"/>
  <c r="T67" i="5"/>
  <c r="V67" i="5"/>
  <c r="A56" i="6" s="1"/>
  <c r="Z67" i="5"/>
  <c r="H68" i="5"/>
  <c r="I68" i="5"/>
  <c r="J68" i="5"/>
  <c r="K68" i="5"/>
  <c r="L68" i="5"/>
  <c r="M68" i="5"/>
  <c r="N68" i="5"/>
  <c r="O68" i="5"/>
  <c r="P68" i="5"/>
  <c r="Q68" i="5"/>
  <c r="R68" i="5"/>
  <c r="S68" i="5"/>
  <c r="T68" i="5"/>
  <c r="V68" i="5"/>
  <c r="A57" i="6" s="1"/>
  <c r="Z68" i="5"/>
  <c r="H69" i="5"/>
  <c r="I69" i="5"/>
  <c r="J69" i="5"/>
  <c r="K69" i="5"/>
  <c r="L69" i="5"/>
  <c r="M69" i="5"/>
  <c r="N69" i="5"/>
  <c r="O69" i="5"/>
  <c r="P69" i="5"/>
  <c r="Q69" i="5"/>
  <c r="R69" i="5"/>
  <c r="S69" i="5"/>
  <c r="T69" i="5"/>
  <c r="V69" i="5"/>
  <c r="A58" i="6" s="1"/>
  <c r="Z69" i="5"/>
  <c r="H70" i="5"/>
  <c r="I70" i="5"/>
  <c r="J70" i="5"/>
  <c r="K70" i="5"/>
  <c r="L70" i="5"/>
  <c r="M70" i="5"/>
  <c r="N70" i="5"/>
  <c r="O70" i="5"/>
  <c r="P70" i="5"/>
  <c r="Q70" i="5"/>
  <c r="R70" i="5"/>
  <c r="S70" i="5"/>
  <c r="T70" i="5"/>
  <c r="V70" i="5"/>
  <c r="A59" i="6" s="1"/>
  <c r="Z70" i="5"/>
  <c r="H71" i="5"/>
  <c r="I71" i="5"/>
  <c r="J71" i="5"/>
  <c r="K71" i="5"/>
  <c r="L71" i="5"/>
  <c r="M71" i="5"/>
  <c r="N71" i="5"/>
  <c r="O71" i="5"/>
  <c r="P71" i="5"/>
  <c r="Q71" i="5"/>
  <c r="R71" i="5"/>
  <c r="S71" i="5"/>
  <c r="T71" i="5"/>
  <c r="V71" i="5"/>
  <c r="A60" i="6" s="1"/>
  <c r="Z71" i="5"/>
  <c r="H72" i="5"/>
  <c r="I72" i="5"/>
  <c r="J72" i="5"/>
  <c r="K72" i="5"/>
  <c r="L72" i="5"/>
  <c r="M72" i="5"/>
  <c r="N72" i="5"/>
  <c r="O72" i="5"/>
  <c r="P72" i="5"/>
  <c r="Q72" i="5"/>
  <c r="R72" i="5"/>
  <c r="S72" i="5"/>
  <c r="T72" i="5"/>
  <c r="V72" i="5"/>
  <c r="A61" i="6" s="1"/>
  <c r="Z72" i="5"/>
  <c r="H73" i="5"/>
  <c r="I73" i="5"/>
  <c r="J73" i="5"/>
  <c r="K73" i="5"/>
  <c r="L73" i="5"/>
  <c r="M73" i="5"/>
  <c r="N73" i="5"/>
  <c r="O73" i="5"/>
  <c r="P73" i="5"/>
  <c r="Q73" i="5"/>
  <c r="R73" i="5"/>
  <c r="S73" i="5"/>
  <c r="T73" i="5"/>
  <c r="V73" i="5"/>
  <c r="A62" i="6" s="1"/>
  <c r="Z73" i="5"/>
  <c r="H74" i="5"/>
  <c r="I74" i="5"/>
  <c r="J74" i="5"/>
  <c r="K74" i="5"/>
  <c r="L74" i="5"/>
  <c r="M74" i="5"/>
  <c r="N74" i="5"/>
  <c r="O74" i="5"/>
  <c r="P74" i="5"/>
  <c r="Q74" i="5"/>
  <c r="R74" i="5"/>
  <c r="S74" i="5"/>
  <c r="T74" i="5"/>
  <c r="V74" i="5"/>
  <c r="A63" i="6" s="1"/>
  <c r="Z74" i="5"/>
  <c r="H75" i="5"/>
  <c r="I75" i="5"/>
  <c r="J75" i="5"/>
  <c r="K75" i="5"/>
  <c r="L75" i="5"/>
  <c r="M75" i="5"/>
  <c r="N75" i="5"/>
  <c r="O75" i="5"/>
  <c r="P75" i="5"/>
  <c r="Q75" i="5"/>
  <c r="R75" i="5"/>
  <c r="S75" i="5"/>
  <c r="T75" i="5"/>
  <c r="V75" i="5"/>
  <c r="A64" i="6" s="1"/>
  <c r="Z75" i="5"/>
  <c r="H76" i="5"/>
  <c r="I76" i="5"/>
  <c r="J76" i="5"/>
  <c r="K76" i="5"/>
  <c r="L76" i="5"/>
  <c r="M76" i="5"/>
  <c r="N76" i="5"/>
  <c r="O76" i="5"/>
  <c r="P76" i="5"/>
  <c r="Q76" i="5"/>
  <c r="R76" i="5"/>
  <c r="S76" i="5"/>
  <c r="T76" i="5"/>
  <c r="V76" i="5"/>
  <c r="A65" i="6" s="1"/>
  <c r="Z76" i="5"/>
  <c r="H77" i="5"/>
  <c r="I77" i="5"/>
  <c r="J77" i="5"/>
  <c r="K77" i="5"/>
  <c r="L77" i="5"/>
  <c r="M77" i="5"/>
  <c r="W77" i="5" s="1"/>
  <c r="B66" i="6" s="1"/>
  <c r="N77" i="5"/>
  <c r="O77" i="5"/>
  <c r="P77" i="5"/>
  <c r="Q77" i="5"/>
  <c r="R77" i="5"/>
  <c r="S77" i="5"/>
  <c r="T77" i="5"/>
  <c r="V77" i="5"/>
  <c r="A66" i="6" s="1"/>
  <c r="Z77" i="5"/>
  <c r="H78" i="5"/>
  <c r="I78" i="5"/>
  <c r="J78" i="5"/>
  <c r="K78" i="5"/>
  <c r="L78" i="5"/>
  <c r="M78" i="5"/>
  <c r="N78" i="5"/>
  <c r="O78" i="5"/>
  <c r="P78" i="5"/>
  <c r="Q78" i="5"/>
  <c r="R78" i="5"/>
  <c r="S78" i="5"/>
  <c r="T78" i="5"/>
  <c r="V78" i="5"/>
  <c r="A67" i="6" s="1"/>
  <c r="Z78" i="5"/>
  <c r="H79" i="5"/>
  <c r="I79" i="5"/>
  <c r="J79" i="5"/>
  <c r="K79" i="5"/>
  <c r="L79" i="5"/>
  <c r="M79" i="5"/>
  <c r="N79" i="5"/>
  <c r="O79" i="5"/>
  <c r="P79" i="5"/>
  <c r="Q79" i="5"/>
  <c r="R79" i="5"/>
  <c r="S79" i="5"/>
  <c r="T79" i="5"/>
  <c r="V79" i="5"/>
  <c r="A68" i="6" s="1"/>
  <c r="Z79" i="5"/>
  <c r="H80" i="5"/>
  <c r="I80" i="5"/>
  <c r="J80" i="5"/>
  <c r="K80" i="5"/>
  <c r="L80" i="5"/>
  <c r="M80" i="5"/>
  <c r="N80" i="5"/>
  <c r="O80" i="5"/>
  <c r="P80" i="5"/>
  <c r="Q80" i="5"/>
  <c r="R80" i="5"/>
  <c r="S80" i="5"/>
  <c r="T80" i="5"/>
  <c r="V80" i="5"/>
  <c r="A69" i="6" s="1"/>
  <c r="Z80" i="5"/>
  <c r="H81" i="5"/>
  <c r="I81" i="5"/>
  <c r="J81" i="5"/>
  <c r="K81" i="5"/>
  <c r="L81" i="5"/>
  <c r="M81" i="5"/>
  <c r="N81" i="5"/>
  <c r="O81" i="5"/>
  <c r="P81" i="5"/>
  <c r="Q81" i="5"/>
  <c r="R81" i="5"/>
  <c r="S81" i="5"/>
  <c r="T81" i="5"/>
  <c r="V81" i="5"/>
  <c r="A70" i="6" s="1"/>
  <c r="Z81" i="5"/>
  <c r="H82" i="5"/>
  <c r="I82" i="5"/>
  <c r="J82" i="5"/>
  <c r="K82" i="5"/>
  <c r="L82" i="5"/>
  <c r="M82" i="5"/>
  <c r="N82" i="5"/>
  <c r="O82" i="5"/>
  <c r="P82" i="5"/>
  <c r="Q82" i="5"/>
  <c r="R82" i="5"/>
  <c r="S82" i="5"/>
  <c r="T82" i="5"/>
  <c r="V82" i="5"/>
  <c r="A71" i="6" s="1"/>
  <c r="Z82" i="5"/>
  <c r="H83" i="5"/>
  <c r="I83" i="5"/>
  <c r="J83" i="5"/>
  <c r="K83" i="5"/>
  <c r="L83" i="5"/>
  <c r="M83" i="5"/>
  <c r="N83" i="5"/>
  <c r="O83" i="5"/>
  <c r="P83" i="5"/>
  <c r="Q83" i="5"/>
  <c r="R83" i="5"/>
  <c r="S83" i="5"/>
  <c r="T83" i="5"/>
  <c r="V83" i="5"/>
  <c r="A72" i="6" s="1"/>
  <c r="Z83" i="5"/>
  <c r="H84" i="5"/>
  <c r="I84" i="5"/>
  <c r="J84" i="5"/>
  <c r="K84" i="5"/>
  <c r="L84" i="5"/>
  <c r="M84" i="5"/>
  <c r="N84" i="5"/>
  <c r="O84" i="5"/>
  <c r="P84" i="5"/>
  <c r="Q84" i="5"/>
  <c r="R84" i="5"/>
  <c r="S84" i="5"/>
  <c r="T84" i="5"/>
  <c r="V84" i="5"/>
  <c r="A73" i="6" s="1"/>
  <c r="Z84" i="5"/>
  <c r="H85" i="5"/>
  <c r="I85" i="5"/>
  <c r="J85" i="5"/>
  <c r="K85" i="5"/>
  <c r="L85" i="5"/>
  <c r="M85" i="5"/>
  <c r="N85" i="5"/>
  <c r="O85" i="5"/>
  <c r="P85" i="5"/>
  <c r="Q85" i="5"/>
  <c r="R85" i="5"/>
  <c r="S85" i="5"/>
  <c r="T85" i="5"/>
  <c r="V85" i="5"/>
  <c r="A74" i="6" s="1"/>
  <c r="Z85" i="5"/>
  <c r="H86" i="5"/>
  <c r="I86" i="5"/>
  <c r="J86" i="5"/>
  <c r="K86" i="5"/>
  <c r="L86" i="5"/>
  <c r="M86" i="5"/>
  <c r="N86" i="5"/>
  <c r="O86" i="5"/>
  <c r="P86" i="5"/>
  <c r="Q86" i="5"/>
  <c r="R86" i="5"/>
  <c r="S86" i="5"/>
  <c r="T86" i="5"/>
  <c r="V86" i="5"/>
  <c r="A75" i="6" s="1"/>
  <c r="Z86" i="5"/>
  <c r="H87" i="5"/>
  <c r="I87" i="5"/>
  <c r="J87" i="5"/>
  <c r="K87" i="5"/>
  <c r="L87" i="5"/>
  <c r="M87" i="5"/>
  <c r="N87" i="5"/>
  <c r="O87" i="5"/>
  <c r="P87" i="5"/>
  <c r="Q87" i="5"/>
  <c r="R87" i="5"/>
  <c r="S87" i="5"/>
  <c r="T87" i="5"/>
  <c r="V87" i="5"/>
  <c r="A76" i="6" s="1"/>
  <c r="Z87" i="5"/>
  <c r="H88" i="5"/>
  <c r="I88" i="5"/>
  <c r="J88" i="5"/>
  <c r="K88" i="5"/>
  <c r="L88" i="5"/>
  <c r="M88" i="5"/>
  <c r="N88" i="5"/>
  <c r="O88" i="5"/>
  <c r="P88" i="5"/>
  <c r="Q88" i="5"/>
  <c r="R88" i="5"/>
  <c r="S88" i="5"/>
  <c r="T88" i="5"/>
  <c r="V88" i="5"/>
  <c r="A77" i="6" s="1"/>
  <c r="Z88" i="5"/>
  <c r="H89" i="5"/>
  <c r="I89" i="5"/>
  <c r="J89" i="5"/>
  <c r="K89" i="5"/>
  <c r="L89" i="5"/>
  <c r="M89" i="5"/>
  <c r="N89" i="5"/>
  <c r="O89" i="5"/>
  <c r="P89" i="5"/>
  <c r="Q89" i="5"/>
  <c r="R89" i="5"/>
  <c r="S89" i="5"/>
  <c r="T89" i="5"/>
  <c r="V89" i="5"/>
  <c r="A78" i="6" s="1"/>
  <c r="Z89" i="5"/>
  <c r="H90" i="5"/>
  <c r="I90" i="5"/>
  <c r="J90" i="5"/>
  <c r="K90" i="5"/>
  <c r="L90" i="5"/>
  <c r="M90" i="5"/>
  <c r="N90" i="5"/>
  <c r="O90" i="5"/>
  <c r="P90" i="5"/>
  <c r="Q90" i="5"/>
  <c r="R90" i="5"/>
  <c r="S90" i="5"/>
  <c r="T90" i="5"/>
  <c r="V90" i="5"/>
  <c r="A79" i="6" s="1"/>
  <c r="Z90" i="5"/>
  <c r="H91" i="5"/>
  <c r="I91" i="5"/>
  <c r="J91" i="5"/>
  <c r="K91" i="5"/>
  <c r="L91" i="5"/>
  <c r="M91" i="5"/>
  <c r="N91" i="5"/>
  <c r="O91" i="5"/>
  <c r="P91" i="5"/>
  <c r="Q91" i="5"/>
  <c r="R91" i="5"/>
  <c r="S91" i="5"/>
  <c r="T91" i="5"/>
  <c r="V91" i="5"/>
  <c r="A80" i="6" s="1"/>
  <c r="Z91" i="5"/>
  <c r="H92" i="5"/>
  <c r="I92" i="5"/>
  <c r="J92" i="5"/>
  <c r="K92" i="5"/>
  <c r="L92" i="5"/>
  <c r="M92" i="5"/>
  <c r="N92" i="5"/>
  <c r="O92" i="5"/>
  <c r="P92" i="5"/>
  <c r="Q92" i="5"/>
  <c r="R92" i="5"/>
  <c r="S92" i="5"/>
  <c r="T92" i="5"/>
  <c r="V92" i="5"/>
  <c r="A81" i="6" s="1"/>
  <c r="Z92" i="5"/>
  <c r="H93" i="5"/>
  <c r="I93" i="5"/>
  <c r="J93" i="5"/>
  <c r="K93" i="5"/>
  <c r="L93" i="5"/>
  <c r="M93" i="5"/>
  <c r="N93" i="5"/>
  <c r="O93" i="5"/>
  <c r="P93" i="5"/>
  <c r="Q93" i="5"/>
  <c r="R93" i="5"/>
  <c r="S93" i="5"/>
  <c r="T93" i="5"/>
  <c r="V93" i="5"/>
  <c r="A82" i="6" s="1"/>
  <c r="Z93" i="5"/>
  <c r="H94" i="5"/>
  <c r="I94" i="5"/>
  <c r="J94" i="5"/>
  <c r="K94" i="5"/>
  <c r="L94" i="5"/>
  <c r="M94" i="5"/>
  <c r="N94" i="5"/>
  <c r="O94" i="5"/>
  <c r="P94" i="5"/>
  <c r="Q94" i="5"/>
  <c r="R94" i="5"/>
  <c r="S94" i="5"/>
  <c r="T94" i="5"/>
  <c r="V94" i="5"/>
  <c r="A83" i="6" s="1"/>
  <c r="Z94" i="5"/>
  <c r="H95" i="5"/>
  <c r="I95" i="5"/>
  <c r="J95" i="5"/>
  <c r="K95" i="5"/>
  <c r="L95" i="5"/>
  <c r="M95" i="5"/>
  <c r="N95" i="5"/>
  <c r="O95" i="5"/>
  <c r="P95" i="5"/>
  <c r="Q95" i="5"/>
  <c r="R95" i="5"/>
  <c r="S95" i="5"/>
  <c r="T95" i="5"/>
  <c r="V95" i="5"/>
  <c r="A84" i="6" s="1"/>
  <c r="Z95" i="5"/>
  <c r="H96" i="5"/>
  <c r="I96" i="5"/>
  <c r="J96" i="5"/>
  <c r="K96" i="5"/>
  <c r="L96" i="5"/>
  <c r="M96" i="5"/>
  <c r="N96" i="5"/>
  <c r="O96" i="5"/>
  <c r="P96" i="5"/>
  <c r="Q96" i="5"/>
  <c r="R96" i="5"/>
  <c r="S96" i="5"/>
  <c r="T96" i="5"/>
  <c r="V96" i="5"/>
  <c r="A85" i="6" s="1"/>
  <c r="Z96" i="5"/>
  <c r="H97" i="5"/>
  <c r="I97" i="5"/>
  <c r="J97" i="5"/>
  <c r="K97" i="5"/>
  <c r="L97" i="5"/>
  <c r="M97" i="5"/>
  <c r="N97" i="5"/>
  <c r="O97" i="5"/>
  <c r="P97" i="5"/>
  <c r="Q97" i="5"/>
  <c r="R97" i="5"/>
  <c r="S97" i="5"/>
  <c r="T97" i="5"/>
  <c r="V97" i="5"/>
  <c r="A86" i="6" s="1"/>
  <c r="Z97" i="5"/>
  <c r="H98" i="5"/>
  <c r="I98" i="5"/>
  <c r="J98" i="5"/>
  <c r="K98" i="5"/>
  <c r="L98" i="5"/>
  <c r="M98" i="5"/>
  <c r="N98" i="5"/>
  <c r="O98" i="5"/>
  <c r="P98" i="5"/>
  <c r="Q98" i="5"/>
  <c r="R98" i="5"/>
  <c r="S98" i="5"/>
  <c r="T98" i="5"/>
  <c r="V98" i="5"/>
  <c r="A87" i="6" s="1"/>
  <c r="Z98" i="5"/>
  <c r="H99" i="5"/>
  <c r="I99" i="5"/>
  <c r="J99" i="5"/>
  <c r="K99" i="5"/>
  <c r="L99" i="5"/>
  <c r="M99" i="5"/>
  <c r="N99" i="5"/>
  <c r="O99" i="5"/>
  <c r="P99" i="5"/>
  <c r="Q99" i="5"/>
  <c r="R99" i="5"/>
  <c r="S99" i="5"/>
  <c r="T99" i="5"/>
  <c r="V99" i="5"/>
  <c r="A88" i="6" s="1"/>
  <c r="Z99" i="5"/>
  <c r="H100" i="5"/>
  <c r="I100" i="5"/>
  <c r="J100" i="5"/>
  <c r="K100" i="5"/>
  <c r="L100" i="5"/>
  <c r="M100" i="5"/>
  <c r="N100" i="5"/>
  <c r="O100" i="5"/>
  <c r="P100" i="5"/>
  <c r="Q100" i="5"/>
  <c r="R100" i="5"/>
  <c r="S100" i="5"/>
  <c r="T100" i="5"/>
  <c r="V100" i="5"/>
  <c r="A89" i="6" s="1"/>
  <c r="Z100" i="5"/>
  <c r="H101" i="5"/>
  <c r="I101" i="5"/>
  <c r="J101" i="5"/>
  <c r="K101" i="5"/>
  <c r="L101" i="5"/>
  <c r="M101" i="5"/>
  <c r="N101" i="5"/>
  <c r="O101" i="5"/>
  <c r="P101" i="5"/>
  <c r="Q101" i="5"/>
  <c r="R101" i="5"/>
  <c r="S101" i="5"/>
  <c r="T101" i="5"/>
  <c r="V101" i="5"/>
  <c r="A90" i="6" s="1"/>
  <c r="Z101" i="5"/>
  <c r="H102" i="5"/>
  <c r="I102" i="5"/>
  <c r="J102" i="5"/>
  <c r="K102" i="5"/>
  <c r="L102" i="5"/>
  <c r="M102" i="5"/>
  <c r="N102" i="5"/>
  <c r="O102" i="5"/>
  <c r="P102" i="5"/>
  <c r="Q102" i="5"/>
  <c r="R102" i="5"/>
  <c r="S102" i="5"/>
  <c r="T102" i="5"/>
  <c r="V102" i="5"/>
  <c r="A91" i="6" s="1"/>
  <c r="Z102" i="5"/>
  <c r="H103" i="5"/>
  <c r="I103" i="5"/>
  <c r="J103" i="5"/>
  <c r="K103" i="5"/>
  <c r="L103" i="5"/>
  <c r="M103" i="5"/>
  <c r="N103" i="5"/>
  <c r="O103" i="5"/>
  <c r="P103" i="5"/>
  <c r="Q103" i="5"/>
  <c r="R103" i="5"/>
  <c r="S103" i="5"/>
  <c r="T103" i="5"/>
  <c r="V103" i="5"/>
  <c r="A92" i="6" s="1"/>
  <c r="Z103" i="5"/>
  <c r="H104" i="5"/>
  <c r="I104" i="5"/>
  <c r="J104" i="5"/>
  <c r="K104" i="5"/>
  <c r="L104" i="5"/>
  <c r="M104" i="5"/>
  <c r="N104" i="5"/>
  <c r="O104" i="5"/>
  <c r="P104" i="5"/>
  <c r="Q104" i="5"/>
  <c r="R104" i="5"/>
  <c r="S104" i="5"/>
  <c r="T104" i="5"/>
  <c r="V104" i="5"/>
  <c r="A93" i="6" s="1"/>
  <c r="Z104" i="5"/>
  <c r="H105" i="5"/>
  <c r="I105" i="5"/>
  <c r="J105" i="5"/>
  <c r="K105" i="5"/>
  <c r="L105" i="5"/>
  <c r="M105" i="5"/>
  <c r="N105" i="5"/>
  <c r="O105" i="5"/>
  <c r="P105" i="5"/>
  <c r="Q105" i="5"/>
  <c r="R105" i="5"/>
  <c r="S105" i="5"/>
  <c r="T105" i="5"/>
  <c r="V105" i="5"/>
  <c r="A94" i="6" s="1"/>
  <c r="Z105" i="5"/>
  <c r="H106" i="5"/>
  <c r="I106" i="5"/>
  <c r="J106" i="5"/>
  <c r="K106" i="5"/>
  <c r="L106" i="5"/>
  <c r="M106" i="5"/>
  <c r="N106" i="5"/>
  <c r="O106" i="5"/>
  <c r="P106" i="5"/>
  <c r="Q106" i="5"/>
  <c r="R106" i="5"/>
  <c r="S106" i="5"/>
  <c r="T106" i="5"/>
  <c r="V106" i="5"/>
  <c r="A95" i="6" s="1"/>
  <c r="Z106" i="5"/>
  <c r="H107" i="5"/>
  <c r="I107" i="5"/>
  <c r="J107" i="5"/>
  <c r="K107" i="5"/>
  <c r="L107" i="5"/>
  <c r="M107" i="5"/>
  <c r="N107" i="5"/>
  <c r="O107" i="5"/>
  <c r="P107" i="5"/>
  <c r="Q107" i="5"/>
  <c r="R107" i="5"/>
  <c r="S107" i="5"/>
  <c r="T107" i="5"/>
  <c r="V107" i="5"/>
  <c r="A96" i="6" s="1"/>
  <c r="Z107" i="5"/>
  <c r="H108" i="5"/>
  <c r="I108" i="5"/>
  <c r="J108" i="5"/>
  <c r="K108" i="5"/>
  <c r="L108" i="5"/>
  <c r="M108" i="5"/>
  <c r="N108" i="5"/>
  <c r="O108" i="5"/>
  <c r="P108" i="5"/>
  <c r="Q108" i="5"/>
  <c r="R108" i="5"/>
  <c r="S108" i="5"/>
  <c r="T108" i="5"/>
  <c r="V108" i="5"/>
  <c r="A97" i="6" s="1"/>
  <c r="Z108" i="5"/>
  <c r="H109" i="5"/>
  <c r="I109" i="5"/>
  <c r="J109" i="5"/>
  <c r="K109" i="5"/>
  <c r="L109" i="5"/>
  <c r="M109" i="5"/>
  <c r="W109" i="5" s="1"/>
  <c r="B98" i="6" s="1"/>
  <c r="N109" i="5"/>
  <c r="O109" i="5"/>
  <c r="P109" i="5"/>
  <c r="Q109" i="5"/>
  <c r="R109" i="5"/>
  <c r="S109" i="5"/>
  <c r="T109" i="5"/>
  <c r="V109" i="5"/>
  <c r="A98" i="6" s="1"/>
  <c r="Z109" i="5"/>
  <c r="H110" i="5"/>
  <c r="I110" i="5"/>
  <c r="J110" i="5"/>
  <c r="K110" i="5"/>
  <c r="L110" i="5"/>
  <c r="M110" i="5"/>
  <c r="N110" i="5"/>
  <c r="O110" i="5"/>
  <c r="P110" i="5"/>
  <c r="Q110" i="5"/>
  <c r="R110" i="5"/>
  <c r="S110" i="5"/>
  <c r="T110" i="5"/>
  <c r="V110" i="5"/>
  <c r="A99" i="6" s="1"/>
  <c r="Z110" i="5"/>
  <c r="H111" i="5"/>
  <c r="I111" i="5"/>
  <c r="J111" i="5"/>
  <c r="K111" i="5"/>
  <c r="L111" i="5"/>
  <c r="M111" i="5"/>
  <c r="N111" i="5"/>
  <c r="O111" i="5"/>
  <c r="P111" i="5"/>
  <c r="Q111" i="5"/>
  <c r="R111" i="5"/>
  <c r="S111" i="5"/>
  <c r="T111" i="5"/>
  <c r="V111" i="5"/>
  <c r="A100" i="6" s="1"/>
  <c r="Z111" i="5"/>
  <c r="H112" i="5"/>
  <c r="I112" i="5"/>
  <c r="J112" i="5"/>
  <c r="K112" i="5"/>
  <c r="L112" i="5"/>
  <c r="M112" i="5"/>
  <c r="N112" i="5"/>
  <c r="O112" i="5"/>
  <c r="P112" i="5"/>
  <c r="Q112" i="5"/>
  <c r="R112" i="5"/>
  <c r="S112" i="5"/>
  <c r="T112" i="5"/>
  <c r="V112" i="5"/>
  <c r="A101" i="6" s="1"/>
  <c r="Z112" i="5"/>
  <c r="H113" i="5"/>
  <c r="I113" i="5"/>
  <c r="J113" i="5"/>
  <c r="K113" i="5"/>
  <c r="L113" i="5"/>
  <c r="M113" i="5"/>
  <c r="N113" i="5"/>
  <c r="O113" i="5"/>
  <c r="P113" i="5"/>
  <c r="Q113" i="5"/>
  <c r="R113" i="5"/>
  <c r="S113" i="5"/>
  <c r="T113" i="5"/>
  <c r="V113" i="5"/>
  <c r="A102" i="6" s="1"/>
  <c r="Z113" i="5"/>
  <c r="H114" i="5"/>
  <c r="I114" i="5"/>
  <c r="J114" i="5"/>
  <c r="K114" i="5"/>
  <c r="L114" i="5"/>
  <c r="M114" i="5"/>
  <c r="N114" i="5"/>
  <c r="O114" i="5"/>
  <c r="P114" i="5"/>
  <c r="Q114" i="5"/>
  <c r="R114" i="5"/>
  <c r="S114" i="5"/>
  <c r="T114" i="5"/>
  <c r="V114" i="5"/>
  <c r="A103" i="6" s="1"/>
  <c r="Z114" i="5"/>
  <c r="H115" i="5"/>
  <c r="I115" i="5"/>
  <c r="J115" i="5"/>
  <c r="K115" i="5"/>
  <c r="L115" i="5"/>
  <c r="M115" i="5"/>
  <c r="N115" i="5"/>
  <c r="O115" i="5"/>
  <c r="P115" i="5"/>
  <c r="Q115" i="5"/>
  <c r="R115" i="5"/>
  <c r="S115" i="5"/>
  <c r="T115" i="5"/>
  <c r="V115" i="5"/>
  <c r="A104" i="6" s="1"/>
  <c r="Z115" i="5"/>
  <c r="H116" i="5"/>
  <c r="I116" i="5"/>
  <c r="J116" i="5"/>
  <c r="K116" i="5"/>
  <c r="L116" i="5"/>
  <c r="M116" i="5"/>
  <c r="N116" i="5"/>
  <c r="O116" i="5"/>
  <c r="P116" i="5"/>
  <c r="Q116" i="5"/>
  <c r="R116" i="5"/>
  <c r="S116" i="5"/>
  <c r="T116" i="5"/>
  <c r="V116" i="5"/>
  <c r="A105" i="6" s="1"/>
  <c r="Z116" i="5"/>
  <c r="H117" i="5"/>
  <c r="I117" i="5"/>
  <c r="J117" i="5"/>
  <c r="K117" i="5"/>
  <c r="L117" i="5"/>
  <c r="M117" i="5"/>
  <c r="N117" i="5"/>
  <c r="O117" i="5"/>
  <c r="P117" i="5"/>
  <c r="Q117" i="5"/>
  <c r="R117" i="5"/>
  <c r="S117" i="5"/>
  <c r="T117" i="5"/>
  <c r="V117" i="5"/>
  <c r="A106" i="6" s="1"/>
  <c r="Z117" i="5"/>
  <c r="H118" i="5"/>
  <c r="I118" i="5"/>
  <c r="J118" i="5"/>
  <c r="K118" i="5"/>
  <c r="L118" i="5"/>
  <c r="M118" i="5"/>
  <c r="N118" i="5"/>
  <c r="O118" i="5"/>
  <c r="P118" i="5"/>
  <c r="Q118" i="5"/>
  <c r="R118" i="5"/>
  <c r="S118" i="5"/>
  <c r="T118" i="5"/>
  <c r="V118" i="5"/>
  <c r="A107" i="6" s="1"/>
  <c r="Z118" i="5"/>
  <c r="H119" i="5"/>
  <c r="I119" i="5"/>
  <c r="J119" i="5"/>
  <c r="K119" i="5"/>
  <c r="L119" i="5"/>
  <c r="M119" i="5"/>
  <c r="N119" i="5"/>
  <c r="O119" i="5"/>
  <c r="P119" i="5"/>
  <c r="Q119" i="5"/>
  <c r="R119" i="5"/>
  <c r="S119" i="5"/>
  <c r="T119" i="5"/>
  <c r="V119" i="5"/>
  <c r="A108" i="6" s="1"/>
  <c r="Z119" i="5"/>
  <c r="H120" i="5"/>
  <c r="I120" i="5"/>
  <c r="J120" i="5"/>
  <c r="K120" i="5"/>
  <c r="L120" i="5"/>
  <c r="M120" i="5"/>
  <c r="N120" i="5"/>
  <c r="O120" i="5"/>
  <c r="P120" i="5"/>
  <c r="Q120" i="5"/>
  <c r="R120" i="5"/>
  <c r="S120" i="5"/>
  <c r="T120" i="5"/>
  <c r="V120" i="5"/>
  <c r="A109" i="6" s="1"/>
  <c r="Z120" i="5"/>
  <c r="H121" i="5"/>
  <c r="I121" i="5"/>
  <c r="J121" i="5"/>
  <c r="K121" i="5"/>
  <c r="L121" i="5"/>
  <c r="M121" i="5"/>
  <c r="N121" i="5"/>
  <c r="O121" i="5"/>
  <c r="P121" i="5"/>
  <c r="Q121" i="5"/>
  <c r="R121" i="5"/>
  <c r="S121" i="5"/>
  <c r="T121" i="5"/>
  <c r="V121" i="5"/>
  <c r="A110" i="6" s="1"/>
  <c r="Z121" i="5"/>
  <c r="H122" i="5"/>
  <c r="I122" i="5"/>
  <c r="J122" i="5"/>
  <c r="K122" i="5"/>
  <c r="L122" i="5"/>
  <c r="M122" i="5"/>
  <c r="N122" i="5"/>
  <c r="O122" i="5"/>
  <c r="P122" i="5"/>
  <c r="Q122" i="5"/>
  <c r="R122" i="5"/>
  <c r="S122" i="5"/>
  <c r="T122" i="5"/>
  <c r="V122" i="5"/>
  <c r="A111" i="6" s="1"/>
  <c r="Z122" i="5"/>
  <c r="H123" i="5"/>
  <c r="I123" i="5"/>
  <c r="J123" i="5"/>
  <c r="K123" i="5"/>
  <c r="L123" i="5"/>
  <c r="M123" i="5"/>
  <c r="N123" i="5"/>
  <c r="O123" i="5"/>
  <c r="P123" i="5"/>
  <c r="Q123" i="5"/>
  <c r="R123" i="5"/>
  <c r="S123" i="5"/>
  <c r="T123" i="5"/>
  <c r="V123" i="5"/>
  <c r="A112" i="6" s="1"/>
  <c r="Z123" i="5"/>
  <c r="H124" i="5"/>
  <c r="I124" i="5"/>
  <c r="J124" i="5"/>
  <c r="K124" i="5"/>
  <c r="L124" i="5"/>
  <c r="M124" i="5"/>
  <c r="N124" i="5"/>
  <c r="O124" i="5"/>
  <c r="P124" i="5"/>
  <c r="Q124" i="5"/>
  <c r="R124" i="5"/>
  <c r="S124" i="5"/>
  <c r="T124" i="5"/>
  <c r="V124" i="5"/>
  <c r="A113" i="6" s="1"/>
  <c r="Z124" i="5"/>
  <c r="H125" i="5"/>
  <c r="I125" i="5"/>
  <c r="J125" i="5"/>
  <c r="K125" i="5"/>
  <c r="L125" i="5"/>
  <c r="M125" i="5"/>
  <c r="N125" i="5"/>
  <c r="O125" i="5"/>
  <c r="P125" i="5"/>
  <c r="Q125" i="5"/>
  <c r="R125" i="5"/>
  <c r="S125" i="5"/>
  <c r="T125" i="5"/>
  <c r="V125" i="5"/>
  <c r="A114" i="6" s="1"/>
  <c r="Z125" i="5"/>
  <c r="H126" i="5"/>
  <c r="I126" i="5"/>
  <c r="J126" i="5"/>
  <c r="K126" i="5"/>
  <c r="L126" i="5"/>
  <c r="M126" i="5"/>
  <c r="N126" i="5"/>
  <c r="O126" i="5"/>
  <c r="P126" i="5"/>
  <c r="Q126" i="5"/>
  <c r="R126" i="5"/>
  <c r="S126" i="5"/>
  <c r="T126" i="5"/>
  <c r="V126" i="5"/>
  <c r="A115" i="6" s="1"/>
  <c r="Z126" i="5"/>
  <c r="H127" i="5"/>
  <c r="I127" i="5"/>
  <c r="J127" i="5"/>
  <c r="K127" i="5"/>
  <c r="L127" i="5"/>
  <c r="M127" i="5"/>
  <c r="N127" i="5"/>
  <c r="O127" i="5"/>
  <c r="P127" i="5"/>
  <c r="Q127" i="5"/>
  <c r="R127" i="5"/>
  <c r="S127" i="5"/>
  <c r="T127" i="5"/>
  <c r="V127" i="5"/>
  <c r="A116" i="6" s="1"/>
  <c r="Z127" i="5"/>
  <c r="H128" i="5"/>
  <c r="I128" i="5"/>
  <c r="J128" i="5"/>
  <c r="K128" i="5"/>
  <c r="L128" i="5"/>
  <c r="M128" i="5"/>
  <c r="N128" i="5"/>
  <c r="O128" i="5"/>
  <c r="P128" i="5"/>
  <c r="Q128" i="5"/>
  <c r="R128" i="5"/>
  <c r="S128" i="5"/>
  <c r="T128" i="5"/>
  <c r="V128" i="5"/>
  <c r="A117" i="6" s="1"/>
  <c r="Z128" i="5"/>
  <c r="H129" i="5"/>
  <c r="I129" i="5"/>
  <c r="J129" i="5"/>
  <c r="K129" i="5"/>
  <c r="L129" i="5"/>
  <c r="M129" i="5"/>
  <c r="N129" i="5"/>
  <c r="O129" i="5"/>
  <c r="P129" i="5"/>
  <c r="Q129" i="5"/>
  <c r="R129" i="5"/>
  <c r="S129" i="5"/>
  <c r="T129" i="5"/>
  <c r="V129" i="5"/>
  <c r="A118" i="6" s="1"/>
  <c r="Z129" i="5"/>
  <c r="H130" i="5"/>
  <c r="I130" i="5"/>
  <c r="J130" i="5"/>
  <c r="K130" i="5"/>
  <c r="L130" i="5"/>
  <c r="M130" i="5"/>
  <c r="N130" i="5"/>
  <c r="O130" i="5"/>
  <c r="P130" i="5"/>
  <c r="Q130" i="5"/>
  <c r="R130" i="5"/>
  <c r="S130" i="5"/>
  <c r="T130" i="5"/>
  <c r="V130" i="5"/>
  <c r="A119" i="6" s="1"/>
  <c r="Z130" i="5"/>
  <c r="H131" i="5"/>
  <c r="I131" i="5"/>
  <c r="J131" i="5"/>
  <c r="K131" i="5"/>
  <c r="L131" i="5"/>
  <c r="M131" i="5"/>
  <c r="N131" i="5"/>
  <c r="O131" i="5"/>
  <c r="P131" i="5"/>
  <c r="Q131" i="5"/>
  <c r="R131" i="5"/>
  <c r="S131" i="5"/>
  <c r="T131" i="5"/>
  <c r="V131" i="5"/>
  <c r="A120" i="6" s="1"/>
  <c r="Z131" i="5"/>
  <c r="H132" i="5"/>
  <c r="I132" i="5"/>
  <c r="J132" i="5"/>
  <c r="K132" i="5"/>
  <c r="L132" i="5"/>
  <c r="M132" i="5"/>
  <c r="N132" i="5"/>
  <c r="O132" i="5"/>
  <c r="P132" i="5"/>
  <c r="Q132" i="5"/>
  <c r="R132" i="5"/>
  <c r="S132" i="5"/>
  <c r="T132" i="5"/>
  <c r="V132" i="5"/>
  <c r="A121" i="6" s="1"/>
  <c r="Z132" i="5"/>
  <c r="H133" i="5"/>
  <c r="I133" i="5"/>
  <c r="J133" i="5"/>
  <c r="K133" i="5"/>
  <c r="L133" i="5"/>
  <c r="M133" i="5"/>
  <c r="N133" i="5"/>
  <c r="O133" i="5"/>
  <c r="P133" i="5"/>
  <c r="Q133" i="5"/>
  <c r="R133" i="5"/>
  <c r="S133" i="5"/>
  <c r="T133" i="5"/>
  <c r="V133" i="5"/>
  <c r="A122" i="6" s="1"/>
  <c r="Z133" i="5"/>
  <c r="H134" i="5"/>
  <c r="I134" i="5"/>
  <c r="J134" i="5"/>
  <c r="K134" i="5"/>
  <c r="L134" i="5"/>
  <c r="M134" i="5"/>
  <c r="N134" i="5"/>
  <c r="O134" i="5"/>
  <c r="P134" i="5"/>
  <c r="Q134" i="5"/>
  <c r="R134" i="5"/>
  <c r="S134" i="5"/>
  <c r="T134" i="5"/>
  <c r="V134" i="5"/>
  <c r="A123" i="6" s="1"/>
  <c r="Z134" i="5"/>
  <c r="H135" i="5"/>
  <c r="I135" i="5"/>
  <c r="J135" i="5"/>
  <c r="K135" i="5"/>
  <c r="L135" i="5"/>
  <c r="M135" i="5"/>
  <c r="N135" i="5"/>
  <c r="O135" i="5"/>
  <c r="P135" i="5"/>
  <c r="Q135" i="5"/>
  <c r="R135" i="5"/>
  <c r="S135" i="5"/>
  <c r="T135" i="5"/>
  <c r="V135" i="5"/>
  <c r="A124" i="6" s="1"/>
  <c r="Z135" i="5"/>
  <c r="H136" i="5"/>
  <c r="I136" i="5"/>
  <c r="J136" i="5"/>
  <c r="K136" i="5"/>
  <c r="L136" i="5"/>
  <c r="M136" i="5"/>
  <c r="N136" i="5"/>
  <c r="O136" i="5"/>
  <c r="P136" i="5"/>
  <c r="Q136" i="5"/>
  <c r="R136" i="5"/>
  <c r="S136" i="5"/>
  <c r="T136" i="5"/>
  <c r="V136" i="5"/>
  <c r="A125" i="6" s="1"/>
  <c r="Z136" i="5"/>
  <c r="H137" i="5"/>
  <c r="I137" i="5"/>
  <c r="J137" i="5"/>
  <c r="K137" i="5"/>
  <c r="L137" i="5"/>
  <c r="M137" i="5"/>
  <c r="N137" i="5"/>
  <c r="O137" i="5"/>
  <c r="P137" i="5"/>
  <c r="Q137" i="5"/>
  <c r="R137" i="5"/>
  <c r="S137" i="5"/>
  <c r="T137" i="5"/>
  <c r="V137" i="5"/>
  <c r="A126" i="6" s="1"/>
  <c r="Z137" i="5"/>
  <c r="H138" i="5"/>
  <c r="I138" i="5"/>
  <c r="J138" i="5"/>
  <c r="K138" i="5"/>
  <c r="L138" i="5"/>
  <c r="M138" i="5"/>
  <c r="N138" i="5"/>
  <c r="O138" i="5"/>
  <c r="P138" i="5"/>
  <c r="Q138" i="5"/>
  <c r="R138" i="5"/>
  <c r="S138" i="5"/>
  <c r="T138" i="5"/>
  <c r="V138" i="5"/>
  <c r="A127" i="6" s="1"/>
  <c r="Z138" i="5"/>
  <c r="H139" i="5"/>
  <c r="I139" i="5"/>
  <c r="J139" i="5"/>
  <c r="K139" i="5"/>
  <c r="L139" i="5"/>
  <c r="M139" i="5"/>
  <c r="N139" i="5"/>
  <c r="O139" i="5"/>
  <c r="P139" i="5"/>
  <c r="Q139" i="5"/>
  <c r="R139" i="5"/>
  <c r="S139" i="5"/>
  <c r="T139" i="5"/>
  <c r="V139" i="5"/>
  <c r="A128" i="6" s="1"/>
  <c r="Z139" i="5"/>
  <c r="H140" i="5"/>
  <c r="I140" i="5"/>
  <c r="J140" i="5"/>
  <c r="K140" i="5"/>
  <c r="L140" i="5"/>
  <c r="M140" i="5"/>
  <c r="N140" i="5"/>
  <c r="O140" i="5"/>
  <c r="P140" i="5"/>
  <c r="Q140" i="5"/>
  <c r="R140" i="5"/>
  <c r="S140" i="5"/>
  <c r="T140" i="5"/>
  <c r="V140" i="5"/>
  <c r="A129" i="6" s="1"/>
  <c r="Z140" i="5"/>
  <c r="H141" i="5"/>
  <c r="I141" i="5"/>
  <c r="J141" i="5"/>
  <c r="K141" i="5"/>
  <c r="L141" i="5"/>
  <c r="M141" i="5"/>
  <c r="W141" i="5" s="1"/>
  <c r="B130" i="6" s="1"/>
  <c r="N141" i="5"/>
  <c r="O141" i="5"/>
  <c r="P141" i="5"/>
  <c r="Q141" i="5"/>
  <c r="R141" i="5"/>
  <c r="S141" i="5"/>
  <c r="T141" i="5"/>
  <c r="V141" i="5"/>
  <c r="A130" i="6" s="1"/>
  <c r="Z141" i="5"/>
  <c r="H142" i="5"/>
  <c r="I142" i="5"/>
  <c r="J142" i="5"/>
  <c r="K142" i="5"/>
  <c r="L142" i="5"/>
  <c r="M142" i="5"/>
  <c r="N142" i="5"/>
  <c r="O142" i="5"/>
  <c r="P142" i="5"/>
  <c r="Q142" i="5"/>
  <c r="R142" i="5"/>
  <c r="S142" i="5"/>
  <c r="T142" i="5"/>
  <c r="V142" i="5"/>
  <c r="A131" i="6" s="1"/>
  <c r="Z142" i="5"/>
  <c r="H143" i="5"/>
  <c r="I143" i="5"/>
  <c r="J143" i="5"/>
  <c r="K143" i="5"/>
  <c r="L143" i="5"/>
  <c r="M143" i="5"/>
  <c r="N143" i="5"/>
  <c r="O143" i="5"/>
  <c r="P143" i="5"/>
  <c r="Q143" i="5"/>
  <c r="R143" i="5"/>
  <c r="S143" i="5"/>
  <c r="T143" i="5"/>
  <c r="V143" i="5"/>
  <c r="A132" i="6" s="1"/>
  <c r="Z143" i="5"/>
  <c r="H144" i="5"/>
  <c r="I144" i="5"/>
  <c r="J144" i="5"/>
  <c r="K144" i="5"/>
  <c r="L144" i="5"/>
  <c r="M144" i="5"/>
  <c r="N144" i="5"/>
  <c r="O144" i="5"/>
  <c r="P144" i="5"/>
  <c r="Q144" i="5"/>
  <c r="R144" i="5"/>
  <c r="S144" i="5"/>
  <c r="T144" i="5"/>
  <c r="V144" i="5"/>
  <c r="A133" i="6" s="1"/>
  <c r="Z144" i="5"/>
  <c r="H145" i="5"/>
  <c r="I145" i="5"/>
  <c r="J145" i="5"/>
  <c r="K145" i="5"/>
  <c r="L145" i="5"/>
  <c r="M145" i="5"/>
  <c r="N145" i="5"/>
  <c r="O145" i="5"/>
  <c r="P145" i="5"/>
  <c r="Q145" i="5"/>
  <c r="R145" i="5"/>
  <c r="S145" i="5"/>
  <c r="T145" i="5"/>
  <c r="V145" i="5"/>
  <c r="A134" i="6" s="1"/>
  <c r="Z145" i="5"/>
  <c r="H146" i="5"/>
  <c r="I146" i="5"/>
  <c r="J146" i="5"/>
  <c r="K146" i="5"/>
  <c r="L146" i="5"/>
  <c r="M146" i="5"/>
  <c r="N146" i="5"/>
  <c r="O146" i="5"/>
  <c r="P146" i="5"/>
  <c r="Q146" i="5"/>
  <c r="R146" i="5"/>
  <c r="S146" i="5"/>
  <c r="T146" i="5"/>
  <c r="V146" i="5"/>
  <c r="A135" i="6" s="1"/>
  <c r="Z146" i="5"/>
  <c r="H147" i="5"/>
  <c r="I147" i="5"/>
  <c r="J147" i="5"/>
  <c r="K147" i="5"/>
  <c r="L147" i="5"/>
  <c r="M147" i="5"/>
  <c r="N147" i="5"/>
  <c r="O147" i="5"/>
  <c r="P147" i="5"/>
  <c r="Q147" i="5"/>
  <c r="R147" i="5"/>
  <c r="S147" i="5"/>
  <c r="T147" i="5"/>
  <c r="V147" i="5"/>
  <c r="A136" i="6" s="1"/>
  <c r="Z147" i="5"/>
  <c r="H148" i="5"/>
  <c r="I148" i="5"/>
  <c r="J148" i="5"/>
  <c r="K148" i="5"/>
  <c r="L148" i="5"/>
  <c r="M148" i="5"/>
  <c r="N148" i="5"/>
  <c r="O148" i="5"/>
  <c r="P148" i="5"/>
  <c r="Q148" i="5"/>
  <c r="R148" i="5"/>
  <c r="S148" i="5"/>
  <c r="T148" i="5"/>
  <c r="V148" i="5"/>
  <c r="A137" i="6" s="1"/>
  <c r="Z148" i="5"/>
  <c r="H149" i="5"/>
  <c r="I149" i="5"/>
  <c r="J149" i="5"/>
  <c r="K149" i="5"/>
  <c r="L149" i="5"/>
  <c r="M149" i="5"/>
  <c r="N149" i="5"/>
  <c r="O149" i="5"/>
  <c r="P149" i="5"/>
  <c r="Q149" i="5"/>
  <c r="R149" i="5"/>
  <c r="S149" i="5"/>
  <c r="T149" i="5"/>
  <c r="V149" i="5"/>
  <c r="A138" i="6" s="1"/>
  <c r="Z149" i="5"/>
  <c r="H150" i="5"/>
  <c r="I150" i="5"/>
  <c r="J150" i="5"/>
  <c r="K150" i="5"/>
  <c r="L150" i="5"/>
  <c r="M150" i="5"/>
  <c r="N150" i="5"/>
  <c r="O150" i="5"/>
  <c r="P150" i="5"/>
  <c r="Q150" i="5"/>
  <c r="R150" i="5"/>
  <c r="S150" i="5"/>
  <c r="T150" i="5"/>
  <c r="V150" i="5"/>
  <c r="A139" i="6" s="1"/>
  <c r="Z150" i="5"/>
  <c r="H151" i="5"/>
  <c r="I151" i="5"/>
  <c r="J151" i="5"/>
  <c r="K151" i="5"/>
  <c r="L151" i="5"/>
  <c r="M151" i="5"/>
  <c r="N151" i="5"/>
  <c r="O151" i="5"/>
  <c r="P151" i="5"/>
  <c r="Q151" i="5"/>
  <c r="R151" i="5"/>
  <c r="S151" i="5"/>
  <c r="T151" i="5"/>
  <c r="V151" i="5"/>
  <c r="A140" i="6" s="1"/>
  <c r="Z151" i="5"/>
  <c r="H152" i="5"/>
  <c r="I152" i="5"/>
  <c r="J152" i="5"/>
  <c r="K152" i="5"/>
  <c r="L152" i="5"/>
  <c r="M152" i="5"/>
  <c r="N152" i="5"/>
  <c r="O152" i="5"/>
  <c r="P152" i="5"/>
  <c r="Q152" i="5"/>
  <c r="R152" i="5"/>
  <c r="S152" i="5"/>
  <c r="T152" i="5"/>
  <c r="V152" i="5"/>
  <c r="A141" i="6" s="1"/>
  <c r="Z152" i="5"/>
  <c r="H153" i="5"/>
  <c r="I153" i="5"/>
  <c r="J153" i="5"/>
  <c r="K153" i="5"/>
  <c r="L153" i="5"/>
  <c r="M153" i="5"/>
  <c r="N153" i="5"/>
  <c r="O153" i="5"/>
  <c r="P153" i="5"/>
  <c r="Q153" i="5"/>
  <c r="R153" i="5"/>
  <c r="S153" i="5"/>
  <c r="T153" i="5"/>
  <c r="V153" i="5"/>
  <c r="A142" i="6" s="1"/>
  <c r="Z153" i="5"/>
  <c r="H154" i="5"/>
  <c r="I154" i="5"/>
  <c r="J154" i="5"/>
  <c r="K154" i="5"/>
  <c r="L154" i="5"/>
  <c r="M154" i="5"/>
  <c r="N154" i="5"/>
  <c r="O154" i="5"/>
  <c r="P154" i="5"/>
  <c r="Q154" i="5"/>
  <c r="R154" i="5"/>
  <c r="S154" i="5"/>
  <c r="T154" i="5"/>
  <c r="V154" i="5"/>
  <c r="A143" i="6" s="1"/>
  <c r="Z154" i="5"/>
  <c r="H155" i="5"/>
  <c r="I155" i="5"/>
  <c r="J155" i="5"/>
  <c r="K155" i="5"/>
  <c r="L155" i="5"/>
  <c r="M155" i="5"/>
  <c r="N155" i="5"/>
  <c r="O155" i="5"/>
  <c r="P155" i="5"/>
  <c r="Q155" i="5"/>
  <c r="R155" i="5"/>
  <c r="S155" i="5"/>
  <c r="T155" i="5"/>
  <c r="V155" i="5"/>
  <c r="A144" i="6" s="1"/>
  <c r="Z155" i="5"/>
  <c r="H156" i="5"/>
  <c r="I156" i="5"/>
  <c r="J156" i="5"/>
  <c r="K156" i="5"/>
  <c r="L156" i="5"/>
  <c r="M156" i="5"/>
  <c r="N156" i="5"/>
  <c r="O156" i="5"/>
  <c r="P156" i="5"/>
  <c r="Q156" i="5"/>
  <c r="R156" i="5"/>
  <c r="S156" i="5"/>
  <c r="T156" i="5"/>
  <c r="V156" i="5"/>
  <c r="A145" i="6" s="1"/>
  <c r="Z156" i="5"/>
  <c r="H157" i="5"/>
  <c r="I157" i="5"/>
  <c r="J157" i="5"/>
  <c r="K157" i="5"/>
  <c r="L157" i="5"/>
  <c r="M157" i="5"/>
  <c r="N157" i="5"/>
  <c r="O157" i="5"/>
  <c r="P157" i="5"/>
  <c r="Q157" i="5"/>
  <c r="R157" i="5"/>
  <c r="S157" i="5"/>
  <c r="T157" i="5"/>
  <c r="V157" i="5"/>
  <c r="A146" i="6" s="1"/>
  <c r="Z157" i="5"/>
  <c r="H158" i="5"/>
  <c r="I158" i="5"/>
  <c r="J158" i="5"/>
  <c r="K158" i="5"/>
  <c r="L158" i="5"/>
  <c r="M158" i="5"/>
  <c r="N158" i="5"/>
  <c r="O158" i="5"/>
  <c r="P158" i="5"/>
  <c r="Q158" i="5"/>
  <c r="R158" i="5"/>
  <c r="S158" i="5"/>
  <c r="T158" i="5"/>
  <c r="V158" i="5"/>
  <c r="A147" i="6" s="1"/>
  <c r="Z158" i="5"/>
  <c r="H159" i="5"/>
  <c r="I159" i="5"/>
  <c r="J159" i="5"/>
  <c r="K159" i="5"/>
  <c r="L159" i="5"/>
  <c r="M159" i="5"/>
  <c r="N159" i="5"/>
  <c r="O159" i="5"/>
  <c r="P159" i="5"/>
  <c r="Q159" i="5"/>
  <c r="R159" i="5"/>
  <c r="S159" i="5"/>
  <c r="T159" i="5"/>
  <c r="V159" i="5"/>
  <c r="A148" i="6" s="1"/>
  <c r="Z159" i="5"/>
  <c r="H160" i="5"/>
  <c r="I160" i="5"/>
  <c r="J160" i="5"/>
  <c r="K160" i="5"/>
  <c r="L160" i="5"/>
  <c r="M160" i="5"/>
  <c r="N160" i="5"/>
  <c r="O160" i="5"/>
  <c r="P160" i="5"/>
  <c r="Q160" i="5"/>
  <c r="R160" i="5"/>
  <c r="S160" i="5"/>
  <c r="T160" i="5"/>
  <c r="V160" i="5"/>
  <c r="A149" i="6" s="1"/>
  <c r="Z160" i="5"/>
  <c r="H161" i="5"/>
  <c r="I161" i="5"/>
  <c r="J161" i="5"/>
  <c r="K161" i="5"/>
  <c r="L161" i="5"/>
  <c r="M161" i="5"/>
  <c r="N161" i="5"/>
  <c r="O161" i="5"/>
  <c r="P161" i="5"/>
  <c r="Q161" i="5"/>
  <c r="R161" i="5"/>
  <c r="S161" i="5"/>
  <c r="T161" i="5"/>
  <c r="V161" i="5"/>
  <c r="A150" i="6" s="1"/>
  <c r="Z161" i="5"/>
  <c r="H162" i="5"/>
  <c r="I162" i="5"/>
  <c r="J162" i="5"/>
  <c r="K162" i="5"/>
  <c r="L162" i="5"/>
  <c r="M162" i="5"/>
  <c r="N162" i="5"/>
  <c r="O162" i="5"/>
  <c r="P162" i="5"/>
  <c r="Q162" i="5"/>
  <c r="R162" i="5"/>
  <c r="S162" i="5"/>
  <c r="T162" i="5"/>
  <c r="V162" i="5"/>
  <c r="A151" i="6" s="1"/>
  <c r="Z162" i="5"/>
  <c r="H163" i="5"/>
  <c r="I163" i="5"/>
  <c r="J163" i="5"/>
  <c r="K163" i="5"/>
  <c r="L163" i="5"/>
  <c r="M163" i="5"/>
  <c r="N163" i="5"/>
  <c r="O163" i="5"/>
  <c r="P163" i="5"/>
  <c r="Q163" i="5"/>
  <c r="R163" i="5"/>
  <c r="S163" i="5"/>
  <c r="T163" i="5"/>
  <c r="V163" i="5"/>
  <c r="A152" i="6" s="1"/>
  <c r="Z163" i="5"/>
  <c r="H164" i="5"/>
  <c r="I164" i="5"/>
  <c r="J164" i="5"/>
  <c r="K164" i="5"/>
  <c r="L164" i="5"/>
  <c r="M164" i="5"/>
  <c r="W164" i="5" s="1"/>
  <c r="B153" i="6" s="1"/>
  <c r="N164" i="5"/>
  <c r="O164" i="5"/>
  <c r="P164" i="5"/>
  <c r="Q164" i="5"/>
  <c r="R164" i="5"/>
  <c r="S164" i="5"/>
  <c r="T164" i="5"/>
  <c r="V164" i="5"/>
  <c r="A153" i="6" s="1"/>
  <c r="Z164" i="5"/>
  <c r="H165" i="5"/>
  <c r="I165" i="5"/>
  <c r="J165" i="5"/>
  <c r="K165" i="5"/>
  <c r="L165" i="5"/>
  <c r="M165" i="5"/>
  <c r="N165" i="5"/>
  <c r="O165" i="5"/>
  <c r="P165" i="5"/>
  <c r="Q165" i="5"/>
  <c r="R165" i="5"/>
  <c r="S165" i="5"/>
  <c r="T165" i="5"/>
  <c r="V165" i="5"/>
  <c r="A154" i="6" s="1"/>
  <c r="Z165" i="5"/>
  <c r="H166" i="5"/>
  <c r="I166" i="5"/>
  <c r="J166" i="5"/>
  <c r="K166" i="5"/>
  <c r="L166" i="5"/>
  <c r="M166" i="5"/>
  <c r="N166" i="5"/>
  <c r="O166" i="5"/>
  <c r="P166" i="5"/>
  <c r="Q166" i="5"/>
  <c r="R166" i="5"/>
  <c r="S166" i="5"/>
  <c r="T166" i="5"/>
  <c r="V166" i="5"/>
  <c r="A155" i="6" s="1"/>
  <c r="Z166" i="5"/>
  <c r="H167" i="5"/>
  <c r="I167" i="5"/>
  <c r="J167" i="5"/>
  <c r="K167" i="5"/>
  <c r="L167" i="5"/>
  <c r="M167" i="5"/>
  <c r="N167" i="5"/>
  <c r="O167" i="5"/>
  <c r="P167" i="5"/>
  <c r="Q167" i="5"/>
  <c r="R167" i="5"/>
  <c r="S167" i="5"/>
  <c r="T167" i="5"/>
  <c r="V167" i="5"/>
  <c r="A156" i="6" s="1"/>
  <c r="Z167" i="5"/>
  <c r="H168" i="5"/>
  <c r="I168" i="5"/>
  <c r="J168" i="5"/>
  <c r="K168" i="5"/>
  <c r="L168" i="5"/>
  <c r="M168" i="5"/>
  <c r="N168" i="5"/>
  <c r="O168" i="5"/>
  <c r="P168" i="5"/>
  <c r="Q168" i="5"/>
  <c r="R168" i="5"/>
  <c r="S168" i="5"/>
  <c r="T168" i="5"/>
  <c r="V168" i="5"/>
  <c r="A157" i="6" s="1"/>
  <c r="Z168" i="5"/>
  <c r="H169" i="5"/>
  <c r="I169" i="5"/>
  <c r="J169" i="5"/>
  <c r="K169" i="5"/>
  <c r="L169" i="5"/>
  <c r="M169" i="5"/>
  <c r="N169" i="5"/>
  <c r="O169" i="5"/>
  <c r="P169" i="5"/>
  <c r="Q169" i="5"/>
  <c r="R169" i="5"/>
  <c r="S169" i="5"/>
  <c r="T169" i="5"/>
  <c r="V169" i="5"/>
  <c r="A158" i="6" s="1"/>
  <c r="Z169" i="5"/>
  <c r="H170" i="5"/>
  <c r="I170" i="5"/>
  <c r="J170" i="5"/>
  <c r="K170" i="5"/>
  <c r="L170" i="5"/>
  <c r="M170" i="5"/>
  <c r="N170" i="5"/>
  <c r="O170" i="5"/>
  <c r="P170" i="5"/>
  <c r="Q170" i="5"/>
  <c r="R170" i="5"/>
  <c r="S170" i="5"/>
  <c r="T170" i="5"/>
  <c r="V170" i="5"/>
  <c r="A159" i="6" s="1"/>
  <c r="Z170" i="5"/>
  <c r="H171" i="5"/>
  <c r="I171" i="5"/>
  <c r="J171" i="5"/>
  <c r="K171" i="5"/>
  <c r="L171" i="5"/>
  <c r="M171" i="5"/>
  <c r="N171" i="5"/>
  <c r="O171" i="5"/>
  <c r="P171" i="5"/>
  <c r="Q171" i="5"/>
  <c r="R171" i="5"/>
  <c r="S171" i="5"/>
  <c r="T171" i="5"/>
  <c r="V171" i="5"/>
  <c r="A160" i="6" s="1"/>
  <c r="Z171" i="5"/>
  <c r="H172" i="5"/>
  <c r="I172" i="5"/>
  <c r="J172" i="5"/>
  <c r="K172" i="5"/>
  <c r="L172" i="5"/>
  <c r="M172" i="5"/>
  <c r="N172" i="5"/>
  <c r="O172" i="5"/>
  <c r="P172" i="5"/>
  <c r="Q172" i="5"/>
  <c r="R172" i="5"/>
  <c r="S172" i="5"/>
  <c r="T172" i="5"/>
  <c r="V172" i="5"/>
  <c r="A161" i="6" s="1"/>
  <c r="Z172" i="5"/>
  <c r="H173" i="5"/>
  <c r="I173" i="5"/>
  <c r="J173" i="5"/>
  <c r="K173" i="5"/>
  <c r="L173" i="5"/>
  <c r="M173" i="5"/>
  <c r="N173" i="5"/>
  <c r="O173" i="5"/>
  <c r="P173" i="5"/>
  <c r="Q173" i="5"/>
  <c r="R173" i="5"/>
  <c r="S173" i="5"/>
  <c r="T173" i="5"/>
  <c r="V173" i="5"/>
  <c r="A162" i="6" s="1"/>
  <c r="Z173" i="5"/>
  <c r="H174" i="5"/>
  <c r="I174" i="5"/>
  <c r="J174" i="5"/>
  <c r="K174" i="5"/>
  <c r="L174" i="5"/>
  <c r="M174" i="5"/>
  <c r="N174" i="5"/>
  <c r="O174" i="5"/>
  <c r="P174" i="5"/>
  <c r="Q174" i="5"/>
  <c r="R174" i="5"/>
  <c r="S174" i="5"/>
  <c r="T174" i="5"/>
  <c r="V174" i="5"/>
  <c r="A163" i="6" s="1"/>
  <c r="Z174" i="5"/>
  <c r="H175" i="5"/>
  <c r="I175" i="5"/>
  <c r="J175" i="5"/>
  <c r="K175" i="5"/>
  <c r="L175" i="5"/>
  <c r="M175" i="5"/>
  <c r="N175" i="5"/>
  <c r="O175" i="5"/>
  <c r="P175" i="5"/>
  <c r="Q175" i="5"/>
  <c r="R175" i="5"/>
  <c r="S175" i="5"/>
  <c r="T175" i="5"/>
  <c r="V175" i="5"/>
  <c r="A164" i="6" s="1"/>
  <c r="Z175" i="5"/>
  <c r="H176" i="5"/>
  <c r="I176" i="5"/>
  <c r="J176" i="5"/>
  <c r="K176" i="5"/>
  <c r="L176" i="5"/>
  <c r="M176" i="5"/>
  <c r="N176" i="5"/>
  <c r="O176" i="5"/>
  <c r="P176" i="5"/>
  <c r="Q176" i="5"/>
  <c r="R176" i="5"/>
  <c r="S176" i="5"/>
  <c r="T176" i="5"/>
  <c r="V176" i="5"/>
  <c r="A165" i="6" s="1"/>
  <c r="Z176" i="5"/>
  <c r="H177" i="5"/>
  <c r="I177" i="5"/>
  <c r="J177" i="5"/>
  <c r="K177" i="5"/>
  <c r="L177" i="5"/>
  <c r="M177" i="5"/>
  <c r="N177" i="5"/>
  <c r="O177" i="5"/>
  <c r="P177" i="5"/>
  <c r="Q177" i="5"/>
  <c r="R177" i="5"/>
  <c r="S177" i="5"/>
  <c r="T177" i="5"/>
  <c r="V177" i="5"/>
  <c r="A166" i="6" s="1"/>
  <c r="Z177" i="5"/>
  <c r="H178" i="5"/>
  <c r="I178" i="5"/>
  <c r="J178" i="5"/>
  <c r="K178" i="5"/>
  <c r="L178" i="5"/>
  <c r="M178" i="5"/>
  <c r="N178" i="5"/>
  <c r="O178" i="5"/>
  <c r="P178" i="5"/>
  <c r="Q178" i="5"/>
  <c r="R178" i="5"/>
  <c r="S178" i="5"/>
  <c r="T178" i="5"/>
  <c r="V178" i="5"/>
  <c r="A167" i="6" s="1"/>
  <c r="Z178" i="5"/>
  <c r="H179" i="5"/>
  <c r="I179" i="5"/>
  <c r="J179" i="5"/>
  <c r="K179" i="5"/>
  <c r="L179" i="5"/>
  <c r="M179" i="5"/>
  <c r="N179" i="5"/>
  <c r="O179" i="5"/>
  <c r="P179" i="5"/>
  <c r="Q179" i="5"/>
  <c r="R179" i="5"/>
  <c r="S179" i="5"/>
  <c r="T179" i="5"/>
  <c r="V179" i="5"/>
  <c r="A168" i="6" s="1"/>
  <c r="Z179" i="5"/>
  <c r="H180" i="5"/>
  <c r="I180" i="5"/>
  <c r="J180" i="5"/>
  <c r="K180" i="5"/>
  <c r="L180" i="5"/>
  <c r="M180" i="5"/>
  <c r="W180" i="5" s="1"/>
  <c r="B169" i="6" s="1"/>
  <c r="N180" i="5"/>
  <c r="O180" i="5"/>
  <c r="P180" i="5"/>
  <c r="Q180" i="5"/>
  <c r="R180" i="5"/>
  <c r="S180" i="5"/>
  <c r="T180" i="5"/>
  <c r="V180" i="5"/>
  <c r="A169" i="6" s="1"/>
  <c r="Z180" i="5"/>
  <c r="H181" i="5"/>
  <c r="I181" i="5"/>
  <c r="J181" i="5"/>
  <c r="K181" i="5"/>
  <c r="L181" i="5"/>
  <c r="M181" i="5"/>
  <c r="N181" i="5"/>
  <c r="O181" i="5"/>
  <c r="P181" i="5"/>
  <c r="Q181" i="5"/>
  <c r="R181" i="5"/>
  <c r="S181" i="5"/>
  <c r="T181" i="5"/>
  <c r="V181" i="5"/>
  <c r="A170" i="6" s="1"/>
  <c r="Z181" i="5"/>
  <c r="H182" i="5"/>
  <c r="I182" i="5"/>
  <c r="J182" i="5"/>
  <c r="K182" i="5"/>
  <c r="L182" i="5"/>
  <c r="M182" i="5"/>
  <c r="N182" i="5"/>
  <c r="O182" i="5"/>
  <c r="P182" i="5"/>
  <c r="Q182" i="5"/>
  <c r="R182" i="5"/>
  <c r="S182" i="5"/>
  <c r="T182" i="5"/>
  <c r="V182" i="5"/>
  <c r="A171" i="6" s="1"/>
  <c r="Z182" i="5"/>
  <c r="H183" i="5"/>
  <c r="I183" i="5"/>
  <c r="J183" i="5"/>
  <c r="K183" i="5"/>
  <c r="L183" i="5"/>
  <c r="M183" i="5"/>
  <c r="N183" i="5"/>
  <c r="O183" i="5"/>
  <c r="P183" i="5"/>
  <c r="Q183" i="5"/>
  <c r="R183" i="5"/>
  <c r="S183" i="5"/>
  <c r="T183" i="5"/>
  <c r="V183" i="5"/>
  <c r="A172" i="6" s="1"/>
  <c r="Z183" i="5"/>
  <c r="H184" i="5"/>
  <c r="I184" i="5"/>
  <c r="J184" i="5"/>
  <c r="K184" i="5"/>
  <c r="L184" i="5"/>
  <c r="M184" i="5"/>
  <c r="N184" i="5"/>
  <c r="O184" i="5"/>
  <c r="P184" i="5"/>
  <c r="Q184" i="5"/>
  <c r="R184" i="5"/>
  <c r="S184" i="5"/>
  <c r="T184" i="5"/>
  <c r="V184" i="5"/>
  <c r="A173" i="6" s="1"/>
  <c r="Z184" i="5"/>
  <c r="H185" i="5"/>
  <c r="I185" i="5"/>
  <c r="J185" i="5"/>
  <c r="K185" i="5"/>
  <c r="L185" i="5"/>
  <c r="M185" i="5"/>
  <c r="N185" i="5"/>
  <c r="O185" i="5"/>
  <c r="P185" i="5"/>
  <c r="Q185" i="5"/>
  <c r="R185" i="5"/>
  <c r="S185" i="5"/>
  <c r="T185" i="5"/>
  <c r="V185" i="5"/>
  <c r="A174" i="6" s="1"/>
  <c r="Z185" i="5"/>
  <c r="H186" i="5"/>
  <c r="I186" i="5"/>
  <c r="J186" i="5"/>
  <c r="K186" i="5"/>
  <c r="L186" i="5"/>
  <c r="M186" i="5"/>
  <c r="N186" i="5"/>
  <c r="O186" i="5"/>
  <c r="P186" i="5"/>
  <c r="Q186" i="5"/>
  <c r="R186" i="5"/>
  <c r="S186" i="5"/>
  <c r="T186" i="5"/>
  <c r="V186" i="5"/>
  <c r="A175" i="6" s="1"/>
  <c r="Z186" i="5"/>
  <c r="H187" i="5"/>
  <c r="I187" i="5"/>
  <c r="J187" i="5"/>
  <c r="K187" i="5"/>
  <c r="L187" i="5"/>
  <c r="M187" i="5"/>
  <c r="N187" i="5"/>
  <c r="O187" i="5"/>
  <c r="P187" i="5"/>
  <c r="Q187" i="5"/>
  <c r="R187" i="5"/>
  <c r="S187" i="5"/>
  <c r="T187" i="5"/>
  <c r="V187" i="5"/>
  <c r="A176" i="6" s="1"/>
  <c r="Z187" i="5"/>
  <c r="H188" i="5"/>
  <c r="I188" i="5"/>
  <c r="J188" i="5"/>
  <c r="K188" i="5"/>
  <c r="L188" i="5"/>
  <c r="M188" i="5"/>
  <c r="N188" i="5"/>
  <c r="O188" i="5"/>
  <c r="P188" i="5"/>
  <c r="Q188" i="5"/>
  <c r="R188" i="5"/>
  <c r="S188" i="5"/>
  <c r="T188" i="5"/>
  <c r="V188" i="5"/>
  <c r="A177" i="6" s="1"/>
  <c r="Z188" i="5"/>
  <c r="H189" i="5"/>
  <c r="I189" i="5"/>
  <c r="J189" i="5"/>
  <c r="K189" i="5"/>
  <c r="L189" i="5"/>
  <c r="M189" i="5"/>
  <c r="N189" i="5"/>
  <c r="O189" i="5"/>
  <c r="P189" i="5"/>
  <c r="Q189" i="5"/>
  <c r="R189" i="5"/>
  <c r="S189" i="5"/>
  <c r="T189" i="5"/>
  <c r="V189" i="5"/>
  <c r="A178" i="6" s="1"/>
  <c r="Z189" i="5"/>
  <c r="H190" i="5"/>
  <c r="I190" i="5"/>
  <c r="J190" i="5"/>
  <c r="K190" i="5"/>
  <c r="L190" i="5"/>
  <c r="M190" i="5"/>
  <c r="N190" i="5"/>
  <c r="O190" i="5"/>
  <c r="P190" i="5"/>
  <c r="Q190" i="5"/>
  <c r="R190" i="5"/>
  <c r="S190" i="5"/>
  <c r="T190" i="5"/>
  <c r="V190" i="5"/>
  <c r="A179" i="6" s="1"/>
  <c r="Z190" i="5"/>
  <c r="H191" i="5"/>
  <c r="I191" i="5"/>
  <c r="J191" i="5"/>
  <c r="K191" i="5"/>
  <c r="L191" i="5"/>
  <c r="M191" i="5"/>
  <c r="N191" i="5"/>
  <c r="O191" i="5"/>
  <c r="P191" i="5"/>
  <c r="Q191" i="5"/>
  <c r="R191" i="5"/>
  <c r="S191" i="5"/>
  <c r="T191" i="5"/>
  <c r="V191" i="5"/>
  <c r="A180" i="6" s="1"/>
  <c r="Z191" i="5"/>
  <c r="H192" i="5"/>
  <c r="I192" i="5"/>
  <c r="J192" i="5"/>
  <c r="K192" i="5"/>
  <c r="L192" i="5"/>
  <c r="M192" i="5"/>
  <c r="N192" i="5"/>
  <c r="O192" i="5"/>
  <c r="P192" i="5"/>
  <c r="Q192" i="5"/>
  <c r="R192" i="5"/>
  <c r="S192" i="5"/>
  <c r="T192" i="5"/>
  <c r="V192" i="5"/>
  <c r="A181" i="6" s="1"/>
  <c r="Z192" i="5"/>
  <c r="H193" i="5"/>
  <c r="I193" i="5"/>
  <c r="J193" i="5"/>
  <c r="K193" i="5"/>
  <c r="L193" i="5"/>
  <c r="M193" i="5"/>
  <c r="N193" i="5"/>
  <c r="O193" i="5"/>
  <c r="P193" i="5"/>
  <c r="Q193" i="5"/>
  <c r="R193" i="5"/>
  <c r="S193" i="5"/>
  <c r="T193" i="5"/>
  <c r="V193" i="5"/>
  <c r="A182" i="6" s="1"/>
  <c r="Z193" i="5"/>
  <c r="H194" i="5"/>
  <c r="I194" i="5"/>
  <c r="J194" i="5"/>
  <c r="K194" i="5"/>
  <c r="L194" i="5"/>
  <c r="M194" i="5"/>
  <c r="N194" i="5"/>
  <c r="O194" i="5"/>
  <c r="P194" i="5"/>
  <c r="Q194" i="5"/>
  <c r="R194" i="5"/>
  <c r="S194" i="5"/>
  <c r="T194" i="5"/>
  <c r="V194" i="5"/>
  <c r="A183" i="6" s="1"/>
  <c r="Z194" i="5"/>
  <c r="H195" i="5"/>
  <c r="I195" i="5"/>
  <c r="J195" i="5"/>
  <c r="K195" i="5"/>
  <c r="L195" i="5"/>
  <c r="M195" i="5"/>
  <c r="N195" i="5"/>
  <c r="O195" i="5"/>
  <c r="P195" i="5"/>
  <c r="Q195" i="5"/>
  <c r="R195" i="5"/>
  <c r="S195" i="5"/>
  <c r="T195" i="5"/>
  <c r="V195" i="5"/>
  <c r="A184" i="6" s="1"/>
  <c r="Z195" i="5"/>
  <c r="H196" i="5"/>
  <c r="I196" i="5"/>
  <c r="J196" i="5"/>
  <c r="K196" i="5"/>
  <c r="L196" i="5"/>
  <c r="M196" i="5"/>
  <c r="W196" i="5" s="1"/>
  <c r="B185" i="6" s="1"/>
  <c r="N196" i="5"/>
  <c r="O196" i="5"/>
  <c r="P196" i="5"/>
  <c r="Q196" i="5"/>
  <c r="R196" i="5"/>
  <c r="S196" i="5"/>
  <c r="T196" i="5"/>
  <c r="V196" i="5"/>
  <c r="A185" i="6" s="1"/>
  <c r="Z196" i="5"/>
  <c r="H197" i="5"/>
  <c r="I197" i="5"/>
  <c r="J197" i="5"/>
  <c r="K197" i="5"/>
  <c r="L197" i="5"/>
  <c r="M197" i="5"/>
  <c r="N197" i="5"/>
  <c r="O197" i="5"/>
  <c r="P197" i="5"/>
  <c r="Q197" i="5"/>
  <c r="R197" i="5"/>
  <c r="S197" i="5"/>
  <c r="T197" i="5"/>
  <c r="V197" i="5"/>
  <c r="A186" i="6" s="1"/>
  <c r="Z197" i="5"/>
  <c r="H198" i="5"/>
  <c r="I198" i="5"/>
  <c r="J198" i="5"/>
  <c r="K198" i="5"/>
  <c r="L198" i="5"/>
  <c r="M198" i="5"/>
  <c r="N198" i="5"/>
  <c r="O198" i="5"/>
  <c r="P198" i="5"/>
  <c r="Q198" i="5"/>
  <c r="R198" i="5"/>
  <c r="S198" i="5"/>
  <c r="T198" i="5"/>
  <c r="V198" i="5"/>
  <c r="A187" i="6" s="1"/>
  <c r="Z198" i="5"/>
  <c r="H199" i="5"/>
  <c r="I199" i="5"/>
  <c r="J199" i="5"/>
  <c r="K199" i="5"/>
  <c r="L199" i="5"/>
  <c r="M199" i="5"/>
  <c r="N199" i="5"/>
  <c r="O199" i="5"/>
  <c r="P199" i="5"/>
  <c r="Q199" i="5"/>
  <c r="R199" i="5"/>
  <c r="S199" i="5"/>
  <c r="T199" i="5"/>
  <c r="V199" i="5"/>
  <c r="A188" i="6" s="1"/>
  <c r="Z199" i="5"/>
  <c r="H200" i="5"/>
  <c r="I200" i="5"/>
  <c r="J200" i="5"/>
  <c r="K200" i="5"/>
  <c r="L200" i="5"/>
  <c r="M200" i="5"/>
  <c r="N200" i="5"/>
  <c r="O200" i="5"/>
  <c r="P200" i="5"/>
  <c r="Q200" i="5"/>
  <c r="R200" i="5"/>
  <c r="S200" i="5"/>
  <c r="T200" i="5"/>
  <c r="V200" i="5"/>
  <c r="A189" i="6" s="1"/>
  <c r="Z200" i="5"/>
  <c r="H201" i="5"/>
  <c r="I201" i="5"/>
  <c r="J201" i="5"/>
  <c r="K201" i="5"/>
  <c r="L201" i="5"/>
  <c r="M201" i="5"/>
  <c r="N201" i="5"/>
  <c r="O201" i="5"/>
  <c r="P201" i="5"/>
  <c r="Q201" i="5"/>
  <c r="R201" i="5"/>
  <c r="S201" i="5"/>
  <c r="T201" i="5"/>
  <c r="V201" i="5"/>
  <c r="A190" i="6" s="1"/>
  <c r="Z201" i="5"/>
  <c r="H202" i="5"/>
  <c r="I202" i="5"/>
  <c r="J202" i="5"/>
  <c r="K202" i="5"/>
  <c r="L202" i="5"/>
  <c r="M202" i="5"/>
  <c r="N202" i="5"/>
  <c r="O202" i="5"/>
  <c r="P202" i="5"/>
  <c r="Q202" i="5"/>
  <c r="R202" i="5"/>
  <c r="S202" i="5"/>
  <c r="T202" i="5"/>
  <c r="V202" i="5"/>
  <c r="A191" i="6" s="1"/>
  <c r="Z202" i="5"/>
  <c r="H203" i="5"/>
  <c r="I203" i="5"/>
  <c r="J203" i="5"/>
  <c r="K203" i="5"/>
  <c r="L203" i="5"/>
  <c r="M203" i="5"/>
  <c r="N203" i="5"/>
  <c r="O203" i="5"/>
  <c r="P203" i="5"/>
  <c r="Q203" i="5"/>
  <c r="R203" i="5"/>
  <c r="S203" i="5"/>
  <c r="T203" i="5"/>
  <c r="V203" i="5"/>
  <c r="A192" i="6" s="1"/>
  <c r="Z203" i="5"/>
  <c r="H204" i="5"/>
  <c r="I204" i="5"/>
  <c r="J204" i="5"/>
  <c r="K204" i="5"/>
  <c r="L204" i="5"/>
  <c r="M204" i="5"/>
  <c r="N204" i="5"/>
  <c r="O204" i="5"/>
  <c r="P204" i="5"/>
  <c r="Q204" i="5"/>
  <c r="R204" i="5"/>
  <c r="S204" i="5"/>
  <c r="T204" i="5"/>
  <c r="V204" i="5"/>
  <c r="A193" i="6" s="1"/>
  <c r="Z204" i="5"/>
  <c r="H205" i="5"/>
  <c r="I205" i="5"/>
  <c r="J205" i="5"/>
  <c r="K205" i="5"/>
  <c r="L205" i="5"/>
  <c r="M205" i="5"/>
  <c r="N205" i="5"/>
  <c r="O205" i="5"/>
  <c r="P205" i="5"/>
  <c r="Q205" i="5"/>
  <c r="R205" i="5"/>
  <c r="S205" i="5"/>
  <c r="T205" i="5"/>
  <c r="V205" i="5"/>
  <c r="A194" i="6" s="1"/>
  <c r="Z205" i="5"/>
  <c r="H206" i="5"/>
  <c r="I206" i="5"/>
  <c r="J206" i="5"/>
  <c r="K206" i="5"/>
  <c r="L206" i="5"/>
  <c r="M206" i="5"/>
  <c r="N206" i="5"/>
  <c r="O206" i="5"/>
  <c r="P206" i="5"/>
  <c r="Q206" i="5"/>
  <c r="R206" i="5"/>
  <c r="S206" i="5"/>
  <c r="T206" i="5"/>
  <c r="V206" i="5"/>
  <c r="A195" i="6" s="1"/>
  <c r="Z206" i="5"/>
  <c r="H207" i="5"/>
  <c r="I207" i="5"/>
  <c r="J207" i="5"/>
  <c r="K207" i="5"/>
  <c r="L207" i="5"/>
  <c r="M207" i="5"/>
  <c r="N207" i="5"/>
  <c r="O207" i="5"/>
  <c r="P207" i="5"/>
  <c r="Q207" i="5"/>
  <c r="R207" i="5"/>
  <c r="S207" i="5"/>
  <c r="T207" i="5"/>
  <c r="V207" i="5"/>
  <c r="A196" i="6" s="1"/>
  <c r="Z207" i="5"/>
  <c r="H208" i="5"/>
  <c r="I208" i="5"/>
  <c r="J208" i="5"/>
  <c r="K208" i="5"/>
  <c r="L208" i="5"/>
  <c r="M208" i="5"/>
  <c r="N208" i="5"/>
  <c r="O208" i="5"/>
  <c r="P208" i="5"/>
  <c r="Q208" i="5"/>
  <c r="R208" i="5"/>
  <c r="S208" i="5"/>
  <c r="T208" i="5"/>
  <c r="V208" i="5"/>
  <c r="A197" i="6" s="1"/>
  <c r="Z208" i="5"/>
  <c r="H209" i="5"/>
  <c r="I209" i="5"/>
  <c r="J209" i="5"/>
  <c r="K209" i="5"/>
  <c r="L209" i="5"/>
  <c r="M209" i="5"/>
  <c r="N209" i="5"/>
  <c r="O209" i="5"/>
  <c r="P209" i="5"/>
  <c r="Q209" i="5"/>
  <c r="R209" i="5"/>
  <c r="S209" i="5"/>
  <c r="T209" i="5"/>
  <c r="V209" i="5"/>
  <c r="A198" i="6" s="1"/>
  <c r="Z209" i="5"/>
  <c r="H210" i="5"/>
  <c r="I210" i="5"/>
  <c r="J210" i="5"/>
  <c r="K210" i="5"/>
  <c r="L210" i="5"/>
  <c r="M210" i="5"/>
  <c r="N210" i="5"/>
  <c r="O210" i="5"/>
  <c r="P210" i="5"/>
  <c r="Q210" i="5"/>
  <c r="R210" i="5"/>
  <c r="S210" i="5"/>
  <c r="T210" i="5"/>
  <c r="V210" i="5"/>
  <c r="A199" i="6" s="1"/>
  <c r="Z210" i="5"/>
  <c r="H211" i="5"/>
  <c r="I211" i="5"/>
  <c r="J211" i="5"/>
  <c r="K211" i="5"/>
  <c r="L211" i="5"/>
  <c r="M211" i="5"/>
  <c r="N211" i="5"/>
  <c r="O211" i="5"/>
  <c r="P211" i="5"/>
  <c r="Q211" i="5"/>
  <c r="R211" i="5"/>
  <c r="S211" i="5"/>
  <c r="T211" i="5"/>
  <c r="V211" i="5"/>
  <c r="A200" i="6" s="1"/>
  <c r="Z211" i="5"/>
  <c r="H212" i="5"/>
  <c r="I212" i="5"/>
  <c r="J212" i="5"/>
  <c r="K212" i="5"/>
  <c r="L212" i="5"/>
  <c r="M212" i="5"/>
  <c r="W212" i="5" s="1"/>
  <c r="B201" i="6" s="1"/>
  <c r="N212" i="5"/>
  <c r="O212" i="5"/>
  <c r="P212" i="5"/>
  <c r="Q212" i="5"/>
  <c r="R212" i="5"/>
  <c r="S212" i="5"/>
  <c r="T212" i="5"/>
  <c r="V212" i="5"/>
  <c r="A201" i="6" s="1"/>
  <c r="Z212" i="5"/>
  <c r="H213" i="5"/>
  <c r="I213" i="5"/>
  <c r="J213" i="5"/>
  <c r="K213" i="5"/>
  <c r="L213" i="5"/>
  <c r="M213" i="5"/>
  <c r="N213" i="5"/>
  <c r="O213" i="5"/>
  <c r="P213" i="5"/>
  <c r="Q213" i="5"/>
  <c r="R213" i="5"/>
  <c r="S213" i="5"/>
  <c r="T213" i="5"/>
  <c r="V213" i="5"/>
  <c r="A202" i="6" s="1"/>
  <c r="Z213" i="5"/>
  <c r="H214" i="5"/>
  <c r="I214" i="5"/>
  <c r="J214" i="5"/>
  <c r="K214" i="5"/>
  <c r="L214" i="5"/>
  <c r="M214" i="5"/>
  <c r="N214" i="5"/>
  <c r="O214" i="5"/>
  <c r="P214" i="5"/>
  <c r="Q214" i="5"/>
  <c r="R214" i="5"/>
  <c r="S214" i="5"/>
  <c r="T214" i="5"/>
  <c r="V214" i="5"/>
  <c r="A203" i="6" s="1"/>
  <c r="Z214" i="5"/>
  <c r="H215" i="5"/>
  <c r="I215" i="5"/>
  <c r="J215" i="5"/>
  <c r="K215" i="5"/>
  <c r="L215" i="5"/>
  <c r="M215" i="5"/>
  <c r="N215" i="5"/>
  <c r="O215" i="5"/>
  <c r="P215" i="5"/>
  <c r="Q215" i="5"/>
  <c r="R215" i="5"/>
  <c r="S215" i="5"/>
  <c r="T215" i="5"/>
  <c r="V215" i="5"/>
  <c r="A204" i="6" s="1"/>
  <c r="Z215" i="5"/>
  <c r="H216" i="5"/>
  <c r="I216" i="5"/>
  <c r="J216" i="5"/>
  <c r="K216" i="5"/>
  <c r="L216" i="5"/>
  <c r="M216" i="5"/>
  <c r="N216" i="5"/>
  <c r="O216" i="5"/>
  <c r="P216" i="5"/>
  <c r="Q216" i="5"/>
  <c r="R216" i="5"/>
  <c r="S216" i="5"/>
  <c r="T216" i="5"/>
  <c r="V216" i="5"/>
  <c r="A205" i="6" s="1"/>
  <c r="Z216" i="5"/>
  <c r="H217" i="5"/>
  <c r="I217" i="5"/>
  <c r="J217" i="5"/>
  <c r="K217" i="5"/>
  <c r="L217" i="5"/>
  <c r="M217" i="5"/>
  <c r="N217" i="5"/>
  <c r="O217" i="5"/>
  <c r="P217" i="5"/>
  <c r="Q217" i="5"/>
  <c r="R217" i="5"/>
  <c r="S217" i="5"/>
  <c r="T217" i="5"/>
  <c r="V217" i="5"/>
  <c r="A206" i="6" s="1"/>
  <c r="Z217" i="5"/>
  <c r="H218" i="5"/>
  <c r="I218" i="5"/>
  <c r="J218" i="5"/>
  <c r="K218" i="5"/>
  <c r="L218" i="5"/>
  <c r="M218" i="5"/>
  <c r="N218" i="5"/>
  <c r="O218" i="5"/>
  <c r="P218" i="5"/>
  <c r="Q218" i="5"/>
  <c r="R218" i="5"/>
  <c r="S218" i="5"/>
  <c r="T218" i="5"/>
  <c r="V218" i="5"/>
  <c r="A207" i="6" s="1"/>
  <c r="Z218" i="5"/>
  <c r="H219" i="5"/>
  <c r="I219" i="5"/>
  <c r="J219" i="5"/>
  <c r="K219" i="5"/>
  <c r="L219" i="5"/>
  <c r="M219" i="5"/>
  <c r="N219" i="5"/>
  <c r="O219" i="5"/>
  <c r="P219" i="5"/>
  <c r="Q219" i="5"/>
  <c r="R219" i="5"/>
  <c r="S219" i="5"/>
  <c r="T219" i="5"/>
  <c r="V219" i="5"/>
  <c r="A208" i="6" s="1"/>
  <c r="Z219" i="5"/>
  <c r="H220" i="5"/>
  <c r="I220" i="5"/>
  <c r="J220" i="5"/>
  <c r="K220" i="5"/>
  <c r="L220" i="5"/>
  <c r="M220" i="5"/>
  <c r="N220" i="5"/>
  <c r="O220" i="5"/>
  <c r="P220" i="5"/>
  <c r="Q220" i="5"/>
  <c r="R220" i="5"/>
  <c r="S220" i="5"/>
  <c r="T220" i="5"/>
  <c r="V220" i="5"/>
  <c r="A209" i="6" s="1"/>
  <c r="Z220" i="5"/>
  <c r="H221" i="5"/>
  <c r="I221" i="5"/>
  <c r="J221" i="5"/>
  <c r="K221" i="5"/>
  <c r="L221" i="5"/>
  <c r="M221" i="5"/>
  <c r="N221" i="5"/>
  <c r="O221" i="5"/>
  <c r="P221" i="5"/>
  <c r="Q221" i="5"/>
  <c r="R221" i="5"/>
  <c r="S221" i="5"/>
  <c r="T221" i="5"/>
  <c r="V221" i="5"/>
  <c r="A210" i="6" s="1"/>
  <c r="Z221" i="5"/>
  <c r="H222" i="5"/>
  <c r="I222" i="5"/>
  <c r="J222" i="5"/>
  <c r="K222" i="5"/>
  <c r="L222" i="5"/>
  <c r="M222" i="5"/>
  <c r="N222" i="5"/>
  <c r="O222" i="5"/>
  <c r="P222" i="5"/>
  <c r="Q222" i="5"/>
  <c r="R222" i="5"/>
  <c r="S222" i="5"/>
  <c r="T222" i="5"/>
  <c r="V222" i="5"/>
  <c r="A211" i="6" s="1"/>
  <c r="Z222" i="5"/>
  <c r="H223" i="5"/>
  <c r="I223" i="5"/>
  <c r="J223" i="5"/>
  <c r="K223" i="5"/>
  <c r="L223" i="5"/>
  <c r="M223" i="5"/>
  <c r="N223" i="5"/>
  <c r="O223" i="5"/>
  <c r="P223" i="5"/>
  <c r="Q223" i="5"/>
  <c r="R223" i="5"/>
  <c r="S223" i="5"/>
  <c r="T223" i="5"/>
  <c r="V223" i="5"/>
  <c r="A212" i="6" s="1"/>
  <c r="Z223" i="5"/>
  <c r="H224" i="5"/>
  <c r="I224" i="5"/>
  <c r="J224" i="5"/>
  <c r="K224" i="5"/>
  <c r="L224" i="5"/>
  <c r="M224" i="5"/>
  <c r="N224" i="5"/>
  <c r="O224" i="5"/>
  <c r="P224" i="5"/>
  <c r="Q224" i="5"/>
  <c r="R224" i="5"/>
  <c r="S224" i="5"/>
  <c r="T224" i="5"/>
  <c r="V224" i="5"/>
  <c r="A213" i="6" s="1"/>
  <c r="Z224" i="5"/>
  <c r="H225" i="5"/>
  <c r="I225" i="5"/>
  <c r="J225" i="5"/>
  <c r="K225" i="5"/>
  <c r="L225" i="5"/>
  <c r="M225" i="5"/>
  <c r="N225" i="5"/>
  <c r="O225" i="5"/>
  <c r="P225" i="5"/>
  <c r="Q225" i="5"/>
  <c r="R225" i="5"/>
  <c r="S225" i="5"/>
  <c r="T225" i="5"/>
  <c r="V225" i="5"/>
  <c r="A214" i="6" s="1"/>
  <c r="Z225" i="5"/>
  <c r="H226" i="5"/>
  <c r="I226" i="5"/>
  <c r="J226" i="5"/>
  <c r="K226" i="5"/>
  <c r="L226" i="5"/>
  <c r="M226" i="5"/>
  <c r="N226" i="5"/>
  <c r="O226" i="5"/>
  <c r="P226" i="5"/>
  <c r="Q226" i="5"/>
  <c r="R226" i="5"/>
  <c r="S226" i="5"/>
  <c r="T226" i="5"/>
  <c r="V226" i="5"/>
  <c r="A215" i="6" s="1"/>
  <c r="Z226" i="5"/>
  <c r="H227" i="5"/>
  <c r="I227" i="5"/>
  <c r="J227" i="5"/>
  <c r="K227" i="5"/>
  <c r="L227" i="5"/>
  <c r="M227" i="5"/>
  <c r="N227" i="5"/>
  <c r="O227" i="5"/>
  <c r="P227" i="5"/>
  <c r="Q227" i="5"/>
  <c r="R227" i="5"/>
  <c r="S227" i="5"/>
  <c r="T227" i="5"/>
  <c r="V227" i="5"/>
  <c r="A216" i="6" s="1"/>
  <c r="Z227" i="5"/>
  <c r="H228" i="5"/>
  <c r="I228" i="5"/>
  <c r="J228" i="5"/>
  <c r="K228" i="5"/>
  <c r="L228" i="5"/>
  <c r="M228" i="5"/>
  <c r="W228" i="5" s="1"/>
  <c r="B217" i="6" s="1"/>
  <c r="N228" i="5"/>
  <c r="O228" i="5"/>
  <c r="P228" i="5"/>
  <c r="Q228" i="5"/>
  <c r="R228" i="5"/>
  <c r="S228" i="5"/>
  <c r="T228" i="5"/>
  <c r="V228" i="5"/>
  <c r="A217" i="6" s="1"/>
  <c r="Z228" i="5"/>
  <c r="H229" i="5"/>
  <c r="I229" i="5"/>
  <c r="J229" i="5"/>
  <c r="K229" i="5"/>
  <c r="L229" i="5"/>
  <c r="M229" i="5"/>
  <c r="N229" i="5"/>
  <c r="O229" i="5"/>
  <c r="P229" i="5"/>
  <c r="Q229" i="5"/>
  <c r="R229" i="5"/>
  <c r="S229" i="5"/>
  <c r="T229" i="5"/>
  <c r="V229" i="5"/>
  <c r="A218" i="6" s="1"/>
  <c r="Z229" i="5"/>
  <c r="H230" i="5"/>
  <c r="I230" i="5"/>
  <c r="J230" i="5"/>
  <c r="K230" i="5"/>
  <c r="L230" i="5"/>
  <c r="M230" i="5"/>
  <c r="N230" i="5"/>
  <c r="O230" i="5"/>
  <c r="P230" i="5"/>
  <c r="Q230" i="5"/>
  <c r="R230" i="5"/>
  <c r="S230" i="5"/>
  <c r="T230" i="5"/>
  <c r="V230" i="5"/>
  <c r="A219" i="6" s="1"/>
  <c r="Z230" i="5"/>
  <c r="H231" i="5"/>
  <c r="I231" i="5"/>
  <c r="J231" i="5"/>
  <c r="K231" i="5"/>
  <c r="L231" i="5"/>
  <c r="M231" i="5"/>
  <c r="N231" i="5"/>
  <c r="O231" i="5"/>
  <c r="P231" i="5"/>
  <c r="Q231" i="5"/>
  <c r="R231" i="5"/>
  <c r="S231" i="5"/>
  <c r="T231" i="5"/>
  <c r="V231" i="5"/>
  <c r="A220" i="6" s="1"/>
  <c r="Z231" i="5"/>
  <c r="H232" i="5"/>
  <c r="I232" i="5"/>
  <c r="J232" i="5"/>
  <c r="K232" i="5"/>
  <c r="L232" i="5"/>
  <c r="M232" i="5"/>
  <c r="N232" i="5"/>
  <c r="O232" i="5"/>
  <c r="P232" i="5"/>
  <c r="Q232" i="5"/>
  <c r="R232" i="5"/>
  <c r="S232" i="5"/>
  <c r="T232" i="5"/>
  <c r="V232" i="5"/>
  <c r="A221" i="6" s="1"/>
  <c r="Z232" i="5"/>
  <c r="H233" i="5"/>
  <c r="I233" i="5"/>
  <c r="J233" i="5"/>
  <c r="K233" i="5"/>
  <c r="L233" i="5"/>
  <c r="M233" i="5"/>
  <c r="N233" i="5"/>
  <c r="O233" i="5"/>
  <c r="P233" i="5"/>
  <c r="Q233" i="5"/>
  <c r="R233" i="5"/>
  <c r="S233" i="5"/>
  <c r="T233" i="5"/>
  <c r="V233" i="5"/>
  <c r="A222" i="6" s="1"/>
  <c r="Z233" i="5"/>
  <c r="H234" i="5"/>
  <c r="I234" i="5"/>
  <c r="J234" i="5"/>
  <c r="K234" i="5"/>
  <c r="L234" i="5"/>
  <c r="M234" i="5"/>
  <c r="N234" i="5"/>
  <c r="O234" i="5"/>
  <c r="P234" i="5"/>
  <c r="Q234" i="5"/>
  <c r="R234" i="5"/>
  <c r="S234" i="5"/>
  <c r="T234" i="5"/>
  <c r="V234" i="5"/>
  <c r="A223" i="6" s="1"/>
  <c r="Z234" i="5"/>
  <c r="H235" i="5"/>
  <c r="I235" i="5"/>
  <c r="J235" i="5"/>
  <c r="K235" i="5"/>
  <c r="L235" i="5"/>
  <c r="M235" i="5"/>
  <c r="N235" i="5"/>
  <c r="O235" i="5"/>
  <c r="P235" i="5"/>
  <c r="Q235" i="5"/>
  <c r="R235" i="5"/>
  <c r="S235" i="5"/>
  <c r="T235" i="5"/>
  <c r="V235" i="5"/>
  <c r="A224" i="6" s="1"/>
  <c r="Z235" i="5"/>
  <c r="H236" i="5"/>
  <c r="I236" i="5"/>
  <c r="J236" i="5"/>
  <c r="K236" i="5"/>
  <c r="L236" i="5"/>
  <c r="M236" i="5"/>
  <c r="N236" i="5"/>
  <c r="O236" i="5"/>
  <c r="P236" i="5"/>
  <c r="Q236" i="5"/>
  <c r="R236" i="5"/>
  <c r="S236" i="5"/>
  <c r="T236" i="5"/>
  <c r="V236" i="5"/>
  <c r="A225" i="6" s="1"/>
  <c r="Z236" i="5"/>
  <c r="H237" i="5"/>
  <c r="I237" i="5"/>
  <c r="J237" i="5"/>
  <c r="K237" i="5"/>
  <c r="L237" i="5"/>
  <c r="M237" i="5"/>
  <c r="N237" i="5"/>
  <c r="O237" i="5"/>
  <c r="P237" i="5"/>
  <c r="Q237" i="5"/>
  <c r="R237" i="5"/>
  <c r="S237" i="5"/>
  <c r="T237" i="5"/>
  <c r="V237" i="5"/>
  <c r="A226" i="6" s="1"/>
  <c r="Z237" i="5"/>
  <c r="H238" i="5"/>
  <c r="I238" i="5"/>
  <c r="J238" i="5"/>
  <c r="K238" i="5"/>
  <c r="L238" i="5"/>
  <c r="M238" i="5"/>
  <c r="N238" i="5"/>
  <c r="O238" i="5"/>
  <c r="P238" i="5"/>
  <c r="Q238" i="5"/>
  <c r="R238" i="5"/>
  <c r="S238" i="5"/>
  <c r="T238" i="5"/>
  <c r="V238" i="5"/>
  <c r="A227" i="6" s="1"/>
  <c r="Z238" i="5"/>
  <c r="H239" i="5"/>
  <c r="I239" i="5"/>
  <c r="J239" i="5"/>
  <c r="K239" i="5"/>
  <c r="L239" i="5"/>
  <c r="M239" i="5"/>
  <c r="N239" i="5"/>
  <c r="O239" i="5"/>
  <c r="P239" i="5"/>
  <c r="Q239" i="5"/>
  <c r="R239" i="5"/>
  <c r="S239" i="5"/>
  <c r="T239" i="5"/>
  <c r="V239" i="5"/>
  <c r="A228" i="6" s="1"/>
  <c r="Z239" i="5"/>
  <c r="H240" i="5"/>
  <c r="I240" i="5"/>
  <c r="J240" i="5"/>
  <c r="K240" i="5"/>
  <c r="L240" i="5"/>
  <c r="M240" i="5"/>
  <c r="N240" i="5"/>
  <c r="O240" i="5"/>
  <c r="P240" i="5"/>
  <c r="Q240" i="5"/>
  <c r="R240" i="5"/>
  <c r="S240" i="5"/>
  <c r="T240" i="5"/>
  <c r="V240" i="5"/>
  <c r="A229" i="6" s="1"/>
  <c r="Z240" i="5"/>
  <c r="H241" i="5"/>
  <c r="I241" i="5"/>
  <c r="J241" i="5"/>
  <c r="K241" i="5"/>
  <c r="L241" i="5"/>
  <c r="M241" i="5"/>
  <c r="N241" i="5"/>
  <c r="O241" i="5"/>
  <c r="P241" i="5"/>
  <c r="Q241" i="5"/>
  <c r="R241" i="5"/>
  <c r="S241" i="5"/>
  <c r="T241" i="5"/>
  <c r="V241" i="5"/>
  <c r="A230" i="6" s="1"/>
  <c r="Z241" i="5"/>
  <c r="H242" i="5"/>
  <c r="I242" i="5"/>
  <c r="J242" i="5"/>
  <c r="K242" i="5"/>
  <c r="L242" i="5"/>
  <c r="M242" i="5"/>
  <c r="N242" i="5"/>
  <c r="O242" i="5"/>
  <c r="P242" i="5"/>
  <c r="Q242" i="5"/>
  <c r="R242" i="5"/>
  <c r="S242" i="5"/>
  <c r="T242" i="5"/>
  <c r="V242" i="5"/>
  <c r="A231" i="6" s="1"/>
  <c r="Z242" i="5"/>
  <c r="H243" i="5"/>
  <c r="I243" i="5"/>
  <c r="J243" i="5"/>
  <c r="K243" i="5"/>
  <c r="L243" i="5"/>
  <c r="M243" i="5"/>
  <c r="N243" i="5"/>
  <c r="O243" i="5"/>
  <c r="P243" i="5"/>
  <c r="Q243" i="5"/>
  <c r="R243" i="5"/>
  <c r="S243" i="5"/>
  <c r="T243" i="5"/>
  <c r="V243" i="5"/>
  <c r="A232" i="6" s="1"/>
  <c r="Z243" i="5"/>
  <c r="H244" i="5"/>
  <c r="I244" i="5"/>
  <c r="J244" i="5"/>
  <c r="K244" i="5"/>
  <c r="L244" i="5"/>
  <c r="M244" i="5"/>
  <c r="W244" i="5" s="1"/>
  <c r="B233" i="6" s="1"/>
  <c r="N244" i="5"/>
  <c r="O244" i="5"/>
  <c r="P244" i="5"/>
  <c r="Q244" i="5"/>
  <c r="R244" i="5"/>
  <c r="S244" i="5"/>
  <c r="T244" i="5"/>
  <c r="V244" i="5"/>
  <c r="A233" i="6" s="1"/>
  <c r="Z244" i="5"/>
  <c r="H245" i="5"/>
  <c r="I245" i="5"/>
  <c r="J245" i="5"/>
  <c r="K245" i="5"/>
  <c r="L245" i="5"/>
  <c r="M245" i="5"/>
  <c r="N245" i="5"/>
  <c r="O245" i="5"/>
  <c r="P245" i="5"/>
  <c r="Q245" i="5"/>
  <c r="R245" i="5"/>
  <c r="S245" i="5"/>
  <c r="T245" i="5"/>
  <c r="V245" i="5"/>
  <c r="A234" i="6" s="1"/>
  <c r="Z245" i="5"/>
  <c r="H246" i="5"/>
  <c r="I246" i="5"/>
  <c r="J246" i="5"/>
  <c r="K246" i="5"/>
  <c r="L246" i="5"/>
  <c r="M246" i="5"/>
  <c r="N246" i="5"/>
  <c r="O246" i="5"/>
  <c r="P246" i="5"/>
  <c r="Q246" i="5"/>
  <c r="R246" i="5"/>
  <c r="S246" i="5"/>
  <c r="T246" i="5"/>
  <c r="V246" i="5"/>
  <c r="A235" i="6" s="1"/>
  <c r="Z246" i="5"/>
  <c r="H247" i="5"/>
  <c r="I247" i="5"/>
  <c r="J247" i="5"/>
  <c r="K247" i="5"/>
  <c r="L247" i="5"/>
  <c r="M247" i="5"/>
  <c r="N247" i="5"/>
  <c r="O247" i="5"/>
  <c r="P247" i="5"/>
  <c r="Q247" i="5"/>
  <c r="R247" i="5"/>
  <c r="S247" i="5"/>
  <c r="T247" i="5"/>
  <c r="V247" i="5"/>
  <c r="A236" i="6" s="1"/>
  <c r="Z247" i="5"/>
  <c r="H248" i="5"/>
  <c r="I248" i="5"/>
  <c r="J248" i="5"/>
  <c r="K248" i="5"/>
  <c r="L248" i="5"/>
  <c r="M248" i="5"/>
  <c r="N248" i="5"/>
  <c r="O248" i="5"/>
  <c r="P248" i="5"/>
  <c r="Q248" i="5"/>
  <c r="R248" i="5"/>
  <c r="S248" i="5"/>
  <c r="T248" i="5"/>
  <c r="V248" i="5"/>
  <c r="A237" i="6" s="1"/>
  <c r="Z248" i="5"/>
  <c r="H249" i="5"/>
  <c r="I249" i="5"/>
  <c r="J249" i="5"/>
  <c r="K249" i="5"/>
  <c r="L249" i="5"/>
  <c r="M249" i="5"/>
  <c r="N249" i="5"/>
  <c r="O249" i="5"/>
  <c r="P249" i="5"/>
  <c r="Q249" i="5"/>
  <c r="R249" i="5"/>
  <c r="S249" i="5"/>
  <c r="T249" i="5"/>
  <c r="V249" i="5"/>
  <c r="A238" i="6" s="1"/>
  <c r="Z249" i="5"/>
  <c r="H250" i="5"/>
  <c r="I250" i="5"/>
  <c r="J250" i="5"/>
  <c r="K250" i="5"/>
  <c r="L250" i="5"/>
  <c r="M250" i="5"/>
  <c r="N250" i="5"/>
  <c r="O250" i="5"/>
  <c r="P250" i="5"/>
  <c r="Q250" i="5"/>
  <c r="R250" i="5"/>
  <c r="S250" i="5"/>
  <c r="T250" i="5"/>
  <c r="V250" i="5"/>
  <c r="A239" i="6" s="1"/>
  <c r="Z250" i="5"/>
  <c r="H251" i="5"/>
  <c r="I251" i="5"/>
  <c r="J251" i="5"/>
  <c r="K251" i="5"/>
  <c r="L251" i="5"/>
  <c r="M251" i="5"/>
  <c r="N251" i="5"/>
  <c r="O251" i="5"/>
  <c r="P251" i="5"/>
  <c r="Q251" i="5"/>
  <c r="R251" i="5"/>
  <c r="S251" i="5"/>
  <c r="T251" i="5"/>
  <c r="V251" i="5"/>
  <c r="A240" i="6" s="1"/>
  <c r="Z251" i="5"/>
  <c r="H252" i="5"/>
  <c r="I252" i="5"/>
  <c r="J252" i="5"/>
  <c r="K252" i="5"/>
  <c r="L252" i="5"/>
  <c r="M252" i="5"/>
  <c r="N252" i="5"/>
  <c r="O252" i="5"/>
  <c r="P252" i="5"/>
  <c r="Q252" i="5"/>
  <c r="R252" i="5"/>
  <c r="S252" i="5"/>
  <c r="T252" i="5"/>
  <c r="V252" i="5"/>
  <c r="A241" i="6" s="1"/>
  <c r="Z252" i="5"/>
  <c r="H253" i="5"/>
  <c r="I253" i="5"/>
  <c r="J253" i="5"/>
  <c r="K253" i="5"/>
  <c r="L253" i="5"/>
  <c r="M253" i="5"/>
  <c r="N253" i="5"/>
  <c r="O253" i="5"/>
  <c r="P253" i="5"/>
  <c r="Q253" i="5"/>
  <c r="R253" i="5"/>
  <c r="S253" i="5"/>
  <c r="T253" i="5"/>
  <c r="V253" i="5"/>
  <c r="A242" i="6" s="1"/>
  <c r="Z253" i="5"/>
  <c r="H254" i="5"/>
  <c r="I254" i="5"/>
  <c r="J254" i="5"/>
  <c r="K254" i="5"/>
  <c r="L254" i="5"/>
  <c r="M254" i="5"/>
  <c r="N254" i="5"/>
  <c r="O254" i="5"/>
  <c r="P254" i="5"/>
  <c r="Q254" i="5"/>
  <c r="R254" i="5"/>
  <c r="S254" i="5"/>
  <c r="T254" i="5"/>
  <c r="V254" i="5"/>
  <c r="A243" i="6" s="1"/>
  <c r="Z254" i="5"/>
  <c r="H255" i="5"/>
  <c r="I255" i="5"/>
  <c r="J255" i="5"/>
  <c r="K255" i="5"/>
  <c r="L255" i="5"/>
  <c r="M255" i="5"/>
  <c r="N255" i="5"/>
  <c r="O255" i="5"/>
  <c r="P255" i="5"/>
  <c r="Q255" i="5"/>
  <c r="R255" i="5"/>
  <c r="S255" i="5"/>
  <c r="T255" i="5"/>
  <c r="V255" i="5"/>
  <c r="A244" i="6" s="1"/>
  <c r="Z255" i="5"/>
  <c r="H256" i="5"/>
  <c r="I256" i="5"/>
  <c r="J256" i="5"/>
  <c r="K256" i="5"/>
  <c r="L256" i="5"/>
  <c r="M256" i="5"/>
  <c r="N256" i="5"/>
  <c r="O256" i="5"/>
  <c r="P256" i="5"/>
  <c r="Q256" i="5"/>
  <c r="R256" i="5"/>
  <c r="S256" i="5"/>
  <c r="T256" i="5"/>
  <c r="V256" i="5"/>
  <c r="A245" i="6" s="1"/>
  <c r="Z256" i="5"/>
  <c r="H257" i="5"/>
  <c r="I257" i="5"/>
  <c r="J257" i="5"/>
  <c r="K257" i="5"/>
  <c r="L257" i="5"/>
  <c r="M257" i="5"/>
  <c r="N257" i="5"/>
  <c r="O257" i="5"/>
  <c r="P257" i="5"/>
  <c r="Q257" i="5"/>
  <c r="R257" i="5"/>
  <c r="S257" i="5"/>
  <c r="T257" i="5"/>
  <c r="V257" i="5"/>
  <c r="A246" i="6" s="1"/>
  <c r="Z257" i="5"/>
  <c r="H258" i="5"/>
  <c r="I258" i="5"/>
  <c r="J258" i="5"/>
  <c r="K258" i="5"/>
  <c r="L258" i="5"/>
  <c r="M258" i="5"/>
  <c r="N258" i="5"/>
  <c r="O258" i="5"/>
  <c r="P258" i="5"/>
  <c r="Q258" i="5"/>
  <c r="R258" i="5"/>
  <c r="S258" i="5"/>
  <c r="T258" i="5"/>
  <c r="V258" i="5"/>
  <c r="A247" i="6" s="1"/>
  <c r="Z258" i="5"/>
  <c r="H259" i="5"/>
  <c r="I259" i="5"/>
  <c r="J259" i="5"/>
  <c r="K259" i="5"/>
  <c r="L259" i="5"/>
  <c r="M259" i="5"/>
  <c r="N259" i="5"/>
  <c r="O259" i="5"/>
  <c r="P259" i="5"/>
  <c r="Q259" i="5"/>
  <c r="R259" i="5"/>
  <c r="S259" i="5"/>
  <c r="T259" i="5"/>
  <c r="V259" i="5"/>
  <c r="A248" i="6" s="1"/>
  <c r="Z259" i="5"/>
  <c r="H260" i="5"/>
  <c r="I260" i="5"/>
  <c r="J260" i="5"/>
  <c r="K260" i="5"/>
  <c r="L260" i="5"/>
  <c r="M260" i="5"/>
  <c r="W260" i="5" s="1"/>
  <c r="B249" i="6" s="1"/>
  <c r="N260" i="5"/>
  <c r="O260" i="5"/>
  <c r="P260" i="5"/>
  <c r="Q260" i="5"/>
  <c r="R260" i="5"/>
  <c r="S260" i="5"/>
  <c r="T260" i="5"/>
  <c r="V260" i="5"/>
  <c r="A249" i="6" s="1"/>
  <c r="Z260" i="5"/>
  <c r="H261" i="5"/>
  <c r="I261" i="5"/>
  <c r="J261" i="5"/>
  <c r="K261" i="5"/>
  <c r="L261" i="5"/>
  <c r="M261" i="5"/>
  <c r="N261" i="5"/>
  <c r="O261" i="5"/>
  <c r="P261" i="5"/>
  <c r="Q261" i="5"/>
  <c r="R261" i="5"/>
  <c r="S261" i="5"/>
  <c r="T261" i="5"/>
  <c r="V261" i="5"/>
  <c r="A250" i="6" s="1"/>
  <c r="Z261" i="5"/>
  <c r="H262" i="5"/>
  <c r="I262" i="5"/>
  <c r="J262" i="5"/>
  <c r="K262" i="5"/>
  <c r="L262" i="5"/>
  <c r="M262" i="5"/>
  <c r="N262" i="5"/>
  <c r="O262" i="5"/>
  <c r="P262" i="5"/>
  <c r="Q262" i="5"/>
  <c r="R262" i="5"/>
  <c r="S262" i="5"/>
  <c r="T262" i="5"/>
  <c r="V262" i="5"/>
  <c r="A251" i="6" s="1"/>
  <c r="Z262" i="5"/>
  <c r="H263" i="5"/>
  <c r="I263" i="5"/>
  <c r="J263" i="5"/>
  <c r="K263" i="5"/>
  <c r="L263" i="5"/>
  <c r="M263" i="5"/>
  <c r="N263" i="5"/>
  <c r="O263" i="5"/>
  <c r="P263" i="5"/>
  <c r="Q263" i="5"/>
  <c r="R263" i="5"/>
  <c r="S263" i="5"/>
  <c r="T263" i="5"/>
  <c r="V263" i="5"/>
  <c r="A252" i="6" s="1"/>
  <c r="Z263" i="5"/>
  <c r="H264" i="5"/>
  <c r="I264" i="5"/>
  <c r="J264" i="5"/>
  <c r="K264" i="5"/>
  <c r="L264" i="5"/>
  <c r="M264" i="5"/>
  <c r="N264" i="5"/>
  <c r="O264" i="5"/>
  <c r="P264" i="5"/>
  <c r="Q264" i="5"/>
  <c r="R264" i="5"/>
  <c r="S264" i="5"/>
  <c r="T264" i="5"/>
  <c r="V264" i="5"/>
  <c r="A253" i="6" s="1"/>
  <c r="Z264" i="5"/>
  <c r="H265" i="5"/>
  <c r="I265" i="5"/>
  <c r="J265" i="5"/>
  <c r="K265" i="5"/>
  <c r="L265" i="5"/>
  <c r="M265" i="5"/>
  <c r="N265" i="5"/>
  <c r="O265" i="5"/>
  <c r="P265" i="5"/>
  <c r="Q265" i="5"/>
  <c r="R265" i="5"/>
  <c r="S265" i="5"/>
  <c r="T265" i="5"/>
  <c r="V265" i="5"/>
  <c r="A254" i="6" s="1"/>
  <c r="Z265" i="5"/>
  <c r="H266" i="5"/>
  <c r="I266" i="5"/>
  <c r="J266" i="5"/>
  <c r="K266" i="5"/>
  <c r="L266" i="5"/>
  <c r="M266" i="5"/>
  <c r="N266" i="5"/>
  <c r="O266" i="5"/>
  <c r="P266" i="5"/>
  <c r="Q266" i="5"/>
  <c r="R266" i="5"/>
  <c r="S266" i="5"/>
  <c r="T266" i="5"/>
  <c r="V266" i="5"/>
  <c r="A255" i="6" s="1"/>
  <c r="Z266" i="5"/>
  <c r="H267" i="5"/>
  <c r="I267" i="5"/>
  <c r="J267" i="5"/>
  <c r="K267" i="5"/>
  <c r="L267" i="5"/>
  <c r="M267" i="5"/>
  <c r="N267" i="5"/>
  <c r="O267" i="5"/>
  <c r="P267" i="5"/>
  <c r="Q267" i="5"/>
  <c r="R267" i="5"/>
  <c r="S267" i="5"/>
  <c r="T267" i="5"/>
  <c r="V267" i="5"/>
  <c r="A256" i="6" s="1"/>
  <c r="Z267" i="5"/>
  <c r="H268" i="5"/>
  <c r="I268" i="5"/>
  <c r="J268" i="5"/>
  <c r="K268" i="5"/>
  <c r="L268" i="5"/>
  <c r="M268" i="5"/>
  <c r="N268" i="5"/>
  <c r="O268" i="5"/>
  <c r="P268" i="5"/>
  <c r="Q268" i="5"/>
  <c r="R268" i="5"/>
  <c r="S268" i="5"/>
  <c r="T268" i="5"/>
  <c r="V268" i="5"/>
  <c r="A257" i="6" s="1"/>
  <c r="Z268" i="5"/>
  <c r="H269" i="5"/>
  <c r="I269" i="5"/>
  <c r="J269" i="5"/>
  <c r="K269" i="5"/>
  <c r="L269" i="5"/>
  <c r="M269" i="5"/>
  <c r="N269" i="5"/>
  <c r="O269" i="5"/>
  <c r="P269" i="5"/>
  <c r="Q269" i="5"/>
  <c r="R269" i="5"/>
  <c r="S269" i="5"/>
  <c r="T269" i="5"/>
  <c r="V269" i="5"/>
  <c r="A258" i="6" s="1"/>
  <c r="Z269" i="5"/>
  <c r="H270" i="5"/>
  <c r="I270" i="5"/>
  <c r="J270" i="5"/>
  <c r="K270" i="5"/>
  <c r="L270" i="5"/>
  <c r="M270" i="5"/>
  <c r="N270" i="5"/>
  <c r="O270" i="5"/>
  <c r="P270" i="5"/>
  <c r="Q270" i="5"/>
  <c r="R270" i="5"/>
  <c r="S270" i="5"/>
  <c r="T270" i="5"/>
  <c r="V270" i="5"/>
  <c r="A259" i="6" s="1"/>
  <c r="Z270" i="5"/>
  <c r="H271" i="5"/>
  <c r="I271" i="5"/>
  <c r="J271" i="5"/>
  <c r="K271" i="5"/>
  <c r="L271" i="5"/>
  <c r="M271" i="5"/>
  <c r="N271" i="5"/>
  <c r="O271" i="5"/>
  <c r="P271" i="5"/>
  <c r="Q271" i="5"/>
  <c r="R271" i="5"/>
  <c r="S271" i="5"/>
  <c r="T271" i="5"/>
  <c r="V271" i="5"/>
  <c r="A260" i="6" s="1"/>
  <c r="Z271" i="5"/>
  <c r="H272" i="5"/>
  <c r="I272" i="5"/>
  <c r="J272" i="5"/>
  <c r="K272" i="5"/>
  <c r="L272" i="5"/>
  <c r="M272" i="5"/>
  <c r="N272" i="5"/>
  <c r="O272" i="5"/>
  <c r="P272" i="5"/>
  <c r="Q272" i="5"/>
  <c r="R272" i="5"/>
  <c r="S272" i="5"/>
  <c r="T272" i="5"/>
  <c r="V272" i="5"/>
  <c r="A261" i="6" s="1"/>
  <c r="Z272" i="5"/>
  <c r="H273" i="5"/>
  <c r="I273" i="5"/>
  <c r="J273" i="5"/>
  <c r="K273" i="5"/>
  <c r="L273" i="5"/>
  <c r="M273" i="5"/>
  <c r="N273" i="5"/>
  <c r="O273" i="5"/>
  <c r="P273" i="5"/>
  <c r="Q273" i="5"/>
  <c r="R273" i="5"/>
  <c r="S273" i="5"/>
  <c r="T273" i="5"/>
  <c r="V273" i="5"/>
  <c r="A262" i="6" s="1"/>
  <c r="Z273" i="5"/>
  <c r="H274" i="5"/>
  <c r="I274" i="5"/>
  <c r="J274" i="5"/>
  <c r="K274" i="5"/>
  <c r="L274" i="5"/>
  <c r="M274" i="5"/>
  <c r="N274" i="5"/>
  <c r="O274" i="5"/>
  <c r="P274" i="5"/>
  <c r="Q274" i="5"/>
  <c r="R274" i="5"/>
  <c r="S274" i="5"/>
  <c r="T274" i="5"/>
  <c r="V274" i="5"/>
  <c r="A263" i="6" s="1"/>
  <c r="Z274" i="5"/>
  <c r="Z275" i="5"/>
  <c r="Z276" i="5"/>
  <c r="Z277" i="5"/>
  <c r="Z278" i="5"/>
  <c r="Z279" i="5"/>
  <c r="Z280" i="5"/>
  <c r="Z281" i="5"/>
  <c r="Z282" i="5"/>
  <c r="Z283" i="5"/>
  <c r="Z284" i="5"/>
  <c r="Z285" i="5"/>
  <c r="Z286" i="5"/>
  <c r="Z287" i="5"/>
  <c r="Z288" i="5"/>
  <c r="Z289" i="5"/>
  <c r="Z290" i="5"/>
  <c r="Z291" i="5"/>
  <c r="Z292" i="5"/>
  <c r="Z293" i="5"/>
  <c r="Z294" i="5"/>
  <c r="Z295" i="5"/>
  <c r="Z296" i="5"/>
  <c r="Z297" i="5"/>
  <c r="Z298" i="5"/>
  <c r="Z299" i="5"/>
  <c r="Z300" i="5"/>
  <c r="F12" i="1"/>
  <c r="C12" i="1"/>
  <c r="F2" i="5"/>
  <c r="C8" i="5"/>
  <c r="E13" i="5"/>
  <c r="H2" i="5"/>
  <c r="G13" i="5"/>
  <c r="C6" i="5"/>
  <c r="C3" i="5"/>
  <c r="C5" i="5"/>
  <c r="C13" i="5"/>
  <c r="G2" i="5"/>
  <c r="C4" i="5"/>
  <c r="I2" i="5"/>
  <c r="A13" i="5"/>
  <c r="D13" i="5"/>
  <c r="F13" i="5"/>
  <c r="C7" i="5"/>
  <c r="E2" i="5"/>
  <c r="W121" i="5" l="1"/>
  <c r="B110" i="6" s="1"/>
  <c r="W29" i="5"/>
  <c r="B18" i="6" s="1"/>
  <c r="W170" i="5"/>
  <c r="B159" i="6" s="1"/>
  <c r="W99" i="5"/>
  <c r="B88" i="6" s="1"/>
  <c r="W35" i="5"/>
  <c r="B24" i="6" s="1"/>
  <c r="W25" i="5"/>
  <c r="B14" i="6" s="1"/>
  <c r="W270" i="5"/>
  <c r="B259" i="6" s="1"/>
  <c r="W222" i="5"/>
  <c r="B211" i="6" s="1"/>
  <c r="W206" i="5"/>
  <c r="B195" i="6" s="1"/>
  <c r="W190" i="5"/>
  <c r="B179" i="6" s="1"/>
  <c r="W174" i="5"/>
  <c r="B163" i="6" s="1"/>
  <c r="W105" i="5"/>
  <c r="B94" i="6" s="1"/>
  <c r="W51" i="5"/>
  <c r="B40" i="6" s="1"/>
  <c r="W41" i="5"/>
  <c r="B30" i="6" s="1"/>
  <c r="W272" i="5"/>
  <c r="B261" i="6" s="1"/>
  <c r="W256" i="5"/>
  <c r="B245" i="6" s="1"/>
  <c r="W240" i="5"/>
  <c r="B229" i="6" s="1"/>
  <c r="W224" i="5"/>
  <c r="B213" i="6" s="1"/>
  <c r="W208" i="5"/>
  <c r="B197" i="6" s="1"/>
  <c r="W192" i="5"/>
  <c r="B181" i="6" s="1"/>
  <c r="W176" i="5"/>
  <c r="B165" i="6" s="1"/>
  <c r="W160" i="5"/>
  <c r="B149" i="6" s="1"/>
  <c r="W149" i="5"/>
  <c r="B138" i="6" s="1"/>
  <c r="W117" i="5"/>
  <c r="B106" i="6" s="1"/>
  <c r="W85" i="5"/>
  <c r="B74" i="6" s="1"/>
  <c r="W53" i="5"/>
  <c r="B42" i="6" s="1"/>
  <c r="W21" i="5"/>
  <c r="B10" i="6" s="1"/>
  <c r="W214" i="5"/>
  <c r="B203" i="6" s="1"/>
  <c r="W89" i="5"/>
  <c r="B78" i="6" s="1"/>
  <c r="W254" i="5"/>
  <c r="B243" i="6" s="1"/>
  <c r="W238" i="5"/>
  <c r="B227" i="6" s="1"/>
  <c r="W147" i="5"/>
  <c r="B136" i="6" s="1"/>
  <c r="W137" i="5"/>
  <c r="B126" i="6" s="1"/>
  <c r="W115" i="5"/>
  <c r="B104" i="6" s="1"/>
  <c r="W83" i="5"/>
  <c r="B72" i="6" s="1"/>
  <c r="W73" i="5"/>
  <c r="B62" i="6" s="1"/>
  <c r="W19" i="5"/>
  <c r="B8" i="6" s="1"/>
  <c r="W274" i="5"/>
  <c r="B263" i="6" s="1"/>
  <c r="W258" i="5"/>
  <c r="B247" i="6" s="1"/>
  <c r="W242" i="5"/>
  <c r="B231" i="6" s="1"/>
  <c r="W226" i="5"/>
  <c r="B215" i="6" s="1"/>
  <c r="W210" i="5"/>
  <c r="B199" i="6" s="1"/>
  <c r="W194" i="5"/>
  <c r="B183" i="6" s="1"/>
  <c r="W178" i="5"/>
  <c r="B167" i="6" s="1"/>
  <c r="W162" i="5"/>
  <c r="B151" i="6" s="1"/>
  <c r="W246" i="5"/>
  <c r="B235" i="6" s="1"/>
  <c r="W182" i="5"/>
  <c r="B171" i="6" s="1"/>
  <c r="W153" i="5"/>
  <c r="B142" i="6" s="1"/>
  <c r="W67" i="5"/>
  <c r="B56" i="6" s="1"/>
  <c r="W57" i="5"/>
  <c r="B46" i="6" s="1"/>
  <c r="W248" i="5"/>
  <c r="B237" i="6" s="1"/>
  <c r="W232" i="5"/>
  <c r="B221" i="6" s="1"/>
  <c r="W216" i="5"/>
  <c r="B205" i="6" s="1"/>
  <c r="W200" i="5"/>
  <c r="B189" i="6" s="1"/>
  <c r="W184" i="5"/>
  <c r="B173" i="6" s="1"/>
  <c r="W168" i="5"/>
  <c r="B157" i="6" s="1"/>
  <c r="W133" i="5"/>
  <c r="B122" i="6" s="1"/>
  <c r="W101" i="5"/>
  <c r="B90" i="6" s="1"/>
  <c r="W69" i="5"/>
  <c r="B58" i="6" s="1"/>
  <c r="W37" i="5"/>
  <c r="B26" i="6" s="1"/>
  <c r="W262" i="5"/>
  <c r="B251" i="6" s="1"/>
  <c r="W230" i="5"/>
  <c r="B219" i="6" s="1"/>
  <c r="W198" i="5"/>
  <c r="B187" i="6" s="1"/>
  <c r="W166" i="5"/>
  <c r="B155" i="6" s="1"/>
  <c r="W131" i="5"/>
  <c r="B120" i="6" s="1"/>
  <c r="W264" i="5"/>
  <c r="B253" i="6" s="1"/>
  <c r="W266" i="5"/>
  <c r="B255" i="6" s="1"/>
  <c r="W250" i="5"/>
  <c r="B239" i="6" s="1"/>
  <c r="W234" i="5"/>
  <c r="B223" i="6" s="1"/>
  <c r="W218" i="5"/>
  <c r="B207" i="6" s="1"/>
  <c r="W202" i="5"/>
  <c r="B191" i="6" s="1"/>
  <c r="W186" i="5"/>
  <c r="B175" i="6" s="1"/>
  <c r="W268" i="5"/>
  <c r="B257" i="6" s="1"/>
  <c r="W252" i="5"/>
  <c r="B241" i="6" s="1"/>
  <c r="W236" i="5"/>
  <c r="B225" i="6" s="1"/>
  <c r="W220" i="5"/>
  <c r="B209" i="6" s="1"/>
  <c r="W204" i="5"/>
  <c r="B193" i="6" s="1"/>
  <c r="W188" i="5"/>
  <c r="B177" i="6" s="1"/>
  <c r="W172" i="5"/>
  <c r="B161" i="6" s="1"/>
  <c r="W157" i="5"/>
  <c r="B146" i="6" s="1"/>
  <c r="W125" i="5"/>
  <c r="B114" i="6" s="1"/>
  <c r="W93" i="5"/>
  <c r="B82" i="6" s="1"/>
  <c r="W61" i="5"/>
  <c r="B50" i="6" s="1"/>
  <c r="W27" i="5"/>
  <c r="B16" i="6" s="1"/>
  <c r="G7" i="5"/>
  <c r="I7" i="5"/>
  <c r="D7" i="5"/>
  <c r="E7" i="5"/>
  <c r="F7" i="5"/>
  <c r="M13" i="5"/>
  <c r="W13" i="5" s="1"/>
  <c r="B2" i="6" s="1"/>
  <c r="K13" i="5"/>
  <c r="S13" i="5"/>
  <c r="T13" i="5"/>
  <c r="L13" i="5"/>
  <c r="N13" i="5"/>
  <c r="V13" i="5"/>
  <c r="A2" i="6" s="1"/>
  <c r="L2" i="5"/>
  <c r="L3" i="5"/>
  <c r="L5" i="5"/>
  <c r="L4" i="5"/>
  <c r="L6" i="5"/>
  <c r="D4" i="5"/>
  <c r="F4" i="5"/>
  <c r="I4" i="5"/>
  <c r="H4" i="5"/>
  <c r="G4" i="5"/>
  <c r="J13" i="5"/>
  <c r="R13" i="5"/>
  <c r="H13" i="5"/>
  <c r="I13" i="5"/>
  <c r="H13" i="1" s="1"/>
  <c r="E5" i="5"/>
  <c r="G5" i="5"/>
  <c r="I5" i="5"/>
  <c r="D5" i="5"/>
  <c r="H5" i="5"/>
  <c r="E3" i="5"/>
  <c r="G3" i="5"/>
  <c r="F3" i="5"/>
  <c r="H3" i="5"/>
  <c r="I3" i="5"/>
  <c r="F6" i="5"/>
  <c r="H6" i="5"/>
  <c r="D6" i="5"/>
  <c r="I6" i="5"/>
  <c r="E6" i="5"/>
  <c r="O13" i="5"/>
  <c r="P13" i="5"/>
  <c r="Q13" i="5"/>
  <c r="E8" i="5"/>
  <c r="H8" i="5"/>
  <c r="D8" i="5"/>
  <c r="G8" i="5"/>
  <c r="F8" i="5"/>
  <c r="M5" i="2"/>
  <c r="K5" i="2"/>
  <c r="W143" i="5"/>
  <c r="B132" i="6" s="1"/>
  <c r="W127" i="5"/>
  <c r="B116" i="6" s="1"/>
  <c r="W111" i="5"/>
  <c r="B100" i="6" s="1"/>
  <c r="W95" i="5"/>
  <c r="B84" i="6" s="1"/>
  <c r="W79" i="5"/>
  <c r="B68" i="6" s="1"/>
  <c r="W63" i="5"/>
  <c r="B52" i="6" s="1"/>
  <c r="W47" i="5"/>
  <c r="B36" i="6" s="1"/>
  <c r="W31" i="5"/>
  <c r="B20" i="6" s="1"/>
  <c r="W15" i="5"/>
  <c r="B4" i="6" s="1"/>
  <c r="W151" i="5"/>
  <c r="B140" i="6" s="1"/>
  <c r="W135" i="5"/>
  <c r="B124" i="6" s="1"/>
  <c r="W119" i="5"/>
  <c r="B108" i="6" s="1"/>
  <c r="W103" i="5"/>
  <c r="B92" i="6" s="1"/>
  <c r="W87" i="5"/>
  <c r="B76" i="6" s="1"/>
  <c r="W71" i="5"/>
  <c r="B60" i="6" s="1"/>
  <c r="W55" i="5"/>
  <c r="B44" i="6" s="1"/>
  <c r="W39" i="5"/>
  <c r="B28" i="6" s="1"/>
  <c r="W23" i="5"/>
  <c r="B12" i="6" s="1"/>
  <c r="W12" i="5"/>
  <c r="B1" i="6" s="1"/>
  <c r="W14" i="5"/>
  <c r="B3" i="6" s="1"/>
  <c r="W16" i="5"/>
  <c r="B5" i="6" s="1"/>
  <c r="W18" i="5"/>
  <c r="B7" i="6" s="1"/>
  <c r="W20" i="5"/>
  <c r="B9" i="6" s="1"/>
  <c r="W22" i="5"/>
  <c r="B11" i="6" s="1"/>
  <c r="W24" i="5"/>
  <c r="B13" i="6" s="1"/>
  <c r="W26" i="5"/>
  <c r="B15" i="6" s="1"/>
  <c r="W28" i="5"/>
  <c r="B17" i="6" s="1"/>
  <c r="W30" i="5"/>
  <c r="B19" i="6" s="1"/>
  <c r="W32" i="5"/>
  <c r="B21" i="6" s="1"/>
  <c r="W34" i="5"/>
  <c r="B23" i="6" s="1"/>
  <c r="W36" i="5"/>
  <c r="B25" i="6" s="1"/>
  <c r="W38" i="5"/>
  <c r="B27" i="6" s="1"/>
  <c r="W40" i="5"/>
  <c r="B29" i="6" s="1"/>
  <c r="W42" i="5"/>
  <c r="B31" i="6" s="1"/>
  <c r="W44" i="5"/>
  <c r="B33" i="6" s="1"/>
  <c r="W46" i="5"/>
  <c r="B35" i="6" s="1"/>
  <c r="W48" i="5"/>
  <c r="B37" i="6" s="1"/>
  <c r="W50" i="5"/>
  <c r="B39" i="6" s="1"/>
  <c r="W52" i="5"/>
  <c r="B41" i="6" s="1"/>
  <c r="W54" i="5"/>
  <c r="B43" i="6" s="1"/>
  <c r="W56" i="5"/>
  <c r="B45" i="6" s="1"/>
  <c r="W58" i="5"/>
  <c r="B47" i="6" s="1"/>
  <c r="W60" i="5"/>
  <c r="B49" i="6" s="1"/>
  <c r="W62" i="5"/>
  <c r="B51" i="6" s="1"/>
  <c r="W64" i="5"/>
  <c r="B53" i="6" s="1"/>
  <c r="W66" i="5"/>
  <c r="B55" i="6" s="1"/>
  <c r="W68" i="5"/>
  <c r="B57" i="6" s="1"/>
  <c r="W70" i="5"/>
  <c r="B59" i="6" s="1"/>
  <c r="W72" i="5"/>
  <c r="B61" i="6" s="1"/>
  <c r="W74" i="5"/>
  <c r="B63" i="6" s="1"/>
  <c r="W76" i="5"/>
  <c r="B65" i="6" s="1"/>
  <c r="W78" i="5"/>
  <c r="B67" i="6" s="1"/>
  <c r="W80" i="5"/>
  <c r="B69" i="6" s="1"/>
  <c r="W82" i="5"/>
  <c r="B71" i="6" s="1"/>
  <c r="W84" i="5"/>
  <c r="B73" i="6" s="1"/>
  <c r="W86" i="5"/>
  <c r="B75" i="6" s="1"/>
  <c r="W88" i="5"/>
  <c r="B77" i="6" s="1"/>
  <c r="W90" i="5"/>
  <c r="B79" i="6" s="1"/>
  <c r="W92" i="5"/>
  <c r="B81" i="6" s="1"/>
  <c r="W94" i="5"/>
  <c r="B83" i="6" s="1"/>
  <c r="W96" i="5"/>
  <c r="B85" i="6" s="1"/>
  <c r="W98" i="5"/>
  <c r="B87" i="6" s="1"/>
  <c r="W100" i="5"/>
  <c r="B89" i="6" s="1"/>
  <c r="W102" i="5"/>
  <c r="B91" i="6" s="1"/>
  <c r="W104" i="5"/>
  <c r="B93" i="6" s="1"/>
  <c r="W106" i="5"/>
  <c r="B95" i="6" s="1"/>
  <c r="W108" i="5"/>
  <c r="B97" i="6" s="1"/>
  <c r="W110" i="5"/>
  <c r="B99" i="6" s="1"/>
  <c r="W112" i="5"/>
  <c r="B101" i="6" s="1"/>
  <c r="W114" i="5"/>
  <c r="B103" i="6" s="1"/>
  <c r="W116" i="5"/>
  <c r="B105" i="6" s="1"/>
  <c r="W118" i="5"/>
  <c r="B107" i="6" s="1"/>
  <c r="W120" i="5"/>
  <c r="B109" i="6" s="1"/>
  <c r="W122" i="5"/>
  <c r="B111" i="6" s="1"/>
  <c r="W124" i="5"/>
  <c r="B113" i="6" s="1"/>
  <c r="W126" i="5"/>
  <c r="B115" i="6" s="1"/>
  <c r="W128" i="5"/>
  <c r="B117" i="6" s="1"/>
  <c r="W130" i="5"/>
  <c r="B119" i="6" s="1"/>
  <c r="W132" i="5"/>
  <c r="B121" i="6" s="1"/>
  <c r="W134" i="5"/>
  <c r="B123" i="6" s="1"/>
  <c r="W136" i="5"/>
  <c r="B125" i="6" s="1"/>
  <c r="W138" i="5"/>
  <c r="B127" i="6" s="1"/>
  <c r="W140" i="5"/>
  <c r="B129" i="6" s="1"/>
  <c r="W142" i="5"/>
  <c r="B131" i="6" s="1"/>
  <c r="W144" i="5"/>
  <c r="B133" i="6" s="1"/>
  <c r="W146" i="5"/>
  <c r="B135" i="6" s="1"/>
  <c r="W148" i="5"/>
  <c r="B137" i="6" s="1"/>
  <c r="W150" i="5"/>
  <c r="B139" i="6" s="1"/>
  <c r="W152" i="5"/>
  <c r="B141" i="6" s="1"/>
  <c r="W154" i="5"/>
  <c r="B143" i="6" s="1"/>
  <c r="W156" i="5"/>
  <c r="B145" i="6" s="1"/>
  <c r="W158" i="5"/>
  <c r="B147" i="6" s="1"/>
  <c r="W145" i="5"/>
  <c r="B134" i="6" s="1"/>
  <c r="W129" i="5"/>
  <c r="B118" i="6" s="1"/>
  <c r="W113" i="5"/>
  <c r="B102" i="6" s="1"/>
  <c r="W97" i="5"/>
  <c r="B86" i="6" s="1"/>
  <c r="W81" i="5"/>
  <c r="B70" i="6" s="1"/>
  <c r="W65" i="5"/>
  <c r="B54" i="6" s="1"/>
  <c r="W49" i="5"/>
  <c r="B38" i="6" s="1"/>
  <c r="W33" i="5"/>
  <c r="B22" i="6" s="1"/>
  <c r="W17" i="5"/>
  <c r="B6" i="6" s="1"/>
  <c r="W273" i="5"/>
  <c r="B262" i="6" s="1"/>
  <c r="W271" i="5"/>
  <c r="B260" i="6" s="1"/>
  <c r="W269" i="5"/>
  <c r="B258" i="6" s="1"/>
  <c r="W267" i="5"/>
  <c r="B256" i="6" s="1"/>
  <c r="W265" i="5"/>
  <c r="B254" i="6" s="1"/>
  <c r="W263" i="5"/>
  <c r="B252" i="6" s="1"/>
  <c r="W261" i="5"/>
  <c r="B250" i="6" s="1"/>
  <c r="W259" i="5"/>
  <c r="B248" i="6" s="1"/>
  <c r="W257" i="5"/>
  <c r="B246" i="6" s="1"/>
  <c r="W255" i="5"/>
  <c r="B244" i="6" s="1"/>
  <c r="W253" i="5"/>
  <c r="B242" i="6" s="1"/>
  <c r="W251" i="5"/>
  <c r="B240" i="6" s="1"/>
  <c r="W249" i="5"/>
  <c r="B238" i="6" s="1"/>
  <c r="W247" i="5"/>
  <c r="B236" i="6" s="1"/>
  <c r="W245" i="5"/>
  <c r="B234" i="6" s="1"/>
  <c r="W243" i="5"/>
  <c r="B232" i="6" s="1"/>
  <c r="W241" i="5"/>
  <c r="B230" i="6" s="1"/>
  <c r="W239" i="5"/>
  <c r="B228" i="6" s="1"/>
  <c r="W237" i="5"/>
  <c r="B226" i="6" s="1"/>
  <c r="W235" i="5"/>
  <c r="B224" i="6" s="1"/>
  <c r="W233" i="5"/>
  <c r="B222" i="6" s="1"/>
  <c r="W231" i="5"/>
  <c r="B220" i="6" s="1"/>
  <c r="W229" i="5"/>
  <c r="B218" i="6" s="1"/>
  <c r="W227" i="5"/>
  <c r="B216" i="6" s="1"/>
  <c r="W225" i="5"/>
  <c r="B214" i="6" s="1"/>
  <c r="W223" i="5"/>
  <c r="B212" i="6" s="1"/>
  <c r="W221" i="5"/>
  <c r="B210" i="6" s="1"/>
  <c r="W219" i="5"/>
  <c r="B208" i="6" s="1"/>
  <c r="W217" i="5"/>
  <c r="B206" i="6" s="1"/>
  <c r="W215" i="5"/>
  <c r="B204" i="6" s="1"/>
  <c r="W213" i="5"/>
  <c r="B202" i="6" s="1"/>
  <c r="W211" i="5"/>
  <c r="B200" i="6" s="1"/>
  <c r="W209" i="5"/>
  <c r="B198" i="6" s="1"/>
  <c r="W207" i="5"/>
  <c r="B196" i="6" s="1"/>
  <c r="W205" i="5"/>
  <c r="B194" i="6" s="1"/>
  <c r="W203" i="5"/>
  <c r="B192" i="6" s="1"/>
  <c r="W201" i="5"/>
  <c r="B190" i="6" s="1"/>
  <c r="W199" i="5"/>
  <c r="B188" i="6" s="1"/>
  <c r="W197" i="5"/>
  <c r="B186" i="6" s="1"/>
  <c r="W195" i="5"/>
  <c r="B184" i="6" s="1"/>
  <c r="W193" i="5"/>
  <c r="B182" i="6" s="1"/>
  <c r="W191" i="5"/>
  <c r="B180" i="6" s="1"/>
  <c r="W189" i="5"/>
  <c r="B178" i="6" s="1"/>
  <c r="W187" i="5"/>
  <c r="B176" i="6" s="1"/>
  <c r="W185" i="5"/>
  <c r="B174" i="6" s="1"/>
  <c r="W183" i="5"/>
  <c r="B172" i="6" s="1"/>
  <c r="W181" i="5"/>
  <c r="B170" i="6" s="1"/>
  <c r="W179" i="5"/>
  <c r="B168" i="6" s="1"/>
  <c r="W177" i="5"/>
  <c r="B166" i="6" s="1"/>
  <c r="W175" i="5"/>
  <c r="B164" i="6" s="1"/>
  <c r="W173" i="5"/>
  <c r="B162" i="6" s="1"/>
  <c r="W171" i="5"/>
  <c r="B160" i="6" s="1"/>
  <c r="W169" i="5"/>
  <c r="B158" i="6" s="1"/>
  <c r="W167" i="5"/>
  <c r="B156" i="6" s="1"/>
  <c r="W165" i="5"/>
  <c r="B154" i="6" s="1"/>
  <c r="W163" i="5"/>
  <c r="B152" i="6" s="1"/>
  <c r="W161" i="5"/>
  <c r="B150" i="6" s="1"/>
  <c r="W159" i="5"/>
  <c r="B148" i="6" s="1"/>
  <c r="W155" i="5"/>
  <c r="B144" i="6" s="1"/>
  <c r="W139" i="5"/>
  <c r="B128" i="6" s="1"/>
  <c r="W123" i="5"/>
  <c r="B112" i="6" s="1"/>
  <c r="W107" i="5"/>
  <c r="B96" i="6" s="1"/>
  <c r="W91" i="5"/>
  <c r="B80" i="6" s="1"/>
  <c r="W75" i="5"/>
  <c r="B64" i="6" s="1"/>
  <c r="W59" i="5"/>
  <c r="B48" i="6" s="1"/>
  <c r="W43" i="5"/>
  <c r="B32" i="6" s="1"/>
  <c r="M3" i="2"/>
  <c r="K3" i="2"/>
  <c r="M2" i="2"/>
  <c r="K2" i="2"/>
  <c r="K6" i="2"/>
  <c r="M6" i="2"/>
  <c r="K4" i="2"/>
  <c r="M4" i="2"/>
  <c r="F13" i="1"/>
  <c r="C13" i="1" s="1"/>
  <c r="J13" i="1"/>
  <c r="G13" i="1" l="1"/>
  <c r="I13" i="1"/>
  <c r="F1" i="6"/>
  <c r="G1" i="6"/>
  <c r="K3" i="5"/>
  <c r="M3" i="5"/>
  <c r="K2" i="5"/>
  <c r="M2" i="5"/>
  <c r="M4" i="5"/>
  <c r="K4" i="5"/>
  <c r="K5" i="5"/>
  <c r="M5" i="5"/>
  <c r="G12" i="1"/>
  <c r="H12" i="1"/>
  <c r="I12" i="1"/>
  <c r="K6" i="5"/>
  <c r="M6" i="5"/>
  <c r="F14" i="1"/>
  <c r="C14" i="1" s="1"/>
  <c r="G14" i="1"/>
  <c r="H14" i="1"/>
  <c r="I14" i="1"/>
  <c r="J14" i="1"/>
  <c r="N13" i="1"/>
  <c r="N12" i="1"/>
  <c r="M13" i="1"/>
  <c r="M12" i="1"/>
  <c r="L13" i="1"/>
  <c r="L12" i="1"/>
  <c r="K13" i="1"/>
  <c r="K12" i="1"/>
  <c r="O13" i="1"/>
  <c r="O12" i="1"/>
  <c r="K14" i="1"/>
  <c r="L14" i="1"/>
  <c r="M14" i="1"/>
  <c r="N14" i="1"/>
  <c r="O14" i="1"/>
  <c r="F15" i="1"/>
  <c r="C15" i="1" s="1"/>
  <c r="G15" i="1"/>
  <c r="H15" i="1"/>
  <c r="I15" i="1"/>
  <c r="J15" i="1"/>
  <c r="K15" i="1"/>
  <c r="L15" i="1"/>
  <c r="M15" i="1"/>
  <c r="N15" i="1"/>
  <c r="O15" i="1"/>
  <c r="F16" i="1"/>
  <c r="C16" i="1" s="1"/>
  <c r="G16" i="1"/>
  <c r="H16" i="1"/>
  <c r="I16" i="1"/>
  <c r="J16" i="1"/>
  <c r="K16" i="1"/>
  <c r="L16" i="1"/>
  <c r="M16" i="1"/>
  <c r="N16" i="1"/>
  <c r="O16" i="1"/>
  <c r="F17" i="1"/>
  <c r="C17" i="1" s="1"/>
  <c r="G17" i="1"/>
  <c r="H17" i="1"/>
  <c r="I17" i="1"/>
  <c r="J17" i="1"/>
  <c r="K17" i="1"/>
  <c r="L17" i="1"/>
  <c r="M17" i="1"/>
  <c r="N17" i="1"/>
  <c r="O17" i="1"/>
  <c r="F18" i="1"/>
  <c r="C18" i="1" s="1"/>
  <c r="G18" i="1"/>
  <c r="H18" i="1"/>
  <c r="I18" i="1"/>
  <c r="J18" i="1"/>
  <c r="K18" i="1"/>
  <c r="L18" i="1"/>
  <c r="M18" i="1"/>
  <c r="N18" i="1"/>
  <c r="O18" i="1"/>
  <c r="F19" i="1"/>
  <c r="C19" i="1"/>
  <c r="G19" i="1"/>
  <c r="H19" i="1"/>
  <c r="I19" i="1"/>
  <c r="J19" i="1"/>
  <c r="K19" i="1"/>
  <c r="L19" i="1"/>
  <c r="M19" i="1"/>
  <c r="N19" i="1"/>
  <c r="O19" i="1"/>
  <c r="F20" i="1"/>
  <c r="C20" i="1"/>
  <c r="G20" i="1"/>
  <c r="H20" i="1"/>
  <c r="I20" i="1"/>
  <c r="J20" i="1"/>
  <c r="K20" i="1"/>
  <c r="L20" i="1"/>
  <c r="M20" i="1"/>
  <c r="N20" i="1"/>
  <c r="O20" i="1"/>
  <c r="F21" i="1"/>
  <c r="C21" i="1" s="1"/>
  <c r="G21" i="1"/>
  <c r="H21" i="1"/>
  <c r="I21" i="1"/>
  <c r="J21" i="1"/>
  <c r="K21" i="1"/>
  <c r="L21" i="1"/>
  <c r="M21" i="1"/>
  <c r="N21" i="1"/>
  <c r="O21" i="1"/>
  <c r="F22" i="1"/>
  <c r="C22" i="1"/>
  <c r="G22" i="1"/>
  <c r="H22" i="1"/>
  <c r="I22" i="1"/>
  <c r="J22" i="1"/>
  <c r="K22" i="1"/>
  <c r="L22" i="1"/>
  <c r="M22" i="1"/>
  <c r="N22" i="1"/>
  <c r="O22" i="1"/>
  <c r="F23" i="1"/>
  <c r="C23" i="1"/>
  <c r="G23" i="1"/>
  <c r="H23" i="1"/>
  <c r="I23" i="1"/>
  <c r="J23" i="1"/>
  <c r="K23" i="1"/>
  <c r="L23" i="1"/>
  <c r="M23" i="1"/>
  <c r="N23" i="1"/>
  <c r="O23" i="1"/>
  <c r="F24" i="1"/>
  <c r="C24" i="1"/>
  <c r="G24" i="1"/>
  <c r="H24" i="1"/>
  <c r="I24" i="1"/>
  <c r="J24" i="1"/>
  <c r="K24" i="1"/>
  <c r="L24" i="1"/>
  <c r="M24" i="1"/>
  <c r="N24" i="1"/>
  <c r="O24" i="1"/>
  <c r="F27" i="1"/>
  <c r="C27" i="1" s="1"/>
  <c r="G27" i="1"/>
  <c r="H27" i="1"/>
  <c r="I27" i="1"/>
  <c r="J27" i="1"/>
  <c r="K27" i="1"/>
  <c r="L27" i="1"/>
  <c r="M27" i="1"/>
  <c r="N27" i="1"/>
  <c r="O27" i="1"/>
  <c r="F28" i="1"/>
  <c r="C28" i="1"/>
  <c r="G28" i="1"/>
  <c r="H28" i="1"/>
  <c r="I28" i="1"/>
  <c r="J28" i="1"/>
  <c r="K28" i="1"/>
  <c r="L28" i="1"/>
  <c r="M28" i="1"/>
  <c r="N28" i="1"/>
  <c r="O28" i="1"/>
  <c r="F29" i="1"/>
  <c r="C29" i="1" s="1"/>
  <c r="G29" i="1"/>
  <c r="H29" i="1"/>
  <c r="I29" i="1"/>
  <c r="J29" i="1"/>
  <c r="K29" i="1"/>
  <c r="L29" i="1"/>
  <c r="M29" i="1"/>
  <c r="N29" i="1"/>
  <c r="O29" i="1"/>
  <c r="F30" i="1"/>
  <c r="C30" i="1" s="1"/>
  <c r="G30" i="1"/>
  <c r="H30" i="1"/>
  <c r="I30" i="1"/>
  <c r="J30" i="1"/>
  <c r="K30" i="1"/>
  <c r="L30" i="1"/>
  <c r="M30" i="1"/>
  <c r="N30" i="1"/>
  <c r="O30" i="1"/>
  <c r="F31" i="1"/>
  <c r="C31" i="1" s="1"/>
  <c r="G31" i="1"/>
  <c r="H31" i="1"/>
  <c r="I31" i="1"/>
  <c r="J31" i="1"/>
  <c r="K31" i="1"/>
  <c r="L31" i="1"/>
  <c r="M31" i="1"/>
  <c r="N31" i="1"/>
  <c r="O31" i="1"/>
  <c r="F32" i="1"/>
  <c r="C32" i="1" s="1"/>
  <c r="G32" i="1"/>
  <c r="H32" i="1"/>
  <c r="I32" i="1"/>
  <c r="J32" i="1"/>
  <c r="K32" i="1"/>
  <c r="L32" i="1"/>
  <c r="M32" i="1"/>
  <c r="N32" i="1"/>
  <c r="O32" i="1"/>
  <c r="F33" i="1"/>
  <c r="C33" i="1" s="1"/>
  <c r="G33" i="1"/>
  <c r="H33" i="1"/>
  <c r="I33" i="1"/>
  <c r="J33" i="1"/>
  <c r="K33" i="1"/>
  <c r="L33" i="1"/>
  <c r="M33" i="1"/>
  <c r="N33" i="1"/>
  <c r="O33" i="1"/>
  <c r="F34" i="1"/>
  <c r="C34" i="1"/>
  <c r="G34" i="1"/>
  <c r="H34" i="1"/>
  <c r="I34" i="1"/>
  <c r="J34" i="1"/>
  <c r="K34" i="1"/>
  <c r="L34" i="1"/>
  <c r="M34" i="1"/>
  <c r="N34" i="1"/>
  <c r="O34" i="1"/>
  <c r="F35" i="1"/>
  <c r="C35" i="1"/>
  <c r="G35" i="1"/>
  <c r="H35" i="1"/>
  <c r="I35" i="1"/>
  <c r="J35" i="1"/>
  <c r="K35" i="1"/>
  <c r="L35" i="1"/>
  <c r="M35" i="1"/>
  <c r="N35" i="1"/>
  <c r="O35" i="1"/>
  <c r="F36" i="1"/>
  <c r="C36" i="1" s="1"/>
  <c r="G36" i="1"/>
  <c r="H36" i="1"/>
  <c r="I36" i="1"/>
  <c r="J36" i="1"/>
  <c r="K36" i="1"/>
  <c r="L36" i="1"/>
  <c r="M36" i="1"/>
  <c r="N36" i="1"/>
  <c r="O36" i="1"/>
  <c r="F37" i="1"/>
  <c r="C37" i="1" s="1"/>
  <c r="G37" i="1"/>
  <c r="H37" i="1"/>
  <c r="I37" i="1"/>
  <c r="J37" i="1"/>
  <c r="K37" i="1"/>
  <c r="L37" i="1"/>
  <c r="M37" i="1"/>
  <c r="N37" i="1"/>
  <c r="O37" i="1"/>
  <c r="F38" i="1"/>
  <c r="C38" i="1" s="1"/>
  <c r="G38" i="1"/>
  <c r="H38" i="1"/>
  <c r="I38" i="1"/>
  <c r="J38" i="1"/>
  <c r="K38" i="1"/>
  <c r="L38" i="1"/>
  <c r="M38" i="1"/>
  <c r="N38" i="1"/>
  <c r="O38" i="1"/>
  <c r="A39" i="1"/>
  <c r="B39" i="1"/>
  <c r="F39" i="1"/>
  <c r="C39" i="1" s="1"/>
  <c r="G39" i="1"/>
  <c r="H39" i="1"/>
  <c r="I39" i="1"/>
  <c r="J39" i="1"/>
  <c r="K39" i="1"/>
  <c r="L39" i="1"/>
  <c r="M39" i="1"/>
  <c r="N39" i="1"/>
  <c r="O39" i="1"/>
  <c r="C46" i="1"/>
  <c r="C47" i="1"/>
  <c r="C49" i="1"/>
  <c r="A44" i="1"/>
  <c r="C44" i="1" l="1"/>
  <c r="C45" i="1" l="1"/>
  <c r="C48" i="1" s="1"/>
  <c r="D45" i="1" s="1"/>
  <c r="D44" i="1"/>
  <c r="F44" i="1"/>
  <c r="F45" i="1"/>
  <c r="H43" i="1" l="1"/>
  <c r="C1" i="3" s="1"/>
  <c r="G43" i="1"/>
  <c r="B1" i="3" s="1"/>
  <c r="C50" i="1"/>
  <c r="A2" i="3"/>
  <c r="C2" i="3"/>
  <c r="V1" i="5"/>
  <c r="V1" i="2"/>
  <c r="A1" i="3"/>
  <c r="Z2" i="2" l="1"/>
  <c r="Z2" i="5"/>
  <c r="D46" i="1"/>
  <c r="C51" i="1"/>
  <c r="F46" i="1"/>
  <c r="I43" i="1" l="1"/>
  <c r="D1" i="3" s="1"/>
  <c r="D47" i="1"/>
  <c r="C52" i="1"/>
  <c r="F47" i="1"/>
  <c r="D2" i="3"/>
  <c r="J43" i="1" l="1"/>
  <c r="E1" i="3" s="1"/>
  <c r="C53" i="1"/>
  <c r="C54" i="1"/>
  <c r="C55" i="1"/>
  <c r="D48" i="1"/>
  <c r="D50" i="1"/>
  <c r="E2" i="3"/>
  <c r="F48" i="1"/>
  <c r="F50" i="1"/>
  <c r="K43" i="1" l="1"/>
  <c r="F1" i="3" s="1"/>
  <c r="C56" i="1"/>
  <c r="C58" i="1" s="1"/>
  <c r="C59" i="1" s="1"/>
  <c r="C57" i="1"/>
  <c r="D49" i="1"/>
  <c r="M43" i="1"/>
  <c r="H1" i="3" s="1"/>
  <c r="D51" i="1"/>
  <c r="F2" i="3"/>
  <c r="H2" i="3"/>
  <c r="F49" i="1"/>
  <c r="F51" i="1"/>
  <c r="L43" i="1" l="1"/>
  <c r="G1" i="3" s="1"/>
  <c r="C60" i="1"/>
  <c r="N43" i="1"/>
  <c r="I1" i="3" s="1"/>
  <c r="D52" i="1"/>
  <c r="G2" i="3"/>
  <c r="I2" i="3"/>
  <c r="F52" i="1"/>
  <c r="C61" i="1" l="1"/>
  <c r="C62" i="1" s="1"/>
  <c r="C63" i="1" s="1"/>
  <c r="C64" i="1" s="1"/>
  <c r="C65" i="1" s="1"/>
  <c r="C66" i="1" s="1"/>
  <c r="C67" i="1" s="1"/>
  <c r="C68" i="1" s="1"/>
  <c r="C69" i="1" s="1"/>
  <c r="C70" i="1" s="1"/>
  <c r="C71" i="1" s="1"/>
  <c r="C72" i="1" s="1"/>
  <c r="C73" i="1" s="1"/>
  <c r="C74" i="1" s="1"/>
  <c r="C75" i="1" s="1"/>
  <c r="C76" i="1" s="1"/>
  <c r="C77" i="1" s="1"/>
  <c r="C78" i="1" s="1"/>
  <c r="C79" i="1" s="1"/>
  <c r="C80" i="1" s="1"/>
  <c r="C81" i="1" s="1"/>
  <c r="C82" i="1" s="1"/>
  <c r="C83" i="1" s="1"/>
  <c r="C84" i="1" s="1"/>
  <c r="C85" i="1" s="1"/>
  <c r="C86" i="1" s="1"/>
  <c r="C87" i="1" s="1"/>
  <c r="D43" i="1" s="1"/>
  <c r="O43" i="1"/>
  <c r="J1" i="3" s="1"/>
  <c r="D53" i="1"/>
  <c r="J2" i="3"/>
  <c r="F53" i="1"/>
  <c r="P43" i="1" l="1"/>
  <c r="K1" i="3" s="1"/>
  <c r="D54" i="1"/>
  <c r="K2" i="3"/>
  <c r="F54" i="1"/>
  <c r="Q43" i="1" l="1"/>
  <c r="L1" i="3" s="1"/>
  <c r="D55" i="1"/>
  <c r="L2" i="3"/>
  <c r="F55" i="1"/>
  <c r="R43" i="1"/>
  <c r="M1" i="3" s="1"/>
  <c r="D56" i="1"/>
  <c r="M2" i="3"/>
  <c r="F56" i="1"/>
  <c r="S43" i="1"/>
  <c r="N1" i="3" s="1"/>
  <c r="D57" i="1"/>
  <c r="N2" i="3"/>
  <c r="F57" i="1"/>
  <c r="T43" i="1"/>
  <c r="O1" i="3" s="1"/>
  <c r="D58" i="1"/>
  <c r="O2" i="3"/>
  <c r="F58" i="1"/>
  <c r="U43" i="1"/>
  <c r="P1" i="3" s="1"/>
  <c r="D59" i="1"/>
  <c r="P2" i="3"/>
  <c r="F59" i="1"/>
  <c r="V43" i="1"/>
  <c r="Q1" i="3" s="1"/>
  <c r="D60" i="1"/>
  <c r="Q2" i="3"/>
  <c r="F60" i="1"/>
  <c r="W43" i="1"/>
  <c r="R1" i="3" s="1"/>
  <c r="D61" i="1"/>
  <c r="R2" i="3"/>
  <c r="F61" i="1"/>
  <c r="X43" i="1"/>
  <c r="S1" i="3" s="1"/>
  <c r="D62" i="1"/>
  <c r="S2" i="3"/>
  <c r="F62" i="1"/>
  <c r="Y43" i="1"/>
  <c r="T1" i="3" s="1"/>
  <c r="D63" i="1"/>
  <c r="T2" i="3"/>
  <c r="F63" i="1"/>
  <c r="Z43" i="1"/>
  <c r="U1" i="3" s="1"/>
  <c r="U2" i="3"/>
  <c r="B44" i="1"/>
  <c r="AA220" i="2" l="1"/>
  <c r="AA37" i="2"/>
  <c r="AB5" i="5"/>
  <c r="AB248" i="2"/>
  <c r="AB292" i="5"/>
  <c r="AA140" i="2"/>
  <c r="AB230" i="5"/>
  <c r="AB255" i="5"/>
  <c r="AA149" i="5"/>
  <c r="AB229" i="5"/>
  <c r="AA280" i="5"/>
  <c r="AA158" i="5"/>
  <c r="AA93" i="5"/>
  <c r="AB123" i="2"/>
  <c r="AA4" i="5"/>
  <c r="AA239" i="2"/>
  <c r="AA129" i="5"/>
  <c r="AB134" i="2"/>
  <c r="AA284" i="5"/>
  <c r="AA229" i="2"/>
  <c r="AB157" i="2"/>
  <c r="AA32" i="2"/>
  <c r="AA121" i="5"/>
  <c r="AB7" i="5"/>
  <c r="AB99" i="2"/>
  <c r="AB268" i="2"/>
  <c r="AA246" i="2"/>
  <c r="AB50" i="5"/>
  <c r="AA219" i="5"/>
  <c r="AB237" i="2"/>
  <c r="AA187" i="2"/>
  <c r="AA200" i="5"/>
  <c r="AB105" i="2"/>
  <c r="AA166" i="2"/>
  <c r="AB290" i="2"/>
  <c r="AA211" i="2"/>
  <c r="AB275" i="5"/>
  <c r="AA60" i="2"/>
  <c r="AA33" i="2"/>
  <c r="AB168" i="2"/>
  <c r="AA44" i="2"/>
  <c r="AB287" i="2"/>
  <c r="AA60" i="5"/>
  <c r="AB278" i="2"/>
  <c r="AA131" i="2"/>
  <c r="AB282" i="2"/>
  <c r="AB213" i="5"/>
  <c r="AB250" i="2"/>
  <c r="AA31" i="2"/>
  <c r="AB25" i="5"/>
  <c r="AA46" i="2"/>
  <c r="AA35" i="2"/>
  <c r="AB104" i="2"/>
  <c r="AB19" i="5"/>
  <c r="AA256" i="5"/>
  <c r="AA244" i="2"/>
  <c r="AB142" i="5"/>
  <c r="AB153" i="5"/>
  <c r="AB211" i="5"/>
  <c r="AA240" i="2"/>
  <c r="AB157" i="5"/>
  <c r="AA207" i="5"/>
  <c r="AB80" i="5"/>
  <c r="AB14" i="2"/>
  <c r="AA201" i="5"/>
  <c r="AB122" i="5"/>
  <c r="AA75" i="5"/>
  <c r="AB116" i="5"/>
  <c r="AA217" i="2"/>
  <c r="AB169" i="5"/>
  <c r="AA107" i="5"/>
  <c r="AA261" i="2"/>
  <c r="AA48" i="2"/>
  <c r="AB102" i="5"/>
  <c r="AB141" i="2"/>
  <c r="AB104" i="5"/>
  <c r="AB66" i="5"/>
  <c r="AB295" i="5"/>
  <c r="AB135" i="2"/>
  <c r="AB256" i="5"/>
  <c r="AA206" i="2"/>
  <c r="AB234" i="2"/>
  <c r="AA66" i="2"/>
  <c r="AA154" i="2"/>
  <c r="AB202" i="2"/>
  <c r="AA230" i="5"/>
  <c r="AA142" i="2"/>
  <c r="AA194" i="2"/>
  <c r="AA39" i="2"/>
  <c r="AB261" i="2"/>
  <c r="AB114" i="2"/>
  <c r="AA182" i="5"/>
  <c r="AB199" i="5"/>
  <c r="AB24" i="2"/>
  <c r="AB208" i="2"/>
  <c r="AA151" i="5"/>
  <c r="AB166" i="2"/>
  <c r="AA219" i="2"/>
  <c r="AB147" i="5"/>
  <c r="AB173" i="2"/>
  <c r="AA101" i="2"/>
  <c r="AB51" i="2"/>
  <c r="AA23" i="2"/>
  <c r="AB74" i="5"/>
  <c r="AA206" i="5"/>
  <c r="AA267" i="2"/>
  <c r="AB195" i="5"/>
  <c r="AB294" i="5"/>
  <c r="AB220" i="2"/>
  <c r="AB9" i="5"/>
  <c r="AB40" i="5"/>
  <c r="AA94" i="5"/>
  <c r="AA270" i="2"/>
  <c r="AA160" i="2"/>
  <c r="AB273" i="2"/>
  <c r="AB174" i="5"/>
  <c r="AB113" i="2"/>
  <c r="AB158" i="2"/>
  <c r="AB251" i="5"/>
  <c r="AB124" i="5"/>
  <c r="AB171" i="2"/>
  <c r="AB8" i="2"/>
  <c r="AA165" i="2"/>
  <c r="AA124" i="5"/>
  <c r="AA55" i="2"/>
  <c r="AB38" i="2"/>
  <c r="AA114" i="2"/>
  <c r="AB100" i="5"/>
  <c r="AB189" i="2"/>
  <c r="AA5" i="2"/>
  <c r="AB78" i="2"/>
  <c r="AA132" i="2"/>
  <c r="AA107" i="2"/>
  <c r="AB53" i="2"/>
  <c r="AB45" i="5"/>
  <c r="AA91" i="5"/>
  <c r="AA251" i="5"/>
  <c r="AB236" i="5"/>
  <c r="AB255" i="2"/>
  <c r="AA118" i="2"/>
  <c r="AA51" i="2"/>
  <c r="AA69" i="5"/>
  <c r="AB284" i="2"/>
  <c r="AA136" i="2"/>
  <c r="AA183" i="2"/>
  <c r="AB62" i="5"/>
  <c r="AB163" i="5"/>
  <c r="AA162" i="2"/>
  <c r="AA66" i="5"/>
  <c r="AC66" i="5" s="1"/>
  <c r="AA150" i="2"/>
  <c r="AB72" i="2"/>
  <c r="AA283" i="2"/>
  <c r="AB57" i="5"/>
  <c r="AB205" i="5"/>
  <c r="AA148" i="5"/>
  <c r="AB17" i="5"/>
  <c r="AA141" i="2"/>
  <c r="AB29" i="2"/>
  <c r="AA177" i="2"/>
  <c r="AA269" i="2"/>
  <c r="AB263" i="2"/>
  <c r="AA230" i="2"/>
  <c r="AB82" i="2"/>
  <c r="AB200" i="2"/>
  <c r="AB208" i="5"/>
  <c r="AB125" i="5"/>
  <c r="AB53" i="5"/>
  <c r="AA138" i="2"/>
  <c r="AB43" i="5"/>
  <c r="AA64" i="2"/>
  <c r="AA30" i="5"/>
  <c r="AA119" i="5"/>
  <c r="AA94" i="2"/>
  <c r="AB20" i="2"/>
  <c r="AB11" i="2"/>
  <c r="AB268" i="5"/>
  <c r="AA118" i="5"/>
  <c r="AB192" i="2"/>
  <c r="AB82" i="5"/>
  <c r="AB198" i="5"/>
  <c r="AA192" i="5"/>
  <c r="AA173" i="2"/>
  <c r="AA133" i="5"/>
  <c r="AB119" i="2"/>
  <c r="AB30" i="2"/>
  <c r="AB186" i="2"/>
  <c r="AA154" i="5"/>
  <c r="AA195" i="2"/>
  <c r="AB130" i="5"/>
  <c r="AA4" i="2"/>
  <c r="AA249" i="2"/>
  <c r="AB145" i="5"/>
  <c r="AB153" i="2"/>
  <c r="AB25" i="2"/>
  <c r="AA251" i="2"/>
  <c r="AB251" i="2"/>
  <c r="AA115" i="5"/>
  <c r="AA113" i="5"/>
  <c r="AA61" i="2"/>
  <c r="AA204" i="2"/>
  <c r="AB177" i="5"/>
  <c r="AB92" i="5"/>
  <c r="AB263" i="5"/>
  <c r="AB96" i="2"/>
  <c r="AB114" i="5"/>
  <c r="AB276" i="2"/>
  <c r="AB103" i="2"/>
  <c r="AB246" i="5"/>
  <c r="AB138" i="2"/>
  <c r="AB37" i="5"/>
  <c r="AB79" i="2"/>
  <c r="AB139" i="5"/>
  <c r="AA210" i="2"/>
  <c r="AB300" i="5"/>
  <c r="AB37" i="2"/>
  <c r="AB224" i="2"/>
  <c r="AB95" i="5"/>
  <c r="AA73" i="5"/>
  <c r="AA281" i="2"/>
  <c r="AA5" i="5"/>
  <c r="AB253" i="2"/>
  <c r="AA53" i="2"/>
  <c r="AC53" i="2" s="1"/>
  <c r="AB244" i="2"/>
  <c r="AA153" i="5"/>
  <c r="AA222" i="2"/>
  <c r="AA18" i="5"/>
  <c r="AB204" i="2"/>
  <c r="AA50" i="2"/>
  <c r="AA148" i="2"/>
  <c r="AB41" i="2"/>
  <c r="AA292" i="5"/>
  <c r="AA135" i="2"/>
  <c r="AB296" i="2"/>
  <c r="AA21" i="2"/>
  <c r="AA43" i="5"/>
  <c r="AC43" i="5" s="1"/>
  <c r="AB70" i="2"/>
  <c r="AB118" i="2"/>
  <c r="AA57" i="5"/>
  <c r="AA203" i="5"/>
  <c r="AA211" i="5"/>
  <c r="AB216" i="5"/>
  <c r="AB8" i="5"/>
  <c r="AB101" i="5"/>
  <c r="AB87" i="5"/>
  <c r="AB297" i="2"/>
  <c r="AB73" i="2"/>
  <c r="AB280" i="5"/>
  <c r="AB83" i="2"/>
  <c r="AA52" i="5"/>
  <c r="AA90" i="2"/>
  <c r="AA241" i="2"/>
  <c r="AA103" i="2"/>
  <c r="AA136" i="5"/>
  <c r="AB172" i="2"/>
  <c r="AA173" i="5"/>
  <c r="AA272" i="5"/>
  <c r="AB133" i="2"/>
  <c r="AB92" i="2"/>
  <c r="AB28" i="2"/>
  <c r="AA171" i="5"/>
  <c r="AA253" i="2"/>
  <c r="AC253" i="2" s="1"/>
  <c r="AB101" i="2"/>
  <c r="AB152" i="5"/>
  <c r="AB231" i="2"/>
  <c r="AB20" i="5"/>
  <c r="AA47" i="2"/>
  <c r="AA48" i="5"/>
  <c r="AA88" i="2"/>
  <c r="AA27" i="2"/>
  <c r="AB245" i="2"/>
  <c r="AB254" i="5"/>
  <c r="AA231" i="2"/>
  <c r="AC231" i="2" s="1"/>
  <c r="AB84" i="5"/>
  <c r="AA22" i="5"/>
  <c r="AB87" i="2"/>
  <c r="AB103" i="5"/>
  <c r="AB97" i="2"/>
  <c r="AB162" i="2"/>
  <c r="AA65" i="5"/>
  <c r="AA254" i="5"/>
  <c r="AB188" i="2"/>
  <c r="AB262" i="5"/>
  <c r="AB193" i="2"/>
  <c r="AA15" i="2"/>
  <c r="AA156" i="2"/>
  <c r="AA84" i="2"/>
  <c r="AB191" i="5"/>
  <c r="AA170" i="2"/>
  <c r="AA41" i="2"/>
  <c r="AA189" i="5"/>
  <c r="AA207" i="2"/>
  <c r="AB214" i="5"/>
  <c r="AB43" i="2"/>
  <c r="AB149" i="2"/>
  <c r="AB252" i="5"/>
  <c r="AB215" i="5"/>
  <c r="AA106" i="5"/>
  <c r="AB223" i="2"/>
  <c r="AB229" i="2"/>
  <c r="AA241" i="5"/>
  <c r="AB215" i="2"/>
  <c r="AB35" i="5"/>
  <c r="AA264" i="5"/>
  <c r="AB51" i="5"/>
  <c r="AB220" i="5"/>
  <c r="AA296" i="2"/>
  <c r="AC296" i="2" s="1"/>
  <c r="AB240" i="5"/>
  <c r="AB238" i="5"/>
  <c r="AB298" i="2"/>
  <c r="AB249" i="2"/>
  <c r="AB81" i="2"/>
  <c r="AB164" i="2"/>
  <c r="AA169" i="2"/>
  <c r="AA96" i="5"/>
  <c r="AA135" i="5"/>
  <c r="AB44" i="5"/>
  <c r="AA130" i="2"/>
  <c r="AA113" i="2"/>
  <c r="AA146" i="2"/>
  <c r="AA247" i="5"/>
  <c r="AA224" i="2"/>
  <c r="AB102" i="2"/>
  <c r="AA106" i="2"/>
  <c r="AA110" i="5"/>
  <c r="AB246" i="2"/>
  <c r="AB200" i="5"/>
  <c r="AA280" i="2"/>
  <c r="AA99" i="5"/>
  <c r="AA120" i="2"/>
  <c r="AB261" i="5"/>
  <c r="AB296" i="5"/>
  <c r="AA221" i="5"/>
  <c r="AB212" i="2"/>
  <c r="AB269" i="2"/>
  <c r="AB214" i="2"/>
  <c r="AB89" i="5"/>
  <c r="AA119" i="2"/>
  <c r="AA244" i="5"/>
  <c r="AA126" i="5"/>
  <c r="AB239" i="5"/>
  <c r="AB172" i="5"/>
  <c r="AB86" i="5"/>
  <c r="AA282" i="5"/>
  <c r="AB281" i="2"/>
  <c r="AB233" i="5"/>
  <c r="AA214" i="2"/>
  <c r="AB140" i="2"/>
  <c r="AA257" i="5"/>
  <c r="AB108" i="5"/>
  <c r="AA109" i="2"/>
  <c r="AA90" i="5"/>
  <c r="AB68" i="5"/>
  <c r="AB16" i="5"/>
  <c r="AB38" i="5"/>
  <c r="AB137" i="5"/>
  <c r="AA236" i="2"/>
  <c r="AB285" i="2"/>
  <c r="AA36" i="5"/>
  <c r="AA42" i="5"/>
  <c r="AA33" i="5"/>
  <c r="AA72" i="2"/>
  <c r="AA20" i="5"/>
  <c r="AC20" i="5" s="1"/>
  <c r="AB193" i="5"/>
  <c r="AB259" i="2"/>
  <c r="AA171" i="2"/>
  <c r="AA55" i="5"/>
  <c r="AA263" i="2"/>
  <c r="AB294" i="2"/>
  <c r="AB84" i="2"/>
  <c r="AB13" i="5"/>
  <c r="AA150" i="5"/>
  <c r="AA242" i="2"/>
  <c r="AA11" i="2"/>
  <c r="AA17" i="5"/>
  <c r="AA205" i="5"/>
  <c r="AB199" i="2"/>
  <c r="AA170" i="5"/>
  <c r="AB99" i="5"/>
  <c r="AB156" i="5"/>
  <c r="AA35" i="5"/>
  <c r="AA137" i="5"/>
  <c r="AB21" i="5"/>
  <c r="AA233" i="2"/>
  <c r="AB44" i="2"/>
  <c r="AB151" i="5"/>
  <c r="AB129" i="2"/>
  <c r="AA59" i="2"/>
  <c r="AB26" i="5"/>
  <c r="AB228" i="2"/>
  <c r="AA3" i="2"/>
  <c r="AB14" i="5"/>
  <c r="AA260" i="2"/>
  <c r="AA237" i="5"/>
  <c r="AB52" i="2"/>
  <c r="AA31" i="5"/>
  <c r="AB242" i="2"/>
  <c r="AA185" i="2"/>
  <c r="AB160" i="5"/>
  <c r="AA163" i="5"/>
  <c r="AA232" i="2"/>
  <c r="AA95" i="5"/>
  <c r="AC95" i="5" s="1"/>
  <c r="AA87" i="5"/>
  <c r="AA98" i="2"/>
  <c r="AB217" i="5"/>
  <c r="AB187" i="5"/>
  <c r="AA122" i="5"/>
  <c r="AB81" i="5"/>
  <c r="AB179" i="5"/>
  <c r="AA271" i="2"/>
  <c r="AB98" i="5"/>
  <c r="AA68" i="2"/>
  <c r="AA102" i="5"/>
  <c r="AC102" i="5" s="1"/>
  <c r="AA132" i="5"/>
  <c r="AA145" i="2"/>
  <c r="AA138" i="5"/>
  <c r="AA289" i="2"/>
  <c r="AB75" i="5"/>
  <c r="AA142" i="5"/>
  <c r="AC142" i="5" s="1"/>
  <c r="AB184" i="2"/>
  <c r="AA166" i="5"/>
  <c r="AB50" i="2"/>
  <c r="AA214" i="5"/>
  <c r="AA152" i="2"/>
  <c r="AB15" i="5"/>
  <c r="AB159" i="5"/>
  <c r="AA108" i="2"/>
  <c r="AA285" i="5"/>
  <c r="AA145" i="5"/>
  <c r="AB126" i="2"/>
  <c r="AB111" i="2"/>
  <c r="AB299" i="2"/>
  <c r="AA78" i="5"/>
  <c r="AA193" i="2"/>
  <c r="AA34" i="5"/>
  <c r="AA299" i="5"/>
  <c r="AA49" i="2"/>
  <c r="AA285" i="2"/>
  <c r="AC285" i="2" s="1"/>
  <c r="AA74" i="5"/>
  <c r="AB12" i="2"/>
  <c r="AB55" i="2"/>
  <c r="AB243" i="2"/>
  <c r="AB227" i="5"/>
  <c r="AB66" i="2"/>
  <c r="AA180" i="5"/>
  <c r="AA22" i="2"/>
  <c r="AB85" i="5"/>
  <c r="AB247" i="2"/>
  <c r="AB142" i="2"/>
  <c r="AB127" i="2"/>
  <c r="AA19" i="5"/>
  <c r="AA111" i="5"/>
  <c r="AA92" i="2"/>
  <c r="AC92" i="2" s="1"/>
  <c r="AA277" i="2"/>
  <c r="AB283" i="2"/>
  <c r="AB115" i="2"/>
  <c r="AA130" i="5"/>
  <c r="AA108" i="5"/>
  <c r="AA199" i="2"/>
  <c r="AB146" i="2"/>
  <c r="AA128" i="5"/>
  <c r="AB168" i="5"/>
  <c r="AA194" i="5"/>
  <c r="AB90" i="5"/>
  <c r="AA266" i="5"/>
  <c r="AB165" i="2"/>
  <c r="AB207" i="2"/>
  <c r="AB254" i="2"/>
  <c r="AA216" i="2"/>
  <c r="AA117" i="5"/>
  <c r="AB18" i="2"/>
  <c r="AA139" i="2"/>
  <c r="AB196" i="2"/>
  <c r="AB154" i="5"/>
  <c r="AA221" i="2"/>
  <c r="AA202" i="5"/>
  <c r="AA186" i="5"/>
  <c r="AB217" i="2"/>
  <c r="AA179" i="5"/>
  <c r="AA51" i="5"/>
  <c r="AA82" i="2"/>
  <c r="AA85" i="2"/>
  <c r="AB222" i="5"/>
  <c r="AA298" i="2"/>
  <c r="AB249" i="5"/>
  <c r="AB289" i="5"/>
  <c r="AB93" i="5"/>
  <c r="AA10" i="2"/>
  <c r="AB74" i="2"/>
  <c r="AA70" i="5"/>
  <c r="AB188" i="5"/>
  <c r="AB236" i="2"/>
  <c r="AA286" i="5"/>
  <c r="AB274" i="5"/>
  <c r="AB127" i="5"/>
  <c r="AB192" i="5"/>
  <c r="AB221" i="5"/>
  <c r="AA286" i="2"/>
  <c r="AB232" i="5"/>
  <c r="AB232" i="2"/>
  <c r="AB122" i="2"/>
  <c r="AB11" i="5"/>
  <c r="AA167" i="2"/>
  <c r="AA275" i="2"/>
  <c r="AB117" i="2"/>
  <c r="AB146" i="5"/>
  <c r="AB119" i="5"/>
  <c r="AA294" i="2"/>
  <c r="AA243" i="2"/>
  <c r="AC243" i="2" s="1"/>
  <c r="AA73" i="2"/>
  <c r="AB272" i="2"/>
  <c r="AA208" i="2"/>
  <c r="AC208" i="2" s="1"/>
  <c r="AB35" i="2"/>
  <c r="AA67" i="5"/>
  <c r="AB58" i="2"/>
  <c r="AA191" i="2"/>
  <c r="AB118" i="5"/>
  <c r="AB190" i="5"/>
  <c r="AA216" i="5"/>
  <c r="AA127" i="2"/>
  <c r="AB71" i="2"/>
  <c r="AB94" i="2"/>
  <c r="AB7" i="2"/>
  <c r="AB132" i="2"/>
  <c r="AB167" i="5"/>
  <c r="AA24" i="2"/>
  <c r="AA255" i="5"/>
  <c r="AA127" i="5"/>
  <c r="AA271" i="5"/>
  <c r="AA25" i="5"/>
  <c r="AB129" i="5"/>
  <c r="AA56" i="2"/>
  <c r="AA164" i="2"/>
  <c r="AB273" i="5"/>
  <c r="AB185" i="2"/>
  <c r="AB253" i="5"/>
  <c r="AA116" i="5"/>
  <c r="AA180" i="2"/>
  <c r="AB39" i="2"/>
  <c r="AB83" i="5"/>
  <c r="AA226" i="5"/>
  <c r="AB189" i="5"/>
  <c r="AA129" i="2"/>
  <c r="AA198" i="2"/>
  <c r="AB27" i="2"/>
  <c r="AB45" i="2"/>
  <c r="AB49" i="5"/>
  <c r="AB260" i="2"/>
  <c r="AA89" i="5"/>
  <c r="AB144" i="5"/>
  <c r="AB281" i="5"/>
  <c r="AB152" i="2"/>
  <c r="AB98" i="2"/>
  <c r="AB219" i="2"/>
  <c r="AB132" i="5"/>
  <c r="AB112" i="2"/>
  <c r="AB67" i="2"/>
  <c r="AA203" i="2"/>
  <c r="AA12" i="5"/>
  <c r="AB183" i="5"/>
  <c r="AB169" i="2"/>
  <c r="AB47" i="5"/>
  <c r="AB73" i="5"/>
  <c r="AB279" i="2"/>
  <c r="AA181" i="5"/>
  <c r="AB120" i="5"/>
  <c r="AA134" i="2"/>
  <c r="AA26" i="5"/>
  <c r="AB194" i="2"/>
  <c r="AA50" i="5"/>
  <c r="AB30" i="5"/>
  <c r="AB95" i="2"/>
  <c r="AA296" i="5"/>
  <c r="AB40" i="2"/>
  <c r="AB2" i="2"/>
  <c r="AB126" i="5"/>
  <c r="AA179" i="2"/>
  <c r="AA10" i="5"/>
  <c r="AA80" i="5"/>
  <c r="AA65" i="2"/>
  <c r="AB161" i="2"/>
  <c r="AA159" i="5"/>
  <c r="AA13" i="5"/>
  <c r="AA291" i="2"/>
  <c r="AB244" i="5"/>
  <c r="AB117" i="5"/>
  <c r="AB194" i="5"/>
  <c r="AB280" i="2"/>
  <c r="AA79" i="2"/>
  <c r="AB63" i="5"/>
  <c r="AB174" i="2"/>
  <c r="AB203" i="5"/>
  <c r="AB97" i="5"/>
  <c r="AB272" i="5"/>
  <c r="AA28" i="2"/>
  <c r="AB267" i="2"/>
  <c r="AA277" i="5"/>
  <c r="AA186" i="2"/>
  <c r="AB176" i="2"/>
  <c r="AB16" i="2"/>
  <c r="AA181" i="2"/>
  <c r="AA269" i="5"/>
  <c r="AA143" i="5"/>
  <c r="AB257" i="5"/>
  <c r="AA265" i="5"/>
  <c r="AA72" i="5"/>
  <c r="AB143" i="2"/>
  <c r="AB149" i="5"/>
  <c r="AA28" i="5"/>
  <c r="AA295" i="5"/>
  <c r="AB10" i="2"/>
  <c r="AA141" i="5"/>
  <c r="AA124" i="2"/>
  <c r="AB178" i="5"/>
  <c r="AA184" i="2"/>
  <c r="AB175" i="5"/>
  <c r="AB299" i="5"/>
  <c r="AA235" i="2"/>
  <c r="AB241" i="5"/>
  <c r="AB54" i="5"/>
  <c r="AA169" i="5"/>
  <c r="AA200" i="2"/>
  <c r="AA193" i="5"/>
  <c r="AB159" i="2"/>
  <c r="AA104" i="5"/>
  <c r="AB243" i="5"/>
  <c r="AA208" i="5"/>
  <c r="AB242" i="5"/>
  <c r="AB151" i="2"/>
  <c r="AA263" i="5"/>
  <c r="AB191" i="2"/>
  <c r="AB225" i="5"/>
  <c r="AB22" i="2"/>
  <c r="AA278" i="2"/>
  <c r="AA23" i="5"/>
  <c r="AB181" i="2"/>
  <c r="AB36" i="2"/>
  <c r="AB233" i="2"/>
  <c r="AB48" i="2"/>
  <c r="AB32" i="5"/>
  <c r="AB230" i="2"/>
  <c r="AB148" i="5"/>
  <c r="AB165" i="5"/>
  <c r="AB262" i="2"/>
  <c r="AA100" i="5"/>
  <c r="AB22" i="5"/>
  <c r="AA75" i="2"/>
  <c r="AB79" i="5"/>
  <c r="AB130" i="2"/>
  <c r="AB69" i="5"/>
  <c r="AA281" i="5"/>
  <c r="AB163" i="2"/>
  <c r="AB260" i="5"/>
  <c r="AB240" i="2"/>
  <c r="AB5" i="2"/>
  <c r="AB47" i="2"/>
  <c r="AA97" i="2"/>
  <c r="AA36" i="2"/>
  <c r="AA37" i="5"/>
  <c r="AC37" i="5" s="1"/>
  <c r="AB56" i="2"/>
  <c r="AB155" i="2"/>
  <c r="AA247" i="2"/>
  <c r="AA223" i="5"/>
  <c r="AB231" i="5"/>
  <c r="AB277" i="2"/>
  <c r="AB292" i="2"/>
  <c r="AB23" i="2"/>
  <c r="AA255" i="2"/>
  <c r="AC255" i="2" s="1"/>
  <c r="AA292" i="2"/>
  <c r="AC292" i="2" s="1"/>
  <c r="AB36" i="5"/>
  <c r="AB109" i="5"/>
  <c r="AA156" i="5"/>
  <c r="AB48" i="5"/>
  <c r="AA89" i="2"/>
  <c r="AA175" i="5"/>
  <c r="AB178" i="2"/>
  <c r="AB223" i="5"/>
  <c r="AB91" i="5"/>
  <c r="AA264" i="2"/>
  <c r="AB207" i="5"/>
  <c r="AA257" i="2"/>
  <c r="AA176" i="5"/>
  <c r="AA245" i="5"/>
  <c r="AA191" i="5"/>
  <c r="AB33" i="2"/>
  <c r="AB257" i="2"/>
  <c r="AA59" i="5"/>
  <c r="AB206" i="5"/>
  <c r="AB247" i="5"/>
  <c r="AA157" i="5"/>
  <c r="AB206" i="2"/>
  <c r="AB46" i="2"/>
  <c r="AB209" i="5"/>
  <c r="AB60" i="2"/>
  <c r="AB32" i="2"/>
  <c r="AB171" i="5"/>
  <c r="AB300" i="2"/>
  <c r="AA29" i="5"/>
  <c r="AA270" i="5"/>
  <c r="AA15" i="5"/>
  <c r="AA198" i="5"/>
  <c r="AC198" i="5" s="1"/>
  <c r="AA215" i="5"/>
  <c r="AB287" i="5"/>
  <c r="AB62" i="2"/>
  <c r="AB228" i="5"/>
  <c r="AA114" i="5"/>
  <c r="AB64" i="2"/>
  <c r="AA68" i="5"/>
  <c r="AB42" i="2"/>
  <c r="AB278" i="5"/>
  <c r="AB108" i="2"/>
  <c r="AA226" i="2"/>
  <c r="AB131" i="2"/>
  <c r="AB75" i="2"/>
  <c r="AA185" i="5"/>
  <c r="AA291" i="5"/>
  <c r="AA243" i="5"/>
  <c r="AC243" i="5" s="1"/>
  <c r="AB160" i="2"/>
  <c r="AA235" i="5"/>
  <c r="AA268" i="5"/>
  <c r="AA77" i="5"/>
  <c r="AA109" i="5"/>
  <c r="AA231" i="5"/>
  <c r="AA71" i="2"/>
  <c r="AB170" i="2"/>
  <c r="AA161" i="5"/>
  <c r="AB288" i="5"/>
  <c r="AA29" i="2"/>
  <c r="AA19" i="2"/>
  <c r="AB298" i="5"/>
  <c r="AA274" i="5"/>
  <c r="AB235" i="5"/>
  <c r="AB56" i="5"/>
  <c r="AB226" i="5"/>
  <c r="AA213" i="2"/>
  <c r="AA144" i="2"/>
  <c r="AA95" i="2"/>
  <c r="AB270" i="5"/>
  <c r="AA253" i="5"/>
  <c r="AB100" i="2"/>
  <c r="AA21" i="5"/>
  <c r="AA121" i="2"/>
  <c r="AA279" i="2"/>
  <c r="AA262" i="5"/>
  <c r="AB293" i="5"/>
  <c r="AB203" i="2"/>
  <c r="AA288" i="5"/>
  <c r="AA149" i="2"/>
  <c r="AB107" i="5"/>
  <c r="AA117" i="2"/>
  <c r="AA100" i="2"/>
  <c r="AB17" i="2"/>
  <c r="AA283" i="5"/>
  <c r="AA123" i="2"/>
  <c r="AA24" i="5"/>
  <c r="AA288" i="2"/>
  <c r="AB213" i="2"/>
  <c r="AB65" i="5"/>
  <c r="AA300" i="2"/>
  <c r="AA8" i="5"/>
  <c r="AA297" i="2"/>
  <c r="AA229" i="5"/>
  <c r="AA102" i="2"/>
  <c r="AC102" i="2" s="1"/>
  <c r="AB216" i="2"/>
  <c r="AA204" i="5"/>
  <c r="AB197" i="5"/>
  <c r="AA116" i="2"/>
  <c r="AA17" i="2"/>
  <c r="AC17" i="2" s="1"/>
  <c r="AA174" i="2"/>
  <c r="AA228" i="5"/>
  <c r="AB162" i="5"/>
  <c r="AA99" i="2"/>
  <c r="AC99" i="2" s="1"/>
  <c r="AB154" i="2"/>
  <c r="AB196" i="5"/>
  <c r="AB6" i="5"/>
  <c r="AB4" i="5"/>
  <c r="AA86" i="2"/>
  <c r="AB265" i="5"/>
  <c r="AB137" i="2"/>
  <c r="AB54" i="2"/>
  <c r="AA265" i="2"/>
  <c r="AB19" i="2"/>
  <c r="AA190" i="2"/>
  <c r="AB91" i="2"/>
  <c r="AB86" i="2"/>
  <c r="AB238" i="2"/>
  <c r="AA236" i="5"/>
  <c r="AC236" i="5" s="1"/>
  <c r="AA295" i="2"/>
  <c r="AA183" i="5"/>
  <c r="AB138" i="5"/>
  <c r="AB89" i="2"/>
  <c r="AA83" i="2"/>
  <c r="AA268" i="2"/>
  <c r="AB55" i="5"/>
  <c r="AA151" i="2"/>
  <c r="AA38" i="2"/>
  <c r="AB177" i="2"/>
  <c r="AA168" i="2"/>
  <c r="AA155" i="5"/>
  <c r="AA112" i="2"/>
  <c r="AA79" i="5"/>
  <c r="AA43" i="2"/>
  <c r="AA58" i="2"/>
  <c r="AC58" i="2" s="1"/>
  <c r="AA123" i="5"/>
  <c r="AB288" i="2"/>
  <c r="AA157" i="2"/>
  <c r="AC157" i="2" s="1"/>
  <c r="AA2" i="5"/>
  <c r="AB52" i="5"/>
  <c r="AA30" i="2"/>
  <c r="AA62" i="5"/>
  <c r="AB289" i="2"/>
  <c r="AB57" i="2"/>
  <c r="AA287" i="5"/>
  <c r="AB58" i="5"/>
  <c r="AB120" i="2"/>
  <c r="AA220" i="5"/>
  <c r="AB164" i="5"/>
  <c r="AA45" i="5"/>
  <c r="AB27" i="5"/>
  <c r="AB156" i="2"/>
  <c r="AA163" i="2"/>
  <c r="AA237" i="2"/>
  <c r="AA212" i="5"/>
  <c r="AB179" i="2"/>
  <c r="AB123" i="5"/>
  <c r="AA160" i="5"/>
  <c r="AA56" i="5"/>
  <c r="AA104" i="2"/>
  <c r="AA97" i="5"/>
  <c r="AB49" i="2"/>
  <c r="AA67" i="2"/>
  <c r="AA290" i="2"/>
  <c r="AB23" i="5"/>
  <c r="AA147" i="2"/>
  <c r="AA242" i="5"/>
  <c r="AA293" i="2"/>
  <c r="AB218" i="5"/>
  <c r="AB259" i="5"/>
  <c r="AA238" i="5"/>
  <c r="AB106" i="2"/>
  <c r="AA233" i="5"/>
  <c r="AB265" i="2"/>
  <c r="AB276" i="5"/>
  <c r="AA297" i="5"/>
  <c r="AA6" i="5"/>
  <c r="AA249" i="5"/>
  <c r="AB186" i="5"/>
  <c r="AA227" i="2"/>
  <c r="AA133" i="2"/>
  <c r="AB3" i="2"/>
  <c r="AA273" i="2"/>
  <c r="AB59" i="5"/>
  <c r="AA274" i="2"/>
  <c r="AA139" i="5"/>
  <c r="AA225" i="2"/>
  <c r="AB106" i="5"/>
  <c r="AA272" i="2"/>
  <c r="AA125" i="2"/>
  <c r="AB133" i="5"/>
  <c r="AA298" i="5"/>
  <c r="AA27" i="5"/>
  <c r="AC27" i="5" s="1"/>
  <c r="AA20" i="2"/>
  <c r="AA217" i="5"/>
  <c r="AB293" i="2"/>
  <c r="AA238" i="2"/>
  <c r="AA14" i="2"/>
  <c r="AB158" i="5"/>
  <c r="AA54" i="5"/>
  <c r="AC54" i="5" s="1"/>
  <c r="AB256" i="2"/>
  <c r="AB46" i="5"/>
  <c r="AB205" i="2"/>
  <c r="AA248" i="2"/>
  <c r="AB284" i="5"/>
  <c r="AB61" i="2"/>
  <c r="AA218" i="2"/>
  <c r="AB283" i="5"/>
  <c r="AB267" i="5"/>
  <c r="AB290" i="5"/>
  <c r="AB235" i="2"/>
  <c r="AB201" i="2"/>
  <c r="AB134" i="5"/>
  <c r="AB264" i="2"/>
  <c r="AB41" i="5"/>
  <c r="AB173" i="5"/>
  <c r="AA63" i="5"/>
  <c r="AB291" i="5"/>
  <c r="AA153" i="2"/>
  <c r="AA240" i="5"/>
  <c r="AA40" i="2"/>
  <c r="AB277" i="5"/>
  <c r="AA57" i="2"/>
  <c r="AA26" i="2"/>
  <c r="AB88" i="2"/>
  <c r="AA215" i="2"/>
  <c r="AC215" i="2" s="1"/>
  <c r="AA275" i="5"/>
  <c r="AB187" i="2"/>
  <c r="AA267" i="5"/>
  <c r="AB10" i="5"/>
  <c r="AA69" i="2"/>
  <c r="AB183" i="2"/>
  <c r="AB211" i="2"/>
  <c r="AA213" i="5"/>
  <c r="AA172" i="2"/>
  <c r="AC172" i="2" s="1"/>
  <c r="AB105" i="5"/>
  <c r="AB29" i="5"/>
  <c r="AB148" i="2"/>
  <c r="AA293" i="5"/>
  <c r="AA74" i="2"/>
  <c r="AB145" i="2"/>
  <c r="AB180" i="5"/>
  <c r="AA174" i="5"/>
  <c r="AB141" i="5"/>
  <c r="AA81" i="2"/>
  <c r="AB150" i="2"/>
  <c r="AA254" i="2"/>
  <c r="AA199" i="5"/>
  <c r="AA125" i="5"/>
  <c r="AA260" i="5"/>
  <c r="AB210" i="2"/>
  <c r="AA165" i="5"/>
  <c r="AA182" i="2"/>
  <c r="AA93" i="2"/>
  <c r="AA39" i="5"/>
  <c r="AA279" i="5"/>
  <c r="AB258" i="5"/>
  <c r="AB270" i="2"/>
  <c r="AA54" i="2"/>
  <c r="AB180" i="2"/>
  <c r="AB112" i="5"/>
  <c r="AA245" i="2"/>
  <c r="AA225" i="5"/>
  <c r="AB88" i="5"/>
  <c r="AB140" i="5"/>
  <c r="AA222" i="5"/>
  <c r="AA83" i="5"/>
  <c r="AA177" i="5"/>
  <c r="AA47" i="5"/>
  <c r="AA12" i="2"/>
  <c r="AB198" i="2"/>
  <c r="AB210" i="5"/>
  <c r="AB4" i="2"/>
  <c r="AB209" i="2"/>
  <c r="AB135" i="5"/>
  <c r="AB26" i="2"/>
  <c r="AA152" i="5"/>
  <c r="AA25" i="2"/>
  <c r="AB111" i="5"/>
  <c r="AA78" i="2"/>
  <c r="AC78" i="2" s="1"/>
  <c r="AB116" i="2"/>
  <c r="AA2" i="2"/>
  <c r="AB96" i="5"/>
  <c r="AB34" i="2"/>
  <c r="AA202" i="2"/>
  <c r="AA16" i="5"/>
  <c r="AC16" i="5" s="1"/>
  <c r="AB250" i="5"/>
  <c r="AB121" i="2"/>
  <c r="AA300" i="5"/>
  <c r="AA58" i="5"/>
  <c r="AC58" i="5" s="1"/>
  <c r="AA223" i="2"/>
  <c r="AA81" i="5"/>
  <c r="AC81" i="5" s="1"/>
  <c r="AA155" i="2"/>
  <c r="AA209" i="2"/>
  <c r="AA209" i="5"/>
  <c r="AB185" i="5"/>
  <c r="AA122" i="2"/>
  <c r="AC122" i="2" s="1"/>
  <c r="AA196" i="5"/>
  <c r="AC196" i="5" s="1"/>
  <c r="AB245" i="5"/>
  <c r="AB222" i="2"/>
  <c r="AB24" i="5"/>
  <c r="AA91" i="2"/>
  <c r="AB297" i="5"/>
  <c r="AA196" i="2"/>
  <c r="AB136" i="2"/>
  <c r="AB241" i="2"/>
  <c r="AA195" i="5"/>
  <c r="AA178" i="5"/>
  <c r="AB170" i="5"/>
  <c r="AA224" i="5"/>
  <c r="AB212" i="5"/>
  <c r="AA258" i="5"/>
  <c r="AA41" i="5"/>
  <c r="AC41" i="5" s="1"/>
  <c r="AB110" i="2"/>
  <c r="AB182" i="2"/>
  <c r="AA287" i="2"/>
  <c r="AA262" i="2"/>
  <c r="AA234" i="2"/>
  <c r="AB218" i="2"/>
  <c r="AA105" i="2"/>
  <c r="AC105" i="2" s="1"/>
  <c r="AB175" i="2"/>
  <c r="AB3" i="5"/>
  <c r="AB248" i="5"/>
  <c r="AB115" i="5"/>
  <c r="AA63" i="2"/>
  <c r="AB161" i="5"/>
  <c r="AA77" i="2"/>
  <c r="AB226" i="2"/>
  <c r="AB224" i="5"/>
  <c r="AA168" i="5"/>
  <c r="AC168" i="5" s="1"/>
  <c r="AB195" i="2"/>
  <c r="AA143" i="2"/>
  <c r="AB80" i="2"/>
  <c r="AB94" i="5"/>
  <c r="AB61" i="5"/>
  <c r="AA175" i="2"/>
  <c r="AA266" i="2"/>
  <c r="AB271" i="2"/>
  <c r="AB78" i="5"/>
  <c r="AA3" i="5"/>
  <c r="AB107" i="2"/>
  <c r="AA282" i="2"/>
  <c r="AB90" i="2"/>
  <c r="AA11" i="5"/>
  <c r="AB184" i="5"/>
  <c r="AA128" i="2"/>
  <c r="AA190" i="5"/>
  <c r="AB6" i="2"/>
  <c r="AA289" i="5"/>
  <c r="AB155" i="5"/>
  <c r="AA192" i="2"/>
  <c r="AC192" i="2" s="1"/>
  <c r="AA256" i="2"/>
  <c r="AA144" i="5"/>
  <c r="AB72" i="5"/>
  <c r="AA44" i="5"/>
  <c r="AB202" i="5"/>
  <c r="AB271" i="5"/>
  <c r="AB76" i="5"/>
  <c r="AB28" i="5"/>
  <c r="AB125" i="2"/>
  <c r="AA112" i="5"/>
  <c r="AA70" i="2"/>
  <c r="AA259" i="2"/>
  <c r="AB167" i="2"/>
  <c r="AB59" i="2"/>
  <c r="AB190" i="2"/>
  <c r="AA110" i="2"/>
  <c r="AA96" i="2"/>
  <c r="AA82" i="5"/>
  <c r="AB285" i="5"/>
  <c r="AA92" i="5"/>
  <c r="AA88" i="5"/>
  <c r="AA188" i="2"/>
  <c r="AB124" i="2"/>
  <c r="AA189" i="2"/>
  <c r="AC189" i="2" s="1"/>
  <c r="AB77" i="5"/>
  <c r="AB197" i="2"/>
  <c r="AB60" i="5"/>
  <c r="AA42" i="2"/>
  <c r="AB9" i="2"/>
  <c r="AB182" i="5"/>
  <c r="AA40" i="5"/>
  <c r="AB225" i="2"/>
  <c r="AB128" i="5"/>
  <c r="AA252" i="2"/>
  <c r="AA273" i="5"/>
  <c r="AC273" i="5" s="1"/>
  <c r="AB291" i="2"/>
  <c r="AA7" i="2"/>
  <c r="AA284" i="2"/>
  <c r="AB136" i="5"/>
  <c r="AB269" i="5"/>
  <c r="AA218" i="5"/>
  <c r="AB113" i="5"/>
  <c r="AA53" i="5"/>
  <c r="AB12" i="5"/>
  <c r="AA210" i="5"/>
  <c r="AB143" i="5"/>
  <c r="AA64" i="5"/>
  <c r="AB166" i="5"/>
  <c r="AA167" i="5"/>
  <c r="AB234" i="5"/>
  <c r="AB31" i="2"/>
  <c r="AB39" i="5"/>
  <c r="AB147" i="2"/>
  <c r="AB279" i="5"/>
  <c r="AA13" i="2"/>
  <c r="AB221" i="2"/>
  <c r="AB68" i="2"/>
  <c r="AA111" i="2"/>
  <c r="AA80" i="2"/>
  <c r="AA276" i="5"/>
  <c r="AA105" i="5"/>
  <c r="AC105" i="5" s="1"/>
  <c r="AA261" i="5"/>
  <c r="AB275" i="2"/>
  <c r="AB31" i="5"/>
  <c r="AB110" i="5"/>
  <c r="AA98" i="5"/>
  <c r="AC98" i="5" s="1"/>
  <c r="AA126" i="2"/>
  <c r="AC126" i="2" s="1"/>
  <c r="AB282" i="5"/>
  <c r="AB258" i="2"/>
  <c r="AA103" i="5"/>
  <c r="AB21" i="2"/>
  <c r="AB63" i="2"/>
  <c r="AB42" i="5"/>
  <c r="AA290" i="5"/>
  <c r="AB128" i="2"/>
  <c r="AB33" i="5"/>
  <c r="AB150" i="5"/>
  <c r="AA101" i="5"/>
  <c r="AB227" i="2"/>
  <c r="AB65" i="2"/>
  <c r="AA134" i="5"/>
  <c r="AB77" i="2"/>
  <c r="AB67" i="5"/>
  <c r="AA8" i="2"/>
  <c r="AA87" i="2"/>
  <c r="AA18" i="2"/>
  <c r="AA159" i="2"/>
  <c r="AB76" i="2"/>
  <c r="AA294" i="5"/>
  <c r="AB34" i="5"/>
  <c r="AA212" i="2"/>
  <c r="AC212" i="2" s="1"/>
  <c r="AA234" i="5"/>
  <c r="AB2" i="5"/>
  <c r="AA252" i="5"/>
  <c r="AA158" i="2"/>
  <c r="AA16" i="2"/>
  <c r="AB237" i="5"/>
  <c r="AA76" i="5"/>
  <c r="AA162" i="5"/>
  <c r="AA137" i="2"/>
  <c r="AA140" i="5"/>
  <c r="AB266" i="5"/>
  <c r="AB69" i="2"/>
  <c r="AA84" i="5"/>
  <c r="AC84" i="5" s="1"/>
  <c r="AA259" i="5"/>
  <c r="AA146" i="5"/>
  <c r="AC146" i="5" s="1"/>
  <c r="AB85" i="2"/>
  <c r="AB71" i="5"/>
  <c r="AB266" i="2"/>
  <c r="AA164" i="5"/>
  <c r="AC164" i="5" s="1"/>
  <c r="AB70" i="5"/>
  <c r="AA178" i="2"/>
  <c r="AA52" i="2"/>
  <c r="AC52" i="2" s="1"/>
  <c r="AA76" i="2"/>
  <c r="AC76" i="2" s="1"/>
  <c r="AA239" i="5"/>
  <c r="AA246" i="5"/>
  <c r="AB18" i="5"/>
  <c r="AB204" i="5"/>
  <c r="AA232" i="5"/>
  <c r="AA49" i="5"/>
  <c r="AC49" i="5" s="1"/>
  <c r="AA46" i="5"/>
  <c r="AB181" i="5"/>
  <c r="AA276" i="2"/>
  <c r="AB264" i="5"/>
  <c r="AA278" i="5"/>
  <c r="AA120" i="5"/>
  <c r="AB286" i="5"/>
  <c r="AB64" i="5"/>
  <c r="AA161" i="2"/>
  <c r="AB252" i="2"/>
  <c r="AA45" i="2"/>
  <c r="AA248" i="5"/>
  <c r="AC248" i="5" s="1"/>
  <c r="AA228" i="2"/>
  <c r="AA250" i="5"/>
  <c r="AA38" i="5"/>
  <c r="AA7" i="5"/>
  <c r="AA9" i="5"/>
  <c r="AA32" i="5"/>
  <c r="AA176" i="2"/>
  <c r="AB131" i="5"/>
  <c r="AA34" i="2"/>
  <c r="AC34" i="2" s="1"/>
  <c r="AA71" i="5"/>
  <c r="AA172" i="5"/>
  <c r="AA197" i="2"/>
  <c r="AA227" i="5"/>
  <c r="AC227" i="5" s="1"/>
  <c r="AA85" i="5"/>
  <c r="AB176" i="5"/>
  <c r="AB274" i="2"/>
  <c r="AB139" i="2"/>
  <c r="AA184" i="5"/>
  <c r="AB121" i="5"/>
  <c r="AB219" i="5"/>
  <c r="AB93" i="2"/>
  <c r="AA205" i="2"/>
  <c r="AA187" i="5"/>
  <c r="AC187" i="5" s="1"/>
  <c r="AA62" i="2"/>
  <c r="AA299" i="2"/>
  <c r="AC299" i="2" s="1"/>
  <c r="AA86" i="5"/>
  <c r="AA14" i="5"/>
  <c r="AA250" i="2"/>
  <c r="AB286" i="2"/>
  <c r="AB144" i="2"/>
  <c r="AA61" i="5"/>
  <c r="AB15" i="2"/>
  <c r="AA9" i="2"/>
  <c r="AC9" i="2" s="1"/>
  <c r="AA147" i="5"/>
  <c r="AB109" i="2"/>
  <c r="AA197" i="5"/>
  <c r="AA201" i="2"/>
  <c r="AA188" i="5"/>
  <c r="AC188" i="5" s="1"/>
  <c r="AB295" i="2"/>
  <c r="AB13" i="2"/>
  <c r="AA131" i="5"/>
  <c r="AA258" i="2"/>
  <c r="AA6" i="2"/>
  <c r="AB201" i="5"/>
  <c r="AB239" i="2"/>
  <c r="AA115" i="2"/>
  <c r="G44" i="1"/>
  <c r="H44" i="1"/>
  <c r="I44" i="1"/>
  <c r="J44" i="1"/>
  <c r="K44" i="1"/>
  <c r="L44" i="1"/>
  <c r="M44" i="1"/>
  <c r="N44" i="1"/>
  <c r="O44" i="1"/>
  <c r="P44" i="1"/>
  <c r="Q44" i="1"/>
  <c r="R44" i="1"/>
  <c r="S44" i="1"/>
  <c r="T44" i="1"/>
  <c r="U44" i="1"/>
  <c r="V44" i="1"/>
  <c r="W44" i="1"/>
  <c r="X44" i="1"/>
  <c r="Y44" i="1"/>
  <c r="Z44" i="1"/>
  <c r="B45" i="1"/>
  <c r="AC258" i="2" l="1"/>
  <c r="AC120" i="5"/>
  <c r="AC252" i="5"/>
  <c r="AC284" i="2"/>
  <c r="AC202" i="2"/>
  <c r="AC152" i="5"/>
  <c r="AC81" i="2"/>
  <c r="AC79" i="5"/>
  <c r="AC254" i="5"/>
  <c r="AC135" i="2"/>
  <c r="AC190" i="5"/>
  <c r="AC275" i="5"/>
  <c r="AC113" i="2"/>
  <c r="AC265" i="2"/>
  <c r="AC76" i="5"/>
  <c r="AC298" i="5"/>
  <c r="AC297" i="5"/>
  <c r="AC65" i="2"/>
  <c r="AC111" i="5"/>
  <c r="AC31" i="5"/>
  <c r="AC207" i="2"/>
  <c r="AC154" i="5"/>
  <c r="AC30" i="5"/>
  <c r="AC148" i="5"/>
  <c r="AC165" i="2"/>
  <c r="AC75" i="5"/>
  <c r="AC188" i="2"/>
  <c r="AC47" i="5"/>
  <c r="AC238" i="2"/>
  <c r="AC133" i="2"/>
  <c r="AC233" i="5"/>
  <c r="AC30" i="2"/>
  <c r="AC177" i="5"/>
  <c r="AC220" i="5"/>
  <c r="AC127" i="2"/>
  <c r="AC263" i="2"/>
  <c r="AC137" i="2"/>
  <c r="AC234" i="5"/>
  <c r="AC8" i="2"/>
  <c r="AC276" i="5"/>
  <c r="AC42" i="2"/>
  <c r="AC92" i="5"/>
  <c r="AC259" i="2"/>
  <c r="AC44" i="5"/>
  <c r="AC195" i="5"/>
  <c r="AC223" i="2"/>
  <c r="AC83" i="5"/>
  <c r="AC54" i="2"/>
  <c r="AC174" i="5"/>
  <c r="AC153" i="2"/>
  <c r="AC217" i="5"/>
  <c r="AC225" i="2"/>
  <c r="AC238" i="5"/>
  <c r="AC67" i="2"/>
  <c r="AC212" i="5"/>
  <c r="AC155" i="5"/>
  <c r="AC190" i="2"/>
  <c r="AC100" i="2"/>
  <c r="AC279" i="2"/>
  <c r="AC235" i="5"/>
  <c r="AC59" i="5"/>
  <c r="AC264" i="2"/>
  <c r="AC75" i="2"/>
  <c r="AC193" i="5"/>
  <c r="AC184" i="2"/>
  <c r="AC13" i="5"/>
  <c r="AC134" i="2"/>
  <c r="AC129" i="2"/>
  <c r="AC216" i="5"/>
  <c r="AC194" i="5"/>
  <c r="AC122" i="5"/>
  <c r="AC3" i="2"/>
  <c r="AC55" i="5"/>
  <c r="AC36" i="5"/>
  <c r="AC109" i="2"/>
  <c r="AC84" i="2"/>
  <c r="AC57" i="5"/>
  <c r="AC150" i="2"/>
  <c r="AC69" i="5"/>
  <c r="AC60" i="2"/>
  <c r="AC45" i="2"/>
  <c r="AC159" i="5"/>
  <c r="AC171" i="2"/>
  <c r="AC184" i="5"/>
  <c r="AC250" i="5"/>
  <c r="AC101" i="5"/>
  <c r="AC103" i="5"/>
  <c r="AC261" i="5"/>
  <c r="AC63" i="2"/>
  <c r="AC262" i="2"/>
  <c r="AC155" i="2"/>
  <c r="AC267" i="5"/>
  <c r="AC268" i="2"/>
  <c r="AC283" i="5"/>
  <c r="AC95" i="2"/>
  <c r="AC77" i="5"/>
  <c r="AC104" i="5"/>
  <c r="AC28" i="5"/>
  <c r="AC181" i="2"/>
  <c r="AC179" i="2"/>
  <c r="AC116" i="5"/>
  <c r="AC82" i="2"/>
  <c r="AC289" i="2"/>
  <c r="AC232" i="2"/>
  <c r="AC260" i="2"/>
  <c r="AC99" i="5"/>
  <c r="AC272" i="5"/>
  <c r="AC211" i="5"/>
  <c r="AC153" i="5"/>
  <c r="AC204" i="2"/>
  <c r="AC138" i="2"/>
  <c r="AC94" i="5"/>
  <c r="AC151" i="5"/>
  <c r="AC261" i="2"/>
  <c r="AC244" i="2"/>
  <c r="AC147" i="5"/>
  <c r="AC7" i="2"/>
  <c r="AC287" i="2"/>
  <c r="AC165" i="5"/>
  <c r="AC8" i="5"/>
  <c r="AC262" i="5"/>
  <c r="AC10" i="2"/>
  <c r="AC205" i="5"/>
  <c r="AC116" i="2"/>
  <c r="AC213" i="2"/>
  <c r="AC223" i="5"/>
  <c r="AC214" i="5"/>
  <c r="AC145" i="2"/>
  <c r="AC17" i="5"/>
  <c r="AC113" i="5"/>
  <c r="AC4" i="2"/>
  <c r="AC173" i="2"/>
  <c r="AC140" i="2"/>
  <c r="AC61" i="5"/>
  <c r="AC239" i="5"/>
  <c r="AC162" i="5"/>
  <c r="AC70" i="2"/>
  <c r="AC222" i="5"/>
  <c r="AC260" i="5"/>
  <c r="AC139" i="5"/>
  <c r="AC249" i="5"/>
  <c r="AC121" i="2"/>
  <c r="AC161" i="5"/>
  <c r="AC263" i="5"/>
  <c r="AC200" i="2"/>
  <c r="AC186" i="2"/>
  <c r="AC203" i="2"/>
  <c r="AC117" i="5"/>
  <c r="AC132" i="5"/>
  <c r="AC137" i="5"/>
  <c r="AC136" i="5"/>
  <c r="AC148" i="2"/>
  <c r="AC94" i="2"/>
  <c r="AC141" i="2"/>
  <c r="AC219" i="5"/>
  <c r="AC38" i="5"/>
  <c r="AC232" i="5"/>
  <c r="AC234" i="2"/>
  <c r="AC25" i="2"/>
  <c r="AC62" i="5"/>
  <c r="AC229" i="5"/>
  <c r="AC25" i="5"/>
  <c r="AC246" i="5"/>
  <c r="AC230" i="5"/>
  <c r="AC215" i="5"/>
  <c r="AC277" i="2"/>
  <c r="AC22" i="2"/>
  <c r="AC11" i="2"/>
  <c r="AC130" i="2"/>
  <c r="AC156" i="2"/>
  <c r="AC27" i="2"/>
  <c r="AC115" i="5"/>
  <c r="AC192" i="5"/>
  <c r="AC55" i="2"/>
  <c r="AC131" i="2"/>
  <c r="AC115" i="2"/>
  <c r="AC32" i="5"/>
  <c r="AC82" i="5"/>
  <c r="AC266" i="2"/>
  <c r="AC97" i="5"/>
  <c r="AC163" i="2"/>
  <c r="AC183" i="5"/>
  <c r="AC100" i="5"/>
  <c r="AC124" i="2"/>
  <c r="AC265" i="5"/>
  <c r="AC277" i="5"/>
  <c r="AC79" i="2"/>
  <c r="AC296" i="5"/>
  <c r="AC89" i="5"/>
  <c r="AC164" i="2"/>
  <c r="AC286" i="5"/>
  <c r="AC216" i="2"/>
  <c r="AC128" i="5"/>
  <c r="AC145" i="5"/>
  <c r="AC166" i="5"/>
  <c r="AC236" i="2"/>
  <c r="AC257" i="5"/>
  <c r="AC110" i="5"/>
  <c r="AC241" i="5"/>
  <c r="AC171" i="5"/>
  <c r="AC103" i="2"/>
  <c r="AC5" i="5"/>
  <c r="AC119" i="5"/>
  <c r="AC132" i="2"/>
  <c r="AC124" i="5"/>
  <c r="AC229" i="2"/>
  <c r="AC158" i="5"/>
  <c r="AC62" i="2"/>
  <c r="AC300" i="2"/>
  <c r="AD300" i="2" s="1"/>
  <c r="AC179" i="5"/>
  <c r="AC53" i="5"/>
  <c r="AC213" i="5"/>
  <c r="AC168" i="2"/>
  <c r="AC247" i="2"/>
  <c r="AC201" i="2"/>
  <c r="AC26" i="2"/>
  <c r="AC293" i="2"/>
  <c r="AC106" i="2"/>
  <c r="AC280" i="5"/>
  <c r="AC16" i="2"/>
  <c r="AC225" i="5"/>
  <c r="AC253" i="5"/>
  <c r="AC80" i="5"/>
  <c r="AC2" i="5"/>
  <c r="AC255" i="5"/>
  <c r="AC167" i="2"/>
  <c r="AC74" i="5"/>
  <c r="AC207" i="5"/>
  <c r="AC80" i="2"/>
  <c r="AC117" i="2"/>
  <c r="AC191" i="5"/>
  <c r="AC141" i="5"/>
  <c r="AC202" i="5"/>
  <c r="AC150" i="5"/>
  <c r="AC126" i="5"/>
  <c r="AC6" i="2"/>
  <c r="AC14" i="5"/>
  <c r="AC159" i="2"/>
  <c r="AC64" i="5"/>
  <c r="AC40" i="5"/>
  <c r="AC91" i="2"/>
  <c r="AC12" i="2"/>
  <c r="AC45" i="5"/>
  <c r="AC72" i="2"/>
  <c r="AC251" i="5"/>
  <c r="AC86" i="5"/>
  <c r="AC71" i="5"/>
  <c r="AC18" i="2"/>
  <c r="AC289" i="5"/>
  <c r="AC182" i="2"/>
  <c r="AC40" i="2"/>
  <c r="AC272" i="2"/>
  <c r="AC86" i="2"/>
  <c r="AC174" i="2"/>
  <c r="AC297" i="2"/>
  <c r="AC19" i="2"/>
  <c r="AC257" i="2"/>
  <c r="AC97" i="2"/>
  <c r="AC271" i="5"/>
  <c r="AC266" i="5"/>
  <c r="AC130" i="5"/>
  <c r="AC78" i="5"/>
  <c r="AC33" i="5"/>
  <c r="AC247" i="5"/>
  <c r="AC170" i="2"/>
  <c r="AC269" i="2"/>
  <c r="AC283" i="2"/>
  <c r="AC136" i="2"/>
  <c r="AC91" i="5"/>
  <c r="AC194" i="2"/>
  <c r="AC200" i="5"/>
  <c r="AC239" i="2"/>
  <c r="AC131" i="5"/>
  <c r="AC228" i="2"/>
  <c r="AC278" i="5"/>
  <c r="AC140" i="5"/>
  <c r="AC87" i="2"/>
  <c r="AC210" i="5"/>
  <c r="AC88" i="5"/>
  <c r="AC3" i="5"/>
  <c r="AC143" i="2"/>
  <c r="AC178" i="5"/>
  <c r="AC240" i="5"/>
  <c r="AC248" i="2"/>
  <c r="AC227" i="2"/>
  <c r="AC290" i="2"/>
  <c r="AC112" i="2"/>
  <c r="AC83" i="2"/>
  <c r="AC144" i="2"/>
  <c r="AC29" i="2"/>
  <c r="AC268" i="5"/>
  <c r="AC226" i="2"/>
  <c r="AC156" i="5"/>
  <c r="AC291" i="2"/>
  <c r="AC26" i="5"/>
  <c r="AC198" i="2"/>
  <c r="AC127" i="5"/>
  <c r="AC275" i="2"/>
  <c r="AC51" i="5"/>
  <c r="AC139" i="2"/>
  <c r="AC152" i="2"/>
  <c r="AC138" i="5"/>
  <c r="AC163" i="5"/>
  <c r="AC233" i="2"/>
  <c r="AC42" i="5"/>
  <c r="AC90" i="5"/>
  <c r="AC282" i="5"/>
  <c r="AC280" i="2"/>
  <c r="AC146" i="2"/>
  <c r="AC264" i="5"/>
  <c r="AC65" i="5"/>
  <c r="AC173" i="5"/>
  <c r="AC203" i="5"/>
  <c r="AC292" i="5"/>
  <c r="AC61" i="2"/>
  <c r="AC249" i="2"/>
  <c r="AC133" i="5"/>
  <c r="AC177" i="2"/>
  <c r="AC114" i="2"/>
  <c r="AC23" i="2"/>
  <c r="AC142" i="2"/>
  <c r="AC107" i="5"/>
  <c r="AC256" i="5"/>
  <c r="AC33" i="2"/>
  <c r="AC187" i="2"/>
  <c r="AC121" i="5"/>
  <c r="AC4" i="5"/>
  <c r="AC12" i="5"/>
  <c r="AC276" i="2"/>
  <c r="AC24" i="2"/>
  <c r="AC73" i="2"/>
  <c r="AC107" i="2"/>
  <c r="AC101" i="2"/>
  <c r="AC217" i="2"/>
  <c r="AC93" i="5"/>
  <c r="AC205" i="2"/>
  <c r="AC290" i="5"/>
  <c r="AC111" i="2"/>
  <c r="AC112" i="5"/>
  <c r="AC125" i="5"/>
  <c r="AC63" i="5"/>
  <c r="AC6" i="5"/>
  <c r="AC287" i="5"/>
  <c r="AC204" i="5"/>
  <c r="AC181" i="5"/>
  <c r="AC226" i="5"/>
  <c r="AC186" i="5"/>
  <c r="AC180" i="5"/>
  <c r="AC35" i="5"/>
  <c r="AC221" i="5"/>
  <c r="AC15" i="2"/>
  <c r="AC88" i="2"/>
  <c r="AC162" i="2"/>
  <c r="AC154" i="2"/>
  <c r="AC35" i="2"/>
  <c r="AC211" i="2"/>
  <c r="AC161" i="2"/>
  <c r="AC134" i="5"/>
  <c r="AC218" i="5"/>
  <c r="AC96" i="2"/>
  <c r="AC256" i="2"/>
  <c r="AC175" i="2"/>
  <c r="AC258" i="5"/>
  <c r="AC199" i="5"/>
  <c r="AC104" i="2"/>
  <c r="AC38" i="2"/>
  <c r="AC149" i="2"/>
  <c r="AC291" i="5"/>
  <c r="AC15" i="5"/>
  <c r="AC191" i="2"/>
  <c r="AC298" i="2"/>
  <c r="AC285" i="5"/>
  <c r="AC68" i="2"/>
  <c r="AC135" i="5"/>
  <c r="AC48" i="5"/>
  <c r="AC281" i="2"/>
  <c r="AC251" i="2"/>
  <c r="AC66" i="2"/>
  <c r="AC46" i="2"/>
  <c r="AC60" i="5"/>
  <c r="AC246" i="2"/>
  <c r="AC284" i="5"/>
  <c r="AC197" i="5"/>
  <c r="AC250" i="2"/>
  <c r="AC197" i="2"/>
  <c r="AC7" i="5"/>
  <c r="AC178" i="2"/>
  <c r="AC110" i="2"/>
  <c r="AC77" i="2"/>
  <c r="AC209" i="5"/>
  <c r="AC39" i="5"/>
  <c r="AC254" i="2"/>
  <c r="AC293" i="5"/>
  <c r="AC69" i="2"/>
  <c r="AC57" i="2"/>
  <c r="AC218" i="2"/>
  <c r="AC273" i="2"/>
  <c r="AC242" i="5"/>
  <c r="AC56" i="5"/>
  <c r="AC151" i="2"/>
  <c r="AC24" i="5"/>
  <c r="AC288" i="5"/>
  <c r="AC274" i="5"/>
  <c r="AC231" i="5"/>
  <c r="AC185" i="5"/>
  <c r="AC270" i="5"/>
  <c r="AC245" i="5"/>
  <c r="AC175" i="5"/>
  <c r="AC281" i="5"/>
  <c r="AC23" i="5"/>
  <c r="AC208" i="5"/>
  <c r="AC143" i="5"/>
  <c r="AC28" i="2"/>
  <c r="AC221" i="2"/>
  <c r="AC199" i="2"/>
  <c r="AC19" i="5"/>
  <c r="AC34" i="5"/>
  <c r="AC108" i="2"/>
  <c r="AC87" i="5"/>
  <c r="AC214" i="2"/>
  <c r="AC244" i="5"/>
  <c r="AC96" i="5"/>
  <c r="AC189" i="5"/>
  <c r="AC22" i="5"/>
  <c r="AC47" i="2"/>
  <c r="AC90" i="2"/>
  <c r="AC21" i="2"/>
  <c r="AC18" i="5"/>
  <c r="AC73" i="5"/>
  <c r="AC64" i="2"/>
  <c r="AC230" i="2"/>
  <c r="AC5" i="2"/>
  <c r="AC160" i="2"/>
  <c r="AC267" i="2"/>
  <c r="AC219" i="2"/>
  <c r="AC166" i="2"/>
  <c r="AC37" i="2"/>
  <c r="AC32" i="2"/>
  <c r="AC176" i="2"/>
  <c r="AC128" i="2"/>
  <c r="AC2" i="2"/>
  <c r="AC20" i="2"/>
  <c r="AC237" i="2"/>
  <c r="AC72" i="5"/>
  <c r="AC185" i="2"/>
  <c r="AC210" i="2"/>
  <c r="AC51" i="2"/>
  <c r="AC85" i="5"/>
  <c r="AC252" i="2"/>
  <c r="AC144" i="5"/>
  <c r="AC300" i="5"/>
  <c r="AD300" i="5" s="1"/>
  <c r="AC274" i="2"/>
  <c r="AC21" i="5"/>
  <c r="AC169" i="5"/>
  <c r="AC49" i="2"/>
  <c r="AC242" i="2"/>
  <c r="AC50" i="2"/>
  <c r="AC195" i="2"/>
  <c r="AC118" i="2"/>
  <c r="AC182" i="5"/>
  <c r="AC240" i="2"/>
  <c r="AC9" i="5"/>
  <c r="AC46" i="5"/>
  <c r="AC259" i="5"/>
  <c r="AC294" i="5"/>
  <c r="AC167" i="5"/>
  <c r="AC11" i="5"/>
  <c r="AC196" i="2"/>
  <c r="AC279" i="5"/>
  <c r="AC74" i="2"/>
  <c r="AC123" i="5"/>
  <c r="AC295" i="2"/>
  <c r="AC288" i="2"/>
  <c r="AC71" i="2"/>
  <c r="AC68" i="5"/>
  <c r="AC56" i="2"/>
  <c r="AC294" i="2"/>
  <c r="AC299" i="5"/>
  <c r="AC98" i="2"/>
  <c r="AC59" i="2"/>
  <c r="AC241" i="2"/>
  <c r="AC172" i="5"/>
  <c r="AC158" i="2"/>
  <c r="AC13" i="2"/>
  <c r="AC282" i="2"/>
  <c r="AC224" i="5"/>
  <c r="AC209" i="2"/>
  <c r="AC245" i="2"/>
  <c r="AC93" i="2"/>
  <c r="AC14" i="2"/>
  <c r="AC125" i="2"/>
  <c r="AC147" i="2"/>
  <c r="AC160" i="5"/>
  <c r="AC43" i="2"/>
  <c r="AC228" i="5"/>
  <c r="AC123" i="2"/>
  <c r="AC109" i="5"/>
  <c r="AC114" i="5"/>
  <c r="AC29" i="5"/>
  <c r="AC157" i="5"/>
  <c r="AC176" i="5"/>
  <c r="AC89" i="2"/>
  <c r="AC36" i="2"/>
  <c r="AC278" i="2"/>
  <c r="AC235" i="2"/>
  <c r="AC295" i="5"/>
  <c r="AC269" i="5"/>
  <c r="AC10" i="5"/>
  <c r="AC50" i="5"/>
  <c r="AC180" i="2"/>
  <c r="AC67" i="5"/>
  <c r="AC286" i="2"/>
  <c r="AC70" i="5"/>
  <c r="AC85" i="2"/>
  <c r="AC108" i="5"/>
  <c r="AC193" i="2"/>
  <c r="AC271" i="2"/>
  <c r="AC237" i="5"/>
  <c r="AC170" i="5"/>
  <c r="AC119" i="2"/>
  <c r="AC120" i="2"/>
  <c r="AC224" i="2"/>
  <c r="AC169" i="2"/>
  <c r="AC106" i="5"/>
  <c r="AC41" i="2"/>
  <c r="AC52" i="5"/>
  <c r="AC222" i="2"/>
  <c r="AC118" i="5"/>
  <c r="AC183" i="2"/>
  <c r="AC270" i="2"/>
  <c r="AC206" i="5"/>
  <c r="AC39" i="2"/>
  <c r="AC206" i="2"/>
  <c r="AC48" i="2"/>
  <c r="AC201" i="5"/>
  <c r="AC31" i="2"/>
  <c r="AC44" i="2"/>
  <c r="AC129" i="5"/>
  <c r="AC149" i="5"/>
  <c r="AC220" i="2"/>
  <c r="G45" i="1"/>
  <c r="H45" i="1"/>
  <c r="I45" i="1"/>
  <c r="J45" i="1"/>
  <c r="K45" i="1"/>
  <c r="L45" i="1"/>
  <c r="M45" i="1"/>
  <c r="N45" i="1"/>
  <c r="O45" i="1"/>
  <c r="P45" i="1"/>
  <c r="Q45" i="1"/>
  <c r="R45" i="1"/>
  <c r="S45" i="1"/>
  <c r="T45" i="1"/>
  <c r="U45" i="1"/>
  <c r="V45" i="1"/>
  <c r="W45" i="1"/>
  <c r="X45" i="1"/>
  <c r="Y45" i="1"/>
  <c r="Z45" i="1"/>
  <c r="B46" i="1"/>
  <c r="AD54" i="2" l="1"/>
  <c r="AD165" i="2"/>
  <c r="AD8" i="2"/>
  <c r="AD296" i="2"/>
  <c r="AD69" i="5"/>
  <c r="AD119" i="5"/>
  <c r="AD132" i="5"/>
  <c r="AD26" i="2"/>
  <c r="AD286" i="2"/>
  <c r="AD121" i="2"/>
  <c r="AD159" i="2"/>
  <c r="AD111" i="5"/>
  <c r="AD252" i="5"/>
  <c r="AD47" i="5"/>
  <c r="AD267" i="5"/>
  <c r="AD239" i="5"/>
  <c r="AD225" i="5"/>
  <c r="AD2" i="5"/>
  <c r="AD174" i="5"/>
  <c r="AD151" i="2"/>
  <c r="AD253" i="2"/>
  <c r="AD131" i="2"/>
  <c r="AD91" i="2"/>
  <c r="AD248" i="5"/>
  <c r="AD198" i="5"/>
  <c r="AD273" i="5"/>
  <c r="AD60" i="2"/>
  <c r="AD16" i="2"/>
  <c r="AD115" i="2"/>
  <c r="AD7" i="2"/>
  <c r="AD68" i="5"/>
  <c r="AD76" i="2"/>
  <c r="AD76" i="5"/>
  <c r="AD142" i="5"/>
  <c r="AD99" i="2"/>
  <c r="AD80" i="2"/>
  <c r="AD79" i="2"/>
  <c r="AD213" i="5"/>
  <c r="AD58" i="5"/>
  <c r="AD209" i="2"/>
  <c r="AD54" i="5"/>
  <c r="AD247" i="2"/>
  <c r="AD52" i="5"/>
  <c r="AD50" i="2"/>
  <c r="AD255" i="2"/>
  <c r="AD238" i="5"/>
  <c r="AD206" i="2"/>
  <c r="AD295" i="2"/>
  <c r="AD212" i="2"/>
  <c r="AD283" i="5"/>
  <c r="AD95" i="2"/>
  <c r="AD88" i="2"/>
  <c r="AD231" i="2"/>
  <c r="AD17" i="2"/>
  <c r="AD82" i="2"/>
  <c r="AD97" i="5"/>
  <c r="AD147" i="2"/>
  <c r="AD43" i="5"/>
  <c r="AD49" i="2"/>
  <c r="AD143" i="5"/>
  <c r="AD229" i="5"/>
  <c r="AD212" i="5"/>
  <c r="AD61" i="5"/>
  <c r="AD78" i="2"/>
  <c r="AD299" i="2"/>
  <c r="AD16" i="5"/>
  <c r="AD161" i="5"/>
  <c r="AD245" i="5"/>
  <c r="AD197" i="5"/>
  <c r="AD203" i="5"/>
  <c r="AD223" i="5"/>
  <c r="AD185" i="5"/>
  <c r="AD163" i="2"/>
  <c r="AD74" i="2"/>
  <c r="AD92" i="2"/>
  <c r="AD208" i="5"/>
  <c r="AD65" i="2"/>
  <c r="AD11" i="2"/>
  <c r="AD294" i="2"/>
  <c r="AD276" i="5"/>
  <c r="AD5" i="2"/>
  <c r="AD22" i="5"/>
  <c r="AD102" i="2"/>
  <c r="AD152" i="5"/>
  <c r="AD34" i="2"/>
  <c r="AD100" i="2"/>
  <c r="AD170" i="5"/>
  <c r="AD238" i="2"/>
  <c r="AD210" i="2"/>
  <c r="AD37" i="5"/>
  <c r="AD175" i="2"/>
  <c r="AD89" i="5"/>
  <c r="AD237" i="5"/>
  <c r="AD287" i="2"/>
  <c r="AD129" i="2"/>
  <c r="AD147" i="5"/>
  <c r="AD124" i="2"/>
  <c r="AD8" i="5"/>
  <c r="AD291" i="2"/>
  <c r="AD235" i="2"/>
  <c r="AD109" i="5"/>
  <c r="AD55" i="2"/>
  <c r="AD74" i="5"/>
  <c r="AD230" i="5"/>
  <c r="AD187" i="5"/>
  <c r="AD293" i="5"/>
  <c r="AD5" i="5"/>
  <c r="AD298" i="2"/>
  <c r="AD216" i="5"/>
  <c r="AD225" i="2"/>
  <c r="AD210" i="5"/>
  <c r="AD32" i="5"/>
  <c r="AD195" i="2"/>
  <c r="AD274" i="2"/>
  <c r="AD180" i="5"/>
  <c r="AD203" i="2"/>
  <c r="AD137" i="2"/>
  <c r="AD42" i="5"/>
  <c r="AD99" i="5"/>
  <c r="AD134" i="2"/>
  <c r="AD123" i="2"/>
  <c r="AD158" i="2"/>
  <c r="AD71" i="2"/>
  <c r="AD265" i="5"/>
  <c r="AD148" i="2"/>
  <c r="AD285" i="2"/>
  <c r="AD4" i="2"/>
  <c r="AD230" i="2"/>
  <c r="AD108" i="2"/>
  <c r="AD30" i="5"/>
  <c r="AD211" i="2"/>
  <c r="AD93" i="5"/>
  <c r="AD263" i="2"/>
  <c r="AD135" i="2"/>
  <c r="AD77" i="5"/>
  <c r="AD57" i="5"/>
  <c r="AD206" i="5"/>
  <c r="AD25" i="5"/>
  <c r="AD169" i="5"/>
  <c r="AD201" i="5"/>
  <c r="AD118" i="5"/>
  <c r="AD119" i="2"/>
  <c r="AD85" i="2"/>
  <c r="AD269" i="5"/>
  <c r="AD29" i="5"/>
  <c r="AD45" i="5"/>
  <c r="AD25" i="2"/>
  <c r="AD64" i="5"/>
  <c r="AD6" i="2"/>
  <c r="AD98" i="2"/>
  <c r="AD294" i="5"/>
  <c r="AD124" i="5"/>
  <c r="AD242" i="2"/>
  <c r="AD183" i="5"/>
  <c r="AD252" i="2"/>
  <c r="AD141" i="2"/>
  <c r="AD2" i="2"/>
  <c r="AD194" i="5"/>
  <c r="AD83" i="5"/>
  <c r="AD267" i="2"/>
  <c r="AD90" i="2"/>
  <c r="AD20" i="5"/>
  <c r="AD80" i="5"/>
  <c r="AD57" i="2"/>
  <c r="AD192" i="2"/>
  <c r="AD197" i="2"/>
  <c r="AD75" i="5"/>
  <c r="AD135" i="5"/>
  <c r="AD291" i="5"/>
  <c r="AD161" i="2"/>
  <c r="AD102" i="5"/>
  <c r="AD27" i="5"/>
  <c r="AD107" i="2"/>
  <c r="AD73" i="2"/>
  <c r="AD168" i="2"/>
  <c r="AD162" i="5"/>
  <c r="AD214" i="5"/>
  <c r="AD279" i="2"/>
  <c r="AD195" i="5"/>
  <c r="AD256" i="5"/>
  <c r="AD61" i="2"/>
  <c r="AD282" i="5"/>
  <c r="AD152" i="2"/>
  <c r="AD198" i="2"/>
  <c r="AD262" i="5"/>
  <c r="AD248" i="2"/>
  <c r="AD3" i="5"/>
  <c r="AD228" i="2"/>
  <c r="AD261" i="2"/>
  <c r="AD138" i="2"/>
  <c r="AD170" i="2"/>
  <c r="AD130" i="5"/>
  <c r="AD104" i="5"/>
  <c r="AD174" i="2"/>
  <c r="AD155" i="2"/>
  <c r="AD101" i="5"/>
  <c r="AD86" i="5"/>
  <c r="AD167" i="2"/>
  <c r="AD48" i="2"/>
  <c r="AD222" i="2"/>
  <c r="AD72" i="2"/>
  <c r="AD70" i="5"/>
  <c r="AD295" i="5"/>
  <c r="AD114" i="5"/>
  <c r="AD160" i="5"/>
  <c r="AD13" i="2"/>
  <c r="AD148" i="5"/>
  <c r="AD299" i="5"/>
  <c r="AD191" i="5"/>
  <c r="AD259" i="5"/>
  <c r="AD118" i="2"/>
  <c r="AD166" i="5"/>
  <c r="AD296" i="5"/>
  <c r="AD98" i="5"/>
  <c r="AD94" i="2"/>
  <c r="AD185" i="2"/>
  <c r="AD128" i="2"/>
  <c r="AD207" i="5"/>
  <c r="AD255" i="5"/>
  <c r="AD44" i="5"/>
  <c r="AD160" i="2"/>
  <c r="AD47" i="2"/>
  <c r="AD87" i="5"/>
  <c r="AD28" i="2"/>
  <c r="AD270" i="5"/>
  <c r="AD236" i="5"/>
  <c r="AD69" i="2"/>
  <c r="AD110" i="2"/>
  <c r="AD250" i="2"/>
  <c r="AD66" i="2"/>
  <c r="AD150" i="5"/>
  <c r="AD149" i="2"/>
  <c r="AD258" i="5"/>
  <c r="AD227" i="5"/>
  <c r="AD145" i="5"/>
  <c r="AD100" i="5"/>
  <c r="AD63" i="5"/>
  <c r="AD205" i="2"/>
  <c r="AD66" i="5"/>
  <c r="AD24" i="2"/>
  <c r="AD249" i="5"/>
  <c r="AD276" i="2"/>
  <c r="AD116" i="2"/>
  <c r="AD259" i="2"/>
  <c r="AD107" i="5"/>
  <c r="AD292" i="5"/>
  <c r="AD90" i="5"/>
  <c r="AD139" i="2"/>
  <c r="AD26" i="5"/>
  <c r="AD240" i="5"/>
  <c r="AD88" i="5"/>
  <c r="AD194" i="2"/>
  <c r="AD204" i="2"/>
  <c r="AD247" i="5"/>
  <c r="AD266" i="5"/>
  <c r="AD97" i="2"/>
  <c r="AD86" i="2"/>
  <c r="AD40" i="2"/>
  <c r="AD262" i="2"/>
  <c r="AD18" i="2"/>
  <c r="AD150" i="2"/>
  <c r="AD172" i="2"/>
  <c r="AD154" i="5"/>
  <c r="AD189" i="2"/>
  <c r="AD171" i="5"/>
  <c r="AD125" i="5"/>
  <c r="AD192" i="5"/>
  <c r="AD140" i="2"/>
  <c r="AD165" i="5"/>
  <c r="AD151" i="5"/>
  <c r="AD268" i="2"/>
  <c r="AD258" i="2"/>
  <c r="AD220" i="2"/>
  <c r="AD41" i="2"/>
  <c r="AD278" i="2"/>
  <c r="AD202" i="5"/>
  <c r="AD9" i="5"/>
  <c r="AD213" i="2"/>
  <c r="AD189" i="5"/>
  <c r="AD231" i="5"/>
  <c r="AD58" i="2"/>
  <c r="AD280" i="5"/>
  <c r="AD38" i="2"/>
  <c r="AD256" i="2"/>
  <c r="AD204" i="5"/>
  <c r="AD115" i="5"/>
  <c r="AD260" i="5"/>
  <c r="AD12" i="5"/>
  <c r="AD23" i="2"/>
  <c r="AD10" i="2"/>
  <c r="AD83" i="2"/>
  <c r="AD9" i="2"/>
  <c r="AD33" i="5"/>
  <c r="AD79" i="5"/>
  <c r="AD289" i="5"/>
  <c r="AD164" i="5"/>
  <c r="AD190" i="5"/>
  <c r="AD149" i="5"/>
  <c r="AD95" i="5"/>
  <c r="AD14" i="2"/>
  <c r="AD232" i="5"/>
  <c r="AD196" i="2"/>
  <c r="AD103" i="2"/>
  <c r="AD85" i="5"/>
  <c r="AD277" i="2"/>
  <c r="AD62" i="2"/>
  <c r="AD23" i="5"/>
  <c r="AD56" i="5"/>
  <c r="AD84" i="5"/>
  <c r="AD251" i="2"/>
  <c r="AD104" i="2"/>
  <c r="AD35" i="2"/>
  <c r="AD186" i="5"/>
  <c r="AD112" i="5"/>
  <c r="AD222" i="5"/>
  <c r="AD113" i="5"/>
  <c r="AD217" i="5"/>
  <c r="AD114" i="2"/>
  <c r="AD275" i="2"/>
  <c r="AD112" i="2"/>
  <c r="AD105" i="5"/>
  <c r="AD91" i="5"/>
  <c r="AD260" i="2"/>
  <c r="AD116" i="5"/>
  <c r="AD182" i="2"/>
  <c r="AD120" i="5"/>
  <c r="AD36" i="5"/>
  <c r="AD129" i="5"/>
  <c r="AD169" i="2"/>
  <c r="AD180" i="2"/>
  <c r="AD93" i="2"/>
  <c r="AD229" i="2"/>
  <c r="AD286" i="5"/>
  <c r="AD266" i="2"/>
  <c r="AD188" i="5"/>
  <c r="AD117" i="5"/>
  <c r="AD113" i="2"/>
  <c r="AD37" i="2"/>
  <c r="AD96" i="5"/>
  <c r="AD281" i="5"/>
  <c r="AD242" i="5"/>
  <c r="AD246" i="2"/>
  <c r="AD281" i="2"/>
  <c r="AD297" i="5"/>
  <c r="AD218" i="5"/>
  <c r="AD221" i="5"/>
  <c r="AD287" i="5"/>
  <c r="AD263" i="5"/>
  <c r="AD75" i="2"/>
  <c r="AD121" i="5"/>
  <c r="AD264" i="5"/>
  <c r="AD268" i="5"/>
  <c r="AD220" i="5"/>
  <c r="AD87" i="2"/>
  <c r="AD136" i="2"/>
  <c r="AD232" i="2"/>
  <c r="AD179" i="2"/>
  <c r="AD233" i="5"/>
  <c r="AD284" i="2"/>
  <c r="AD250" i="5"/>
  <c r="AD70" i="2"/>
  <c r="AD3" i="2"/>
  <c r="AD44" i="2"/>
  <c r="AD251" i="5"/>
  <c r="AD224" i="2"/>
  <c r="AD193" i="2"/>
  <c r="AD50" i="5"/>
  <c r="AD176" i="5"/>
  <c r="AD43" i="2"/>
  <c r="AD245" i="2"/>
  <c r="AD282" i="2"/>
  <c r="AD172" i="5"/>
  <c r="AD126" i="5"/>
  <c r="AD123" i="5"/>
  <c r="AD11" i="5"/>
  <c r="AD240" i="2"/>
  <c r="AD110" i="5"/>
  <c r="AD243" i="2"/>
  <c r="AD243" i="5"/>
  <c r="AD144" i="5"/>
  <c r="AD156" i="2"/>
  <c r="AD72" i="5"/>
  <c r="AD20" i="2"/>
  <c r="AD55" i="5"/>
  <c r="AD166" i="2"/>
  <c r="AD18" i="5"/>
  <c r="AD244" i="5"/>
  <c r="AD199" i="2"/>
  <c r="AD288" i="5"/>
  <c r="AD273" i="2"/>
  <c r="AD209" i="5"/>
  <c r="AD49" i="5"/>
  <c r="AD60" i="5"/>
  <c r="AD191" i="2"/>
  <c r="AD298" i="5"/>
  <c r="AD134" i="5"/>
  <c r="AD132" i="2"/>
  <c r="AD257" i="5"/>
  <c r="AD181" i="5"/>
  <c r="AD290" i="5"/>
  <c r="AD217" i="2"/>
  <c r="AD137" i="5"/>
  <c r="AD215" i="5"/>
  <c r="AD53" i="5"/>
  <c r="AD109" i="2"/>
  <c r="AD264" i="2"/>
  <c r="AD187" i="2"/>
  <c r="AD133" i="5"/>
  <c r="AD146" i="2"/>
  <c r="AD163" i="5"/>
  <c r="AD127" i="2"/>
  <c r="AD29" i="2"/>
  <c r="AD290" i="2"/>
  <c r="AD140" i="5"/>
  <c r="AD200" i="5"/>
  <c r="AD283" i="2"/>
  <c r="AD289" i="2"/>
  <c r="AD181" i="2"/>
  <c r="AD133" i="2"/>
  <c r="AD261" i="5"/>
  <c r="AD71" i="5"/>
  <c r="AD145" i="2"/>
  <c r="AD234" i="5"/>
  <c r="AD46" i="5"/>
  <c r="AD184" i="2"/>
  <c r="AD92" i="5"/>
  <c r="AD31" i="5"/>
  <c r="AD158" i="5"/>
  <c r="AD142" i="2"/>
  <c r="AD51" i="5"/>
  <c r="AD153" i="5"/>
  <c r="AD257" i="2"/>
  <c r="AD63" i="2"/>
  <c r="AD173" i="2"/>
  <c r="AD39" i="2"/>
  <c r="AD67" i="5"/>
  <c r="AD125" i="2"/>
  <c r="AD241" i="2"/>
  <c r="AD279" i="5"/>
  <c r="AD157" i="2"/>
  <c r="AD254" i="2"/>
  <c r="AD68" i="2"/>
  <c r="AD128" i="5"/>
  <c r="AD122" i="2"/>
  <c r="AD159" i="5"/>
  <c r="AD173" i="5"/>
  <c r="AD156" i="5"/>
  <c r="AD177" i="5"/>
  <c r="AD94" i="5"/>
  <c r="AD271" i="5"/>
  <c r="AD81" i="2"/>
  <c r="AD193" i="5"/>
  <c r="AD106" i="5"/>
  <c r="AD36" i="2"/>
  <c r="AD224" i="5"/>
  <c r="AD207" i="2"/>
  <c r="AD288" i="2"/>
  <c r="AD201" i="2"/>
  <c r="AD216" i="2"/>
  <c r="AD41" i="5"/>
  <c r="AD136" i="5"/>
  <c r="AD237" i="2"/>
  <c r="AD84" i="2"/>
  <c r="AD190" i="2"/>
  <c r="AD64" i="2"/>
  <c r="AD34" i="5"/>
  <c r="AD274" i="5"/>
  <c r="AD39" i="5"/>
  <c r="AD284" i="5"/>
  <c r="AD285" i="5"/>
  <c r="AD96" i="2"/>
  <c r="AD15" i="2"/>
  <c r="AD265" i="2"/>
  <c r="AD219" i="5"/>
  <c r="AD186" i="2"/>
  <c r="AD13" i="5"/>
  <c r="AD4" i="5"/>
  <c r="AD65" i="5"/>
  <c r="AD205" i="5"/>
  <c r="AD226" i="2"/>
  <c r="AD81" i="5"/>
  <c r="AD131" i="5"/>
  <c r="AD211" i="5"/>
  <c r="AD19" i="2"/>
  <c r="AD30" i="2"/>
  <c r="AD188" i="2"/>
  <c r="AD168" i="5"/>
  <c r="AD42" i="2"/>
  <c r="AD270" i="2"/>
  <c r="AD271" i="2"/>
  <c r="AD89" i="2"/>
  <c r="AD228" i="5"/>
  <c r="AD234" i="2"/>
  <c r="AD38" i="5"/>
  <c r="AD106" i="2"/>
  <c r="AD56" i="2"/>
  <c r="AD105" i="2"/>
  <c r="AD241" i="5"/>
  <c r="AD292" i="2"/>
  <c r="AD27" i="2"/>
  <c r="AD139" i="5"/>
  <c r="AD176" i="2"/>
  <c r="AD67" i="2"/>
  <c r="AD73" i="5"/>
  <c r="AD19" i="5"/>
  <c r="AD253" i="5"/>
  <c r="AD178" i="2"/>
  <c r="AD154" i="2"/>
  <c r="AD226" i="5"/>
  <c r="AD111" i="2"/>
  <c r="AD171" i="2"/>
  <c r="AD196" i="5"/>
  <c r="AD53" i="2"/>
  <c r="AD153" i="2"/>
  <c r="AD177" i="2"/>
  <c r="AD233" i="2"/>
  <c r="AD208" i="2"/>
  <c r="AD178" i="5"/>
  <c r="AD239" i="2"/>
  <c r="AD272" i="5"/>
  <c r="AD59" i="5"/>
  <c r="AD31" i="2"/>
  <c r="AD183" i="2"/>
  <c r="AD120" i="2"/>
  <c r="AD108" i="5"/>
  <c r="AD10" i="5"/>
  <c r="AD157" i="5"/>
  <c r="AD62" i="5"/>
  <c r="AD12" i="2"/>
  <c r="AD40" i="5"/>
  <c r="AD14" i="5"/>
  <c r="AD59" i="2"/>
  <c r="AD141" i="5"/>
  <c r="AD293" i="2"/>
  <c r="AD167" i="5"/>
  <c r="AD182" i="5"/>
  <c r="AD236" i="2"/>
  <c r="AD164" i="2"/>
  <c r="AD21" i="5"/>
  <c r="AD82" i="5"/>
  <c r="AD51" i="2"/>
  <c r="AD130" i="2"/>
  <c r="AD200" i="2"/>
  <c r="AD215" i="2"/>
  <c r="AD32" i="2"/>
  <c r="AD122" i="5"/>
  <c r="AD275" i="5"/>
  <c r="AD219" i="2"/>
  <c r="AD21" i="2"/>
  <c r="AD214" i="2"/>
  <c r="AD221" i="2"/>
  <c r="AD175" i="5"/>
  <c r="AD24" i="5"/>
  <c r="AD218" i="2"/>
  <c r="AD77" i="2"/>
  <c r="AD7" i="5"/>
  <c r="AD46" i="2"/>
  <c r="AD48" i="5"/>
  <c r="AD15" i="5"/>
  <c r="AD199" i="5"/>
  <c r="AD52" i="2"/>
  <c r="AD162" i="2"/>
  <c r="AD35" i="5"/>
  <c r="AD277" i="5"/>
  <c r="AD6" i="5"/>
  <c r="AD146" i="5"/>
  <c r="AD101" i="2"/>
  <c r="AD22" i="2"/>
  <c r="AD117" i="2"/>
  <c r="AD126" i="2"/>
  <c r="AD17" i="5"/>
  <c r="AD235" i="5"/>
  <c r="AD223" i="2"/>
  <c r="AD33" i="2"/>
  <c r="AD249" i="2"/>
  <c r="AD280" i="2"/>
  <c r="AD138" i="5"/>
  <c r="AD127" i="5"/>
  <c r="AD144" i="2"/>
  <c r="AD227" i="2"/>
  <c r="AD143" i="2"/>
  <c r="AD278" i="5"/>
  <c r="AD244" i="2"/>
  <c r="AD269" i="2"/>
  <c r="AD254" i="5"/>
  <c r="AD78" i="5"/>
  <c r="AD28" i="5"/>
  <c r="AD297" i="2"/>
  <c r="AD272" i="2"/>
  <c r="AD202" i="2"/>
  <c r="AD103" i="5"/>
  <c r="AD184" i="5"/>
  <c r="AD45" i="2"/>
  <c r="AD179" i="5"/>
  <c r="AD155" i="5"/>
  <c r="AD246" i="5"/>
  <c r="G46" i="1"/>
  <c r="H46" i="1"/>
  <c r="I46" i="1"/>
  <c r="J46" i="1"/>
  <c r="K46" i="1"/>
  <c r="L46" i="1"/>
  <c r="M46" i="1"/>
  <c r="N46" i="1"/>
  <c r="O46" i="1"/>
  <c r="P46" i="1"/>
  <c r="Q46" i="1"/>
  <c r="R46" i="1"/>
  <c r="S46" i="1"/>
  <c r="T46" i="1"/>
  <c r="U46" i="1"/>
  <c r="V46" i="1"/>
  <c r="W46" i="1"/>
  <c r="X46" i="1"/>
  <c r="Y46" i="1"/>
  <c r="Z46" i="1"/>
  <c r="B47" i="1"/>
  <c r="G47" i="1"/>
  <c r="H47" i="1"/>
  <c r="I47" i="1"/>
  <c r="J47" i="1"/>
  <c r="K47" i="1"/>
  <c r="L47" i="1"/>
  <c r="M47" i="1"/>
  <c r="N47" i="1"/>
  <c r="O47" i="1"/>
  <c r="P47" i="1"/>
  <c r="Q47" i="1"/>
  <c r="R47" i="1"/>
  <c r="S47" i="1"/>
  <c r="T47" i="1"/>
  <c r="U47" i="1"/>
  <c r="V47" i="1"/>
  <c r="W47" i="1"/>
  <c r="X47" i="1"/>
  <c r="Y47" i="1"/>
  <c r="Z47" i="1"/>
  <c r="B48" i="1"/>
  <c r="G48" i="1"/>
  <c r="H48" i="1"/>
  <c r="I48" i="1"/>
  <c r="J48" i="1"/>
  <c r="K48" i="1"/>
  <c r="L48" i="1"/>
  <c r="M48" i="1"/>
  <c r="N48" i="1"/>
  <c r="O48" i="1"/>
  <c r="P48" i="1"/>
  <c r="Q48" i="1"/>
  <c r="R48" i="1"/>
  <c r="S48" i="1"/>
  <c r="T48" i="1"/>
  <c r="U48" i="1"/>
  <c r="V48" i="1"/>
  <c r="W48" i="1"/>
  <c r="X48" i="1"/>
  <c r="Y48" i="1"/>
  <c r="Z48" i="1"/>
  <c r="B49" i="1"/>
  <c r="G49" i="1"/>
  <c r="H49" i="1"/>
  <c r="I49" i="1"/>
  <c r="J49" i="1"/>
  <c r="K49" i="1"/>
  <c r="L49" i="1"/>
  <c r="M49" i="1"/>
  <c r="N49" i="1"/>
  <c r="O49" i="1"/>
  <c r="P49" i="1"/>
  <c r="Q49" i="1"/>
  <c r="R49" i="1"/>
  <c r="S49" i="1"/>
  <c r="T49" i="1"/>
  <c r="U49" i="1"/>
  <c r="V49" i="1"/>
  <c r="W49" i="1"/>
  <c r="X49" i="1"/>
  <c r="Y49" i="1"/>
  <c r="Z49" i="1"/>
  <c r="B50" i="1"/>
  <c r="G50" i="1"/>
  <c r="H50" i="1"/>
  <c r="I50" i="1"/>
  <c r="J50" i="1"/>
  <c r="K50" i="1"/>
  <c r="L50" i="1"/>
  <c r="M50" i="1"/>
  <c r="N50" i="1"/>
  <c r="O50" i="1"/>
  <c r="P50" i="1"/>
  <c r="Q50" i="1"/>
  <c r="R50" i="1"/>
  <c r="S50" i="1"/>
  <c r="T50" i="1"/>
  <c r="U50" i="1"/>
  <c r="V50" i="1"/>
  <c r="W50" i="1"/>
  <c r="X50" i="1"/>
  <c r="Y50" i="1"/>
  <c r="Z50" i="1"/>
  <c r="B51" i="1"/>
  <c r="G51" i="1"/>
  <c r="H51" i="1"/>
  <c r="I51" i="1"/>
  <c r="J51" i="1"/>
  <c r="K51" i="1"/>
  <c r="L51" i="1"/>
  <c r="M51" i="1"/>
  <c r="N51" i="1"/>
  <c r="O51" i="1"/>
  <c r="P51" i="1"/>
  <c r="Q51" i="1"/>
  <c r="R51" i="1"/>
  <c r="S51" i="1"/>
  <c r="T51" i="1"/>
  <c r="U51" i="1"/>
  <c r="V51" i="1"/>
  <c r="W51" i="1"/>
  <c r="X51" i="1"/>
  <c r="Y51" i="1"/>
  <c r="Z51" i="1"/>
  <c r="B52" i="1"/>
  <c r="G52" i="1"/>
  <c r="H52" i="1"/>
  <c r="I52" i="1"/>
  <c r="J52" i="1"/>
  <c r="K52" i="1"/>
  <c r="L52" i="1"/>
  <c r="M52" i="1"/>
  <c r="N52" i="1"/>
  <c r="O52" i="1"/>
  <c r="P52" i="1"/>
  <c r="Q52" i="1"/>
  <c r="R52" i="1"/>
  <c r="S52" i="1"/>
  <c r="T52" i="1"/>
  <c r="U52" i="1"/>
  <c r="V52" i="1"/>
  <c r="W52" i="1"/>
  <c r="X52" i="1"/>
  <c r="Y52" i="1"/>
  <c r="Z52" i="1"/>
  <c r="B53" i="1"/>
  <c r="G53" i="1"/>
  <c r="H53" i="1"/>
  <c r="I53" i="1"/>
  <c r="J53" i="1"/>
  <c r="K53" i="1"/>
  <c r="L53" i="1"/>
  <c r="M53" i="1"/>
  <c r="N53" i="1"/>
  <c r="O53" i="1"/>
  <c r="P53" i="1"/>
  <c r="Q53" i="1"/>
  <c r="R53" i="1"/>
  <c r="S53" i="1"/>
  <c r="T53" i="1"/>
  <c r="U53" i="1"/>
  <c r="V53" i="1"/>
  <c r="W53" i="1"/>
  <c r="X53" i="1"/>
  <c r="Y53" i="1"/>
  <c r="Z53" i="1"/>
  <c r="B54" i="1"/>
  <c r="G54" i="1"/>
  <c r="H54" i="1"/>
  <c r="I54" i="1"/>
  <c r="J54" i="1"/>
  <c r="K54" i="1"/>
  <c r="L54" i="1"/>
  <c r="M54" i="1"/>
  <c r="N54" i="1"/>
  <c r="O54" i="1"/>
  <c r="P54" i="1"/>
  <c r="Q54" i="1"/>
  <c r="R54" i="1"/>
  <c r="S54" i="1"/>
  <c r="T54" i="1"/>
  <c r="U54" i="1"/>
  <c r="V54" i="1"/>
  <c r="W54" i="1"/>
  <c r="X54" i="1"/>
  <c r="Y54" i="1"/>
  <c r="Z54" i="1"/>
  <c r="B55" i="1"/>
  <c r="G55" i="1"/>
  <c r="H55" i="1"/>
  <c r="I55" i="1"/>
  <c r="J55" i="1"/>
  <c r="K55" i="1"/>
  <c r="L55" i="1"/>
  <c r="M55" i="1"/>
  <c r="N55" i="1"/>
  <c r="O55" i="1"/>
  <c r="P55" i="1"/>
  <c r="Q55" i="1"/>
  <c r="R55" i="1"/>
  <c r="S55" i="1"/>
  <c r="T55" i="1"/>
  <c r="U55" i="1"/>
  <c r="V55" i="1"/>
  <c r="W55" i="1"/>
  <c r="X55" i="1"/>
  <c r="Y55" i="1"/>
  <c r="Z55" i="1"/>
  <c r="B56" i="1"/>
  <c r="G56" i="1"/>
  <c r="H56" i="1"/>
  <c r="I56" i="1"/>
  <c r="J56" i="1"/>
  <c r="K56" i="1"/>
  <c r="L56" i="1"/>
  <c r="M56" i="1"/>
  <c r="N56" i="1"/>
  <c r="O56" i="1"/>
  <c r="P56" i="1"/>
  <c r="Q56" i="1"/>
  <c r="R56" i="1"/>
  <c r="S56" i="1"/>
  <c r="T56" i="1"/>
  <c r="U56" i="1"/>
  <c r="V56" i="1"/>
  <c r="W56" i="1"/>
  <c r="X56" i="1"/>
  <c r="Y56" i="1"/>
  <c r="Z56" i="1"/>
  <c r="B57" i="1"/>
  <c r="G57" i="1"/>
  <c r="H57" i="1"/>
  <c r="I57" i="1"/>
  <c r="J57" i="1"/>
  <c r="K57" i="1"/>
  <c r="L57" i="1"/>
  <c r="M57" i="1"/>
  <c r="N57" i="1"/>
  <c r="O57" i="1"/>
  <c r="P57" i="1"/>
  <c r="Q57" i="1"/>
  <c r="R57" i="1"/>
  <c r="S57" i="1"/>
  <c r="T57" i="1"/>
  <c r="U57" i="1"/>
  <c r="V57" i="1"/>
  <c r="W57" i="1"/>
  <c r="X57" i="1"/>
  <c r="Y57" i="1"/>
  <c r="Z57" i="1"/>
  <c r="B58" i="1"/>
  <c r="G58" i="1"/>
  <c r="H58" i="1"/>
  <c r="I58" i="1"/>
  <c r="J58" i="1"/>
  <c r="K58" i="1"/>
  <c r="L58" i="1"/>
  <c r="M58" i="1"/>
  <c r="N58" i="1"/>
  <c r="O58" i="1"/>
  <c r="P58" i="1"/>
  <c r="Q58" i="1"/>
  <c r="R58" i="1"/>
  <c r="S58" i="1"/>
  <c r="T58" i="1"/>
  <c r="U58" i="1"/>
  <c r="V58" i="1"/>
  <c r="W58" i="1"/>
  <c r="X58" i="1"/>
  <c r="Y58" i="1"/>
  <c r="Z58" i="1"/>
  <c r="B59" i="1"/>
  <c r="G59" i="1"/>
  <c r="H59" i="1"/>
  <c r="I59" i="1"/>
  <c r="J59" i="1"/>
  <c r="K59" i="1"/>
  <c r="L59" i="1"/>
  <c r="M59" i="1"/>
  <c r="N59" i="1"/>
  <c r="O59" i="1"/>
  <c r="P59" i="1"/>
  <c r="Q59" i="1"/>
  <c r="R59" i="1"/>
  <c r="S59" i="1"/>
  <c r="T59" i="1"/>
  <c r="U59" i="1"/>
  <c r="V59" i="1"/>
  <c r="W59" i="1"/>
  <c r="X59" i="1"/>
  <c r="Y59" i="1"/>
  <c r="Z59" i="1"/>
  <c r="B60" i="1"/>
  <c r="G60" i="1"/>
  <c r="H60" i="1"/>
  <c r="I60" i="1"/>
  <c r="J60" i="1"/>
  <c r="K60" i="1"/>
  <c r="L60" i="1"/>
  <c r="M60" i="1"/>
  <c r="N60" i="1"/>
  <c r="O60" i="1"/>
  <c r="P60" i="1"/>
  <c r="Q60" i="1"/>
  <c r="R60" i="1"/>
  <c r="S60" i="1"/>
  <c r="T60" i="1"/>
  <c r="U60" i="1"/>
  <c r="V60" i="1"/>
  <c r="W60" i="1"/>
  <c r="X60" i="1"/>
  <c r="Y60" i="1"/>
  <c r="Z60" i="1"/>
  <c r="B61" i="1"/>
  <c r="G61" i="1"/>
  <c r="H61" i="1"/>
  <c r="I61" i="1"/>
  <c r="J61" i="1"/>
  <c r="K61" i="1"/>
  <c r="L61" i="1"/>
  <c r="M61" i="1"/>
  <c r="N61" i="1"/>
  <c r="O61" i="1"/>
  <c r="P61" i="1"/>
  <c r="Q61" i="1"/>
  <c r="R61" i="1"/>
  <c r="S61" i="1"/>
  <c r="T61" i="1"/>
  <c r="U61" i="1"/>
  <c r="V61" i="1"/>
  <c r="W61" i="1"/>
  <c r="X61" i="1"/>
  <c r="Y61" i="1"/>
  <c r="Z61" i="1"/>
  <c r="B62" i="1"/>
  <c r="G62" i="1"/>
  <c r="H62" i="1"/>
  <c r="I62" i="1"/>
  <c r="J62" i="1"/>
  <c r="K62" i="1"/>
  <c r="L62" i="1"/>
  <c r="M62" i="1"/>
  <c r="N62" i="1"/>
  <c r="O62" i="1"/>
  <c r="P62" i="1"/>
  <c r="Q62" i="1"/>
  <c r="R62" i="1"/>
  <c r="S62" i="1"/>
  <c r="T62" i="1"/>
  <c r="U62" i="1"/>
  <c r="V62" i="1"/>
  <c r="W62" i="1"/>
  <c r="X62" i="1"/>
  <c r="Y62" i="1"/>
  <c r="Z62" i="1"/>
  <c r="B63" i="1"/>
  <c r="G63" i="1"/>
  <c r="H63" i="1"/>
  <c r="I63" i="1"/>
  <c r="J63" i="1"/>
  <c r="K63" i="1"/>
  <c r="L63" i="1"/>
  <c r="M63" i="1"/>
  <c r="N63" i="1"/>
  <c r="O63" i="1"/>
  <c r="P63" i="1"/>
  <c r="Q63" i="1"/>
  <c r="R63" i="1"/>
  <c r="S63" i="1"/>
  <c r="T63" i="1"/>
  <c r="U63" i="1"/>
  <c r="V63" i="1"/>
  <c r="W63" i="1"/>
  <c r="X63" i="1"/>
  <c r="Y63" i="1"/>
  <c r="Z63" i="1"/>
  <c r="B64" i="1"/>
  <c r="B65" i="1"/>
  <c r="B66" i="1"/>
  <c r="B67" i="1"/>
  <c r="B68" i="1"/>
  <c r="B69" i="1"/>
  <c r="B70" i="1"/>
  <c r="B71" i="1"/>
  <c r="B72" i="1"/>
  <c r="B73" i="1"/>
  <c r="B74" i="1"/>
  <c r="B75" i="1"/>
  <c r="B76" i="1"/>
  <c r="B77" i="1"/>
  <c r="B78" i="1"/>
  <c r="B79" i="1"/>
  <c r="B80" i="1"/>
  <c r="B81" i="1"/>
  <c r="B82" i="1"/>
  <c r="B83" i="1"/>
  <c r="B84" i="1"/>
  <c r="B85" i="1"/>
  <c r="B86" i="1"/>
  <c r="B87" i="1"/>
</calcChain>
</file>

<file path=xl/sharedStrings.xml><?xml version="1.0" encoding="utf-8"?>
<sst xmlns="http://schemas.openxmlformats.org/spreadsheetml/2006/main" count="492" uniqueCount="139">
  <si>
    <t>CT2</t>
  </si>
  <si>
    <t>CT3</t>
  </si>
  <si>
    <t>CT5</t>
  </si>
  <si>
    <t>CT7</t>
  </si>
  <si>
    <t>CT10</t>
  </si>
  <si>
    <t>CT30</t>
  </si>
  <si>
    <t>02</t>
  </si>
  <si>
    <t>03</t>
  </si>
  <si>
    <t>05</t>
  </si>
  <si>
    <t>07</t>
  </si>
  <si>
    <t>03-05</t>
  </si>
  <si>
    <t>05-07</t>
  </si>
  <si>
    <t>07-10</t>
  </si>
  <si>
    <t>02-07</t>
  </si>
  <si>
    <t>02-10</t>
  </si>
  <si>
    <t>02-30</t>
  </si>
  <si>
    <t>03-30</t>
  </si>
  <si>
    <t>03-10</t>
  </si>
  <si>
    <t>05-30</t>
  </si>
  <si>
    <t>10</t>
  </si>
  <si>
    <t>30</t>
  </si>
  <si>
    <t>Today</t>
  </si>
  <si>
    <t>GT2</t>
  </si>
  <si>
    <t>GT3</t>
  </si>
  <si>
    <t>GT5</t>
  </si>
  <si>
    <t>GT7</t>
  </si>
  <si>
    <t>GT10</t>
  </si>
  <si>
    <t>GT30</t>
  </si>
  <si>
    <t>1Yr Hi</t>
  </si>
  <si>
    <t>1Yr Lo</t>
  </si>
  <si>
    <t>-1 Day</t>
  </si>
  <si>
    <t>w</t>
  </si>
  <si>
    <t>m</t>
  </si>
  <si>
    <t>3m</t>
  </si>
  <si>
    <t>6m</t>
  </si>
  <si>
    <t>-1 Wk</t>
  </si>
  <si>
    <t>-1 Mon</t>
  </si>
  <si>
    <t>-3 Mon</t>
  </si>
  <si>
    <t>-6 Mon</t>
  </si>
  <si>
    <t>1y</t>
  </si>
  <si>
    <t>-1 Yr</t>
  </si>
  <si>
    <t>EDM1 Comdty</t>
  </si>
  <si>
    <t>EDU1 Comdty</t>
  </si>
  <si>
    <t>EDZ1 Comdty</t>
  </si>
  <si>
    <t>EDH2 Comdty</t>
  </si>
  <si>
    <t>EDM2 Comdty</t>
  </si>
  <si>
    <t>EDZ2 Comdty</t>
  </si>
  <si>
    <t>EDH3 Comdty</t>
  </si>
  <si>
    <t>EDM3 Comdty</t>
  </si>
  <si>
    <t>EDU3 Comdty</t>
  </si>
  <si>
    <t>EDZ3 Comdty</t>
  </si>
  <si>
    <t>EDH4 Comdty</t>
  </si>
  <si>
    <t>EDM4 Comdty</t>
  </si>
  <si>
    <t>EDU4 Comdty</t>
  </si>
  <si>
    <t>EDZ4 Comdty</t>
  </si>
  <si>
    <t>EDH5 Comdty</t>
  </si>
  <si>
    <t>EDM5 Comdty</t>
  </si>
  <si>
    <t>EDU5 Comdty</t>
  </si>
  <si>
    <t>EDZ5 Comdty</t>
  </si>
  <si>
    <t>EDH6 Comdty</t>
  </si>
  <si>
    <t>EDM6 Comdty</t>
  </si>
  <si>
    <t>EDU6 Comdty</t>
  </si>
  <si>
    <t>EDZ6 Comdty</t>
  </si>
  <si>
    <t>EDH7 Comdty</t>
  </si>
  <si>
    <t>EDM7 Comdty</t>
  </si>
  <si>
    <t>EDU7 Comdty</t>
  </si>
  <si>
    <t>EDZ7 Comdty</t>
  </si>
  <si>
    <t>EDH8 Comdty</t>
  </si>
  <si>
    <t>EDM8 Comdty</t>
  </si>
  <si>
    <t>EDU8 Comdty</t>
  </si>
  <si>
    <t>EDZ8 Comdty</t>
  </si>
  <si>
    <t>EDH9 Comdty</t>
  </si>
  <si>
    <t>EDM9 Comdty</t>
  </si>
  <si>
    <t>EDU9 Comdty</t>
  </si>
  <si>
    <t>EDZ9 Comdty</t>
  </si>
  <si>
    <t>EDH0 Comdty</t>
  </si>
  <si>
    <t>EDM0 Comdty</t>
  </si>
  <si>
    <t>EDU0 Comdty</t>
  </si>
  <si>
    <t>EDZ0 Comdty</t>
  </si>
  <si>
    <t>End:</t>
  </si>
  <si>
    <t>Start:</t>
  </si>
  <si>
    <t>Graph:</t>
  </si>
  <si>
    <t>DataSet:</t>
  </si>
  <si>
    <t>Correlation</t>
  </si>
  <si>
    <t>Spread</t>
  </si>
  <si>
    <t>255</t>
  </si>
  <si>
    <t>05-10</t>
  </si>
  <si>
    <t xml:space="preserve">What is it- HSSA is a monitor to look at treasury market relative value in a new way looking at how sections of the curve move relative to each other.  This minimizes the noise of looking at simply curve or butterfly relationships.  The sheet also looks at eurodollar relationships in terms of correlation, absolute, and spread values.
</t>
  </si>
  <si>
    <t>Purpose:</t>
  </si>
  <si>
    <t>USSW2</t>
  </si>
  <si>
    <t>USSW3</t>
  </si>
  <si>
    <t>USSW5</t>
  </si>
  <si>
    <t>USSW7</t>
  </si>
  <si>
    <t>USSW10</t>
  </si>
  <si>
    <t>USSW30</t>
  </si>
  <si>
    <t>SWAPS</t>
  </si>
  <si>
    <t>EDU5</t>
  </si>
  <si>
    <t>EDH7</t>
  </si>
  <si>
    <t>TRSY</t>
  </si>
  <si>
    <t>STACKED</t>
  </si>
  <si>
    <t>Display:</t>
  </si>
  <si>
    <t>CDSW2</t>
  </si>
  <si>
    <t>CDSW3</t>
  </si>
  <si>
    <t>CDSW5</t>
  </si>
  <si>
    <t>CDSW7</t>
  </si>
  <si>
    <t>CDSW10</t>
  </si>
  <si>
    <t>CDSW30</t>
  </si>
  <si>
    <t>GTCAD2Y</t>
  </si>
  <si>
    <t>GTCAD3Y</t>
  </si>
  <si>
    <t>GTCAD5Y</t>
  </si>
  <si>
    <t>GTCAD7Y</t>
  </si>
  <si>
    <t>GTCAD10Y</t>
  </si>
  <si>
    <t>GTCAD30Y</t>
  </si>
  <si>
    <t>EDH1 Comdty</t>
  </si>
  <si>
    <t>BAM5 Comdty</t>
  </si>
  <si>
    <t>BAU5 Comdty</t>
  </si>
  <si>
    <t>BAZ5 Comdty</t>
  </si>
  <si>
    <t>BAH6 Comdty</t>
  </si>
  <si>
    <t>BAM6 Comdty</t>
  </si>
  <si>
    <t>BAU6 Comdty</t>
  </si>
  <si>
    <t>BAZ6 Comdty</t>
  </si>
  <si>
    <t>BAH7 Comdty</t>
  </si>
  <si>
    <t>BAM7 Comdty</t>
  </si>
  <si>
    <t>BAU7 Comdty</t>
  </si>
  <si>
    <t>BAZ7 Comdty</t>
  </si>
  <si>
    <t>BAH8 Comdty</t>
  </si>
  <si>
    <t>EDN5 Comdty</t>
  </si>
  <si>
    <t>EDQ5 Comdty</t>
  </si>
  <si>
    <t>EDU2 Comdty</t>
  </si>
  <si>
    <t>05-07 vs 03-10</t>
  </si>
  <si>
    <t>Date</t>
  </si>
  <si>
    <t/>
  </si>
  <si>
    <t>BAH6</t>
  </si>
  <si>
    <t>03-10 vs 02-30</t>
  </si>
  <si>
    <t>EDU6</t>
  </si>
  <si>
    <t>BAZ6</t>
  </si>
  <si>
    <t>EDH8</t>
  </si>
  <si>
    <t>EDV5 Comdty</t>
  </si>
  <si>
    <t>BAN5 Comdty</t>
  </si>
</sst>
</file>

<file path=xl/styles.xml><?xml version="1.0" encoding="utf-8"?>
<styleSheet xmlns="http://schemas.openxmlformats.org/spreadsheetml/2006/main" xmlns:mc="http://schemas.openxmlformats.org/markup-compatibility/2006" xmlns:x14ac="http://schemas.microsoft.com/office/spreadsheetml/2009/9/ac" mc:Ignorable="x14ac">
  <numFmts count="2">
    <numFmt numFmtId="164" formatCode="0.000"/>
    <numFmt numFmtId="165" formatCode="0.0000"/>
  </numFmts>
  <fonts count="14" x14ac:knownFonts="1">
    <font>
      <sz val="11"/>
      <color theme="1"/>
      <name val="Calibri"/>
      <family val="2"/>
      <scheme val="minor"/>
    </font>
    <font>
      <sz val="11"/>
      <color indexed="8"/>
      <name val="Calibri"/>
      <family val="2"/>
    </font>
    <font>
      <sz val="11"/>
      <color indexed="9"/>
      <name val="Calibri"/>
      <family val="2"/>
    </font>
    <font>
      <sz val="11"/>
      <name val="Calibri"/>
      <family val="2"/>
    </font>
    <font>
      <sz val="16"/>
      <color indexed="8"/>
      <name val="Calibri"/>
      <family val="2"/>
    </font>
    <font>
      <sz val="8"/>
      <name val="Calibri"/>
      <family val="2"/>
    </font>
    <font>
      <b/>
      <sz val="11"/>
      <color theme="0"/>
      <name val="Calibri"/>
      <family val="2"/>
      <scheme val="minor"/>
    </font>
    <font>
      <b/>
      <sz val="11"/>
      <color theme="1"/>
      <name val="Calibri"/>
      <family val="2"/>
      <scheme val="minor"/>
    </font>
    <font>
      <sz val="11"/>
      <color rgb="FF000000"/>
      <name val="Calibri"/>
      <family val="2"/>
      <scheme val="minor"/>
    </font>
    <font>
      <sz val="11"/>
      <color rgb="FF000000"/>
      <name val="Calibri"/>
      <family val="2"/>
    </font>
    <font>
      <b/>
      <sz val="11"/>
      <color rgb="FFFFFFFF"/>
      <name val="Calibri"/>
      <family val="2"/>
      <scheme val="minor"/>
    </font>
    <font>
      <b/>
      <sz val="11"/>
      <color rgb="FF000000"/>
      <name val="Calibri"/>
      <family val="2"/>
      <scheme val="minor"/>
    </font>
    <font>
      <b/>
      <sz val="11"/>
      <color theme="0"/>
      <name val="Calibri"/>
      <family val="2"/>
    </font>
    <font>
      <b/>
      <sz val="11"/>
      <color theme="3"/>
      <name val="Calibri"/>
      <family val="2"/>
    </font>
  </fonts>
  <fills count="22">
    <fill>
      <patternFill patternType="none"/>
    </fill>
    <fill>
      <patternFill patternType="gray125"/>
    </fill>
    <fill>
      <patternFill patternType="solid">
        <fgColor indexed="22"/>
        <bgColor indexed="64"/>
      </patternFill>
    </fill>
    <fill>
      <patternFill patternType="solid">
        <fgColor indexed="55"/>
        <bgColor indexed="64"/>
      </patternFill>
    </fill>
    <fill>
      <patternFill patternType="solid">
        <fgColor indexed="9"/>
        <bgColor indexed="64"/>
      </patternFill>
    </fill>
    <fill>
      <gradientFill>
        <stop position="0">
          <color theme="3"/>
        </stop>
        <stop position="0.5">
          <color theme="4"/>
        </stop>
        <stop position="1">
          <color theme="3"/>
        </stop>
      </gradientFill>
    </fill>
    <fill>
      <gradientFill>
        <stop position="0">
          <color rgb="FFFCD5B4"/>
        </stop>
        <stop position="0.5">
          <color rgb="FFFDE9D9"/>
        </stop>
        <stop position="1">
          <color rgb="FFFCD5B4"/>
        </stop>
      </gradientFill>
    </fill>
    <fill>
      <gradientFill>
        <stop position="0">
          <color rgb="FF1F497D"/>
        </stop>
        <stop position="0.5">
          <color rgb="FF4F81BD"/>
        </stop>
        <stop position="1">
          <color rgb="FF1F497D"/>
        </stop>
      </gradientFill>
    </fill>
    <fill>
      <gradientFill>
        <stop position="0">
          <color theme="9" tint="0.59999389629810485"/>
        </stop>
        <stop position="0.5">
          <color theme="9" tint="0.80001220740379042"/>
        </stop>
        <stop position="1">
          <color theme="9" tint="0.59999389629810485"/>
        </stop>
      </gradientFill>
    </fill>
    <fill>
      <gradientFill>
        <stop position="0">
          <color theme="9" tint="-0.25098422193060094"/>
        </stop>
        <stop position="0.5">
          <color theme="9" tint="0.40000610370189521"/>
        </stop>
        <stop position="1">
          <color theme="9" tint="-0.25098422193060094"/>
        </stop>
      </gradientFill>
    </fill>
    <fill>
      <gradientFill type="path" left="1" right="1" top="1" bottom="1">
        <stop position="0">
          <color theme="0"/>
        </stop>
        <stop position="1">
          <color theme="4" tint="0.59999389629810485"/>
        </stop>
      </gradientFill>
    </fill>
    <fill>
      <gradientFill degree="270">
        <stop position="0">
          <color theme="0"/>
        </stop>
        <stop position="1">
          <color theme="4" tint="0.59999389629810485"/>
        </stop>
      </gradientFill>
    </fill>
    <fill>
      <gradientFill type="path" top="1" bottom="1">
        <stop position="0">
          <color theme="0"/>
        </stop>
        <stop position="1">
          <color theme="4" tint="0.59999389629810485"/>
        </stop>
      </gradientFill>
    </fill>
    <fill>
      <gradientFill degree="180">
        <stop position="0">
          <color theme="0"/>
        </stop>
        <stop position="1">
          <color theme="4" tint="0.59999389629810485"/>
        </stop>
      </gradientFill>
    </fill>
    <fill>
      <gradientFill>
        <stop position="0">
          <color theme="0"/>
        </stop>
        <stop position="1">
          <color theme="4" tint="0.59999389629810485"/>
        </stop>
      </gradientFill>
    </fill>
    <fill>
      <gradientFill type="path">
        <stop position="0">
          <color theme="0"/>
        </stop>
        <stop position="1">
          <color theme="4" tint="0.59999389629810485"/>
        </stop>
      </gradientFill>
    </fill>
    <fill>
      <gradientFill type="path" left="1" right="1">
        <stop position="0">
          <color theme="0"/>
        </stop>
        <stop position="1">
          <color theme="4" tint="0.59999389629810485"/>
        </stop>
      </gradientFill>
    </fill>
    <fill>
      <gradientFill degree="90">
        <stop position="0">
          <color theme="0"/>
        </stop>
        <stop position="1">
          <color theme="4" tint="0.59999389629810485"/>
        </stop>
      </gradientFill>
    </fill>
    <fill>
      <gradientFill type="path">
        <stop position="0">
          <color theme="4" tint="0.59999389629810485"/>
        </stop>
        <stop position="1">
          <color theme="0"/>
        </stop>
      </gradientFill>
    </fill>
    <fill>
      <gradientFill>
        <stop position="0">
          <color theme="4" tint="0.59999389629810485"/>
        </stop>
        <stop position="0.5">
          <color theme="4" tint="0.80001220740379042"/>
        </stop>
        <stop position="1">
          <color theme="4" tint="0.59999389629810485"/>
        </stop>
      </gradientFill>
    </fill>
    <fill>
      <gradientFill>
        <stop position="0">
          <color theme="3" tint="0.59999389629810485"/>
        </stop>
        <stop position="0.5">
          <color theme="3" tint="0.80001220740379042"/>
        </stop>
        <stop position="1">
          <color theme="3" tint="0.59999389629810485"/>
        </stop>
      </gradientFill>
    </fill>
    <fill>
      <patternFill patternType="solid">
        <fgColor theme="4" tint="0.79998168889431442"/>
        <bgColor indexed="64"/>
      </patternFill>
    </fill>
  </fills>
  <borders count="63">
    <border>
      <left/>
      <right/>
      <top/>
      <bottom/>
      <diagonal/>
    </border>
    <border>
      <left style="thin">
        <color indexed="9"/>
      </left>
      <right style="thin">
        <color indexed="9"/>
      </right>
      <top style="thin">
        <color indexed="9"/>
      </top>
      <bottom style="thin">
        <color indexed="9"/>
      </bottom>
      <diagonal/>
    </border>
    <border>
      <left style="thin">
        <color theme="1"/>
      </left>
      <right style="thin">
        <color theme="0"/>
      </right>
      <top style="thin">
        <color theme="1"/>
      </top>
      <bottom style="thin">
        <color theme="0"/>
      </bottom>
      <diagonal/>
    </border>
    <border>
      <left style="thin">
        <color theme="0"/>
      </left>
      <right style="thin">
        <color theme="0"/>
      </right>
      <top style="thin">
        <color theme="1"/>
      </top>
      <bottom style="thin">
        <color theme="0"/>
      </bottom>
      <diagonal/>
    </border>
    <border>
      <left style="thin">
        <color theme="0"/>
      </left>
      <right style="thin">
        <color theme="1"/>
      </right>
      <top style="thin">
        <color theme="1"/>
      </top>
      <bottom style="thin">
        <color theme="0"/>
      </bottom>
      <diagonal/>
    </border>
    <border>
      <left style="thin">
        <color theme="1"/>
      </left>
      <right style="thin">
        <color theme="0"/>
      </right>
      <top style="thin">
        <color theme="0"/>
      </top>
      <bottom style="thin">
        <color theme="1"/>
      </bottom>
      <diagonal/>
    </border>
    <border>
      <left style="thin">
        <color theme="0"/>
      </left>
      <right style="thin">
        <color theme="0"/>
      </right>
      <top style="thin">
        <color theme="0"/>
      </top>
      <bottom style="thin">
        <color theme="1"/>
      </bottom>
      <diagonal/>
    </border>
    <border>
      <left style="thin">
        <color theme="0"/>
      </left>
      <right style="thin">
        <color theme="1"/>
      </right>
      <top style="thin">
        <color theme="0"/>
      </top>
      <bottom style="thin">
        <color theme="1"/>
      </bottom>
      <diagonal/>
    </border>
    <border>
      <left style="thin">
        <color indexed="9"/>
      </left>
      <right style="thin">
        <color indexed="9"/>
      </right>
      <top/>
      <bottom style="thin">
        <color indexed="9"/>
      </bottom>
      <diagonal/>
    </border>
    <border>
      <left/>
      <right style="thin">
        <color indexed="9"/>
      </right>
      <top style="thin">
        <color indexed="9"/>
      </top>
      <bottom style="thin">
        <color indexed="9"/>
      </bottom>
      <diagonal/>
    </border>
    <border>
      <left style="thin">
        <color indexed="9"/>
      </left>
      <right style="thin">
        <color indexed="8"/>
      </right>
      <top style="thin">
        <color indexed="9"/>
      </top>
      <bottom style="thin">
        <color indexed="9"/>
      </bottom>
      <diagonal/>
    </border>
    <border>
      <left style="thin">
        <color indexed="9"/>
      </left>
      <right style="thin">
        <color indexed="9"/>
      </right>
      <top style="thin">
        <color indexed="9"/>
      </top>
      <bottom style="thin">
        <color indexed="8"/>
      </bottom>
      <diagonal/>
    </border>
    <border>
      <left style="thin">
        <color indexed="9"/>
      </left>
      <right style="thin">
        <color indexed="8"/>
      </right>
      <top style="thin">
        <color indexed="9"/>
      </top>
      <bottom style="thin">
        <color indexed="8"/>
      </bottom>
      <diagonal/>
    </border>
    <border>
      <left/>
      <right style="thin">
        <color theme="0"/>
      </right>
      <top/>
      <bottom/>
      <diagonal/>
    </border>
    <border>
      <left style="thin">
        <color theme="0"/>
      </left>
      <right style="thin">
        <color theme="0"/>
      </right>
      <top/>
      <bottom/>
      <diagonal/>
    </border>
    <border>
      <left style="thin">
        <color theme="1"/>
      </left>
      <right style="thin">
        <color theme="0"/>
      </right>
      <top style="thin">
        <color theme="1"/>
      </top>
      <bottom style="thin">
        <color theme="1"/>
      </bottom>
      <diagonal/>
    </border>
    <border>
      <left style="thin">
        <color theme="0"/>
      </left>
      <right style="thin">
        <color theme="0"/>
      </right>
      <top style="thin">
        <color theme="1"/>
      </top>
      <bottom style="thin">
        <color theme="1"/>
      </bottom>
      <diagonal/>
    </border>
    <border>
      <left style="thin">
        <color theme="0"/>
      </left>
      <right style="thin">
        <color indexed="8"/>
      </right>
      <top style="thin">
        <color theme="1"/>
      </top>
      <bottom style="thin">
        <color theme="1"/>
      </bottom>
      <diagonal/>
    </border>
    <border>
      <left style="thin">
        <color indexed="8"/>
      </left>
      <right style="thin">
        <color theme="0"/>
      </right>
      <top style="thin">
        <color theme="1"/>
      </top>
      <bottom style="thin">
        <color theme="1"/>
      </bottom>
      <diagonal/>
    </border>
    <border>
      <left style="thin">
        <color theme="0"/>
      </left>
      <right style="thin">
        <color theme="1"/>
      </right>
      <top style="thin">
        <color theme="1"/>
      </top>
      <bottom style="thin">
        <color theme="1"/>
      </bottom>
      <diagonal/>
    </border>
    <border>
      <left style="thin">
        <color theme="1"/>
      </left>
      <right style="thin">
        <color theme="0"/>
      </right>
      <top style="thin">
        <color theme="1"/>
      </top>
      <bottom/>
      <diagonal/>
    </border>
    <border>
      <left style="thin">
        <color theme="0"/>
      </left>
      <right style="thin">
        <color theme="0"/>
      </right>
      <top style="thin">
        <color theme="1"/>
      </top>
      <bottom/>
      <diagonal/>
    </border>
    <border>
      <left style="thin">
        <color theme="0"/>
      </left>
      <right style="thin">
        <color theme="1"/>
      </right>
      <top style="thin">
        <color theme="1"/>
      </top>
      <bottom/>
      <diagonal/>
    </border>
    <border>
      <left style="thin">
        <color indexed="8"/>
      </left>
      <right style="thin">
        <color rgb="FF8DB4E2"/>
      </right>
      <top style="thin">
        <color rgb="FF8DB4E2"/>
      </top>
      <bottom style="thin">
        <color rgb="FF8DB4E2"/>
      </bottom>
      <diagonal/>
    </border>
    <border>
      <left style="thin">
        <color rgb="FF8DB4E2"/>
      </left>
      <right style="thin">
        <color rgb="FF8DB4E2"/>
      </right>
      <top style="thin">
        <color rgb="FF8DB4E2"/>
      </top>
      <bottom style="thin">
        <color rgb="FF8DB4E2"/>
      </bottom>
      <diagonal/>
    </border>
    <border>
      <left style="thin">
        <color rgb="FF8DB4E2"/>
      </left>
      <right style="thin">
        <color indexed="8"/>
      </right>
      <top style="thin">
        <color rgb="FF8DB4E2"/>
      </top>
      <bottom style="thin">
        <color rgb="FF8DB4E2"/>
      </bottom>
      <diagonal/>
    </border>
    <border>
      <left style="thin">
        <color indexed="8"/>
      </left>
      <right style="thin">
        <color rgb="FF8DB4E2"/>
      </right>
      <top style="thin">
        <color rgb="FF8DB4E2"/>
      </top>
      <bottom style="thin">
        <color indexed="8"/>
      </bottom>
      <diagonal/>
    </border>
    <border>
      <left style="thin">
        <color rgb="FF8DB4E2"/>
      </left>
      <right style="thin">
        <color rgb="FF8DB4E2"/>
      </right>
      <top style="thin">
        <color rgb="FF8DB4E2"/>
      </top>
      <bottom style="thin">
        <color indexed="8"/>
      </bottom>
      <diagonal/>
    </border>
    <border>
      <left style="thin">
        <color rgb="FF8DB4E2"/>
      </left>
      <right style="thin">
        <color indexed="8"/>
      </right>
      <top style="thin">
        <color rgb="FF8DB4E2"/>
      </top>
      <bottom style="thin">
        <color indexed="8"/>
      </bottom>
      <diagonal/>
    </border>
    <border>
      <left style="thin">
        <color rgb="FF8DB4E2"/>
      </left>
      <right style="thin">
        <color rgb="FF8DB4E2"/>
      </right>
      <top style="thin">
        <color indexed="9"/>
      </top>
      <bottom style="thin">
        <color rgb="FF8DB4E2"/>
      </bottom>
      <diagonal/>
    </border>
    <border>
      <left style="thin">
        <color indexed="8"/>
      </left>
      <right style="thin">
        <color rgb="FF8DB4E2"/>
      </right>
      <top style="thin">
        <color indexed="9"/>
      </top>
      <bottom style="thin">
        <color rgb="FF8DB4E2"/>
      </bottom>
      <diagonal/>
    </border>
    <border>
      <left style="thin">
        <color rgb="FF8DB4E2"/>
      </left>
      <right style="thin">
        <color indexed="8"/>
      </right>
      <top style="thin">
        <color indexed="9"/>
      </top>
      <bottom style="thin">
        <color rgb="FF8DB4E2"/>
      </bottom>
      <diagonal/>
    </border>
    <border>
      <left style="thin">
        <color indexed="8"/>
      </left>
      <right style="thin">
        <color rgb="FF8DB4E2"/>
      </right>
      <top style="thin">
        <color indexed="8"/>
      </top>
      <bottom/>
      <diagonal/>
    </border>
    <border>
      <left style="thin">
        <color rgb="FF8DB4E2"/>
      </left>
      <right style="thin">
        <color rgb="FF8DB4E2"/>
      </right>
      <top style="thin">
        <color indexed="8"/>
      </top>
      <bottom/>
      <diagonal/>
    </border>
    <border>
      <left style="thin">
        <color rgb="FF8DB4E2"/>
      </left>
      <right style="thin">
        <color indexed="8"/>
      </right>
      <top style="thin">
        <color indexed="8"/>
      </top>
      <bottom/>
      <diagonal/>
    </border>
    <border>
      <left style="thin">
        <color indexed="8"/>
      </left>
      <right style="thin">
        <color rgb="FFFABF8F"/>
      </right>
      <top style="thin">
        <color rgb="FFFABF8F"/>
      </top>
      <bottom style="thin">
        <color rgb="FFFABF8F"/>
      </bottom>
      <diagonal/>
    </border>
    <border>
      <left style="thin">
        <color rgb="FFFABF8F"/>
      </left>
      <right style="thin">
        <color rgb="FFFABF8F"/>
      </right>
      <top style="thin">
        <color rgb="FFFABF8F"/>
      </top>
      <bottom style="thin">
        <color rgb="FFFABF8F"/>
      </bottom>
      <diagonal/>
    </border>
    <border>
      <left style="thin">
        <color rgb="FFFABF8F"/>
      </left>
      <right style="thin">
        <color indexed="8"/>
      </right>
      <top style="thin">
        <color rgb="FFFABF8F"/>
      </top>
      <bottom style="thin">
        <color rgb="FFFABF8F"/>
      </bottom>
      <diagonal/>
    </border>
    <border>
      <left style="thin">
        <color indexed="8"/>
      </left>
      <right style="thin">
        <color rgb="FFFABF8F"/>
      </right>
      <top style="thin">
        <color rgb="FFFABF8F"/>
      </top>
      <bottom style="thin">
        <color indexed="8"/>
      </bottom>
      <diagonal/>
    </border>
    <border>
      <left style="thin">
        <color rgb="FFFABF8F"/>
      </left>
      <right style="thin">
        <color rgb="FFFABF8F"/>
      </right>
      <top style="thin">
        <color rgb="FFFABF8F"/>
      </top>
      <bottom style="thin">
        <color indexed="8"/>
      </bottom>
      <diagonal/>
    </border>
    <border>
      <left style="thin">
        <color rgb="FFFABF8F"/>
      </left>
      <right style="thin">
        <color indexed="8"/>
      </right>
      <top style="thin">
        <color rgb="FFFABF8F"/>
      </top>
      <bottom style="thin">
        <color indexed="8"/>
      </bottom>
      <diagonal/>
    </border>
    <border>
      <left style="thin">
        <color indexed="8"/>
      </left>
      <right style="thin">
        <color rgb="FFFABF8F"/>
      </right>
      <top style="thin">
        <color indexed="9"/>
      </top>
      <bottom style="thin">
        <color rgb="FFFABF8F"/>
      </bottom>
      <diagonal/>
    </border>
    <border>
      <left style="thin">
        <color rgb="FFFABF8F"/>
      </left>
      <right style="thin">
        <color rgb="FFFABF8F"/>
      </right>
      <top style="thin">
        <color indexed="9"/>
      </top>
      <bottom style="thin">
        <color rgb="FFFABF8F"/>
      </bottom>
      <diagonal/>
    </border>
    <border>
      <left style="thin">
        <color rgb="FFFABF8F"/>
      </left>
      <right style="thin">
        <color indexed="8"/>
      </right>
      <top style="thin">
        <color indexed="9"/>
      </top>
      <bottom style="thin">
        <color rgb="FFFABF8F"/>
      </bottom>
      <diagonal/>
    </border>
    <border>
      <left style="thin">
        <color theme="0"/>
      </left>
      <right/>
      <top/>
      <bottom/>
      <diagonal/>
    </border>
    <border>
      <left style="thin">
        <color indexed="64"/>
      </left>
      <right style="thin">
        <color indexed="9"/>
      </right>
      <top style="thin">
        <color indexed="9"/>
      </top>
      <bottom style="thin">
        <color indexed="9"/>
      </bottom>
      <diagonal/>
    </border>
    <border>
      <left style="thin">
        <color indexed="64"/>
      </left>
      <right style="thin">
        <color indexed="9"/>
      </right>
      <top style="thin">
        <color indexed="9"/>
      </top>
      <bottom style="thin">
        <color indexed="64"/>
      </bottom>
      <diagonal/>
    </border>
    <border>
      <left style="thin">
        <color indexed="64"/>
      </left>
      <right style="thin">
        <color indexed="9"/>
      </right>
      <top style="thin">
        <color indexed="64"/>
      </top>
      <bottom style="thin">
        <color indexed="9"/>
      </bottom>
      <diagonal/>
    </border>
    <border>
      <left style="thin">
        <color theme="0"/>
      </left>
      <right style="thin">
        <color theme="0"/>
      </right>
      <top style="thin">
        <color indexed="64"/>
      </top>
      <bottom style="thin">
        <color indexed="9"/>
      </bottom>
      <diagonal/>
    </border>
    <border>
      <left style="thin">
        <color indexed="64"/>
      </left>
      <right style="thin">
        <color theme="0"/>
      </right>
      <top style="thin">
        <color indexed="64"/>
      </top>
      <bottom style="thin">
        <color indexed="9"/>
      </bottom>
      <diagonal/>
    </border>
    <border>
      <left style="thin">
        <color theme="0"/>
      </left>
      <right style="thin">
        <color indexed="64"/>
      </right>
      <top style="thin">
        <color indexed="64"/>
      </top>
      <bottom style="thin">
        <color indexed="9"/>
      </bottom>
      <diagonal/>
    </border>
    <border>
      <left style="thin">
        <color indexed="64"/>
      </left>
      <right style="thin">
        <color indexed="9"/>
      </right>
      <top style="thin">
        <color indexed="9"/>
      </top>
      <bottom style="thin">
        <color indexed="8"/>
      </bottom>
      <diagonal/>
    </border>
    <border>
      <left style="thin">
        <color indexed="9"/>
      </left>
      <right style="thin">
        <color indexed="9"/>
      </right>
      <top style="thin">
        <color indexed="64"/>
      </top>
      <bottom style="thin">
        <color indexed="9"/>
      </bottom>
      <diagonal/>
    </border>
    <border>
      <left style="thin">
        <color indexed="9"/>
      </left>
      <right style="thin">
        <color indexed="64"/>
      </right>
      <top style="thin">
        <color indexed="64"/>
      </top>
      <bottom style="thin">
        <color indexed="9"/>
      </bottom>
      <diagonal/>
    </border>
    <border>
      <left style="thin">
        <color indexed="64"/>
      </left>
      <right style="thin">
        <color theme="0"/>
      </right>
      <top style="thin">
        <color indexed="64"/>
      </top>
      <bottom style="thin">
        <color indexed="64"/>
      </bottom>
      <diagonal/>
    </border>
    <border>
      <left style="thin">
        <color theme="0"/>
      </left>
      <right style="thin">
        <color theme="0"/>
      </right>
      <top style="thin">
        <color indexed="64"/>
      </top>
      <bottom style="thin">
        <color indexed="64"/>
      </bottom>
      <diagonal/>
    </border>
    <border>
      <left style="thin">
        <color theme="0"/>
      </left>
      <right style="thin">
        <color theme="1"/>
      </right>
      <top style="thin">
        <color indexed="64"/>
      </top>
      <bottom style="thin">
        <color indexed="64"/>
      </bottom>
      <diagonal/>
    </border>
    <border>
      <left style="thin">
        <color theme="1"/>
      </left>
      <right style="thin">
        <color theme="0"/>
      </right>
      <top style="thin">
        <color indexed="64"/>
      </top>
      <bottom style="thin">
        <color indexed="64"/>
      </bottom>
      <diagonal/>
    </border>
    <border>
      <left style="thin">
        <color theme="0"/>
      </left>
      <right style="thin">
        <color indexed="64"/>
      </right>
      <top style="thin">
        <color indexed="64"/>
      </top>
      <bottom style="thin">
        <color indexed="64"/>
      </bottom>
      <diagonal/>
    </border>
    <border>
      <left style="thin">
        <color theme="0" tint="-0.34998626667073579"/>
      </left>
      <right/>
      <top style="thin">
        <color theme="0" tint="-0.34998626667073579"/>
      </top>
      <bottom style="medium">
        <color theme="1" tint="0.499984740745262"/>
      </bottom>
      <diagonal/>
    </border>
    <border>
      <left/>
      <right/>
      <top style="thin">
        <color theme="0" tint="-0.34998626667073579"/>
      </top>
      <bottom style="medium">
        <color theme="1" tint="0.499984740745262"/>
      </bottom>
      <diagonal/>
    </border>
    <border>
      <left/>
      <right style="medium">
        <color theme="1" tint="0.499984740745262"/>
      </right>
      <top style="thin">
        <color theme="0" tint="-0.34998626667073579"/>
      </top>
      <bottom style="medium">
        <color theme="1" tint="0.499984740745262"/>
      </bottom>
      <diagonal/>
    </border>
    <border>
      <left/>
      <right/>
      <top style="medium">
        <color theme="1" tint="0.499984740745262"/>
      </top>
      <bottom/>
      <diagonal/>
    </border>
  </borders>
  <cellStyleXfs count="2">
    <xf numFmtId="0" fontId="0" fillId="0" borderId="0"/>
    <xf numFmtId="9" fontId="1" fillId="0" borderId="0" applyFont="0" applyFill="0" applyBorder="0" applyAlignment="0" applyProtection="0"/>
  </cellStyleXfs>
  <cellXfs count="117">
    <xf numFmtId="0" fontId="0" fillId="0" borderId="0" xfId="0"/>
    <xf numFmtId="0" fontId="0" fillId="0" borderId="0" xfId="0" quotePrefix="1"/>
    <xf numFmtId="0" fontId="0" fillId="0" borderId="0" xfId="0" quotePrefix="1" applyAlignment="1">
      <alignment horizontal="right"/>
    </xf>
    <xf numFmtId="10" fontId="1" fillId="0" borderId="0" xfId="1" applyNumberFormat="1" applyFont="1"/>
    <xf numFmtId="14" fontId="0" fillId="0" borderId="0" xfId="0" applyNumberFormat="1"/>
    <xf numFmtId="0" fontId="0" fillId="0" borderId="0" xfId="0" applyNumberFormat="1"/>
    <xf numFmtId="0" fontId="0" fillId="2" borderId="0" xfId="0" applyFill="1"/>
    <xf numFmtId="164" fontId="0" fillId="0" borderId="1" xfId="0" applyNumberFormat="1" applyBorder="1"/>
    <xf numFmtId="0" fontId="3" fillId="2" borderId="0" xfId="0" applyFont="1" applyFill="1"/>
    <xf numFmtId="0" fontId="3" fillId="0" borderId="0" xfId="0" applyFont="1"/>
    <xf numFmtId="0" fontId="3" fillId="0" borderId="0" xfId="0" quotePrefix="1" applyFont="1"/>
    <xf numFmtId="0" fontId="0" fillId="0" borderId="0" xfId="0" applyFill="1"/>
    <xf numFmtId="0" fontId="0" fillId="3" borderId="0" xfId="0" applyFill="1"/>
    <xf numFmtId="14" fontId="0" fillId="0" borderId="0" xfId="0" quotePrefix="1" applyNumberFormat="1"/>
    <xf numFmtId="0" fontId="0" fillId="4" borderId="0" xfId="0" applyFill="1"/>
    <xf numFmtId="0" fontId="3" fillId="4" borderId="0" xfId="0" applyFont="1" applyFill="1"/>
    <xf numFmtId="164" fontId="2" fillId="0" borderId="0" xfId="0" applyNumberFormat="1" applyFont="1"/>
    <xf numFmtId="164" fontId="0" fillId="0" borderId="0" xfId="0" applyNumberFormat="1"/>
    <xf numFmtId="165" fontId="0" fillId="0" borderId="0" xfId="0" applyNumberFormat="1"/>
    <xf numFmtId="164" fontId="0" fillId="0" borderId="8" xfId="0" applyNumberFormat="1" applyBorder="1"/>
    <xf numFmtId="0" fontId="10" fillId="7" borderId="15" xfId="0" applyFont="1" applyFill="1" applyBorder="1" applyAlignment="1">
      <alignment horizontal="center" vertical="center"/>
    </xf>
    <xf numFmtId="0" fontId="10" fillId="7" borderId="18" xfId="0" applyFont="1" applyFill="1" applyBorder="1" applyAlignment="1">
      <alignment horizontal="center" vertical="center"/>
    </xf>
    <xf numFmtId="164" fontId="0" fillId="0" borderId="9" xfId="0" applyNumberFormat="1" applyBorder="1"/>
    <xf numFmtId="0" fontId="6" fillId="5" borderId="21" xfId="0" applyFont="1" applyFill="1" applyBorder="1" applyAlignment="1">
      <alignment horizontal="center"/>
    </xf>
    <xf numFmtId="0" fontId="6" fillId="5" borderId="21" xfId="0" quotePrefix="1" applyFont="1" applyFill="1" applyBorder="1" applyAlignment="1">
      <alignment horizontal="center"/>
    </xf>
    <xf numFmtId="0" fontId="6" fillId="5" borderId="22" xfId="0" quotePrefix="1" applyFont="1" applyFill="1" applyBorder="1" applyAlignment="1">
      <alignment horizontal="center"/>
    </xf>
    <xf numFmtId="10" fontId="8" fillId="0" borderId="29" xfId="1" applyNumberFormat="1" applyFont="1" applyFill="1" applyBorder="1" applyAlignment="1">
      <alignment horizontal="center" vertical="top"/>
    </xf>
    <xf numFmtId="10" fontId="8" fillId="0" borderId="31" xfId="1" applyNumberFormat="1" applyFont="1" applyFill="1" applyBorder="1" applyAlignment="1">
      <alignment horizontal="center" vertical="top"/>
    </xf>
    <xf numFmtId="10" fontId="8" fillId="0" borderId="24" xfId="1" applyNumberFormat="1" applyFont="1" applyFill="1" applyBorder="1" applyAlignment="1">
      <alignment horizontal="center" vertical="top"/>
    </xf>
    <xf numFmtId="10" fontId="8" fillId="0" borderId="25" xfId="1" applyNumberFormat="1" applyFont="1" applyFill="1" applyBorder="1" applyAlignment="1">
      <alignment horizontal="center" vertical="top"/>
    </xf>
    <xf numFmtId="10" fontId="8" fillId="0" borderId="27" xfId="1" applyNumberFormat="1" applyFont="1" applyFill="1" applyBorder="1" applyAlignment="1">
      <alignment horizontal="center" vertical="top"/>
    </xf>
    <xf numFmtId="10" fontId="8" fillId="0" borderId="28" xfId="1" applyNumberFormat="1" applyFont="1" applyFill="1" applyBorder="1" applyAlignment="1">
      <alignment horizontal="center" vertical="top"/>
    </xf>
    <xf numFmtId="10" fontId="9" fillId="0" borderId="42" xfId="1" applyNumberFormat="1" applyFont="1" applyFill="1" applyBorder="1" applyAlignment="1">
      <alignment horizontal="center" vertical="top"/>
    </xf>
    <xf numFmtId="10" fontId="9" fillId="0" borderId="43" xfId="1" applyNumberFormat="1" applyFont="1" applyFill="1" applyBorder="1" applyAlignment="1">
      <alignment horizontal="center" vertical="top"/>
    </xf>
    <xf numFmtId="10" fontId="9" fillId="0" borderId="36" xfId="1" applyNumberFormat="1" applyFont="1" applyFill="1" applyBorder="1" applyAlignment="1">
      <alignment horizontal="center" vertical="top"/>
    </xf>
    <xf numFmtId="10" fontId="9" fillId="0" borderId="37" xfId="1" applyNumberFormat="1" applyFont="1" applyFill="1" applyBorder="1" applyAlignment="1">
      <alignment horizontal="center" vertical="top"/>
    </xf>
    <xf numFmtId="10" fontId="9" fillId="0" borderId="39" xfId="1" applyNumberFormat="1" applyFont="1" applyFill="1" applyBorder="1" applyAlignment="1">
      <alignment horizontal="center" vertical="top"/>
    </xf>
    <xf numFmtId="10" fontId="9" fillId="0" borderId="40" xfId="1" applyNumberFormat="1" applyFont="1" applyFill="1" applyBorder="1" applyAlignment="1">
      <alignment horizontal="center" vertical="top"/>
    </xf>
    <xf numFmtId="0" fontId="6" fillId="9" borderId="33" xfId="0" applyFont="1" applyFill="1" applyBorder="1" applyAlignment="1">
      <alignment horizontal="center" vertical="top"/>
    </xf>
    <xf numFmtId="0" fontId="6" fillId="9" borderId="33" xfId="0" quotePrefix="1" applyFont="1" applyFill="1" applyBorder="1" applyAlignment="1">
      <alignment horizontal="center" vertical="top"/>
    </xf>
    <xf numFmtId="0" fontId="6" fillId="9" borderId="34" xfId="0" quotePrefix="1" applyFont="1" applyFill="1" applyBorder="1" applyAlignment="1">
      <alignment horizontal="center" vertical="top"/>
    </xf>
    <xf numFmtId="0" fontId="6" fillId="5" borderId="20" xfId="0" applyFont="1" applyFill="1" applyBorder="1" applyAlignment="1">
      <alignment horizontal="left"/>
    </xf>
    <xf numFmtId="0" fontId="11" fillId="0" borderId="30" xfId="0" applyFont="1" applyFill="1" applyBorder="1" applyAlignment="1">
      <alignment horizontal="left" vertical="top"/>
    </xf>
    <xf numFmtId="0" fontId="11" fillId="0" borderId="23" xfId="0" applyFont="1" applyFill="1" applyBorder="1" applyAlignment="1">
      <alignment horizontal="left" vertical="top"/>
    </xf>
    <xf numFmtId="0" fontId="11" fillId="0" borderId="26" xfId="0" applyFont="1" applyFill="1" applyBorder="1" applyAlignment="1">
      <alignment horizontal="left" vertical="top"/>
    </xf>
    <xf numFmtId="0" fontId="12" fillId="9" borderId="32" xfId="0" applyFont="1" applyFill="1" applyBorder="1" applyAlignment="1">
      <alignment horizontal="left" vertical="top"/>
    </xf>
    <xf numFmtId="0" fontId="11" fillId="0" borderId="41" xfId="0" applyFont="1" applyFill="1" applyBorder="1" applyAlignment="1">
      <alignment horizontal="left" vertical="top"/>
    </xf>
    <xf numFmtId="0" fontId="11" fillId="0" borderId="35" xfId="0" applyFont="1" applyFill="1" applyBorder="1" applyAlignment="1">
      <alignment horizontal="left" vertical="top"/>
    </xf>
    <xf numFmtId="0" fontId="11" fillId="0" borderId="38" xfId="0" applyFont="1" applyFill="1" applyBorder="1" applyAlignment="1">
      <alignment horizontal="left" vertical="top"/>
    </xf>
    <xf numFmtId="0" fontId="0" fillId="0" borderId="0" xfId="0" applyAlignment="1">
      <alignment vertical="top"/>
    </xf>
    <xf numFmtId="165" fontId="0" fillId="0" borderId="0" xfId="0" applyNumberFormat="1" applyFill="1"/>
    <xf numFmtId="0" fontId="3" fillId="0" borderId="0" xfId="0" applyFont="1" applyFill="1"/>
    <xf numFmtId="0" fontId="10" fillId="0" borderId="13" xfId="0" applyFont="1" applyFill="1" applyBorder="1" applyAlignment="1">
      <alignment horizontal="center" vertical="center"/>
    </xf>
    <xf numFmtId="0" fontId="11" fillId="0" borderId="14" xfId="0" applyFont="1" applyFill="1" applyBorder="1" applyAlignment="1">
      <alignment horizontal="center" vertical="top"/>
    </xf>
    <xf numFmtId="0" fontId="11" fillId="0" borderId="44" xfId="0" applyFont="1" applyFill="1" applyBorder="1" applyAlignment="1">
      <alignment horizontal="center" vertical="top"/>
    </xf>
    <xf numFmtId="14" fontId="11" fillId="0" borderId="14" xfId="0" applyNumberFormat="1" applyFont="1" applyFill="1" applyBorder="1" applyAlignment="1">
      <alignment horizontal="center" vertical="top"/>
    </xf>
    <xf numFmtId="14" fontId="11" fillId="0" borderId="44" xfId="0" applyNumberFormat="1" applyFont="1" applyFill="1" applyBorder="1" applyAlignment="1">
      <alignment horizontal="center" vertical="top"/>
    </xf>
    <xf numFmtId="0" fontId="6" fillId="0" borderId="0" xfId="0" applyFont="1" applyFill="1" applyBorder="1"/>
    <xf numFmtId="0" fontId="7" fillId="0" borderId="0" xfId="0" applyFont="1" applyFill="1" applyBorder="1" applyAlignment="1"/>
    <xf numFmtId="14" fontId="7" fillId="0" borderId="0" xfId="0" applyNumberFormat="1" applyFont="1" applyFill="1" applyBorder="1" applyAlignment="1"/>
    <xf numFmtId="0" fontId="6" fillId="5" borderId="45" xfId="0" applyFont="1" applyFill="1" applyBorder="1" applyAlignment="1">
      <alignment horizontal="center"/>
    </xf>
    <xf numFmtId="0" fontId="6" fillId="5" borderId="46" xfId="0" applyFont="1" applyFill="1" applyBorder="1" applyAlignment="1">
      <alignment horizontal="center"/>
    </xf>
    <xf numFmtId="0" fontId="6" fillId="5" borderId="47" xfId="0" applyFont="1" applyFill="1" applyBorder="1" applyAlignment="1">
      <alignment horizontal="center"/>
    </xf>
    <xf numFmtId="0" fontId="6" fillId="5" borderId="48" xfId="0" applyFont="1" applyFill="1" applyBorder="1" applyAlignment="1">
      <alignment horizontal="center"/>
    </xf>
    <xf numFmtId="0" fontId="6" fillId="5" borderId="49" xfId="0" applyFont="1" applyFill="1" applyBorder="1" applyAlignment="1">
      <alignment horizontal="center"/>
    </xf>
    <xf numFmtId="0" fontId="6" fillId="5" borderId="50" xfId="0" applyFont="1" applyFill="1" applyBorder="1" applyAlignment="1">
      <alignment horizontal="center"/>
    </xf>
    <xf numFmtId="164" fontId="8" fillId="19" borderId="1" xfId="0" applyNumberFormat="1" applyFont="1" applyFill="1" applyBorder="1" applyAlignment="1">
      <alignment horizontal="center" vertical="top"/>
    </xf>
    <xf numFmtId="164" fontId="8" fillId="19" borderId="10" xfId="0" applyNumberFormat="1" applyFont="1" applyFill="1" applyBorder="1" applyAlignment="1">
      <alignment horizontal="center" vertical="top"/>
    </xf>
    <xf numFmtId="164" fontId="8" fillId="20" borderId="1" xfId="0" applyNumberFormat="1" applyFont="1" applyFill="1" applyBorder="1" applyAlignment="1">
      <alignment horizontal="center" vertical="top"/>
    </xf>
    <xf numFmtId="164" fontId="8" fillId="20" borderId="10" xfId="0" applyNumberFormat="1" applyFont="1" applyFill="1" applyBorder="1" applyAlignment="1">
      <alignment horizontal="center" vertical="top"/>
    </xf>
    <xf numFmtId="164" fontId="8" fillId="20" borderId="11" xfId="0" applyNumberFormat="1" applyFont="1" applyFill="1" applyBorder="1" applyAlignment="1">
      <alignment horizontal="center" vertical="top"/>
    </xf>
    <xf numFmtId="164" fontId="8" fillId="20" borderId="12" xfId="0" applyNumberFormat="1" applyFont="1" applyFill="1" applyBorder="1" applyAlignment="1">
      <alignment horizontal="center" vertical="top"/>
    </xf>
    <xf numFmtId="0" fontId="6" fillId="5" borderId="54" xfId="0" applyFont="1" applyFill="1" applyBorder="1"/>
    <xf numFmtId="0" fontId="6" fillId="5" borderId="57" xfId="0" applyFont="1" applyFill="1" applyBorder="1"/>
    <xf numFmtId="0" fontId="10" fillId="5" borderId="47" xfId="0" applyFont="1" applyFill="1" applyBorder="1" applyAlignment="1">
      <alignment horizontal="center" vertical="center"/>
    </xf>
    <xf numFmtId="0" fontId="10" fillId="5" borderId="45" xfId="0" applyFont="1" applyFill="1" applyBorder="1" applyAlignment="1">
      <alignment horizontal="center" vertical="center"/>
    </xf>
    <xf numFmtId="0" fontId="10" fillId="5" borderId="51" xfId="0" applyFont="1" applyFill="1" applyBorder="1" applyAlignment="1">
      <alignment horizontal="center" vertical="center"/>
    </xf>
    <xf numFmtId="0" fontId="10" fillId="5" borderId="52" xfId="0" applyFont="1" applyFill="1" applyBorder="1" applyAlignment="1">
      <alignment horizontal="center" vertical="center"/>
    </xf>
    <xf numFmtId="0" fontId="10" fillId="5" borderId="53" xfId="0" applyFont="1" applyFill="1" applyBorder="1" applyAlignment="1">
      <alignment horizontal="center" vertical="center"/>
    </xf>
    <xf numFmtId="164" fontId="8" fillId="19" borderId="1" xfId="0" applyNumberFormat="1" applyFont="1" applyFill="1" applyBorder="1" applyAlignment="1">
      <alignment vertical="top"/>
    </xf>
    <xf numFmtId="164" fontId="8" fillId="19" borderId="10" xfId="0" applyNumberFormat="1" applyFont="1" applyFill="1" applyBorder="1" applyAlignment="1">
      <alignment vertical="top"/>
    </xf>
    <xf numFmtId="164" fontId="8" fillId="19" borderId="11" xfId="0" applyNumberFormat="1" applyFont="1" applyFill="1" applyBorder="1" applyAlignment="1">
      <alignment vertical="top"/>
    </xf>
    <xf numFmtId="164" fontId="8" fillId="19" borderId="12" xfId="0" applyNumberFormat="1" applyFont="1" applyFill="1" applyBorder="1" applyAlignment="1">
      <alignment vertical="top"/>
    </xf>
    <xf numFmtId="164" fontId="8" fillId="20" borderId="1" xfId="0" applyNumberFormat="1" applyFont="1" applyFill="1" applyBorder="1" applyAlignment="1">
      <alignment vertical="top"/>
    </xf>
    <xf numFmtId="164" fontId="8" fillId="20" borderId="10" xfId="0" applyNumberFormat="1" applyFont="1" applyFill="1" applyBorder="1" applyAlignment="1">
      <alignment vertical="top"/>
    </xf>
    <xf numFmtId="0" fontId="4" fillId="4" borderId="0" xfId="0" applyFont="1" applyFill="1" applyAlignment="1">
      <alignment vertical="center"/>
    </xf>
    <xf numFmtId="0" fontId="7" fillId="21" borderId="59" xfId="0" applyFont="1" applyFill="1" applyBorder="1" applyAlignment="1">
      <alignment horizontal="left" indent="1"/>
    </xf>
    <xf numFmtId="0" fontId="0" fillId="21" borderId="60" xfId="0" applyFill="1" applyBorder="1"/>
    <xf numFmtId="0" fontId="0" fillId="21" borderId="61" xfId="0" applyFill="1" applyBorder="1"/>
    <xf numFmtId="14" fontId="11" fillId="6" borderId="16" xfId="0" applyNumberFormat="1" applyFont="1" applyFill="1" applyBorder="1" applyAlignment="1">
      <alignment horizontal="center" vertical="top"/>
    </xf>
    <xf numFmtId="14" fontId="11" fillId="6" borderId="19" xfId="0" applyNumberFormat="1" applyFont="1" applyFill="1" applyBorder="1" applyAlignment="1">
      <alignment horizontal="center" vertical="top"/>
    </xf>
    <xf numFmtId="0" fontId="11" fillId="6" borderId="16" xfId="0" applyFont="1" applyFill="1" applyBorder="1" applyAlignment="1">
      <alignment horizontal="center" vertical="top"/>
    </xf>
    <xf numFmtId="0" fontId="11" fillId="6" borderId="17" xfId="0" applyFont="1" applyFill="1" applyBorder="1" applyAlignment="1">
      <alignment horizontal="center" vertical="top"/>
    </xf>
    <xf numFmtId="0" fontId="6" fillId="5" borderId="2" xfId="0" applyFont="1" applyFill="1" applyBorder="1" applyAlignment="1">
      <alignment horizontal="center"/>
    </xf>
    <xf numFmtId="0" fontId="6" fillId="5" borderId="3" xfId="0" applyFont="1" applyFill="1" applyBorder="1" applyAlignment="1">
      <alignment horizontal="center"/>
    </xf>
    <xf numFmtId="0" fontId="6" fillId="5" borderId="5" xfId="0" applyFont="1" applyFill="1" applyBorder="1" applyAlignment="1">
      <alignment horizontal="center"/>
    </xf>
    <xf numFmtId="0" fontId="6" fillId="5" borderId="6" xfId="0" applyFont="1" applyFill="1" applyBorder="1" applyAlignment="1">
      <alignment horizontal="center"/>
    </xf>
    <xf numFmtId="0" fontId="7" fillId="8" borderId="3" xfId="0" applyFont="1" applyFill="1" applyBorder="1" applyAlignment="1">
      <alignment horizontal="center"/>
    </xf>
    <xf numFmtId="0" fontId="7" fillId="8" borderId="4" xfId="0" applyFont="1" applyFill="1" applyBorder="1" applyAlignment="1">
      <alignment horizontal="center"/>
    </xf>
    <xf numFmtId="0" fontId="7" fillId="8" borderId="6" xfId="0" applyFont="1" applyFill="1" applyBorder="1" applyAlignment="1">
      <alignment horizontal="center"/>
    </xf>
    <xf numFmtId="0" fontId="7" fillId="8" borderId="7" xfId="0" applyFont="1" applyFill="1" applyBorder="1" applyAlignment="1">
      <alignment horizontal="center"/>
    </xf>
    <xf numFmtId="14" fontId="11" fillId="6" borderId="17" xfId="0" applyNumberFormat="1" applyFont="1" applyFill="1" applyBorder="1" applyAlignment="1">
      <alignment horizontal="center" vertical="top"/>
    </xf>
    <xf numFmtId="14" fontId="7" fillId="8" borderId="55" xfId="0" applyNumberFormat="1" applyFont="1" applyFill="1" applyBorder="1" applyAlignment="1"/>
    <xf numFmtId="0" fontId="7" fillId="8" borderId="58" xfId="0" applyFont="1" applyFill="1" applyBorder="1" applyAlignment="1"/>
    <xf numFmtId="0" fontId="7" fillId="8" borderId="55" xfId="0" applyFont="1" applyFill="1" applyBorder="1" applyAlignment="1"/>
    <xf numFmtId="0" fontId="7" fillId="8" borderId="56" xfId="0" applyFont="1" applyFill="1" applyBorder="1" applyAlignment="1"/>
    <xf numFmtId="0" fontId="0" fillId="17" borderId="0" xfId="0" applyFill="1" applyAlignment="1">
      <alignment horizontal="center"/>
    </xf>
    <xf numFmtId="0" fontId="0" fillId="11" borderId="0" xfId="0" applyFill="1" applyAlignment="1">
      <alignment horizontal="center"/>
    </xf>
    <xf numFmtId="0" fontId="0" fillId="18" borderId="0" xfId="0" applyFill="1" applyAlignment="1">
      <alignment horizontal="center"/>
    </xf>
    <xf numFmtId="0" fontId="0" fillId="10" borderId="0" xfId="0" applyFill="1" applyAlignment="1">
      <alignment horizontal="center"/>
    </xf>
    <xf numFmtId="0" fontId="0" fillId="12" borderId="0" xfId="0" applyFill="1" applyAlignment="1">
      <alignment horizontal="center"/>
    </xf>
    <xf numFmtId="0" fontId="0" fillId="13" borderId="0" xfId="0" applyFill="1" applyAlignment="1">
      <alignment horizontal="center"/>
    </xf>
    <xf numFmtId="0" fontId="0" fillId="14" borderId="0" xfId="0" applyFill="1" applyAlignment="1">
      <alignment horizontal="center"/>
    </xf>
    <xf numFmtId="0" fontId="0" fillId="15" borderId="0" xfId="0" applyFill="1" applyAlignment="1">
      <alignment horizontal="center"/>
    </xf>
    <xf numFmtId="0" fontId="0" fillId="16" borderId="0" xfId="0" applyFill="1" applyAlignment="1">
      <alignment horizontal="center"/>
    </xf>
    <xf numFmtId="0" fontId="13" fillId="4" borderId="62" xfId="0" applyFont="1" applyFill="1" applyBorder="1" applyAlignment="1">
      <alignment horizontal="left" vertical="top" wrapText="1"/>
    </xf>
    <xf numFmtId="0" fontId="13" fillId="4" borderId="0" xfId="0" applyFont="1" applyFill="1" applyAlignment="1">
      <alignment horizontal="left" vertical="top" wrapText="1"/>
    </xf>
  </cellXfs>
  <cellStyles count="2">
    <cellStyle name="Normal" xfId="0" builtinId="0"/>
    <cellStyle name="Percent" xfId="1" builtinId="5"/>
  </cellStyles>
  <dxfs count="6">
    <dxf>
      <font>
        <b/>
        <i val="0"/>
        <strike val="0"/>
      </font>
      <fill>
        <gradientFill>
          <stop position="0">
            <color theme="9" tint="-0.25098422193060094"/>
          </stop>
          <stop position="0.5">
            <color theme="9" tint="0.40000610370189521"/>
          </stop>
          <stop position="1">
            <color theme="9" tint="-0.25098422193060094"/>
          </stop>
        </gradientFill>
      </fill>
    </dxf>
    <dxf>
      <font>
        <b/>
        <i val="0"/>
        <strike val="0"/>
      </font>
      <fill>
        <gradientFill>
          <stop position="0">
            <color theme="9" tint="-0.25098422193060094"/>
          </stop>
          <stop position="0.5">
            <color theme="9" tint="0.40000610370189521"/>
          </stop>
          <stop position="1">
            <color theme="9" tint="-0.25098422193060094"/>
          </stop>
        </gradientFill>
      </fill>
    </dxf>
    <dxf>
      <fill>
        <patternFill>
          <bgColor theme="0"/>
        </patternFill>
      </fill>
    </dxf>
    <dxf>
      <font>
        <b/>
        <i val="0"/>
        <strike val="0"/>
      </font>
      <fill>
        <gradientFill>
          <stop position="0">
            <color theme="9" tint="-0.25098422193060094"/>
          </stop>
          <stop position="0.5">
            <color theme="9" tint="0.40000610370189521"/>
          </stop>
          <stop position="1">
            <color theme="9" tint="-0.25098422193060094"/>
          </stop>
        </gradientFill>
      </fill>
    </dxf>
    <dxf>
      <font>
        <b/>
        <i val="0"/>
        <strike val="0"/>
      </font>
      <fill>
        <gradientFill>
          <stop position="0">
            <color theme="9" tint="-0.25098422193060094"/>
          </stop>
          <stop position="0.5">
            <color theme="9" tint="0.40000610370189521"/>
          </stop>
          <stop position="1">
            <color theme="9" tint="-0.25098422193060094"/>
          </stop>
        </gradientFill>
      </fill>
    </dxf>
    <dxf>
      <font>
        <color theme="1"/>
      </font>
      <fill>
        <patternFill patternType="solid">
          <fgColor theme="0"/>
          <bgColor auto="1"/>
        </patternFill>
      </fill>
    </dxf>
  </dxfs>
  <tableStyles count="0" defaultTableStyle="TableStyleMedium9" defaultPivotStyle="PivotStyleLight16"/>
  <colors>
    <mruColors>
      <color rgb="FF8E000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volatileDependencies.xml><?xml version="1.0" encoding="utf-8"?>
<volTypes xmlns="http://schemas.openxmlformats.org/spreadsheetml/2006/main">
  <volType type="realTimeData">
    <main first="bloomberg.rtd">
      <tp t="s">
        <v>#N/A Requesting Data...</v>
        <stp/>
        <stp>##V3_BDPV12</stp>
        <stp>EDU3 Comdty</stp>
        <stp>last price</stp>
        <stp>[xhssa.xlsm]USA!R81C2</stp>
        <tr r="B81" s="1"/>
      </tp>
      <tp>
        <v>98.71</v>
        <stp/>
        <stp>##V3_BDPV12</stp>
        <stp>EDU8 Comdty</stp>
        <stp>last price</stp>
        <stp>[xhssa.xlsm]USA!R61C2</stp>
        <tr r="B61" s="1"/>
      </tp>
      <tp t="s">
        <v>#N/A Requesting Data...</v>
        <stp/>
        <stp>##V3_BDPV12</stp>
        <stp>EDH1 Comdty</stp>
        <stp>last price</stp>
        <stp>[xhssa.xlsm]USA!R71C2</stp>
        <tr r="B71" s="1"/>
      </tp>
      <tp t="s">
        <v>#N/A Requesting Data...</v>
        <stp/>
        <stp>##V3_BDPV12</stp>
        <stp>EDH6 Comdty</stp>
        <stp>last price</stp>
        <stp>[xhssa.xlsm]USA!R51C2</stp>
        <tr r="B51" s="1"/>
      </tp>
      <tp t="s">
        <v>#N/A Requesting Data...</v>
        <stp/>
        <stp>##V3_BDHV12</stp>
        <stp>USSW10 curncy</stp>
        <stp>px last</stp>
        <stp>ed-2ay</stp>
        <stp/>
        <stp>[xhssa.xlsm]SWPS!R13C6</stp>
        <stp>Sort=d</stp>
        <stp>Dts=H</stp>
        <stp>cols=1;rows=522</stp>
        <tr r="F13" s="2"/>
      </tp>
      <tp t="s">
        <v>#N/A Requesting Data...</v>
        <stp/>
        <stp>##V3_BDHV12</stp>
        <stp>USSW30 curncy</stp>
        <stp>px last</stp>
        <stp>ed-2ay</stp>
        <stp/>
        <stp>[xhssa.xlsm]SWPS!R13C7</stp>
        <stp>Sort=d</stp>
        <stp>Dts=H</stp>
        <stp>cols=1;rows=522</stp>
        <tr r="G13" s="2"/>
      </tp>
      <tp t="s">
        <v>#N/A Requesting Data...</v>
        <stp/>
        <stp>##V3_BDPV12</stp>
        <stp>EDZ0 Comdty</stp>
        <stp>last price</stp>
        <stp>[xhssa.xlsm]USA!R70C2</stp>
        <tr r="B70" s="1"/>
      </tp>
      <tp t="s">
        <v>#N/A Requesting Data...</v>
        <stp/>
        <stp>##V3_BDPV12</stp>
        <stp>EDZ5 Comdty</stp>
        <stp>last price</stp>
        <stp>[xhssa.xlsm]USA!R50C2</stp>
        <tr r="B50" s="1"/>
      </tp>
      <tp t="s">
        <v>#N/A Requesting Data...</v>
        <stp/>
        <stp>##V3_BDPV12</stp>
        <stp>EDM3 Comdty</stp>
        <stp>last price</stp>
        <stp>[xhssa.xlsm]USA!R80C2</stp>
        <tr r="B80" s="1"/>
      </tp>
      <tp>
        <v>98.754999999999995</v>
        <stp/>
        <stp>##V3_BDPV12</stp>
        <stp>EDM8 Comdty</stp>
        <stp>last price</stp>
        <stp>[xhssa.xlsm]USA!R60C2</stp>
        <tr r="B60" s="1"/>
      </tp>
      <tp t="s">
        <v>#N/A Requesting Data...</v>
        <stp/>
        <stp>##V3_BDHV12</stp>
        <stp>GTCAD10Y govt</stp>
        <stp>YLD_CNV_MID</stp>
        <stp>ed-2ay</stp>
        <stp/>
        <stp>[xhssa.xlsm]TRSYS Canada!R13C6</stp>
        <stp>Dts=H</stp>
        <stp>Sort=D</stp>
        <stp>cols=1;rows=522</stp>
        <tr r="F13" s="9"/>
      </tp>
      <tp t="s">
        <v>#N/A Requesting Data...</v>
        <stp/>
        <stp>##V3_BDHV12</stp>
        <stp>GTCAD30Y govt</stp>
        <stp>YLD_CNV_MID</stp>
        <stp>ed-2ay</stp>
        <stp/>
        <stp>[xhssa.xlsm]TRSYS Canada!R13C7</stp>
        <stp>Dts=H</stp>
        <stp>Sort=D</stp>
        <stp>cols=1;rows=522</stp>
        <tr r="G13" s="9"/>
      </tp>
      <tp t="s">
        <v>#N/A Requesting Data...</v>
        <stp/>
        <stp>##V3_BDPV12</stp>
        <stp>EDU1 Comdty</stp>
        <stp>last price</stp>
        <stp>[xhssa.xlsm]USA!R73C2</stp>
        <tr r="B73" s="1"/>
      </tp>
      <tp t="s">
        <v>#N/A Requesting Data...</v>
        <stp/>
        <stp>##V3_BDPV12</stp>
        <stp>EDU6 Comdty</stp>
        <stp>last price</stp>
        <stp>[xhssa.xlsm]USA!R53C2</stp>
        <tr r="B53" s="1"/>
      </tp>
      <tp t="s">
        <v>#N/A Requesting Data...</v>
        <stp/>
        <stp>##V3_BDPV12</stp>
        <stp>EDH4 Comdty</stp>
        <stp>last price</stp>
        <stp>[xhssa.xlsm]USA!R83C2</stp>
        <tr r="B83" s="1"/>
      </tp>
      <tp>
        <v>98.63</v>
        <stp/>
        <stp>##V3_BDPV12</stp>
        <stp>EDH9 Comdty</stp>
        <stp>last price</stp>
        <stp>[xhssa.xlsm]USA!R63C2</stp>
        <tr r="B63" s="1"/>
      </tp>
      <tp t="s">
        <v>#N/A Requesting Data...</v>
        <stp/>
        <stp>##V3_BDPV12</stp>
        <stp>EDZ3 Comdty</stp>
        <stp>last price</stp>
        <stp>[xhssa.xlsm]USA!R82C2</stp>
        <tr r="B82" s="1"/>
      </tp>
      <tp>
        <v>98.66</v>
        <stp/>
        <stp>##V3_BDPV12</stp>
        <stp>EDZ8 Comdty</stp>
        <stp>last price</stp>
        <stp>[xhssa.xlsm]USA!R62C2</stp>
        <tr r="B62" s="1"/>
      </tp>
      <tp t="s">
        <v>#N/A Requesting Data...</v>
        <stp/>
        <stp>##V3_BDPV12</stp>
        <stp>EDM1 Comdty</stp>
        <stp>last price</stp>
        <stp>[xhssa.xlsm]USA!R72C2</stp>
        <tr r="B72" s="1"/>
      </tp>
      <tp t="s">
        <v>#N/A Requesting Data...</v>
        <stp/>
        <stp>##V3_BDPV12</stp>
        <stp>EDM6 Comdty</stp>
        <stp>last price</stp>
        <stp>[xhssa.xlsm]USA!R52C2</stp>
        <tr r="B52" s="1"/>
      </tp>
      <tp t="s">
        <v>#N/A Requesting Data...</v>
        <stp/>
        <stp>##V3_BDPV12</stp>
        <stp>EDU4 Comdty</stp>
        <stp>last price</stp>
        <stp>[xhssa.xlsm]USA!R85C2</stp>
        <tr r="B85" s="1"/>
      </tp>
      <tp>
        <v>98.545000000000002</v>
        <stp/>
        <stp>##V3_BDPV12</stp>
        <stp>EDU9 Comdty</stp>
        <stp>last price</stp>
        <stp>[xhssa.xlsm]USA!R65C2</stp>
        <tr r="B65" s="1"/>
      </tp>
      <tp t="s">
        <v>#N/A Requesting Data...</v>
        <stp/>
        <stp>##V3_BDPV12</stp>
        <stp>EDM5 Comdty</stp>
        <stp>last price</stp>
        <stp>[xhssa.xlsm]USA!R45C2</stp>
        <tr r="B45" s="1"/>
      </tp>
      <tp t="s">
        <v>#N/A Requesting Data...</v>
        <stp/>
        <stp>##V3_BDPV12</stp>
        <stp>EDH2 Comdty</stp>
        <stp>last price</stp>
        <stp>[xhssa.xlsm]USA!R75C2</stp>
        <tr r="B75" s="1"/>
      </tp>
      <tp>
        <v>98.99</v>
        <stp/>
        <stp>##V3_BDPV12</stp>
        <stp>EDH7 Comdty</stp>
        <stp>last price</stp>
        <stp>[xhssa.xlsm]USA!R55C2</stp>
        <tr r="B55" s="1"/>
      </tp>
      <tp t="s">
        <v>#N/A Requesting Data...</v>
        <stp/>
        <stp>##V3_BDPV12</stp>
        <stp>EDZ1 Comdty</stp>
        <stp>last price</stp>
        <stp>[xhssa.xlsm]USA!R74C2</stp>
        <tr r="B74" s="1"/>
      </tp>
      <tp>
        <v>99.04</v>
        <stp/>
        <stp>##V3_BDPV12</stp>
        <stp>EDZ6 Comdty</stp>
        <stp>last price</stp>
        <stp>[xhssa.xlsm]USA!R54C2</stp>
        <tr r="B54" s="1"/>
      </tp>
      <tp t="s">
        <v>#N/A Requesting Data...</v>
        <stp/>
        <stp>##V3_BDPV12</stp>
        <stp>EDM4 Comdty</stp>
        <stp>last price</stp>
        <stp>[xhssa.xlsm]USA!R84C2</stp>
        <tr r="B84" s="1"/>
      </tp>
      <tp>
        <v>98.584999999999994</v>
        <stp/>
        <stp>##V3_BDPV12</stp>
        <stp>EDM9 Comdty</stp>
        <stp>last price</stp>
        <stp>[xhssa.xlsm]USA!R64C2</stp>
        <tr r="B64" s="1"/>
      </tp>
      <tp t="s">
        <v>#N/A Requesting Data...</v>
        <stp/>
        <stp>##V3_BDPV12</stp>
        <stp>EDU2 Comdty</stp>
        <stp>last price</stp>
        <stp>[xhssa.xlsm]USA!R77C2</stp>
        <tr r="B77" s="1"/>
      </tp>
      <tp>
        <v>98.885000000000005</v>
        <stp/>
        <stp>##V3_BDPV12</stp>
        <stp>EDU7 Comdty</stp>
        <stp>last price</stp>
        <stp>[xhssa.xlsm]USA!R57C2</stp>
        <tr r="B57" s="1"/>
      </tp>
      <tp t="s">
        <v>#N/A Requesting Data...</v>
        <stp/>
        <stp>##V3_BDPV12</stp>
        <stp>EDQ5 Comdty</stp>
        <stp>last price</stp>
        <stp>[xhssa.xlsm]USA!R47C2</stp>
        <tr r="B47" s="1"/>
      </tp>
      <tp t="s">
        <v>#N/A Requesting Data...</v>
        <stp/>
        <stp>##V3_BDPV12</stp>
        <stp>EDH0 Comdty</stp>
        <stp>last price</stp>
        <stp>[xhssa.xlsm]USA!R67C2</stp>
        <tr r="B67" s="1"/>
      </tp>
      <tp t="s">
        <v>#N/A Requesting Data...</v>
        <stp/>
        <stp>##V3_BDPV12</stp>
        <stp>EDH5 Comdty</stp>
        <stp>last price</stp>
        <stp>[xhssa.xlsm]USA!R87C2</stp>
        <tr r="B87" s="1"/>
      </tp>
      <tp t="s">
        <v>#N/A Requesting Data...</v>
        <stp/>
        <stp>##V3_BDPV12</stp>
        <stp>EDZ4 Comdty</stp>
        <stp>last price</stp>
        <stp>[xhssa.xlsm]USA!R86C2</stp>
        <tr r="B86" s="1"/>
      </tp>
      <tp t="s">
        <v>#N/A Requesting Data...</v>
        <stp/>
        <stp>##V3_BDPV12</stp>
        <stp>EDZ9 Comdty</stp>
        <stp>last price</stp>
        <stp>[xhssa.xlsm]USA!R66C2</stp>
        <tr r="B66" s="1"/>
      </tp>
      <tp t="s">
        <v>#N/A Requesting Data...</v>
        <stp/>
        <stp>##V3_BDPV12</stp>
        <stp>EDN5 Comdty</stp>
        <stp>last price</stp>
        <stp>[xhssa.xlsm]USA!R46C2</stp>
        <tr r="B46" s="1"/>
      </tp>
      <tp t="s">
        <v>#N/A Requesting Data...</v>
        <stp/>
        <stp>##V3_BDPV12</stp>
        <stp>EDM2 Comdty</stp>
        <stp>last price</stp>
        <stp>[xhssa.xlsm]USA!R76C2</stp>
        <tr r="B76" s="1"/>
      </tp>
      <tp>
        <v>98.93</v>
        <stp/>
        <stp>##V3_BDPV12</stp>
        <stp>EDM7 Comdty</stp>
        <stp>last price</stp>
        <stp>[xhssa.xlsm]USA!R56C2</stp>
        <tr r="B56" s="1"/>
      </tp>
    </main>
    <main first="bloomberg.rtd">
      <tp t="s">
        <v>#N/A Requesting Data...</v>
        <stp/>
        <stp>##V3_BDPV12</stp>
        <stp>EDV5 Comdty</stp>
        <stp>last price</stp>
        <stp>[xhssa.xlsm]USA!R49C2</stp>
        <tr r="B49" s="1"/>
      </tp>
      <tp t="s">
        <v>#N/A Requesting Data...</v>
        <stp/>
        <stp>##V3_BDPV12</stp>
        <stp>EDU0 Comdty</stp>
        <stp>last price</stp>
        <stp>[xhssa.xlsm]USA!R69C2</stp>
        <tr r="B69" s="1"/>
      </tp>
      <tp t="s">
        <v>#N/A Requesting Data...</v>
        <stp/>
        <stp>##V3_BDPV12</stp>
        <stp>EDH3 Comdty</stp>
        <stp>last price</stp>
        <stp>[xhssa.xlsm]USA!R79C2</stp>
        <tr r="B79" s="1"/>
      </tp>
      <tp>
        <v>98.795000000000002</v>
        <stp/>
        <stp>##V3_BDPV12</stp>
        <stp>EDH8 Comdty</stp>
        <stp>last price</stp>
        <stp>[xhssa.xlsm]USA!R59C2</stp>
        <tr r="B59" s="1"/>
      </tp>
      <tp t="s">
        <v>#N/A Requesting Data...</v>
        <stp/>
        <stp>##V3_BDPV12</stp>
        <stp>EDU5 Comdty</stp>
        <stp>last price</stp>
        <stp>[xhssa.xlsm]USA!R48C2</stp>
        <tr r="B48" s="1"/>
      </tp>
      <tp t="s">
        <v>#N/A Requesting Data...</v>
        <stp/>
        <stp>##V3_BDPV12</stp>
        <stp>EDZ2 Comdty</stp>
        <stp>last price</stp>
        <stp>[xhssa.xlsm]USA!R78C2</stp>
        <tr r="B78" s="1"/>
      </tp>
      <tp>
        <v>98.83</v>
        <stp/>
        <stp>##V3_BDPV12</stp>
        <stp>EDZ7 Comdty</stp>
        <stp>last price</stp>
        <stp>[xhssa.xlsm]USA!R58C2</stp>
        <tr r="B58" s="1"/>
      </tp>
      <tp t="s">
        <v>#N/A Requesting Data...</v>
        <stp/>
        <stp>##V3_BDPV12</stp>
        <stp>EDM0 Comdty</stp>
        <stp>last price</stp>
        <stp>[xhssa.xlsm]USA!R68C2</stp>
        <tr r="B68" s="1"/>
      </tp>
      <tp t="s">
        <v>#N/A Requesting Data...</v>
        <stp/>
        <stp>##V3_BDHV12</stp>
        <stp>GT2 govt</stp>
        <stp>YLD_CNV_MID</stp>
        <stp>ed-2ay</stp>
        <stp/>
        <stp>[xhssa.xlsm]TRSYS!R13C1</stp>
        <stp>Sort=D</stp>
        <stp>cols=2;rows=522</stp>
        <tr r="A13" s="5"/>
      </tp>
    </main>
    <main first="bloomberg.rtd">
      <tp t="s">
        <v>BAM6</v>
        <stp/>
        <stp>##V3_BDPV12</stp>
        <stp>BAM6 Comdty</stp>
        <stp>TICKER</stp>
        <stp>[XHSSA Historical Treasury Spread Analysis - .xlsm]Canada!R48C6</stp>
        <tr r="F48" s="7"/>
      </tp>
      <tp t="s">
        <v>EDM6</v>
        <stp/>
        <stp>##V3_BDPV12</stp>
        <stp>EDM6 Comdty</stp>
        <stp>TICKER</stp>
        <stp>[XHSSA Historical Treasury Spread Analysis - .xlsm]USA!R48C6</stp>
        <tr r="F48" s="1"/>
      </tp>
      <tp t="s">
        <v>EDZ8</v>
        <stp/>
        <stp>##V3_BDPV12</stp>
        <stp>EDZ8 Comdty</stp>
        <stp>TICKER</stp>
        <stp>[XHSSA Historical Treasury Spread Analysis - .xlsm]USA!R58C6</stp>
        <tr r="F58" s="1"/>
      </tp>
      <tp t="s">
        <v>#N/A Invalid Security</v>
        <stp/>
        <stp>##V3_BDHV12</stp>
        <stp>#N/A Invalid Security comdty</stp>
        <stp>px last</stp>
        <stp>01/01/2015</stp>
        <stp>31/03/2015</stp>
        <stp>[XHSSA Historical Treasury Spread Analysis - .xlsm]Calc Canada!R2C1</stp>
        <stp>Sort=D</stp>
        <tr r="A2" s="10"/>
      </tp>
      <tp t="s">
        <v>BAU6</v>
        <stp/>
        <stp>##V3_BDPV12</stp>
        <stp>BAU6 Comdty</stp>
        <stp>TICKER</stp>
        <stp>[XHSSA Historical Treasury Spread Analysis - .xlsm]Canada!R49C6</stp>
        <tr r="F49" s="7"/>
      </tp>
      <tp t="s">
        <v>EDH9</v>
        <stp/>
        <stp>##V3_BDPV12</stp>
        <stp>EDH9 Comdty</stp>
        <stp>TICKER</stp>
        <stp>[XHSSA Historical Treasury Spread Analysis - .xlsm]USA!R59C6</stp>
        <tr r="F59" s="1"/>
      </tp>
      <tp t="s">
        <v>EDU6</v>
        <stp/>
        <stp>##V3_BDPV12</stp>
        <stp>EDU6 Comdty</stp>
        <stp>TICKER</stp>
        <stp>[XHSSA Historical Treasury Spread Analysis - .xlsm]USA!R49C6</stp>
        <tr r="F49" s="1"/>
      </tp>
      <tp t="s">
        <v>#N/A Requesting Data...</v>
        <stp/>
        <stp>##V3_BDHV12</stp>
        <stp>BAU6 comdty</stp>
        <stp>px last</stp>
        <stp>01/01/2015</stp>
        <stp>31/03/2015</stp>
        <stp>[XHSSA Historical Treasury Spread Analysis - .xlsm]Calc Canada!R2C7</stp>
        <stp>Dts=H</stp>
        <stp>Sort=D</stp>
        <tr r="G2" s="10"/>
      </tp>
      <tp t="s">
        <v>#N/A Requesting Data...</v>
        <stp/>
        <stp>##V3_BDHV12</stp>
        <stp>BAM6 comdty</stp>
        <stp>px last</stp>
        <stp>01/01/2015</stp>
        <stp>31/03/2015</stp>
        <stp>[XHSSA Historical Treasury Spread Analysis - .xlsm]Calc Canada!R2C6</stp>
        <stp>Dts=H</stp>
        <stp>Sort=D</stp>
        <tr r="F2" s="10"/>
      </tp>
      <tp t="s">
        <v>#N/A Requesting Data...</v>
        <stp/>
        <stp>##V3_BDHV12</stp>
        <stp>BAH6 comdty</stp>
        <stp>px last</stp>
        <stp>01/01/2015</stp>
        <stp>31/03/2015</stp>
        <stp>[XHSSA Historical Treasury Spread Analysis - .xlsm]Calc Canada!R2C5</stp>
        <stp>Dts=H</stp>
        <stp>Sort=D</stp>
        <tr r="E2" s="10"/>
      </tp>
      <tp t="s">
        <v>#N/A Requesting Data...</v>
        <stp/>
        <stp>##V3_BDHV12</stp>
        <stp>BAZ6 comdty</stp>
        <stp>px last</stp>
        <stp>01/01/2015</stp>
        <stp>31/03/2015</stp>
        <stp>[XHSSA Historical Treasury Spread Analysis - .xlsm]Calc Canada!R2C8</stp>
        <stp>Dts=H</stp>
        <stp>Sort=D</stp>
        <tr r="H2" s="10"/>
      </tp>
      <tp t="s">
        <v>#N/A Requesting Data...</v>
        <stp/>
        <stp>##V3_BDHV12</stp>
        <stp>BAH7 comdty</stp>
        <stp>px last</stp>
        <stp>01/01/2015</stp>
        <stp>31/03/2015</stp>
        <stp>[XHSSA Historical Treasury Spread Analysis - .xlsm]Calc Canada!R2C9</stp>
        <stp>Dts=H</stp>
        <stp>Sort=D</stp>
        <tr r="I2" s="10"/>
      </tp>
      <tp t="s">
        <v>#N/A Requesting Data...</v>
        <stp/>
        <stp>##V3_BDHV12</stp>
        <stp>BAZ5 comdty</stp>
        <stp>px last</stp>
        <stp>01/01/2015</stp>
        <stp>31/03/2015</stp>
        <stp>[XHSSA Historical Treasury Spread Analysis - .xlsm]Calc Canada!R2C4</stp>
        <stp>Dts=H</stp>
        <stp>Sort=D</stp>
        <tr r="D2" s="10"/>
      </tp>
      <tp t="s">
        <v>#N/A Requesting Data...</v>
        <stp/>
        <stp>##V3_BDHV12</stp>
        <stp>CDSW2 curncy</stp>
        <stp>px last</stp>
        <stp>ed-2ay</stp>
        <stp/>
        <stp>[xhssa.xlsm]SWPS Canada!R13C1</stp>
        <stp>Sort=d</stp>
        <stp>cols=2;rows=521</stp>
        <tr r="A13" s="8"/>
      </tp>
      <tp t="s">
        <v>BAU7</v>
        <stp/>
        <stp>##V3_BDPV12</stp>
        <stp>BAU7 Comdty</stp>
        <stp>TICKER</stp>
        <stp>[XHSSA Historical Treasury Spread Analysis - .xlsm]Canada!R53C6</stp>
        <tr r="F53" s="7"/>
      </tp>
      <tp t="s">
        <v>EDM7</v>
        <stp/>
        <stp>##V3_BDPV12</stp>
        <stp>EDM7 Comdty</stp>
        <stp>TICKER</stp>
        <stp>[XHSSA Historical Treasury Spread Analysis - .xlsm]USA!R52C6</stp>
        <tr r="F52" s="1"/>
      </tp>
      <tp t="s">
        <v>EDZ9</v>
        <stp/>
        <stp>##V3_BDPV12</stp>
        <stp>EDZ9 Comdty</stp>
        <stp>TICKER</stp>
        <stp>[XHSSA Historical Treasury Spread Analysis - .xlsm]USA!R62C6</stp>
        <tr r="F62" s="1"/>
      </tp>
      <tp t="s">
        <v>BAM7</v>
        <stp/>
        <stp>##V3_BDPV12</stp>
        <stp>BAM7 Comdty</stp>
        <stp>TICKER</stp>
        <stp>[XHSSA Historical Treasury Spread Analysis - .xlsm]Canada!R52C6</stp>
        <tr r="F52" s="7"/>
      </tp>
      <tp t="s">
        <v>EDH0</v>
        <stp/>
        <stp>##V3_BDPV12</stp>
        <stp>EDH0 Comdty</stp>
        <stp>TICKER</stp>
        <stp>[XHSSA Historical Treasury Spread Analysis - .xlsm]USA!R63C6</stp>
        <tr r="F63" s="1"/>
      </tp>
      <tp t="s">
        <v>EDU7</v>
        <stp/>
        <stp>##V3_BDPV12</stp>
        <stp>EDU7 Comdty</stp>
        <stp>TICKER</stp>
        <stp>[XHSSA Historical Treasury Spread Analysis - .xlsm]USA!R53C6</stp>
        <tr r="F53" s="1"/>
      </tp>
      <tp t="s">
        <v>#N/A Requesting Data...</v>
        <stp/>
        <stp>##V3_BDHV12</stp>
        <stp>USSW2 curncy</stp>
        <stp>px last</stp>
        <stp>ed-2ay</stp>
        <stp/>
        <stp>[xhssa.xlsm]SWPS!R13C1</stp>
        <stp>Sort=d</stp>
        <stp>cols=2;rows=522</stp>
        <tr r="A13" s="2"/>
      </tp>
      <tp t="s">
        <v>BAH7</v>
        <stp/>
        <stp>##V3_BDPV12</stp>
        <stp>BAH7 Comdty</stp>
        <stp>TICKER</stp>
        <stp>[XHSSA Historical Treasury Spread Analysis - .xlsm]Canada!R51C6</stp>
        <tr r="F51" s="7"/>
      </tp>
      <tp t="s">
        <v>BAZ6</v>
        <stp/>
        <stp>##V3_BDPV12</stp>
        <stp>BAZ6 Comdty</stp>
        <stp>TICKER</stp>
        <stp>[XHSSA Historical Treasury Spread Analysis - .xlsm]Canada!R50C6</stp>
        <tr r="F50" s="7"/>
      </tp>
      <tp t="s">
        <v>EDM9</v>
        <stp/>
        <stp>##V3_BDPV12</stp>
        <stp>EDM9 Comdty</stp>
        <stp>TICKER</stp>
        <stp>[XHSSA Historical Treasury Spread Analysis - .xlsm]USA!R60C6</stp>
        <tr r="F60" s="1"/>
      </tp>
      <tp t="s">
        <v>EDZ6</v>
        <stp/>
        <stp>##V3_BDPV12</stp>
        <stp>EDZ6 Comdty</stp>
        <stp>TICKER</stp>
        <stp>[XHSSA Historical Treasury Spread Analysis - .xlsm]USA!R50C6</stp>
        <tr r="F50" s="1"/>
      </tp>
      <tp t="s">
        <v>EDH7</v>
        <stp/>
        <stp>##V3_BDPV12</stp>
        <stp>EDH7 Comdty</stp>
        <stp>TICKER</stp>
        <stp>[XHSSA Historical Treasury Spread Analysis - .xlsm]USA!R51C6</stp>
        <tr r="F51" s="1"/>
      </tp>
      <tp t="s">
        <v>EDU9</v>
        <stp/>
        <stp>##V3_BDPV12</stp>
        <stp>EDU9 Comdty</stp>
        <stp>TICKER</stp>
        <stp>[XHSSA Historical Treasury Spread Analysis - .xlsm]USA!R61C6</stp>
        <tr r="F61" s="1"/>
      </tp>
      <tp t="s">
        <v>#N/A Invalid Security</v>
        <stp/>
        <stp>##V3_BDPV12</stp>
        <stp>BAU5 Comdty</stp>
        <stp>TICKER</stp>
        <stp>[XHSSA Historical Treasury Spread Analysis - .xlsm]Canada!R45C6</stp>
        <tr r="F45" s="7"/>
      </tp>
      <tp t="s">
        <v>EDM8</v>
        <stp/>
        <stp>##V3_BDPV12</stp>
        <stp>EDM8 Comdty</stp>
        <stp>TICKER</stp>
        <stp>[XHSSA Historical Treasury Spread Analysis - .xlsm]USA!R56C6</stp>
        <tr r="F56" s="1"/>
      </tp>
    </main>
    <main first="bloomberg.rtd">
      <tp t="s">
        <v>EDZ5</v>
        <stp/>
        <stp>##V3_BDPV12</stp>
        <stp>EDZ5 Comdty</stp>
        <stp>TICKER</stp>
        <stp>[XHSSA Historical Treasury Spread Analysis - .xlsm]USA!R46C6</stp>
        <tr r="F46" s="1"/>
      </tp>
      <tp t="s">
        <v>#N/A Invalid Security</v>
        <stp/>
        <stp>##V3_BDPV12</stp>
        <stp>BAM5 Comdty</stp>
        <stp>TICKER</stp>
        <stp>[XHSSA Historical Treasury Spread Analysis - .xlsm]Canada!R44C6</stp>
        <tr r="F44" s="7"/>
      </tp>
      <tp t="s">
        <v>BAH6</v>
        <stp/>
        <stp>##V3_BDPV12</stp>
        <stp>BAH6 Comdty</stp>
        <stp>TICKER</stp>
        <stp>[XHSSA Historical Treasury Spread Analysis - .xlsm]Canada!R47C6</stp>
        <tr r="F47" s="7"/>
      </tp>
      <tp t="s">
        <v>EDH6</v>
        <stp/>
        <stp>##V3_BDPV12</stp>
        <stp>EDH6 Comdty</stp>
        <stp>TICKER</stp>
        <stp>[XHSSA Historical Treasury Spread Analysis - .xlsm]USA!R47C6</stp>
        <tr r="F47" s="1"/>
      </tp>
      <tp t="s">
        <v>EDU8</v>
        <stp/>
        <stp>##V3_BDPV12</stp>
        <stp>EDU8 Comdty</stp>
        <stp>TICKER</stp>
        <stp>[XHSSA Historical Treasury Spread Analysis - .xlsm]USA!R57C6</stp>
        <tr r="F57" s="1"/>
      </tp>
      <tp t="s">
        <v>EDM5</v>
        <stp/>
        <stp>##V3_BDPV12</stp>
        <stp>EDM5 Comdty</stp>
        <stp>TICKER</stp>
        <stp>[XHSSA Historical Treasury Spread Analysis - .xlsm]USA!R44C6</stp>
        <tr r="F44" s="1"/>
      </tp>
      <tp t="s">
        <v>EDZ7</v>
        <stp/>
        <stp>##V3_BDPV12</stp>
        <stp>EDZ7 Comdty</stp>
        <stp>TICKER</stp>
        <stp>[XHSSA Historical Treasury Spread Analysis - .xlsm]USA!R54C6</stp>
        <tr r="F54" s="1"/>
      </tp>
      <tp t="s">
        <v>BAZ7</v>
        <stp/>
        <stp>##V3_BDPV12</stp>
        <stp>BAZ7 Comdty</stp>
        <stp>TICKER</stp>
        <stp>[XHSSA Historical Treasury Spread Analysis - .xlsm]Canada!R54C6</stp>
        <tr r="F54" s="7"/>
      </tp>
      <tp t="s">
        <v>BAZ5</v>
        <stp/>
        <stp>##V3_BDPV12</stp>
        <stp>BAZ5 Comdty</stp>
        <stp>TICKER</stp>
        <stp>[XHSSA Historical Treasury Spread Analysis - .xlsm]Canada!R46C6</stp>
        <tr r="F46" s="7"/>
      </tp>
      <tp t="s">
        <v>EDH8</v>
        <stp/>
        <stp>##V3_BDPV12</stp>
        <stp>EDH8 Comdty</stp>
        <stp>TICKER</stp>
        <stp>[XHSSA Historical Treasury Spread Analysis - .xlsm]USA!R55C6</stp>
        <tr r="F55" s="1"/>
      </tp>
      <tp t="s">
        <v>EDU5</v>
        <stp/>
        <stp>##V3_BDPV12</stp>
        <stp>EDU5 Comdty</stp>
        <stp>TICKER</stp>
        <stp>[XHSSA Historical Treasury Spread Analysis - .xlsm]USA!R45C6</stp>
        <tr r="F45" s="1"/>
      </tp>
      <tp t="s">
        <v>#N/A Requesting Data...</v>
        <stp/>
        <stp>##V3_BDHV12</stp>
        <stp>EDM5 comdty</stp>
        <stp>px last</stp>
        <stp>01/01/2015</stp>
        <stp>31/03/2015</stp>
        <stp>[XHSSA Historical Treasury Spread Analysis - .xlsm]Sheet3!R2C1</stp>
        <stp>Sort=D</stp>
        <tr r="A2" s="3"/>
      </tp>
    </main>
    <main first="bloomberg.rtd">
      <tp t="s">
        <v>#N/A Invalid Security</v>
        <stp/>
        <stp>##V3_BDPV12</stp>
        <stp/>
        <stp>last price</stp>
        <stp>[xhssa.xlsm]Canada!R69C2</stp>
        <tr r="B69" s="7"/>
      </tp>
      <tp t="s">
        <v>#N/A Invalid Security</v>
        <stp/>
        <stp>##V3_BDPV12</stp>
        <stp/>
        <stp>last price</stp>
        <stp>[xhssa.xlsm]Canada!R79C2</stp>
        <tr r="B79" s="7"/>
      </tp>
      <tp t="s">
        <v>#N/A Invalid Security</v>
        <stp/>
        <stp>##V3_BDPV12</stp>
        <stp/>
        <stp>last price</stp>
        <stp>[xhssa.xlsm]Canada!R59C2</stp>
        <tr r="B59" s="7"/>
      </tp>
      <tp t="s">
        <v>#N/A Requesting Data...</v>
        <stp/>
        <stp>##V3_BDHV12</stp>
        <stp>EDM6 comdty</stp>
        <stp>px last</stp>
        <stp>01/01/2015</stp>
        <stp>31/03/2015</stp>
        <stp>[XHSSA Historical Treasury Spread Analysis - .xlsm]Sheet3!R2C6</stp>
        <stp>Dts=H</stp>
        <stp>Sort=D</stp>
        <tr r="F2" s="3"/>
      </tp>
      <tp t="s">
        <v>#N/A Invalid Security</v>
        <stp/>
        <stp>##V3_BDPV12</stp>
        <stp/>
        <stp>last price</stp>
        <stp>[xhssa.xlsm]Canada!R68C2</stp>
        <tr r="B68" s="7"/>
      </tp>
      <tp t="s">
        <v>#N/A Invalid Security</v>
        <stp/>
        <stp>##V3_BDPV12</stp>
        <stp/>
        <stp>last price</stp>
        <stp>[xhssa.xlsm]Canada!R78C2</stp>
        <tr r="B78" s="7"/>
      </tp>
      <tp t="s">
        <v>#N/A Invalid Security</v>
        <stp/>
        <stp>##V3_BDPV12</stp>
        <stp/>
        <stp>last price</stp>
        <stp>[xhssa.xlsm]Canada!R58C2</stp>
        <tr r="B58" s="7"/>
      </tp>
      <tp t="s">
        <v>#N/A Invalid Security</v>
        <stp/>
        <stp>##V3_BDHV12</stp>
        <stp>#N/A Invalid Security comdty</stp>
        <stp>px last</stp>
        <stp>01/01/2015</stp>
        <stp>31/03/2015</stp>
        <stp>[XHSSA Historical Treasury Spread Analysis - .xlsm]Calc Canada!R2C3</stp>
        <stp>Dts=H</stp>
        <stp>Sort=D</stp>
        <tr r="C2" s="10"/>
      </tp>
      <tp t="s">
        <v>#N/A Requesting Data...</v>
        <stp/>
        <stp>##V3_BDHV12</stp>
        <stp>EDH6 comdty</stp>
        <stp>px last</stp>
        <stp>01/01/2015</stp>
        <stp>31/03/2015</stp>
        <stp>[XHSSA Historical Treasury Spread Analysis - .xlsm]Sheet3!R2C5</stp>
        <stp>Dts=H</stp>
        <stp>Sort=D</stp>
        <tr r="E2" s="3"/>
      </tp>
      <tp t="s">
        <v>#N/A Requesting Data...</v>
        <stp/>
        <stp>##V3_BDHV12</stp>
        <stp>EDH7 comdty</stp>
        <stp>px last</stp>
        <stp>01/01/2015</stp>
        <stp>31/03/2015</stp>
        <stp>[XHSSA Historical Treasury Spread Analysis - .xlsm]Sheet3!R2C9</stp>
        <stp>Dts=H</stp>
        <stp>Sort=D</stp>
        <tr r="I2" s="3"/>
      </tp>
      <tp t="s">
        <v>#N/A Invalid Security</v>
        <stp/>
        <stp>##V3_BDPV12</stp>
        <stp/>
        <stp>last price</stp>
        <stp>[xhssa.xlsm]Canada!R81C2</stp>
        <tr r="B81" s="7"/>
      </tp>
      <tp t="s">
        <v>#N/A Invalid Security</v>
        <stp/>
        <stp>##V3_BDPV12</stp>
        <stp/>
        <stp>last price</stp>
        <stp>[xhssa.xlsm]Canada!R61C2</stp>
        <tr r="B61" s="7"/>
      </tp>
      <tp t="s">
        <v>#N/A Invalid Security</v>
        <stp/>
        <stp>##V3_BDPV12</stp>
        <stp/>
        <stp>last price</stp>
        <stp>[xhssa.xlsm]Canada!R71C2</stp>
        <tr r="B71" s="7"/>
      </tp>
      <tp t="s">
        <v>#N/A Invalid Security</v>
        <stp/>
        <stp>##V3_BDPV12</stp>
        <stp/>
        <stp>last price</stp>
        <stp>[xhssa.xlsm]Canada!R80C2</stp>
        <tr r="B80" s="7"/>
      </tp>
      <tp t="s">
        <v>#N/A Invalid Security</v>
        <stp/>
        <stp>##V3_BDPV12</stp>
        <stp/>
        <stp>last price</stp>
        <stp>[xhssa.xlsm]Canada!R60C2</stp>
        <tr r="B60" s="7"/>
      </tp>
      <tp t="s">
        <v>#N/A Invalid Security</v>
        <stp/>
        <stp>##V3_BDPV12</stp>
        <stp/>
        <stp>last price</stp>
        <stp>[xhssa.xlsm]Canada!R70C2</stp>
        <tr r="B70" s="7"/>
      </tp>
      <tp t="s">
        <v>#N/A Invalid Security</v>
        <stp/>
        <stp>##V3_BDPV12</stp>
        <stp/>
        <stp>last price</stp>
        <stp>[xhssa.xlsm]Canada!R83C2</stp>
        <tr r="B83" s="7"/>
      </tp>
      <tp t="s">
        <v>#N/A Invalid Security</v>
        <stp/>
        <stp>##V3_BDPV12</stp>
        <stp/>
        <stp>last price</stp>
        <stp>[xhssa.xlsm]Canada!R63C2</stp>
        <tr r="B63" s="7"/>
      </tp>
      <tp t="s">
        <v>#N/A Invalid Security</v>
        <stp/>
        <stp>##V3_BDPV12</stp>
        <stp/>
        <stp>last price</stp>
        <stp>[xhssa.xlsm]Canada!R73C2</stp>
        <tr r="B73" s="7"/>
      </tp>
      <tp t="s">
        <v>#N/A Invalid Security</v>
        <stp/>
        <stp>##V3_BDPV12</stp>
        <stp/>
        <stp>last price</stp>
        <stp>[xhssa.xlsm]Canada!R82C2</stp>
        <tr r="B82" s="7"/>
      </tp>
      <tp t="s">
        <v>#N/A Invalid Security</v>
        <stp/>
        <stp>##V3_BDPV12</stp>
        <stp/>
        <stp>last price</stp>
        <stp>[xhssa.xlsm]Canada!R62C2</stp>
        <tr r="B62" s="7"/>
      </tp>
      <tp t="s">
        <v>#N/A Invalid Security</v>
        <stp/>
        <stp>##V3_BDPV12</stp>
        <stp/>
        <stp>last price</stp>
        <stp>[xhssa.xlsm]Canada!R72C2</stp>
        <tr r="B72" s="7"/>
      </tp>
      <tp t="s">
        <v>#N/A Invalid Security</v>
        <stp/>
        <stp>##V3_BDPV12</stp>
        <stp/>
        <stp>last price</stp>
        <stp>[xhssa.xlsm]Canada!R85C2</stp>
        <tr r="B85" s="7"/>
      </tp>
      <tp t="s">
        <v>#N/A Invalid Security</v>
        <stp/>
        <stp>##V3_BDPV12</stp>
        <stp/>
        <stp>last price</stp>
        <stp>[xhssa.xlsm]Canada!R65C2</stp>
        <tr r="B65" s="7"/>
      </tp>
      <tp t="s">
        <v>#N/A Invalid Security</v>
        <stp/>
        <stp>##V3_BDPV12</stp>
        <stp/>
        <stp>last price</stp>
        <stp>[xhssa.xlsm]Canada!R75C2</stp>
        <tr r="B75" s="7"/>
      </tp>
      <tp t="s">
        <v>#N/A Invalid Security</v>
        <stp/>
        <stp>##V3_BDPV12</stp>
        <stp/>
        <stp>last price</stp>
        <stp>[xhssa.xlsm]Canada!R84C2</stp>
        <tr r="B84" s="7"/>
      </tp>
      <tp t="s">
        <v>#N/A Invalid Security</v>
        <stp/>
        <stp>##V3_BDPV12</stp>
        <stp/>
        <stp>last price</stp>
        <stp>[xhssa.xlsm]Canada!R64C2</stp>
        <tr r="B64" s="7"/>
      </tp>
      <tp t="s">
        <v>#N/A Invalid Security</v>
        <stp/>
        <stp>##V3_BDPV12</stp>
        <stp/>
        <stp>last price</stp>
        <stp>[xhssa.xlsm]Canada!R74C2</stp>
        <tr r="B74" s="7"/>
      </tp>
      <tp t="s">
        <v>#N/A Invalid Security</v>
        <stp/>
        <stp>##V3_BDPV12</stp>
        <stp>#N/A Requesting Data...</stp>
        <stp>last price</stp>
        <stp>[xhssa.xlsm]USA!R44C2</stp>
        <tr r="B44" s="1"/>
      </tp>
      <tp t="s">
        <v>#N/A Invalid Security</v>
        <stp/>
        <stp>##V3_BDPV12</stp>
        <stp/>
        <stp>last price</stp>
        <stp>[xhssa.xlsm]Canada!R87C2</stp>
        <tr r="B87" s="7"/>
      </tp>
      <tp t="s">
        <v>#N/A Invalid Security</v>
        <stp/>
        <stp>##V3_BDPV12</stp>
        <stp/>
        <stp>last price</stp>
        <stp>[xhssa.xlsm]Canada!R67C2</stp>
        <tr r="B67" s="7"/>
      </tp>
      <tp t="s">
        <v>#N/A Invalid Security</v>
        <stp/>
        <stp>##V3_BDPV12</stp>
        <stp/>
        <stp>last price</stp>
        <stp>[xhssa.xlsm]Canada!R77C2</stp>
        <tr r="B77" s="7"/>
      </tp>
      <tp t="s">
        <v>#N/A Invalid Security</v>
        <stp/>
        <stp>##V3_BDPV12</stp>
        <stp/>
        <stp>last price</stp>
        <stp>[xhssa.xlsm]Canada!R86C2</stp>
        <tr r="B86" s="7"/>
      </tp>
      <tp t="s">
        <v>#N/A Invalid Security</v>
        <stp/>
        <stp>##V3_BDPV12</stp>
        <stp/>
        <stp>last price</stp>
        <stp>[xhssa.xlsm]Canada!R66C2</stp>
        <tr r="B66" s="7"/>
      </tp>
      <tp t="s">
        <v>#N/A Invalid Security</v>
        <stp/>
        <stp>##V3_BDPV12</stp>
        <stp/>
        <stp>last price</stp>
        <stp>[xhssa.xlsm]Canada!R76C2</stp>
        <tr r="B76" s="7"/>
      </tp>
    </main>
    <main first="bloomberg.rtd">
      <tp t="s">
        <v>#N/A Requesting Data...</v>
        <stp/>
        <stp>##V3_BDPV12</stp>
        <stp>USSW30 curncy</stp>
        <stp>px last</stp>
        <stp>[xhssa.xlsm]SWPS!R8C3</stp>
        <tr r="C8" s="2"/>
      </tp>
      <tp t="s">
        <v>#N/A Requesting Data...</v>
        <stp/>
        <stp>##V3_BDPV12</stp>
        <stp>BAH6 Comdty</stp>
        <stp>last price</stp>
        <stp>[xhssa.xlsm]Canada!R49C2</stp>
        <tr r="B49" s="7"/>
      </tp>
      <tp t="s">
        <v>#N/A Requesting Data...</v>
        <stp/>
        <stp>##V3_BDPV12</stp>
        <stp>BAZ5 Comdty</stp>
        <stp>last price</stp>
        <stp>[xhssa.xlsm]Canada!R48C2</stp>
        <tr r="B48" s="7"/>
      </tp>
      <tp t="s">
        <v>#N/A Requesting Data...</v>
        <stp/>
        <stp>##V3_BDHV12</stp>
        <stp>EDZ5 comdty</stp>
        <stp>px last</stp>
        <stp>01/01/2015</stp>
        <stp>31/03/2015</stp>
        <stp>[XHSSA Historical Treasury Spread Analysis - .xlsm]Sheet3!R2C4</stp>
        <stp>Dts=H</stp>
        <stp>Sort=D</stp>
        <tr r="D2" s="3"/>
      </tp>
      <tp t="s">
        <v>#N/A Requesting Data...</v>
        <stp/>
        <stp>##V3_BDHV12</stp>
        <stp>EDZ6 comdty</stp>
        <stp>px last</stp>
        <stp>01/01/2015</stp>
        <stp>31/03/2015</stp>
        <stp>[XHSSA Historical Treasury Spread Analysis - .xlsm]Sheet3!R2C8</stp>
        <stp>Dts=H</stp>
        <stp>Sort=D</stp>
        <tr r="H2" s="3"/>
      </tp>
    </main>
    <main first="bloomberg.rtd">
      <tp t="s">
        <v>#N/A Requesting Data...</v>
        <stp/>
        <stp>##V3_BDPV12</stp>
        <stp>BAU7 Comdty</stp>
        <stp>last price</stp>
        <stp>[xhssa.xlsm]Canada!R55C2</stp>
        <tr r="B55" s="7"/>
      </tp>
      <tp t="s">
        <v>#N/A Requesting Data...</v>
        <stp/>
        <stp>##V3_BDPV12</stp>
        <stp>BAM5 Comdty</stp>
        <stp>last price</stp>
        <stp>[xhssa.xlsm]Canada!R45C2</stp>
        <tr r="B45" s="7"/>
      </tp>
      <tp t="s">
        <v>#N/A Requesting Data...</v>
        <stp/>
        <stp>##V3_BDHV12</stp>
        <stp>EDU6 comdty</stp>
        <stp>px last</stp>
        <stp>01/01/2015</stp>
        <stp>31/03/2015</stp>
        <stp>[XHSSA Historical Treasury Spread Analysis - .xlsm]Sheet3!R2C7</stp>
        <stp>Dts=H</stp>
        <stp>Sort=D</stp>
        <tr r="G2" s="3"/>
      </tp>
      <tp t="s">
        <v>#N/A Requesting Data...</v>
        <stp/>
        <stp>##V3_BDHV12</stp>
        <stp>EDU5 comdty</stp>
        <stp>px last</stp>
        <stp>01/01/2015</stp>
        <stp>31/03/2015</stp>
        <stp>[XHSSA Historical Treasury Spread Analysis - .xlsm]Sheet3!R2C3</stp>
        <stp>Dts=H</stp>
        <stp>Sort=D</stp>
        <tr r="C2" s="3"/>
      </tp>
      <tp t="s">
        <v>#N/A Requesting Data...</v>
        <stp/>
        <stp>##V3_BDPV12</stp>
        <stp>USSW30 curncy</stp>
        <stp>px last</stp>
        <stp>[xhssa.xlsm]SWPS!R2C9</stp>
        <tr r="I2" s="2"/>
      </tp>
      <tp t="s">
        <v>#N/A Requesting Data...</v>
        <stp/>
        <stp>##V3_BDPV12</stp>
        <stp>BAM7 Comdty</stp>
        <stp>last price</stp>
        <stp>[xhssa.xlsm]Canada!R54C2</stp>
        <tr r="B54" s="7"/>
      </tp>
      <tp t="s">
        <v>#N/A Requesting Data...</v>
        <stp/>
        <stp>##V3_BDPV12</stp>
        <stp>BAU5 Comdty</stp>
        <stp>last price</stp>
        <stp>[xhssa.xlsm]Canada!R47C2</stp>
        <tr r="B47" s="7"/>
      </tp>
      <tp t="s">
        <v>#N/A Requesting Data...</v>
        <stp/>
        <stp>##V3_BDPV12</stp>
        <stp>BAH8 Comdty</stp>
        <stp>last price</stp>
        <stp>[xhssa.xlsm]Canada!R57C2</stp>
        <tr r="B57" s="7"/>
      </tp>
      <tp t="s">
        <v>#N/A Requesting Data...</v>
        <stp/>
        <stp>##V3_BDPV12</stp>
        <stp>USSW10 curncy</stp>
        <stp>px last</stp>
        <stp>[xhssa.xlsm]SWPS!R2C8</stp>
        <tr r="H2" s="2"/>
      </tp>
      <tp t="s">
        <v>#N/A Requesting Data...</v>
        <stp/>
        <stp>##V3_BDPV12</stp>
        <stp>BAZ7 Comdty</stp>
        <stp>last price</stp>
        <stp>[xhssa.xlsm]Canada!R56C2</stp>
        <tr r="B56" s="7"/>
      </tp>
      <tp t="s">
        <v>#N/A Requesting Data...</v>
        <stp/>
        <stp>##V3_BDPV12</stp>
        <stp>BAN5 Comdty</stp>
        <stp>last price</stp>
        <stp>[xhssa.xlsm]Canada!R46C2</stp>
        <tr r="B46" s="7"/>
      </tp>
      <tp t="s">
        <v>#N/A Requesting Data...</v>
        <stp/>
        <stp>##V3_BDPV12</stp>
        <stp>BAU6 Comdty</stp>
        <stp>last price</stp>
        <stp>[xhssa.xlsm]Canada!R51C2</stp>
        <tr r="B51" s="7"/>
      </tp>
      <tp t="s">
        <v>#N/A Requesting Data...</v>
        <stp/>
        <stp>##V3_BDPV12</stp>
        <stp>BAM6 Comdty</stp>
        <stp>last price</stp>
        <stp>[xhssa.xlsm]Canada!R50C2</stp>
        <tr r="B50" s="7"/>
      </tp>
      <tp t="s">
        <v>#N/A Requesting Data...</v>
        <stp/>
        <stp>##V3_BDPV12</stp>
        <stp>USSW10 curncy</stp>
        <stp>px last</stp>
        <stp>[xhssa.xlsm]SWPS!R7C3</stp>
        <tr r="C7" s="2"/>
      </tp>
      <tp t="s">
        <v>#N/A Requesting Data...</v>
        <stp/>
        <stp>##V3_BDPV12</stp>
        <stp>BAH7 Comdty</stp>
        <stp>last price</stp>
        <stp>[xhssa.xlsm]Canada!R53C2</stp>
        <tr r="B53" s="7"/>
      </tp>
      <tp t="s">
        <v>#N/A Requesting Data...</v>
        <stp/>
        <stp>##V3_BDPV12</stp>
        <stp>BAZ6 Comdty</stp>
        <stp>last price</stp>
        <stp>[xhssa.xlsm]Canada!R52C2</stp>
        <tr r="B52" s="7"/>
      </tp>
      <tp t="s">
        <v>#N/A Requesting Data...</v>
        <stp/>
        <stp>##V3_BDHV12</stp>
        <stp>EDZ8 comdty</stp>
        <stp>px last</stp>
        <stp>01/01/2015</stp>
        <stp>31/03/2015</stp>
        <stp>[XHSSA Historical Treasury Spread Analysis - .xlsm]Sheet3!R2C16</stp>
        <stp>Dts=H</stp>
        <stp>Sort=D</stp>
        <tr r="P2" s="3"/>
      </tp>
      <tp t="s">
        <v>#N/A Requesting Data...</v>
        <stp/>
        <stp>##V3_BDHV12</stp>
        <stp>EDU8 comdty</stp>
        <stp>px last</stp>
        <stp>01/01/2015</stp>
        <stp>31/03/2015</stp>
        <stp>[XHSSA Historical Treasury Spread Analysis - .xlsm]Sheet3!R2C15</stp>
        <stp>Dts=H</stp>
        <stp>Sort=D</stp>
        <tr r="O2" s="3"/>
      </tp>
      <tp t="s">
        <v>#N/A Requesting Data...</v>
        <stp/>
        <stp>##V3_BDHV12</stp>
        <stp>EDM8 comdty</stp>
        <stp>px last</stp>
        <stp>01/01/2015</stp>
        <stp>31/03/2015</stp>
        <stp>[XHSSA Historical Treasury Spread Analysis - .xlsm]Sheet3!R2C14</stp>
        <stp>Dts=H</stp>
        <stp>Sort=D</stp>
        <tr r="N2" s="3"/>
      </tp>
      <tp t="s">
        <v>#N/A Requesting Data...</v>
        <stp/>
        <stp>##V3_BDHV12</stp>
        <stp>EDH8 comdty</stp>
        <stp>px last</stp>
        <stp>01/01/2015</stp>
        <stp>31/03/2015</stp>
        <stp>[XHSSA Historical Treasury Spread Analysis - .xlsm]Sheet3!R2C13</stp>
        <stp>Dts=H</stp>
        <stp>Sort=D</stp>
        <tr r="M2" s="3"/>
      </tp>
      <tp t="s">
        <v>#N/A Requesting Data...</v>
        <stp/>
        <stp>##V3_BDHV12</stp>
        <stp>EDU9 comdty</stp>
        <stp>px last</stp>
        <stp>01/01/2015</stp>
        <stp>31/03/2015</stp>
        <stp>[XHSSA Historical Treasury Spread Analysis - .xlsm]Sheet3!R2C19</stp>
        <stp>Dts=H</stp>
        <stp>Sort=D</stp>
        <tr r="S2" s="3"/>
      </tp>
      <tp t="s">
        <v>#N/A Requesting Data...</v>
        <stp/>
        <stp>##V3_BDHV12</stp>
        <stp>EDM9 comdty</stp>
        <stp>px last</stp>
        <stp>01/01/2015</stp>
        <stp>31/03/2015</stp>
        <stp>[XHSSA Historical Treasury Spread Analysis - .xlsm]Sheet3!R2C18</stp>
        <stp>Dts=H</stp>
        <stp>Sort=D</stp>
        <tr r="R2" s="3"/>
      </tp>
      <tp t="s">
        <v>#N/A Requesting Data...</v>
        <stp/>
        <stp>##V3_BDHV12</stp>
        <stp>EDH9 comdty</stp>
        <stp>px last</stp>
        <stp>01/01/2015</stp>
        <stp>31/03/2015</stp>
        <stp>[XHSSA Historical Treasury Spread Analysis - .xlsm]Sheet3!R2C17</stp>
        <stp>Dts=H</stp>
        <stp>Sort=D</stp>
        <tr r="Q2" s="3"/>
      </tp>
    </main>
    <main first="bloomberg.rtd">
      <tp t="s">
        <v>#N/A Requesting Data...</v>
        <stp/>
        <stp>##V3_BDHV12</stp>
        <stp>EDZ9 comdty</stp>
        <stp>px last</stp>
        <stp>01/01/2015</stp>
        <stp>31/03/2015</stp>
        <stp>[XHSSA Historical Treasury Spread Analysis - .xlsm]Sheet3!R2C20</stp>
        <stp>Dts=H</stp>
        <stp>Sort=D</stp>
        <tr r="T2" s="3"/>
      </tp>
      <tp t="s">
        <v>#N/A Requesting Data...</v>
        <stp/>
        <stp>##V3_BDPV12</stp>
        <stp>CT30 govt</stp>
        <stp>YLD_CNV_MID</stp>
        <stp>[xhssa.xlsm]TRSYS!R8C3</stp>
        <tr r="C8" s="5"/>
      </tp>
      <tp t="s">
        <v>#N/A Requesting Data...</v>
        <stp/>
        <stp>##V3_BDHV12</stp>
        <stp>GT10 govt</stp>
        <stp>YLD_CNV_MID</stp>
        <stp>ed-2ay</stp>
        <stp/>
        <stp>[xhssa.xlsm]TRSYS!R13C6</stp>
        <stp>Dts=H</stp>
        <stp>Sort=D</stp>
        <stp>cols=1;rows=522</stp>
        <tr r="F13" s="5"/>
      </tp>
      <tp t="s">
        <v>#N/A Requesting Data...</v>
        <stp/>
        <stp>##V3_BDHV12</stp>
        <stp>GT30 govt</stp>
        <stp>YLD_CNV_MID</stp>
        <stp>ed-2ay</stp>
        <stp/>
        <stp>[xhssa.xlsm]TRSYS!R13C7</stp>
        <stp>Dts=H</stp>
        <stp>Sort=D</stp>
        <stp>cols=1;rows=522</stp>
        <tr r="G13" s="5"/>
      </tp>
      <tp t="s">
        <v>#N/A Requesting Data...</v>
        <stp/>
        <stp>##V3_BDPV12</stp>
        <stp>CT10 govt</stp>
        <stp>YLD_CNV_MID</stp>
        <stp>[xhssa.xlsm]TRSYS!R7C3</stp>
        <tr r="C7" s="5"/>
      </tp>
      <tp t="s">
        <v>#N/A Requesting Data...</v>
        <stp/>
        <stp>##V3_BDHV12</stp>
        <stp>GTCAD3Y govt</stp>
        <stp>YLD_CNV_MID</stp>
        <stp>ed-2ay</stp>
        <stp/>
        <stp>[xhssa.xlsm]TRSYS Canada!R13C3</stp>
        <stp>Dts=H</stp>
        <stp>Sort=D</stp>
        <stp>cols=1;rows=522</stp>
        <tr r="C13" s="9"/>
      </tp>
      <tp t="s">
        <v>#N/A Requesting Data...</v>
        <stp/>
        <stp>##V3_BDPV12</stp>
        <stp>CT2 govt</stp>
        <stp>YLD_CNV_MID</stp>
        <stp>[xhssa.xlsm]TRSYS!R2C4</stp>
        <tr r="D2" s="5"/>
      </tp>
      <tp t="s">
        <v>#N/A Requesting Data...</v>
        <stp/>
        <stp>##V3_BDPV12</stp>
        <stp>CT3 govt</stp>
        <stp>YLD_CNV_MID</stp>
        <stp>[xhssa.xlsm]TRSYS!R2C5</stp>
        <tr r="E2" s="5"/>
      </tp>
      <tp t="s">
        <v>#N/A Requesting Data...</v>
        <stp/>
        <stp>##V3_BDPV12</stp>
        <stp>CT7 govt</stp>
        <stp>YLD_CNV_MID</stp>
        <stp>[xhssa.xlsm]TRSYS!R2C7</stp>
        <tr r="G2" s="5"/>
      </tp>
      <tp t="s">
        <v>#N/A Requesting Data...</v>
        <stp/>
        <stp>##V3_BDPV12</stp>
        <stp>CT5 govt</stp>
        <stp>YLD_CNV_MID</stp>
        <stp>[xhssa.xlsm]TRSYS!R2C6</stp>
        <tr r="F2" s="5"/>
      </tp>
      <tp t="s">
        <v>#N/A Invalid Security</v>
        <stp/>
        <stp>##V3_BDPV12</stp>
        <stp>#N/A Requesting Data...</stp>
        <stp>last price</stp>
        <stp>[xhssa.xlsm]Canada!R44C2</stp>
        <tr r="B44" s="7"/>
      </tp>
      <tp t="s">
        <v>#N/A Requesting Data...</v>
        <stp/>
        <stp>##V3_BDPV12</stp>
        <stp>CT2 govt</stp>
        <stp>YLD_CNV_MID</stp>
        <stp>[xhssa.xlsm]TRSYS!R3C3</stp>
        <tr r="C3" s="5"/>
      </tp>
      <tp t="s">
        <v>#N/A Requesting Data...</v>
        <stp/>
        <stp>##V3_BDHV12</stp>
        <stp>GT3 govt</stp>
        <stp>YLD_CNV_MID</stp>
        <stp>ed-2ay</stp>
        <stp/>
        <stp>[xhssa.xlsm]TRSYS!R13C3</stp>
        <stp>Dts=H</stp>
        <stp>Sort=D</stp>
        <stp>cols=1;rows=522</stp>
        <tr r="C13" s="5"/>
      </tp>
      <tp t="s">
        <v>#N/A Requesting Data...</v>
        <stp/>
        <stp>##V3_BDHV12</stp>
        <stp>EDH0 comdty</stp>
        <stp>px last</stp>
        <stp>01/01/2015</stp>
        <stp>31/03/2015</stp>
        <stp>[XHSSA Historical Treasury Spread Analysis - .xlsm]Sheet3!R2C21</stp>
        <stp>Dts=H</stp>
        <stp>Sort=D</stp>
        <tr r="U2" s="3"/>
      </tp>
      <tp t="s">
        <v>#N/A Requesting Data...</v>
        <stp/>
        <stp>##V3_BDHV12</stp>
        <stp>GTCAD5Y govt</stp>
        <stp>YLD_CNV_MID</stp>
        <stp>ed-2ay</stp>
        <stp/>
        <stp>[xhssa.xlsm]TRSYS Canada!R13C4</stp>
        <stp>Dts=H</stp>
        <stp>Sort=D</stp>
        <stp>cols=1;rows=522</stp>
        <tr r="D13" s="9"/>
      </tp>
      <tp t="s">
        <v>#N/A Requesting Data...</v>
        <stp/>
        <stp>##V3_BDPV12</stp>
        <stp>CT3 govt</stp>
        <stp>YLD_CNV_MID</stp>
        <stp>[xhssa.xlsm]TRSYS!R4C3</stp>
        <tr r="C4" s="5"/>
      </tp>
      <tp t="s">
        <v>#N/A Requesting Data...</v>
        <stp/>
        <stp>##V3_BDPV12</stp>
        <stp>CT5 govt</stp>
        <stp>YLD_CNV_MID</stp>
        <stp>[xhssa.xlsm]TRSYS!R5C3</stp>
        <tr r="C5" s="5"/>
      </tp>
      <tp t="s">
        <v>#N/A Requesting Data...</v>
        <stp/>
        <stp>##V3_BDHV12</stp>
        <stp>GT5 govt</stp>
        <stp>YLD_CNV_MID</stp>
        <stp>ed-2ay</stp>
        <stp/>
        <stp>[xhssa.xlsm]TRSYS!R13C4</stp>
        <stp>Dts=H</stp>
        <stp>Sort=D</stp>
        <stp>cols=1;rows=522</stp>
        <tr r="D13" s="5"/>
      </tp>
      <tp t="s">
        <v>#N/A Requesting Data...</v>
        <stp/>
        <stp>##V3_BDHV12</stp>
        <stp>GTCAD7Y govt</stp>
        <stp>YLD_CNV_MID</stp>
        <stp>ed-2ay</stp>
        <stp/>
        <stp>[xhssa.xlsm]TRSYS Canada!R13C5</stp>
        <stp>Dts=H</stp>
        <stp>Sort=D</stp>
        <stp>cols=1;rows=522</stp>
        <tr r="E13" s="9"/>
      </tp>
      <tp t="s">
        <v>#N/A Requesting Data...</v>
        <stp/>
        <stp>##V3_BDPV12</stp>
        <stp>CT7 govt</stp>
        <stp>YLD_CNV_MID</stp>
        <stp>[xhssa.xlsm]TRSYS!R6C3</stp>
        <tr r="C6" s="5"/>
      </tp>
      <tp t="s">
        <v>#N/A Requesting Data...</v>
        <stp/>
        <stp>##V3_BDPV12</stp>
        <stp>CT10 govt</stp>
        <stp>YLD_CNV_MID</stp>
        <stp>[xhssa.xlsm]TRSYS!R2C8</stp>
        <tr r="H2" s="5"/>
      </tp>
      <tp t="s">
        <v>#N/A Requesting Data...</v>
        <stp/>
        <stp>##V3_BDPV12</stp>
        <stp>CT30 govt</stp>
        <stp>YLD_CNV_MID</stp>
        <stp>[xhssa.xlsm]TRSYS!R2C9</stp>
        <tr r="I2" s="5"/>
      </tp>
      <tp t="s">
        <v>#N/A Requesting Data...</v>
        <stp/>
        <stp>##V3_BDHV12</stp>
        <stp>GT7 govt</stp>
        <stp>YLD_CNV_MID</stp>
        <stp>ed-2ay</stp>
        <stp/>
        <stp>[xhssa.xlsm]TRSYS!R13C5</stp>
        <stp>Dts=H</stp>
        <stp>Sort=D</stp>
        <stp>cols=1;rows=522</stp>
        <tr r="E13" s="5"/>
      </tp>
      <tp t="s">
        <v>#N/A Requesting Data...</v>
        <stp/>
        <stp>##V3_BDHV12</stp>
        <stp>EDZ7 comdty</stp>
        <stp>px last</stp>
        <stp>01/01/2015</stp>
        <stp>31/03/2015</stp>
        <stp>[XHSSA Historical Treasury Spread Analysis - .xlsm]Sheet3!R2C12</stp>
        <stp>Dts=H</stp>
        <stp>Sort=D</stp>
        <tr r="L2" s="3"/>
      </tp>
      <tp t="s">
        <v>#N/A Requesting Data...</v>
        <stp/>
        <stp>##V3_BDHV12</stp>
        <stp>EDU7 comdty</stp>
        <stp>px last</stp>
        <stp>01/01/2015</stp>
        <stp>31/03/2015</stp>
        <stp>[XHSSA Historical Treasury Spread Analysis - .xlsm]Sheet3!R2C11</stp>
        <stp>Dts=H</stp>
        <stp>Sort=D</stp>
        <tr r="K2" s="3"/>
      </tp>
      <tp t="s">
        <v>#N/A Requesting Data...</v>
        <stp/>
        <stp>##V3_BDHV12</stp>
        <stp>EDM7 comdty</stp>
        <stp>px last</stp>
        <stp>01/01/2015</stp>
        <stp>31/03/2015</stp>
        <stp>[XHSSA Historical Treasury Spread Analysis - .xlsm]Sheet3!R2C10</stp>
        <stp>Dts=H</stp>
        <stp>Sort=D</stp>
        <tr r="J2" s="3"/>
      </tp>
    </main>
    <main first="bloomberg.rtd">
      <tp t="s">
        <v>#N/A Requesting Data...</v>
        <stp/>
        <stp>##V3_BDPV12</stp>
        <stp>USSW3 curncy</stp>
        <stp>px last</stp>
        <stp>[xhssa.xlsm]SWPS!R2C5</stp>
        <tr r="E2" s="2"/>
      </tp>
      <tp t="s">
        <v>#N/A Requesting Data...</v>
        <stp/>
        <stp>##V3_BDPV12</stp>
        <stp>USSW2 curncy</stp>
        <stp>px last</stp>
        <stp>[xhssa.xlsm]SWPS!R2C4</stp>
        <tr r="D2" s="2"/>
      </tp>
      <tp t="s">
        <v>#N/A Requesting Data...</v>
        <stp/>
        <stp>##V3_BDPV12</stp>
        <stp>USSW5 curncy</stp>
        <stp>px last</stp>
        <stp>[xhssa.xlsm]SWPS!R2C6</stp>
        <tr r="F2" s="2"/>
      </tp>
      <tp t="s">
        <v>#N/A Requesting Data...</v>
        <stp/>
        <stp>##V3_BDPV12</stp>
        <stp>USSW7 curncy</stp>
        <stp>px last</stp>
        <stp>[xhssa.xlsm]SWPS!R2C7</stp>
        <tr r="G2" s="2"/>
      </tp>
      <tp t="s">
        <v>#N/A Requesting Data...</v>
        <stp/>
        <stp>##V3_BDHV12</stp>
        <stp>0 comdty</stp>
        <stp>px last</stp>
        <stp>01/01/2015</stp>
        <stp>31/03/2015</stp>
        <stp>[xhssa.xlsm]Calc Canada!R2C16</stp>
        <stp>Dts=H</stp>
        <stp>Sort=D</stp>
        <stp>cols=1;rows=63</stp>
        <tr r="P2" s="10"/>
      </tp>
      <tp t="s">
        <v>#N/A Requesting Data...</v>
        <stp/>
        <stp>##V3_BDHV12</stp>
        <stp>0 comdty</stp>
        <stp>px last</stp>
        <stp>01/01/2015</stp>
        <stp>31/03/2015</stp>
        <stp>[xhssa.xlsm]Calc Canada!R2C17</stp>
        <stp>Dts=H</stp>
        <stp>Sort=D</stp>
        <stp>cols=1;rows=63</stp>
        <tr r="Q2" s="10"/>
      </tp>
      <tp t="s">
        <v>#N/A Requesting Data...</v>
        <stp/>
        <stp>##V3_BDHV12</stp>
        <stp>0 comdty</stp>
        <stp>px last</stp>
        <stp>01/01/2015</stp>
        <stp>31/03/2015</stp>
        <stp>[xhssa.xlsm]Calc Canada!R2C14</stp>
        <stp>Dts=H</stp>
        <stp>Sort=D</stp>
        <stp>cols=1;rows=63</stp>
        <tr r="N2" s="10"/>
      </tp>
      <tp t="s">
        <v>#N/A Requesting Data...</v>
        <stp/>
        <stp>##V3_BDHV12</stp>
        <stp>0 comdty</stp>
        <stp>px last</stp>
        <stp>01/01/2015</stp>
        <stp>31/03/2015</stp>
        <stp>[xhssa.xlsm]Calc Canada!R2C15</stp>
        <stp>Dts=H</stp>
        <stp>Sort=D</stp>
        <stp>cols=1;rows=63</stp>
        <tr r="O2" s="10"/>
      </tp>
      <tp t="s">
        <v>#N/A Requesting Data...</v>
        <stp/>
        <stp>##V3_BDHV12</stp>
        <stp>0 comdty</stp>
        <stp>px last</stp>
        <stp>01/01/2015</stp>
        <stp>31/03/2015</stp>
        <stp>[xhssa.xlsm]Calc Canada!R2C13</stp>
        <stp>Dts=H</stp>
        <stp>Sort=D</stp>
        <stp>cols=1;rows=63</stp>
        <tr r="M2" s="10"/>
      </tp>
      <tp t="s">
        <v>#N/A Requesting Data...</v>
        <stp/>
        <stp>##V3_BDHV12</stp>
        <stp>0 comdty</stp>
        <stp>px last</stp>
        <stp>01/01/2015</stp>
        <stp>31/03/2015</stp>
        <stp>[xhssa.xlsm]Calc Canada!R2C18</stp>
        <stp>Dts=H</stp>
        <stp>Sort=D</stp>
        <stp>cols=1;rows=63</stp>
        <tr r="R2" s="10"/>
      </tp>
      <tp t="s">
        <v>#N/A Requesting Data...</v>
        <stp/>
        <stp>##V3_BDHV12</stp>
        <stp>0 comdty</stp>
        <stp>px last</stp>
        <stp>01/01/2015</stp>
        <stp>31/03/2015</stp>
        <stp>[xhssa.xlsm]Calc Canada!R2C19</stp>
        <stp>Dts=H</stp>
        <stp>Sort=D</stp>
        <stp>cols=1;rows=63</stp>
        <tr r="S2" s="10"/>
      </tp>
      <tp t="s">
        <v>#N/A Requesting Data...</v>
        <stp/>
        <stp>##V3_BDHV12</stp>
        <stp>0 comdty</stp>
        <stp>px last</stp>
        <stp>01/01/2015</stp>
        <stp>31/03/2015</stp>
        <stp>[xhssa.xlsm]Calc Canada!R2C20</stp>
        <stp>Dts=H</stp>
        <stp>Sort=D</stp>
        <stp>cols=1;rows=63</stp>
        <tr r="T2" s="10"/>
      </tp>
      <tp t="s">
        <v>#N/A Requesting Data...</v>
        <stp/>
        <stp>##V3_BDHV12</stp>
        <stp>0 comdty</stp>
        <stp>px last</stp>
        <stp>01/01/2015</stp>
        <stp>31/03/2015</stp>
        <stp>[xhssa.xlsm]Calc Canada!R2C21</stp>
        <stp>Dts=H</stp>
        <stp>Sort=D</stp>
        <stp>cols=1;rows=63</stp>
        <tr r="U2" s="10"/>
      </tp>
      <tp t="s">
        <v>#N/A Requesting Data...</v>
        <stp/>
        <stp>##V3_BDSV12</stp>
        <stp>baa comdty</stp>
        <stp>fut chain</stp>
        <stp>[xhssa.xlsm]Canada!R44C1</stp>
        <stp>cols=1;rows=14</stp>
        <tr r="A44" s="7"/>
      </tp>
      <tp t="s">
        <v>#N/A Requesting Data...</v>
        <stp/>
        <stp>##V3_BDPV12</stp>
        <stp>USSW2 curncy</stp>
        <stp>px last</stp>
        <stp>[xhssa.xlsm]SWPS!R3C3</stp>
        <tr r="C3" s="2"/>
      </tp>
      <tp t="s">
        <v>#N/A Requesting Data...</v>
        <stp/>
        <stp>##V3_BDPV12</stp>
        <stp>USSW3 curncy</stp>
        <stp>px last</stp>
        <stp>[xhssa.xlsm]SWPS!R4C3</stp>
        <tr r="C4" s="2"/>
      </tp>
      <tp t="s">
        <v>#N/A Requesting Data...</v>
        <stp/>
        <stp>##V3_BDHV12</stp>
        <stp>USSW3 curncy</stp>
        <stp>px last</stp>
        <stp>ed-2ay</stp>
        <stp/>
        <stp>[xhssa.xlsm]SWPS!R13C3</stp>
        <stp>Sort=d</stp>
        <stp>Dts=H</stp>
        <stp>cols=1;rows=522</stp>
        <tr r="C13" s="2"/>
      </tp>
      <tp t="s">
        <v>#N/A Requesting Data...</v>
        <stp/>
        <stp>##V3_BDHV12</stp>
        <stp>USSW7 curncy</stp>
        <stp>px last</stp>
        <stp>ed-2ay</stp>
        <stp/>
        <stp>[xhssa.xlsm]SWPS!R13C5</stp>
        <stp>Sort=d</stp>
        <stp>Dts=H</stp>
        <stp>cols=1;rows=522</stp>
        <tr r="E13" s="2"/>
      </tp>
      <tp t="s">
        <v>#N/A Requesting Data...</v>
        <stp/>
        <stp>##V3_BDHV12</stp>
        <stp>USSW5 curncy</stp>
        <stp>px last</stp>
        <stp>ed-2ay</stp>
        <stp/>
        <stp>[xhssa.xlsm]SWPS!R13C4</stp>
        <stp>Sort=d</stp>
        <stp>Dts=H</stp>
        <stp>cols=1;rows=522</stp>
        <tr r="D13" s="2"/>
      </tp>
      <tp t="s">
        <v>#N/A Requesting Data...</v>
        <stp/>
        <stp>##V3_BDPV12</stp>
        <stp>USSW5 curncy</stp>
        <stp>px last</stp>
        <stp>[xhssa.xlsm]SWPS!R5C3</stp>
        <tr r="C5" s="2"/>
      </tp>
      <tp t="s">
        <v>#N/A Requesting Data...</v>
        <stp/>
        <stp>##V3_BDPV12</stp>
        <stp>USSW7 curncy</stp>
        <stp>px last</stp>
        <stp>[xhssa.xlsm]SWPS!R6C3</stp>
        <tr r="C6" s="2"/>
      </tp>
      <tp t="s">
        <v>#N/A Requesting Data...</v>
        <stp/>
        <stp>##V3_BDPV12</stp>
        <stp>CT10 govt</stp>
        <stp>YLD_CNV_MID</stp>
        <stp>[xhssa.xlsm]TRSYS Canada!R2C8</stp>
        <tr r="H2" s="9"/>
      </tp>
      <tp t="s">
        <v>#N/A Requesting Data...</v>
        <stp/>
        <stp>##V3_BDPV12</stp>
        <stp>CT30 govt</stp>
        <stp>YLD_CNV_MID</stp>
        <stp>[xhssa.xlsm]TRSYS Canada!R2C9</stp>
        <tr r="I2" s="9"/>
      </tp>
      <tp t="s">
        <v>#N/A Requesting Data...</v>
        <stp/>
        <stp>##V3_BDPV12</stp>
        <stp>USSW30 curncy</stp>
        <stp>px last</stp>
        <stp>[xhssa.xlsm]SWPS Canada!R8C3</stp>
        <tr r="C8" s="8"/>
      </tp>
      <tp t="s">
        <v>#N/A Requesting Data...</v>
        <stp/>
        <stp>##V3_BDPV12</stp>
        <stp>CT10 govt</stp>
        <stp>YLD_CNV_MID</stp>
        <stp>[xhssa.xlsm]TRSYS Canada!R7C3</stp>
        <tr r="C7" s="9"/>
      </tp>
      <tp t="s">
        <v>#N/A Requesting Data...</v>
        <stp/>
        <stp>##V3_BDPV12</stp>
        <stp>CT30 govt</stp>
        <stp>YLD_CNV_MID</stp>
        <stp>[xhssa.xlsm]TRSYS Canada!R8C3</stp>
        <tr r="C8" s="9"/>
      </tp>
      <tp t="s">
        <v>#N/A Requesting Data...</v>
        <stp/>
        <stp>##V3_BDPV12</stp>
        <stp>USSW30 curncy</stp>
        <stp>px last</stp>
        <stp>[xhssa.xlsm]SWPS Canada!R2C9</stp>
        <tr r="I2" s="8"/>
      </tp>
      <tp t="s">
        <v>#N/A Requesting Data...</v>
        <stp/>
        <stp>##V3_BDPV12</stp>
        <stp>USSW10 curncy</stp>
        <stp>px last</stp>
        <stp>[xhssa.xlsm]SWPS Canada!R2C8</stp>
        <tr r="H2" s="8"/>
      </tp>
      <tp t="s">
        <v>#N/A Requesting Data...</v>
        <stp/>
        <stp>##V3_BDPV12</stp>
        <stp>USSW10 curncy</stp>
        <stp>px last</stp>
        <stp>[xhssa.xlsm]SWPS Canada!R7C3</stp>
        <tr r="C7" s="8"/>
      </tp>
      <tp t="s">
        <v>#N/A Requesting Data...</v>
        <stp/>
        <stp>##V3_BDHV12</stp>
        <stp>CDSW30 curncy</stp>
        <stp>px last</stp>
        <stp>ed-2ay</stp>
        <stp/>
        <stp>[xhssa.xlsm]SWPS Canada!R13C7</stp>
        <stp>Sort=d</stp>
        <stp>Dts=H</stp>
        <stp>cols=1;rows=522</stp>
        <tr r="G13" s="8"/>
      </tp>
      <tp t="s">
        <v>#N/A Requesting Data...</v>
        <stp/>
        <stp>##V3_BDHV12</stp>
        <stp>CDSW10 curncy</stp>
        <stp>px last</stp>
        <stp>ed-2ay</stp>
        <stp/>
        <stp>[xhssa.xlsm]SWPS Canada!R13C6</stp>
        <stp>Sort=d</stp>
        <stp>Dts=H</stp>
        <stp>cols=1;rows=520</stp>
        <tr r="F13" s="8"/>
      </tp>
      <tp t="s">
        <v>#N/A Requesting Data...</v>
        <stp/>
        <stp>##V3_BDPV12</stp>
        <stp>USSW2 curncy</stp>
        <stp>px last</stp>
        <stp>[xhssa.xlsm]SWPS Canada!R2C4</stp>
        <tr r="D2" s="8"/>
      </tp>
      <tp t="s">
        <v>#N/A Requesting Data...</v>
        <stp/>
        <stp>##V3_BDPV12</stp>
        <stp>USSW3 curncy</stp>
        <stp>px last</stp>
        <stp>[xhssa.xlsm]SWPS Canada!R2C5</stp>
        <tr r="E2" s="8"/>
      </tp>
      <tp t="s">
        <v>#N/A Requesting Data...</v>
        <stp/>
        <stp>##V3_BDPV12</stp>
        <stp>USSW7 curncy</stp>
        <stp>px last</stp>
        <stp>[xhssa.xlsm]SWPS Canada!R2C7</stp>
        <tr r="G2" s="8"/>
      </tp>
      <tp t="s">
        <v>#N/A Requesting Data...</v>
        <stp/>
        <stp>##V3_BDPV12</stp>
        <stp>USSW5 curncy</stp>
        <stp>px last</stp>
        <stp>[xhssa.xlsm]SWPS Canada!R2C6</stp>
        <tr r="F2" s="8"/>
      </tp>
      <tp t="s">
        <v>#N/A Requesting Data...</v>
        <stp/>
        <stp>##V3_BDPV12</stp>
        <stp>CT5 govt</stp>
        <stp>YLD_CNV_MID</stp>
        <stp>[xhssa.xlsm]TRSYS Canada!R5C3</stp>
        <tr r="C5" s="9"/>
      </tp>
      <tp t="s">
        <v>#N/A Requesting Data...</v>
        <stp/>
        <stp>##V3_BDPV12</stp>
        <stp>USSW2 curncy</stp>
        <stp>px last</stp>
        <stp>[xhssa.xlsm]SWPS Canada!R3C3</stp>
        <tr r="C3" s="8"/>
      </tp>
      <tp t="s">
        <v>#N/A Requesting Data...</v>
        <stp/>
        <stp>##V3_BDPV12</stp>
        <stp>CT3 govt</stp>
        <stp>YLD_CNV_MID</stp>
        <stp>[xhssa.xlsm]TRSYS Canada!R4C3</stp>
        <tr r="C4" s="9"/>
      </tp>
      <tp t="s">
        <v>#N/A Requesting Data...</v>
        <stp/>
        <stp>##V3_BDHV12</stp>
        <stp>GTCAD2Y govt</stp>
        <stp>YLD_CNV_MID</stp>
        <stp>ed-2ay</stp>
        <stp/>
        <stp>[xhssa.xlsm]TRSYS Canada!R13C1</stp>
        <stp>Sort=D</stp>
        <stp>cols=2;rows=522</stp>
        <tr r="A13" s="9"/>
      </tp>
      <tp t="s">
        <v>#N/A Requesting Data...</v>
        <stp/>
        <stp>##V3_BDPV12</stp>
        <stp>CT7 govt</stp>
        <stp>YLD_CNV_MID</stp>
        <stp>[xhssa.xlsm]TRSYS Canada!R6C3</stp>
        <tr r="C6" s="9"/>
      </tp>
    </main>
    <main first="bloomberg.rtd">
      <tp t="s">
        <v>#N/A Requesting Data...</v>
        <stp/>
        <stp>##V3_BDSV12</stp>
        <stp>eda comdty</stp>
        <stp>fut chain</stp>
        <stp>[xhssa.xlsm]USA!R44C1</stp>
        <stp>cols=1;rows=44</stp>
        <tr r="A44" s="1"/>
      </tp>
      <tp t="s">
        <v>#N/A Requesting Data...</v>
        <stp/>
        <stp>##V3_BDPV12</stp>
        <stp>USSW7 curncy</stp>
        <stp>px last</stp>
        <stp>[xhssa.xlsm]SWPS Canada!R6C3</stp>
        <tr r="C6" s="8"/>
      </tp>
      <tp t="s">
        <v>#N/A Requesting Data...</v>
        <stp/>
        <stp>##V3_BDPV12</stp>
        <stp>USSW3 curncy</stp>
        <stp>px last</stp>
        <stp>[xhssa.xlsm]SWPS Canada!R4C3</stp>
        <tr r="C4" s="8"/>
      </tp>
      <tp t="s">
        <v>#N/A Requesting Data...</v>
        <stp/>
        <stp>##V3_BDPV12</stp>
        <stp>CT2 govt</stp>
        <stp>YLD_CNV_MID</stp>
        <stp>[xhssa.xlsm]TRSYS Canada!R3C3</stp>
        <tr r="C3" s="9"/>
      </tp>
      <tp t="s">
        <v>#N/A Requesting Data...</v>
        <stp/>
        <stp>##V3_BDPV12</stp>
        <stp>USSW5 curncy</stp>
        <stp>px last</stp>
        <stp>[xhssa.xlsm]SWPS Canada!R5C3</stp>
        <tr r="C5" s="8"/>
      </tp>
      <tp t="s">
        <v>#N/A Requesting Data...</v>
        <stp/>
        <stp>##V3_BDPV12</stp>
        <stp>CT2 govt</stp>
        <stp>YLD_CNV_MID</stp>
        <stp>[xhssa.xlsm]TRSYS Canada!R2C4</stp>
        <tr r="D2" s="9"/>
      </tp>
      <tp t="s">
        <v>#N/A Requesting Data...</v>
        <stp/>
        <stp>##V3_BDPV12</stp>
        <stp>CT3 govt</stp>
        <stp>YLD_CNV_MID</stp>
        <stp>[xhssa.xlsm]TRSYS Canada!R2C5</stp>
        <tr r="E2" s="9"/>
      </tp>
      <tp t="s">
        <v>#N/A Requesting Data...</v>
        <stp/>
        <stp>##V3_BDPV12</stp>
        <stp>CT5 govt</stp>
        <stp>YLD_CNV_MID</stp>
        <stp>[xhssa.xlsm]TRSYS Canada!R2C6</stp>
        <tr r="F2" s="9"/>
      </tp>
      <tp t="s">
        <v>#N/A Requesting Data...</v>
        <stp/>
        <stp>##V3_BDPV12</stp>
        <stp>CT7 govt</stp>
        <stp>YLD_CNV_MID</stp>
        <stp>[xhssa.xlsm]TRSYS Canada!R2C7</stp>
        <tr r="G2" s="9"/>
      </tp>
      <tp t="s">
        <v>#N/A Requesting Data...</v>
        <stp/>
        <stp>##V3_BDHV12</stp>
        <stp>BAZ7 comdty</stp>
        <stp>px last</stp>
        <stp>01/01/2015</stp>
        <stp>31/03/2015</stp>
        <stp>[XHSSA Historical Treasury Spread Analysis - .xlsm]Calc Canada!R2C12</stp>
        <stp>Dts=H</stp>
        <stp>Sort=D</stp>
        <tr r="L2" s="10"/>
      </tp>
      <tp t="s">
        <v>#N/A Requesting Data...</v>
        <stp/>
        <stp>##V3_BDHV12</stp>
        <stp>BAM7 comdty</stp>
        <stp>px last</stp>
        <stp>01/01/2015</stp>
        <stp>31/03/2015</stp>
        <stp>[XHSSA Historical Treasury Spread Analysis - .xlsm]Calc Canada!R2C10</stp>
        <stp>Dts=H</stp>
        <stp>Sort=D</stp>
        <tr r="J2" s="10"/>
      </tp>
      <tp t="s">
        <v>#N/A Requesting Data...</v>
        <stp/>
        <stp>##V3_BDHV12</stp>
        <stp>BAU7 comdty</stp>
        <stp>px last</stp>
        <stp>01/01/2015</stp>
        <stp>31/03/2015</stp>
        <stp>[XHSSA Historical Treasury Spread Analysis - .xlsm]Calc Canada!R2C11</stp>
        <stp>Dts=H</stp>
        <stp>Sort=D</stp>
        <tr r="K2" s="10"/>
      </tp>
      <tp t="s">
        <v>#N/A Requesting Data...</v>
        <stp/>
        <stp>##V3_BDHV12</stp>
        <stp>CDSW3 curncy</stp>
        <stp>px last</stp>
        <stp>ed-2ay</stp>
        <stp/>
        <stp>[xhssa.xlsm]SWPS Canada!R13C3</stp>
        <stp>Sort=d</stp>
        <stp>Dts=H</stp>
        <stp>cols=1;rows=522</stp>
        <tr r="C13" s="8"/>
      </tp>
      <tp t="s">
        <v>#N/A Requesting Data...</v>
        <stp/>
        <stp>##V3_BDHV12</stp>
        <stp>CDSW5 curncy</stp>
        <stp>px last</stp>
        <stp>ed-2ay</stp>
        <stp/>
        <stp>[xhssa.xlsm]SWPS Canada!R13C4</stp>
        <stp>Sort=d</stp>
        <stp>Dts=H</stp>
        <stp>cols=1;rows=520</stp>
        <tr r="D13" s="8"/>
      </tp>
      <tp t="s">
        <v>#N/A Requesting Data...</v>
        <stp/>
        <stp>##V3_BDHV12</stp>
        <stp>CDSW7 curncy</stp>
        <stp>px last</stp>
        <stp>ed-2ay</stp>
        <stp/>
        <stp>[xhssa.xlsm]SWPS Canada!R13C5</stp>
        <stp>Sort=d</stp>
        <stp>Dts=H</stp>
        <stp>cols=1;rows=522</stp>
        <tr r="E13" s="8"/>
      </tp>
    </main>
  </volType>
</volTypes>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theme" Target="theme/theme1.xml"/><Relationship Id="rId18"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externalLink" Target="externalLinks/externalLink1.xml"/><Relationship Id="rId17" Type="http://schemas.openxmlformats.org/officeDocument/2006/relationships/volatileDependencies" Target="volatileDependencies.xml"/><Relationship Id="rId2" Type="http://schemas.openxmlformats.org/officeDocument/2006/relationships/worksheet" Target="worksheets/sheet2.xml"/><Relationship Id="rId16" Type="http://schemas.openxmlformats.org/officeDocument/2006/relationships/calcChain" Target="calcChain.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sharedStrings" Target="sharedStrings.xml"/><Relationship Id="rId10" Type="http://schemas.openxmlformats.org/officeDocument/2006/relationships/worksheet" Target="worksheets/sheet10.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styles" Target="styles.xml"/></Relationships>
</file>

<file path=xl/charts/chart1.xml><?xml version="1.0" encoding="utf-8"?>
<c:chartSpace xmlns:c="http://schemas.openxmlformats.org/drawingml/2006/chart" xmlns:a="http://schemas.openxmlformats.org/drawingml/2006/main" xmlns:r="http://schemas.openxmlformats.org/officeDocument/2006/relationships">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2.9962546816479401E-2"/>
          <c:y val="5.6680161943319839E-2"/>
          <c:w val="0.83458177278402002"/>
          <c:h val="0.5587044534412956"/>
        </c:manualLayout>
      </c:layout>
      <c:barChart>
        <c:barDir val="col"/>
        <c:grouping val="clustered"/>
        <c:varyColors val="0"/>
        <c:ser>
          <c:idx val="2"/>
          <c:order val="2"/>
          <c:tx>
            <c:v>SPRD</c:v>
          </c:tx>
          <c:spPr>
            <a:solidFill>
              <a:schemeClr val="accent1"/>
            </a:solidFill>
            <a:ln w="22225" cmpd="sng"/>
          </c:spPr>
          <c:invertIfNegative val="0"/>
          <c:cat>
            <c:strRef>
              <c:f>SWPS!$Z$1:$Z$2</c:f>
              <c:strCache>
                <c:ptCount val="2"/>
                <c:pt idx="1">
                  <c:v>#N/A Requesting Data...</c:v>
                </c:pt>
              </c:strCache>
            </c:strRef>
          </c:cat>
          <c:val>
            <c:numRef>
              <c:f>SWPS!$AC$2:$AC$300</c:f>
              <c:numCache>
                <c:formatCode>General</c:formatCode>
                <c:ptCount val="299"/>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pt idx="168">
                  <c:v>0</c:v>
                </c:pt>
                <c:pt idx="169">
                  <c:v>0</c:v>
                </c:pt>
                <c:pt idx="170">
                  <c:v>0</c:v>
                </c:pt>
                <c:pt idx="171">
                  <c:v>0</c:v>
                </c:pt>
                <c:pt idx="172">
                  <c:v>0</c:v>
                </c:pt>
                <c:pt idx="173">
                  <c:v>0</c:v>
                </c:pt>
                <c:pt idx="174">
                  <c:v>0</c:v>
                </c:pt>
                <c:pt idx="175">
                  <c:v>0</c:v>
                </c:pt>
                <c:pt idx="176">
                  <c:v>0</c:v>
                </c:pt>
                <c:pt idx="177">
                  <c:v>0</c:v>
                </c:pt>
                <c:pt idx="178">
                  <c:v>0</c:v>
                </c:pt>
                <c:pt idx="179">
                  <c:v>0</c:v>
                </c:pt>
                <c:pt idx="180">
                  <c:v>0</c:v>
                </c:pt>
                <c:pt idx="181">
                  <c:v>0</c:v>
                </c:pt>
                <c:pt idx="182">
                  <c:v>0</c:v>
                </c:pt>
                <c:pt idx="183">
                  <c:v>0</c:v>
                </c:pt>
                <c:pt idx="184">
                  <c:v>0</c:v>
                </c:pt>
                <c:pt idx="185">
                  <c:v>0</c:v>
                </c:pt>
                <c:pt idx="186">
                  <c:v>0</c:v>
                </c:pt>
                <c:pt idx="187">
                  <c:v>0</c:v>
                </c:pt>
                <c:pt idx="188">
                  <c:v>0</c:v>
                </c:pt>
                <c:pt idx="189">
                  <c:v>0</c:v>
                </c:pt>
                <c:pt idx="190">
                  <c:v>0</c:v>
                </c:pt>
                <c:pt idx="191">
                  <c:v>0</c:v>
                </c:pt>
                <c:pt idx="192">
                  <c:v>0</c:v>
                </c:pt>
                <c:pt idx="193">
                  <c:v>0</c:v>
                </c:pt>
                <c:pt idx="194">
                  <c:v>0</c:v>
                </c:pt>
                <c:pt idx="195">
                  <c:v>0</c:v>
                </c:pt>
                <c:pt idx="196">
                  <c:v>0</c:v>
                </c:pt>
                <c:pt idx="197">
                  <c:v>0</c:v>
                </c:pt>
                <c:pt idx="198">
                  <c:v>0</c:v>
                </c:pt>
                <c:pt idx="199">
                  <c:v>0</c:v>
                </c:pt>
                <c:pt idx="200">
                  <c:v>0</c:v>
                </c:pt>
                <c:pt idx="201">
                  <c:v>0</c:v>
                </c:pt>
                <c:pt idx="202">
                  <c:v>0</c:v>
                </c:pt>
                <c:pt idx="203">
                  <c:v>0</c:v>
                </c:pt>
                <c:pt idx="204">
                  <c:v>0</c:v>
                </c:pt>
                <c:pt idx="205">
                  <c:v>0</c:v>
                </c:pt>
                <c:pt idx="206">
                  <c:v>0</c:v>
                </c:pt>
                <c:pt idx="207">
                  <c:v>0</c:v>
                </c:pt>
                <c:pt idx="208">
                  <c:v>0</c:v>
                </c:pt>
                <c:pt idx="209">
                  <c:v>0</c:v>
                </c:pt>
                <c:pt idx="210">
                  <c:v>0</c:v>
                </c:pt>
                <c:pt idx="211">
                  <c:v>0</c:v>
                </c:pt>
                <c:pt idx="212">
                  <c:v>0</c:v>
                </c:pt>
                <c:pt idx="213">
                  <c:v>0</c:v>
                </c:pt>
                <c:pt idx="214">
                  <c:v>0</c:v>
                </c:pt>
                <c:pt idx="215">
                  <c:v>0</c:v>
                </c:pt>
                <c:pt idx="216">
                  <c:v>0</c:v>
                </c:pt>
                <c:pt idx="217">
                  <c:v>0</c:v>
                </c:pt>
                <c:pt idx="218">
                  <c:v>0</c:v>
                </c:pt>
                <c:pt idx="219">
                  <c:v>0</c:v>
                </c:pt>
                <c:pt idx="220">
                  <c:v>0</c:v>
                </c:pt>
                <c:pt idx="221">
                  <c:v>0</c:v>
                </c:pt>
                <c:pt idx="222">
                  <c:v>0</c:v>
                </c:pt>
                <c:pt idx="223">
                  <c:v>0</c:v>
                </c:pt>
                <c:pt idx="224">
                  <c:v>0</c:v>
                </c:pt>
                <c:pt idx="225">
                  <c:v>0</c:v>
                </c:pt>
                <c:pt idx="226">
                  <c:v>0</c:v>
                </c:pt>
                <c:pt idx="227">
                  <c:v>0</c:v>
                </c:pt>
                <c:pt idx="228">
                  <c:v>0</c:v>
                </c:pt>
                <c:pt idx="229">
                  <c:v>0</c:v>
                </c:pt>
                <c:pt idx="230">
                  <c:v>0</c:v>
                </c:pt>
                <c:pt idx="231">
                  <c:v>0</c:v>
                </c:pt>
                <c:pt idx="232">
                  <c:v>0</c:v>
                </c:pt>
                <c:pt idx="233">
                  <c:v>0</c:v>
                </c:pt>
                <c:pt idx="234">
                  <c:v>0</c:v>
                </c:pt>
                <c:pt idx="235">
                  <c:v>0</c:v>
                </c:pt>
                <c:pt idx="236">
                  <c:v>0</c:v>
                </c:pt>
                <c:pt idx="237">
                  <c:v>0</c:v>
                </c:pt>
                <c:pt idx="238">
                  <c:v>0</c:v>
                </c:pt>
                <c:pt idx="239">
                  <c:v>0</c:v>
                </c:pt>
                <c:pt idx="240">
                  <c:v>0</c:v>
                </c:pt>
                <c:pt idx="241">
                  <c:v>0</c:v>
                </c:pt>
                <c:pt idx="242">
                  <c:v>0</c:v>
                </c:pt>
                <c:pt idx="243">
                  <c:v>0</c:v>
                </c:pt>
                <c:pt idx="244">
                  <c:v>0</c:v>
                </c:pt>
                <c:pt idx="245">
                  <c:v>0</c:v>
                </c:pt>
                <c:pt idx="246">
                  <c:v>0</c:v>
                </c:pt>
                <c:pt idx="247">
                  <c:v>0</c:v>
                </c:pt>
                <c:pt idx="248">
                  <c:v>0</c:v>
                </c:pt>
                <c:pt idx="249">
                  <c:v>0</c:v>
                </c:pt>
                <c:pt idx="250">
                  <c:v>0</c:v>
                </c:pt>
                <c:pt idx="251">
                  <c:v>0</c:v>
                </c:pt>
                <c:pt idx="252">
                  <c:v>0</c:v>
                </c:pt>
                <c:pt idx="253">
                  <c:v>0</c:v>
                </c:pt>
                <c:pt idx="254">
                  <c:v>0</c:v>
                </c:pt>
                <c:pt idx="255">
                  <c:v>0</c:v>
                </c:pt>
                <c:pt idx="256">
                  <c:v>0</c:v>
                </c:pt>
                <c:pt idx="257">
                  <c:v>0</c:v>
                </c:pt>
                <c:pt idx="258">
                  <c:v>0</c:v>
                </c:pt>
                <c:pt idx="259">
                  <c:v>0</c:v>
                </c:pt>
                <c:pt idx="260">
                  <c:v>0</c:v>
                </c:pt>
                <c:pt idx="261">
                  <c:v>0</c:v>
                </c:pt>
                <c:pt idx="262">
                  <c:v>0</c:v>
                </c:pt>
                <c:pt idx="263">
                  <c:v>0</c:v>
                </c:pt>
                <c:pt idx="264">
                  <c:v>0</c:v>
                </c:pt>
                <c:pt idx="265">
                  <c:v>0</c:v>
                </c:pt>
                <c:pt idx="266">
                  <c:v>0</c:v>
                </c:pt>
                <c:pt idx="267">
                  <c:v>0</c:v>
                </c:pt>
                <c:pt idx="268">
                  <c:v>0</c:v>
                </c:pt>
                <c:pt idx="269">
                  <c:v>0</c:v>
                </c:pt>
                <c:pt idx="270">
                  <c:v>0</c:v>
                </c:pt>
                <c:pt idx="271">
                  <c:v>0</c:v>
                </c:pt>
                <c:pt idx="272">
                  <c:v>0</c:v>
                </c:pt>
                <c:pt idx="273">
                  <c:v>0</c:v>
                </c:pt>
                <c:pt idx="274">
                  <c:v>0</c:v>
                </c:pt>
                <c:pt idx="275">
                  <c:v>0</c:v>
                </c:pt>
                <c:pt idx="276">
                  <c:v>0</c:v>
                </c:pt>
                <c:pt idx="277">
                  <c:v>0</c:v>
                </c:pt>
                <c:pt idx="278">
                  <c:v>0</c:v>
                </c:pt>
                <c:pt idx="279">
                  <c:v>0</c:v>
                </c:pt>
                <c:pt idx="280">
                  <c:v>0</c:v>
                </c:pt>
                <c:pt idx="281">
                  <c:v>0</c:v>
                </c:pt>
                <c:pt idx="282">
                  <c:v>0</c:v>
                </c:pt>
                <c:pt idx="283">
                  <c:v>0</c:v>
                </c:pt>
                <c:pt idx="284">
                  <c:v>0</c:v>
                </c:pt>
                <c:pt idx="285">
                  <c:v>0</c:v>
                </c:pt>
                <c:pt idx="286">
                  <c:v>0</c:v>
                </c:pt>
                <c:pt idx="287">
                  <c:v>0</c:v>
                </c:pt>
                <c:pt idx="288">
                  <c:v>0</c:v>
                </c:pt>
                <c:pt idx="289">
                  <c:v>0</c:v>
                </c:pt>
                <c:pt idx="290">
                  <c:v>0</c:v>
                </c:pt>
                <c:pt idx="291">
                  <c:v>0</c:v>
                </c:pt>
                <c:pt idx="292">
                  <c:v>0</c:v>
                </c:pt>
                <c:pt idx="293">
                  <c:v>0</c:v>
                </c:pt>
                <c:pt idx="294">
                  <c:v>0</c:v>
                </c:pt>
                <c:pt idx="295">
                  <c:v>0</c:v>
                </c:pt>
                <c:pt idx="296">
                  <c:v>0</c:v>
                </c:pt>
                <c:pt idx="297">
                  <c:v>0</c:v>
                </c:pt>
                <c:pt idx="298">
                  <c:v>0</c:v>
                </c:pt>
              </c:numCache>
            </c:numRef>
          </c:val>
        </c:ser>
        <c:dLbls>
          <c:showLegendKey val="0"/>
          <c:showVal val="0"/>
          <c:showCatName val="0"/>
          <c:showSerName val="0"/>
          <c:showPercent val="0"/>
          <c:showBubbleSize val="0"/>
        </c:dLbls>
        <c:gapWidth val="143"/>
        <c:overlap val="-1"/>
        <c:axId val="701059840"/>
        <c:axId val="701061376"/>
      </c:barChart>
      <c:lineChart>
        <c:grouping val="standard"/>
        <c:varyColors val="0"/>
        <c:ser>
          <c:idx val="0"/>
          <c:order val="0"/>
          <c:tx>
            <c:strRef>
              <c:f>SWPS!$W$1</c:f>
              <c:strCache>
                <c:ptCount val="1"/>
                <c:pt idx="0">
                  <c:v>EDH8</c:v>
                </c:pt>
              </c:strCache>
            </c:strRef>
          </c:tx>
          <c:spPr>
            <a:ln>
              <a:solidFill>
                <a:schemeClr val="accent6">
                  <a:lumMod val="75000"/>
                </a:schemeClr>
              </a:solidFill>
            </a:ln>
          </c:spPr>
          <c:marker>
            <c:symbol val="none"/>
          </c:marker>
          <c:cat>
            <c:strRef>
              <c:f>SWPS!$Z$2:$Z$300</c:f>
              <c:strCache>
                <c:ptCount val="299"/>
                <c:pt idx="0">
                  <c:v>#N/A Requesting Data...</c:v>
                </c:pt>
                <c:pt idx="1">
                  <c:v>#N/A</c:v>
                </c:pt>
                <c:pt idx="2">
                  <c:v>#N/A</c:v>
                </c:pt>
                <c:pt idx="3">
                  <c:v>#N/A</c:v>
                </c:pt>
                <c:pt idx="4">
                  <c:v>#N/A</c:v>
                </c:pt>
                <c:pt idx="5">
                  <c:v>#N/A</c:v>
                </c:pt>
                <c:pt idx="6">
                  <c:v>#N/A</c:v>
                </c:pt>
                <c:pt idx="7">
                  <c:v>#N/A</c:v>
                </c:pt>
                <c:pt idx="8">
                  <c:v>#N/A</c:v>
                </c:pt>
                <c:pt idx="9">
                  <c:v>#N/A</c:v>
                </c:pt>
                <c:pt idx="10">
                  <c:v>#N/A</c:v>
                </c:pt>
                <c:pt idx="11">
                  <c:v>#N/A</c:v>
                </c:pt>
                <c:pt idx="12">
                  <c:v>#N/A</c:v>
                </c:pt>
                <c:pt idx="13">
                  <c:v>#N/A</c:v>
                </c:pt>
                <c:pt idx="14">
                  <c:v>#N/A</c:v>
                </c:pt>
                <c:pt idx="15">
                  <c:v>#N/A</c:v>
                </c:pt>
                <c:pt idx="16">
                  <c:v>#N/A</c:v>
                </c:pt>
                <c:pt idx="17">
                  <c:v>#N/A</c:v>
                </c:pt>
                <c:pt idx="18">
                  <c:v>#N/A</c:v>
                </c:pt>
                <c:pt idx="19">
                  <c:v>#N/A</c:v>
                </c:pt>
                <c:pt idx="20">
                  <c:v>#N/A</c:v>
                </c:pt>
                <c:pt idx="21">
                  <c:v>#N/A</c:v>
                </c:pt>
                <c:pt idx="22">
                  <c:v>#N/A</c:v>
                </c:pt>
                <c:pt idx="23">
                  <c:v>#N/A</c:v>
                </c:pt>
                <c:pt idx="24">
                  <c:v>#N/A</c:v>
                </c:pt>
                <c:pt idx="25">
                  <c:v>#N/A</c:v>
                </c:pt>
                <c:pt idx="26">
                  <c:v>#N/A</c:v>
                </c:pt>
                <c:pt idx="27">
                  <c:v>#N/A</c:v>
                </c:pt>
                <c:pt idx="28">
                  <c:v>#N/A</c:v>
                </c:pt>
                <c:pt idx="29">
                  <c:v>#N/A</c:v>
                </c:pt>
                <c:pt idx="30">
                  <c:v>#N/A</c:v>
                </c:pt>
                <c:pt idx="31">
                  <c:v>#N/A</c:v>
                </c:pt>
                <c:pt idx="32">
                  <c:v>#N/A</c:v>
                </c:pt>
                <c:pt idx="33">
                  <c:v>#N/A</c:v>
                </c:pt>
                <c:pt idx="34">
                  <c:v>#N/A</c:v>
                </c:pt>
                <c:pt idx="35">
                  <c:v>#N/A</c:v>
                </c:pt>
                <c:pt idx="36">
                  <c:v>#N/A</c:v>
                </c:pt>
                <c:pt idx="37">
                  <c:v>#N/A</c:v>
                </c:pt>
                <c:pt idx="38">
                  <c:v>#N/A</c:v>
                </c:pt>
                <c:pt idx="39">
                  <c:v>#N/A</c:v>
                </c:pt>
                <c:pt idx="40">
                  <c:v>#N/A</c:v>
                </c:pt>
                <c:pt idx="41">
                  <c:v>#N/A</c:v>
                </c:pt>
                <c:pt idx="42">
                  <c:v>#N/A</c:v>
                </c:pt>
                <c:pt idx="43">
                  <c:v>#N/A</c:v>
                </c:pt>
                <c:pt idx="44">
                  <c:v>#N/A</c:v>
                </c:pt>
                <c:pt idx="45">
                  <c:v>#N/A</c:v>
                </c:pt>
                <c:pt idx="46">
                  <c:v>#N/A</c:v>
                </c:pt>
                <c:pt idx="47">
                  <c:v>#N/A</c:v>
                </c:pt>
                <c:pt idx="48">
                  <c:v>#N/A</c:v>
                </c:pt>
                <c:pt idx="49">
                  <c:v>#N/A</c:v>
                </c:pt>
                <c:pt idx="50">
                  <c:v>#N/A</c:v>
                </c:pt>
                <c:pt idx="51">
                  <c:v>#N/A</c:v>
                </c:pt>
                <c:pt idx="52">
                  <c:v>#N/A</c:v>
                </c:pt>
                <c:pt idx="53">
                  <c:v>#N/A</c:v>
                </c:pt>
                <c:pt idx="54">
                  <c:v>#N/A</c:v>
                </c:pt>
                <c:pt idx="55">
                  <c:v>#N/A</c:v>
                </c:pt>
                <c:pt idx="56">
                  <c:v>#N/A</c:v>
                </c:pt>
                <c:pt idx="57">
                  <c:v>#N/A</c:v>
                </c:pt>
                <c:pt idx="58">
                  <c:v>#N/A</c:v>
                </c:pt>
                <c:pt idx="59">
                  <c:v>#N/A</c:v>
                </c:pt>
                <c:pt idx="60">
                  <c:v>#N/A</c:v>
                </c:pt>
                <c:pt idx="61">
                  <c:v>05/01/2015</c:v>
                </c:pt>
                <c:pt idx="62">
                  <c:v>02/01/2015</c:v>
                </c:pt>
                <c:pt idx="63">
                  <c:v>#N/A</c:v>
                </c:pt>
                <c:pt idx="64">
                  <c:v>#N/A</c:v>
                </c:pt>
                <c:pt idx="65">
                  <c:v>#N/A</c:v>
                </c:pt>
                <c:pt idx="66">
                  <c:v>#N/A</c:v>
                </c:pt>
                <c:pt idx="67">
                  <c:v>#N/A</c:v>
                </c:pt>
                <c:pt idx="68">
                  <c:v>#N/A</c:v>
                </c:pt>
                <c:pt idx="69">
                  <c:v>#N/A</c:v>
                </c:pt>
                <c:pt idx="70">
                  <c:v>#N/A</c:v>
                </c:pt>
                <c:pt idx="71">
                  <c:v>#N/A</c:v>
                </c:pt>
                <c:pt idx="72">
                  <c:v>#N/A</c:v>
                </c:pt>
                <c:pt idx="73">
                  <c:v>#N/A</c:v>
                </c:pt>
                <c:pt idx="74">
                  <c:v>#N/A</c:v>
                </c:pt>
                <c:pt idx="75">
                  <c:v>#N/A</c:v>
                </c:pt>
                <c:pt idx="76">
                  <c:v>#N/A</c:v>
                </c:pt>
                <c:pt idx="77">
                  <c:v>#N/A</c:v>
                </c:pt>
                <c:pt idx="78">
                  <c:v>#N/A</c:v>
                </c:pt>
                <c:pt idx="79">
                  <c:v>#N/A</c:v>
                </c:pt>
                <c:pt idx="80">
                  <c:v>#N/A</c:v>
                </c:pt>
                <c:pt idx="81">
                  <c:v>#N/A</c:v>
                </c:pt>
                <c:pt idx="82">
                  <c:v>#N/A</c:v>
                </c:pt>
                <c:pt idx="83">
                  <c:v>#N/A</c:v>
                </c:pt>
                <c:pt idx="84">
                  <c:v>#N/A</c:v>
                </c:pt>
                <c:pt idx="85">
                  <c:v>#N/A</c:v>
                </c:pt>
                <c:pt idx="86">
                  <c:v>#N/A</c:v>
                </c:pt>
                <c:pt idx="87">
                  <c:v>#N/A</c:v>
                </c:pt>
                <c:pt idx="88">
                  <c:v>#N/A</c:v>
                </c:pt>
                <c:pt idx="89">
                  <c:v>#N/A</c:v>
                </c:pt>
                <c:pt idx="90">
                  <c:v>#N/A</c:v>
                </c:pt>
                <c:pt idx="91">
                  <c:v>#N/A</c:v>
                </c:pt>
                <c:pt idx="92">
                  <c:v>#N/A</c:v>
                </c:pt>
                <c:pt idx="93">
                  <c:v>#N/A</c:v>
                </c:pt>
                <c:pt idx="94">
                  <c:v>#N/A</c:v>
                </c:pt>
                <c:pt idx="95">
                  <c:v>#N/A</c:v>
                </c:pt>
                <c:pt idx="96">
                  <c:v>#N/A</c:v>
                </c:pt>
                <c:pt idx="97">
                  <c:v>#N/A</c:v>
                </c:pt>
                <c:pt idx="98">
                  <c:v>#N/A</c:v>
                </c:pt>
                <c:pt idx="99">
                  <c:v>#N/A</c:v>
                </c:pt>
                <c:pt idx="100">
                  <c:v>#N/A</c:v>
                </c:pt>
                <c:pt idx="101">
                  <c:v>#N/A</c:v>
                </c:pt>
                <c:pt idx="102">
                  <c:v>#N/A</c:v>
                </c:pt>
                <c:pt idx="103">
                  <c:v>#N/A</c:v>
                </c:pt>
                <c:pt idx="104">
                  <c:v>#N/A</c:v>
                </c:pt>
                <c:pt idx="105">
                  <c:v>#N/A</c:v>
                </c:pt>
                <c:pt idx="106">
                  <c:v>#N/A</c:v>
                </c:pt>
                <c:pt idx="107">
                  <c:v>#N/A</c:v>
                </c:pt>
                <c:pt idx="108">
                  <c:v>#N/A</c:v>
                </c:pt>
                <c:pt idx="109">
                  <c:v>#N/A</c:v>
                </c:pt>
                <c:pt idx="110">
                  <c:v>#N/A</c:v>
                </c:pt>
                <c:pt idx="111">
                  <c:v>#N/A</c:v>
                </c:pt>
                <c:pt idx="112">
                  <c:v>#N/A</c:v>
                </c:pt>
                <c:pt idx="113">
                  <c:v>#N/A</c:v>
                </c:pt>
                <c:pt idx="114">
                  <c:v>#N/A</c:v>
                </c:pt>
                <c:pt idx="115">
                  <c:v>#N/A</c:v>
                </c:pt>
                <c:pt idx="116">
                  <c:v>#N/A</c:v>
                </c:pt>
                <c:pt idx="117">
                  <c:v>#N/A</c:v>
                </c:pt>
                <c:pt idx="118">
                  <c:v>#N/A</c:v>
                </c:pt>
                <c:pt idx="119">
                  <c:v>#N/A</c:v>
                </c:pt>
                <c:pt idx="120">
                  <c:v>#N/A</c:v>
                </c:pt>
                <c:pt idx="121">
                  <c:v>#N/A</c:v>
                </c:pt>
                <c:pt idx="122">
                  <c:v>#N/A</c:v>
                </c:pt>
                <c:pt idx="123">
                  <c:v>#N/A</c:v>
                </c:pt>
                <c:pt idx="124">
                  <c:v>#N/A</c:v>
                </c:pt>
                <c:pt idx="125">
                  <c:v>#N/A</c:v>
                </c:pt>
                <c:pt idx="126">
                  <c:v>#N/A</c:v>
                </c:pt>
                <c:pt idx="127">
                  <c:v>#N/A</c:v>
                </c:pt>
                <c:pt idx="128">
                  <c:v>#N/A</c:v>
                </c:pt>
                <c:pt idx="129">
                  <c:v>#N/A</c:v>
                </c:pt>
                <c:pt idx="130">
                  <c:v>#N/A</c:v>
                </c:pt>
                <c:pt idx="131">
                  <c:v>#N/A</c:v>
                </c:pt>
                <c:pt idx="132">
                  <c:v>#N/A</c:v>
                </c:pt>
                <c:pt idx="133">
                  <c:v>#N/A</c:v>
                </c:pt>
                <c:pt idx="134">
                  <c:v>#N/A</c:v>
                </c:pt>
                <c:pt idx="135">
                  <c:v>#N/A</c:v>
                </c:pt>
                <c:pt idx="136">
                  <c:v>#N/A</c:v>
                </c:pt>
                <c:pt idx="137">
                  <c:v>#N/A</c:v>
                </c:pt>
                <c:pt idx="138">
                  <c:v>#N/A</c:v>
                </c:pt>
                <c:pt idx="139">
                  <c:v>#N/A</c:v>
                </c:pt>
                <c:pt idx="140">
                  <c:v>#N/A</c:v>
                </c:pt>
                <c:pt idx="141">
                  <c:v>#N/A</c:v>
                </c:pt>
                <c:pt idx="142">
                  <c:v>#N/A</c:v>
                </c:pt>
                <c:pt idx="143">
                  <c:v>#N/A</c:v>
                </c:pt>
                <c:pt idx="144">
                  <c:v>#N/A</c:v>
                </c:pt>
                <c:pt idx="145">
                  <c:v>#N/A</c:v>
                </c:pt>
                <c:pt idx="146">
                  <c:v>#N/A</c:v>
                </c:pt>
                <c:pt idx="147">
                  <c:v>#N/A</c:v>
                </c:pt>
                <c:pt idx="148">
                  <c:v>#N/A</c:v>
                </c:pt>
                <c:pt idx="149">
                  <c:v>#N/A</c:v>
                </c:pt>
                <c:pt idx="150">
                  <c:v>#N/A</c:v>
                </c:pt>
                <c:pt idx="151">
                  <c:v>#N/A</c:v>
                </c:pt>
                <c:pt idx="152">
                  <c:v>#N/A</c:v>
                </c:pt>
                <c:pt idx="153">
                  <c:v>#N/A</c:v>
                </c:pt>
                <c:pt idx="154">
                  <c:v>#N/A</c:v>
                </c:pt>
                <c:pt idx="155">
                  <c:v>#N/A</c:v>
                </c:pt>
                <c:pt idx="156">
                  <c:v>#N/A</c:v>
                </c:pt>
                <c:pt idx="157">
                  <c:v>#N/A</c:v>
                </c:pt>
                <c:pt idx="158">
                  <c:v>#N/A</c:v>
                </c:pt>
                <c:pt idx="159">
                  <c:v>#N/A</c:v>
                </c:pt>
                <c:pt idx="160">
                  <c:v>#N/A</c:v>
                </c:pt>
                <c:pt idx="161">
                  <c:v>#N/A</c:v>
                </c:pt>
                <c:pt idx="162">
                  <c:v>#N/A</c:v>
                </c:pt>
                <c:pt idx="163">
                  <c:v>#N/A</c:v>
                </c:pt>
                <c:pt idx="164">
                  <c:v>#N/A</c:v>
                </c:pt>
                <c:pt idx="165">
                  <c:v>#N/A</c:v>
                </c:pt>
                <c:pt idx="166">
                  <c:v>#N/A</c:v>
                </c:pt>
                <c:pt idx="167">
                  <c:v>#N/A</c:v>
                </c:pt>
                <c:pt idx="168">
                  <c:v>#N/A</c:v>
                </c:pt>
                <c:pt idx="169">
                  <c:v>#N/A</c:v>
                </c:pt>
                <c:pt idx="170">
                  <c:v>#N/A</c:v>
                </c:pt>
                <c:pt idx="171">
                  <c:v>#N/A</c:v>
                </c:pt>
                <c:pt idx="172">
                  <c:v>#N/A</c:v>
                </c:pt>
                <c:pt idx="173">
                  <c:v>#N/A</c:v>
                </c:pt>
                <c:pt idx="174">
                  <c:v>#N/A</c:v>
                </c:pt>
                <c:pt idx="175">
                  <c:v>#N/A</c:v>
                </c:pt>
                <c:pt idx="176">
                  <c:v>#N/A</c:v>
                </c:pt>
                <c:pt idx="177">
                  <c:v>#N/A</c:v>
                </c:pt>
                <c:pt idx="178">
                  <c:v>#N/A</c:v>
                </c:pt>
                <c:pt idx="179">
                  <c:v>#N/A</c:v>
                </c:pt>
                <c:pt idx="180">
                  <c:v>#N/A</c:v>
                </c:pt>
                <c:pt idx="181">
                  <c:v>#N/A</c:v>
                </c:pt>
                <c:pt idx="182">
                  <c:v>#N/A</c:v>
                </c:pt>
                <c:pt idx="183">
                  <c:v>#N/A</c:v>
                </c:pt>
                <c:pt idx="184">
                  <c:v>#N/A</c:v>
                </c:pt>
                <c:pt idx="185">
                  <c:v>#N/A</c:v>
                </c:pt>
                <c:pt idx="186">
                  <c:v>#N/A</c:v>
                </c:pt>
                <c:pt idx="187">
                  <c:v>#N/A</c:v>
                </c:pt>
                <c:pt idx="188">
                  <c:v>#N/A</c:v>
                </c:pt>
                <c:pt idx="189">
                  <c:v>#N/A</c:v>
                </c:pt>
                <c:pt idx="190">
                  <c:v>#N/A</c:v>
                </c:pt>
                <c:pt idx="191">
                  <c:v>#N/A</c:v>
                </c:pt>
                <c:pt idx="192">
                  <c:v>#N/A</c:v>
                </c:pt>
                <c:pt idx="193">
                  <c:v>#N/A</c:v>
                </c:pt>
                <c:pt idx="194">
                  <c:v>#N/A</c:v>
                </c:pt>
                <c:pt idx="195">
                  <c:v>#N/A</c:v>
                </c:pt>
                <c:pt idx="196">
                  <c:v>#N/A</c:v>
                </c:pt>
                <c:pt idx="197">
                  <c:v>#N/A</c:v>
                </c:pt>
                <c:pt idx="198">
                  <c:v>#N/A</c:v>
                </c:pt>
                <c:pt idx="199">
                  <c:v>#N/A</c:v>
                </c:pt>
                <c:pt idx="200">
                  <c:v>#N/A</c:v>
                </c:pt>
                <c:pt idx="201">
                  <c:v>#N/A</c:v>
                </c:pt>
                <c:pt idx="202">
                  <c:v>#N/A</c:v>
                </c:pt>
                <c:pt idx="203">
                  <c:v>#N/A</c:v>
                </c:pt>
                <c:pt idx="204">
                  <c:v>#N/A</c:v>
                </c:pt>
                <c:pt idx="205">
                  <c:v>#N/A</c:v>
                </c:pt>
                <c:pt idx="206">
                  <c:v>#N/A</c:v>
                </c:pt>
                <c:pt idx="207">
                  <c:v>#N/A</c:v>
                </c:pt>
                <c:pt idx="208">
                  <c:v>#N/A</c:v>
                </c:pt>
                <c:pt idx="209">
                  <c:v>#N/A</c:v>
                </c:pt>
                <c:pt idx="210">
                  <c:v>#N/A</c:v>
                </c:pt>
                <c:pt idx="211">
                  <c:v>#N/A</c:v>
                </c:pt>
                <c:pt idx="212">
                  <c:v>#N/A</c:v>
                </c:pt>
                <c:pt idx="213">
                  <c:v>#N/A</c:v>
                </c:pt>
                <c:pt idx="214">
                  <c:v>#N/A</c:v>
                </c:pt>
                <c:pt idx="215">
                  <c:v>#N/A</c:v>
                </c:pt>
                <c:pt idx="216">
                  <c:v>#N/A</c:v>
                </c:pt>
                <c:pt idx="217">
                  <c:v>#N/A</c:v>
                </c:pt>
                <c:pt idx="218">
                  <c:v>#N/A</c:v>
                </c:pt>
                <c:pt idx="219">
                  <c:v>#N/A</c:v>
                </c:pt>
                <c:pt idx="220">
                  <c:v>#N/A</c:v>
                </c:pt>
                <c:pt idx="221">
                  <c:v>#N/A</c:v>
                </c:pt>
                <c:pt idx="222">
                  <c:v>#N/A</c:v>
                </c:pt>
                <c:pt idx="223">
                  <c:v>#N/A</c:v>
                </c:pt>
                <c:pt idx="224">
                  <c:v>#N/A</c:v>
                </c:pt>
                <c:pt idx="225">
                  <c:v>#N/A</c:v>
                </c:pt>
                <c:pt idx="226">
                  <c:v>#N/A</c:v>
                </c:pt>
                <c:pt idx="227">
                  <c:v>#N/A</c:v>
                </c:pt>
                <c:pt idx="228">
                  <c:v>#N/A</c:v>
                </c:pt>
                <c:pt idx="229">
                  <c:v>#N/A</c:v>
                </c:pt>
                <c:pt idx="230">
                  <c:v>#N/A</c:v>
                </c:pt>
                <c:pt idx="231">
                  <c:v>#N/A</c:v>
                </c:pt>
                <c:pt idx="232">
                  <c:v>#N/A</c:v>
                </c:pt>
                <c:pt idx="233">
                  <c:v>#N/A</c:v>
                </c:pt>
                <c:pt idx="234">
                  <c:v>#N/A</c:v>
                </c:pt>
                <c:pt idx="235">
                  <c:v>#N/A</c:v>
                </c:pt>
                <c:pt idx="236">
                  <c:v>#N/A</c:v>
                </c:pt>
                <c:pt idx="237">
                  <c:v>#N/A</c:v>
                </c:pt>
                <c:pt idx="238">
                  <c:v>#N/A</c:v>
                </c:pt>
                <c:pt idx="239">
                  <c:v>#N/A</c:v>
                </c:pt>
                <c:pt idx="240">
                  <c:v>#N/A</c:v>
                </c:pt>
                <c:pt idx="241">
                  <c:v>#N/A</c:v>
                </c:pt>
                <c:pt idx="242">
                  <c:v>#N/A</c:v>
                </c:pt>
                <c:pt idx="243">
                  <c:v>#N/A</c:v>
                </c:pt>
                <c:pt idx="244">
                  <c:v>#N/A</c:v>
                </c:pt>
                <c:pt idx="245">
                  <c:v>#N/A</c:v>
                </c:pt>
                <c:pt idx="246">
                  <c:v>#N/A</c:v>
                </c:pt>
                <c:pt idx="247">
                  <c:v>#N/A</c:v>
                </c:pt>
                <c:pt idx="248">
                  <c:v>#N/A</c:v>
                </c:pt>
                <c:pt idx="249">
                  <c:v>#N/A</c:v>
                </c:pt>
                <c:pt idx="250">
                  <c:v>#N/A</c:v>
                </c:pt>
                <c:pt idx="251">
                  <c:v>#N/A</c:v>
                </c:pt>
                <c:pt idx="252">
                  <c:v>#N/A</c:v>
                </c:pt>
                <c:pt idx="253">
                  <c:v>#N/A</c:v>
                </c:pt>
                <c:pt idx="254">
                  <c:v>#N/A</c:v>
                </c:pt>
                <c:pt idx="255">
                  <c:v>#N/A</c:v>
                </c:pt>
                <c:pt idx="256">
                  <c:v>#N/A</c:v>
                </c:pt>
                <c:pt idx="257">
                  <c:v>#N/A</c:v>
                </c:pt>
                <c:pt idx="258">
                  <c:v>#N/A</c:v>
                </c:pt>
                <c:pt idx="259">
                  <c:v>#N/A</c:v>
                </c:pt>
                <c:pt idx="260">
                  <c:v>#N/A</c:v>
                </c:pt>
                <c:pt idx="261">
                  <c:v>#N/A</c:v>
                </c:pt>
                <c:pt idx="262">
                  <c:v>#N/A</c:v>
                </c:pt>
                <c:pt idx="263">
                  <c:v>#N/A</c:v>
                </c:pt>
                <c:pt idx="264">
                  <c:v>#N/A</c:v>
                </c:pt>
                <c:pt idx="265">
                  <c:v>#N/A</c:v>
                </c:pt>
                <c:pt idx="266">
                  <c:v>#N/A</c:v>
                </c:pt>
                <c:pt idx="267">
                  <c:v>#N/A</c:v>
                </c:pt>
                <c:pt idx="268">
                  <c:v>#N/A</c:v>
                </c:pt>
                <c:pt idx="269">
                  <c:v>#N/A</c:v>
                </c:pt>
                <c:pt idx="270">
                  <c:v>#N/A</c:v>
                </c:pt>
                <c:pt idx="271">
                  <c:v>#N/A</c:v>
                </c:pt>
                <c:pt idx="272">
                  <c:v>#N/A</c:v>
                </c:pt>
                <c:pt idx="273">
                  <c:v>#N/A</c:v>
                </c:pt>
                <c:pt idx="274">
                  <c:v>#N/A</c:v>
                </c:pt>
                <c:pt idx="275">
                  <c:v>#N/A</c:v>
                </c:pt>
                <c:pt idx="276">
                  <c:v>#N/A</c:v>
                </c:pt>
                <c:pt idx="277">
                  <c:v>#N/A</c:v>
                </c:pt>
                <c:pt idx="278">
                  <c:v>#N/A</c:v>
                </c:pt>
                <c:pt idx="279">
                  <c:v>#N/A</c:v>
                </c:pt>
                <c:pt idx="280">
                  <c:v>#N/A</c:v>
                </c:pt>
                <c:pt idx="281">
                  <c:v>#N/A</c:v>
                </c:pt>
                <c:pt idx="282">
                  <c:v>#N/A</c:v>
                </c:pt>
                <c:pt idx="283">
                  <c:v>#N/A</c:v>
                </c:pt>
                <c:pt idx="284">
                  <c:v>#N/A</c:v>
                </c:pt>
                <c:pt idx="285">
                  <c:v>#N/A</c:v>
                </c:pt>
                <c:pt idx="286">
                  <c:v>#N/A</c:v>
                </c:pt>
                <c:pt idx="287">
                  <c:v>#N/A</c:v>
                </c:pt>
                <c:pt idx="288">
                  <c:v>#N/A</c:v>
                </c:pt>
                <c:pt idx="289">
                  <c:v>#N/A</c:v>
                </c:pt>
                <c:pt idx="290">
                  <c:v>#N/A</c:v>
                </c:pt>
                <c:pt idx="291">
                  <c:v>#N/A</c:v>
                </c:pt>
                <c:pt idx="292">
                  <c:v>#N/A</c:v>
                </c:pt>
                <c:pt idx="293">
                  <c:v>#N/A</c:v>
                </c:pt>
                <c:pt idx="294">
                  <c:v>#N/A</c:v>
                </c:pt>
                <c:pt idx="295">
                  <c:v>#N/A</c:v>
                </c:pt>
                <c:pt idx="296">
                  <c:v>#N/A</c:v>
                </c:pt>
                <c:pt idx="297">
                  <c:v>#N/A</c:v>
                </c:pt>
                <c:pt idx="298">
                  <c:v>#N/A</c:v>
                </c:pt>
              </c:strCache>
            </c:strRef>
          </c:cat>
          <c:val>
            <c:numRef>
              <c:f>SWPS!$AA$2:$AA$300</c:f>
              <c:numCache>
                <c:formatCode>General</c:formatCode>
                <c:ptCount val="299"/>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pt idx="168">
                  <c:v>0</c:v>
                </c:pt>
                <c:pt idx="169">
                  <c:v>0</c:v>
                </c:pt>
                <c:pt idx="170">
                  <c:v>0</c:v>
                </c:pt>
                <c:pt idx="171">
                  <c:v>0</c:v>
                </c:pt>
                <c:pt idx="172">
                  <c:v>0</c:v>
                </c:pt>
                <c:pt idx="173">
                  <c:v>0</c:v>
                </c:pt>
                <c:pt idx="174">
                  <c:v>0</c:v>
                </c:pt>
                <c:pt idx="175">
                  <c:v>0</c:v>
                </c:pt>
                <c:pt idx="176">
                  <c:v>0</c:v>
                </c:pt>
                <c:pt idx="177">
                  <c:v>0</c:v>
                </c:pt>
                <c:pt idx="178">
                  <c:v>0</c:v>
                </c:pt>
                <c:pt idx="179">
                  <c:v>0</c:v>
                </c:pt>
                <c:pt idx="180">
                  <c:v>0</c:v>
                </c:pt>
                <c:pt idx="181">
                  <c:v>0</c:v>
                </c:pt>
                <c:pt idx="182">
                  <c:v>0</c:v>
                </c:pt>
                <c:pt idx="183">
                  <c:v>0</c:v>
                </c:pt>
                <c:pt idx="184">
                  <c:v>0</c:v>
                </c:pt>
                <c:pt idx="185">
                  <c:v>0</c:v>
                </c:pt>
                <c:pt idx="186">
                  <c:v>0</c:v>
                </c:pt>
                <c:pt idx="187">
                  <c:v>0</c:v>
                </c:pt>
                <c:pt idx="188">
                  <c:v>0</c:v>
                </c:pt>
                <c:pt idx="189">
                  <c:v>0</c:v>
                </c:pt>
                <c:pt idx="190">
                  <c:v>0</c:v>
                </c:pt>
                <c:pt idx="191">
                  <c:v>0</c:v>
                </c:pt>
                <c:pt idx="192">
                  <c:v>0</c:v>
                </c:pt>
                <c:pt idx="193">
                  <c:v>0</c:v>
                </c:pt>
                <c:pt idx="194">
                  <c:v>0</c:v>
                </c:pt>
                <c:pt idx="195">
                  <c:v>0</c:v>
                </c:pt>
                <c:pt idx="196">
                  <c:v>0</c:v>
                </c:pt>
                <c:pt idx="197">
                  <c:v>0</c:v>
                </c:pt>
                <c:pt idx="198">
                  <c:v>0</c:v>
                </c:pt>
                <c:pt idx="199">
                  <c:v>0</c:v>
                </c:pt>
                <c:pt idx="200">
                  <c:v>0</c:v>
                </c:pt>
                <c:pt idx="201">
                  <c:v>0</c:v>
                </c:pt>
                <c:pt idx="202">
                  <c:v>0</c:v>
                </c:pt>
                <c:pt idx="203">
                  <c:v>0</c:v>
                </c:pt>
                <c:pt idx="204">
                  <c:v>0</c:v>
                </c:pt>
                <c:pt idx="205">
                  <c:v>0</c:v>
                </c:pt>
                <c:pt idx="206">
                  <c:v>0</c:v>
                </c:pt>
                <c:pt idx="207">
                  <c:v>0</c:v>
                </c:pt>
                <c:pt idx="208">
                  <c:v>0</c:v>
                </c:pt>
                <c:pt idx="209">
                  <c:v>0</c:v>
                </c:pt>
                <c:pt idx="210">
                  <c:v>0</c:v>
                </c:pt>
                <c:pt idx="211">
                  <c:v>0</c:v>
                </c:pt>
                <c:pt idx="212">
                  <c:v>0</c:v>
                </c:pt>
                <c:pt idx="213">
                  <c:v>0</c:v>
                </c:pt>
                <c:pt idx="214">
                  <c:v>0</c:v>
                </c:pt>
                <c:pt idx="215">
                  <c:v>0</c:v>
                </c:pt>
                <c:pt idx="216">
                  <c:v>0</c:v>
                </c:pt>
                <c:pt idx="217">
                  <c:v>0</c:v>
                </c:pt>
                <c:pt idx="218">
                  <c:v>0</c:v>
                </c:pt>
                <c:pt idx="219">
                  <c:v>0</c:v>
                </c:pt>
                <c:pt idx="220">
                  <c:v>0</c:v>
                </c:pt>
                <c:pt idx="221">
                  <c:v>0</c:v>
                </c:pt>
                <c:pt idx="222">
                  <c:v>0</c:v>
                </c:pt>
                <c:pt idx="223">
                  <c:v>0</c:v>
                </c:pt>
                <c:pt idx="224">
                  <c:v>0</c:v>
                </c:pt>
                <c:pt idx="225">
                  <c:v>0</c:v>
                </c:pt>
                <c:pt idx="226">
                  <c:v>0</c:v>
                </c:pt>
                <c:pt idx="227">
                  <c:v>0</c:v>
                </c:pt>
                <c:pt idx="228">
                  <c:v>0</c:v>
                </c:pt>
                <c:pt idx="229">
                  <c:v>0</c:v>
                </c:pt>
                <c:pt idx="230">
                  <c:v>0</c:v>
                </c:pt>
                <c:pt idx="231">
                  <c:v>0</c:v>
                </c:pt>
                <c:pt idx="232">
                  <c:v>0</c:v>
                </c:pt>
                <c:pt idx="233">
                  <c:v>0</c:v>
                </c:pt>
                <c:pt idx="234">
                  <c:v>0</c:v>
                </c:pt>
                <c:pt idx="235">
                  <c:v>0</c:v>
                </c:pt>
                <c:pt idx="236">
                  <c:v>0</c:v>
                </c:pt>
                <c:pt idx="237">
                  <c:v>0</c:v>
                </c:pt>
                <c:pt idx="238">
                  <c:v>0</c:v>
                </c:pt>
                <c:pt idx="239">
                  <c:v>0</c:v>
                </c:pt>
                <c:pt idx="240">
                  <c:v>0</c:v>
                </c:pt>
                <c:pt idx="241">
                  <c:v>0</c:v>
                </c:pt>
                <c:pt idx="242">
                  <c:v>0</c:v>
                </c:pt>
                <c:pt idx="243">
                  <c:v>0</c:v>
                </c:pt>
                <c:pt idx="244">
                  <c:v>0</c:v>
                </c:pt>
                <c:pt idx="245">
                  <c:v>0</c:v>
                </c:pt>
                <c:pt idx="246">
                  <c:v>0</c:v>
                </c:pt>
                <c:pt idx="247">
                  <c:v>0</c:v>
                </c:pt>
                <c:pt idx="248">
                  <c:v>0</c:v>
                </c:pt>
                <c:pt idx="249">
                  <c:v>0</c:v>
                </c:pt>
                <c:pt idx="250">
                  <c:v>0</c:v>
                </c:pt>
                <c:pt idx="251">
                  <c:v>0</c:v>
                </c:pt>
                <c:pt idx="252">
                  <c:v>0</c:v>
                </c:pt>
                <c:pt idx="253">
                  <c:v>0</c:v>
                </c:pt>
                <c:pt idx="254">
                  <c:v>0</c:v>
                </c:pt>
                <c:pt idx="255">
                  <c:v>0</c:v>
                </c:pt>
                <c:pt idx="256">
                  <c:v>0</c:v>
                </c:pt>
                <c:pt idx="257">
                  <c:v>0</c:v>
                </c:pt>
                <c:pt idx="258">
                  <c:v>0</c:v>
                </c:pt>
                <c:pt idx="259">
                  <c:v>0</c:v>
                </c:pt>
                <c:pt idx="260">
                  <c:v>0</c:v>
                </c:pt>
                <c:pt idx="261">
                  <c:v>0</c:v>
                </c:pt>
                <c:pt idx="262">
                  <c:v>0</c:v>
                </c:pt>
                <c:pt idx="263">
                  <c:v>0</c:v>
                </c:pt>
                <c:pt idx="264">
                  <c:v>0</c:v>
                </c:pt>
                <c:pt idx="265">
                  <c:v>0</c:v>
                </c:pt>
                <c:pt idx="266">
                  <c:v>0</c:v>
                </c:pt>
                <c:pt idx="267">
                  <c:v>0</c:v>
                </c:pt>
                <c:pt idx="268">
                  <c:v>0</c:v>
                </c:pt>
                <c:pt idx="269">
                  <c:v>0</c:v>
                </c:pt>
                <c:pt idx="270">
                  <c:v>0</c:v>
                </c:pt>
                <c:pt idx="271">
                  <c:v>0</c:v>
                </c:pt>
                <c:pt idx="272">
                  <c:v>0</c:v>
                </c:pt>
                <c:pt idx="273">
                  <c:v>0</c:v>
                </c:pt>
                <c:pt idx="274">
                  <c:v>0</c:v>
                </c:pt>
                <c:pt idx="275">
                  <c:v>0</c:v>
                </c:pt>
                <c:pt idx="276">
                  <c:v>0</c:v>
                </c:pt>
                <c:pt idx="277">
                  <c:v>0</c:v>
                </c:pt>
                <c:pt idx="278">
                  <c:v>0</c:v>
                </c:pt>
                <c:pt idx="279">
                  <c:v>0</c:v>
                </c:pt>
                <c:pt idx="280">
                  <c:v>0</c:v>
                </c:pt>
                <c:pt idx="281">
                  <c:v>0</c:v>
                </c:pt>
                <c:pt idx="282">
                  <c:v>0</c:v>
                </c:pt>
                <c:pt idx="283">
                  <c:v>0</c:v>
                </c:pt>
                <c:pt idx="284">
                  <c:v>0</c:v>
                </c:pt>
                <c:pt idx="285">
                  <c:v>0</c:v>
                </c:pt>
                <c:pt idx="286">
                  <c:v>0</c:v>
                </c:pt>
                <c:pt idx="287">
                  <c:v>0</c:v>
                </c:pt>
                <c:pt idx="288">
                  <c:v>0</c:v>
                </c:pt>
                <c:pt idx="289">
                  <c:v>0</c:v>
                </c:pt>
                <c:pt idx="290">
                  <c:v>0</c:v>
                </c:pt>
                <c:pt idx="291">
                  <c:v>0</c:v>
                </c:pt>
                <c:pt idx="292">
                  <c:v>0</c:v>
                </c:pt>
                <c:pt idx="293">
                  <c:v>0</c:v>
                </c:pt>
                <c:pt idx="294">
                  <c:v>0</c:v>
                </c:pt>
                <c:pt idx="295">
                  <c:v>0</c:v>
                </c:pt>
                <c:pt idx="296">
                  <c:v>0</c:v>
                </c:pt>
                <c:pt idx="297">
                  <c:v>0</c:v>
                </c:pt>
                <c:pt idx="298">
                  <c:v>0</c:v>
                </c:pt>
              </c:numCache>
            </c:numRef>
          </c:val>
          <c:smooth val="0"/>
        </c:ser>
        <c:ser>
          <c:idx val="1"/>
          <c:order val="1"/>
          <c:tx>
            <c:strRef>
              <c:f>SWPS!$X$1</c:f>
              <c:strCache>
                <c:ptCount val="1"/>
                <c:pt idx="0">
                  <c:v>EDU6</c:v>
                </c:pt>
              </c:strCache>
            </c:strRef>
          </c:tx>
          <c:marker>
            <c:symbol val="none"/>
          </c:marker>
          <c:cat>
            <c:strRef>
              <c:f>SWPS!$Z$2:$Z$300</c:f>
              <c:strCache>
                <c:ptCount val="299"/>
                <c:pt idx="0">
                  <c:v>#N/A Requesting Data...</c:v>
                </c:pt>
                <c:pt idx="1">
                  <c:v>#N/A</c:v>
                </c:pt>
                <c:pt idx="2">
                  <c:v>#N/A</c:v>
                </c:pt>
                <c:pt idx="3">
                  <c:v>#N/A</c:v>
                </c:pt>
                <c:pt idx="4">
                  <c:v>#N/A</c:v>
                </c:pt>
                <c:pt idx="5">
                  <c:v>#N/A</c:v>
                </c:pt>
                <c:pt idx="6">
                  <c:v>#N/A</c:v>
                </c:pt>
                <c:pt idx="7">
                  <c:v>#N/A</c:v>
                </c:pt>
                <c:pt idx="8">
                  <c:v>#N/A</c:v>
                </c:pt>
                <c:pt idx="9">
                  <c:v>#N/A</c:v>
                </c:pt>
                <c:pt idx="10">
                  <c:v>#N/A</c:v>
                </c:pt>
                <c:pt idx="11">
                  <c:v>#N/A</c:v>
                </c:pt>
                <c:pt idx="12">
                  <c:v>#N/A</c:v>
                </c:pt>
                <c:pt idx="13">
                  <c:v>#N/A</c:v>
                </c:pt>
                <c:pt idx="14">
                  <c:v>#N/A</c:v>
                </c:pt>
                <c:pt idx="15">
                  <c:v>#N/A</c:v>
                </c:pt>
                <c:pt idx="16">
                  <c:v>#N/A</c:v>
                </c:pt>
                <c:pt idx="17">
                  <c:v>#N/A</c:v>
                </c:pt>
                <c:pt idx="18">
                  <c:v>#N/A</c:v>
                </c:pt>
                <c:pt idx="19">
                  <c:v>#N/A</c:v>
                </c:pt>
                <c:pt idx="20">
                  <c:v>#N/A</c:v>
                </c:pt>
                <c:pt idx="21">
                  <c:v>#N/A</c:v>
                </c:pt>
                <c:pt idx="22">
                  <c:v>#N/A</c:v>
                </c:pt>
                <c:pt idx="23">
                  <c:v>#N/A</c:v>
                </c:pt>
                <c:pt idx="24">
                  <c:v>#N/A</c:v>
                </c:pt>
                <c:pt idx="25">
                  <c:v>#N/A</c:v>
                </c:pt>
                <c:pt idx="26">
                  <c:v>#N/A</c:v>
                </c:pt>
                <c:pt idx="27">
                  <c:v>#N/A</c:v>
                </c:pt>
                <c:pt idx="28">
                  <c:v>#N/A</c:v>
                </c:pt>
                <c:pt idx="29">
                  <c:v>#N/A</c:v>
                </c:pt>
                <c:pt idx="30">
                  <c:v>#N/A</c:v>
                </c:pt>
                <c:pt idx="31">
                  <c:v>#N/A</c:v>
                </c:pt>
                <c:pt idx="32">
                  <c:v>#N/A</c:v>
                </c:pt>
                <c:pt idx="33">
                  <c:v>#N/A</c:v>
                </c:pt>
                <c:pt idx="34">
                  <c:v>#N/A</c:v>
                </c:pt>
                <c:pt idx="35">
                  <c:v>#N/A</c:v>
                </c:pt>
                <c:pt idx="36">
                  <c:v>#N/A</c:v>
                </c:pt>
                <c:pt idx="37">
                  <c:v>#N/A</c:v>
                </c:pt>
                <c:pt idx="38">
                  <c:v>#N/A</c:v>
                </c:pt>
                <c:pt idx="39">
                  <c:v>#N/A</c:v>
                </c:pt>
                <c:pt idx="40">
                  <c:v>#N/A</c:v>
                </c:pt>
                <c:pt idx="41">
                  <c:v>#N/A</c:v>
                </c:pt>
                <c:pt idx="42">
                  <c:v>#N/A</c:v>
                </c:pt>
                <c:pt idx="43">
                  <c:v>#N/A</c:v>
                </c:pt>
                <c:pt idx="44">
                  <c:v>#N/A</c:v>
                </c:pt>
                <c:pt idx="45">
                  <c:v>#N/A</c:v>
                </c:pt>
                <c:pt idx="46">
                  <c:v>#N/A</c:v>
                </c:pt>
                <c:pt idx="47">
                  <c:v>#N/A</c:v>
                </c:pt>
                <c:pt idx="48">
                  <c:v>#N/A</c:v>
                </c:pt>
                <c:pt idx="49">
                  <c:v>#N/A</c:v>
                </c:pt>
                <c:pt idx="50">
                  <c:v>#N/A</c:v>
                </c:pt>
                <c:pt idx="51">
                  <c:v>#N/A</c:v>
                </c:pt>
                <c:pt idx="52">
                  <c:v>#N/A</c:v>
                </c:pt>
                <c:pt idx="53">
                  <c:v>#N/A</c:v>
                </c:pt>
                <c:pt idx="54">
                  <c:v>#N/A</c:v>
                </c:pt>
                <c:pt idx="55">
                  <c:v>#N/A</c:v>
                </c:pt>
                <c:pt idx="56">
                  <c:v>#N/A</c:v>
                </c:pt>
                <c:pt idx="57">
                  <c:v>#N/A</c:v>
                </c:pt>
                <c:pt idx="58">
                  <c:v>#N/A</c:v>
                </c:pt>
                <c:pt idx="59">
                  <c:v>#N/A</c:v>
                </c:pt>
                <c:pt idx="60">
                  <c:v>#N/A</c:v>
                </c:pt>
                <c:pt idx="61">
                  <c:v>05/01/2015</c:v>
                </c:pt>
                <c:pt idx="62">
                  <c:v>02/01/2015</c:v>
                </c:pt>
                <c:pt idx="63">
                  <c:v>#N/A</c:v>
                </c:pt>
                <c:pt idx="64">
                  <c:v>#N/A</c:v>
                </c:pt>
                <c:pt idx="65">
                  <c:v>#N/A</c:v>
                </c:pt>
                <c:pt idx="66">
                  <c:v>#N/A</c:v>
                </c:pt>
                <c:pt idx="67">
                  <c:v>#N/A</c:v>
                </c:pt>
                <c:pt idx="68">
                  <c:v>#N/A</c:v>
                </c:pt>
                <c:pt idx="69">
                  <c:v>#N/A</c:v>
                </c:pt>
                <c:pt idx="70">
                  <c:v>#N/A</c:v>
                </c:pt>
                <c:pt idx="71">
                  <c:v>#N/A</c:v>
                </c:pt>
                <c:pt idx="72">
                  <c:v>#N/A</c:v>
                </c:pt>
                <c:pt idx="73">
                  <c:v>#N/A</c:v>
                </c:pt>
                <c:pt idx="74">
                  <c:v>#N/A</c:v>
                </c:pt>
                <c:pt idx="75">
                  <c:v>#N/A</c:v>
                </c:pt>
                <c:pt idx="76">
                  <c:v>#N/A</c:v>
                </c:pt>
                <c:pt idx="77">
                  <c:v>#N/A</c:v>
                </c:pt>
                <c:pt idx="78">
                  <c:v>#N/A</c:v>
                </c:pt>
                <c:pt idx="79">
                  <c:v>#N/A</c:v>
                </c:pt>
                <c:pt idx="80">
                  <c:v>#N/A</c:v>
                </c:pt>
                <c:pt idx="81">
                  <c:v>#N/A</c:v>
                </c:pt>
                <c:pt idx="82">
                  <c:v>#N/A</c:v>
                </c:pt>
                <c:pt idx="83">
                  <c:v>#N/A</c:v>
                </c:pt>
                <c:pt idx="84">
                  <c:v>#N/A</c:v>
                </c:pt>
                <c:pt idx="85">
                  <c:v>#N/A</c:v>
                </c:pt>
                <c:pt idx="86">
                  <c:v>#N/A</c:v>
                </c:pt>
                <c:pt idx="87">
                  <c:v>#N/A</c:v>
                </c:pt>
                <c:pt idx="88">
                  <c:v>#N/A</c:v>
                </c:pt>
                <c:pt idx="89">
                  <c:v>#N/A</c:v>
                </c:pt>
                <c:pt idx="90">
                  <c:v>#N/A</c:v>
                </c:pt>
                <c:pt idx="91">
                  <c:v>#N/A</c:v>
                </c:pt>
                <c:pt idx="92">
                  <c:v>#N/A</c:v>
                </c:pt>
                <c:pt idx="93">
                  <c:v>#N/A</c:v>
                </c:pt>
                <c:pt idx="94">
                  <c:v>#N/A</c:v>
                </c:pt>
                <c:pt idx="95">
                  <c:v>#N/A</c:v>
                </c:pt>
                <c:pt idx="96">
                  <c:v>#N/A</c:v>
                </c:pt>
                <c:pt idx="97">
                  <c:v>#N/A</c:v>
                </c:pt>
                <c:pt idx="98">
                  <c:v>#N/A</c:v>
                </c:pt>
                <c:pt idx="99">
                  <c:v>#N/A</c:v>
                </c:pt>
                <c:pt idx="100">
                  <c:v>#N/A</c:v>
                </c:pt>
                <c:pt idx="101">
                  <c:v>#N/A</c:v>
                </c:pt>
                <c:pt idx="102">
                  <c:v>#N/A</c:v>
                </c:pt>
                <c:pt idx="103">
                  <c:v>#N/A</c:v>
                </c:pt>
                <c:pt idx="104">
                  <c:v>#N/A</c:v>
                </c:pt>
                <c:pt idx="105">
                  <c:v>#N/A</c:v>
                </c:pt>
                <c:pt idx="106">
                  <c:v>#N/A</c:v>
                </c:pt>
                <c:pt idx="107">
                  <c:v>#N/A</c:v>
                </c:pt>
                <c:pt idx="108">
                  <c:v>#N/A</c:v>
                </c:pt>
                <c:pt idx="109">
                  <c:v>#N/A</c:v>
                </c:pt>
                <c:pt idx="110">
                  <c:v>#N/A</c:v>
                </c:pt>
                <c:pt idx="111">
                  <c:v>#N/A</c:v>
                </c:pt>
                <c:pt idx="112">
                  <c:v>#N/A</c:v>
                </c:pt>
                <c:pt idx="113">
                  <c:v>#N/A</c:v>
                </c:pt>
                <c:pt idx="114">
                  <c:v>#N/A</c:v>
                </c:pt>
                <c:pt idx="115">
                  <c:v>#N/A</c:v>
                </c:pt>
                <c:pt idx="116">
                  <c:v>#N/A</c:v>
                </c:pt>
                <c:pt idx="117">
                  <c:v>#N/A</c:v>
                </c:pt>
                <c:pt idx="118">
                  <c:v>#N/A</c:v>
                </c:pt>
                <c:pt idx="119">
                  <c:v>#N/A</c:v>
                </c:pt>
                <c:pt idx="120">
                  <c:v>#N/A</c:v>
                </c:pt>
                <c:pt idx="121">
                  <c:v>#N/A</c:v>
                </c:pt>
                <c:pt idx="122">
                  <c:v>#N/A</c:v>
                </c:pt>
                <c:pt idx="123">
                  <c:v>#N/A</c:v>
                </c:pt>
                <c:pt idx="124">
                  <c:v>#N/A</c:v>
                </c:pt>
                <c:pt idx="125">
                  <c:v>#N/A</c:v>
                </c:pt>
                <c:pt idx="126">
                  <c:v>#N/A</c:v>
                </c:pt>
                <c:pt idx="127">
                  <c:v>#N/A</c:v>
                </c:pt>
                <c:pt idx="128">
                  <c:v>#N/A</c:v>
                </c:pt>
                <c:pt idx="129">
                  <c:v>#N/A</c:v>
                </c:pt>
                <c:pt idx="130">
                  <c:v>#N/A</c:v>
                </c:pt>
                <c:pt idx="131">
                  <c:v>#N/A</c:v>
                </c:pt>
                <c:pt idx="132">
                  <c:v>#N/A</c:v>
                </c:pt>
                <c:pt idx="133">
                  <c:v>#N/A</c:v>
                </c:pt>
                <c:pt idx="134">
                  <c:v>#N/A</c:v>
                </c:pt>
                <c:pt idx="135">
                  <c:v>#N/A</c:v>
                </c:pt>
                <c:pt idx="136">
                  <c:v>#N/A</c:v>
                </c:pt>
                <c:pt idx="137">
                  <c:v>#N/A</c:v>
                </c:pt>
                <c:pt idx="138">
                  <c:v>#N/A</c:v>
                </c:pt>
                <c:pt idx="139">
                  <c:v>#N/A</c:v>
                </c:pt>
                <c:pt idx="140">
                  <c:v>#N/A</c:v>
                </c:pt>
                <c:pt idx="141">
                  <c:v>#N/A</c:v>
                </c:pt>
                <c:pt idx="142">
                  <c:v>#N/A</c:v>
                </c:pt>
                <c:pt idx="143">
                  <c:v>#N/A</c:v>
                </c:pt>
                <c:pt idx="144">
                  <c:v>#N/A</c:v>
                </c:pt>
                <c:pt idx="145">
                  <c:v>#N/A</c:v>
                </c:pt>
                <c:pt idx="146">
                  <c:v>#N/A</c:v>
                </c:pt>
                <c:pt idx="147">
                  <c:v>#N/A</c:v>
                </c:pt>
                <c:pt idx="148">
                  <c:v>#N/A</c:v>
                </c:pt>
                <c:pt idx="149">
                  <c:v>#N/A</c:v>
                </c:pt>
                <c:pt idx="150">
                  <c:v>#N/A</c:v>
                </c:pt>
                <c:pt idx="151">
                  <c:v>#N/A</c:v>
                </c:pt>
                <c:pt idx="152">
                  <c:v>#N/A</c:v>
                </c:pt>
                <c:pt idx="153">
                  <c:v>#N/A</c:v>
                </c:pt>
                <c:pt idx="154">
                  <c:v>#N/A</c:v>
                </c:pt>
                <c:pt idx="155">
                  <c:v>#N/A</c:v>
                </c:pt>
                <c:pt idx="156">
                  <c:v>#N/A</c:v>
                </c:pt>
                <c:pt idx="157">
                  <c:v>#N/A</c:v>
                </c:pt>
                <c:pt idx="158">
                  <c:v>#N/A</c:v>
                </c:pt>
                <c:pt idx="159">
                  <c:v>#N/A</c:v>
                </c:pt>
                <c:pt idx="160">
                  <c:v>#N/A</c:v>
                </c:pt>
                <c:pt idx="161">
                  <c:v>#N/A</c:v>
                </c:pt>
                <c:pt idx="162">
                  <c:v>#N/A</c:v>
                </c:pt>
                <c:pt idx="163">
                  <c:v>#N/A</c:v>
                </c:pt>
                <c:pt idx="164">
                  <c:v>#N/A</c:v>
                </c:pt>
                <c:pt idx="165">
                  <c:v>#N/A</c:v>
                </c:pt>
                <c:pt idx="166">
                  <c:v>#N/A</c:v>
                </c:pt>
                <c:pt idx="167">
                  <c:v>#N/A</c:v>
                </c:pt>
                <c:pt idx="168">
                  <c:v>#N/A</c:v>
                </c:pt>
                <c:pt idx="169">
                  <c:v>#N/A</c:v>
                </c:pt>
                <c:pt idx="170">
                  <c:v>#N/A</c:v>
                </c:pt>
                <c:pt idx="171">
                  <c:v>#N/A</c:v>
                </c:pt>
                <c:pt idx="172">
                  <c:v>#N/A</c:v>
                </c:pt>
                <c:pt idx="173">
                  <c:v>#N/A</c:v>
                </c:pt>
                <c:pt idx="174">
                  <c:v>#N/A</c:v>
                </c:pt>
                <c:pt idx="175">
                  <c:v>#N/A</c:v>
                </c:pt>
                <c:pt idx="176">
                  <c:v>#N/A</c:v>
                </c:pt>
                <c:pt idx="177">
                  <c:v>#N/A</c:v>
                </c:pt>
                <c:pt idx="178">
                  <c:v>#N/A</c:v>
                </c:pt>
                <c:pt idx="179">
                  <c:v>#N/A</c:v>
                </c:pt>
                <c:pt idx="180">
                  <c:v>#N/A</c:v>
                </c:pt>
                <c:pt idx="181">
                  <c:v>#N/A</c:v>
                </c:pt>
                <c:pt idx="182">
                  <c:v>#N/A</c:v>
                </c:pt>
                <c:pt idx="183">
                  <c:v>#N/A</c:v>
                </c:pt>
                <c:pt idx="184">
                  <c:v>#N/A</c:v>
                </c:pt>
                <c:pt idx="185">
                  <c:v>#N/A</c:v>
                </c:pt>
                <c:pt idx="186">
                  <c:v>#N/A</c:v>
                </c:pt>
                <c:pt idx="187">
                  <c:v>#N/A</c:v>
                </c:pt>
                <c:pt idx="188">
                  <c:v>#N/A</c:v>
                </c:pt>
                <c:pt idx="189">
                  <c:v>#N/A</c:v>
                </c:pt>
                <c:pt idx="190">
                  <c:v>#N/A</c:v>
                </c:pt>
                <c:pt idx="191">
                  <c:v>#N/A</c:v>
                </c:pt>
                <c:pt idx="192">
                  <c:v>#N/A</c:v>
                </c:pt>
                <c:pt idx="193">
                  <c:v>#N/A</c:v>
                </c:pt>
                <c:pt idx="194">
                  <c:v>#N/A</c:v>
                </c:pt>
                <c:pt idx="195">
                  <c:v>#N/A</c:v>
                </c:pt>
                <c:pt idx="196">
                  <c:v>#N/A</c:v>
                </c:pt>
                <c:pt idx="197">
                  <c:v>#N/A</c:v>
                </c:pt>
                <c:pt idx="198">
                  <c:v>#N/A</c:v>
                </c:pt>
                <c:pt idx="199">
                  <c:v>#N/A</c:v>
                </c:pt>
                <c:pt idx="200">
                  <c:v>#N/A</c:v>
                </c:pt>
                <c:pt idx="201">
                  <c:v>#N/A</c:v>
                </c:pt>
                <c:pt idx="202">
                  <c:v>#N/A</c:v>
                </c:pt>
                <c:pt idx="203">
                  <c:v>#N/A</c:v>
                </c:pt>
                <c:pt idx="204">
                  <c:v>#N/A</c:v>
                </c:pt>
                <c:pt idx="205">
                  <c:v>#N/A</c:v>
                </c:pt>
                <c:pt idx="206">
                  <c:v>#N/A</c:v>
                </c:pt>
                <c:pt idx="207">
                  <c:v>#N/A</c:v>
                </c:pt>
                <c:pt idx="208">
                  <c:v>#N/A</c:v>
                </c:pt>
                <c:pt idx="209">
                  <c:v>#N/A</c:v>
                </c:pt>
                <c:pt idx="210">
                  <c:v>#N/A</c:v>
                </c:pt>
                <c:pt idx="211">
                  <c:v>#N/A</c:v>
                </c:pt>
                <c:pt idx="212">
                  <c:v>#N/A</c:v>
                </c:pt>
                <c:pt idx="213">
                  <c:v>#N/A</c:v>
                </c:pt>
                <c:pt idx="214">
                  <c:v>#N/A</c:v>
                </c:pt>
                <c:pt idx="215">
                  <c:v>#N/A</c:v>
                </c:pt>
                <c:pt idx="216">
                  <c:v>#N/A</c:v>
                </c:pt>
                <c:pt idx="217">
                  <c:v>#N/A</c:v>
                </c:pt>
                <c:pt idx="218">
                  <c:v>#N/A</c:v>
                </c:pt>
                <c:pt idx="219">
                  <c:v>#N/A</c:v>
                </c:pt>
                <c:pt idx="220">
                  <c:v>#N/A</c:v>
                </c:pt>
                <c:pt idx="221">
                  <c:v>#N/A</c:v>
                </c:pt>
                <c:pt idx="222">
                  <c:v>#N/A</c:v>
                </c:pt>
                <c:pt idx="223">
                  <c:v>#N/A</c:v>
                </c:pt>
                <c:pt idx="224">
                  <c:v>#N/A</c:v>
                </c:pt>
                <c:pt idx="225">
                  <c:v>#N/A</c:v>
                </c:pt>
                <c:pt idx="226">
                  <c:v>#N/A</c:v>
                </c:pt>
                <c:pt idx="227">
                  <c:v>#N/A</c:v>
                </c:pt>
                <c:pt idx="228">
                  <c:v>#N/A</c:v>
                </c:pt>
                <c:pt idx="229">
                  <c:v>#N/A</c:v>
                </c:pt>
                <c:pt idx="230">
                  <c:v>#N/A</c:v>
                </c:pt>
                <c:pt idx="231">
                  <c:v>#N/A</c:v>
                </c:pt>
                <c:pt idx="232">
                  <c:v>#N/A</c:v>
                </c:pt>
                <c:pt idx="233">
                  <c:v>#N/A</c:v>
                </c:pt>
                <c:pt idx="234">
                  <c:v>#N/A</c:v>
                </c:pt>
                <c:pt idx="235">
                  <c:v>#N/A</c:v>
                </c:pt>
                <c:pt idx="236">
                  <c:v>#N/A</c:v>
                </c:pt>
                <c:pt idx="237">
                  <c:v>#N/A</c:v>
                </c:pt>
                <c:pt idx="238">
                  <c:v>#N/A</c:v>
                </c:pt>
                <c:pt idx="239">
                  <c:v>#N/A</c:v>
                </c:pt>
                <c:pt idx="240">
                  <c:v>#N/A</c:v>
                </c:pt>
                <c:pt idx="241">
                  <c:v>#N/A</c:v>
                </c:pt>
                <c:pt idx="242">
                  <c:v>#N/A</c:v>
                </c:pt>
                <c:pt idx="243">
                  <c:v>#N/A</c:v>
                </c:pt>
                <c:pt idx="244">
                  <c:v>#N/A</c:v>
                </c:pt>
                <c:pt idx="245">
                  <c:v>#N/A</c:v>
                </c:pt>
                <c:pt idx="246">
                  <c:v>#N/A</c:v>
                </c:pt>
                <c:pt idx="247">
                  <c:v>#N/A</c:v>
                </c:pt>
                <c:pt idx="248">
                  <c:v>#N/A</c:v>
                </c:pt>
                <c:pt idx="249">
                  <c:v>#N/A</c:v>
                </c:pt>
                <c:pt idx="250">
                  <c:v>#N/A</c:v>
                </c:pt>
                <c:pt idx="251">
                  <c:v>#N/A</c:v>
                </c:pt>
                <c:pt idx="252">
                  <c:v>#N/A</c:v>
                </c:pt>
                <c:pt idx="253">
                  <c:v>#N/A</c:v>
                </c:pt>
                <c:pt idx="254">
                  <c:v>#N/A</c:v>
                </c:pt>
                <c:pt idx="255">
                  <c:v>#N/A</c:v>
                </c:pt>
                <c:pt idx="256">
                  <c:v>#N/A</c:v>
                </c:pt>
                <c:pt idx="257">
                  <c:v>#N/A</c:v>
                </c:pt>
                <c:pt idx="258">
                  <c:v>#N/A</c:v>
                </c:pt>
                <c:pt idx="259">
                  <c:v>#N/A</c:v>
                </c:pt>
                <c:pt idx="260">
                  <c:v>#N/A</c:v>
                </c:pt>
                <c:pt idx="261">
                  <c:v>#N/A</c:v>
                </c:pt>
                <c:pt idx="262">
                  <c:v>#N/A</c:v>
                </c:pt>
                <c:pt idx="263">
                  <c:v>#N/A</c:v>
                </c:pt>
                <c:pt idx="264">
                  <c:v>#N/A</c:v>
                </c:pt>
                <c:pt idx="265">
                  <c:v>#N/A</c:v>
                </c:pt>
                <c:pt idx="266">
                  <c:v>#N/A</c:v>
                </c:pt>
                <c:pt idx="267">
                  <c:v>#N/A</c:v>
                </c:pt>
                <c:pt idx="268">
                  <c:v>#N/A</c:v>
                </c:pt>
                <c:pt idx="269">
                  <c:v>#N/A</c:v>
                </c:pt>
                <c:pt idx="270">
                  <c:v>#N/A</c:v>
                </c:pt>
                <c:pt idx="271">
                  <c:v>#N/A</c:v>
                </c:pt>
                <c:pt idx="272">
                  <c:v>#N/A</c:v>
                </c:pt>
                <c:pt idx="273">
                  <c:v>#N/A</c:v>
                </c:pt>
                <c:pt idx="274">
                  <c:v>#N/A</c:v>
                </c:pt>
                <c:pt idx="275">
                  <c:v>#N/A</c:v>
                </c:pt>
                <c:pt idx="276">
                  <c:v>#N/A</c:v>
                </c:pt>
                <c:pt idx="277">
                  <c:v>#N/A</c:v>
                </c:pt>
                <c:pt idx="278">
                  <c:v>#N/A</c:v>
                </c:pt>
                <c:pt idx="279">
                  <c:v>#N/A</c:v>
                </c:pt>
                <c:pt idx="280">
                  <c:v>#N/A</c:v>
                </c:pt>
                <c:pt idx="281">
                  <c:v>#N/A</c:v>
                </c:pt>
                <c:pt idx="282">
                  <c:v>#N/A</c:v>
                </c:pt>
                <c:pt idx="283">
                  <c:v>#N/A</c:v>
                </c:pt>
                <c:pt idx="284">
                  <c:v>#N/A</c:v>
                </c:pt>
                <c:pt idx="285">
                  <c:v>#N/A</c:v>
                </c:pt>
                <c:pt idx="286">
                  <c:v>#N/A</c:v>
                </c:pt>
                <c:pt idx="287">
                  <c:v>#N/A</c:v>
                </c:pt>
                <c:pt idx="288">
                  <c:v>#N/A</c:v>
                </c:pt>
                <c:pt idx="289">
                  <c:v>#N/A</c:v>
                </c:pt>
                <c:pt idx="290">
                  <c:v>#N/A</c:v>
                </c:pt>
                <c:pt idx="291">
                  <c:v>#N/A</c:v>
                </c:pt>
                <c:pt idx="292">
                  <c:v>#N/A</c:v>
                </c:pt>
                <c:pt idx="293">
                  <c:v>#N/A</c:v>
                </c:pt>
                <c:pt idx="294">
                  <c:v>#N/A</c:v>
                </c:pt>
                <c:pt idx="295">
                  <c:v>#N/A</c:v>
                </c:pt>
                <c:pt idx="296">
                  <c:v>#N/A</c:v>
                </c:pt>
                <c:pt idx="297">
                  <c:v>#N/A</c:v>
                </c:pt>
                <c:pt idx="298">
                  <c:v>#N/A</c:v>
                </c:pt>
              </c:strCache>
            </c:strRef>
          </c:cat>
          <c:val>
            <c:numRef>
              <c:f>SWPS!$AB$2:$AB$300</c:f>
              <c:numCache>
                <c:formatCode>General</c:formatCode>
                <c:ptCount val="299"/>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2.9630999999999998</c:v>
                </c:pt>
                <c:pt idx="62">
                  <c:v>3.0194000000000001</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pt idx="168">
                  <c:v>0</c:v>
                </c:pt>
                <c:pt idx="169">
                  <c:v>0</c:v>
                </c:pt>
                <c:pt idx="170">
                  <c:v>0</c:v>
                </c:pt>
                <c:pt idx="171">
                  <c:v>0</c:v>
                </c:pt>
                <c:pt idx="172">
                  <c:v>0</c:v>
                </c:pt>
                <c:pt idx="173">
                  <c:v>0</c:v>
                </c:pt>
                <c:pt idx="174">
                  <c:v>0</c:v>
                </c:pt>
                <c:pt idx="175">
                  <c:v>0</c:v>
                </c:pt>
                <c:pt idx="176">
                  <c:v>0</c:v>
                </c:pt>
                <c:pt idx="177">
                  <c:v>0</c:v>
                </c:pt>
                <c:pt idx="178">
                  <c:v>0</c:v>
                </c:pt>
                <c:pt idx="179">
                  <c:v>0</c:v>
                </c:pt>
                <c:pt idx="180">
                  <c:v>0</c:v>
                </c:pt>
                <c:pt idx="181">
                  <c:v>0</c:v>
                </c:pt>
                <c:pt idx="182">
                  <c:v>0</c:v>
                </c:pt>
                <c:pt idx="183">
                  <c:v>0</c:v>
                </c:pt>
                <c:pt idx="184">
                  <c:v>0</c:v>
                </c:pt>
                <c:pt idx="185">
                  <c:v>0</c:v>
                </c:pt>
                <c:pt idx="186">
                  <c:v>0</c:v>
                </c:pt>
                <c:pt idx="187">
                  <c:v>0</c:v>
                </c:pt>
                <c:pt idx="188">
                  <c:v>0</c:v>
                </c:pt>
                <c:pt idx="189">
                  <c:v>0</c:v>
                </c:pt>
                <c:pt idx="190">
                  <c:v>0</c:v>
                </c:pt>
                <c:pt idx="191">
                  <c:v>0</c:v>
                </c:pt>
                <c:pt idx="192">
                  <c:v>0</c:v>
                </c:pt>
                <c:pt idx="193">
                  <c:v>0</c:v>
                </c:pt>
                <c:pt idx="194">
                  <c:v>0</c:v>
                </c:pt>
                <c:pt idx="195">
                  <c:v>0</c:v>
                </c:pt>
                <c:pt idx="196">
                  <c:v>0</c:v>
                </c:pt>
                <c:pt idx="197">
                  <c:v>0</c:v>
                </c:pt>
                <c:pt idx="198">
                  <c:v>0</c:v>
                </c:pt>
                <c:pt idx="199">
                  <c:v>0</c:v>
                </c:pt>
                <c:pt idx="200">
                  <c:v>0</c:v>
                </c:pt>
                <c:pt idx="201">
                  <c:v>0</c:v>
                </c:pt>
                <c:pt idx="202">
                  <c:v>0</c:v>
                </c:pt>
                <c:pt idx="203">
                  <c:v>0</c:v>
                </c:pt>
                <c:pt idx="204">
                  <c:v>0</c:v>
                </c:pt>
                <c:pt idx="205">
                  <c:v>0</c:v>
                </c:pt>
                <c:pt idx="206">
                  <c:v>0</c:v>
                </c:pt>
                <c:pt idx="207">
                  <c:v>0</c:v>
                </c:pt>
                <c:pt idx="208">
                  <c:v>0</c:v>
                </c:pt>
                <c:pt idx="209">
                  <c:v>0</c:v>
                </c:pt>
                <c:pt idx="210">
                  <c:v>0</c:v>
                </c:pt>
                <c:pt idx="211">
                  <c:v>0</c:v>
                </c:pt>
                <c:pt idx="212">
                  <c:v>0</c:v>
                </c:pt>
                <c:pt idx="213">
                  <c:v>0</c:v>
                </c:pt>
                <c:pt idx="214">
                  <c:v>0</c:v>
                </c:pt>
                <c:pt idx="215">
                  <c:v>0</c:v>
                </c:pt>
                <c:pt idx="216">
                  <c:v>0</c:v>
                </c:pt>
                <c:pt idx="217">
                  <c:v>0</c:v>
                </c:pt>
                <c:pt idx="218">
                  <c:v>0</c:v>
                </c:pt>
                <c:pt idx="219">
                  <c:v>0</c:v>
                </c:pt>
                <c:pt idx="220">
                  <c:v>0</c:v>
                </c:pt>
                <c:pt idx="221">
                  <c:v>0</c:v>
                </c:pt>
                <c:pt idx="222">
                  <c:v>0</c:v>
                </c:pt>
                <c:pt idx="223">
                  <c:v>0</c:v>
                </c:pt>
                <c:pt idx="224">
                  <c:v>0</c:v>
                </c:pt>
                <c:pt idx="225">
                  <c:v>0</c:v>
                </c:pt>
                <c:pt idx="226">
                  <c:v>0</c:v>
                </c:pt>
                <c:pt idx="227">
                  <c:v>0</c:v>
                </c:pt>
                <c:pt idx="228">
                  <c:v>0</c:v>
                </c:pt>
                <c:pt idx="229">
                  <c:v>0</c:v>
                </c:pt>
                <c:pt idx="230">
                  <c:v>0</c:v>
                </c:pt>
                <c:pt idx="231">
                  <c:v>0</c:v>
                </c:pt>
                <c:pt idx="232">
                  <c:v>0</c:v>
                </c:pt>
                <c:pt idx="233">
                  <c:v>0</c:v>
                </c:pt>
                <c:pt idx="234">
                  <c:v>0</c:v>
                </c:pt>
                <c:pt idx="235">
                  <c:v>0</c:v>
                </c:pt>
                <c:pt idx="236">
                  <c:v>0</c:v>
                </c:pt>
                <c:pt idx="237">
                  <c:v>0</c:v>
                </c:pt>
                <c:pt idx="238">
                  <c:v>0</c:v>
                </c:pt>
                <c:pt idx="239">
                  <c:v>0</c:v>
                </c:pt>
                <c:pt idx="240">
                  <c:v>0</c:v>
                </c:pt>
                <c:pt idx="241">
                  <c:v>0</c:v>
                </c:pt>
                <c:pt idx="242">
                  <c:v>0</c:v>
                </c:pt>
                <c:pt idx="243">
                  <c:v>0</c:v>
                </c:pt>
                <c:pt idx="244">
                  <c:v>0</c:v>
                </c:pt>
                <c:pt idx="245">
                  <c:v>0</c:v>
                </c:pt>
                <c:pt idx="246">
                  <c:v>0</c:v>
                </c:pt>
                <c:pt idx="247">
                  <c:v>0</c:v>
                </c:pt>
                <c:pt idx="248">
                  <c:v>0</c:v>
                </c:pt>
                <c:pt idx="249">
                  <c:v>0</c:v>
                </c:pt>
                <c:pt idx="250">
                  <c:v>0</c:v>
                </c:pt>
                <c:pt idx="251">
                  <c:v>0</c:v>
                </c:pt>
                <c:pt idx="252">
                  <c:v>0</c:v>
                </c:pt>
                <c:pt idx="253">
                  <c:v>0</c:v>
                </c:pt>
                <c:pt idx="254">
                  <c:v>0</c:v>
                </c:pt>
                <c:pt idx="255">
                  <c:v>0</c:v>
                </c:pt>
                <c:pt idx="256">
                  <c:v>0</c:v>
                </c:pt>
                <c:pt idx="257">
                  <c:v>0</c:v>
                </c:pt>
                <c:pt idx="258">
                  <c:v>0</c:v>
                </c:pt>
                <c:pt idx="259">
                  <c:v>0</c:v>
                </c:pt>
                <c:pt idx="260">
                  <c:v>0</c:v>
                </c:pt>
                <c:pt idx="261">
                  <c:v>0</c:v>
                </c:pt>
                <c:pt idx="262">
                  <c:v>0</c:v>
                </c:pt>
                <c:pt idx="263">
                  <c:v>0</c:v>
                </c:pt>
                <c:pt idx="264">
                  <c:v>0</c:v>
                </c:pt>
                <c:pt idx="265">
                  <c:v>0</c:v>
                </c:pt>
                <c:pt idx="266">
                  <c:v>0</c:v>
                </c:pt>
                <c:pt idx="267">
                  <c:v>0</c:v>
                </c:pt>
                <c:pt idx="268">
                  <c:v>0</c:v>
                </c:pt>
                <c:pt idx="269">
                  <c:v>0</c:v>
                </c:pt>
                <c:pt idx="270">
                  <c:v>0</c:v>
                </c:pt>
                <c:pt idx="271">
                  <c:v>0</c:v>
                </c:pt>
                <c:pt idx="272">
                  <c:v>0</c:v>
                </c:pt>
                <c:pt idx="273">
                  <c:v>0</c:v>
                </c:pt>
                <c:pt idx="274">
                  <c:v>0</c:v>
                </c:pt>
                <c:pt idx="275">
                  <c:v>0</c:v>
                </c:pt>
                <c:pt idx="276">
                  <c:v>0</c:v>
                </c:pt>
                <c:pt idx="277">
                  <c:v>0</c:v>
                </c:pt>
                <c:pt idx="278">
                  <c:v>0</c:v>
                </c:pt>
                <c:pt idx="279">
                  <c:v>0</c:v>
                </c:pt>
                <c:pt idx="280">
                  <c:v>0</c:v>
                </c:pt>
                <c:pt idx="281">
                  <c:v>0</c:v>
                </c:pt>
                <c:pt idx="282">
                  <c:v>0</c:v>
                </c:pt>
                <c:pt idx="283">
                  <c:v>0</c:v>
                </c:pt>
                <c:pt idx="284">
                  <c:v>0</c:v>
                </c:pt>
                <c:pt idx="285">
                  <c:v>0</c:v>
                </c:pt>
                <c:pt idx="286">
                  <c:v>0</c:v>
                </c:pt>
                <c:pt idx="287">
                  <c:v>0</c:v>
                </c:pt>
                <c:pt idx="288">
                  <c:v>0</c:v>
                </c:pt>
                <c:pt idx="289">
                  <c:v>0</c:v>
                </c:pt>
                <c:pt idx="290">
                  <c:v>0</c:v>
                </c:pt>
                <c:pt idx="291">
                  <c:v>0</c:v>
                </c:pt>
                <c:pt idx="292">
                  <c:v>0</c:v>
                </c:pt>
                <c:pt idx="293">
                  <c:v>0</c:v>
                </c:pt>
                <c:pt idx="294">
                  <c:v>0</c:v>
                </c:pt>
                <c:pt idx="295">
                  <c:v>0</c:v>
                </c:pt>
                <c:pt idx="296">
                  <c:v>0</c:v>
                </c:pt>
                <c:pt idx="297">
                  <c:v>0</c:v>
                </c:pt>
                <c:pt idx="298">
                  <c:v>0</c:v>
                </c:pt>
              </c:numCache>
            </c:numRef>
          </c:val>
          <c:smooth val="0"/>
        </c:ser>
        <c:dLbls>
          <c:showLegendKey val="0"/>
          <c:showVal val="0"/>
          <c:showCatName val="0"/>
          <c:showSerName val="0"/>
          <c:showPercent val="0"/>
          <c:showBubbleSize val="0"/>
        </c:dLbls>
        <c:marker val="1"/>
        <c:smooth val="0"/>
        <c:axId val="700950016"/>
        <c:axId val="700951552"/>
      </c:lineChart>
      <c:lineChart>
        <c:grouping val="standard"/>
        <c:varyColors val="0"/>
        <c:ser>
          <c:idx val="3"/>
          <c:order val="3"/>
          <c:tx>
            <c:v>20D AVG SPRD</c:v>
          </c:tx>
          <c:marker>
            <c:symbol val="none"/>
          </c:marker>
          <c:val>
            <c:numRef>
              <c:f>SWPS!$AD$2:$AD$300</c:f>
              <c:numCache>
                <c:formatCode>General</c:formatCode>
                <c:ptCount val="299"/>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pt idx="168">
                  <c:v>0</c:v>
                </c:pt>
                <c:pt idx="169">
                  <c:v>0</c:v>
                </c:pt>
                <c:pt idx="170">
                  <c:v>0</c:v>
                </c:pt>
                <c:pt idx="171">
                  <c:v>0</c:v>
                </c:pt>
                <c:pt idx="172">
                  <c:v>0</c:v>
                </c:pt>
                <c:pt idx="173">
                  <c:v>0</c:v>
                </c:pt>
                <c:pt idx="174">
                  <c:v>0</c:v>
                </c:pt>
                <c:pt idx="175">
                  <c:v>0</c:v>
                </c:pt>
                <c:pt idx="176">
                  <c:v>0</c:v>
                </c:pt>
                <c:pt idx="177">
                  <c:v>0</c:v>
                </c:pt>
                <c:pt idx="178">
                  <c:v>0</c:v>
                </c:pt>
                <c:pt idx="179">
                  <c:v>0</c:v>
                </c:pt>
                <c:pt idx="180">
                  <c:v>0</c:v>
                </c:pt>
                <c:pt idx="181">
                  <c:v>0</c:v>
                </c:pt>
                <c:pt idx="182">
                  <c:v>0</c:v>
                </c:pt>
                <c:pt idx="183">
                  <c:v>0</c:v>
                </c:pt>
                <c:pt idx="184">
                  <c:v>0</c:v>
                </c:pt>
                <c:pt idx="185">
                  <c:v>0</c:v>
                </c:pt>
                <c:pt idx="186">
                  <c:v>0</c:v>
                </c:pt>
                <c:pt idx="187">
                  <c:v>0</c:v>
                </c:pt>
                <c:pt idx="188">
                  <c:v>0</c:v>
                </c:pt>
                <c:pt idx="189">
                  <c:v>0</c:v>
                </c:pt>
                <c:pt idx="190">
                  <c:v>0</c:v>
                </c:pt>
                <c:pt idx="191">
                  <c:v>0</c:v>
                </c:pt>
                <c:pt idx="192">
                  <c:v>0</c:v>
                </c:pt>
                <c:pt idx="193">
                  <c:v>0</c:v>
                </c:pt>
                <c:pt idx="194">
                  <c:v>0</c:v>
                </c:pt>
                <c:pt idx="195">
                  <c:v>0</c:v>
                </c:pt>
                <c:pt idx="196">
                  <c:v>0</c:v>
                </c:pt>
                <c:pt idx="197">
                  <c:v>0</c:v>
                </c:pt>
                <c:pt idx="198">
                  <c:v>0</c:v>
                </c:pt>
                <c:pt idx="199">
                  <c:v>0</c:v>
                </c:pt>
                <c:pt idx="200">
                  <c:v>0</c:v>
                </c:pt>
                <c:pt idx="201">
                  <c:v>0</c:v>
                </c:pt>
                <c:pt idx="202">
                  <c:v>0</c:v>
                </c:pt>
                <c:pt idx="203">
                  <c:v>0</c:v>
                </c:pt>
                <c:pt idx="204">
                  <c:v>0</c:v>
                </c:pt>
                <c:pt idx="205">
                  <c:v>0</c:v>
                </c:pt>
                <c:pt idx="206">
                  <c:v>0</c:v>
                </c:pt>
                <c:pt idx="207">
                  <c:v>0</c:v>
                </c:pt>
                <c:pt idx="208">
                  <c:v>0</c:v>
                </c:pt>
                <c:pt idx="209">
                  <c:v>0</c:v>
                </c:pt>
                <c:pt idx="210">
                  <c:v>0</c:v>
                </c:pt>
                <c:pt idx="211">
                  <c:v>0</c:v>
                </c:pt>
                <c:pt idx="212">
                  <c:v>0</c:v>
                </c:pt>
                <c:pt idx="213">
                  <c:v>0</c:v>
                </c:pt>
                <c:pt idx="214">
                  <c:v>0</c:v>
                </c:pt>
                <c:pt idx="215">
                  <c:v>0</c:v>
                </c:pt>
                <c:pt idx="216">
                  <c:v>0</c:v>
                </c:pt>
                <c:pt idx="217">
                  <c:v>0</c:v>
                </c:pt>
                <c:pt idx="218">
                  <c:v>0</c:v>
                </c:pt>
                <c:pt idx="219">
                  <c:v>0</c:v>
                </c:pt>
                <c:pt idx="220">
                  <c:v>0</c:v>
                </c:pt>
                <c:pt idx="221">
                  <c:v>0</c:v>
                </c:pt>
                <c:pt idx="222">
                  <c:v>0</c:v>
                </c:pt>
                <c:pt idx="223">
                  <c:v>0</c:v>
                </c:pt>
                <c:pt idx="224">
                  <c:v>0</c:v>
                </c:pt>
                <c:pt idx="225">
                  <c:v>0</c:v>
                </c:pt>
                <c:pt idx="226">
                  <c:v>0</c:v>
                </c:pt>
                <c:pt idx="227">
                  <c:v>0</c:v>
                </c:pt>
                <c:pt idx="228">
                  <c:v>0</c:v>
                </c:pt>
                <c:pt idx="229">
                  <c:v>0</c:v>
                </c:pt>
                <c:pt idx="230">
                  <c:v>0</c:v>
                </c:pt>
                <c:pt idx="231">
                  <c:v>0</c:v>
                </c:pt>
                <c:pt idx="232">
                  <c:v>0</c:v>
                </c:pt>
                <c:pt idx="233">
                  <c:v>0</c:v>
                </c:pt>
                <c:pt idx="234">
                  <c:v>0</c:v>
                </c:pt>
                <c:pt idx="235">
                  <c:v>0</c:v>
                </c:pt>
                <c:pt idx="236">
                  <c:v>0</c:v>
                </c:pt>
                <c:pt idx="237">
                  <c:v>0</c:v>
                </c:pt>
                <c:pt idx="238">
                  <c:v>0</c:v>
                </c:pt>
                <c:pt idx="239">
                  <c:v>0</c:v>
                </c:pt>
                <c:pt idx="240">
                  <c:v>0</c:v>
                </c:pt>
                <c:pt idx="241">
                  <c:v>0</c:v>
                </c:pt>
                <c:pt idx="242">
                  <c:v>0</c:v>
                </c:pt>
                <c:pt idx="243">
                  <c:v>0</c:v>
                </c:pt>
                <c:pt idx="244">
                  <c:v>0</c:v>
                </c:pt>
                <c:pt idx="245">
                  <c:v>0</c:v>
                </c:pt>
                <c:pt idx="246">
                  <c:v>0</c:v>
                </c:pt>
                <c:pt idx="247">
                  <c:v>0</c:v>
                </c:pt>
                <c:pt idx="248">
                  <c:v>0</c:v>
                </c:pt>
                <c:pt idx="249">
                  <c:v>0</c:v>
                </c:pt>
                <c:pt idx="250">
                  <c:v>0</c:v>
                </c:pt>
                <c:pt idx="251">
                  <c:v>0</c:v>
                </c:pt>
                <c:pt idx="252">
                  <c:v>0</c:v>
                </c:pt>
                <c:pt idx="253">
                  <c:v>0</c:v>
                </c:pt>
                <c:pt idx="254">
                  <c:v>0</c:v>
                </c:pt>
                <c:pt idx="255">
                  <c:v>0</c:v>
                </c:pt>
                <c:pt idx="256">
                  <c:v>0</c:v>
                </c:pt>
                <c:pt idx="257">
                  <c:v>0</c:v>
                </c:pt>
                <c:pt idx="258">
                  <c:v>0</c:v>
                </c:pt>
                <c:pt idx="259">
                  <c:v>0</c:v>
                </c:pt>
                <c:pt idx="260">
                  <c:v>0</c:v>
                </c:pt>
                <c:pt idx="261">
                  <c:v>0</c:v>
                </c:pt>
                <c:pt idx="262">
                  <c:v>0</c:v>
                </c:pt>
                <c:pt idx="263">
                  <c:v>0</c:v>
                </c:pt>
                <c:pt idx="264">
                  <c:v>0</c:v>
                </c:pt>
                <c:pt idx="265">
                  <c:v>0</c:v>
                </c:pt>
                <c:pt idx="266">
                  <c:v>0</c:v>
                </c:pt>
                <c:pt idx="267">
                  <c:v>0</c:v>
                </c:pt>
                <c:pt idx="268">
                  <c:v>0</c:v>
                </c:pt>
                <c:pt idx="269">
                  <c:v>0</c:v>
                </c:pt>
                <c:pt idx="270">
                  <c:v>0</c:v>
                </c:pt>
                <c:pt idx="271">
                  <c:v>0</c:v>
                </c:pt>
                <c:pt idx="272">
                  <c:v>0</c:v>
                </c:pt>
                <c:pt idx="273">
                  <c:v>0</c:v>
                </c:pt>
                <c:pt idx="274">
                  <c:v>0</c:v>
                </c:pt>
                <c:pt idx="275">
                  <c:v>0</c:v>
                </c:pt>
                <c:pt idx="276">
                  <c:v>0</c:v>
                </c:pt>
                <c:pt idx="277">
                  <c:v>0</c:v>
                </c:pt>
                <c:pt idx="278">
                  <c:v>0</c:v>
                </c:pt>
                <c:pt idx="279">
                  <c:v>0</c:v>
                </c:pt>
                <c:pt idx="280">
                  <c:v>0</c:v>
                </c:pt>
                <c:pt idx="281">
                  <c:v>0</c:v>
                </c:pt>
                <c:pt idx="282">
                  <c:v>0</c:v>
                </c:pt>
                <c:pt idx="283">
                  <c:v>0</c:v>
                </c:pt>
                <c:pt idx="284">
                  <c:v>0</c:v>
                </c:pt>
                <c:pt idx="285">
                  <c:v>0</c:v>
                </c:pt>
                <c:pt idx="286">
                  <c:v>0</c:v>
                </c:pt>
                <c:pt idx="287">
                  <c:v>0</c:v>
                </c:pt>
                <c:pt idx="288">
                  <c:v>0</c:v>
                </c:pt>
                <c:pt idx="289">
                  <c:v>0</c:v>
                </c:pt>
                <c:pt idx="290">
                  <c:v>0</c:v>
                </c:pt>
                <c:pt idx="291">
                  <c:v>0</c:v>
                </c:pt>
                <c:pt idx="292">
                  <c:v>0</c:v>
                </c:pt>
                <c:pt idx="293">
                  <c:v>0</c:v>
                </c:pt>
                <c:pt idx="294">
                  <c:v>0</c:v>
                </c:pt>
                <c:pt idx="295">
                  <c:v>0</c:v>
                </c:pt>
                <c:pt idx="296">
                  <c:v>0</c:v>
                </c:pt>
                <c:pt idx="297">
                  <c:v>0</c:v>
                </c:pt>
                <c:pt idx="298">
                  <c:v>0</c:v>
                </c:pt>
              </c:numCache>
            </c:numRef>
          </c:val>
          <c:smooth val="0"/>
        </c:ser>
        <c:dLbls>
          <c:showLegendKey val="0"/>
          <c:showVal val="0"/>
          <c:showCatName val="0"/>
          <c:showSerName val="0"/>
          <c:showPercent val="0"/>
          <c:showBubbleSize val="0"/>
        </c:dLbls>
        <c:marker val="1"/>
        <c:smooth val="0"/>
        <c:axId val="701059840"/>
        <c:axId val="701061376"/>
      </c:lineChart>
      <c:catAx>
        <c:axId val="700950016"/>
        <c:scaling>
          <c:orientation val="minMax"/>
        </c:scaling>
        <c:delete val="0"/>
        <c:axPos val="b"/>
        <c:numFmt formatCode="m/d/yyyy" sourceLinked="0"/>
        <c:majorTickMark val="out"/>
        <c:minorTickMark val="none"/>
        <c:tickLblPos val="nextTo"/>
        <c:txPr>
          <a:bodyPr rot="0" vert="horz"/>
          <a:lstStyle/>
          <a:p>
            <a:pPr>
              <a:defRPr sz="1000" b="0" i="0" u="none" strike="noStrike" baseline="0">
                <a:solidFill>
                  <a:srgbClr val="000000"/>
                </a:solidFill>
                <a:latin typeface="Calibri"/>
                <a:ea typeface="Calibri"/>
                <a:cs typeface="Calibri"/>
              </a:defRPr>
            </a:pPr>
            <a:endParaRPr lang="en-US"/>
          </a:p>
        </c:txPr>
        <c:crossAx val="700951552"/>
        <c:crosses val="autoZero"/>
        <c:auto val="1"/>
        <c:lblAlgn val="ctr"/>
        <c:lblOffset val="100"/>
        <c:noMultiLvlLbl val="1"/>
      </c:catAx>
      <c:valAx>
        <c:axId val="700951552"/>
        <c:scaling>
          <c:orientation val="minMax"/>
        </c:scaling>
        <c:delete val="0"/>
        <c:axPos val="l"/>
        <c:majorGridlines/>
        <c:numFmt formatCode="General" sourceLinked="1"/>
        <c:majorTickMark val="out"/>
        <c:minorTickMark val="none"/>
        <c:tickLblPos val="nextTo"/>
        <c:txPr>
          <a:bodyPr rot="0" vert="horz"/>
          <a:lstStyle/>
          <a:p>
            <a:pPr>
              <a:defRPr sz="1000" b="0" i="0" u="none" strike="noStrike" baseline="0">
                <a:solidFill>
                  <a:srgbClr val="000000"/>
                </a:solidFill>
                <a:latin typeface="Calibri"/>
                <a:ea typeface="Calibri"/>
                <a:cs typeface="Calibri"/>
              </a:defRPr>
            </a:pPr>
            <a:endParaRPr lang="en-US"/>
          </a:p>
        </c:txPr>
        <c:crossAx val="700950016"/>
        <c:crosses val="autoZero"/>
        <c:crossBetween val="between"/>
      </c:valAx>
      <c:catAx>
        <c:axId val="701059840"/>
        <c:scaling>
          <c:orientation val="minMax"/>
        </c:scaling>
        <c:delete val="1"/>
        <c:axPos val="b"/>
        <c:numFmt formatCode="m/d/yyyy" sourceLinked="1"/>
        <c:majorTickMark val="out"/>
        <c:minorTickMark val="none"/>
        <c:tickLblPos val="nextTo"/>
        <c:crossAx val="701061376"/>
        <c:crosses val="autoZero"/>
        <c:auto val="1"/>
        <c:lblAlgn val="ctr"/>
        <c:lblOffset val="100"/>
        <c:noMultiLvlLbl val="1"/>
      </c:catAx>
      <c:valAx>
        <c:axId val="701061376"/>
        <c:scaling>
          <c:orientation val="minMax"/>
        </c:scaling>
        <c:delete val="0"/>
        <c:axPos val="r"/>
        <c:numFmt formatCode="General" sourceLinked="1"/>
        <c:majorTickMark val="out"/>
        <c:minorTickMark val="none"/>
        <c:tickLblPos val="nextTo"/>
        <c:txPr>
          <a:bodyPr rot="0" vert="horz"/>
          <a:lstStyle/>
          <a:p>
            <a:pPr>
              <a:defRPr sz="1000" b="0" i="0" u="none" strike="noStrike" baseline="0">
                <a:solidFill>
                  <a:srgbClr val="000000"/>
                </a:solidFill>
                <a:latin typeface="Calibri"/>
                <a:ea typeface="Calibri"/>
                <a:cs typeface="Calibri"/>
              </a:defRPr>
            </a:pPr>
            <a:endParaRPr lang="en-US"/>
          </a:p>
        </c:txPr>
        <c:crossAx val="701059840"/>
        <c:crosses val="max"/>
        <c:crossBetween val="between"/>
      </c:valAx>
    </c:plotArea>
    <c:legend>
      <c:legendPos val="r"/>
      <c:layout>
        <c:manualLayout>
          <c:xMode val="edge"/>
          <c:yMode val="edge"/>
          <c:x val="0.89076207234395322"/>
          <c:y val="0.13360366391448034"/>
          <c:w val="7.6779091752107731E-2"/>
          <c:h val="0.55465714558959489"/>
        </c:manualLayout>
      </c:layout>
      <c:overlay val="0"/>
      <c:txPr>
        <a:bodyPr/>
        <a:lstStyle/>
        <a:p>
          <a:pPr>
            <a:defRPr sz="710" b="0" i="0" u="none" strike="noStrike" baseline="0">
              <a:solidFill>
                <a:srgbClr val="000000"/>
              </a:solidFill>
              <a:latin typeface="Calibri"/>
              <a:ea typeface="Calibri"/>
              <a:cs typeface="Calibri"/>
            </a:defRPr>
          </a:pPr>
          <a:endParaRPr lang="en-US"/>
        </a:p>
      </c:txPr>
    </c:legend>
    <c:plotVisOnly val="0"/>
    <c:dispBlanksAs val="gap"/>
    <c:showDLblsOverMax val="0"/>
  </c:chart>
  <c:spPr>
    <a:noFill/>
    <a:ln w="9525">
      <a:noFill/>
    </a:ln>
  </c:spPr>
  <c:txPr>
    <a:bodyPr/>
    <a:lstStyle/>
    <a:p>
      <a:pPr>
        <a:defRPr sz="1000" b="0" i="0" u="none" strike="noStrike" baseline="0">
          <a:solidFill>
            <a:srgbClr val="000000"/>
          </a:solidFill>
          <a:latin typeface="Calibri"/>
          <a:ea typeface="Calibri"/>
          <a:cs typeface="Calibri"/>
        </a:defRPr>
      </a:pPr>
      <a:endParaRPr lang="en-US"/>
    </a:p>
  </c:txPr>
  <c:printSettings>
    <c:headerFooter/>
    <c:pageMargins b="0.75000000000000022" l="0.70000000000000018" r="0.70000000000000018" t="0.75000000000000022" header="0.3000000000000001" footer="0.3000000000000001"/>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10079019028871392"/>
          <c:y val="0.13811680682382049"/>
          <c:w val="0.81156610892388448"/>
          <c:h val="0.64862669600757206"/>
        </c:manualLayout>
      </c:layout>
      <c:lineChart>
        <c:grouping val="standard"/>
        <c:varyColors val="0"/>
        <c:ser>
          <c:idx val="0"/>
          <c:order val="0"/>
          <c:tx>
            <c:strRef>
              <c:f>CHT!$B$1</c:f>
              <c:strCache>
                <c:ptCount val="1"/>
                <c:pt idx="0">
                  <c:v>TRSY: 05-07 vs 03-10</c:v>
                </c:pt>
              </c:strCache>
            </c:strRef>
          </c:tx>
          <c:spPr>
            <a:ln>
              <a:solidFill>
                <a:srgbClr val="4B81BD"/>
              </a:solidFill>
              <a:prstDash val="solid"/>
            </a:ln>
          </c:spPr>
          <c:marker>
            <c:symbol val="none"/>
          </c:marker>
          <c:cat>
            <c:strRef>
              <c:f>CHT!$A$2:$A$263</c:f>
              <c:strCache>
                <c:ptCount val="262"/>
                <c:pt idx="0">
                  <c:v>#N/A Requesting Data...</c:v>
                </c:pt>
                <c:pt idx="1">
                  <c:v>13/04/2015</c:v>
                </c:pt>
                <c:pt idx="2">
                  <c:v>10/04/2015</c:v>
                </c:pt>
                <c:pt idx="3">
                  <c:v>09/04/2015</c:v>
                </c:pt>
                <c:pt idx="4">
                  <c:v>08/04/2015</c:v>
                </c:pt>
                <c:pt idx="5">
                  <c:v>07/04/2015</c:v>
                </c:pt>
                <c:pt idx="6">
                  <c:v>06/04/2015</c:v>
                </c:pt>
                <c:pt idx="7">
                  <c:v>03/04/2015</c:v>
                </c:pt>
                <c:pt idx="8">
                  <c:v>02/04/2015</c:v>
                </c:pt>
                <c:pt idx="9">
                  <c:v>01/04/2015</c:v>
                </c:pt>
                <c:pt idx="10">
                  <c:v>31/03/2015</c:v>
                </c:pt>
                <c:pt idx="11">
                  <c:v>30/03/2015</c:v>
                </c:pt>
                <c:pt idx="12">
                  <c:v>27/03/2015</c:v>
                </c:pt>
                <c:pt idx="13">
                  <c:v>26/03/2015</c:v>
                </c:pt>
                <c:pt idx="14">
                  <c:v>25/03/2015</c:v>
                </c:pt>
                <c:pt idx="15">
                  <c:v>24/03/2015</c:v>
                </c:pt>
                <c:pt idx="16">
                  <c:v>23/03/2015</c:v>
                </c:pt>
                <c:pt idx="17">
                  <c:v>20/03/2015</c:v>
                </c:pt>
                <c:pt idx="18">
                  <c:v>19/03/2015</c:v>
                </c:pt>
                <c:pt idx="19">
                  <c:v>18/03/2015</c:v>
                </c:pt>
                <c:pt idx="20">
                  <c:v>17/03/2015</c:v>
                </c:pt>
                <c:pt idx="21">
                  <c:v>16/03/2015</c:v>
                </c:pt>
                <c:pt idx="22">
                  <c:v>13/03/2015</c:v>
                </c:pt>
                <c:pt idx="23">
                  <c:v>12/03/2015</c:v>
                </c:pt>
                <c:pt idx="24">
                  <c:v>11/03/2015</c:v>
                </c:pt>
                <c:pt idx="25">
                  <c:v>10/03/2015</c:v>
                </c:pt>
                <c:pt idx="26">
                  <c:v>09/03/2015</c:v>
                </c:pt>
                <c:pt idx="27">
                  <c:v>06/03/2015</c:v>
                </c:pt>
                <c:pt idx="28">
                  <c:v>05/03/2015</c:v>
                </c:pt>
                <c:pt idx="29">
                  <c:v>04/03/2015</c:v>
                </c:pt>
                <c:pt idx="30">
                  <c:v>03/03/2015</c:v>
                </c:pt>
                <c:pt idx="31">
                  <c:v>02/03/2015</c:v>
                </c:pt>
                <c:pt idx="32">
                  <c:v>27/02/2015</c:v>
                </c:pt>
                <c:pt idx="33">
                  <c:v>26/02/2015</c:v>
                </c:pt>
                <c:pt idx="34">
                  <c:v>25/02/2015</c:v>
                </c:pt>
                <c:pt idx="35">
                  <c:v>24/02/2015</c:v>
                </c:pt>
                <c:pt idx="36">
                  <c:v>23/02/2015</c:v>
                </c:pt>
                <c:pt idx="37">
                  <c:v>20/02/2015</c:v>
                </c:pt>
                <c:pt idx="38">
                  <c:v>19/02/2015</c:v>
                </c:pt>
                <c:pt idx="39">
                  <c:v>18/02/2015</c:v>
                </c:pt>
                <c:pt idx="40">
                  <c:v>17/02/2015</c:v>
                </c:pt>
                <c:pt idx="41">
                  <c:v>16/02/2015</c:v>
                </c:pt>
                <c:pt idx="42">
                  <c:v>13/02/2015</c:v>
                </c:pt>
                <c:pt idx="43">
                  <c:v>12/02/2015</c:v>
                </c:pt>
                <c:pt idx="44">
                  <c:v>11/02/2015</c:v>
                </c:pt>
                <c:pt idx="45">
                  <c:v>10/02/2015</c:v>
                </c:pt>
                <c:pt idx="46">
                  <c:v>09/02/2015</c:v>
                </c:pt>
                <c:pt idx="47">
                  <c:v>06/02/2015</c:v>
                </c:pt>
                <c:pt idx="48">
                  <c:v>05/02/2015</c:v>
                </c:pt>
                <c:pt idx="49">
                  <c:v>04/02/2015</c:v>
                </c:pt>
                <c:pt idx="50">
                  <c:v>03/02/2015</c:v>
                </c:pt>
                <c:pt idx="51">
                  <c:v>02/02/2015</c:v>
                </c:pt>
                <c:pt idx="52">
                  <c:v>30/01/2015</c:v>
                </c:pt>
                <c:pt idx="53">
                  <c:v>29/01/2015</c:v>
                </c:pt>
                <c:pt idx="54">
                  <c:v>28/01/2015</c:v>
                </c:pt>
                <c:pt idx="55">
                  <c:v>27/01/2015</c:v>
                </c:pt>
                <c:pt idx="56">
                  <c:v>26/01/2015</c:v>
                </c:pt>
                <c:pt idx="57">
                  <c:v>23/01/2015</c:v>
                </c:pt>
                <c:pt idx="58">
                  <c:v>22/01/2015</c:v>
                </c:pt>
                <c:pt idx="59">
                  <c:v>21/01/2015</c:v>
                </c:pt>
                <c:pt idx="60">
                  <c:v>20/01/2015</c:v>
                </c:pt>
                <c:pt idx="61">
                  <c:v>19/01/2015</c:v>
                </c:pt>
                <c:pt idx="62">
                  <c:v>16/01/2015</c:v>
                </c:pt>
                <c:pt idx="63">
                  <c:v>15/01/2015</c:v>
                </c:pt>
                <c:pt idx="64">
                  <c:v>14/01/2015</c:v>
                </c:pt>
                <c:pt idx="65">
                  <c:v>13/01/2015</c:v>
                </c:pt>
                <c:pt idx="66">
                  <c:v>12/01/2015</c:v>
                </c:pt>
                <c:pt idx="67">
                  <c:v>09/01/2015</c:v>
                </c:pt>
                <c:pt idx="68">
                  <c:v>08/01/2015</c:v>
                </c:pt>
                <c:pt idx="69">
                  <c:v>07/01/2015</c:v>
                </c:pt>
                <c:pt idx="70">
                  <c:v>06/01/2015</c:v>
                </c:pt>
                <c:pt idx="71">
                  <c:v>05/01/2015</c:v>
                </c:pt>
                <c:pt idx="72">
                  <c:v>02/01/2015</c:v>
                </c:pt>
                <c:pt idx="73">
                  <c:v>01/01/2015</c:v>
                </c:pt>
                <c:pt idx="74">
                  <c:v>31/12/2014</c:v>
                </c:pt>
                <c:pt idx="75">
                  <c:v>30/12/2014</c:v>
                </c:pt>
                <c:pt idx="76">
                  <c:v>29/12/2014</c:v>
                </c:pt>
                <c:pt idx="77">
                  <c:v>26/12/2014</c:v>
                </c:pt>
                <c:pt idx="78">
                  <c:v>25/12/2014</c:v>
                </c:pt>
                <c:pt idx="79">
                  <c:v>24/12/2014</c:v>
                </c:pt>
                <c:pt idx="80">
                  <c:v>23/12/2014</c:v>
                </c:pt>
                <c:pt idx="81">
                  <c:v>22/12/2014</c:v>
                </c:pt>
                <c:pt idx="82">
                  <c:v>19/12/2014</c:v>
                </c:pt>
                <c:pt idx="83">
                  <c:v>18/12/2014</c:v>
                </c:pt>
                <c:pt idx="84">
                  <c:v>17/12/2014</c:v>
                </c:pt>
                <c:pt idx="85">
                  <c:v>16/12/2014</c:v>
                </c:pt>
                <c:pt idx="86">
                  <c:v>15/12/2014</c:v>
                </c:pt>
                <c:pt idx="87">
                  <c:v>12/12/2014</c:v>
                </c:pt>
                <c:pt idx="88">
                  <c:v>11/12/2014</c:v>
                </c:pt>
                <c:pt idx="89">
                  <c:v>10/12/2014</c:v>
                </c:pt>
                <c:pt idx="90">
                  <c:v>09/12/2014</c:v>
                </c:pt>
                <c:pt idx="91">
                  <c:v>08/12/2014</c:v>
                </c:pt>
                <c:pt idx="92">
                  <c:v>05/12/2014</c:v>
                </c:pt>
                <c:pt idx="93">
                  <c:v>04/12/2014</c:v>
                </c:pt>
                <c:pt idx="94">
                  <c:v>03/12/2014</c:v>
                </c:pt>
                <c:pt idx="95">
                  <c:v>02/12/2014</c:v>
                </c:pt>
                <c:pt idx="96">
                  <c:v>01/12/2014</c:v>
                </c:pt>
                <c:pt idx="97">
                  <c:v>28/11/2014</c:v>
                </c:pt>
                <c:pt idx="98">
                  <c:v>27/11/2014</c:v>
                </c:pt>
                <c:pt idx="99">
                  <c:v>26/11/2014</c:v>
                </c:pt>
                <c:pt idx="100">
                  <c:v>25/11/2014</c:v>
                </c:pt>
                <c:pt idx="101">
                  <c:v>24/11/2014</c:v>
                </c:pt>
                <c:pt idx="102">
                  <c:v>21/11/2014</c:v>
                </c:pt>
                <c:pt idx="103">
                  <c:v>20/11/2014</c:v>
                </c:pt>
                <c:pt idx="104">
                  <c:v>19/11/2014</c:v>
                </c:pt>
                <c:pt idx="105">
                  <c:v>18/11/2014</c:v>
                </c:pt>
                <c:pt idx="106">
                  <c:v>17/11/2014</c:v>
                </c:pt>
                <c:pt idx="107">
                  <c:v>14/11/2014</c:v>
                </c:pt>
                <c:pt idx="108">
                  <c:v>13/11/2014</c:v>
                </c:pt>
                <c:pt idx="109">
                  <c:v>12/11/2014</c:v>
                </c:pt>
                <c:pt idx="110">
                  <c:v>11/11/2014</c:v>
                </c:pt>
                <c:pt idx="111">
                  <c:v>10/11/2014</c:v>
                </c:pt>
                <c:pt idx="112">
                  <c:v>07/11/2014</c:v>
                </c:pt>
                <c:pt idx="113">
                  <c:v>06/11/2014</c:v>
                </c:pt>
                <c:pt idx="114">
                  <c:v>05/11/2014</c:v>
                </c:pt>
                <c:pt idx="115">
                  <c:v>04/11/2014</c:v>
                </c:pt>
                <c:pt idx="116">
                  <c:v>03/11/2014</c:v>
                </c:pt>
                <c:pt idx="117">
                  <c:v>31/10/2014</c:v>
                </c:pt>
                <c:pt idx="118">
                  <c:v>30/10/2014</c:v>
                </c:pt>
                <c:pt idx="119">
                  <c:v>29/10/2014</c:v>
                </c:pt>
                <c:pt idx="120">
                  <c:v>28/10/2014</c:v>
                </c:pt>
                <c:pt idx="121">
                  <c:v>27/10/2014</c:v>
                </c:pt>
                <c:pt idx="122">
                  <c:v>24/10/2014</c:v>
                </c:pt>
                <c:pt idx="123">
                  <c:v>23/10/2014</c:v>
                </c:pt>
                <c:pt idx="124">
                  <c:v>22/10/2014</c:v>
                </c:pt>
                <c:pt idx="125">
                  <c:v>21/10/2014</c:v>
                </c:pt>
                <c:pt idx="126">
                  <c:v>20/10/2014</c:v>
                </c:pt>
                <c:pt idx="127">
                  <c:v>17/10/2014</c:v>
                </c:pt>
                <c:pt idx="128">
                  <c:v>16/10/2014</c:v>
                </c:pt>
                <c:pt idx="129">
                  <c:v>15/10/2014</c:v>
                </c:pt>
                <c:pt idx="130">
                  <c:v>14/10/2014</c:v>
                </c:pt>
                <c:pt idx="131">
                  <c:v>13/10/2014</c:v>
                </c:pt>
                <c:pt idx="132">
                  <c:v>10/10/2014</c:v>
                </c:pt>
                <c:pt idx="133">
                  <c:v>09/10/2014</c:v>
                </c:pt>
                <c:pt idx="134">
                  <c:v>08/10/2014</c:v>
                </c:pt>
                <c:pt idx="135">
                  <c:v>07/10/2014</c:v>
                </c:pt>
                <c:pt idx="136">
                  <c:v>06/10/2014</c:v>
                </c:pt>
                <c:pt idx="137">
                  <c:v>03/10/2014</c:v>
                </c:pt>
                <c:pt idx="138">
                  <c:v>02/10/2014</c:v>
                </c:pt>
                <c:pt idx="139">
                  <c:v>01/10/2014</c:v>
                </c:pt>
                <c:pt idx="140">
                  <c:v>30/09/2014</c:v>
                </c:pt>
                <c:pt idx="141">
                  <c:v>29/09/2014</c:v>
                </c:pt>
                <c:pt idx="142">
                  <c:v>26/09/2014</c:v>
                </c:pt>
                <c:pt idx="143">
                  <c:v>25/09/2014</c:v>
                </c:pt>
                <c:pt idx="144">
                  <c:v>24/09/2014</c:v>
                </c:pt>
                <c:pt idx="145">
                  <c:v>23/09/2014</c:v>
                </c:pt>
                <c:pt idx="146">
                  <c:v>22/09/2014</c:v>
                </c:pt>
                <c:pt idx="147">
                  <c:v>19/09/2014</c:v>
                </c:pt>
                <c:pt idx="148">
                  <c:v>18/09/2014</c:v>
                </c:pt>
                <c:pt idx="149">
                  <c:v>17/09/2014</c:v>
                </c:pt>
                <c:pt idx="150">
                  <c:v>16/09/2014</c:v>
                </c:pt>
                <c:pt idx="151">
                  <c:v>15/09/2014</c:v>
                </c:pt>
                <c:pt idx="152">
                  <c:v>12/09/2014</c:v>
                </c:pt>
                <c:pt idx="153">
                  <c:v>11/09/2014</c:v>
                </c:pt>
                <c:pt idx="154">
                  <c:v>10/09/2014</c:v>
                </c:pt>
                <c:pt idx="155">
                  <c:v>09/09/2014</c:v>
                </c:pt>
                <c:pt idx="156">
                  <c:v>08/09/2014</c:v>
                </c:pt>
                <c:pt idx="157">
                  <c:v>05/09/2014</c:v>
                </c:pt>
                <c:pt idx="158">
                  <c:v>04/09/2014</c:v>
                </c:pt>
                <c:pt idx="159">
                  <c:v>03/09/2014</c:v>
                </c:pt>
                <c:pt idx="160">
                  <c:v>02/09/2014</c:v>
                </c:pt>
                <c:pt idx="161">
                  <c:v>01/09/2014</c:v>
                </c:pt>
                <c:pt idx="162">
                  <c:v>29/08/2014</c:v>
                </c:pt>
                <c:pt idx="163">
                  <c:v>28/08/2014</c:v>
                </c:pt>
                <c:pt idx="164">
                  <c:v>27/08/2014</c:v>
                </c:pt>
                <c:pt idx="165">
                  <c:v>26/08/2014</c:v>
                </c:pt>
                <c:pt idx="166">
                  <c:v>25/08/2014</c:v>
                </c:pt>
                <c:pt idx="167">
                  <c:v>22/08/2014</c:v>
                </c:pt>
                <c:pt idx="168">
                  <c:v>21/08/2014</c:v>
                </c:pt>
                <c:pt idx="169">
                  <c:v>20/08/2014</c:v>
                </c:pt>
                <c:pt idx="170">
                  <c:v>19/08/2014</c:v>
                </c:pt>
                <c:pt idx="171">
                  <c:v>18/08/2014</c:v>
                </c:pt>
                <c:pt idx="172">
                  <c:v>15/08/2014</c:v>
                </c:pt>
                <c:pt idx="173">
                  <c:v>14/08/2014</c:v>
                </c:pt>
                <c:pt idx="174">
                  <c:v>13/08/2014</c:v>
                </c:pt>
                <c:pt idx="175">
                  <c:v>12/08/2014</c:v>
                </c:pt>
                <c:pt idx="176">
                  <c:v>11/08/2014</c:v>
                </c:pt>
                <c:pt idx="177">
                  <c:v>08/08/2014</c:v>
                </c:pt>
                <c:pt idx="178">
                  <c:v>07/08/2014</c:v>
                </c:pt>
                <c:pt idx="179">
                  <c:v>06/08/2014</c:v>
                </c:pt>
                <c:pt idx="180">
                  <c:v>05/08/2014</c:v>
                </c:pt>
                <c:pt idx="181">
                  <c:v>04/08/2014</c:v>
                </c:pt>
                <c:pt idx="182">
                  <c:v>01/08/2014</c:v>
                </c:pt>
                <c:pt idx="183">
                  <c:v>31/07/2014</c:v>
                </c:pt>
                <c:pt idx="184">
                  <c:v>30/07/2014</c:v>
                </c:pt>
                <c:pt idx="185">
                  <c:v>29/07/2014</c:v>
                </c:pt>
                <c:pt idx="186">
                  <c:v>28/07/2014</c:v>
                </c:pt>
                <c:pt idx="187">
                  <c:v>25/07/2014</c:v>
                </c:pt>
                <c:pt idx="188">
                  <c:v>24/07/2014</c:v>
                </c:pt>
                <c:pt idx="189">
                  <c:v>23/07/2014</c:v>
                </c:pt>
                <c:pt idx="190">
                  <c:v>22/07/2014</c:v>
                </c:pt>
                <c:pt idx="191">
                  <c:v>21/07/2014</c:v>
                </c:pt>
                <c:pt idx="192">
                  <c:v>18/07/2014</c:v>
                </c:pt>
                <c:pt idx="193">
                  <c:v>17/07/2014</c:v>
                </c:pt>
                <c:pt idx="194">
                  <c:v>16/07/2014</c:v>
                </c:pt>
                <c:pt idx="195">
                  <c:v>15/07/2014</c:v>
                </c:pt>
                <c:pt idx="196">
                  <c:v>14/07/2014</c:v>
                </c:pt>
                <c:pt idx="197">
                  <c:v>11/07/2014</c:v>
                </c:pt>
                <c:pt idx="198">
                  <c:v>10/07/2014</c:v>
                </c:pt>
                <c:pt idx="199">
                  <c:v>09/07/2014</c:v>
                </c:pt>
                <c:pt idx="200">
                  <c:v>08/07/2014</c:v>
                </c:pt>
                <c:pt idx="201">
                  <c:v>07/07/2014</c:v>
                </c:pt>
                <c:pt idx="202">
                  <c:v>04/07/2014</c:v>
                </c:pt>
                <c:pt idx="203">
                  <c:v>03/07/2014</c:v>
                </c:pt>
                <c:pt idx="204">
                  <c:v>02/07/2014</c:v>
                </c:pt>
                <c:pt idx="205">
                  <c:v>01/07/2014</c:v>
                </c:pt>
                <c:pt idx="206">
                  <c:v>30/06/2014</c:v>
                </c:pt>
                <c:pt idx="207">
                  <c:v>27/06/2014</c:v>
                </c:pt>
                <c:pt idx="208">
                  <c:v>26/06/2014</c:v>
                </c:pt>
                <c:pt idx="209">
                  <c:v>25/06/2014</c:v>
                </c:pt>
                <c:pt idx="210">
                  <c:v>24/06/2014</c:v>
                </c:pt>
                <c:pt idx="211">
                  <c:v>23/06/2014</c:v>
                </c:pt>
                <c:pt idx="212">
                  <c:v>20/06/2014</c:v>
                </c:pt>
                <c:pt idx="213">
                  <c:v>19/06/2014</c:v>
                </c:pt>
                <c:pt idx="214">
                  <c:v>18/06/2014</c:v>
                </c:pt>
                <c:pt idx="215">
                  <c:v>17/06/2014</c:v>
                </c:pt>
                <c:pt idx="216">
                  <c:v>16/06/2014</c:v>
                </c:pt>
                <c:pt idx="217">
                  <c:v>13/06/2014</c:v>
                </c:pt>
                <c:pt idx="218">
                  <c:v>12/06/2014</c:v>
                </c:pt>
                <c:pt idx="219">
                  <c:v>11/06/2014</c:v>
                </c:pt>
                <c:pt idx="220">
                  <c:v>10/06/2014</c:v>
                </c:pt>
                <c:pt idx="221">
                  <c:v>09/06/2014</c:v>
                </c:pt>
                <c:pt idx="222">
                  <c:v>06/06/2014</c:v>
                </c:pt>
                <c:pt idx="223">
                  <c:v>05/06/2014</c:v>
                </c:pt>
                <c:pt idx="224">
                  <c:v>04/06/2014</c:v>
                </c:pt>
                <c:pt idx="225">
                  <c:v>03/06/2014</c:v>
                </c:pt>
                <c:pt idx="226">
                  <c:v>02/06/2014</c:v>
                </c:pt>
                <c:pt idx="227">
                  <c:v>30/05/2014</c:v>
                </c:pt>
                <c:pt idx="228">
                  <c:v>29/05/2014</c:v>
                </c:pt>
                <c:pt idx="229">
                  <c:v>28/05/2014</c:v>
                </c:pt>
                <c:pt idx="230">
                  <c:v>27/05/2014</c:v>
                </c:pt>
                <c:pt idx="231">
                  <c:v>26/05/2014</c:v>
                </c:pt>
                <c:pt idx="232">
                  <c:v>23/05/2014</c:v>
                </c:pt>
                <c:pt idx="233">
                  <c:v>22/05/2014</c:v>
                </c:pt>
                <c:pt idx="234">
                  <c:v>21/05/2014</c:v>
                </c:pt>
                <c:pt idx="235">
                  <c:v>20/05/2014</c:v>
                </c:pt>
                <c:pt idx="236">
                  <c:v>19/05/2014</c:v>
                </c:pt>
                <c:pt idx="237">
                  <c:v>16/05/2014</c:v>
                </c:pt>
                <c:pt idx="238">
                  <c:v>15/05/2014</c:v>
                </c:pt>
                <c:pt idx="239">
                  <c:v>14/05/2014</c:v>
                </c:pt>
                <c:pt idx="240">
                  <c:v>13/05/2014</c:v>
                </c:pt>
                <c:pt idx="241">
                  <c:v>12/05/2014</c:v>
                </c:pt>
                <c:pt idx="242">
                  <c:v>09/05/2014</c:v>
                </c:pt>
                <c:pt idx="243">
                  <c:v>08/05/2014</c:v>
                </c:pt>
                <c:pt idx="244">
                  <c:v>07/05/2014</c:v>
                </c:pt>
                <c:pt idx="245">
                  <c:v>06/05/2014</c:v>
                </c:pt>
                <c:pt idx="246">
                  <c:v>05/05/2014</c:v>
                </c:pt>
                <c:pt idx="247">
                  <c:v>02/05/2014</c:v>
                </c:pt>
                <c:pt idx="248">
                  <c:v>01/05/2014</c:v>
                </c:pt>
                <c:pt idx="249">
                  <c:v>30/04/2014</c:v>
                </c:pt>
                <c:pt idx="250">
                  <c:v>29/04/2014</c:v>
                </c:pt>
                <c:pt idx="251">
                  <c:v>28/04/2014</c:v>
                </c:pt>
                <c:pt idx="252">
                  <c:v>25/04/2014</c:v>
                </c:pt>
                <c:pt idx="253">
                  <c:v>24/04/2014</c:v>
                </c:pt>
                <c:pt idx="254">
                  <c:v>23/04/2014</c:v>
                </c:pt>
                <c:pt idx="255">
                  <c:v>22/04/2014</c:v>
                </c:pt>
                <c:pt idx="256">
                  <c:v>21/04/2014</c:v>
                </c:pt>
                <c:pt idx="257">
                  <c:v>18/04/2014</c:v>
                </c:pt>
                <c:pt idx="258">
                  <c:v>17/04/2014</c:v>
                </c:pt>
                <c:pt idx="259">
                  <c:v>16/04/2014</c:v>
                </c:pt>
                <c:pt idx="260">
                  <c:v>15/04/2014</c:v>
                </c:pt>
                <c:pt idx="261">
                  <c:v>14/04/2014</c:v>
                </c:pt>
              </c:strCache>
            </c:strRef>
          </c:cat>
          <c:val>
            <c:numRef>
              <c:f>CHT!$B$2:$B$263</c:f>
              <c:numCache>
                <c:formatCode>General</c:formatCode>
                <c:ptCount val="262"/>
                <c:pt idx="0">
                  <c:v>0</c:v>
                </c:pt>
                <c:pt idx="1">
                  <c:v>0.31704980842911873</c:v>
                </c:pt>
                <c:pt idx="2">
                  <c:v>0.31884057971014501</c:v>
                </c:pt>
                <c:pt idx="3">
                  <c:v>0.31623931623931623</c:v>
                </c:pt>
                <c:pt idx="4">
                  <c:v>0.32233009708737886</c:v>
                </c:pt>
                <c:pt idx="5">
                  <c:v>0.32071901608325443</c:v>
                </c:pt>
                <c:pt idx="6">
                  <c:v>0.31864095500459133</c:v>
                </c:pt>
                <c:pt idx="7">
                  <c:v>0.3235849056603774</c:v>
                </c:pt>
                <c:pt idx="8">
                  <c:v>0.32068311195445931</c:v>
                </c:pt>
                <c:pt idx="9">
                  <c:v>0.32571996027805367</c:v>
                </c:pt>
                <c:pt idx="10">
                  <c:v>0.32279693486590033</c:v>
                </c:pt>
                <c:pt idx="11">
                  <c:v>0.32276657060518721</c:v>
                </c:pt>
                <c:pt idx="12">
                  <c:v>0.31747572815533981</c:v>
                </c:pt>
                <c:pt idx="13">
                  <c:v>0.3123791102514506</c:v>
                </c:pt>
                <c:pt idx="14">
                  <c:v>0.3170731707317071</c:v>
                </c:pt>
                <c:pt idx="15">
                  <c:v>0.32234809474768272</c:v>
                </c:pt>
                <c:pt idx="16">
                  <c:v>0.3208502024291498</c:v>
                </c:pt>
                <c:pt idx="17">
                  <c:v>0.31882591093117402</c:v>
                </c:pt>
                <c:pt idx="18">
                  <c:v>0.31600407747196746</c:v>
                </c:pt>
                <c:pt idx="19">
                  <c:v>0.32277227722772261</c:v>
                </c:pt>
                <c:pt idx="20">
                  <c:v>0.31637843336724303</c:v>
                </c:pt>
                <c:pt idx="21">
                  <c:v>0.32188420019627095</c:v>
                </c:pt>
                <c:pt idx="22">
                  <c:v>0.31709646609360082</c:v>
                </c:pt>
                <c:pt idx="23">
                  <c:v>0.31563706563706578</c:v>
                </c:pt>
                <c:pt idx="24">
                  <c:v>0.31719367588932823</c:v>
                </c:pt>
                <c:pt idx="25">
                  <c:v>0.31161473087818697</c:v>
                </c:pt>
                <c:pt idx="26">
                  <c:v>0.3143382352941177</c:v>
                </c:pt>
                <c:pt idx="27">
                  <c:v>0.31454545454545457</c:v>
                </c:pt>
                <c:pt idx="28">
                  <c:v>0.31481481481481505</c:v>
                </c:pt>
                <c:pt idx="29">
                  <c:v>0.31559290382819805</c:v>
                </c:pt>
                <c:pt idx="30">
                  <c:v>0.31548757170172087</c:v>
                </c:pt>
                <c:pt idx="31">
                  <c:v>0.31655372700871259</c:v>
                </c:pt>
                <c:pt idx="32">
                  <c:v>0.31959798994974881</c:v>
                </c:pt>
                <c:pt idx="33">
                  <c:v>0.30983118172790475</c:v>
                </c:pt>
                <c:pt idx="34">
                  <c:v>0.32303090727816552</c:v>
                </c:pt>
                <c:pt idx="35">
                  <c:v>0.31898238747553809</c:v>
                </c:pt>
                <c:pt idx="36">
                  <c:v>0.31502890173410408</c:v>
                </c:pt>
                <c:pt idx="37">
                  <c:v>0.31668237511781366</c:v>
                </c:pt>
                <c:pt idx="38">
                  <c:v>0.32119514472455651</c:v>
                </c:pt>
                <c:pt idx="39">
                  <c:v>0.32742537313432835</c:v>
                </c:pt>
                <c:pt idx="40">
                  <c:v>0.32098765432098747</c:v>
                </c:pt>
                <c:pt idx="41">
                  <c:v>0.31876861966236314</c:v>
                </c:pt>
                <c:pt idx="42">
                  <c:v>0.31876861966236314</c:v>
                </c:pt>
                <c:pt idx="43">
                  <c:v>0.32128099173553715</c:v>
                </c:pt>
                <c:pt idx="44">
                  <c:v>0.3199999999999999</c:v>
                </c:pt>
                <c:pt idx="45">
                  <c:v>0.30974358974358979</c:v>
                </c:pt>
                <c:pt idx="46">
                  <c:v>0.31461864406779677</c:v>
                </c:pt>
                <c:pt idx="47">
                  <c:v>0.32029598308668072</c:v>
                </c:pt>
                <c:pt idx="48">
                  <c:v>0.33024691358024688</c:v>
                </c:pt>
                <c:pt idx="49">
                  <c:v>0.33017875920084105</c:v>
                </c:pt>
                <c:pt idx="50">
                  <c:v>0.33263598326359839</c:v>
                </c:pt>
                <c:pt idx="51">
                  <c:v>0.33738938053097339</c:v>
                </c:pt>
                <c:pt idx="52">
                  <c:v>0.33701657458563555</c:v>
                </c:pt>
                <c:pt idx="53">
                  <c:v>0.30952380952380953</c:v>
                </c:pt>
                <c:pt idx="54">
                  <c:v>0.31161780673181344</c:v>
                </c:pt>
                <c:pt idx="55">
                  <c:v>0.30640083945435476</c:v>
                </c:pt>
                <c:pt idx="56">
                  <c:v>0.31335436382755</c:v>
                </c:pt>
                <c:pt idx="57">
                  <c:v>0.30972515856236776</c:v>
                </c:pt>
                <c:pt idx="58">
                  <c:v>0.31275720164609061</c:v>
                </c:pt>
                <c:pt idx="59">
                  <c:v>0.3163672654690618</c:v>
                </c:pt>
                <c:pt idx="60">
                  <c:v>0.31837160751565752</c:v>
                </c:pt>
                <c:pt idx="61">
                  <c:v>0.30541871921182268</c:v>
                </c:pt>
                <c:pt idx="62">
                  <c:v>0.30541871921182268</c:v>
                </c:pt>
                <c:pt idx="63">
                  <c:v>0.31605184446660034</c:v>
                </c:pt>
                <c:pt idx="64">
                  <c:v>0.30285152409046223</c:v>
                </c:pt>
                <c:pt idx="65">
                  <c:v>0.30128840436075333</c:v>
                </c:pt>
                <c:pt idx="66">
                  <c:v>0.297747306562194</c:v>
                </c:pt>
                <c:pt idx="67">
                  <c:v>0.30320699708454818</c:v>
                </c:pt>
                <c:pt idx="68">
                  <c:v>0.30152671755725197</c:v>
                </c:pt>
                <c:pt idx="69">
                  <c:v>0.29748743718592952</c:v>
                </c:pt>
                <c:pt idx="70">
                  <c:v>0.29184100418410036</c:v>
                </c:pt>
                <c:pt idx="71">
                  <c:v>0.28269617706237438</c:v>
                </c:pt>
                <c:pt idx="72">
                  <c:v>0.29154795821462476</c:v>
                </c:pt>
                <c:pt idx="73">
                  <c:v>0.28882833787465939</c:v>
                </c:pt>
                <c:pt idx="74">
                  <c:v>0.28882833787465939</c:v>
                </c:pt>
                <c:pt idx="75">
                  <c:v>0.28754578754578736</c:v>
                </c:pt>
                <c:pt idx="76">
                  <c:v>0.28677150786308958</c:v>
                </c:pt>
                <c:pt idx="77">
                  <c:v>0.28993536472760856</c:v>
                </c:pt>
                <c:pt idx="78">
                  <c:v>0.28375912408759113</c:v>
                </c:pt>
                <c:pt idx="79">
                  <c:v>0.28375912408759113</c:v>
                </c:pt>
                <c:pt idx="80">
                  <c:v>0.29727272727272741</c:v>
                </c:pt>
                <c:pt idx="81">
                  <c:v>0.29640151515151536</c:v>
                </c:pt>
                <c:pt idx="82">
                  <c:v>0.30260707635009293</c:v>
                </c:pt>
                <c:pt idx="83">
                  <c:v>0.30376344086021478</c:v>
                </c:pt>
                <c:pt idx="84">
                  <c:v>0.30271790065604498</c:v>
                </c:pt>
                <c:pt idx="85">
                  <c:v>0.30597014925373139</c:v>
                </c:pt>
                <c:pt idx="86">
                  <c:v>0.30073126142595979</c:v>
                </c:pt>
                <c:pt idx="87">
                  <c:v>0.30054151624548731</c:v>
                </c:pt>
                <c:pt idx="88">
                  <c:v>0.30205540661304747</c:v>
                </c:pt>
                <c:pt idx="89">
                  <c:v>0.30224525043177897</c:v>
                </c:pt>
                <c:pt idx="90">
                  <c:v>0.29208754208754206</c:v>
                </c:pt>
                <c:pt idx="91">
                  <c:v>0.29958158995815887</c:v>
                </c:pt>
                <c:pt idx="92">
                  <c:v>0.30413625304136255</c:v>
                </c:pt>
                <c:pt idx="93">
                  <c:v>0.30482115085536537</c:v>
                </c:pt>
                <c:pt idx="94">
                  <c:v>0.30547112462006049</c:v>
                </c:pt>
                <c:pt idx="95">
                  <c:v>0.30615270570793163</c:v>
                </c:pt>
                <c:pt idx="96">
                  <c:v>0.30941704035874457</c:v>
                </c:pt>
                <c:pt idx="97">
                  <c:v>0.30395136778115511</c:v>
                </c:pt>
                <c:pt idx="98">
                  <c:v>0.30255255255255259</c:v>
                </c:pt>
                <c:pt idx="99">
                  <c:v>0.29279279279279274</c:v>
                </c:pt>
                <c:pt idx="100">
                  <c:v>0.30059970014992504</c:v>
                </c:pt>
                <c:pt idx="101">
                  <c:v>0.30021913805697592</c:v>
                </c:pt>
                <c:pt idx="102">
                  <c:v>0.30336257309941528</c:v>
                </c:pt>
                <c:pt idx="103">
                  <c:v>0.30094271211022483</c:v>
                </c:pt>
                <c:pt idx="104">
                  <c:v>0.3018050541516244</c:v>
                </c:pt>
                <c:pt idx="105">
                  <c:v>0.30183150183150181</c:v>
                </c:pt>
                <c:pt idx="106">
                  <c:v>0.30000000000000004</c:v>
                </c:pt>
                <c:pt idx="107">
                  <c:v>0.3018315018315017</c:v>
                </c:pt>
                <c:pt idx="108">
                  <c:v>0.30029154518950424</c:v>
                </c:pt>
                <c:pt idx="109">
                  <c:v>0.30482456140350866</c:v>
                </c:pt>
                <c:pt idx="110">
                  <c:v>0.30825958702064876</c:v>
                </c:pt>
                <c:pt idx="111">
                  <c:v>0.30028735632183889</c:v>
                </c:pt>
                <c:pt idx="112">
                  <c:v>0.30225782957028408</c:v>
                </c:pt>
                <c:pt idx="113">
                  <c:v>0.30028735632183906</c:v>
                </c:pt>
                <c:pt idx="114">
                  <c:v>0.3004322766570604</c:v>
                </c:pt>
                <c:pt idx="115">
                  <c:v>0.30215827338129486</c:v>
                </c:pt>
                <c:pt idx="116">
                  <c:v>0.30028530670470738</c:v>
                </c:pt>
                <c:pt idx="117">
                  <c:v>0.30410183875530428</c:v>
                </c:pt>
                <c:pt idx="118">
                  <c:v>0.29943502824858753</c:v>
                </c:pt>
                <c:pt idx="119">
                  <c:v>0.30176678445229682</c:v>
                </c:pt>
                <c:pt idx="120">
                  <c:v>0.30695770804911315</c:v>
                </c:pt>
                <c:pt idx="121">
                  <c:v>0.30536451169188439</c:v>
                </c:pt>
                <c:pt idx="122">
                  <c:v>0.30674002751031632</c:v>
                </c:pt>
                <c:pt idx="123">
                  <c:v>0.30716253443526159</c:v>
                </c:pt>
                <c:pt idx="124">
                  <c:v>0.31167933655839669</c:v>
                </c:pt>
                <c:pt idx="125">
                  <c:v>0.31146408839778994</c:v>
                </c:pt>
                <c:pt idx="126">
                  <c:v>0.31504922644163141</c:v>
                </c:pt>
                <c:pt idx="127">
                  <c:v>0.31463068181818188</c:v>
                </c:pt>
                <c:pt idx="128">
                  <c:v>0.31428571428571428</c:v>
                </c:pt>
                <c:pt idx="129">
                  <c:v>0.31320224719101136</c:v>
                </c:pt>
                <c:pt idx="130">
                  <c:v>0.31258941344778263</c:v>
                </c:pt>
                <c:pt idx="131">
                  <c:v>0.31169757489300981</c:v>
                </c:pt>
                <c:pt idx="132">
                  <c:v>0.31169757489300981</c:v>
                </c:pt>
                <c:pt idx="133">
                  <c:v>0.31014904187366932</c:v>
                </c:pt>
                <c:pt idx="134">
                  <c:v>0.31501057082452422</c:v>
                </c:pt>
                <c:pt idx="135">
                  <c:v>0.30537634408602143</c:v>
                </c:pt>
                <c:pt idx="136">
                  <c:v>0.30596491228070177</c:v>
                </c:pt>
                <c:pt idx="137">
                  <c:v>0.30626780626780636</c:v>
                </c:pt>
                <c:pt idx="138">
                  <c:v>0.30843706777316743</c:v>
                </c:pt>
                <c:pt idx="139">
                  <c:v>0.30480905233380468</c:v>
                </c:pt>
                <c:pt idx="140">
                  <c:v>0.30806340454858716</c:v>
                </c:pt>
                <c:pt idx="141">
                  <c:v>0.30609418282548462</c:v>
                </c:pt>
                <c:pt idx="142">
                  <c:v>0.30360789652825038</c:v>
                </c:pt>
                <c:pt idx="143">
                  <c:v>0.29609690444145365</c:v>
                </c:pt>
                <c:pt idx="144">
                  <c:v>0.3075383589059375</c:v>
                </c:pt>
                <c:pt idx="145">
                  <c:v>0.30795148247978454</c:v>
                </c:pt>
                <c:pt idx="146">
                  <c:v>0.31162790697674414</c:v>
                </c:pt>
                <c:pt idx="147">
                  <c:v>0.31115591397849446</c:v>
                </c:pt>
                <c:pt idx="148">
                  <c:v>0.31184210526315798</c:v>
                </c:pt>
                <c:pt idx="149">
                  <c:v>0.30966469428007898</c:v>
                </c:pt>
                <c:pt idx="150">
                  <c:v>0.31027795733678087</c:v>
                </c:pt>
                <c:pt idx="151">
                  <c:v>0.30533854166666674</c:v>
                </c:pt>
                <c:pt idx="152">
                  <c:v>0.30326797385620918</c:v>
                </c:pt>
                <c:pt idx="153">
                  <c:v>0.29762711864406782</c:v>
                </c:pt>
                <c:pt idx="154">
                  <c:v>0.29903978052126201</c:v>
                </c:pt>
                <c:pt idx="155">
                  <c:v>0.29291553133514997</c:v>
                </c:pt>
                <c:pt idx="156">
                  <c:v>0.2953929539295394</c:v>
                </c:pt>
                <c:pt idx="157">
                  <c:v>0.29792919171676702</c:v>
                </c:pt>
                <c:pt idx="158">
                  <c:v>0.29516019086571221</c:v>
                </c:pt>
                <c:pt idx="159">
                  <c:v>0.2957550452331244</c:v>
                </c:pt>
                <c:pt idx="160">
                  <c:v>0.29427980702963474</c:v>
                </c:pt>
                <c:pt idx="161">
                  <c:v>0.2942008486562942</c:v>
                </c:pt>
                <c:pt idx="162">
                  <c:v>0.2942008486562942</c:v>
                </c:pt>
                <c:pt idx="163">
                  <c:v>0.27734095782701917</c:v>
                </c:pt>
                <c:pt idx="164">
                  <c:v>0.28846153846153844</c:v>
                </c:pt>
                <c:pt idx="165">
                  <c:v>0.28980446927374298</c:v>
                </c:pt>
                <c:pt idx="166">
                  <c:v>0.29039145907473302</c:v>
                </c:pt>
                <c:pt idx="167">
                  <c:v>0.29735376044568251</c:v>
                </c:pt>
                <c:pt idx="168">
                  <c:v>0.30136054421768699</c:v>
                </c:pt>
                <c:pt idx="169">
                  <c:v>0.30525606469002703</c:v>
                </c:pt>
                <c:pt idx="170">
                  <c:v>0.30748840291583829</c:v>
                </c:pt>
                <c:pt idx="171">
                  <c:v>0.30856005308560058</c:v>
                </c:pt>
                <c:pt idx="172">
                  <c:v>0.30587440918298447</c:v>
                </c:pt>
                <c:pt idx="173">
                  <c:v>0.30891089108910902</c:v>
                </c:pt>
                <c:pt idx="174">
                  <c:v>0.31054687500000022</c:v>
                </c:pt>
                <c:pt idx="175">
                  <c:v>0.30635838150289008</c:v>
                </c:pt>
                <c:pt idx="176">
                  <c:v>0.30814332247556997</c:v>
                </c:pt>
                <c:pt idx="177">
                  <c:v>0.30340760157273927</c:v>
                </c:pt>
                <c:pt idx="178">
                  <c:v>0.30569948186528495</c:v>
                </c:pt>
                <c:pt idx="179">
                  <c:v>0.30528999362651377</c:v>
                </c:pt>
                <c:pt idx="180">
                  <c:v>0.30404551201011371</c:v>
                </c:pt>
                <c:pt idx="181">
                  <c:v>0.30604534005037765</c:v>
                </c:pt>
                <c:pt idx="182">
                  <c:v>0.30901015228426393</c:v>
                </c:pt>
                <c:pt idx="183">
                  <c:v>0.30631780472239944</c:v>
                </c:pt>
                <c:pt idx="184">
                  <c:v>0.294996751137102</c:v>
                </c:pt>
                <c:pt idx="185">
                  <c:v>0.29790115098171971</c:v>
                </c:pt>
                <c:pt idx="186">
                  <c:v>0.30187416331994638</c:v>
                </c:pt>
                <c:pt idx="187">
                  <c:v>0.30486991327551688</c:v>
                </c:pt>
                <c:pt idx="188">
                  <c:v>0.30592105263157915</c:v>
                </c:pt>
                <c:pt idx="189">
                  <c:v>0.3063241106719366</c:v>
                </c:pt>
                <c:pt idx="190">
                  <c:v>0.30564784053156147</c:v>
                </c:pt>
                <c:pt idx="191">
                  <c:v>0.30437710437710436</c:v>
                </c:pt>
                <c:pt idx="192">
                  <c:v>0.30687830687830681</c:v>
                </c:pt>
                <c:pt idx="193">
                  <c:v>0.30602883355176941</c:v>
                </c:pt>
                <c:pt idx="194">
                  <c:v>0.30614886731391572</c:v>
                </c:pt>
                <c:pt idx="195">
                  <c:v>0.30710659898477172</c:v>
                </c:pt>
                <c:pt idx="196">
                  <c:v>0.30499999999999999</c:v>
                </c:pt>
                <c:pt idx="197">
                  <c:v>0.30691823899371073</c:v>
                </c:pt>
                <c:pt idx="198">
                  <c:v>0.30870381966186594</c:v>
                </c:pt>
                <c:pt idx="199">
                  <c:v>0.3101067168863777</c:v>
                </c:pt>
                <c:pt idx="200">
                  <c:v>0.30378177309361454</c:v>
                </c:pt>
                <c:pt idx="201">
                  <c:v>0.30109489051094895</c:v>
                </c:pt>
                <c:pt idx="202">
                  <c:v>0.3010688836104512</c:v>
                </c:pt>
                <c:pt idx="203">
                  <c:v>0.3010688836104512</c:v>
                </c:pt>
                <c:pt idx="204">
                  <c:v>0.30269320843091335</c:v>
                </c:pt>
                <c:pt idx="205">
                  <c:v>0.30166270783847976</c:v>
                </c:pt>
                <c:pt idx="206">
                  <c:v>0.30366806975345761</c:v>
                </c:pt>
                <c:pt idx="207">
                  <c:v>0.30259192284508735</c:v>
                </c:pt>
                <c:pt idx="208">
                  <c:v>0.29083181542197944</c:v>
                </c:pt>
                <c:pt idx="209">
                  <c:v>0.30498177399756987</c:v>
                </c:pt>
                <c:pt idx="210">
                  <c:v>0.3060109289617487</c:v>
                </c:pt>
                <c:pt idx="211">
                  <c:v>0.30851697438951775</c:v>
                </c:pt>
                <c:pt idx="212">
                  <c:v>0.30851697438951747</c:v>
                </c:pt>
                <c:pt idx="213">
                  <c:v>0.31168831168831174</c:v>
                </c:pt>
                <c:pt idx="214">
                  <c:v>0.31090909090909086</c:v>
                </c:pt>
                <c:pt idx="215">
                  <c:v>0.30570570570570565</c:v>
                </c:pt>
                <c:pt idx="216">
                  <c:v>0.3060109289617487</c:v>
                </c:pt>
                <c:pt idx="217">
                  <c:v>0.30567164179104478</c:v>
                </c:pt>
                <c:pt idx="218">
                  <c:v>0.30388059701492531</c:v>
                </c:pt>
                <c:pt idx="219">
                  <c:v>0.3093987157034444</c:v>
                </c:pt>
                <c:pt idx="220">
                  <c:v>0.30142450142450139</c:v>
                </c:pt>
                <c:pt idx="221">
                  <c:v>0.30275229357798161</c:v>
                </c:pt>
                <c:pt idx="222">
                  <c:v>0.30681818181818182</c:v>
                </c:pt>
                <c:pt idx="223">
                  <c:v>0.30471380471380477</c:v>
                </c:pt>
                <c:pt idx="224">
                  <c:v>0.30881527231892192</c:v>
                </c:pt>
                <c:pt idx="225">
                  <c:v>0.30656108597285064</c:v>
                </c:pt>
                <c:pt idx="226">
                  <c:v>0.30429732868757275</c:v>
                </c:pt>
                <c:pt idx="227">
                  <c:v>0.30475631238990025</c:v>
                </c:pt>
                <c:pt idx="228">
                  <c:v>0.29151943462897523</c:v>
                </c:pt>
                <c:pt idx="229">
                  <c:v>0.30370806356680402</c:v>
                </c:pt>
                <c:pt idx="230">
                  <c:v>0.30724971231300335</c:v>
                </c:pt>
                <c:pt idx="231">
                  <c:v>0.30944254835039819</c:v>
                </c:pt>
                <c:pt idx="232">
                  <c:v>0.30944254835039819</c:v>
                </c:pt>
                <c:pt idx="233">
                  <c:v>0.30712669683257898</c:v>
                </c:pt>
                <c:pt idx="234">
                  <c:v>0.30965909090909088</c:v>
                </c:pt>
                <c:pt idx="235">
                  <c:v>0.30733944954128445</c:v>
                </c:pt>
                <c:pt idx="236">
                  <c:v>0.30580865603644647</c:v>
                </c:pt>
                <c:pt idx="237">
                  <c:v>0.30518345952242282</c:v>
                </c:pt>
                <c:pt idx="238">
                  <c:v>0.3048349056603773</c:v>
                </c:pt>
                <c:pt idx="239">
                  <c:v>0.30387059503177366</c:v>
                </c:pt>
                <c:pt idx="240">
                  <c:v>0.30594900849858359</c:v>
                </c:pt>
                <c:pt idx="241">
                  <c:v>0.30505617977528077</c:v>
                </c:pt>
                <c:pt idx="242">
                  <c:v>0.30494037478705277</c:v>
                </c:pt>
                <c:pt idx="243">
                  <c:v>0.3072529982866935</c:v>
                </c:pt>
                <c:pt idx="244">
                  <c:v>0.3134592680047224</c:v>
                </c:pt>
                <c:pt idx="245">
                  <c:v>0.30701754385964908</c:v>
                </c:pt>
                <c:pt idx="246">
                  <c:v>0.30889145496535775</c:v>
                </c:pt>
                <c:pt idx="247">
                  <c:v>0.30831878999418272</c:v>
                </c:pt>
                <c:pt idx="248">
                  <c:v>0.3107727016356458</c:v>
                </c:pt>
                <c:pt idx="249">
                  <c:v>0.30919220055710311</c:v>
                </c:pt>
                <c:pt idx="250">
                  <c:v>0.30777777777777776</c:v>
                </c:pt>
                <c:pt idx="251">
                  <c:v>0.30922142462727764</c:v>
                </c:pt>
                <c:pt idx="252">
                  <c:v>0.30860033726812808</c:v>
                </c:pt>
                <c:pt idx="253">
                  <c:v>0.29849077697037441</c:v>
                </c:pt>
                <c:pt idx="254">
                  <c:v>0.31329994435169711</c:v>
                </c:pt>
                <c:pt idx="255">
                  <c:v>0.31114808652246256</c:v>
                </c:pt>
                <c:pt idx="256">
                  <c:v>0.31408140814081414</c:v>
                </c:pt>
                <c:pt idx="257">
                  <c:v>0.31363887355052461</c:v>
                </c:pt>
                <c:pt idx="258">
                  <c:v>0.31363887355052461</c:v>
                </c:pt>
                <c:pt idx="259">
                  <c:v>0.31260599208592432</c:v>
                </c:pt>
                <c:pt idx="260">
                  <c:v>0.31337437045327371</c:v>
                </c:pt>
                <c:pt idx="261">
                  <c:v>0.31700605393505782</c:v>
                </c:pt>
              </c:numCache>
            </c:numRef>
          </c:val>
          <c:smooth val="0"/>
        </c:ser>
        <c:dLbls>
          <c:showLegendKey val="0"/>
          <c:showVal val="0"/>
          <c:showCatName val="0"/>
          <c:showSerName val="0"/>
          <c:showPercent val="0"/>
          <c:showBubbleSize val="0"/>
        </c:dLbls>
        <c:marker val="1"/>
        <c:smooth val="0"/>
        <c:axId val="701622912"/>
        <c:axId val="703295872"/>
      </c:lineChart>
      <c:dateAx>
        <c:axId val="701622912"/>
        <c:scaling>
          <c:orientation val="minMax"/>
        </c:scaling>
        <c:delete val="0"/>
        <c:axPos val="b"/>
        <c:numFmt formatCode="m/d/yyyy" sourceLinked="0"/>
        <c:majorTickMark val="out"/>
        <c:minorTickMark val="none"/>
        <c:tickLblPos val="nextTo"/>
        <c:txPr>
          <a:bodyPr rot="-2700000" vert="horz"/>
          <a:lstStyle/>
          <a:p>
            <a:pPr>
              <a:defRPr sz="1000" b="0" i="0" u="none" strike="noStrike" baseline="0">
                <a:solidFill>
                  <a:srgbClr val="000000"/>
                </a:solidFill>
                <a:latin typeface="Calibri"/>
                <a:ea typeface="Calibri"/>
                <a:cs typeface="Calibri"/>
              </a:defRPr>
            </a:pPr>
            <a:endParaRPr lang="en-US"/>
          </a:p>
        </c:txPr>
        <c:crossAx val="703295872"/>
        <c:crosses val="autoZero"/>
        <c:auto val="0"/>
        <c:lblOffset val="100"/>
        <c:baseTimeUnit val="days"/>
      </c:dateAx>
      <c:valAx>
        <c:axId val="703295872"/>
        <c:scaling>
          <c:orientation val="minMax"/>
          <c:max val="0.37112831858407075"/>
          <c:min val="0.24960686204431726"/>
        </c:scaling>
        <c:delete val="0"/>
        <c:axPos val="l"/>
        <c:majorGridlines/>
        <c:numFmt formatCode="0.00%" sourceLinked="0"/>
        <c:majorTickMark val="out"/>
        <c:minorTickMark val="none"/>
        <c:tickLblPos val="nextTo"/>
        <c:txPr>
          <a:bodyPr rot="0" vert="horz"/>
          <a:lstStyle/>
          <a:p>
            <a:pPr>
              <a:defRPr sz="1000" b="0" i="0" u="none" strike="noStrike" baseline="0">
                <a:solidFill>
                  <a:srgbClr val="000000"/>
                </a:solidFill>
                <a:latin typeface="Calibri"/>
                <a:ea typeface="Calibri"/>
                <a:cs typeface="Calibri"/>
              </a:defRPr>
            </a:pPr>
            <a:endParaRPr lang="en-US"/>
          </a:p>
        </c:txPr>
        <c:crossAx val="701622912"/>
        <c:crosses val="autoZero"/>
        <c:crossBetween val="between"/>
      </c:valAx>
    </c:plotArea>
    <c:legend>
      <c:legendPos val="r"/>
      <c:layout>
        <c:manualLayout>
          <c:xMode val="edge"/>
          <c:yMode val="edge"/>
          <c:x val="9.9169291338582682E-2"/>
          <c:y val="3.43310638583917E-2"/>
          <c:w val="0.25575114829396328"/>
          <c:h val="8.5758530183727033E-2"/>
        </c:manualLayout>
      </c:layout>
      <c:overlay val="0"/>
      <c:txPr>
        <a:bodyPr/>
        <a:lstStyle/>
        <a:p>
          <a:pPr>
            <a:defRPr sz="1100" b="0" i="0" u="none" strike="noStrike" baseline="0">
              <a:solidFill>
                <a:srgbClr val="000000"/>
              </a:solidFill>
              <a:latin typeface="Calibri"/>
              <a:ea typeface="Calibri"/>
              <a:cs typeface="Calibri"/>
            </a:defRPr>
          </a:pPr>
          <a:endParaRPr lang="en-US"/>
        </a:p>
      </c:txPr>
    </c:legend>
    <c:plotVisOnly val="0"/>
    <c:dispBlanksAs val="gap"/>
    <c:showDLblsOverMax val="0"/>
  </c:chart>
  <c:spPr>
    <a:ln>
      <a:noFill/>
    </a:ln>
  </c:spPr>
  <c:txPr>
    <a:bodyPr/>
    <a:lstStyle/>
    <a:p>
      <a:pPr>
        <a:defRPr sz="1000" b="0" i="0" u="none" strike="noStrike" baseline="0">
          <a:solidFill>
            <a:srgbClr val="000000"/>
          </a:solidFill>
          <a:latin typeface="Calibri"/>
          <a:ea typeface="Calibri"/>
          <a:cs typeface="Calibri"/>
        </a:defRPr>
      </a:pPr>
      <a:endParaRPr lang="en-US"/>
    </a:p>
  </c:txPr>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2.9962546816479401E-2"/>
          <c:y val="5.2845528455284556E-2"/>
          <c:w val="0.83458177278402002"/>
          <c:h val="0.73553906240188871"/>
        </c:manualLayout>
      </c:layout>
      <c:barChart>
        <c:barDir val="col"/>
        <c:grouping val="clustered"/>
        <c:varyColors val="0"/>
        <c:ser>
          <c:idx val="2"/>
          <c:order val="2"/>
          <c:tx>
            <c:v>SPRD</c:v>
          </c:tx>
          <c:spPr>
            <a:solidFill>
              <a:schemeClr val="accent1"/>
            </a:solidFill>
            <a:ln w="22225" cmpd="sng"/>
          </c:spPr>
          <c:invertIfNegative val="0"/>
          <c:cat>
            <c:strRef>
              <c:f>'SWPS Canada'!$Z$1:$Z$2</c:f>
              <c:strCache>
                <c:ptCount val="2"/>
                <c:pt idx="1">
                  <c:v>#N/A Invalid Security</c:v>
                </c:pt>
              </c:strCache>
            </c:strRef>
          </c:cat>
          <c:val>
            <c:numRef>
              <c:f>'SWPS Canada'!$AC$2:$AC$300</c:f>
              <c:numCache>
                <c:formatCode>General</c:formatCode>
                <c:ptCount val="299"/>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pt idx="168">
                  <c:v>0</c:v>
                </c:pt>
                <c:pt idx="169">
                  <c:v>0</c:v>
                </c:pt>
                <c:pt idx="170">
                  <c:v>0</c:v>
                </c:pt>
                <c:pt idx="171">
                  <c:v>0</c:v>
                </c:pt>
                <c:pt idx="172">
                  <c:v>0</c:v>
                </c:pt>
                <c:pt idx="173">
                  <c:v>0</c:v>
                </c:pt>
                <c:pt idx="174">
                  <c:v>0</c:v>
                </c:pt>
                <c:pt idx="175">
                  <c:v>0</c:v>
                </c:pt>
                <c:pt idx="176">
                  <c:v>0</c:v>
                </c:pt>
                <c:pt idx="177">
                  <c:v>0</c:v>
                </c:pt>
                <c:pt idx="178">
                  <c:v>0</c:v>
                </c:pt>
                <c:pt idx="179">
                  <c:v>0</c:v>
                </c:pt>
                <c:pt idx="180">
                  <c:v>0</c:v>
                </c:pt>
                <c:pt idx="181">
                  <c:v>0</c:v>
                </c:pt>
                <c:pt idx="182">
                  <c:v>0</c:v>
                </c:pt>
                <c:pt idx="183">
                  <c:v>0</c:v>
                </c:pt>
                <c:pt idx="184">
                  <c:v>0</c:v>
                </c:pt>
                <c:pt idx="185">
                  <c:v>0</c:v>
                </c:pt>
                <c:pt idx="186">
                  <c:v>0</c:v>
                </c:pt>
                <c:pt idx="187">
                  <c:v>0</c:v>
                </c:pt>
                <c:pt idx="188">
                  <c:v>0</c:v>
                </c:pt>
                <c:pt idx="189">
                  <c:v>0</c:v>
                </c:pt>
                <c:pt idx="190">
                  <c:v>0</c:v>
                </c:pt>
                <c:pt idx="191">
                  <c:v>0</c:v>
                </c:pt>
                <c:pt idx="192">
                  <c:v>0</c:v>
                </c:pt>
                <c:pt idx="193">
                  <c:v>0</c:v>
                </c:pt>
                <c:pt idx="194">
                  <c:v>0</c:v>
                </c:pt>
                <c:pt idx="195">
                  <c:v>0</c:v>
                </c:pt>
                <c:pt idx="196">
                  <c:v>0</c:v>
                </c:pt>
                <c:pt idx="197">
                  <c:v>0</c:v>
                </c:pt>
                <c:pt idx="198">
                  <c:v>0</c:v>
                </c:pt>
                <c:pt idx="199">
                  <c:v>0</c:v>
                </c:pt>
                <c:pt idx="200">
                  <c:v>0</c:v>
                </c:pt>
                <c:pt idx="201">
                  <c:v>0</c:v>
                </c:pt>
                <c:pt idx="202">
                  <c:v>0</c:v>
                </c:pt>
                <c:pt idx="203">
                  <c:v>0</c:v>
                </c:pt>
                <c:pt idx="204">
                  <c:v>0</c:v>
                </c:pt>
                <c:pt idx="205">
                  <c:v>0</c:v>
                </c:pt>
                <c:pt idx="206">
                  <c:v>0</c:v>
                </c:pt>
                <c:pt idx="207">
                  <c:v>0</c:v>
                </c:pt>
                <c:pt idx="208">
                  <c:v>0</c:v>
                </c:pt>
                <c:pt idx="209">
                  <c:v>0</c:v>
                </c:pt>
                <c:pt idx="210">
                  <c:v>0</c:v>
                </c:pt>
                <c:pt idx="211">
                  <c:v>0</c:v>
                </c:pt>
                <c:pt idx="212">
                  <c:v>0</c:v>
                </c:pt>
                <c:pt idx="213">
                  <c:v>0</c:v>
                </c:pt>
                <c:pt idx="214">
                  <c:v>0</c:v>
                </c:pt>
                <c:pt idx="215">
                  <c:v>0</c:v>
                </c:pt>
                <c:pt idx="216">
                  <c:v>0</c:v>
                </c:pt>
                <c:pt idx="217">
                  <c:v>0</c:v>
                </c:pt>
                <c:pt idx="218">
                  <c:v>0</c:v>
                </c:pt>
                <c:pt idx="219">
                  <c:v>0</c:v>
                </c:pt>
                <c:pt idx="220">
                  <c:v>0</c:v>
                </c:pt>
                <c:pt idx="221">
                  <c:v>0</c:v>
                </c:pt>
                <c:pt idx="222">
                  <c:v>0</c:v>
                </c:pt>
                <c:pt idx="223">
                  <c:v>0</c:v>
                </c:pt>
                <c:pt idx="224">
                  <c:v>0</c:v>
                </c:pt>
                <c:pt idx="225">
                  <c:v>0</c:v>
                </c:pt>
                <c:pt idx="226">
                  <c:v>0</c:v>
                </c:pt>
                <c:pt idx="227">
                  <c:v>0</c:v>
                </c:pt>
                <c:pt idx="228">
                  <c:v>0</c:v>
                </c:pt>
                <c:pt idx="229">
                  <c:v>0</c:v>
                </c:pt>
                <c:pt idx="230">
                  <c:v>0</c:v>
                </c:pt>
                <c:pt idx="231">
                  <c:v>0</c:v>
                </c:pt>
                <c:pt idx="232">
                  <c:v>0</c:v>
                </c:pt>
                <c:pt idx="233">
                  <c:v>0</c:v>
                </c:pt>
                <c:pt idx="234">
                  <c:v>0</c:v>
                </c:pt>
                <c:pt idx="235">
                  <c:v>0</c:v>
                </c:pt>
                <c:pt idx="236">
                  <c:v>0</c:v>
                </c:pt>
                <c:pt idx="237">
                  <c:v>0</c:v>
                </c:pt>
                <c:pt idx="238">
                  <c:v>0</c:v>
                </c:pt>
                <c:pt idx="239">
                  <c:v>0</c:v>
                </c:pt>
                <c:pt idx="240">
                  <c:v>0</c:v>
                </c:pt>
                <c:pt idx="241">
                  <c:v>0</c:v>
                </c:pt>
                <c:pt idx="242">
                  <c:v>0</c:v>
                </c:pt>
                <c:pt idx="243">
                  <c:v>0</c:v>
                </c:pt>
                <c:pt idx="244">
                  <c:v>0</c:v>
                </c:pt>
                <c:pt idx="245">
                  <c:v>0</c:v>
                </c:pt>
                <c:pt idx="246">
                  <c:v>0</c:v>
                </c:pt>
                <c:pt idx="247">
                  <c:v>0</c:v>
                </c:pt>
                <c:pt idx="248">
                  <c:v>0</c:v>
                </c:pt>
                <c:pt idx="249">
                  <c:v>0</c:v>
                </c:pt>
                <c:pt idx="250">
                  <c:v>0</c:v>
                </c:pt>
                <c:pt idx="251">
                  <c:v>0</c:v>
                </c:pt>
                <c:pt idx="252">
                  <c:v>0</c:v>
                </c:pt>
                <c:pt idx="253">
                  <c:v>0</c:v>
                </c:pt>
                <c:pt idx="254">
                  <c:v>0</c:v>
                </c:pt>
                <c:pt idx="255">
                  <c:v>0</c:v>
                </c:pt>
                <c:pt idx="256">
                  <c:v>0</c:v>
                </c:pt>
                <c:pt idx="257">
                  <c:v>0</c:v>
                </c:pt>
                <c:pt idx="258">
                  <c:v>0</c:v>
                </c:pt>
                <c:pt idx="259">
                  <c:v>0</c:v>
                </c:pt>
                <c:pt idx="260">
                  <c:v>0</c:v>
                </c:pt>
                <c:pt idx="261">
                  <c:v>0</c:v>
                </c:pt>
                <c:pt idx="262">
                  <c:v>0</c:v>
                </c:pt>
                <c:pt idx="263">
                  <c:v>0</c:v>
                </c:pt>
                <c:pt idx="264">
                  <c:v>0</c:v>
                </c:pt>
                <c:pt idx="265">
                  <c:v>0</c:v>
                </c:pt>
                <c:pt idx="266">
                  <c:v>0</c:v>
                </c:pt>
                <c:pt idx="267">
                  <c:v>0</c:v>
                </c:pt>
                <c:pt idx="268">
                  <c:v>0</c:v>
                </c:pt>
                <c:pt idx="269">
                  <c:v>0</c:v>
                </c:pt>
                <c:pt idx="270">
                  <c:v>0</c:v>
                </c:pt>
                <c:pt idx="271">
                  <c:v>0</c:v>
                </c:pt>
                <c:pt idx="272">
                  <c:v>0</c:v>
                </c:pt>
                <c:pt idx="273">
                  <c:v>0</c:v>
                </c:pt>
                <c:pt idx="274">
                  <c:v>0</c:v>
                </c:pt>
                <c:pt idx="275">
                  <c:v>0</c:v>
                </c:pt>
                <c:pt idx="276">
                  <c:v>0</c:v>
                </c:pt>
                <c:pt idx="277">
                  <c:v>0</c:v>
                </c:pt>
                <c:pt idx="278">
                  <c:v>0</c:v>
                </c:pt>
                <c:pt idx="279">
                  <c:v>0</c:v>
                </c:pt>
                <c:pt idx="280">
                  <c:v>0</c:v>
                </c:pt>
                <c:pt idx="281">
                  <c:v>0</c:v>
                </c:pt>
                <c:pt idx="282">
                  <c:v>0</c:v>
                </c:pt>
                <c:pt idx="283">
                  <c:v>0</c:v>
                </c:pt>
                <c:pt idx="284">
                  <c:v>0</c:v>
                </c:pt>
                <c:pt idx="285">
                  <c:v>0</c:v>
                </c:pt>
                <c:pt idx="286">
                  <c:v>0</c:v>
                </c:pt>
                <c:pt idx="287">
                  <c:v>0</c:v>
                </c:pt>
                <c:pt idx="288">
                  <c:v>0</c:v>
                </c:pt>
                <c:pt idx="289">
                  <c:v>0</c:v>
                </c:pt>
                <c:pt idx="290">
                  <c:v>0</c:v>
                </c:pt>
                <c:pt idx="291">
                  <c:v>0</c:v>
                </c:pt>
                <c:pt idx="292">
                  <c:v>0</c:v>
                </c:pt>
                <c:pt idx="293">
                  <c:v>0</c:v>
                </c:pt>
                <c:pt idx="294">
                  <c:v>0</c:v>
                </c:pt>
                <c:pt idx="295">
                  <c:v>0</c:v>
                </c:pt>
                <c:pt idx="296">
                  <c:v>0</c:v>
                </c:pt>
                <c:pt idx="297">
                  <c:v>0</c:v>
                </c:pt>
                <c:pt idx="298">
                  <c:v>0</c:v>
                </c:pt>
              </c:numCache>
            </c:numRef>
          </c:val>
        </c:ser>
        <c:dLbls>
          <c:showLegendKey val="0"/>
          <c:showVal val="0"/>
          <c:showCatName val="0"/>
          <c:showSerName val="0"/>
          <c:showPercent val="0"/>
          <c:showBubbleSize val="0"/>
        </c:dLbls>
        <c:gapWidth val="143"/>
        <c:overlap val="-1"/>
        <c:axId val="759322112"/>
        <c:axId val="761353344"/>
      </c:barChart>
      <c:lineChart>
        <c:grouping val="standard"/>
        <c:varyColors val="0"/>
        <c:ser>
          <c:idx val="0"/>
          <c:order val="0"/>
          <c:tx>
            <c:strRef>
              <c:f>'SWPS Canada'!$W$1</c:f>
              <c:strCache>
                <c:ptCount val="1"/>
                <c:pt idx="0">
                  <c:v>BAH6</c:v>
                </c:pt>
              </c:strCache>
            </c:strRef>
          </c:tx>
          <c:spPr>
            <a:ln>
              <a:solidFill>
                <a:schemeClr val="accent6">
                  <a:lumMod val="75000"/>
                </a:schemeClr>
              </a:solidFill>
            </a:ln>
          </c:spPr>
          <c:marker>
            <c:symbol val="none"/>
          </c:marker>
          <c:cat>
            <c:strRef>
              <c:f>'SWPS Canada'!$Z$2:$Z$300</c:f>
              <c:strCache>
                <c:ptCount val="299"/>
                <c:pt idx="0">
                  <c:v>#N/A Invalid Security</c:v>
                </c:pt>
                <c:pt idx="1">
                  <c:v>#N/A</c:v>
                </c:pt>
                <c:pt idx="2">
                  <c:v>#N/A</c:v>
                </c:pt>
                <c:pt idx="3">
                  <c:v>#N/A</c:v>
                </c:pt>
                <c:pt idx="4">
                  <c:v>#N/A</c:v>
                </c:pt>
                <c:pt idx="5">
                  <c:v>#N/A</c:v>
                </c:pt>
                <c:pt idx="6">
                  <c:v>#N/A</c:v>
                </c:pt>
                <c:pt idx="7">
                  <c:v>#N/A</c:v>
                </c:pt>
                <c:pt idx="8">
                  <c:v>#N/A</c:v>
                </c:pt>
                <c:pt idx="9">
                  <c:v>#N/A</c:v>
                </c:pt>
                <c:pt idx="10">
                  <c:v>#N/A</c:v>
                </c:pt>
                <c:pt idx="11">
                  <c:v>#N/A</c:v>
                </c:pt>
                <c:pt idx="12">
                  <c:v>#N/A</c:v>
                </c:pt>
                <c:pt idx="13">
                  <c:v>#N/A</c:v>
                </c:pt>
                <c:pt idx="14">
                  <c:v>#N/A</c:v>
                </c:pt>
                <c:pt idx="15">
                  <c:v>#N/A</c:v>
                </c:pt>
                <c:pt idx="16">
                  <c:v>#N/A</c:v>
                </c:pt>
                <c:pt idx="17">
                  <c:v>#N/A</c:v>
                </c:pt>
                <c:pt idx="18">
                  <c:v>#N/A</c:v>
                </c:pt>
                <c:pt idx="19">
                  <c:v>#N/A</c:v>
                </c:pt>
                <c:pt idx="20">
                  <c:v>#N/A</c:v>
                </c:pt>
                <c:pt idx="21">
                  <c:v>#N/A</c:v>
                </c:pt>
                <c:pt idx="22">
                  <c:v>#N/A</c:v>
                </c:pt>
                <c:pt idx="23">
                  <c:v>#N/A</c:v>
                </c:pt>
                <c:pt idx="24">
                  <c:v>#N/A</c:v>
                </c:pt>
                <c:pt idx="25">
                  <c:v>#N/A</c:v>
                </c:pt>
                <c:pt idx="26">
                  <c:v>#N/A</c:v>
                </c:pt>
                <c:pt idx="27">
                  <c:v>#N/A</c:v>
                </c:pt>
                <c:pt idx="28">
                  <c:v>#N/A</c:v>
                </c:pt>
                <c:pt idx="29">
                  <c:v>#N/A</c:v>
                </c:pt>
                <c:pt idx="30">
                  <c:v>#N/A</c:v>
                </c:pt>
                <c:pt idx="31">
                  <c:v>#N/A</c:v>
                </c:pt>
                <c:pt idx="32">
                  <c:v>#N/A</c:v>
                </c:pt>
                <c:pt idx="33">
                  <c:v>#N/A</c:v>
                </c:pt>
                <c:pt idx="34">
                  <c:v>#N/A</c:v>
                </c:pt>
                <c:pt idx="35">
                  <c:v>#N/A</c:v>
                </c:pt>
                <c:pt idx="36">
                  <c:v>#N/A</c:v>
                </c:pt>
                <c:pt idx="37">
                  <c:v>#N/A</c:v>
                </c:pt>
                <c:pt idx="38">
                  <c:v>#N/A</c:v>
                </c:pt>
                <c:pt idx="39">
                  <c:v>#N/A</c:v>
                </c:pt>
                <c:pt idx="40">
                  <c:v>#N/A</c:v>
                </c:pt>
                <c:pt idx="41">
                  <c:v>#N/A</c:v>
                </c:pt>
                <c:pt idx="42">
                  <c:v>#N/A</c:v>
                </c:pt>
                <c:pt idx="43">
                  <c:v>#N/A</c:v>
                </c:pt>
                <c:pt idx="44">
                  <c:v>#N/A</c:v>
                </c:pt>
                <c:pt idx="45">
                  <c:v>#N/A</c:v>
                </c:pt>
                <c:pt idx="46">
                  <c:v>#N/A</c:v>
                </c:pt>
                <c:pt idx="47">
                  <c:v>#N/A</c:v>
                </c:pt>
                <c:pt idx="48">
                  <c:v>#N/A</c:v>
                </c:pt>
                <c:pt idx="49">
                  <c:v>#N/A</c:v>
                </c:pt>
                <c:pt idx="50">
                  <c:v>#N/A</c:v>
                </c:pt>
                <c:pt idx="51">
                  <c:v>#N/A</c:v>
                </c:pt>
                <c:pt idx="52">
                  <c:v>#N/A</c:v>
                </c:pt>
                <c:pt idx="53">
                  <c:v>#N/A</c:v>
                </c:pt>
                <c:pt idx="54">
                  <c:v>#N/A</c:v>
                </c:pt>
                <c:pt idx="55">
                  <c:v>#N/A</c:v>
                </c:pt>
                <c:pt idx="56">
                  <c:v>#N/A</c:v>
                </c:pt>
                <c:pt idx="57">
                  <c:v>#N/A</c:v>
                </c:pt>
                <c:pt idx="58">
                  <c:v>#N/A</c:v>
                </c:pt>
                <c:pt idx="59">
                  <c:v>#N/A</c:v>
                </c:pt>
                <c:pt idx="60">
                  <c:v>#N/A</c:v>
                </c:pt>
                <c:pt idx="61">
                  <c:v>#N/A</c:v>
                </c:pt>
                <c:pt idx="62">
                  <c:v>02/01/2015</c:v>
                </c:pt>
                <c:pt idx="63">
                  <c:v>#N/A</c:v>
                </c:pt>
                <c:pt idx="64">
                  <c:v>#N/A</c:v>
                </c:pt>
                <c:pt idx="65">
                  <c:v>#N/A</c:v>
                </c:pt>
                <c:pt idx="66">
                  <c:v>#N/A</c:v>
                </c:pt>
                <c:pt idx="67">
                  <c:v>#N/A</c:v>
                </c:pt>
                <c:pt idx="68">
                  <c:v>#N/A</c:v>
                </c:pt>
                <c:pt idx="69">
                  <c:v>#N/A</c:v>
                </c:pt>
                <c:pt idx="70">
                  <c:v>#N/A</c:v>
                </c:pt>
                <c:pt idx="71">
                  <c:v>#N/A</c:v>
                </c:pt>
                <c:pt idx="72">
                  <c:v>#N/A</c:v>
                </c:pt>
                <c:pt idx="73">
                  <c:v>#N/A</c:v>
                </c:pt>
                <c:pt idx="74">
                  <c:v>#N/A</c:v>
                </c:pt>
                <c:pt idx="75">
                  <c:v>#N/A</c:v>
                </c:pt>
                <c:pt idx="76">
                  <c:v>#N/A</c:v>
                </c:pt>
                <c:pt idx="77">
                  <c:v>#N/A</c:v>
                </c:pt>
                <c:pt idx="78">
                  <c:v>#N/A</c:v>
                </c:pt>
                <c:pt idx="79">
                  <c:v>#N/A</c:v>
                </c:pt>
                <c:pt idx="80">
                  <c:v>#N/A</c:v>
                </c:pt>
                <c:pt idx="81">
                  <c:v>#N/A</c:v>
                </c:pt>
                <c:pt idx="82">
                  <c:v>#N/A</c:v>
                </c:pt>
                <c:pt idx="83">
                  <c:v>#N/A</c:v>
                </c:pt>
                <c:pt idx="84">
                  <c:v>#N/A</c:v>
                </c:pt>
                <c:pt idx="85">
                  <c:v>#N/A</c:v>
                </c:pt>
                <c:pt idx="86">
                  <c:v>#N/A</c:v>
                </c:pt>
                <c:pt idx="87">
                  <c:v>#N/A</c:v>
                </c:pt>
                <c:pt idx="88">
                  <c:v>#N/A</c:v>
                </c:pt>
                <c:pt idx="89">
                  <c:v>#N/A</c:v>
                </c:pt>
                <c:pt idx="90">
                  <c:v>#N/A</c:v>
                </c:pt>
                <c:pt idx="91">
                  <c:v>#N/A</c:v>
                </c:pt>
                <c:pt idx="92">
                  <c:v>#N/A</c:v>
                </c:pt>
                <c:pt idx="93">
                  <c:v>#N/A</c:v>
                </c:pt>
                <c:pt idx="94">
                  <c:v>#N/A</c:v>
                </c:pt>
                <c:pt idx="95">
                  <c:v>#N/A</c:v>
                </c:pt>
                <c:pt idx="96">
                  <c:v>#N/A</c:v>
                </c:pt>
                <c:pt idx="97">
                  <c:v>#N/A</c:v>
                </c:pt>
                <c:pt idx="98">
                  <c:v>#N/A</c:v>
                </c:pt>
                <c:pt idx="99">
                  <c:v>#N/A</c:v>
                </c:pt>
                <c:pt idx="100">
                  <c:v>#N/A</c:v>
                </c:pt>
                <c:pt idx="101">
                  <c:v>#N/A</c:v>
                </c:pt>
                <c:pt idx="102">
                  <c:v>#N/A</c:v>
                </c:pt>
                <c:pt idx="103">
                  <c:v>#N/A</c:v>
                </c:pt>
                <c:pt idx="104">
                  <c:v>#N/A</c:v>
                </c:pt>
                <c:pt idx="105">
                  <c:v>#N/A</c:v>
                </c:pt>
                <c:pt idx="106">
                  <c:v>#N/A</c:v>
                </c:pt>
                <c:pt idx="107">
                  <c:v>#N/A</c:v>
                </c:pt>
                <c:pt idx="108">
                  <c:v>#N/A</c:v>
                </c:pt>
                <c:pt idx="109">
                  <c:v>#N/A</c:v>
                </c:pt>
                <c:pt idx="110">
                  <c:v>#N/A</c:v>
                </c:pt>
                <c:pt idx="111">
                  <c:v>#N/A</c:v>
                </c:pt>
                <c:pt idx="112">
                  <c:v>#N/A</c:v>
                </c:pt>
                <c:pt idx="113">
                  <c:v>#N/A</c:v>
                </c:pt>
                <c:pt idx="114">
                  <c:v>#N/A</c:v>
                </c:pt>
                <c:pt idx="115">
                  <c:v>#N/A</c:v>
                </c:pt>
                <c:pt idx="116">
                  <c:v>#N/A</c:v>
                </c:pt>
                <c:pt idx="117">
                  <c:v>#N/A</c:v>
                </c:pt>
                <c:pt idx="118">
                  <c:v>#N/A</c:v>
                </c:pt>
                <c:pt idx="119">
                  <c:v>#N/A</c:v>
                </c:pt>
                <c:pt idx="120">
                  <c:v>#N/A</c:v>
                </c:pt>
                <c:pt idx="121">
                  <c:v>#N/A</c:v>
                </c:pt>
                <c:pt idx="122">
                  <c:v>#N/A</c:v>
                </c:pt>
                <c:pt idx="123">
                  <c:v>#N/A</c:v>
                </c:pt>
                <c:pt idx="124">
                  <c:v>#N/A</c:v>
                </c:pt>
                <c:pt idx="125">
                  <c:v>#N/A</c:v>
                </c:pt>
                <c:pt idx="126">
                  <c:v>#N/A</c:v>
                </c:pt>
                <c:pt idx="127">
                  <c:v>#N/A</c:v>
                </c:pt>
                <c:pt idx="128">
                  <c:v>#N/A</c:v>
                </c:pt>
                <c:pt idx="129">
                  <c:v>#N/A</c:v>
                </c:pt>
                <c:pt idx="130">
                  <c:v>#N/A</c:v>
                </c:pt>
                <c:pt idx="131">
                  <c:v>#N/A</c:v>
                </c:pt>
                <c:pt idx="132">
                  <c:v>#N/A</c:v>
                </c:pt>
                <c:pt idx="133">
                  <c:v>#N/A</c:v>
                </c:pt>
                <c:pt idx="134">
                  <c:v>#N/A</c:v>
                </c:pt>
                <c:pt idx="135">
                  <c:v>#N/A</c:v>
                </c:pt>
                <c:pt idx="136">
                  <c:v>#N/A</c:v>
                </c:pt>
                <c:pt idx="137">
                  <c:v>#N/A</c:v>
                </c:pt>
                <c:pt idx="138">
                  <c:v>#N/A</c:v>
                </c:pt>
                <c:pt idx="139">
                  <c:v>#N/A</c:v>
                </c:pt>
                <c:pt idx="140">
                  <c:v>#N/A</c:v>
                </c:pt>
                <c:pt idx="141">
                  <c:v>#N/A</c:v>
                </c:pt>
                <c:pt idx="142">
                  <c:v>#N/A</c:v>
                </c:pt>
                <c:pt idx="143">
                  <c:v>#N/A</c:v>
                </c:pt>
                <c:pt idx="144">
                  <c:v>#N/A</c:v>
                </c:pt>
                <c:pt idx="145">
                  <c:v>#N/A</c:v>
                </c:pt>
                <c:pt idx="146">
                  <c:v>#N/A</c:v>
                </c:pt>
                <c:pt idx="147">
                  <c:v>#N/A</c:v>
                </c:pt>
                <c:pt idx="148">
                  <c:v>#N/A</c:v>
                </c:pt>
                <c:pt idx="149">
                  <c:v>#N/A</c:v>
                </c:pt>
                <c:pt idx="150">
                  <c:v>#N/A</c:v>
                </c:pt>
                <c:pt idx="151">
                  <c:v>#N/A</c:v>
                </c:pt>
                <c:pt idx="152">
                  <c:v>#N/A</c:v>
                </c:pt>
                <c:pt idx="153">
                  <c:v>#N/A</c:v>
                </c:pt>
                <c:pt idx="154">
                  <c:v>#N/A</c:v>
                </c:pt>
                <c:pt idx="155">
                  <c:v>#N/A</c:v>
                </c:pt>
                <c:pt idx="156">
                  <c:v>#N/A</c:v>
                </c:pt>
                <c:pt idx="157">
                  <c:v>#N/A</c:v>
                </c:pt>
                <c:pt idx="158">
                  <c:v>#N/A</c:v>
                </c:pt>
                <c:pt idx="159">
                  <c:v>#N/A</c:v>
                </c:pt>
                <c:pt idx="160">
                  <c:v>#N/A</c:v>
                </c:pt>
                <c:pt idx="161">
                  <c:v>#N/A</c:v>
                </c:pt>
                <c:pt idx="162">
                  <c:v>#N/A</c:v>
                </c:pt>
                <c:pt idx="163">
                  <c:v>#N/A</c:v>
                </c:pt>
                <c:pt idx="164">
                  <c:v>#N/A</c:v>
                </c:pt>
                <c:pt idx="165">
                  <c:v>#N/A</c:v>
                </c:pt>
                <c:pt idx="166">
                  <c:v>#N/A</c:v>
                </c:pt>
                <c:pt idx="167">
                  <c:v>#N/A</c:v>
                </c:pt>
                <c:pt idx="168">
                  <c:v>#N/A</c:v>
                </c:pt>
                <c:pt idx="169">
                  <c:v>#N/A</c:v>
                </c:pt>
                <c:pt idx="170">
                  <c:v>#N/A</c:v>
                </c:pt>
                <c:pt idx="171">
                  <c:v>#N/A</c:v>
                </c:pt>
                <c:pt idx="172">
                  <c:v>#N/A</c:v>
                </c:pt>
                <c:pt idx="173">
                  <c:v>#N/A</c:v>
                </c:pt>
                <c:pt idx="174">
                  <c:v>#N/A</c:v>
                </c:pt>
                <c:pt idx="175">
                  <c:v>#N/A</c:v>
                </c:pt>
                <c:pt idx="176">
                  <c:v>#N/A</c:v>
                </c:pt>
                <c:pt idx="177">
                  <c:v>#N/A</c:v>
                </c:pt>
                <c:pt idx="178">
                  <c:v>#N/A</c:v>
                </c:pt>
                <c:pt idx="179">
                  <c:v>#N/A</c:v>
                </c:pt>
                <c:pt idx="180">
                  <c:v>#N/A</c:v>
                </c:pt>
                <c:pt idx="181">
                  <c:v>#N/A</c:v>
                </c:pt>
                <c:pt idx="182">
                  <c:v>#N/A</c:v>
                </c:pt>
                <c:pt idx="183">
                  <c:v>#N/A</c:v>
                </c:pt>
                <c:pt idx="184">
                  <c:v>#N/A</c:v>
                </c:pt>
                <c:pt idx="185">
                  <c:v>#N/A</c:v>
                </c:pt>
                <c:pt idx="186">
                  <c:v>#N/A</c:v>
                </c:pt>
                <c:pt idx="187">
                  <c:v>#N/A</c:v>
                </c:pt>
                <c:pt idx="188">
                  <c:v>#N/A</c:v>
                </c:pt>
                <c:pt idx="189">
                  <c:v>#N/A</c:v>
                </c:pt>
                <c:pt idx="190">
                  <c:v>#N/A</c:v>
                </c:pt>
                <c:pt idx="191">
                  <c:v>#N/A</c:v>
                </c:pt>
                <c:pt idx="192">
                  <c:v>#N/A</c:v>
                </c:pt>
                <c:pt idx="193">
                  <c:v>#N/A</c:v>
                </c:pt>
                <c:pt idx="194">
                  <c:v>#N/A</c:v>
                </c:pt>
                <c:pt idx="195">
                  <c:v>#N/A</c:v>
                </c:pt>
                <c:pt idx="196">
                  <c:v>#N/A</c:v>
                </c:pt>
                <c:pt idx="197">
                  <c:v>#N/A</c:v>
                </c:pt>
                <c:pt idx="198">
                  <c:v>#N/A</c:v>
                </c:pt>
                <c:pt idx="199">
                  <c:v>#N/A</c:v>
                </c:pt>
                <c:pt idx="200">
                  <c:v>#N/A</c:v>
                </c:pt>
                <c:pt idx="201">
                  <c:v>#N/A</c:v>
                </c:pt>
                <c:pt idx="202">
                  <c:v>#N/A</c:v>
                </c:pt>
                <c:pt idx="203">
                  <c:v>#N/A</c:v>
                </c:pt>
                <c:pt idx="204">
                  <c:v>#N/A</c:v>
                </c:pt>
                <c:pt idx="205">
                  <c:v>#N/A</c:v>
                </c:pt>
                <c:pt idx="206">
                  <c:v>#N/A</c:v>
                </c:pt>
                <c:pt idx="207">
                  <c:v>#N/A</c:v>
                </c:pt>
                <c:pt idx="208">
                  <c:v>#N/A</c:v>
                </c:pt>
                <c:pt idx="209">
                  <c:v>#N/A</c:v>
                </c:pt>
                <c:pt idx="210">
                  <c:v>#N/A</c:v>
                </c:pt>
                <c:pt idx="211">
                  <c:v>#N/A</c:v>
                </c:pt>
                <c:pt idx="212">
                  <c:v>#N/A</c:v>
                </c:pt>
                <c:pt idx="213">
                  <c:v>#N/A</c:v>
                </c:pt>
                <c:pt idx="214">
                  <c:v>#N/A</c:v>
                </c:pt>
                <c:pt idx="215">
                  <c:v>#N/A</c:v>
                </c:pt>
                <c:pt idx="216">
                  <c:v>#N/A</c:v>
                </c:pt>
                <c:pt idx="217">
                  <c:v>#N/A</c:v>
                </c:pt>
                <c:pt idx="218">
                  <c:v>#N/A</c:v>
                </c:pt>
                <c:pt idx="219">
                  <c:v>#N/A</c:v>
                </c:pt>
                <c:pt idx="220">
                  <c:v>#N/A</c:v>
                </c:pt>
                <c:pt idx="221">
                  <c:v>#N/A</c:v>
                </c:pt>
                <c:pt idx="222">
                  <c:v>#N/A</c:v>
                </c:pt>
                <c:pt idx="223">
                  <c:v>#N/A</c:v>
                </c:pt>
                <c:pt idx="224">
                  <c:v>#N/A</c:v>
                </c:pt>
                <c:pt idx="225">
                  <c:v>#N/A</c:v>
                </c:pt>
                <c:pt idx="226">
                  <c:v>#N/A</c:v>
                </c:pt>
                <c:pt idx="227">
                  <c:v>#N/A</c:v>
                </c:pt>
                <c:pt idx="228">
                  <c:v>#N/A</c:v>
                </c:pt>
                <c:pt idx="229">
                  <c:v>#N/A</c:v>
                </c:pt>
                <c:pt idx="230">
                  <c:v>#N/A</c:v>
                </c:pt>
                <c:pt idx="231">
                  <c:v>#N/A</c:v>
                </c:pt>
                <c:pt idx="232">
                  <c:v>#N/A</c:v>
                </c:pt>
                <c:pt idx="233">
                  <c:v>#N/A</c:v>
                </c:pt>
                <c:pt idx="234">
                  <c:v>#N/A</c:v>
                </c:pt>
                <c:pt idx="235">
                  <c:v>#N/A</c:v>
                </c:pt>
                <c:pt idx="236">
                  <c:v>#N/A</c:v>
                </c:pt>
                <c:pt idx="237">
                  <c:v>#N/A</c:v>
                </c:pt>
                <c:pt idx="238">
                  <c:v>#N/A</c:v>
                </c:pt>
                <c:pt idx="239">
                  <c:v>#N/A</c:v>
                </c:pt>
                <c:pt idx="240">
                  <c:v>#N/A</c:v>
                </c:pt>
                <c:pt idx="241">
                  <c:v>#N/A</c:v>
                </c:pt>
                <c:pt idx="242">
                  <c:v>#N/A</c:v>
                </c:pt>
                <c:pt idx="243">
                  <c:v>#N/A</c:v>
                </c:pt>
                <c:pt idx="244">
                  <c:v>#N/A</c:v>
                </c:pt>
                <c:pt idx="245">
                  <c:v>#N/A</c:v>
                </c:pt>
                <c:pt idx="246">
                  <c:v>#N/A</c:v>
                </c:pt>
                <c:pt idx="247">
                  <c:v>#N/A</c:v>
                </c:pt>
                <c:pt idx="248">
                  <c:v>#N/A</c:v>
                </c:pt>
                <c:pt idx="249">
                  <c:v>#N/A</c:v>
                </c:pt>
                <c:pt idx="250">
                  <c:v>#N/A</c:v>
                </c:pt>
                <c:pt idx="251">
                  <c:v>#N/A</c:v>
                </c:pt>
                <c:pt idx="252">
                  <c:v>#N/A</c:v>
                </c:pt>
                <c:pt idx="253">
                  <c:v>#N/A</c:v>
                </c:pt>
                <c:pt idx="254">
                  <c:v>#N/A</c:v>
                </c:pt>
                <c:pt idx="255">
                  <c:v>#N/A</c:v>
                </c:pt>
                <c:pt idx="256">
                  <c:v>#N/A</c:v>
                </c:pt>
                <c:pt idx="257">
                  <c:v>#N/A</c:v>
                </c:pt>
                <c:pt idx="258">
                  <c:v>#N/A</c:v>
                </c:pt>
                <c:pt idx="259">
                  <c:v>#N/A</c:v>
                </c:pt>
                <c:pt idx="260">
                  <c:v>#N/A</c:v>
                </c:pt>
                <c:pt idx="261">
                  <c:v>#N/A</c:v>
                </c:pt>
                <c:pt idx="262">
                  <c:v>#N/A</c:v>
                </c:pt>
                <c:pt idx="263">
                  <c:v>#N/A</c:v>
                </c:pt>
                <c:pt idx="264">
                  <c:v>#N/A</c:v>
                </c:pt>
                <c:pt idx="265">
                  <c:v>#N/A</c:v>
                </c:pt>
                <c:pt idx="266">
                  <c:v>#N/A</c:v>
                </c:pt>
                <c:pt idx="267">
                  <c:v>#N/A</c:v>
                </c:pt>
                <c:pt idx="268">
                  <c:v>#N/A</c:v>
                </c:pt>
                <c:pt idx="269">
                  <c:v>#N/A</c:v>
                </c:pt>
                <c:pt idx="270">
                  <c:v>#N/A</c:v>
                </c:pt>
                <c:pt idx="271">
                  <c:v>#N/A</c:v>
                </c:pt>
                <c:pt idx="272">
                  <c:v>#N/A</c:v>
                </c:pt>
                <c:pt idx="273">
                  <c:v>#N/A</c:v>
                </c:pt>
                <c:pt idx="274">
                  <c:v>#N/A</c:v>
                </c:pt>
                <c:pt idx="275">
                  <c:v>#N/A</c:v>
                </c:pt>
                <c:pt idx="276">
                  <c:v>#N/A</c:v>
                </c:pt>
                <c:pt idx="277">
                  <c:v>#N/A</c:v>
                </c:pt>
                <c:pt idx="278">
                  <c:v>#N/A</c:v>
                </c:pt>
                <c:pt idx="279">
                  <c:v>#N/A</c:v>
                </c:pt>
                <c:pt idx="280">
                  <c:v>#N/A</c:v>
                </c:pt>
                <c:pt idx="281">
                  <c:v>#N/A</c:v>
                </c:pt>
                <c:pt idx="282">
                  <c:v>#N/A</c:v>
                </c:pt>
                <c:pt idx="283">
                  <c:v>#N/A</c:v>
                </c:pt>
                <c:pt idx="284">
                  <c:v>#N/A</c:v>
                </c:pt>
                <c:pt idx="285">
                  <c:v>#N/A</c:v>
                </c:pt>
                <c:pt idx="286">
                  <c:v>#N/A</c:v>
                </c:pt>
                <c:pt idx="287">
                  <c:v>#N/A</c:v>
                </c:pt>
                <c:pt idx="288">
                  <c:v>#N/A</c:v>
                </c:pt>
                <c:pt idx="289">
                  <c:v>#N/A</c:v>
                </c:pt>
                <c:pt idx="290">
                  <c:v>#N/A</c:v>
                </c:pt>
                <c:pt idx="291">
                  <c:v>#N/A</c:v>
                </c:pt>
                <c:pt idx="292">
                  <c:v>#N/A</c:v>
                </c:pt>
                <c:pt idx="293">
                  <c:v>#N/A</c:v>
                </c:pt>
                <c:pt idx="294">
                  <c:v>#N/A</c:v>
                </c:pt>
                <c:pt idx="295">
                  <c:v>#N/A</c:v>
                </c:pt>
                <c:pt idx="296">
                  <c:v>#N/A</c:v>
                </c:pt>
                <c:pt idx="297">
                  <c:v>#N/A</c:v>
                </c:pt>
                <c:pt idx="298">
                  <c:v>#N/A</c:v>
                </c:pt>
              </c:strCache>
            </c:strRef>
          </c:cat>
          <c:val>
            <c:numRef>
              <c:f>'SWPS Canada'!$AA$2:$AA$300</c:f>
              <c:numCache>
                <c:formatCode>General</c:formatCode>
                <c:ptCount val="299"/>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3.0194000000000001</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pt idx="168">
                  <c:v>0</c:v>
                </c:pt>
                <c:pt idx="169">
                  <c:v>0</c:v>
                </c:pt>
                <c:pt idx="170">
                  <c:v>0</c:v>
                </c:pt>
                <c:pt idx="171">
                  <c:v>0</c:v>
                </c:pt>
                <c:pt idx="172">
                  <c:v>0</c:v>
                </c:pt>
                <c:pt idx="173">
                  <c:v>0</c:v>
                </c:pt>
                <c:pt idx="174">
                  <c:v>0</c:v>
                </c:pt>
                <c:pt idx="175">
                  <c:v>0</c:v>
                </c:pt>
                <c:pt idx="176">
                  <c:v>0</c:v>
                </c:pt>
                <c:pt idx="177">
                  <c:v>0</c:v>
                </c:pt>
                <c:pt idx="178">
                  <c:v>0</c:v>
                </c:pt>
                <c:pt idx="179">
                  <c:v>0</c:v>
                </c:pt>
                <c:pt idx="180">
                  <c:v>0</c:v>
                </c:pt>
                <c:pt idx="181">
                  <c:v>0</c:v>
                </c:pt>
                <c:pt idx="182">
                  <c:v>0</c:v>
                </c:pt>
                <c:pt idx="183">
                  <c:v>0</c:v>
                </c:pt>
                <c:pt idx="184">
                  <c:v>0</c:v>
                </c:pt>
                <c:pt idx="185">
                  <c:v>0</c:v>
                </c:pt>
                <c:pt idx="186">
                  <c:v>0</c:v>
                </c:pt>
                <c:pt idx="187">
                  <c:v>0</c:v>
                </c:pt>
                <c:pt idx="188">
                  <c:v>0</c:v>
                </c:pt>
                <c:pt idx="189">
                  <c:v>0</c:v>
                </c:pt>
                <c:pt idx="190">
                  <c:v>0</c:v>
                </c:pt>
                <c:pt idx="191">
                  <c:v>0</c:v>
                </c:pt>
                <c:pt idx="192">
                  <c:v>0</c:v>
                </c:pt>
                <c:pt idx="193">
                  <c:v>0</c:v>
                </c:pt>
                <c:pt idx="194">
                  <c:v>0</c:v>
                </c:pt>
                <c:pt idx="195">
                  <c:v>0</c:v>
                </c:pt>
                <c:pt idx="196">
                  <c:v>0</c:v>
                </c:pt>
                <c:pt idx="197">
                  <c:v>0</c:v>
                </c:pt>
                <c:pt idx="198">
                  <c:v>0</c:v>
                </c:pt>
                <c:pt idx="199">
                  <c:v>0</c:v>
                </c:pt>
                <c:pt idx="200">
                  <c:v>0</c:v>
                </c:pt>
                <c:pt idx="201">
                  <c:v>0</c:v>
                </c:pt>
                <c:pt idx="202">
                  <c:v>0</c:v>
                </c:pt>
                <c:pt idx="203">
                  <c:v>0</c:v>
                </c:pt>
                <c:pt idx="204">
                  <c:v>0</c:v>
                </c:pt>
                <c:pt idx="205">
                  <c:v>0</c:v>
                </c:pt>
                <c:pt idx="206">
                  <c:v>0</c:v>
                </c:pt>
                <c:pt idx="207">
                  <c:v>0</c:v>
                </c:pt>
                <c:pt idx="208">
                  <c:v>0</c:v>
                </c:pt>
                <c:pt idx="209">
                  <c:v>0</c:v>
                </c:pt>
                <c:pt idx="210">
                  <c:v>0</c:v>
                </c:pt>
                <c:pt idx="211">
                  <c:v>0</c:v>
                </c:pt>
                <c:pt idx="212">
                  <c:v>0</c:v>
                </c:pt>
                <c:pt idx="213">
                  <c:v>0</c:v>
                </c:pt>
                <c:pt idx="214">
                  <c:v>0</c:v>
                </c:pt>
                <c:pt idx="215">
                  <c:v>0</c:v>
                </c:pt>
                <c:pt idx="216">
                  <c:v>0</c:v>
                </c:pt>
                <c:pt idx="217">
                  <c:v>0</c:v>
                </c:pt>
                <c:pt idx="218">
                  <c:v>0</c:v>
                </c:pt>
                <c:pt idx="219">
                  <c:v>0</c:v>
                </c:pt>
                <c:pt idx="220">
                  <c:v>0</c:v>
                </c:pt>
                <c:pt idx="221">
                  <c:v>0</c:v>
                </c:pt>
                <c:pt idx="222">
                  <c:v>0</c:v>
                </c:pt>
                <c:pt idx="223">
                  <c:v>0</c:v>
                </c:pt>
                <c:pt idx="224">
                  <c:v>0</c:v>
                </c:pt>
                <c:pt idx="225">
                  <c:v>0</c:v>
                </c:pt>
                <c:pt idx="226">
                  <c:v>0</c:v>
                </c:pt>
                <c:pt idx="227">
                  <c:v>0</c:v>
                </c:pt>
                <c:pt idx="228">
                  <c:v>0</c:v>
                </c:pt>
                <c:pt idx="229">
                  <c:v>0</c:v>
                </c:pt>
                <c:pt idx="230">
                  <c:v>0</c:v>
                </c:pt>
                <c:pt idx="231">
                  <c:v>0</c:v>
                </c:pt>
                <c:pt idx="232">
                  <c:v>0</c:v>
                </c:pt>
                <c:pt idx="233">
                  <c:v>0</c:v>
                </c:pt>
                <c:pt idx="234">
                  <c:v>0</c:v>
                </c:pt>
                <c:pt idx="235">
                  <c:v>0</c:v>
                </c:pt>
                <c:pt idx="236">
                  <c:v>0</c:v>
                </c:pt>
                <c:pt idx="237">
                  <c:v>0</c:v>
                </c:pt>
                <c:pt idx="238">
                  <c:v>0</c:v>
                </c:pt>
                <c:pt idx="239">
                  <c:v>0</c:v>
                </c:pt>
                <c:pt idx="240">
                  <c:v>0</c:v>
                </c:pt>
                <c:pt idx="241">
                  <c:v>0</c:v>
                </c:pt>
                <c:pt idx="242">
                  <c:v>0</c:v>
                </c:pt>
                <c:pt idx="243">
                  <c:v>0</c:v>
                </c:pt>
                <c:pt idx="244">
                  <c:v>0</c:v>
                </c:pt>
                <c:pt idx="245">
                  <c:v>0</c:v>
                </c:pt>
                <c:pt idx="246">
                  <c:v>0</c:v>
                </c:pt>
                <c:pt idx="247">
                  <c:v>0</c:v>
                </c:pt>
                <c:pt idx="248">
                  <c:v>0</c:v>
                </c:pt>
                <c:pt idx="249">
                  <c:v>0</c:v>
                </c:pt>
                <c:pt idx="250">
                  <c:v>0</c:v>
                </c:pt>
                <c:pt idx="251">
                  <c:v>0</c:v>
                </c:pt>
                <c:pt idx="252">
                  <c:v>0</c:v>
                </c:pt>
                <c:pt idx="253">
                  <c:v>0</c:v>
                </c:pt>
                <c:pt idx="254">
                  <c:v>0</c:v>
                </c:pt>
                <c:pt idx="255">
                  <c:v>0</c:v>
                </c:pt>
                <c:pt idx="256">
                  <c:v>0</c:v>
                </c:pt>
                <c:pt idx="257">
                  <c:v>0</c:v>
                </c:pt>
                <c:pt idx="258">
                  <c:v>0</c:v>
                </c:pt>
                <c:pt idx="259">
                  <c:v>0</c:v>
                </c:pt>
                <c:pt idx="260">
                  <c:v>0</c:v>
                </c:pt>
                <c:pt idx="261">
                  <c:v>0</c:v>
                </c:pt>
                <c:pt idx="262">
                  <c:v>0</c:v>
                </c:pt>
                <c:pt idx="263">
                  <c:v>0</c:v>
                </c:pt>
                <c:pt idx="264">
                  <c:v>0</c:v>
                </c:pt>
                <c:pt idx="265">
                  <c:v>0</c:v>
                </c:pt>
                <c:pt idx="266">
                  <c:v>0</c:v>
                </c:pt>
                <c:pt idx="267">
                  <c:v>0</c:v>
                </c:pt>
                <c:pt idx="268">
                  <c:v>0</c:v>
                </c:pt>
                <c:pt idx="269">
                  <c:v>0</c:v>
                </c:pt>
                <c:pt idx="270">
                  <c:v>0</c:v>
                </c:pt>
                <c:pt idx="271">
                  <c:v>0</c:v>
                </c:pt>
                <c:pt idx="272">
                  <c:v>0</c:v>
                </c:pt>
                <c:pt idx="273">
                  <c:v>0</c:v>
                </c:pt>
                <c:pt idx="274">
                  <c:v>0</c:v>
                </c:pt>
                <c:pt idx="275">
                  <c:v>0</c:v>
                </c:pt>
                <c:pt idx="276">
                  <c:v>0</c:v>
                </c:pt>
                <c:pt idx="277">
                  <c:v>0</c:v>
                </c:pt>
                <c:pt idx="278">
                  <c:v>0</c:v>
                </c:pt>
                <c:pt idx="279">
                  <c:v>0</c:v>
                </c:pt>
                <c:pt idx="280">
                  <c:v>0</c:v>
                </c:pt>
                <c:pt idx="281">
                  <c:v>0</c:v>
                </c:pt>
                <c:pt idx="282">
                  <c:v>0</c:v>
                </c:pt>
                <c:pt idx="283">
                  <c:v>0</c:v>
                </c:pt>
                <c:pt idx="284">
                  <c:v>0</c:v>
                </c:pt>
                <c:pt idx="285">
                  <c:v>0</c:v>
                </c:pt>
                <c:pt idx="286">
                  <c:v>0</c:v>
                </c:pt>
                <c:pt idx="287">
                  <c:v>0</c:v>
                </c:pt>
                <c:pt idx="288">
                  <c:v>0</c:v>
                </c:pt>
                <c:pt idx="289">
                  <c:v>0</c:v>
                </c:pt>
                <c:pt idx="290">
                  <c:v>0</c:v>
                </c:pt>
                <c:pt idx="291">
                  <c:v>0</c:v>
                </c:pt>
                <c:pt idx="292">
                  <c:v>0</c:v>
                </c:pt>
                <c:pt idx="293">
                  <c:v>0</c:v>
                </c:pt>
                <c:pt idx="294">
                  <c:v>0</c:v>
                </c:pt>
                <c:pt idx="295">
                  <c:v>0</c:v>
                </c:pt>
                <c:pt idx="296">
                  <c:v>0</c:v>
                </c:pt>
                <c:pt idx="297">
                  <c:v>0</c:v>
                </c:pt>
                <c:pt idx="298">
                  <c:v>0</c:v>
                </c:pt>
              </c:numCache>
            </c:numRef>
          </c:val>
          <c:smooth val="0"/>
        </c:ser>
        <c:ser>
          <c:idx val="1"/>
          <c:order val="1"/>
          <c:tx>
            <c:strRef>
              <c:f>'SWPS Canada'!$X$1</c:f>
              <c:strCache>
                <c:ptCount val="1"/>
                <c:pt idx="0">
                  <c:v>BAZ6</c:v>
                </c:pt>
              </c:strCache>
            </c:strRef>
          </c:tx>
          <c:marker>
            <c:symbol val="none"/>
          </c:marker>
          <c:cat>
            <c:strRef>
              <c:f>'SWPS Canada'!$Z$2:$Z$300</c:f>
              <c:strCache>
                <c:ptCount val="299"/>
                <c:pt idx="0">
                  <c:v>#N/A Invalid Security</c:v>
                </c:pt>
                <c:pt idx="1">
                  <c:v>#N/A</c:v>
                </c:pt>
                <c:pt idx="2">
                  <c:v>#N/A</c:v>
                </c:pt>
                <c:pt idx="3">
                  <c:v>#N/A</c:v>
                </c:pt>
                <c:pt idx="4">
                  <c:v>#N/A</c:v>
                </c:pt>
                <c:pt idx="5">
                  <c:v>#N/A</c:v>
                </c:pt>
                <c:pt idx="6">
                  <c:v>#N/A</c:v>
                </c:pt>
                <c:pt idx="7">
                  <c:v>#N/A</c:v>
                </c:pt>
                <c:pt idx="8">
                  <c:v>#N/A</c:v>
                </c:pt>
                <c:pt idx="9">
                  <c:v>#N/A</c:v>
                </c:pt>
                <c:pt idx="10">
                  <c:v>#N/A</c:v>
                </c:pt>
                <c:pt idx="11">
                  <c:v>#N/A</c:v>
                </c:pt>
                <c:pt idx="12">
                  <c:v>#N/A</c:v>
                </c:pt>
                <c:pt idx="13">
                  <c:v>#N/A</c:v>
                </c:pt>
                <c:pt idx="14">
                  <c:v>#N/A</c:v>
                </c:pt>
                <c:pt idx="15">
                  <c:v>#N/A</c:v>
                </c:pt>
                <c:pt idx="16">
                  <c:v>#N/A</c:v>
                </c:pt>
                <c:pt idx="17">
                  <c:v>#N/A</c:v>
                </c:pt>
                <c:pt idx="18">
                  <c:v>#N/A</c:v>
                </c:pt>
                <c:pt idx="19">
                  <c:v>#N/A</c:v>
                </c:pt>
                <c:pt idx="20">
                  <c:v>#N/A</c:v>
                </c:pt>
                <c:pt idx="21">
                  <c:v>#N/A</c:v>
                </c:pt>
                <c:pt idx="22">
                  <c:v>#N/A</c:v>
                </c:pt>
                <c:pt idx="23">
                  <c:v>#N/A</c:v>
                </c:pt>
                <c:pt idx="24">
                  <c:v>#N/A</c:v>
                </c:pt>
                <c:pt idx="25">
                  <c:v>#N/A</c:v>
                </c:pt>
                <c:pt idx="26">
                  <c:v>#N/A</c:v>
                </c:pt>
                <c:pt idx="27">
                  <c:v>#N/A</c:v>
                </c:pt>
                <c:pt idx="28">
                  <c:v>#N/A</c:v>
                </c:pt>
                <c:pt idx="29">
                  <c:v>#N/A</c:v>
                </c:pt>
                <c:pt idx="30">
                  <c:v>#N/A</c:v>
                </c:pt>
                <c:pt idx="31">
                  <c:v>#N/A</c:v>
                </c:pt>
                <c:pt idx="32">
                  <c:v>#N/A</c:v>
                </c:pt>
                <c:pt idx="33">
                  <c:v>#N/A</c:v>
                </c:pt>
                <c:pt idx="34">
                  <c:v>#N/A</c:v>
                </c:pt>
                <c:pt idx="35">
                  <c:v>#N/A</c:v>
                </c:pt>
                <c:pt idx="36">
                  <c:v>#N/A</c:v>
                </c:pt>
                <c:pt idx="37">
                  <c:v>#N/A</c:v>
                </c:pt>
                <c:pt idx="38">
                  <c:v>#N/A</c:v>
                </c:pt>
                <c:pt idx="39">
                  <c:v>#N/A</c:v>
                </c:pt>
                <c:pt idx="40">
                  <c:v>#N/A</c:v>
                </c:pt>
                <c:pt idx="41">
                  <c:v>#N/A</c:v>
                </c:pt>
                <c:pt idx="42">
                  <c:v>#N/A</c:v>
                </c:pt>
                <c:pt idx="43">
                  <c:v>#N/A</c:v>
                </c:pt>
                <c:pt idx="44">
                  <c:v>#N/A</c:v>
                </c:pt>
                <c:pt idx="45">
                  <c:v>#N/A</c:v>
                </c:pt>
                <c:pt idx="46">
                  <c:v>#N/A</c:v>
                </c:pt>
                <c:pt idx="47">
                  <c:v>#N/A</c:v>
                </c:pt>
                <c:pt idx="48">
                  <c:v>#N/A</c:v>
                </c:pt>
                <c:pt idx="49">
                  <c:v>#N/A</c:v>
                </c:pt>
                <c:pt idx="50">
                  <c:v>#N/A</c:v>
                </c:pt>
                <c:pt idx="51">
                  <c:v>#N/A</c:v>
                </c:pt>
                <c:pt idx="52">
                  <c:v>#N/A</c:v>
                </c:pt>
                <c:pt idx="53">
                  <c:v>#N/A</c:v>
                </c:pt>
                <c:pt idx="54">
                  <c:v>#N/A</c:v>
                </c:pt>
                <c:pt idx="55">
                  <c:v>#N/A</c:v>
                </c:pt>
                <c:pt idx="56">
                  <c:v>#N/A</c:v>
                </c:pt>
                <c:pt idx="57">
                  <c:v>#N/A</c:v>
                </c:pt>
                <c:pt idx="58">
                  <c:v>#N/A</c:v>
                </c:pt>
                <c:pt idx="59">
                  <c:v>#N/A</c:v>
                </c:pt>
                <c:pt idx="60">
                  <c:v>#N/A</c:v>
                </c:pt>
                <c:pt idx="61">
                  <c:v>#N/A</c:v>
                </c:pt>
                <c:pt idx="62">
                  <c:v>02/01/2015</c:v>
                </c:pt>
                <c:pt idx="63">
                  <c:v>#N/A</c:v>
                </c:pt>
                <c:pt idx="64">
                  <c:v>#N/A</c:v>
                </c:pt>
                <c:pt idx="65">
                  <c:v>#N/A</c:v>
                </c:pt>
                <c:pt idx="66">
                  <c:v>#N/A</c:v>
                </c:pt>
                <c:pt idx="67">
                  <c:v>#N/A</c:v>
                </c:pt>
                <c:pt idx="68">
                  <c:v>#N/A</c:v>
                </c:pt>
                <c:pt idx="69">
                  <c:v>#N/A</c:v>
                </c:pt>
                <c:pt idx="70">
                  <c:v>#N/A</c:v>
                </c:pt>
                <c:pt idx="71">
                  <c:v>#N/A</c:v>
                </c:pt>
                <c:pt idx="72">
                  <c:v>#N/A</c:v>
                </c:pt>
                <c:pt idx="73">
                  <c:v>#N/A</c:v>
                </c:pt>
                <c:pt idx="74">
                  <c:v>#N/A</c:v>
                </c:pt>
                <c:pt idx="75">
                  <c:v>#N/A</c:v>
                </c:pt>
                <c:pt idx="76">
                  <c:v>#N/A</c:v>
                </c:pt>
                <c:pt idx="77">
                  <c:v>#N/A</c:v>
                </c:pt>
                <c:pt idx="78">
                  <c:v>#N/A</c:v>
                </c:pt>
                <c:pt idx="79">
                  <c:v>#N/A</c:v>
                </c:pt>
                <c:pt idx="80">
                  <c:v>#N/A</c:v>
                </c:pt>
                <c:pt idx="81">
                  <c:v>#N/A</c:v>
                </c:pt>
                <c:pt idx="82">
                  <c:v>#N/A</c:v>
                </c:pt>
                <c:pt idx="83">
                  <c:v>#N/A</c:v>
                </c:pt>
                <c:pt idx="84">
                  <c:v>#N/A</c:v>
                </c:pt>
                <c:pt idx="85">
                  <c:v>#N/A</c:v>
                </c:pt>
                <c:pt idx="86">
                  <c:v>#N/A</c:v>
                </c:pt>
                <c:pt idx="87">
                  <c:v>#N/A</c:v>
                </c:pt>
                <c:pt idx="88">
                  <c:v>#N/A</c:v>
                </c:pt>
                <c:pt idx="89">
                  <c:v>#N/A</c:v>
                </c:pt>
                <c:pt idx="90">
                  <c:v>#N/A</c:v>
                </c:pt>
                <c:pt idx="91">
                  <c:v>#N/A</c:v>
                </c:pt>
                <c:pt idx="92">
                  <c:v>#N/A</c:v>
                </c:pt>
                <c:pt idx="93">
                  <c:v>#N/A</c:v>
                </c:pt>
                <c:pt idx="94">
                  <c:v>#N/A</c:v>
                </c:pt>
                <c:pt idx="95">
                  <c:v>#N/A</c:v>
                </c:pt>
                <c:pt idx="96">
                  <c:v>#N/A</c:v>
                </c:pt>
                <c:pt idx="97">
                  <c:v>#N/A</c:v>
                </c:pt>
                <c:pt idx="98">
                  <c:v>#N/A</c:v>
                </c:pt>
                <c:pt idx="99">
                  <c:v>#N/A</c:v>
                </c:pt>
                <c:pt idx="100">
                  <c:v>#N/A</c:v>
                </c:pt>
                <c:pt idx="101">
                  <c:v>#N/A</c:v>
                </c:pt>
                <c:pt idx="102">
                  <c:v>#N/A</c:v>
                </c:pt>
                <c:pt idx="103">
                  <c:v>#N/A</c:v>
                </c:pt>
                <c:pt idx="104">
                  <c:v>#N/A</c:v>
                </c:pt>
                <c:pt idx="105">
                  <c:v>#N/A</c:v>
                </c:pt>
                <c:pt idx="106">
                  <c:v>#N/A</c:v>
                </c:pt>
                <c:pt idx="107">
                  <c:v>#N/A</c:v>
                </c:pt>
                <c:pt idx="108">
                  <c:v>#N/A</c:v>
                </c:pt>
                <c:pt idx="109">
                  <c:v>#N/A</c:v>
                </c:pt>
                <c:pt idx="110">
                  <c:v>#N/A</c:v>
                </c:pt>
                <c:pt idx="111">
                  <c:v>#N/A</c:v>
                </c:pt>
                <c:pt idx="112">
                  <c:v>#N/A</c:v>
                </c:pt>
                <c:pt idx="113">
                  <c:v>#N/A</c:v>
                </c:pt>
                <c:pt idx="114">
                  <c:v>#N/A</c:v>
                </c:pt>
                <c:pt idx="115">
                  <c:v>#N/A</c:v>
                </c:pt>
                <c:pt idx="116">
                  <c:v>#N/A</c:v>
                </c:pt>
                <c:pt idx="117">
                  <c:v>#N/A</c:v>
                </c:pt>
                <c:pt idx="118">
                  <c:v>#N/A</c:v>
                </c:pt>
                <c:pt idx="119">
                  <c:v>#N/A</c:v>
                </c:pt>
                <c:pt idx="120">
                  <c:v>#N/A</c:v>
                </c:pt>
                <c:pt idx="121">
                  <c:v>#N/A</c:v>
                </c:pt>
                <c:pt idx="122">
                  <c:v>#N/A</c:v>
                </c:pt>
                <c:pt idx="123">
                  <c:v>#N/A</c:v>
                </c:pt>
                <c:pt idx="124">
                  <c:v>#N/A</c:v>
                </c:pt>
                <c:pt idx="125">
                  <c:v>#N/A</c:v>
                </c:pt>
                <c:pt idx="126">
                  <c:v>#N/A</c:v>
                </c:pt>
                <c:pt idx="127">
                  <c:v>#N/A</c:v>
                </c:pt>
                <c:pt idx="128">
                  <c:v>#N/A</c:v>
                </c:pt>
                <c:pt idx="129">
                  <c:v>#N/A</c:v>
                </c:pt>
                <c:pt idx="130">
                  <c:v>#N/A</c:v>
                </c:pt>
                <c:pt idx="131">
                  <c:v>#N/A</c:v>
                </c:pt>
                <c:pt idx="132">
                  <c:v>#N/A</c:v>
                </c:pt>
                <c:pt idx="133">
                  <c:v>#N/A</c:v>
                </c:pt>
                <c:pt idx="134">
                  <c:v>#N/A</c:v>
                </c:pt>
                <c:pt idx="135">
                  <c:v>#N/A</c:v>
                </c:pt>
                <c:pt idx="136">
                  <c:v>#N/A</c:v>
                </c:pt>
                <c:pt idx="137">
                  <c:v>#N/A</c:v>
                </c:pt>
                <c:pt idx="138">
                  <c:v>#N/A</c:v>
                </c:pt>
                <c:pt idx="139">
                  <c:v>#N/A</c:v>
                </c:pt>
                <c:pt idx="140">
                  <c:v>#N/A</c:v>
                </c:pt>
                <c:pt idx="141">
                  <c:v>#N/A</c:v>
                </c:pt>
                <c:pt idx="142">
                  <c:v>#N/A</c:v>
                </c:pt>
                <c:pt idx="143">
                  <c:v>#N/A</c:v>
                </c:pt>
                <c:pt idx="144">
                  <c:v>#N/A</c:v>
                </c:pt>
                <c:pt idx="145">
                  <c:v>#N/A</c:v>
                </c:pt>
                <c:pt idx="146">
                  <c:v>#N/A</c:v>
                </c:pt>
                <c:pt idx="147">
                  <c:v>#N/A</c:v>
                </c:pt>
                <c:pt idx="148">
                  <c:v>#N/A</c:v>
                </c:pt>
                <c:pt idx="149">
                  <c:v>#N/A</c:v>
                </c:pt>
                <c:pt idx="150">
                  <c:v>#N/A</c:v>
                </c:pt>
                <c:pt idx="151">
                  <c:v>#N/A</c:v>
                </c:pt>
                <c:pt idx="152">
                  <c:v>#N/A</c:v>
                </c:pt>
                <c:pt idx="153">
                  <c:v>#N/A</c:v>
                </c:pt>
                <c:pt idx="154">
                  <c:v>#N/A</c:v>
                </c:pt>
                <c:pt idx="155">
                  <c:v>#N/A</c:v>
                </c:pt>
                <c:pt idx="156">
                  <c:v>#N/A</c:v>
                </c:pt>
                <c:pt idx="157">
                  <c:v>#N/A</c:v>
                </c:pt>
                <c:pt idx="158">
                  <c:v>#N/A</c:v>
                </c:pt>
                <c:pt idx="159">
                  <c:v>#N/A</c:v>
                </c:pt>
                <c:pt idx="160">
                  <c:v>#N/A</c:v>
                </c:pt>
                <c:pt idx="161">
                  <c:v>#N/A</c:v>
                </c:pt>
                <c:pt idx="162">
                  <c:v>#N/A</c:v>
                </c:pt>
                <c:pt idx="163">
                  <c:v>#N/A</c:v>
                </c:pt>
                <c:pt idx="164">
                  <c:v>#N/A</c:v>
                </c:pt>
                <c:pt idx="165">
                  <c:v>#N/A</c:v>
                </c:pt>
                <c:pt idx="166">
                  <c:v>#N/A</c:v>
                </c:pt>
                <c:pt idx="167">
                  <c:v>#N/A</c:v>
                </c:pt>
                <c:pt idx="168">
                  <c:v>#N/A</c:v>
                </c:pt>
                <c:pt idx="169">
                  <c:v>#N/A</c:v>
                </c:pt>
                <c:pt idx="170">
                  <c:v>#N/A</c:v>
                </c:pt>
                <c:pt idx="171">
                  <c:v>#N/A</c:v>
                </c:pt>
                <c:pt idx="172">
                  <c:v>#N/A</c:v>
                </c:pt>
                <c:pt idx="173">
                  <c:v>#N/A</c:v>
                </c:pt>
                <c:pt idx="174">
                  <c:v>#N/A</c:v>
                </c:pt>
                <c:pt idx="175">
                  <c:v>#N/A</c:v>
                </c:pt>
                <c:pt idx="176">
                  <c:v>#N/A</c:v>
                </c:pt>
                <c:pt idx="177">
                  <c:v>#N/A</c:v>
                </c:pt>
                <c:pt idx="178">
                  <c:v>#N/A</c:v>
                </c:pt>
                <c:pt idx="179">
                  <c:v>#N/A</c:v>
                </c:pt>
                <c:pt idx="180">
                  <c:v>#N/A</c:v>
                </c:pt>
                <c:pt idx="181">
                  <c:v>#N/A</c:v>
                </c:pt>
                <c:pt idx="182">
                  <c:v>#N/A</c:v>
                </c:pt>
                <c:pt idx="183">
                  <c:v>#N/A</c:v>
                </c:pt>
                <c:pt idx="184">
                  <c:v>#N/A</c:v>
                </c:pt>
                <c:pt idx="185">
                  <c:v>#N/A</c:v>
                </c:pt>
                <c:pt idx="186">
                  <c:v>#N/A</c:v>
                </c:pt>
                <c:pt idx="187">
                  <c:v>#N/A</c:v>
                </c:pt>
                <c:pt idx="188">
                  <c:v>#N/A</c:v>
                </c:pt>
                <c:pt idx="189">
                  <c:v>#N/A</c:v>
                </c:pt>
                <c:pt idx="190">
                  <c:v>#N/A</c:v>
                </c:pt>
                <c:pt idx="191">
                  <c:v>#N/A</c:v>
                </c:pt>
                <c:pt idx="192">
                  <c:v>#N/A</c:v>
                </c:pt>
                <c:pt idx="193">
                  <c:v>#N/A</c:v>
                </c:pt>
                <c:pt idx="194">
                  <c:v>#N/A</c:v>
                </c:pt>
                <c:pt idx="195">
                  <c:v>#N/A</c:v>
                </c:pt>
                <c:pt idx="196">
                  <c:v>#N/A</c:v>
                </c:pt>
                <c:pt idx="197">
                  <c:v>#N/A</c:v>
                </c:pt>
                <c:pt idx="198">
                  <c:v>#N/A</c:v>
                </c:pt>
                <c:pt idx="199">
                  <c:v>#N/A</c:v>
                </c:pt>
                <c:pt idx="200">
                  <c:v>#N/A</c:v>
                </c:pt>
                <c:pt idx="201">
                  <c:v>#N/A</c:v>
                </c:pt>
                <c:pt idx="202">
                  <c:v>#N/A</c:v>
                </c:pt>
                <c:pt idx="203">
                  <c:v>#N/A</c:v>
                </c:pt>
                <c:pt idx="204">
                  <c:v>#N/A</c:v>
                </c:pt>
                <c:pt idx="205">
                  <c:v>#N/A</c:v>
                </c:pt>
                <c:pt idx="206">
                  <c:v>#N/A</c:v>
                </c:pt>
                <c:pt idx="207">
                  <c:v>#N/A</c:v>
                </c:pt>
                <c:pt idx="208">
                  <c:v>#N/A</c:v>
                </c:pt>
                <c:pt idx="209">
                  <c:v>#N/A</c:v>
                </c:pt>
                <c:pt idx="210">
                  <c:v>#N/A</c:v>
                </c:pt>
                <c:pt idx="211">
                  <c:v>#N/A</c:v>
                </c:pt>
                <c:pt idx="212">
                  <c:v>#N/A</c:v>
                </c:pt>
                <c:pt idx="213">
                  <c:v>#N/A</c:v>
                </c:pt>
                <c:pt idx="214">
                  <c:v>#N/A</c:v>
                </c:pt>
                <c:pt idx="215">
                  <c:v>#N/A</c:v>
                </c:pt>
                <c:pt idx="216">
                  <c:v>#N/A</c:v>
                </c:pt>
                <c:pt idx="217">
                  <c:v>#N/A</c:v>
                </c:pt>
                <c:pt idx="218">
                  <c:v>#N/A</c:v>
                </c:pt>
                <c:pt idx="219">
                  <c:v>#N/A</c:v>
                </c:pt>
                <c:pt idx="220">
                  <c:v>#N/A</c:v>
                </c:pt>
                <c:pt idx="221">
                  <c:v>#N/A</c:v>
                </c:pt>
                <c:pt idx="222">
                  <c:v>#N/A</c:v>
                </c:pt>
                <c:pt idx="223">
                  <c:v>#N/A</c:v>
                </c:pt>
                <c:pt idx="224">
                  <c:v>#N/A</c:v>
                </c:pt>
                <c:pt idx="225">
                  <c:v>#N/A</c:v>
                </c:pt>
                <c:pt idx="226">
                  <c:v>#N/A</c:v>
                </c:pt>
                <c:pt idx="227">
                  <c:v>#N/A</c:v>
                </c:pt>
                <c:pt idx="228">
                  <c:v>#N/A</c:v>
                </c:pt>
                <c:pt idx="229">
                  <c:v>#N/A</c:v>
                </c:pt>
                <c:pt idx="230">
                  <c:v>#N/A</c:v>
                </c:pt>
                <c:pt idx="231">
                  <c:v>#N/A</c:v>
                </c:pt>
                <c:pt idx="232">
                  <c:v>#N/A</c:v>
                </c:pt>
                <c:pt idx="233">
                  <c:v>#N/A</c:v>
                </c:pt>
                <c:pt idx="234">
                  <c:v>#N/A</c:v>
                </c:pt>
                <c:pt idx="235">
                  <c:v>#N/A</c:v>
                </c:pt>
                <c:pt idx="236">
                  <c:v>#N/A</c:v>
                </c:pt>
                <c:pt idx="237">
                  <c:v>#N/A</c:v>
                </c:pt>
                <c:pt idx="238">
                  <c:v>#N/A</c:v>
                </c:pt>
                <c:pt idx="239">
                  <c:v>#N/A</c:v>
                </c:pt>
                <c:pt idx="240">
                  <c:v>#N/A</c:v>
                </c:pt>
                <c:pt idx="241">
                  <c:v>#N/A</c:v>
                </c:pt>
                <c:pt idx="242">
                  <c:v>#N/A</c:v>
                </c:pt>
                <c:pt idx="243">
                  <c:v>#N/A</c:v>
                </c:pt>
                <c:pt idx="244">
                  <c:v>#N/A</c:v>
                </c:pt>
                <c:pt idx="245">
                  <c:v>#N/A</c:v>
                </c:pt>
                <c:pt idx="246">
                  <c:v>#N/A</c:v>
                </c:pt>
                <c:pt idx="247">
                  <c:v>#N/A</c:v>
                </c:pt>
                <c:pt idx="248">
                  <c:v>#N/A</c:v>
                </c:pt>
                <c:pt idx="249">
                  <c:v>#N/A</c:v>
                </c:pt>
                <c:pt idx="250">
                  <c:v>#N/A</c:v>
                </c:pt>
                <c:pt idx="251">
                  <c:v>#N/A</c:v>
                </c:pt>
                <c:pt idx="252">
                  <c:v>#N/A</c:v>
                </c:pt>
                <c:pt idx="253">
                  <c:v>#N/A</c:v>
                </c:pt>
                <c:pt idx="254">
                  <c:v>#N/A</c:v>
                </c:pt>
                <c:pt idx="255">
                  <c:v>#N/A</c:v>
                </c:pt>
                <c:pt idx="256">
                  <c:v>#N/A</c:v>
                </c:pt>
                <c:pt idx="257">
                  <c:v>#N/A</c:v>
                </c:pt>
                <c:pt idx="258">
                  <c:v>#N/A</c:v>
                </c:pt>
                <c:pt idx="259">
                  <c:v>#N/A</c:v>
                </c:pt>
                <c:pt idx="260">
                  <c:v>#N/A</c:v>
                </c:pt>
                <c:pt idx="261">
                  <c:v>#N/A</c:v>
                </c:pt>
                <c:pt idx="262">
                  <c:v>#N/A</c:v>
                </c:pt>
                <c:pt idx="263">
                  <c:v>#N/A</c:v>
                </c:pt>
                <c:pt idx="264">
                  <c:v>#N/A</c:v>
                </c:pt>
                <c:pt idx="265">
                  <c:v>#N/A</c:v>
                </c:pt>
                <c:pt idx="266">
                  <c:v>#N/A</c:v>
                </c:pt>
                <c:pt idx="267">
                  <c:v>#N/A</c:v>
                </c:pt>
                <c:pt idx="268">
                  <c:v>#N/A</c:v>
                </c:pt>
                <c:pt idx="269">
                  <c:v>#N/A</c:v>
                </c:pt>
                <c:pt idx="270">
                  <c:v>#N/A</c:v>
                </c:pt>
                <c:pt idx="271">
                  <c:v>#N/A</c:v>
                </c:pt>
                <c:pt idx="272">
                  <c:v>#N/A</c:v>
                </c:pt>
                <c:pt idx="273">
                  <c:v>#N/A</c:v>
                </c:pt>
                <c:pt idx="274">
                  <c:v>#N/A</c:v>
                </c:pt>
                <c:pt idx="275">
                  <c:v>#N/A</c:v>
                </c:pt>
                <c:pt idx="276">
                  <c:v>#N/A</c:v>
                </c:pt>
                <c:pt idx="277">
                  <c:v>#N/A</c:v>
                </c:pt>
                <c:pt idx="278">
                  <c:v>#N/A</c:v>
                </c:pt>
                <c:pt idx="279">
                  <c:v>#N/A</c:v>
                </c:pt>
                <c:pt idx="280">
                  <c:v>#N/A</c:v>
                </c:pt>
                <c:pt idx="281">
                  <c:v>#N/A</c:v>
                </c:pt>
                <c:pt idx="282">
                  <c:v>#N/A</c:v>
                </c:pt>
                <c:pt idx="283">
                  <c:v>#N/A</c:v>
                </c:pt>
                <c:pt idx="284">
                  <c:v>#N/A</c:v>
                </c:pt>
                <c:pt idx="285">
                  <c:v>#N/A</c:v>
                </c:pt>
                <c:pt idx="286">
                  <c:v>#N/A</c:v>
                </c:pt>
                <c:pt idx="287">
                  <c:v>#N/A</c:v>
                </c:pt>
                <c:pt idx="288">
                  <c:v>#N/A</c:v>
                </c:pt>
                <c:pt idx="289">
                  <c:v>#N/A</c:v>
                </c:pt>
                <c:pt idx="290">
                  <c:v>#N/A</c:v>
                </c:pt>
                <c:pt idx="291">
                  <c:v>#N/A</c:v>
                </c:pt>
                <c:pt idx="292">
                  <c:v>#N/A</c:v>
                </c:pt>
                <c:pt idx="293">
                  <c:v>#N/A</c:v>
                </c:pt>
                <c:pt idx="294">
                  <c:v>#N/A</c:v>
                </c:pt>
                <c:pt idx="295">
                  <c:v>#N/A</c:v>
                </c:pt>
                <c:pt idx="296">
                  <c:v>#N/A</c:v>
                </c:pt>
                <c:pt idx="297">
                  <c:v>#N/A</c:v>
                </c:pt>
                <c:pt idx="298">
                  <c:v>#N/A</c:v>
                </c:pt>
              </c:strCache>
            </c:strRef>
          </c:cat>
          <c:val>
            <c:numRef>
              <c:f>'SWPS Canada'!$AB$2:$AB$300</c:f>
              <c:numCache>
                <c:formatCode>General</c:formatCode>
                <c:ptCount val="299"/>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3.0194000000000001</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pt idx="168">
                  <c:v>0</c:v>
                </c:pt>
                <c:pt idx="169">
                  <c:v>0</c:v>
                </c:pt>
                <c:pt idx="170">
                  <c:v>0</c:v>
                </c:pt>
                <c:pt idx="171">
                  <c:v>0</c:v>
                </c:pt>
                <c:pt idx="172">
                  <c:v>0</c:v>
                </c:pt>
                <c:pt idx="173">
                  <c:v>0</c:v>
                </c:pt>
                <c:pt idx="174">
                  <c:v>0</c:v>
                </c:pt>
                <c:pt idx="175">
                  <c:v>0</c:v>
                </c:pt>
                <c:pt idx="176">
                  <c:v>0</c:v>
                </c:pt>
                <c:pt idx="177">
                  <c:v>0</c:v>
                </c:pt>
                <c:pt idx="178">
                  <c:v>0</c:v>
                </c:pt>
                <c:pt idx="179">
                  <c:v>0</c:v>
                </c:pt>
                <c:pt idx="180">
                  <c:v>0</c:v>
                </c:pt>
                <c:pt idx="181">
                  <c:v>0</c:v>
                </c:pt>
                <c:pt idx="182">
                  <c:v>0</c:v>
                </c:pt>
                <c:pt idx="183">
                  <c:v>0</c:v>
                </c:pt>
                <c:pt idx="184">
                  <c:v>0</c:v>
                </c:pt>
                <c:pt idx="185">
                  <c:v>0</c:v>
                </c:pt>
                <c:pt idx="186">
                  <c:v>0</c:v>
                </c:pt>
                <c:pt idx="187">
                  <c:v>0</c:v>
                </c:pt>
                <c:pt idx="188">
                  <c:v>0</c:v>
                </c:pt>
                <c:pt idx="189">
                  <c:v>0</c:v>
                </c:pt>
                <c:pt idx="190">
                  <c:v>0</c:v>
                </c:pt>
                <c:pt idx="191">
                  <c:v>0</c:v>
                </c:pt>
                <c:pt idx="192">
                  <c:v>0</c:v>
                </c:pt>
                <c:pt idx="193">
                  <c:v>0</c:v>
                </c:pt>
                <c:pt idx="194">
                  <c:v>0</c:v>
                </c:pt>
                <c:pt idx="195">
                  <c:v>0</c:v>
                </c:pt>
                <c:pt idx="196">
                  <c:v>0</c:v>
                </c:pt>
                <c:pt idx="197">
                  <c:v>0</c:v>
                </c:pt>
                <c:pt idx="198">
                  <c:v>0</c:v>
                </c:pt>
                <c:pt idx="199">
                  <c:v>0</c:v>
                </c:pt>
                <c:pt idx="200">
                  <c:v>0</c:v>
                </c:pt>
                <c:pt idx="201">
                  <c:v>0</c:v>
                </c:pt>
                <c:pt idx="202">
                  <c:v>0</c:v>
                </c:pt>
                <c:pt idx="203">
                  <c:v>0</c:v>
                </c:pt>
                <c:pt idx="204">
                  <c:v>0</c:v>
                </c:pt>
                <c:pt idx="205">
                  <c:v>0</c:v>
                </c:pt>
                <c:pt idx="206">
                  <c:v>0</c:v>
                </c:pt>
                <c:pt idx="207">
                  <c:v>0</c:v>
                </c:pt>
                <c:pt idx="208">
                  <c:v>0</c:v>
                </c:pt>
                <c:pt idx="209">
                  <c:v>0</c:v>
                </c:pt>
                <c:pt idx="210">
                  <c:v>0</c:v>
                </c:pt>
                <c:pt idx="211">
                  <c:v>0</c:v>
                </c:pt>
                <c:pt idx="212">
                  <c:v>0</c:v>
                </c:pt>
                <c:pt idx="213">
                  <c:v>0</c:v>
                </c:pt>
                <c:pt idx="214">
                  <c:v>0</c:v>
                </c:pt>
                <c:pt idx="215">
                  <c:v>0</c:v>
                </c:pt>
                <c:pt idx="216">
                  <c:v>0</c:v>
                </c:pt>
                <c:pt idx="217">
                  <c:v>0</c:v>
                </c:pt>
                <c:pt idx="218">
                  <c:v>0</c:v>
                </c:pt>
                <c:pt idx="219">
                  <c:v>0</c:v>
                </c:pt>
                <c:pt idx="220">
                  <c:v>0</c:v>
                </c:pt>
                <c:pt idx="221">
                  <c:v>0</c:v>
                </c:pt>
                <c:pt idx="222">
                  <c:v>0</c:v>
                </c:pt>
                <c:pt idx="223">
                  <c:v>0</c:v>
                </c:pt>
                <c:pt idx="224">
                  <c:v>0</c:v>
                </c:pt>
                <c:pt idx="225">
                  <c:v>0</c:v>
                </c:pt>
                <c:pt idx="226">
                  <c:v>0</c:v>
                </c:pt>
                <c:pt idx="227">
                  <c:v>0</c:v>
                </c:pt>
                <c:pt idx="228">
                  <c:v>0</c:v>
                </c:pt>
                <c:pt idx="229">
                  <c:v>0</c:v>
                </c:pt>
                <c:pt idx="230">
                  <c:v>0</c:v>
                </c:pt>
                <c:pt idx="231">
                  <c:v>0</c:v>
                </c:pt>
                <c:pt idx="232">
                  <c:v>0</c:v>
                </c:pt>
                <c:pt idx="233">
                  <c:v>0</c:v>
                </c:pt>
                <c:pt idx="234">
                  <c:v>0</c:v>
                </c:pt>
                <c:pt idx="235">
                  <c:v>0</c:v>
                </c:pt>
                <c:pt idx="236">
                  <c:v>0</c:v>
                </c:pt>
                <c:pt idx="237">
                  <c:v>0</c:v>
                </c:pt>
                <c:pt idx="238">
                  <c:v>0</c:v>
                </c:pt>
                <c:pt idx="239">
                  <c:v>0</c:v>
                </c:pt>
                <c:pt idx="240">
                  <c:v>0</c:v>
                </c:pt>
                <c:pt idx="241">
                  <c:v>0</c:v>
                </c:pt>
                <c:pt idx="242">
                  <c:v>0</c:v>
                </c:pt>
                <c:pt idx="243">
                  <c:v>0</c:v>
                </c:pt>
                <c:pt idx="244">
                  <c:v>0</c:v>
                </c:pt>
                <c:pt idx="245">
                  <c:v>0</c:v>
                </c:pt>
                <c:pt idx="246">
                  <c:v>0</c:v>
                </c:pt>
                <c:pt idx="247">
                  <c:v>0</c:v>
                </c:pt>
                <c:pt idx="248">
                  <c:v>0</c:v>
                </c:pt>
                <c:pt idx="249">
                  <c:v>0</c:v>
                </c:pt>
                <c:pt idx="250">
                  <c:v>0</c:v>
                </c:pt>
                <c:pt idx="251">
                  <c:v>0</c:v>
                </c:pt>
                <c:pt idx="252">
                  <c:v>0</c:v>
                </c:pt>
                <c:pt idx="253">
                  <c:v>0</c:v>
                </c:pt>
                <c:pt idx="254">
                  <c:v>0</c:v>
                </c:pt>
                <c:pt idx="255">
                  <c:v>0</c:v>
                </c:pt>
                <c:pt idx="256">
                  <c:v>0</c:v>
                </c:pt>
                <c:pt idx="257">
                  <c:v>0</c:v>
                </c:pt>
                <c:pt idx="258">
                  <c:v>0</c:v>
                </c:pt>
                <c:pt idx="259">
                  <c:v>0</c:v>
                </c:pt>
                <c:pt idx="260">
                  <c:v>0</c:v>
                </c:pt>
                <c:pt idx="261">
                  <c:v>0</c:v>
                </c:pt>
                <c:pt idx="262">
                  <c:v>0</c:v>
                </c:pt>
                <c:pt idx="263">
                  <c:v>0</c:v>
                </c:pt>
                <c:pt idx="264">
                  <c:v>0</c:v>
                </c:pt>
                <c:pt idx="265">
                  <c:v>0</c:v>
                </c:pt>
                <c:pt idx="266">
                  <c:v>0</c:v>
                </c:pt>
                <c:pt idx="267">
                  <c:v>0</c:v>
                </c:pt>
                <c:pt idx="268">
                  <c:v>0</c:v>
                </c:pt>
                <c:pt idx="269">
                  <c:v>0</c:v>
                </c:pt>
                <c:pt idx="270">
                  <c:v>0</c:v>
                </c:pt>
                <c:pt idx="271">
                  <c:v>0</c:v>
                </c:pt>
                <c:pt idx="272">
                  <c:v>0</c:v>
                </c:pt>
                <c:pt idx="273">
                  <c:v>0</c:v>
                </c:pt>
                <c:pt idx="274">
                  <c:v>0</c:v>
                </c:pt>
                <c:pt idx="275">
                  <c:v>0</c:v>
                </c:pt>
                <c:pt idx="276">
                  <c:v>0</c:v>
                </c:pt>
                <c:pt idx="277">
                  <c:v>0</c:v>
                </c:pt>
                <c:pt idx="278">
                  <c:v>0</c:v>
                </c:pt>
                <c:pt idx="279">
                  <c:v>0</c:v>
                </c:pt>
                <c:pt idx="280">
                  <c:v>0</c:v>
                </c:pt>
                <c:pt idx="281">
                  <c:v>0</c:v>
                </c:pt>
                <c:pt idx="282">
                  <c:v>0</c:v>
                </c:pt>
                <c:pt idx="283">
                  <c:v>0</c:v>
                </c:pt>
                <c:pt idx="284">
                  <c:v>0</c:v>
                </c:pt>
                <c:pt idx="285">
                  <c:v>0</c:v>
                </c:pt>
                <c:pt idx="286">
                  <c:v>0</c:v>
                </c:pt>
                <c:pt idx="287">
                  <c:v>0</c:v>
                </c:pt>
                <c:pt idx="288">
                  <c:v>0</c:v>
                </c:pt>
                <c:pt idx="289">
                  <c:v>0</c:v>
                </c:pt>
                <c:pt idx="290">
                  <c:v>0</c:v>
                </c:pt>
                <c:pt idx="291">
                  <c:v>0</c:v>
                </c:pt>
                <c:pt idx="292">
                  <c:v>0</c:v>
                </c:pt>
                <c:pt idx="293">
                  <c:v>0</c:v>
                </c:pt>
                <c:pt idx="294">
                  <c:v>0</c:v>
                </c:pt>
                <c:pt idx="295">
                  <c:v>0</c:v>
                </c:pt>
                <c:pt idx="296">
                  <c:v>0</c:v>
                </c:pt>
                <c:pt idx="297">
                  <c:v>0</c:v>
                </c:pt>
                <c:pt idx="298">
                  <c:v>0</c:v>
                </c:pt>
              </c:numCache>
            </c:numRef>
          </c:val>
          <c:smooth val="0"/>
        </c:ser>
        <c:dLbls>
          <c:showLegendKey val="0"/>
          <c:showVal val="0"/>
          <c:showCatName val="0"/>
          <c:showSerName val="0"/>
          <c:showPercent val="0"/>
          <c:showBubbleSize val="0"/>
        </c:dLbls>
        <c:marker val="1"/>
        <c:smooth val="0"/>
        <c:axId val="743775616"/>
        <c:axId val="759320576"/>
      </c:lineChart>
      <c:lineChart>
        <c:grouping val="standard"/>
        <c:varyColors val="0"/>
        <c:ser>
          <c:idx val="3"/>
          <c:order val="3"/>
          <c:tx>
            <c:v>20D AVG SPRD</c:v>
          </c:tx>
          <c:marker>
            <c:symbol val="none"/>
          </c:marker>
          <c:val>
            <c:numRef>
              <c:f>'SWPS Canada'!$AD$2:$AD$300</c:f>
              <c:numCache>
                <c:formatCode>General</c:formatCode>
                <c:ptCount val="299"/>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pt idx="168">
                  <c:v>0</c:v>
                </c:pt>
                <c:pt idx="169">
                  <c:v>0</c:v>
                </c:pt>
                <c:pt idx="170">
                  <c:v>0</c:v>
                </c:pt>
                <c:pt idx="171">
                  <c:v>0</c:v>
                </c:pt>
                <c:pt idx="172">
                  <c:v>0</c:v>
                </c:pt>
                <c:pt idx="173">
                  <c:v>0</c:v>
                </c:pt>
                <c:pt idx="174">
                  <c:v>0</c:v>
                </c:pt>
                <c:pt idx="175">
                  <c:v>0</c:v>
                </c:pt>
                <c:pt idx="176">
                  <c:v>0</c:v>
                </c:pt>
                <c:pt idx="177">
                  <c:v>0</c:v>
                </c:pt>
                <c:pt idx="178">
                  <c:v>0</c:v>
                </c:pt>
                <c:pt idx="179">
                  <c:v>0</c:v>
                </c:pt>
                <c:pt idx="180">
                  <c:v>0</c:v>
                </c:pt>
                <c:pt idx="181">
                  <c:v>0</c:v>
                </c:pt>
                <c:pt idx="182">
                  <c:v>0</c:v>
                </c:pt>
                <c:pt idx="183">
                  <c:v>0</c:v>
                </c:pt>
                <c:pt idx="184">
                  <c:v>0</c:v>
                </c:pt>
                <c:pt idx="185">
                  <c:v>0</c:v>
                </c:pt>
                <c:pt idx="186">
                  <c:v>0</c:v>
                </c:pt>
                <c:pt idx="187">
                  <c:v>0</c:v>
                </c:pt>
                <c:pt idx="188">
                  <c:v>0</c:v>
                </c:pt>
                <c:pt idx="189">
                  <c:v>0</c:v>
                </c:pt>
                <c:pt idx="190">
                  <c:v>0</c:v>
                </c:pt>
                <c:pt idx="191">
                  <c:v>0</c:v>
                </c:pt>
                <c:pt idx="192">
                  <c:v>0</c:v>
                </c:pt>
                <c:pt idx="193">
                  <c:v>0</c:v>
                </c:pt>
                <c:pt idx="194">
                  <c:v>0</c:v>
                </c:pt>
                <c:pt idx="195">
                  <c:v>0</c:v>
                </c:pt>
                <c:pt idx="196">
                  <c:v>0</c:v>
                </c:pt>
                <c:pt idx="197">
                  <c:v>0</c:v>
                </c:pt>
                <c:pt idx="198">
                  <c:v>0</c:v>
                </c:pt>
                <c:pt idx="199">
                  <c:v>0</c:v>
                </c:pt>
                <c:pt idx="200">
                  <c:v>0</c:v>
                </c:pt>
                <c:pt idx="201">
                  <c:v>0</c:v>
                </c:pt>
                <c:pt idx="202">
                  <c:v>0</c:v>
                </c:pt>
                <c:pt idx="203">
                  <c:v>0</c:v>
                </c:pt>
                <c:pt idx="204">
                  <c:v>0</c:v>
                </c:pt>
                <c:pt idx="205">
                  <c:v>0</c:v>
                </c:pt>
                <c:pt idx="206">
                  <c:v>0</c:v>
                </c:pt>
                <c:pt idx="207">
                  <c:v>0</c:v>
                </c:pt>
                <c:pt idx="208">
                  <c:v>0</c:v>
                </c:pt>
                <c:pt idx="209">
                  <c:v>0</c:v>
                </c:pt>
                <c:pt idx="210">
                  <c:v>0</c:v>
                </c:pt>
                <c:pt idx="211">
                  <c:v>0</c:v>
                </c:pt>
                <c:pt idx="212">
                  <c:v>0</c:v>
                </c:pt>
                <c:pt idx="213">
                  <c:v>0</c:v>
                </c:pt>
                <c:pt idx="214">
                  <c:v>0</c:v>
                </c:pt>
                <c:pt idx="215">
                  <c:v>0</c:v>
                </c:pt>
                <c:pt idx="216">
                  <c:v>0</c:v>
                </c:pt>
                <c:pt idx="217">
                  <c:v>0</c:v>
                </c:pt>
                <c:pt idx="218">
                  <c:v>0</c:v>
                </c:pt>
                <c:pt idx="219">
                  <c:v>0</c:v>
                </c:pt>
                <c:pt idx="220">
                  <c:v>0</c:v>
                </c:pt>
                <c:pt idx="221">
                  <c:v>0</c:v>
                </c:pt>
                <c:pt idx="222">
                  <c:v>0</c:v>
                </c:pt>
                <c:pt idx="223">
                  <c:v>0</c:v>
                </c:pt>
                <c:pt idx="224">
                  <c:v>0</c:v>
                </c:pt>
                <c:pt idx="225">
                  <c:v>0</c:v>
                </c:pt>
                <c:pt idx="226">
                  <c:v>0</c:v>
                </c:pt>
                <c:pt idx="227">
                  <c:v>0</c:v>
                </c:pt>
                <c:pt idx="228">
                  <c:v>0</c:v>
                </c:pt>
                <c:pt idx="229">
                  <c:v>0</c:v>
                </c:pt>
                <c:pt idx="230">
                  <c:v>0</c:v>
                </c:pt>
                <c:pt idx="231">
                  <c:v>0</c:v>
                </c:pt>
                <c:pt idx="232">
                  <c:v>0</c:v>
                </c:pt>
                <c:pt idx="233">
                  <c:v>0</c:v>
                </c:pt>
                <c:pt idx="234">
                  <c:v>0</c:v>
                </c:pt>
                <c:pt idx="235">
                  <c:v>0</c:v>
                </c:pt>
                <c:pt idx="236">
                  <c:v>0</c:v>
                </c:pt>
                <c:pt idx="237">
                  <c:v>0</c:v>
                </c:pt>
                <c:pt idx="238">
                  <c:v>0</c:v>
                </c:pt>
                <c:pt idx="239">
                  <c:v>0</c:v>
                </c:pt>
                <c:pt idx="240">
                  <c:v>0</c:v>
                </c:pt>
                <c:pt idx="241">
                  <c:v>0</c:v>
                </c:pt>
                <c:pt idx="242">
                  <c:v>0</c:v>
                </c:pt>
                <c:pt idx="243">
                  <c:v>0</c:v>
                </c:pt>
                <c:pt idx="244">
                  <c:v>0</c:v>
                </c:pt>
                <c:pt idx="245">
                  <c:v>0</c:v>
                </c:pt>
                <c:pt idx="246">
                  <c:v>0</c:v>
                </c:pt>
                <c:pt idx="247">
                  <c:v>0</c:v>
                </c:pt>
                <c:pt idx="248">
                  <c:v>0</c:v>
                </c:pt>
                <c:pt idx="249">
                  <c:v>0</c:v>
                </c:pt>
                <c:pt idx="250">
                  <c:v>0</c:v>
                </c:pt>
                <c:pt idx="251">
                  <c:v>0</c:v>
                </c:pt>
                <c:pt idx="252">
                  <c:v>0</c:v>
                </c:pt>
                <c:pt idx="253">
                  <c:v>0</c:v>
                </c:pt>
                <c:pt idx="254">
                  <c:v>0</c:v>
                </c:pt>
                <c:pt idx="255">
                  <c:v>0</c:v>
                </c:pt>
                <c:pt idx="256">
                  <c:v>0</c:v>
                </c:pt>
                <c:pt idx="257">
                  <c:v>0</c:v>
                </c:pt>
                <c:pt idx="258">
                  <c:v>0</c:v>
                </c:pt>
                <c:pt idx="259">
                  <c:v>0</c:v>
                </c:pt>
                <c:pt idx="260">
                  <c:v>0</c:v>
                </c:pt>
                <c:pt idx="261">
                  <c:v>0</c:v>
                </c:pt>
                <c:pt idx="262">
                  <c:v>0</c:v>
                </c:pt>
                <c:pt idx="263">
                  <c:v>0</c:v>
                </c:pt>
                <c:pt idx="264">
                  <c:v>0</c:v>
                </c:pt>
                <c:pt idx="265">
                  <c:v>0</c:v>
                </c:pt>
                <c:pt idx="266">
                  <c:v>0</c:v>
                </c:pt>
                <c:pt idx="267">
                  <c:v>0</c:v>
                </c:pt>
                <c:pt idx="268">
                  <c:v>0</c:v>
                </c:pt>
                <c:pt idx="269">
                  <c:v>0</c:v>
                </c:pt>
                <c:pt idx="270">
                  <c:v>0</c:v>
                </c:pt>
                <c:pt idx="271">
                  <c:v>0</c:v>
                </c:pt>
                <c:pt idx="272">
                  <c:v>0</c:v>
                </c:pt>
                <c:pt idx="273">
                  <c:v>0</c:v>
                </c:pt>
                <c:pt idx="274">
                  <c:v>0</c:v>
                </c:pt>
                <c:pt idx="275">
                  <c:v>0</c:v>
                </c:pt>
                <c:pt idx="276">
                  <c:v>0</c:v>
                </c:pt>
                <c:pt idx="277">
                  <c:v>0</c:v>
                </c:pt>
                <c:pt idx="278">
                  <c:v>0</c:v>
                </c:pt>
                <c:pt idx="279">
                  <c:v>0</c:v>
                </c:pt>
                <c:pt idx="280">
                  <c:v>0</c:v>
                </c:pt>
                <c:pt idx="281">
                  <c:v>0</c:v>
                </c:pt>
                <c:pt idx="282">
                  <c:v>0</c:v>
                </c:pt>
                <c:pt idx="283">
                  <c:v>0</c:v>
                </c:pt>
                <c:pt idx="284">
                  <c:v>0</c:v>
                </c:pt>
                <c:pt idx="285">
                  <c:v>0</c:v>
                </c:pt>
                <c:pt idx="286">
                  <c:v>0</c:v>
                </c:pt>
                <c:pt idx="287">
                  <c:v>0</c:v>
                </c:pt>
                <c:pt idx="288">
                  <c:v>0</c:v>
                </c:pt>
                <c:pt idx="289">
                  <c:v>0</c:v>
                </c:pt>
                <c:pt idx="290">
                  <c:v>0</c:v>
                </c:pt>
                <c:pt idx="291">
                  <c:v>0</c:v>
                </c:pt>
                <c:pt idx="292">
                  <c:v>0</c:v>
                </c:pt>
                <c:pt idx="293">
                  <c:v>0</c:v>
                </c:pt>
                <c:pt idx="294">
                  <c:v>0</c:v>
                </c:pt>
                <c:pt idx="295">
                  <c:v>0</c:v>
                </c:pt>
                <c:pt idx="296">
                  <c:v>0</c:v>
                </c:pt>
                <c:pt idx="297">
                  <c:v>0</c:v>
                </c:pt>
                <c:pt idx="298">
                  <c:v>0</c:v>
                </c:pt>
              </c:numCache>
            </c:numRef>
          </c:val>
          <c:smooth val="0"/>
        </c:ser>
        <c:dLbls>
          <c:showLegendKey val="0"/>
          <c:showVal val="0"/>
          <c:showCatName val="0"/>
          <c:showSerName val="0"/>
          <c:showPercent val="0"/>
          <c:showBubbleSize val="0"/>
        </c:dLbls>
        <c:marker val="1"/>
        <c:smooth val="0"/>
        <c:axId val="759322112"/>
        <c:axId val="761353344"/>
      </c:lineChart>
      <c:dateAx>
        <c:axId val="743775616"/>
        <c:scaling>
          <c:orientation val="minMax"/>
        </c:scaling>
        <c:delete val="0"/>
        <c:axPos val="b"/>
        <c:numFmt formatCode="m/d/yyyy" sourceLinked="0"/>
        <c:majorTickMark val="out"/>
        <c:minorTickMark val="none"/>
        <c:tickLblPos val="nextTo"/>
        <c:txPr>
          <a:bodyPr rot="0" vert="horz"/>
          <a:lstStyle/>
          <a:p>
            <a:pPr>
              <a:defRPr sz="1000" b="0" i="0" u="none" strike="noStrike" baseline="0">
                <a:solidFill>
                  <a:srgbClr val="000000"/>
                </a:solidFill>
                <a:latin typeface="Calibri"/>
                <a:ea typeface="Calibri"/>
                <a:cs typeface="Calibri"/>
              </a:defRPr>
            </a:pPr>
            <a:endParaRPr lang="en-US"/>
          </a:p>
        </c:txPr>
        <c:crossAx val="759320576"/>
        <c:crosses val="autoZero"/>
        <c:auto val="0"/>
        <c:lblOffset val="100"/>
        <c:baseTimeUnit val="days"/>
      </c:dateAx>
      <c:valAx>
        <c:axId val="759320576"/>
        <c:scaling>
          <c:orientation val="minMax"/>
        </c:scaling>
        <c:delete val="0"/>
        <c:axPos val="l"/>
        <c:majorGridlines/>
        <c:numFmt formatCode="General" sourceLinked="1"/>
        <c:majorTickMark val="out"/>
        <c:minorTickMark val="none"/>
        <c:tickLblPos val="nextTo"/>
        <c:txPr>
          <a:bodyPr rot="0" vert="horz"/>
          <a:lstStyle/>
          <a:p>
            <a:pPr>
              <a:defRPr sz="1000" b="0" i="0" u="none" strike="noStrike" baseline="0">
                <a:solidFill>
                  <a:srgbClr val="000000"/>
                </a:solidFill>
                <a:latin typeface="Calibri"/>
                <a:ea typeface="Calibri"/>
                <a:cs typeface="Calibri"/>
              </a:defRPr>
            </a:pPr>
            <a:endParaRPr lang="en-US"/>
          </a:p>
        </c:txPr>
        <c:crossAx val="743775616"/>
        <c:crosses val="autoZero"/>
        <c:crossBetween val="between"/>
      </c:valAx>
      <c:catAx>
        <c:axId val="759322112"/>
        <c:scaling>
          <c:orientation val="minMax"/>
        </c:scaling>
        <c:delete val="1"/>
        <c:axPos val="b"/>
        <c:numFmt formatCode="m/d/yyyy" sourceLinked="1"/>
        <c:majorTickMark val="out"/>
        <c:minorTickMark val="none"/>
        <c:tickLblPos val="nextTo"/>
        <c:crossAx val="761353344"/>
        <c:crosses val="autoZero"/>
        <c:auto val="1"/>
        <c:lblAlgn val="ctr"/>
        <c:lblOffset val="100"/>
        <c:noMultiLvlLbl val="1"/>
      </c:catAx>
      <c:valAx>
        <c:axId val="761353344"/>
        <c:scaling>
          <c:orientation val="minMax"/>
        </c:scaling>
        <c:delete val="0"/>
        <c:axPos val="r"/>
        <c:numFmt formatCode="General" sourceLinked="1"/>
        <c:majorTickMark val="out"/>
        <c:minorTickMark val="none"/>
        <c:tickLblPos val="nextTo"/>
        <c:txPr>
          <a:bodyPr rot="0" vert="horz"/>
          <a:lstStyle/>
          <a:p>
            <a:pPr>
              <a:defRPr sz="1000" b="0" i="0" u="none" strike="noStrike" baseline="0">
                <a:solidFill>
                  <a:srgbClr val="000000"/>
                </a:solidFill>
                <a:latin typeface="Calibri"/>
                <a:ea typeface="Calibri"/>
                <a:cs typeface="Calibri"/>
              </a:defRPr>
            </a:pPr>
            <a:endParaRPr lang="en-US"/>
          </a:p>
        </c:txPr>
        <c:crossAx val="759322112"/>
        <c:crosses val="max"/>
        <c:crossBetween val="between"/>
      </c:valAx>
    </c:plotArea>
    <c:legend>
      <c:legendPos val="r"/>
      <c:layout>
        <c:manualLayout>
          <c:xMode val="edge"/>
          <c:yMode val="edge"/>
          <c:x val="0.89013788245468428"/>
          <c:y val="0.13008175413480014"/>
          <c:w val="7.6779069578215897E-2"/>
          <c:h val="0.55691268256539694"/>
        </c:manualLayout>
      </c:layout>
      <c:overlay val="0"/>
      <c:txPr>
        <a:bodyPr/>
        <a:lstStyle/>
        <a:p>
          <a:pPr>
            <a:defRPr sz="650" b="0" i="0" u="none" strike="noStrike" baseline="0">
              <a:solidFill>
                <a:srgbClr val="000000"/>
              </a:solidFill>
              <a:latin typeface="Calibri"/>
              <a:ea typeface="Calibri"/>
              <a:cs typeface="Calibri"/>
            </a:defRPr>
          </a:pPr>
          <a:endParaRPr lang="en-US"/>
        </a:p>
      </c:txPr>
    </c:legend>
    <c:plotVisOnly val="0"/>
    <c:dispBlanksAs val="gap"/>
    <c:showDLblsOverMax val="0"/>
  </c:chart>
  <c:spPr>
    <a:noFill/>
    <a:ln w="9525">
      <a:noFill/>
    </a:ln>
  </c:spPr>
  <c:txPr>
    <a:bodyPr/>
    <a:lstStyle/>
    <a:p>
      <a:pPr>
        <a:defRPr sz="1000" b="0" i="0" u="none" strike="noStrike" baseline="0">
          <a:solidFill>
            <a:srgbClr val="000000"/>
          </a:solidFill>
          <a:latin typeface="Calibri"/>
          <a:ea typeface="Calibri"/>
          <a:cs typeface="Calibri"/>
        </a:defRPr>
      </a:pPr>
      <a:endParaRPr lang="en-US"/>
    </a:p>
  </c:txPr>
  <c:printSettings>
    <c:headerFooter/>
    <c:pageMargins b="0.75000000000000044" l="0.7000000000000004" r="0.7000000000000004" t="0.75000000000000044" header="0.30000000000000021" footer="0.30000000000000021"/>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9.7701286510650298E-2"/>
          <c:y val="0.13831864902694713"/>
          <c:w val="0.77442637395941927"/>
          <c:h val="0.65408239860094619"/>
        </c:manualLayout>
      </c:layout>
      <c:lineChart>
        <c:grouping val="standard"/>
        <c:varyColors val="0"/>
        <c:ser>
          <c:idx val="0"/>
          <c:order val="0"/>
          <c:tx>
            <c:strRef>
              <c:f>'CHT Canada'!$B$1</c:f>
              <c:strCache>
                <c:ptCount val="1"/>
                <c:pt idx="0">
                  <c:v>SWPS: 03-10 vs 02-30</c:v>
                </c:pt>
              </c:strCache>
            </c:strRef>
          </c:tx>
          <c:spPr>
            <a:ln>
              <a:solidFill>
                <a:srgbClr val="FFC000"/>
              </a:solidFill>
              <a:prstDash val="solid"/>
            </a:ln>
          </c:spPr>
          <c:marker>
            <c:symbol val="none"/>
          </c:marker>
          <c:cat>
            <c:strRef>
              <c:f>'CHT Canada'!$A$2:$A$263</c:f>
              <c:strCache>
                <c:ptCount val="262"/>
                <c:pt idx="0">
                  <c:v>#N/A Requesting Data...</c:v>
                </c:pt>
                <c:pt idx="1">
                  <c:v>13/04/2015</c:v>
                </c:pt>
                <c:pt idx="2">
                  <c:v>10/04/2015</c:v>
                </c:pt>
                <c:pt idx="3">
                  <c:v>09/04/2015</c:v>
                </c:pt>
                <c:pt idx="4">
                  <c:v>08/04/2015</c:v>
                </c:pt>
                <c:pt idx="5">
                  <c:v>07/04/2015</c:v>
                </c:pt>
                <c:pt idx="6">
                  <c:v>06/04/2015</c:v>
                </c:pt>
                <c:pt idx="7">
                  <c:v>03/04/2015</c:v>
                </c:pt>
                <c:pt idx="8">
                  <c:v>02/04/2015</c:v>
                </c:pt>
                <c:pt idx="9">
                  <c:v>01/04/2015</c:v>
                </c:pt>
                <c:pt idx="10">
                  <c:v>31/03/2015</c:v>
                </c:pt>
                <c:pt idx="11">
                  <c:v>30/03/2015</c:v>
                </c:pt>
                <c:pt idx="12">
                  <c:v>27/03/2015</c:v>
                </c:pt>
                <c:pt idx="13">
                  <c:v>26/03/2015</c:v>
                </c:pt>
                <c:pt idx="14">
                  <c:v>25/03/2015</c:v>
                </c:pt>
                <c:pt idx="15">
                  <c:v>24/03/2015</c:v>
                </c:pt>
                <c:pt idx="16">
                  <c:v>23/03/2015</c:v>
                </c:pt>
                <c:pt idx="17">
                  <c:v>20/03/2015</c:v>
                </c:pt>
                <c:pt idx="18">
                  <c:v>19/03/2015</c:v>
                </c:pt>
                <c:pt idx="19">
                  <c:v>18/03/2015</c:v>
                </c:pt>
                <c:pt idx="20">
                  <c:v>17/03/2015</c:v>
                </c:pt>
                <c:pt idx="21">
                  <c:v>16/03/2015</c:v>
                </c:pt>
                <c:pt idx="22">
                  <c:v>13/03/2015</c:v>
                </c:pt>
                <c:pt idx="23">
                  <c:v>12/03/2015</c:v>
                </c:pt>
                <c:pt idx="24">
                  <c:v>11/03/2015</c:v>
                </c:pt>
                <c:pt idx="25">
                  <c:v>10/03/2015</c:v>
                </c:pt>
                <c:pt idx="26">
                  <c:v>09/03/2015</c:v>
                </c:pt>
                <c:pt idx="27">
                  <c:v>06/03/2015</c:v>
                </c:pt>
                <c:pt idx="28">
                  <c:v>05/03/2015</c:v>
                </c:pt>
                <c:pt idx="29">
                  <c:v>04/03/2015</c:v>
                </c:pt>
                <c:pt idx="30">
                  <c:v>03/03/2015</c:v>
                </c:pt>
                <c:pt idx="31">
                  <c:v>02/03/2015</c:v>
                </c:pt>
                <c:pt idx="32">
                  <c:v>27/02/2015</c:v>
                </c:pt>
                <c:pt idx="33">
                  <c:v>26/02/2015</c:v>
                </c:pt>
                <c:pt idx="34">
                  <c:v>25/02/2015</c:v>
                </c:pt>
                <c:pt idx="35">
                  <c:v>24/02/2015</c:v>
                </c:pt>
                <c:pt idx="36">
                  <c:v>23/02/2015</c:v>
                </c:pt>
                <c:pt idx="37">
                  <c:v>20/02/2015</c:v>
                </c:pt>
                <c:pt idx="38">
                  <c:v>19/02/2015</c:v>
                </c:pt>
                <c:pt idx="39">
                  <c:v>18/02/2015</c:v>
                </c:pt>
                <c:pt idx="40">
                  <c:v>17/02/2015</c:v>
                </c:pt>
                <c:pt idx="41">
                  <c:v>16/02/2015</c:v>
                </c:pt>
                <c:pt idx="42">
                  <c:v>13/02/2015</c:v>
                </c:pt>
                <c:pt idx="43">
                  <c:v>12/02/2015</c:v>
                </c:pt>
                <c:pt idx="44">
                  <c:v>11/02/2015</c:v>
                </c:pt>
                <c:pt idx="45">
                  <c:v>10/02/2015</c:v>
                </c:pt>
                <c:pt idx="46">
                  <c:v>09/02/2015</c:v>
                </c:pt>
                <c:pt idx="47">
                  <c:v>06/02/2015</c:v>
                </c:pt>
                <c:pt idx="48">
                  <c:v>05/02/2015</c:v>
                </c:pt>
                <c:pt idx="49">
                  <c:v>04/02/2015</c:v>
                </c:pt>
                <c:pt idx="50">
                  <c:v>03/02/2015</c:v>
                </c:pt>
                <c:pt idx="51">
                  <c:v>02/02/2015</c:v>
                </c:pt>
                <c:pt idx="52">
                  <c:v>30/01/2015</c:v>
                </c:pt>
                <c:pt idx="53">
                  <c:v>29/01/2015</c:v>
                </c:pt>
                <c:pt idx="54">
                  <c:v>28/01/2015</c:v>
                </c:pt>
                <c:pt idx="55">
                  <c:v>27/01/2015</c:v>
                </c:pt>
                <c:pt idx="56">
                  <c:v>26/01/2015</c:v>
                </c:pt>
                <c:pt idx="57">
                  <c:v>23/01/2015</c:v>
                </c:pt>
                <c:pt idx="58">
                  <c:v>22/01/2015</c:v>
                </c:pt>
                <c:pt idx="59">
                  <c:v>21/01/2015</c:v>
                </c:pt>
                <c:pt idx="60">
                  <c:v>20/01/2015</c:v>
                </c:pt>
                <c:pt idx="61">
                  <c:v>19/01/2015</c:v>
                </c:pt>
                <c:pt idx="62">
                  <c:v>16/01/2015</c:v>
                </c:pt>
                <c:pt idx="63">
                  <c:v>15/01/2015</c:v>
                </c:pt>
                <c:pt idx="64">
                  <c:v>14/01/2015</c:v>
                </c:pt>
                <c:pt idx="65">
                  <c:v>13/01/2015</c:v>
                </c:pt>
                <c:pt idx="66">
                  <c:v>12/01/2015</c:v>
                </c:pt>
                <c:pt idx="67">
                  <c:v>09/01/2015</c:v>
                </c:pt>
                <c:pt idx="68">
                  <c:v>08/01/2015</c:v>
                </c:pt>
                <c:pt idx="69">
                  <c:v>07/01/2015</c:v>
                </c:pt>
                <c:pt idx="70">
                  <c:v>06/01/2015</c:v>
                </c:pt>
                <c:pt idx="71">
                  <c:v>05/01/2015</c:v>
                </c:pt>
                <c:pt idx="72">
                  <c:v>02/01/2015</c:v>
                </c:pt>
                <c:pt idx="73">
                  <c:v>01/01/2015</c:v>
                </c:pt>
                <c:pt idx="74">
                  <c:v>31/12/2014</c:v>
                </c:pt>
                <c:pt idx="75">
                  <c:v>30/12/2014</c:v>
                </c:pt>
                <c:pt idx="76">
                  <c:v>29/12/2014</c:v>
                </c:pt>
                <c:pt idx="77">
                  <c:v>26/12/2014</c:v>
                </c:pt>
                <c:pt idx="78">
                  <c:v>25/12/2014</c:v>
                </c:pt>
                <c:pt idx="79">
                  <c:v>24/12/2014</c:v>
                </c:pt>
                <c:pt idx="80">
                  <c:v>23/12/2014</c:v>
                </c:pt>
                <c:pt idx="81">
                  <c:v>22/12/2014</c:v>
                </c:pt>
                <c:pt idx="82">
                  <c:v>19/12/2014</c:v>
                </c:pt>
                <c:pt idx="83">
                  <c:v>18/12/2014</c:v>
                </c:pt>
                <c:pt idx="84">
                  <c:v>17/12/2014</c:v>
                </c:pt>
                <c:pt idx="85">
                  <c:v>16/12/2014</c:v>
                </c:pt>
                <c:pt idx="86">
                  <c:v>15/12/2014</c:v>
                </c:pt>
                <c:pt idx="87">
                  <c:v>12/12/2014</c:v>
                </c:pt>
                <c:pt idx="88">
                  <c:v>11/12/2014</c:v>
                </c:pt>
                <c:pt idx="89">
                  <c:v>10/12/2014</c:v>
                </c:pt>
                <c:pt idx="90">
                  <c:v>09/12/2014</c:v>
                </c:pt>
                <c:pt idx="91">
                  <c:v>08/12/2014</c:v>
                </c:pt>
                <c:pt idx="92">
                  <c:v>05/12/2014</c:v>
                </c:pt>
                <c:pt idx="93">
                  <c:v>04/12/2014</c:v>
                </c:pt>
                <c:pt idx="94">
                  <c:v>03/12/2014</c:v>
                </c:pt>
                <c:pt idx="95">
                  <c:v>02/12/2014</c:v>
                </c:pt>
                <c:pt idx="96">
                  <c:v>01/12/2014</c:v>
                </c:pt>
                <c:pt idx="97">
                  <c:v>28/11/2014</c:v>
                </c:pt>
                <c:pt idx="98">
                  <c:v>27/11/2014</c:v>
                </c:pt>
                <c:pt idx="99">
                  <c:v>26/11/2014</c:v>
                </c:pt>
                <c:pt idx="100">
                  <c:v>25/11/2014</c:v>
                </c:pt>
                <c:pt idx="101">
                  <c:v>24/11/2014</c:v>
                </c:pt>
                <c:pt idx="102">
                  <c:v>21/11/2014</c:v>
                </c:pt>
                <c:pt idx="103">
                  <c:v>20/11/2014</c:v>
                </c:pt>
                <c:pt idx="104">
                  <c:v>19/11/2014</c:v>
                </c:pt>
                <c:pt idx="105">
                  <c:v>18/11/2014</c:v>
                </c:pt>
                <c:pt idx="106">
                  <c:v>17/11/2014</c:v>
                </c:pt>
                <c:pt idx="107">
                  <c:v>14/11/2014</c:v>
                </c:pt>
                <c:pt idx="108">
                  <c:v>13/11/2014</c:v>
                </c:pt>
                <c:pt idx="109">
                  <c:v>12/11/2014</c:v>
                </c:pt>
                <c:pt idx="110">
                  <c:v>11/11/2014</c:v>
                </c:pt>
                <c:pt idx="111">
                  <c:v>10/11/2014</c:v>
                </c:pt>
                <c:pt idx="112">
                  <c:v>07/11/2014</c:v>
                </c:pt>
                <c:pt idx="113">
                  <c:v>06/11/2014</c:v>
                </c:pt>
                <c:pt idx="114">
                  <c:v>05/11/2014</c:v>
                </c:pt>
                <c:pt idx="115">
                  <c:v>04/11/2014</c:v>
                </c:pt>
                <c:pt idx="116">
                  <c:v>03/11/2014</c:v>
                </c:pt>
                <c:pt idx="117">
                  <c:v>31/10/2014</c:v>
                </c:pt>
                <c:pt idx="118">
                  <c:v>30/10/2014</c:v>
                </c:pt>
                <c:pt idx="119">
                  <c:v>29/10/2014</c:v>
                </c:pt>
                <c:pt idx="120">
                  <c:v>28/10/2014</c:v>
                </c:pt>
                <c:pt idx="121">
                  <c:v>27/10/2014</c:v>
                </c:pt>
                <c:pt idx="122">
                  <c:v>24/10/2014</c:v>
                </c:pt>
                <c:pt idx="123">
                  <c:v>23/10/2014</c:v>
                </c:pt>
                <c:pt idx="124">
                  <c:v>22/10/2014</c:v>
                </c:pt>
                <c:pt idx="125">
                  <c:v>21/10/2014</c:v>
                </c:pt>
                <c:pt idx="126">
                  <c:v>20/10/2014</c:v>
                </c:pt>
                <c:pt idx="127">
                  <c:v>17/10/2014</c:v>
                </c:pt>
                <c:pt idx="128">
                  <c:v>16/10/2014</c:v>
                </c:pt>
                <c:pt idx="129">
                  <c:v>15/10/2014</c:v>
                </c:pt>
                <c:pt idx="130">
                  <c:v>14/10/2014</c:v>
                </c:pt>
                <c:pt idx="131">
                  <c:v>13/10/2014</c:v>
                </c:pt>
                <c:pt idx="132">
                  <c:v>10/10/2014</c:v>
                </c:pt>
                <c:pt idx="133">
                  <c:v>09/10/2014</c:v>
                </c:pt>
                <c:pt idx="134">
                  <c:v>08/10/2014</c:v>
                </c:pt>
                <c:pt idx="135">
                  <c:v>07/10/2014</c:v>
                </c:pt>
                <c:pt idx="136">
                  <c:v>06/10/2014</c:v>
                </c:pt>
                <c:pt idx="137">
                  <c:v>03/10/2014</c:v>
                </c:pt>
                <c:pt idx="138">
                  <c:v>02/10/2014</c:v>
                </c:pt>
                <c:pt idx="139">
                  <c:v>01/10/2014</c:v>
                </c:pt>
                <c:pt idx="140">
                  <c:v>30/09/2014</c:v>
                </c:pt>
                <c:pt idx="141">
                  <c:v>29/09/2014</c:v>
                </c:pt>
                <c:pt idx="142">
                  <c:v>26/09/2014</c:v>
                </c:pt>
                <c:pt idx="143">
                  <c:v>25/09/2014</c:v>
                </c:pt>
                <c:pt idx="144">
                  <c:v>24/09/2014</c:v>
                </c:pt>
                <c:pt idx="145">
                  <c:v>23/09/2014</c:v>
                </c:pt>
                <c:pt idx="146">
                  <c:v>22/09/2014</c:v>
                </c:pt>
                <c:pt idx="147">
                  <c:v>19/09/2014</c:v>
                </c:pt>
                <c:pt idx="148">
                  <c:v>18/09/2014</c:v>
                </c:pt>
                <c:pt idx="149">
                  <c:v>17/09/2014</c:v>
                </c:pt>
                <c:pt idx="150">
                  <c:v>16/09/2014</c:v>
                </c:pt>
                <c:pt idx="151">
                  <c:v>15/09/2014</c:v>
                </c:pt>
                <c:pt idx="152">
                  <c:v>12/09/2014</c:v>
                </c:pt>
                <c:pt idx="153">
                  <c:v>11/09/2014</c:v>
                </c:pt>
                <c:pt idx="154">
                  <c:v>10/09/2014</c:v>
                </c:pt>
                <c:pt idx="155">
                  <c:v>09/09/2014</c:v>
                </c:pt>
                <c:pt idx="156">
                  <c:v>08/09/2014</c:v>
                </c:pt>
                <c:pt idx="157">
                  <c:v>05/09/2014</c:v>
                </c:pt>
                <c:pt idx="158">
                  <c:v>04/09/2014</c:v>
                </c:pt>
                <c:pt idx="159">
                  <c:v>03/09/2014</c:v>
                </c:pt>
                <c:pt idx="160">
                  <c:v>02/09/2014</c:v>
                </c:pt>
                <c:pt idx="161">
                  <c:v>01/09/2014</c:v>
                </c:pt>
                <c:pt idx="162">
                  <c:v>29/08/2014</c:v>
                </c:pt>
                <c:pt idx="163">
                  <c:v>28/08/2014</c:v>
                </c:pt>
                <c:pt idx="164">
                  <c:v>27/08/2014</c:v>
                </c:pt>
                <c:pt idx="165">
                  <c:v>26/08/2014</c:v>
                </c:pt>
                <c:pt idx="166">
                  <c:v>25/08/2014</c:v>
                </c:pt>
                <c:pt idx="167">
                  <c:v>22/08/2014</c:v>
                </c:pt>
                <c:pt idx="168">
                  <c:v>21/08/2014</c:v>
                </c:pt>
                <c:pt idx="169">
                  <c:v>20/08/2014</c:v>
                </c:pt>
                <c:pt idx="170">
                  <c:v>19/08/2014</c:v>
                </c:pt>
                <c:pt idx="171">
                  <c:v>18/08/2014</c:v>
                </c:pt>
                <c:pt idx="172">
                  <c:v>15/08/2014</c:v>
                </c:pt>
                <c:pt idx="173">
                  <c:v>14/08/2014</c:v>
                </c:pt>
                <c:pt idx="174">
                  <c:v>13/08/2014</c:v>
                </c:pt>
                <c:pt idx="175">
                  <c:v>12/08/2014</c:v>
                </c:pt>
                <c:pt idx="176">
                  <c:v>11/08/2014</c:v>
                </c:pt>
                <c:pt idx="177">
                  <c:v>08/08/2014</c:v>
                </c:pt>
                <c:pt idx="178">
                  <c:v>07/08/2014</c:v>
                </c:pt>
                <c:pt idx="179">
                  <c:v>06/08/2014</c:v>
                </c:pt>
                <c:pt idx="180">
                  <c:v>05/08/2014</c:v>
                </c:pt>
                <c:pt idx="181">
                  <c:v>04/08/2014</c:v>
                </c:pt>
                <c:pt idx="182">
                  <c:v>01/08/2014</c:v>
                </c:pt>
                <c:pt idx="183">
                  <c:v>31/07/2014</c:v>
                </c:pt>
                <c:pt idx="184">
                  <c:v>30/07/2014</c:v>
                </c:pt>
                <c:pt idx="185">
                  <c:v>29/07/2014</c:v>
                </c:pt>
                <c:pt idx="186">
                  <c:v>28/07/2014</c:v>
                </c:pt>
                <c:pt idx="187">
                  <c:v>25/07/2014</c:v>
                </c:pt>
                <c:pt idx="188">
                  <c:v>24/07/2014</c:v>
                </c:pt>
                <c:pt idx="189">
                  <c:v>23/07/2014</c:v>
                </c:pt>
                <c:pt idx="190">
                  <c:v>22/07/2014</c:v>
                </c:pt>
                <c:pt idx="191">
                  <c:v>21/07/2014</c:v>
                </c:pt>
                <c:pt idx="192">
                  <c:v>18/07/2014</c:v>
                </c:pt>
                <c:pt idx="193">
                  <c:v>17/07/2014</c:v>
                </c:pt>
                <c:pt idx="194">
                  <c:v>16/07/2014</c:v>
                </c:pt>
                <c:pt idx="195">
                  <c:v>15/07/2014</c:v>
                </c:pt>
                <c:pt idx="196">
                  <c:v>14/07/2014</c:v>
                </c:pt>
                <c:pt idx="197">
                  <c:v>11/07/2014</c:v>
                </c:pt>
                <c:pt idx="198">
                  <c:v>10/07/2014</c:v>
                </c:pt>
                <c:pt idx="199">
                  <c:v>09/07/2014</c:v>
                </c:pt>
                <c:pt idx="200">
                  <c:v>08/07/2014</c:v>
                </c:pt>
                <c:pt idx="201">
                  <c:v>07/07/2014</c:v>
                </c:pt>
                <c:pt idx="202">
                  <c:v>04/07/2014</c:v>
                </c:pt>
                <c:pt idx="203">
                  <c:v>03/07/2014</c:v>
                </c:pt>
                <c:pt idx="204">
                  <c:v>02/07/2014</c:v>
                </c:pt>
                <c:pt idx="205">
                  <c:v>01/07/2014</c:v>
                </c:pt>
                <c:pt idx="206">
                  <c:v>30/06/2014</c:v>
                </c:pt>
                <c:pt idx="207">
                  <c:v>27/06/2014</c:v>
                </c:pt>
                <c:pt idx="208">
                  <c:v>26/06/2014</c:v>
                </c:pt>
                <c:pt idx="209">
                  <c:v>25/06/2014</c:v>
                </c:pt>
                <c:pt idx="210">
                  <c:v>24/06/2014</c:v>
                </c:pt>
                <c:pt idx="211">
                  <c:v>23/06/2014</c:v>
                </c:pt>
                <c:pt idx="212">
                  <c:v>20/06/2014</c:v>
                </c:pt>
                <c:pt idx="213">
                  <c:v>19/06/2014</c:v>
                </c:pt>
                <c:pt idx="214">
                  <c:v>18/06/2014</c:v>
                </c:pt>
                <c:pt idx="215">
                  <c:v>17/06/2014</c:v>
                </c:pt>
                <c:pt idx="216">
                  <c:v>16/06/2014</c:v>
                </c:pt>
                <c:pt idx="217">
                  <c:v>13/06/2014</c:v>
                </c:pt>
                <c:pt idx="218">
                  <c:v>12/06/2014</c:v>
                </c:pt>
                <c:pt idx="219">
                  <c:v>11/06/2014</c:v>
                </c:pt>
                <c:pt idx="220">
                  <c:v>10/06/2014</c:v>
                </c:pt>
                <c:pt idx="221">
                  <c:v>09/06/2014</c:v>
                </c:pt>
                <c:pt idx="222">
                  <c:v>06/06/2014</c:v>
                </c:pt>
                <c:pt idx="223">
                  <c:v>05/06/2014</c:v>
                </c:pt>
                <c:pt idx="224">
                  <c:v>04/06/2014</c:v>
                </c:pt>
                <c:pt idx="225">
                  <c:v>03/06/2014</c:v>
                </c:pt>
                <c:pt idx="226">
                  <c:v>02/06/2014</c:v>
                </c:pt>
                <c:pt idx="227">
                  <c:v>30/05/2014</c:v>
                </c:pt>
                <c:pt idx="228">
                  <c:v>29/05/2014</c:v>
                </c:pt>
                <c:pt idx="229">
                  <c:v>28/05/2014</c:v>
                </c:pt>
                <c:pt idx="230">
                  <c:v>27/05/2014</c:v>
                </c:pt>
                <c:pt idx="231">
                  <c:v>26/05/2014</c:v>
                </c:pt>
                <c:pt idx="232">
                  <c:v>23/05/2014</c:v>
                </c:pt>
                <c:pt idx="233">
                  <c:v>22/05/2014</c:v>
                </c:pt>
                <c:pt idx="234">
                  <c:v>21/05/2014</c:v>
                </c:pt>
                <c:pt idx="235">
                  <c:v>20/05/2014</c:v>
                </c:pt>
                <c:pt idx="236">
                  <c:v>19/05/2014</c:v>
                </c:pt>
                <c:pt idx="237">
                  <c:v>16/05/2014</c:v>
                </c:pt>
                <c:pt idx="238">
                  <c:v>15/05/2014</c:v>
                </c:pt>
                <c:pt idx="239">
                  <c:v>14/05/2014</c:v>
                </c:pt>
                <c:pt idx="240">
                  <c:v>13/05/2014</c:v>
                </c:pt>
                <c:pt idx="241">
                  <c:v>12/05/2014</c:v>
                </c:pt>
                <c:pt idx="242">
                  <c:v>09/05/2014</c:v>
                </c:pt>
                <c:pt idx="243">
                  <c:v>08/05/2014</c:v>
                </c:pt>
                <c:pt idx="244">
                  <c:v>07/05/2014</c:v>
                </c:pt>
                <c:pt idx="245">
                  <c:v>06/05/2014</c:v>
                </c:pt>
                <c:pt idx="246">
                  <c:v>05/05/2014</c:v>
                </c:pt>
                <c:pt idx="247">
                  <c:v>02/05/2014</c:v>
                </c:pt>
                <c:pt idx="248">
                  <c:v>01/05/2014</c:v>
                </c:pt>
                <c:pt idx="249">
                  <c:v>30/04/2014</c:v>
                </c:pt>
                <c:pt idx="250">
                  <c:v>29/04/2014</c:v>
                </c:pt>
                <c:pt idx="251">
                  <c:v>28/04/2014</c:v>
                </c:pt>
                <c:pt idx="252">
                  <c:v>25/04/2014</c:v>
                </c:pt>
                <c:pt idx="253">
                  <c:v>24/04/2014</c:v>
                </c:pt>
                <c:pt idx="254">
                  <c:v>23/04/2014</c:v>
                </c:pt>
                <c:pt idx="255">
                  <c:v>22/04/2014</c:v>
                </c:pt>
                <c:pt idx="256">
                  <c:v>21/04/2014</c:v>
                </c:pt>
                <c:pt idx="257">
                  <c:v>18/04/2014</c:v>
                </c:pt>
                <c:pt idx="258">
                  <c:v>17/04/2014</c:v>
                </c:pt>
                <c:pt idx="259">
                  <c:v>16/04/2014</c:v>
                </c:pt>
                <c:pt idx="260">
                  <c:v>15/04/2014</c:v>
                </c:pt>
                <c:pt idx="261">
                  <c:v>14/04/2014</c:v>
                </c:pt>
              </c:strCache>
            </c:strRef>
          </c:cat>
          <c:val>
            <c:numRef>
              <c:f>'CHT Canada'!$B$2:$B$263</c:f>
              <c:numCache>
                <c:formatCode>General</c:formatCode>
                <c:ptCount val="262"/>
                <c:pt idx="0">
                  <c:v>0</c:v>
                </c:pt>
                <c:pt idx="1">
                  <c:v>0.55154432410750087</c:v>
                </c:pt>
                <c:pt idx="2">
                  <c:v>0.55872594558725941</c:v>
                </c:pt>
                <c:pt idx="3">
                  <c:v>0.56143790849673203</c:v>
                </c:pt>
                <c:pt idx="4">
                  <c:v>0.56158229969829032</c:v>
                </c:pt>
                <c:pt idx="5">
                  <c:v>0.56764705882352928</c:v>
                </c:pt>
                <c:pt idx="6">
                  <c:v>0.56226765799256517</c:v>
                </c:pt>
                <c:pt idx="7">
                  <c:v>0.56014071167636303</c:v>
                </c:pt>
                <c:pt idx="8">
                  <c:v>0.55758807588075887</c:v>
                </c:pt>
                <c:pt idx="9">
                  <c:v>0.5634947511005759</c:v>
                </c:pt>
                <c:pt idx="10">
                  <c:v>0.57283542630535356</c:v>
                </c:pt>
                <c:pt idx="11">
                  <c:v>0.57564649426819514</c:v>
                </c:pt>
                <c:pt idx="12">
                  <c:v>0.56519118730328799</c:v>
                </c:pt>
                <c:pt idx="13">
                  <c:v>0.56542372881355929</c:v>
                </c:pt>
                <c:pt idx="14">
                  <c:v>0.55705804749340382</c:v>
                </c:pt>
                <c:pt idx="15">
                  <c:v>0.56027851458885924</c:v>
                </c:pt>
                <c:pt idx="16">
                  <c:v>0.56035502958579886</c:v>
                </c:pt>
                <c:pt idx="17">
                  <c:v>0.56668878566688785</c:v>
                </c:pt>
                <c:pt idx="18">
                  <c:v>0.56021290751829667</c:v>
                </c:pt>
                <c:pt idx="19">
                  <c:v>0.55384110308601453</c:v>
                </c:pt>
                <c:pt idx="20">
                  <c:v>0.56024212763217207</c:v>
                </c:pt>
                <c:pt idx="21">
                  <c:v>0.55350438047559458</c:v>
                </c:pt>
                <c:pt idx="22">
                  <c:v>0.57128676014393831</c:v>
                </c:pt>
                <c:pt idx="23">
                  <c:v>0.56829511465603177</c:v>
                </c:pt>
                <c:pt idx="24">
                  <c:v>0.57005913476501713</c:v>
                </c:pt>
                <c:pt idx="25">
                  <c:v>0.57868392137712121</c:v>
                </c:pt>
                <c:pt idx="26">
                  <c:v>0.57818050454572834</c:v>
                </c:pt>
                <c:pt idx="27">
                  <c:v>0.58045023696682474</c:v>
                </c:pt>
                <c:pt idx="28">
                  <c:v>0.57682458386683744</c:v>
                </c:pt>
                <c:pt idx="29">
                  <c:v>0.58111082340756093</c:v>
                </c:pt>
                <c:pt idx="30">
                  <c:v>0.57916137229987297</c:v>
                </c:pt>
                <c:pt idx="31">
                  <c:v>0.57696094519199204</c:v>
                </c:pt>
                <c:pt idx="32">
                  <c:v>0.5590207914151577</c:v>
                </c:pt>
                <c:pt idx="33">
                  <c:v>0.56773977196512415</c:v>
                </c:pt>
                <c:pt idx="34">
                  <c:v>0.56797082228116713</c:v>
                </c:pt>
                <c:pt idx="35">
                  <c:v>0.55244299674267117</c:v>
                </c:pt>
                <c:pt idx="36">
                  <c:v>0.56402660217654177</c:v>
                </c:pt>
                <c:pt idx="37">
                  <c:v>0.57031756318859372</c:v>
                </c:pt>
                <c:pt idx="38">
                  <c:v>0.57485345838218038</c:v>
                </c:pt>
                <c:pt idx="39">
                  <c:v>0.57378472222222232</c:v>
                </c:pt>
                <c:pt idx="40">
                  <c:v>0.58038067349926781</c:v>
                </c:pt>
                <c:pt idx="41">
                  <c:v>0.56931906498475504</c:v>
                </c:pt>
                <c:pt idx="42">
                  <c:v>0.57111257248759473</c:v>
                </c:pt>
                <c:pt idx="43">
                  <c:v>0.56359662437010516</c:v>
                </c:pt>
                <c:pt idx="44">
                  <c:v>0.5805629701528755</c:v>
                </c:pt>
                <c:pt idx="45">
                  <c:v>0.57290709780145765</c:v>
                </c:pt>
                <c:pt idx="46">
                  <c:v>0.57398289712360717</c:v>
                </c:pt>
                <c:pt idx="47">
                  <c:v>0.5764214919144498</c:v>
                </c:pt>
                <c:pt idx="48">
                  <c:v>0.58007773898148751</c:v>
                </c:pt>
                <c:pt idx="49">
                  <c:v>0.56770441327403354</c:v>
                </c:pt>
                <c:pt idx="50">
                  <c:v>0.56758237994108374</c:v>
                </c:pt>
                <c:pt idx="51">
                  <c:v>0.54805653710247348</c:v>
                </c:pt>
                <c:pt idx="52">
                  <c:v>0.56324209029505856</c:v>
                </c:pt>
                <c:pt idx="53">
                  <c:v>0.56995318094188918</c:v>
                </c:pt>
                <c:pt idx="54">
                  <c:v>0.56829334787350061</c:v>
                </c:pt>
                <c:pt idx="55">
                  <c:v>0.56809101374686799</c:v>
                </c:pt>
                <c:pt idx="56">
                  <c:v>0.56574371321562333</c:v>
                </c:pt>
                <c:pt idx="57">
                  <c:v>0.55583704210886686</c:v>
                </c:pt>
                <c:pt idx="58">
                  <c:v>0.57881395503969046</c:v>
                </c:pt>
                <c:pt idx="59">
                  <c:v>0.58574879227053145</c:v>
                </c:pt>
                <c:pt idx="60">
                  <c:v>0.57140434192672984</c:v>
                </c:pt>
                <c:pt idx="61">
                  <c:v>0.5588428665351739</c:v>
                </c:pt>
                <c:pt idx="62">
                  <c:v>0.56730374866704958</c:v>
                </c:pt>
                <c:pt idx="63">
                  <c:v>0.56006519967400148</c:v>
                </c:pt>
                <c:pt idx="64">
                  <c:v>0.56649451258876704</c:v>
                </c:pt>
                <c:pt idx="65">
                  <c:v>0.55423742585520419</c:v>
                </c:pt>
                <c:pt idx="66">
                  <c:v>0.54880534942509984</c:v>
                </c:pt>
                <c:pt idx="67">
                  <c:v>0.54488366476129135</c:v>
                </c:pt>
                <c:pt idx="68">
                  <c:v>0.54264060630235333</c:v>
                </c:pt>
                <c:pt idx="69">
                  <c:v>0.5300443276966017</c:v>
                </c:pt>
                <c:pt idx="70">
                  <c:v>0.52102272727272725</c:v>
                </c:pt>
                <c:pt idx="71">
                  <c:v>0.52549552429667501</c:v>
                </c:pt>
                <c:pt idx="72">
                  <c:v>0.53248466971978581</c:v>
                </c:pt>
                <c:pt idx="73">
                  <c:v>0.53875968992248058</c:v>
                </c:pt>
                <c:pt idx="74">
                  <c:v>0.53875968992248058</c:v>
                </c:pt>
                <c:pt idx="75">
                  <c:v>0.54448105436573324</c:v>
                </c:pt>
                <c:pt idx="76">
                  <c:v>0.54381922247825765</c:v>
                </c:pt>
                <c:pt idx="77">
                  <c:v>0.58750723798494509</c:v>
                </c:pt>
                <c:pt idx="78">
                  <c:v>0.58779233943957709</c:v>
                </c:pt>
                <c:pt idx="79">
                  <c:v>0.56245022083846208</c:v>
                </c:pt>
                <c:pt idx="80">
                  <c:v>0.5633464394932286</c:v>
                </c:pt>
                <c:pt idx="81">
                  <c:v>0.55221832596432352</c:v>
                </c:pt>
                <c:pt idx="82">
                  <c:v>0.55190440627333825</c:v>
                </c:pt>
                <c:pt idx="83">
                  <c:v>0.5623925501432665</c:v>
                </c:pt>
                <c:pt idx="84">
                  <c:v>0.55411540714704144</c:v>
                </c:pt>
                <c:pt idx="85">
                  <c:v>0.55143705205241444</c:v>
                </c:pt>
                <c:pt idx="86">
                  <c:v>0.553244108233925</c:v>
                </c:pt>
                <c:pt idx="87">
                  <c:v>0.55413777843339729</c:v>
                </c:pt>
                <c:pt idx="88">
                  <c:v>0.55470123022847095</c:v>
                </c:pt>
                <c:pt idx="89">
                  <c:v>0.5550920598388952</c:v>
                </c:pt>
                <c:pt idx="90">
                  <c:v>0.55381771647945388</c:v>
                </c:pt>
                <c:pt idx="91">
                  <c:v>0.55779179363617015</c:v>
                </c:pt>
                <c:pt idx="92">
                  <c:v>0.57708508845829831</c:v>
                </c:pt>
                <c:pt idx="93">
                  <c:v>0.55823237885462551</c:v>
                </c:pt>
                <c:pt idx="94">
                  <c:v>0.5577169875042215</c:v>
                </c:pt>
                <c:pt idx="95">
                  <c:v>0.5650052056220719</c:v>
                </c:pt>
                <c:pt idx="96">
                  <c:v>0.56057180851063815</c:v>
                </c:pt>
                <c:pt idx="97">
                  <c:v>0.55596886409037694</c:v>
                </c:pt>
                <c:pt idx="98">
                  <c:v>0.57075503928937454</c:v>
                </c:pt>
                <c:pt idx="99">
                  <c:v>0.55646036916395236</c:v>
                </c:pt>
                <c:pt idx="100">
                  <c:v>0.57318505215168891</c:v>
                </c:pt>
                <c:pt idx="101">
                  <c:v>0.59396339797869435</c:v>
                </c:pt>
                <c:pt idx="102">
                  <c:v>0.59995976125008388</c:v>
                </c:pt>
                <c:pt idx="103">
                  <c:v>0.58591087811271303</c:v>
                </c:pt>
                <c:pt idx="104">
                  <c:v>0.58343057176196023</c:v>
                </c:pt>
                <c:pt idx="105">
                  <c:v>0.57616675406397477</c:v>
                </c:pt>
                <c:pt idx="106">
                  <c:v>0.58548054625096624</c:v>
                </c:pt>
                <c:pt idx="107">
                  <c:v>0.58785695909441749</c:v>
                </c:pt>
                <c:pt idx="108">
                  <c:v>0.58414198161389175</c:v>
                </c:pt>
                <c:pt idx="109">
                  <c:v>0.58329120323559147</c:v>
                </c:pt>
                <c:pt idx="110">
                  <c:v>0.58609143593045721</c:v>
                </c:pt>
                <c:pt idx="111">
                  <c:v>0.58905344494526723</c:v>
                </c:pt>
                <c:pt idx="112">
                  <c:v>0.57824353863957823</c:v>
                </c:pt>
                <c:pt idx="113">
                  <c:v>0.58757133003072681</c:v>
                </c:pt>
                <c:pt idx="114">
                  <c:v>0.59490932230353155</c:v>
                </c:pt>
                <c:pt idx="115">
                  <c:v>0.59074733096085408</c:v>
                </c:pt>
                <c:pt idx="116">
                  <c:v>0.58702689243027895</c:v>
                </c:pt>
                <c:pt idx="117">
                  <c:v>0.58985267970535926</c:v>
                </c:pt>
                <c:pt idx="118">
                  <c:v>0.58806963645673338</c:v>
                </c:pt>
                <c:pt idx="119">
                  <c:v>0.59683896877833942</c:v>
                </c:pt>
                <c:pt idx="120">
                  <c:v>0.59283574478934287</c:v>
                </c:pt>
                <c:pt idx="121">
                  <c:v>0.59789808917197451</c:v>
                </c:pt>
                <c:pt idx="122">
                  <c:v>0.60140350877192994</c:v>
                </c:pt>
                <c:pt idx="123">
                  <c:v>0.59553286534779815</c:v>
                </c:pt>
                <c:pt idx="124">
                  <c:v>0.59501821019771062</c:v>
                </c:pt>
                <c:pt idx="125">
                  <c:v>0.587798374809548</c:v>
                </c:pt>
                <c:pt idx="126">
                  <c:v>0.58256533266001764</c:v>
                </c:pt>
                <c:pt idx="127">
                  <c:v>0.58498124244929095</c:v>
                </c:pt>
                <c:pt idx="128">
                  <c:v>0.5966295707472179</c:v>
                </c:pt>
                <c:pt idx="129">
                  <c:v>0.59924974567650058</c:v>
                </c:pt>
                <c:pt idx="130">
                  <c:v>0.58010870971916662</c:v>
                </c:pt>
                <c:pt idx="131">
                  <c:v>0.58028963219274632</c:v>
                </c:pt>
                <c:pt idx="132">
                  <c:v>0.57437144136651541</c:v>
                </c:pt>
                <c:pt idx="133">
                  <c:v>0.57837597612849978</c:v>
                </c:pt>
                <c:pt idx="134">
                  <c:v>0.5745322114780862</c:v>
                </c:pt>
                <c:pt idx="135">
                  <c:v>0.5787569043235351</c:v>
                </c:pt>
                <c:pt idx="136">
                  <c:v>0.58178391959798992</c:v>
                </c:pt>
                <c:pt idx="137">
                  <c:v>0.57206528562460746</c:v>
                </c:pt>
                <c:pt idx="138">
                  <c:v>0.56133094635471348</c:v>
                </c:pt>
                <c:pt idx="139">
                  <c:v>0.56368580433842164</c:v>
                </c:pt>
                <c:pt idx="140">
                  <c:v>0.5684968496849685</c:v>
                </c:pt>
                <c:pt idx="141">
                  <c:v>0.5594892277898813</c:v>
                </c:pt>
                <c:pt idx="142">
                  <c:v>0.56318763009217954</c:v>
                </c:pt>
                <c:pt idx="143">
                  <c:v>0.56618962432915909</c:v>
                </c:pt>
                <c:pt idx="144">
                  <c:v>0.56045552263087528</c:v>
                </c:pt>
                <c:pt idx="145">
                  <c:v>0.56027174544187652</c:v>
                </c:pt>
                <c:pt idx="146">
                  <c:v>0.56785527310802175</c:v>
                </c:pt>
                <c:pt idx="147">
                  <c:v>0.5704159343878149</c:v>
                </c:pt>
                <c:pt idx="148">
                  <c:v>0.58247658213388176</c:v>
                </c:pt>
                <c:pt idx="149">
                  <c:v>0.57433203927837417</c:v>
                </c:pt>
                <c:pt idx="150">
                  <c:v>0.57192443382269242</c:v>
                </c:pt>
                <c:pt idx="151">
                  <c:v>0.57407832778224399</c:v>
                </c:pt>
                <c:pt idx="152">
                  <c:v>0.57197973050788897</c:v>
                </c:pt>
                <c:pt idx="153">
                  <c:v>0.57319069332397998</c:v>
                </c:pt>
                <c:pt idx="154">
                  <c:v>0.57549824150058626</c:v>
                </c:pt>
                <c:pt idx="155">
                  <c:v>0.56802700941775763</c:v>
                </c:pt>
                <c:pt idx="156">
                  <c:v>0.56103604932444406</c:v>
                </c:pt>
                <c:pt idx="157">
                  <c:v>0.55283786173159677</c:v>
                </c:pt>
                <c:pt idx="158">
                  <c:v>0.56126529394210689</c:v>
                </c:pt>
                <c:pt idx="159">
                  <c:v>0.5551443824314487</c:v>
                </c:pt>
                <c:pt idx="160">
                  <c:v>0.55610372420431997</c:v>
                </c:pt>
                <c:pt idx="161">
                  <c:v>0.5479357510352616</c:v>
                </c:pt>
                <c:pt idx="162">
                  <c:v>0.5454260258501693</c:v>
                </c:pt>
                <c:pt idx="163">
                  <c:v>0.54330413016270318</c:v>
                </c:pt>
                <c:pt idx="164">
                  <c:v>0.54256442098727087</c:v>
                </c:pt>
                <c:pt idx="165">
                  <c:v>0.54823815309842039</c:v>
                </c:pt>
                <c:pt idx="166">
                  <c:v>0.54659888646816746</c:v>
                </c:pt>
                <c:pt idx="167">
                  <c:v>0.55378131307135237</c:v>
                </c:pt>
                <c:pt idx="168">
                  <c:v>0.55616791744840521</c:v>
                </c:pt>
                <c:pt idx="169">
                  <c:v>0.55857898715041554</c:v>
                </c:pt>
                <c:pt idx="170">
                  <c:v>0.56015917602996268</c:v>
                </c:pt>
                <c:pt idx="171">
                  <c:v>0.55773624699748081</c:v>
                </c:pt>
                <c:pt idx="172">
                  <c:v>0.54690087532528986</c:v>
                </c:pt>
                <c:pt idx="173">
                  <c:v>0.56288707530242532</c:v>
                </c:pt>
                <c:pt idx="174">
                  <c:v>0.55553016453382087</c:v>
                </c:pt>
                <c:pt idx="175">
                  <c:v>0.56375570776255723</c:v>
                </c:pt>
                <c:pt idx="176">
                  <c:v>0.56084020146520164</c:v>
                </c:pt>
                <c:pt idx="177">
                  <c:v>0.55797059671375038</c:v>
                </c:pt>
                <c:pt idx="178">
                  <c:v>0.55890554200069698</c:v>
                </c:pt>
                <c:pt idx="179">
                  <c:v>0.56534813786722204</c:v>
                </c:pt>
                <c:pt idx="180">
                  <c:v>0.56945978949816833</c:v>
                </c:pt>
                <c:pt idx="181">
                  <c:v>0.57125520110957007</c:v>
                </c:pt>
                <c:pt idx="182">
                  <c:v>0.56723490320716563</c:v>
                </c:pt>
                <c:pt idx="183">
                  <c:v>0.57218853678068859</c:v>
                </c:pt>
                <c:pt idx="184">
                  <c:v>0.56847738519967783</c:v>
                </c:pt>
                <c:pt idx="185">
                  <c:v>0.55698572431546911</c:v>
                </c:pt>
                <c:pt idx="186">
                  <c:v>0.56052495251251933</c:v>
                </c:pt>
                <c:pt idx="187">
                  <c:v>0.56089706728004596</c:v>
                </c:pt>
                <c:pt idx="188">
                  <c:v>0.5615970879308384</c:v>
                </c:pt>
                <c:pt idx="189">
                  <c:v>0.56930749828021088</c:v>
                </c:pt>
                <c:pt idx="190">
                  <c:v>0.56637677820653121</c:v>
                </c:pt>
                <c:pt idx="191">
                  <c:v>0.56768911439114411</c:v>
                </c:pt>
                <c:pt idx="192">
                  <c:v>0.57084269662921372</c:v>
                </c:pt>
                <c:pt idx="193">
                  <c:v>0.56446620518881185</c:v>
                </c:pt>
                <c:pt idx="194">
                  <c:v>0.56514818880351259</c:v>
                </c:pt>
                <c:pt idx="195">
                  <c:v>0.56701424905825193</c:v>
                </c:pt>
                <c:pt idx="196">
                  <c:v>0.56952266389633099</c:v>
                </c:pt>
                <c:pt idx="197">
                  <c:v>0.57011039710001654</c:v>
                </c:pt>
                <c:pt idx="198">
                  <c:v>0.57009141168098976</c:v>
                </c:pt>
                <c:pt idx="199">
                  <c:v>0.57406087194954747</c:v>
                </c:pt>
                <c:pt idx="200">
                  <c:v>0.57438692098092636</c:v>
                </c:pt>
                <c:pt idx="201">
                  <c:v>0.5844344183048662</c:v>
                </c:pt>
                <c:pt idx="202">
                  <c:v>0.58914438502673816</c:v>
                </c:pt>
                <c:pt idx="203">
                  <c:v>0.58906383890317049</c:v>
                </c:pt>
                <c:pt idx="204">
                  <c:v>0.59313332263757412</c:v>
                </c:pt>
                <c:pt idx="205">
                  <c:v>0.58111499018110391</c:v>
                </c:pt>
                <c:pt idx="206">
                  <c:v>0.58118352877011181</c:v>
                </c:pt>
                <c:pt idx="207">
                  <c:v>0.57646103896103895</c:v>
                </c:pt>
                <c:pt idx="208">
                  <c:v>0.5678867218808441</c:v>
                </c:pt>
                <c:pt idx="209">
                  <c:v>0.57300290007909294</c:v>
                </c:pt>
                <c:pt idx="210">
                  <c:v>0.57327290931127173</c:v>
                </c:pt>
                <c:pt idx="211">
                  <c:v>0.57778245097523784</c:v>
                </c:pt>
                <c:pt idx="212">
                  <c:v>0.57818786545786172</c:v>
                </c:pt>
                <c:pt idx="213">
                  <c:v>0.58200190456036405</c:v>
                </c:pt>
                <c:pt idx="214">
                  <c:v>0.58422958439172035</c:v>
                </c:pt>
                <c:pt idx="215">
                  <c:v>0.58921228304405882</c:v>
                </c:pt>
                <c:pt idx="216">
                  <c:v>0.58987068965517253</c:v>
                </c:pt>
                <c:pt idx="217">
                  <c:v>0.60011718958078097</c:v>
                </c:pt>
                <c:pt idx="218">
                  <c:v>0.59791095167756914</c:v>
                </c:pt>
                <c:pt idx="219">
                  <c:v>0.59963711767755312</c:v>
                </c:pt>
                <c:pt idx="220">
                  <c:v>0.60386397958652294</c:v>
                </c:pt>
                <c:pt idx="221">
                  <c:v>0.60220158597662765</c:v>
                </c:pt>
                <c:pt idx="222">
                  <c:v>0.60307131702238426</c:v>
                </c:pt>
                <c:pt idx="223">
                  <c:v>0.60948620707569223</c:v>
                </c:pt>
                <c:pt idx="224">
                  <c:v>0.61270715361836992</c:v>
                </c:pt>
                <c:pt idx="225">
                  <c:v>0.61198970209635895</c:v>
                </c:pt>
                <c:pt idx="226">
                  <c:v>0.603598750134684</c:v>
                </c:pt>
                <c:pt idx="227">
                  <c:v>0.59771298504227188</c:v>
                </c:pt>
                <c:pt idx="228">
                  <c:v>0.6035410612420623</c:v>
                </c:pt>
                <c:pt idx="229">
                  <c:v>0.59281339764782393</c:v>
                </c:pt>
                <c:pt idx="230">
                  <c:v>0.60627177700348422</c:v>
                </c:pt>
                <c:pt idx="231">
                  <c:v>0.60040897651006719</c:v>
                </c:pt>
                <c:pt idx="232">
                  <c:v>0.60445286594031267</c:v>
                </c:pt>
                <c:pt idx="233">
                  <c:v>0.60410709643878358</c:v>
                </c:pt>
                <c:pt idx="234">
                  <c:v>0.60252514668901902</c:v>
                </c:pt>
                <c:pt idx="235">
                  <c:v>0.60379357846773329</c:v>
                </c:pt>
                <c:pt idx="236">
                  <c:v>0.60280423846730158</c:v>
                </c:pt>
                <c:pt idx="237">
                  <c:v>0.6028254936586932</c:v>
                </c:pt>
                <c:pt idx="238">
                  <c:v>0.60214649852428237</c:v>
                </c:pt>
                <c:pt idx="239">
                  <c:v>0.60065328486381098</c:v>
                </c:pt>
                <c:pt idx="240">
                  <c:v>0.6029313103163545</c:v>
                </c:pt>
                <c:pt idx="241">
                  <c:v>0.60928433268858795</c:v>
                </c:pt>
                <c:pt idx="242">
                  <c:v>0.60268911013035009</c:v>
                </c:pt>
                <c:pt idx="243">
                  <c:v>0.60197283478799757</c:v>
                </c:pt>
                <c:pt idx="244">
                  <c:v>0.60462943740917585</c:v>
                </c:pt>
                <c:pt idx="245">
                  <c:v>0.60541384695471101</c:v>
                </c:pt>
                <c:pt idx="246">
                  <c:v>0.60595854922279779</c:v>
                </c:pt>
                <c:pt idx="247">
                  <c:v>0.60192357681310127</c:v>
                </c:pt>
                <c:pt idx="248">
                  <c:v>0.6078198440163215</c:v>
                </c:pt>
                <c:pt idx="249">
                  <c:v>0.60635534959515214</c:v>
                </c:pt>
                <c:pt idx="250">
                  <c:v>0.60760456273764263</c:v>
                </c:pt>
                <c:pt idx="251">
                  <c:v>0.60329159935379628</c:v>
                </c:pt>
                <c:pt idx="252">
                  <c:v>0.60739454601164344</c:v>
                </c:pt>
                <c:pt idx="253">
                  <c:v>0.6126323289902279</c:v>
                </c:pt>
                <c:pt idx="254">
                  <c:v>0.61527458492975728</c:v>
                </c:pt>
                <c:pt idx="255">
                  <c:v>0.61970393057682494</c:v>
                </c:pt>
                <c:pt idx="256">
                  <c:v>0.61663790478124048</c:v>
                </c:pt>
                <c:pt idx="257">
                  <c:v>0.6160932410423452</c:v>
                </c:pt>
                <c:pt idx="258">
                  <c:v>0.61840833968980402</c:v>
                </c:pt>
                <c:pt idx="259">
                  <c:v>0.6103909412307218</c:v>
                </c:pt>
                <c:pt idx="260">
                  <c:v>0.60649489251410282</c:v>
                </c:pt>
                <c:pt idx="261">
                  <c:v>0.61119790354281112</c:v>
                </c:pt>
              </c:numCache>
            </c:numRef>
          </c:val>
          <c:smooth val="0"/>
        </c:ser>
        <c:dLbls>
          <c:showLegendKey val="0"/>
          <c:showVal val="0"/>
          <c:showCatName val="0"/>
          <c:showSerName val="0"/>
          <c:showPercent val="0"/>
          <c:showBubbleSize val="0"/>
        </c:dLbls>
        <c:marker val="1"/>
        <c:smooth val="0"/>
        <c:axId val="763641216"/>
        <c:axId val="824890496"/>
      </c:lineChart>
      <c:dateAx>
        <c:axId val="763641216"/>
        <c:scaling>
          <c:orientation val="minMax"/>
        </c:scaling>
        <c:delete val="0"/>
        <c:axPos val="b"/>
        <c:numFmt formatCode="m/d/yyyy" sourceLinked="0"/>
        <c:majorTickMark val="out"/>
        <c:minorTickMark val="none"/>
        <c:tickLblPos val="nextTo"/>
        <c:txPr>
          <a:bodyPr rot="-2700000" vert="horz"/>
          <a:lstStyle/>
          <a:p>
            <a:pPr>
              <a:defRPr sz="1000" b="0" i="0" u="none" strike="noStrike" baseline="0">
                <a:solidFill>
                  <a:srgbClr val="000000"/>
                </a:solidFill>
                <a:latin typeface="Calibri"/>
                <a:ea typeface="Calibri"/>
                <a:cs typeface="Calibri"/>
              </a:defRPr>
            </a:pPr>
            <a:endParaRPr lang="en-US"/>
          </a:p>
        </c:txPr>
        <c:crossAx val="824890496"/>
        <c:crosses val="autoZero"/>
        <c:auto val="0"/>
        <c:lblOffset val="100"/>
        <c:baseTimeUnit val="days"/>
      </c:dateAx>
      <c:valAx>
        <c:axId val="824890496"/>
        <c:scaling>
          <c:orientation val="minMax"/>
          <c:max val="0.68167432363450753"/>
          <c:min val="0.46892045454545456"/>
        </c:scaling>
        <c:delete val="0"/>
        <c:axPos val="l"/>
        <c:majorGridlines/>
        <c:numFmt formatCode="0.00%" sourceLinked="0"/>
        <c:majorTickMark val="out"/>
        <c:minorTickMark val="none"/>
        <c:tickLblPos val="nextTo"/>
        <c:txPr>
          <a:bodyPr rot="0" vert="horz"/>
          <a:lstStyle/>
          <a:p>
            <a:pPr>
              <a:defRPr sz="1000" b="0" i="0" u="none" strike="noStrike" baseline="0">
                <a:solidFill>
                  <a:srgbClr val="000000"/>
                </a:solidFill>
                <a:latin typeface="Calibri"/>
                <a:ea typeface="Calibri"/>
                <a:cs typeface="Calibri"/>
              </a:defRPr>
            </a:pPr>
            <a:endParaRPr lang="en-US"/>
          </a:p>
        </c:txPr>
        <c:crossAx val="763641216"/>
        <c:crosses val="autoZero"/>
        <c:crossBetween val="between"/>
      </c:valAx>
    </c:plotArea>
    <c:legend>
      <c:legendPos val="r"/>
      <c:layout>
        <c:manualLayout>
          <c:xMode val="edge"/>
          <c:yMode val="edge"/>
          <c:x val="9.9090223097112864E-2"/>
          <c:y val="3.4312451730440008E-2"/>
          <c:w val="0.2637304790026247"/>
          <c:h val="9.155711545488443E-2"/>
        </c:manualLayout>
      </c:layout>
      <c:overlay val="0"/>
      <c:txPr>
        <a:bodyPr/>
        <a:lstStyle/>
        <a:p>
          <a:pPr>
            <a:defRPr sz="1100" b="0" i="0" u="none" strike="noStrike" baseline="0">
              <a:solidFill>
                <a:srgbClr val="000000"/>
              </a:solidFill>
              <a:latin typeface="Calibri"/>
              <a:ea typeface="Calibri"/>
              <a:cs typeface="Calibri"/>
            </a:defRPr>
          </a:pPr>
          <a:endParaRPr lang="en-US"/>
        </a:p>
      </c:txPr>
    </c:legend>
    <c:plotVisOnly val="1"/>
    <c:dispBlanksAs val="gap"/>
    <c:showDLblsOverMax val="0"/>
  </c:chart>
  <c:spPr>
    <a:ln>
      <a:noFill/>
    </a:ln>
  </c:spPr>
  <c:txPr>
    <a:bodyPr/>
    <a:lstStyle/>
    <a:p>
      <a:pPr>
        <a:defRPr sz="1000" b="0" i="0" u="none" strike="noStrike" baseline="0">
          <a:solidFill>
            <a:srgbClr val="000000"/>
          </a:solidFill>
          <a:latin typeface="Calibri"/>
          <a:ea typeface="Calibri"/>
          <a:cs typeface="Calibri"/>
        </a:defRPr>
      </a:pPr>
      <a:endParaRPr lang="en-US"/>
    </a:p>
  </c:txPr>
  <c:printSettings>
    <c:headerFooter/>
    <c:pageMargins b="0.75000000000000022" l="0.70000000000000018" r="0.70000000000000018" t="0.75000000000000022" header="0.3000000000000001" footer="0.3000000000000001"/>
    <c:pageSetup/>
  </c:printSettings>
</c:chartSpace>
</file>

<file path=xl/drawings/_rels/drawing1.xml.rels><?xml version="1.0" encoding="UTF-8" standalone="yes"?>
<Relationships xmlns="http://schemas.openxmlformats.org/package/2006/relationships"><Relationship Id="rId3" Type="http://schemas.openxmlformats.org/officeDocument/2006/relationships/image" Target="../media/image1.jpeg"/><Relationship Id="rId2" Type="http://schemas.openxmlformats.org/officeDocument/2006/relationships/chart" Target="../charts/chart2.xml"/><Relationship Id="rId1" Type="http://schemas.openxmlformats.org/officeDocument/2006/relationships/chart" Target="../charts/chart1.xml"/></Relationships>
</file>

<file path=xl/drawings/_rels/drawing2.xml.rels><?xml version="1.0" encoding="UTF-8" standalone="yes"?>
<Relationships xmlns="http://schemas.openxmlformats.org/package/2006/relationships"><Relationship Id="rId3" Type="http://schemas.openxmlformats.org/officeDocument/2006/relationships/image" Target="../media/image1.jpeg"/><Relationship Id="rId2" Type="http://schemas.openxmlformats.org/officeDocument/2006/relationships/chart" Target="../charts/chart4.xml"/><Relationship Id="rId1" Type="http://schemas.openxmlformats.org/officeDocument/2006/relationships/chart" Target="../charts/chart3.xml"/></Relationships>
</file>

<file path=xl/drawings/_rels/drawing3.xml.rels><?xml version="1.0" encoding="UTF-8" standalone="yes"?>
<Relationships xmlns="http://schemas.openxmlformats.org/package/2006/relationships"><Relationship Id="rId3" Type="http://schemas.openxmlformats.org/officeDocument/2006/relationships/image" Target="../media/image4.png"/><Relationship Id="rId2" Type="http://schemas.openxmlformats.org/officeDocument/2006/relationships/image" Target="../media/image3.png"/><Relationship Id="rId1" Type="http://schemas.openxmlformats.org/officeDocument/2006/relationships/image" Target="../media/image2.jpeg"/></Relationships>
</file>

<file path=xl/drawings/drawing1.xml><?xml version="1.0" encoding="utf-8"?>
<xdr:wsDr xmlns:xdr="http://schemas.openxmlformats.org/drawingml/2006/spreadsheetDrawing" xmlns:a="http://schemas.openxmlformats.org/drawingml/2006/main">
  <xdr:twoCellAnchor>
    <xdr:from>
      <xdr:col>5</xdr:col>
      <xdr:colOff>19050</xdr:colOff>
      <xdr:row>65</xdr:row>
      <xdr:rowOff>0</xdr:rowOff>
    </xdr:from>
    <xdr:to>
      <xdr:col>25</xdr:col>
      <xdr:colOff>561975</xdr:colOff>
      <xdr:row>77</xdr:row>
      <xdr:rowOff>66675</xdr:rowOff>
    </xdr:to>
    <xdr:graphicFrame macro="">
      <xdr:nvGraphicFramePr>
        <xdr:cNvPr id="1875397" name="Chart 4"/>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16</xdr:col>
      <xdr:colOff>0</xdr:colOff>
      <xdr:row>10</xdr:row>
      <xdr:rowOff>0</xdr:rowOff>
    </xdr:from>
    <xdr:to>
      <xdr:col>26</xdr:col>
      <xdr:colOff>0</xdr:colOff>
      <xdr:row>39</xdr:row>
      <xdr:rowOff>9526</xdr:rowOff>
    </xdr:to>
    <xdr:graphicFrame macro="">
      <xdr:nvGraphicFramePr>
        <xdr:cNvPr id="1875400" name="Chart 5"/>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editAs="absolute">
    <xdr:from>
      <xdr:col>5</xdr:col>
      <xdr:colOff>0</xdr:colOff>
      <xdr:row>1</xdr:row>
      <xdr:rowOff>0</xdr:rowOff>
    </xdr:from>
    <xdr:to>
      <xdr:col>21</xdr:col>
      <xdr:colOff>556684</xdr:colOff>
      <xdr:row>4</xdr:row>
      <xdr:rowOff>0</xdr:rowOff>
    </xdr:to>
    <xdr:grpSp>
      <xdr:nvGrpSpPr>
        <xdr:cNvPr id="8" name="Group 1"/>
        <xdr:cNvGrpSpPr>
          <a:grpSpLocks noChangeAspect="1"/>
        </xdr:cNvGrpSpPr>
      </xdr:nvGrpSpPr>
      <xdr:grpSpPr bwMode="auto">
        <a:xfrm>
          <a:off x="114300" y="57150"/>
          <a:ext cx="10938934" cy="571500"/>
          <a:chOff x="104775" y="57149"/>
          <a:chExt cx="10993757" cy="576072"/>
        </a:xfrm>
      </xdr:grpSpPr>
      <xdr:pic>
        <xdr:nvPicPr>
          <xdr:cNvPr id="9" name="Picture 66" descr="whitebbg"/>
          <xdr:cNvPicPr>
            <a:picLocks noChangeArrowheads="1"/>
          </xdr:cNvPicPr>
        </xdr:nvPicPr>
        <xdr:blipFill>
          <a:blip xmlns:r="http://schemas.openxmlformats.org/officeDocument/2006/relationships" r:embed="rId3" cstate="print">
            <a:extLst>
              <a:ext uri="{28A0092B-C50C-407E-A947-70E740481C1C}">
                <a14:useLocalDpi xmlns:a14="http://schemas.microsoft.com/office/drawing/2010/main" val="0"/>
              </a:ext>
            </a:extLst>
          </a:blip>
          <a:srcRect b="10001"/>
          <a:stretch>
            <a:fillRect/>
          </a:stretch>
        </xdr:blipFill>
        <xdr:spPr bwMode="auto">
          <a:xfrm>
            <a:off x="104775" y="57149"/>
            <a:ext cx="1819656" cy="56692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sp macro="" textlink="">
        <xdr:nvSpPr>
          <xdr:cNvPr id="10" name="com_bar"/>
          <xdr:cNvSpPr>
            <a:spLocks noChangeArrowheads="1"/>
          </xdr:cNvSpPr>
        </xdr:nvSpPr>
        <xdr:spPr bwMode="auto">
          <a:xfrm>
            <a:off x="2000579" y="57149"/>
            <a:ext cx="9097953" cy="576072"/>
          </a:xfrm>
          <a:prstGeom prst="rect">
            <a:avLst/>
          </a:prstGeom>
          <a:gradFill flip="none" rotWithShape="1">
            <a:gsLst>
              <a:gs pos="0">
                <a:srgbClr val="80A3CE">
                  <a:lumMod val="0"/>
                  <a:lumOff val="100000"/>
                </a:srgbClr>
              </a:gs>
              <a:gs pos="57000">
                <a:schemeClr val="accent1">
                  <a:lumMod val="75000"/>
                </a:schemeClr>
              </a:gs>
              <a:gs pos="47000">
                <a:schemeClr val="accent1">
                  <a:lumMod val="75000"/>
                </a:schemeClr>
              </a:gs>
              <a:gs pos="100000">
                <a:srgbClr val="B8CCE4">
                  <a:lumMod val="0"/>
                  <a:lumOff val="100000"/>
                </a:srgbClr>
              </a:gs>
            </a:gsLst>
            <a:lin ang="0" scaled="1"/>
            <a:tileRect/>
          </a:gradFill>
          <a:ln w="9525">
            <a:noFill/>
            <a:miter lim="800000"/>
            <a:headEnd/>
            <a:tailEnd/>
          </a:ln>
        </xdr:spPr>
        <xdr:txBody>
          <a:bodyPr vertOverflow="clip" wrap="square" lIns="0" tIns="0" rIns="0" bIns="0" anchor="ctr" upright="1"/>
          <a:lstStyle/>
          <a:p>
            <a:pPr algn="ctr" rtl="0">
              <a:defRPr sz="1000"/>
            </a:pPr>
            <a:r>
              <a:rPr lang="en-US" sz="2800" b="1" i="0" u="none" strike="noStrike" baseline="0">
                <a:solidFill>
                  <a:schemeClr val="bg1"/>
                </a:solidFill>
                <a:latin typeface="Calibri"/>
              </a:rPr>
              <a:t>Historical Spread vs. Spread Analysis</a:t>
            </a:r>
          </a:p>
        </xdr:txBody>
      </xdr:sp>
    </xdr:grpSp>
    <xdr:clientData/>
  </xdr:twoCellAnchor>
</xdr:wsDr>
</file>

<file path=xl/drawings/drawing2.xml><?xml version="1.0" encoding="utf-8"?>
<xdr:wsDr xmlns:xdr="http://schemas.openxmlformats.org/drawingml/2006/spreadsheetDrawing" xmlns:a="http://schemas.openxmlformats.org/drawingml/2006/main">
  <xdr:twoCellAnchor>
    <xdr:from>
      <xdr:col>3</xdr:col>
      <xdr:colOff>285750</xdr:colOff>
      <xdr:row>63</xdr:row>
      <xdr:rowOff>114300</xdr:rowOff>
    </xdr:from>
    <xdr:to>
      <xdr:col>20</xdr:col>
      <xdr:colOff>161925</xdr:colOff>
      <xdr:row>72</xdr:row>
      <xdr:rowOff>161925</xdr:rowOff>
    </xdr:to>
    <xdr:graphicFrame macro="">
      <xdr:nvGraphicFramePr>
        <xdr:cNvPr id="1984744" name="Chart 4C"/>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16</xdr:col>
      <xdr:colOff>0</xdr:colOff>
      <xdr:row>10</xdr:row>
      <xdr:rowOff>0</xdr:rowOff>
    </xdr:from>
    <xdr:to>
      <xdr:col>26</xdr:col>
      <xdr:colOff>0</xdr:colOff>
      <xdr:row>39</xdr:row>
      <xdr:rowOff>9526</xdr:rowOff>
    </xdr:to>
    <xdr:graphicFrame macro="">
      <xdr:nvGraphicFramePr>
        <xdr:cNvPr id="1984747" name="Chart 5C"/>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editAs="absolute">
    <xdr:from>
      <xdr:col>5</xdr:col>
      <xdr:colOff>0</xdr:colOff>
      <xdr:row>1</xdr:row>
      <xdr:rowOff>0</xdr:rowOff>
    </xdr:from>
    <xdr:to>
      <xdr:col>21</xdr:col>
      <xdr:colOff>556684</xdr:colOff>
      <xdr:row>4</xdr:row>
      <xdr:rowOff>0</xdr:rowOff>
    </xdr:to>
    <xdr:grpSp>
      <xdr:nvGrpSpPr>
        <xdr:cNvPr id="16" name="Group 1"/>
        <xdr:cNvGrpSpPr>
          <a:grpSpLocks noChangeAspect="1"/>
        </xdr:cNvGrpSpPr>
      </xdr:nvGrpSpPr>
      <xdr:grpSpPr bwMode="auto">
        <a:xfrm>
          <a:off x="114300" y="57150"/>
          <a:ext cx="10938934" cy="571500"/>
          <a:chOff x="104775" y="57149"/>
          <a:chExt cx="10993757" cy="576072"/>
        </a:xfrm>
      </xdr:grpSpPr>
      <xdr:pic>
        <xdr:nvPicPr>
          <xdr:cNvPr id="17" name="Picture 66" descr="whitebbg"/>
          <xdr:cNvPicPr>
            <a:picLocks noChangeArrowheads="1"/>
          </xdr:cNvPicPr>
        </xdr:nvPicPr>
        <xdr:blipFill>
          <a:blip xmlns:r="http://schemas.openxmlformats.org/officeDocument/2006/relationships" r:embed="rId3" cstate="print">
            <a:extLst>
              <a:ext uri="{28A0092B-C50C-407E-A947-70E740481C1C}">
                <a14:useLocalDpi xmlns:a14="http://schemas.microsoft.com/office/drawing/2010/main" val="0"/>
              </a:ext>
            </a:extLst>
          </a:blip>
          <a:srcRect b="10001"/>
          <a:stretch>
            <a:fillRect/>
          </a:stretch>
        </xdr:blipFill>
        <xdr:spPr bwMode="auto">
          <a:xfrm>
            <a:off x="104775" y="57149"/>
            <a:ext cx="1819656" cy="56692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sp macro="" textlink="">
        <xdr:nvSpPr>
          <xdr:cNvPr id="18" name="com_bar"/>
          <xdr:cNvSpPr>
            <a:spLocks noChangeArrowheads="1"/>
          </xdr:cNvSpPr>
        </xdr:nvSpPr>
        <xdr:spPr bwMode="auto">
          <a:xfrm>
            <a:off x="2000579" y="57149"/>
            <a:ext cx="9097953" cy="576072"/>
          </a:xfrm>
          <a:prstGeom prst="rect">
            <a:avLst/>
          </a:prstGeom>
          <a:gradFill flip="none" rotWithShape="1">
            <a:gsLst>
              <a:gs pos="0">
                <a:srgbClr val="80A3CE">
                  <a:lumMod val="0"/>
                  <a:lumOff val="100000"/>
                </a:srgbClr>
              </a:gs>
              <a:gs pos="57000">
                <a:schemeClr val="accent1">
                  <a:lumMod val="75000"/>
                </a:schemeClr>
              </a:gs>
              <a:gs pos="47000">
                <a:schemeClr val="accent1">
                  <a:lumMod val="75000"/>
                </a:schemeClr>
              </a:gs>
              <a:gs pos="100000">
                <a:srgbClr val="B8CCE4">
                  <a:lumMod val="0"/>
                  <a:lumOff val="100000"/>
                </a:srgbClr>
              </a:gs>
            </a:gsLst>
            <a:lin ang="0" scaled="1"/>
            <a:tileRect/>
          </a:gradFill>
          <a:ln w="9525">
            <a:noFill/>
            <a:miter lim="800000"/>
            <a:headEnd/>
            <a:tailEnd/>
          </a:ln>
        </xdr:spPr>
        <xdr:txBody>
          <a:bodyPr vertOverflow="clip" wrap="square" lIns="0" tIns="0" rIns="0" bIns="0" anchor="ctr" upright="1"/>
          <a:lstStyle/>
          <a:p>
            <a:pPr algn="ctr" rtl="0">
              <a:defRPr sz="1000"/>
            </a:pPr>
            <a:r>
              <a:rPr lang="en-US" sz="2800" b="1" i="0" u="none" strike="noStrike" baseline="0">
                <a:solidFill>
                  <a:schemeClr val="bg1"/>
                </a:solidFill>
                <a:latin typeface="+mn-lt"/>
              </a:rPr>
              <a:t>Historical Spread vs. Spread Analysis</a:t>
            </a:r>
          </a:p>
        </xdr:txBody>
      </xdr:sp>
    </xdr:grpSp>
    <xdr:clientData/>
  </xdr:twoCellAnchor>
</xdr:wsDr>
</file>

<file path=xl/drawings/drawing3.xml><?xml version="1.0" encoding="utf-8"?>
<xdr:wsDr xmlns:xdr="http://schemas.openxmlformats.org/drawingml/2006/spreadsheetDrawing" xmlns:a="http://schemas.openxmlformats.org/drawingml/2006/main">
  <xdr:twoCellAnchor editAs="absolute">
    <xdr:from>
      <xdr:col>1</xdr:col>
      <xdr:colOff>0</xdr:colOff>
      <xdr:row>1</xdr:row>
      <xdr:rowOff>0</xdr:rowOff>
    </xdr:from>
    <xdr:to>
      <xdr:col>18</xdr:col>
      <xdr:colOff>575734</xdr:colOff>
      <xdr:row>4</xdr:row>
      <xdr:rowOff>0</xdr:rowOff>
    </xdr:to>
    <xdr:grpSp>
      <xdr:nvGrpSpPr>
        <xdr:cNvPr id="23" name="Group 1"/>
        <xdr:cNvGrpSpPr>
          <a:grpSpLocks noChangeAspect="1"/>
        </xdr:cNvGrpSpPr>
      </xdr:nvGrpSpPr>
      <xdr:grpSpPr bwMode="auto">
        <a:xfrm>
          <a:off x="114300" y="57150"/>
          <a:ext cx="10938934" cy="571500"/>
          <a:chOff x="104775" y="57149"/>
          <a:chExt cx="10993757" cy="576072"/>
        </a:xfrm>
      </xdr:grpSpPr>
      <xdr:pic>
        <xdr:nvPicPr>
          <xdr:cNvPr id="25" name="Picture 66" descr="whitebbg"/>
          <xdr:cNvPicPr>
            <a:picLocks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b="10001"/>
          <a:stretch>
            <a:fillRect/>
          </a:stretch>
        </xdr:blipFill>
        <xdr:spPr bwMode="auto">
          <a:xfrm>
            <a:off x="104775" y="57149"/>
            <a:ext cx="1819656" cy="56692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sp macro="" textlink="">
        <xdr:nvSpPr>
          <xdr:cNvPr id="26" name="com_bar"/>
          <xdr:cNvSpPr>
            <a:spLocks noChangeArrowheads="1"/>
          </xdr:cNvSpPr>
        </xdr:nvSpPr>
        <xdr:spPr bwMode="auto">
          <a:xfrm>
            <a:off x="2000579" y="57149"/>
            <a:ext cx="9097953" cy="576072"/>
          </a:xfrm>
          <a:prstGeom prst="rect">
            <a:avLst/>
          </a:prstGeom>
          <a:gradFill flip="none" rotWithShape="1">
            <a:gsLst>
              <a:gs pos="0">
                <a:srgbClr val="80A3CE">
                  <a:lumMod val="0"/>
                  <a:lumOff val="100000"/>
                </a:srgbClr>
              </a:gs>
              <a:gs pos="57000">
                <a:schemeClr val="accent1">
                  <a:lumMod val="75000"/>
                </a:schemeClr>
              </a:gs>
              <a:gs pos="47000">
                <a:schemeClr val="accent1">
                  <a:lumMod val="75000"/>
                </a:schemeClr>
              </a:gs>
              <a:gs pos="100000">
                <a:srgbClr val="B8CCE4">
                  <a:lumMod val="0"/>
                  <a:lumOff val="100000"/>
                </a:srgbClr>
              </a:gs>
            </a:gsLst>
            <a:lin ang="0" scaled="1"/>
            <a:tileRect/>
          </a:gradFill>
          <a:ln w="9525">
            <a:noFill/>
            <a:miter lim="800000"/>
            <a:headEnd/>
            <a:tailEnd/>
          </a:ln>
        </xdr:spPr>
        <xdr:txBody>
          <a:bodyPr vertOverflow="clip" wrap="square" lIns="0" tIns="0" rIns="0" bIns="0" anchor="ctr" upright="1"/>
          <a:lstStyle/>
          <a:p>
            <a:pPr algn="ctr" rtl="0">
              <a:defRPr sz="1000"/>
            </a:pPr>
            <a:r>
              <a:rPr lang="en-US" sz="2800" b="1" i="0" u="none" strike="noStrike" baseline="0">
                <a:solidFill>
                  <a:schemeClr val="bg1"/>
                </a:solidFill>
                <a:latin typeface="+mn-lt"/>
              </a:rPr>
              <a:t>Historical Spread vs. Spread Analysis</a:t>
            </a:r>
          </a:p>
        </xdr:txBody>
      </xdr:sp>
    </xdr:grpSp>
    <xdr:clientData/>
  </xdr:twoCellAnchor>
  <xdr:twoCellAnchor>
    <xdr:from>
      <xdr:col>3</xdr:col>
      <xdr:colOff>0</xdr:colOff>
      <xdr:row>14</xdr:row>
      <xdr:rowOff>123825</xdr:rowOff>
    </xdr:from>
    <xdr:to>
      <xdr:col>18</xdr:col>
      <xdr:colOff>0</xdr:colOff>
      <xdr:row>37</xdr:row>
      <xdr:rowOff>0</xdr:rowOff>
    </xdr:to>
    <xdr:grpSp>
      <xdr:nvGrpSpPr>
        <xdr:cNvPr id="4" name="Group 3"/>
        <xdr:cNvGrpSpPr/>
      </xdr:nvGrpSpPr>
      <xdr:grpSpPr>
        <a:xfrm>
          <a:off x="1333500" y="2524125"/>
          <a:ext cx="9144000" cy="4257675"/>
          <a:chOff x="1333500" y="2524125"/>
          <a:chExt cx="9144000" cy="4257675"/>
        </a:xfrm>
      </xdr:grpSpPr>
      <xdr:pic>
        <xdr:nvPicPr>
          <xdr:cNvPr id="2" name="Picture 1"/>
          <xdr:cNvPicPr>
            <a:picLocks noChangeAspect="1"/>
          </xdr:cNvPicPr>
        </xdr:nvPicPr>
        <xdr:blipFill>
          <a:blip xmlns:r="http://schemas.openxmlformats.org/officeDocument/2006/relationships" r:embed="rId2"/>
          <a:stretch>
            <a:fillRect/>
          </a:stretch>
        </xdr:blipFill>
        <xdr:spPr>
          <a:xfrm>
            <a:off x="1333500" y="2524125"/>
            <a:ext cx="9144000" cy="3400000"/>
          </a:xfrm>
          <a:prstGeom prst="rect">
            <a:avLst/>
          </a:prstGeom>
        </xdr:spPr>
      </xdr:pic>
      <xdr:grpSp>
        <xdr:nvGrpSpPr>
          <xdr:cNvPr id="36" name="Group 35"/>
          <xdr:cNvGrpSpPr/>
        </xdr:nvGrpSpPr>
        <xdr:grpSpPr>
          <a:xfrm>
            <a:off x="1400175" y="3506606"/>
            <a:ext cx="6168646" cy="3275194"/>
            <a:chOff x="5095875" y="6838950"/>
            <a:chExt cx="6191250" cy="3105150"/>
          </a:xfrm>
        </xdr:grpSpPr>
        <xdr:sp macro="" textlink="">
          <xdr:nvSpPr>
            <xdr:cNvPr id="6" name="Rectangle 5"/>
            <xdr:cNvSpPr/>
          </xdr:nvSpPr>
          <xdr:spPr>
            <a:xfrm>
              <a:off x="5095875" y="7000875"/>
              <a:ext cx="752475" cy="1990725"/>
            </a:xfrm>
            <a:prstGeom prst="rect">
              <a:avLst/>
            </a:prstGeom>
            <a:noFill/>
            <a:ln>
              <a:solidFill>
                <a:srgbClr val="C00000"/>
              </a:solidFill>
            </a:ln>
          </xdr:spPr>
          <xdr:style>
            <a:lnRef idx="2">
              <a:schemeClr val="accent2"/>
            </a:lnRef>
            <a:fillRef idx="1">
              <a:schemeClr val="lt1"/>
            </a:fillRef>
            <a:effectRef idx="0">
              <a:schemeClr val="accent2"/>
            </a:effectRef>
            <a:fontRef idx="minor">
              <a:schemeClr val="dk1"/>
            </a:fontRef>
          </xdr:style>
          <xdr:txBody>
            <a:bodyPr vertOverflow="clip" horzOverflow="clip" rtlCol="0" anchor="t"/>
            <a:lstStyle/>
            <a:p>
              <a:pPr algn="l"/>
              <a:endParaRPr lang="en-US" sz="1100"/>
            </a:p>
          </xdr:txBody>
        </xdr:sp>
        <xdr:cxnSp macro="">
          <xdr:nvCxnSpPr>
            <xdr:cNvPr id="27" name="DbgGradArrow"/>
            <xdr:cNvCxnSpPr/>
          </xdr:nvCxnSpPr>
          <xdr:spPr bwMode="auto">
            <a:xfrm flipV="1">
              <a:off x="5851282" y="6858003"/>
              <a:ext cx="1387718" cy="1027148"/>
            </a:xfrm>
            <a:prstGeom prst="straightConnector1">
              <a:avLst/>
            </a:prstGeom>
            <a:ln w="12700">
              <a:gradFill>
                <a:gsLst>
                  <a:gs pos="0">
                    <a:schemeClr val="tx2"/>
                  </a:gs>
                  <a:gs pos="50000">
                    <a:srgbClr val="FF0000"/>
                  </a:gs>
                </a:gsLst>
                <a:lin ang="5400000" scaled="0"/>
              </a:gradFill>
              <a:tailEnd type="arrow"/>
            </a:ln>
            <a:effectLst>
              <a:outerShdw blurRad="50800" dist="38100" dir="2700000" algn="tl" rotWithShape="0">
                <a:prstClr val="black">
                  <a:alpha val="40000"/>
                </a:prstClr>
              </a:outerShdw>
            </a:effectLst>
          </xdr:spPr>
          <xdr:style>
            <a:lnRef idx="1">
              <a:schemeClr val="accent1"/>
            </a:lnRef>
            <a:fillRef idx="0">
              <a:schemeClr val="accent1"/>
            </a:fillRef>
            <a:effectRef idx="0">
              <a:schemeClr val="accent1"/>
            </a:effectRef>
            <a:fontRef idx="minor">
              <a:schemeClr val="tx1"/>
            </a:fontRef>
          </xdr:style>
        </xdr:cxnSp>
        <xdr:sp macro="" textlink="">
          <xdr:nvSpPr>
            <xdr:cNvPr id="31" name="DbgShadowBox"/>
            <xdr:cNvSpPr/>
          </xdr:nvSpPr>
          <xdr:spPr bwMode="auto">
            <a:xfrm>
              <a:off x="6105525" y="9353549"/>
              <a:ext cx="2895600" cy="590551"/>
            </a:xfrm>
            <a:prstGeom prst="rect">
              <a:avLst/>
            </a:prstGeom>
            <a:solidFill>
              <a:schemeClr val="bg1"/>
            </a:solidFill>
            <a:ln w="12700"/>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l" rtl="0">
                <a:defRPr sz="1000"/>
              </a:pPr>
              <a:r>
                <a:rPr lang="en-US" sz="1050" b="0" i="0" u="none" strike="noStrike" baseline="0">
                  <a:solidFill>
                    <a:srgbClr val="1F497D"/>
                  </a:solidFill>
                  <a:latin typeface="+mn-lt"/>
                </a:rPr>
                <a:t>Graph selection allows users to toggle between all pairs calculated in the table below.</a:t>
              </a:r>
            </a:p>
          </xdr:txBody>
        </xdr:sp>
        <xdr:cxnSp macro="">
          <xdr:nvCxnSpPr>
            <xdr:cNvPr id="32" name="DbgGradArrow"/>
            <xdr:cNvCxnSpPr/>
          </xdr:nvCxnSpPr>
          <xdr:spPr bwMode="auto">
            <a:xfrm flipV="1">
              <a:off x="7510462" y="6838950"/>
              <a:ext cx="14288" cy="2505074"/>
            </a:xfrm>
            <a:prstGeom prst="straightConnector1">
              <a:avLst/>
            </a:prstGeom>
            <a:ln w="12700">
              <a:gradFill>
                <a:gsLst>
                  <a:gs pos="0">
                    <a:schemeClr val="tx2"/>
                  </a:gs>
                  <a:gs pos="50000">
                    <a:srgbClr val="FF0000"/>
                  </a:gs>
                </a:gsLst>
                <a:lin ang="5400000" scaled="0"/>
              </a:gradFill>
              <a:tailEnd type="arrow"/>
            </a:ln>
            <a:effectLst>
              <a:outerShdw blurRad="50800" dist="38100" dir="2700000" algn="tl" rotWithShape="0">
                <a:prstClr val="black">
                  <a:alpha val="40000"/>
                </a:prstClr>
              </a:outerShdw>
            </a:effectLst>
          </xdr:spPr>
          <xdr:style>
            <a:lnRef idx="1">
              <a:schemeClr val="accent1"/>
            </a:lnRef>
            <a:fillRef idx="0">
              <a:schemeClr val="accent1"/>
            </a:fillRef>
            <a:effectRef idx="0">
              <a:schemeClr val="accent1"/>
            </a:effectRef>
            <a:fontRef idx="minor">
              <a:schemeClr val="tx1"/>
            </a:fontRef>
          </xdr:style>
        </xdr:cxnSp>
        <xdr:cxnSp macro="">
          <xdr:nvCxnSpPr>
            <xdr:cNvPr id="33" name="DbgGradArrow"/>
            <xdr:cNvCxnSpPr/>
          </xdr:nvCxnSpPr>
          <xdr:spPr bwMode="auto">
            <a:xfrm>
              <a:off x="7839075" y="6867525"/>
              <a:ext cx="3448050" cy="895350"/>
            </a:xfrm>
            <a:prstGeom prst="straightConnector1">
              <a:avLst/>
            </a:prstGeom>
            <a:ln w="12700">
              <a:gradFill>
                <a:gsLst>
                  <a:gs pos="0">
                    <a:schemeClr val="tx2"/>
                  </a:gs>
                  <a:gs pos="50000">
                    <a:srgbClr val="FF0000"/>
                  </a:gs>
                </a:gsLst>
                <a:lin ang="5400000" scaled="0"/>
              </a:gradFill>
              <a:tailEnd type="arrow"/>
            </a:ln>
            <a:effectLst>
              <a:outerShdw blurRad="50800" dist="38100" dir="2700000" algn="tl" rotWithShape="0">
                <a:prstClr val="black">
                  <a:alpha val="40000"/>
                </a:prstClr>
              </a:outerShdw>
            </a:effectLst>
          </xdr:spPr>
          <xdr:style>
            <a:lnRef idx="1">
              <a:schemeClr val="accent1"/>
            </a:lnRef>
            <a:fillRef idx="0">
              <a:schemeClr val="accent1"/>
            </a:fillRef>
            <a:effectRef idx="0">
              <a:schemeClr val="accent1"/>
            </a:effectRef>
            <a:fontRef idx="minor">
              <a:schemeClr val="tx1"/>
            </a:fontRef>
          </xdr:style>
        </xdr:cxnSp>
      </xdr:grpSp>
    </xdr:grpSp>
    <xdr:clientData/>
  </xdr:twoCellAnchor>
  <xdr:twoCellAnchor>
    <xdr:from>
      <xdr:col>3</xdr:col>
      <xdr:colOff>161927</xdr:colOff>
      <xdr:row>37</xdr:row>
      <xdr:rowOff>76200</xdr:rowOff>
    </xdr:from>
    <xdr:to>
      <xdr:col>17</xdr:col>
      <xdr:colOff>552451</xdr:colOff>
      <xdr:row>72</xdr:row>
      <xdr:rowOff>19050</xdr:rowOff>
    </xdr:to>
    <xdr:grpSp>
      <xdr:nvGrpSpPr>
        <xdr:cNvPr id="57" name="Group 56"/>
        <xdr:cNvGrpSpPr/>
      </xdr:nvGrpSpPr>
      <xdr:grpSpPr>
        <a:xfrm>
          <a:off x="1495427" y="6858000"/>
          <a:ext cx="8924924" cy="6610350"/>
          <a:chOff x="6219826" y="10515600"/>
          <a:chExt cx="7429500" cy="6086474"/>
        </a:xfrm>
      </xdr:grpSpPr>
      <xdr:pic>
        <xdr:nvPicPr>
          <xdr:cNvPr id="37" name="Picture 36"/>
          <xdr:cNvPicPr>
            <a:picLocks noChangeAspect="1"/>
          </xdr:cNvPicPr>
        </xdr:nvPicPr>
        <xdr:blipFill>
          <a:blip xmlns:r="http://schemas.openxmlformats.org/officeDocument/2006/relationships" r:embed="rId3"/>
          <a:stretch>
            <a:fillRect/>
          </a:stretch>
        </xdr:blipFill>
        <xdr:spPr>
          <a:xfrm>
            <a:off x="6219826" y="11677650"/>
            <a:ext cx="7429500" cy="3544107"/>
          </a:xfrm>
          <a:prstGeom prst="rect">
            <a:avLst/>
          </a:prstGeom>
        </xdr:spPr>
      </xdr:pic>
      <xdr:sp macro="" textlink="">
        <xdr:nvSpPr>
          <xdr:cNvPr id="41" name="DbgShadowBox"/>
          <xdr:cNvSpPr/>
        </xdr:nvSpPr>
        <xdr:spPr bwMode="auto">
          <a:xfrm>
            <a:off x="6762750" y="15601949"/>
            <a:ext cx="2943225" cy="1000125"/>
          </a:xfrm>
          <a:prstGeom prst="rect">
            <a:avLst/>
          </a:prstGeom>
          <a:solidFill>
            <a:schemeClr val="bg1"/>
          </a:solidFill>
          <a:ln w="12700"/>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l" rtl="0">
              <a:defRPr sz="1000"/>
            </a:pPr>
            <a:r>
              <a:rPr lang="en-US" sz="1050" b="0" i="0" u="none" strike="noStrike" baseline="0">
                <a:solidFill>
                  <a:srgbClr val="1F497D"/>
                </a:solidFill>
                <a:latin typeface="+mn-lt"/>
              </a:rPr>
              <a:t>Clicking on a point in the matrix will plot the corresponding EuroDollar contracts against eachother in the chart below with spreads and 20D average spreads.</a:t>
            </a:r>
          </a:p>
        </xdr:txBody>
      </xdr:sp>
      <xdr:cxnSp macro="">
        <xdr:nvCxnSpPr>
          <xdr:cNvPr id="42" name="DbgGradArrow"/>
          <xdr:cNvCxnSpPr>
            <a:stCxn id="41" idx="0"/>
          </xdr:cNvCxnSpPr>
        </xdr:nvCxnSpPr>
        <xdr:spPr bwMode="auto">
          <a:xfrm flipV="1">
            <a:off x="8234363" y="13163551"/>
            <a:ext cx="528637" cy="2438398"/>
          </a:xfrm>
          <a:prstGeom prst="straightConnector1">
            <a:avLst/>
          </a:prstGeom>
          <a:ln w="12700">
            <a:gradFill>
              <a:gsLst>
                <a:gs pos="0">
                  <a:schemeClr val="tx2"/>
                </a:gs>
                <a:gs pos="50000">
                  <a:srgbClr val="FF0000"/>
                </a:gs>
              </a:gsLst>
              <a:lin ang="5400000" scaled="0"/>
            </a:gradFill>
            <a:tailEnd type="arrow"/>
          </a:ln>
          <a:effectLst>
            <a:outerShdw blurRad="50800" dist="38100" dir="2700000" algn="tl" rotWithShape="0">
              <a:prstClr val="black">
                <a:alpha val="40000"/>
              </a:prstClr>
            </a:outerShdw>
          </a:effectLst>
        </xdr:spPr>
        <xdr:style>
          <a:lnRef idx="1">
            <a:schemeClr val="accent1"/>
          </a:lnRef>
          <a:fillRef idx="0">
            <a:schemeClr val="accent1"/>
          </a:fillRef>
          <a:effectRef idx="0">
            <a:schemeClr val="accent1"/>
          </a:effectRef>
          <a:fontRef idx="minor">
            <a:schemeClr val="tx1"/>
          </a:fontRef>
        </xdr:style>
      </xdr:cxnSp>
      <xdr:cxnSp macro="">
        <xdr:nvCxnSpPr>
          <xdr:cNvPr id="44" name="DbgGradArrow"/>
          <xdr:cNvCxnSpPr>
            <a:stCxn id="41" idx="0"/>
          </xdr:cNvCxnSpPr>
        </xdr:nvCxnSpPr>
        <xdr:spPr bwMode="auto">
          <a:xfrm flipV="1">
            <a:off x="8234363" y="14601825"/>
            <a:ext cx="1271587" cy="1000124"/>
          </a:xfrm>
          <a:prstGeom prst="straightConnector1">
            <a:avLst/>
          </a:prstGeom>
          <a:ln w="12700">
            <a:gradFill>
              <a:gsLst>
                <a:gs pos="0">
                  <a:schemeClr val="tx2"/>
                </a:gs>
                <a:gs pos="50000">
                  <a:srgbClr val="FF0000"/>
                </a:gs>
              </a:gsLst>
              <a:lin ang="5400000" scaled="0"/>
            </a:gradFill>
            <a:tailEnd type="arrow"/>
          </a:ln>
          <a:effectLst>
            <a:outerShdw blurRad="50800" dist="38100" dir="2700000" algn="tl" rotWithShape="0">
              <a:prstClr val="black">
                <a:alpha val="40000"/>
              </a:prstClr>
            </a:outerShdw>
          </a:effectLst>
        </xdr:spPr>
        <xdr:style>
          <a:lnRef idx="1">
            <a:schemeClr val="accent1"/>
          </a:lnRef>
          <a:fillRef idx="0">
            <a:schemeClr val="accent1"/>
          </a:fillRef>
          <a:effectRef idx="0">
            <a:schemeClr val="accent1"/>
          </a:effectRef>
          <a:fontRef idx="minor">
            <a:schemeClr val="tx1"/>
          </a:fontRef>
        </xdr:style>
      </xdr:cxnSp>
      <xdr:sp macro="" textlink="">
        <xdr:nvSpPr>
          <xdr:cNvPr id="49" name="DbgShadowBox"/>
          <xdr:cNvSpPr/>
        </xdr:nvSpPr>
        <xdr:spPr bwMode="auto">
          <a:xfrm>
            <a:off x="10006013" y="10515600"/>
            <a:ext cx="2919412" cy="933450"/>
          </a:xfrm>
          <a:prstGeom prst="rect">
            <a:avLst/>
          </a:prstGeom>
          <a:solidFill>
            <a:schemeClr val="bg1"/>
          </a:solidFill>
          <a:ln w="12700"/>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l" rtl="0">
              <a:defRPr sz="1000"/>
            </a:pPr>
            <a:r>
              <a:rPr lang="en-US" sz="1050" b="0" i="0" u="none" strike="noStrike" baseline="0">
                <a:solidFill>
                  <a:srgbClr val="1F497D"/>
                </a:solidFill>
                <a:latin typeface="+mn-lt"/>
              </a:rPr>
              <a:t>Selections allow users to select:</a:t>
            </a:r>
          </a:p>
          <a:p>
            <a:pPr algn="l" rtl="0">
              <a:defRPr sz="1000"/>
            </a:pPr>
            <a:r>
              <a:rPr lang="en-US" sz="1050" b="0" i="0" u="none" strike="noStrike" baseline="0">
                <a:solidFill>
                  <a:srgbClr val="1F497D"/>
                </a:solidFill>
                <a:latin typeface="+mn-lt"/>
              </a:rPr>
              <a:t>Start and End dates</a:t>
            </a:r>
          </a:p>
          <a:p>
            <a:pPr algn="l" rtl="0">
              <a:defRPr sz="1000"/>
            </a:pPr>
            <a:r>
              <a:rPr lang="en-US" sz="1050" b="0" i="0" u="none" strike="noStrike" baseline="0">
                <a:solidFill>
                  <a:srgbClr val="1F497D"/>
                </a:solidFill>
                <a:latin typeface="+mn-lt"/>
              </a:rPr>
              <a:t>Data Set - Spread or Correlation*</a:t>
            </a:r>
          </a:p>
          <a:p>
            <a:pPr algn="l" rtl="0">
              <a:defRPr sz="1000"/>
            </a:pPr>
            <a:r>
              <a:rPr lang="en-US" sz="1050" b="0" i="0" u="none" strike="noStrike" baseline="0">
                <a:solidFill>
                  <a:srgbClr val="1F497D"/>
                </a:solidFill>
                <a:latin typeface="+mn-lt"/>
              </a:rPr>
              <a:t>*Correlations limited to 300 observable points.</a:t>
            </a:r>
          </a:p>
        </xdr:txBody>
      </xdr:sp>
      <xdr:cxnSp macro="">
        <xdr:nvCxnSpPr>
          <xdr:cNvPr id="50" name="DbgGradArrow"/>
          <xdr:cNvCxnSpPr>
            <a:stCxn id="49" idx="1"/>
          </xdr:cNvCxnSpPr>
        </xdr:nvCxnSpPr>
        <xdr:spPr bwMode="auto">
          <a:xfrm flipH="1">
            <a:off x="7667625" y="10982325"/>
            <a:ext cx="2338388" cy="771525"/>
          </a:xfrm>
          <a:prstGeom prst="straightConnector1">
            <a:avLst/>
          </a:prstGeom>
          <a:ln w="12700">
            <a:gradFill>
              <a:gsLst>
                <a:gs pos="0">
                  <a:schemeClr val="tx2"/>
                </a:gs>
                <a:gs pos="50000">
                  <a:srgbClr val="FF0000"/>
                </a:gs>
              </a:gsLst>
              <a:lin ang="5400000" scaled="0"/>
            </a:gradFill>
            <a:tailEnd type="arrow"/>
          </a:ln>
          <a:effectLst>
            <a:outerShdw blurRad="50800" dist="38100" dir="2700000" algn="tl" rotWithShape="0">
              <a:prstClr val="black">
                <a:alpha val="40000"/>
              </a:prstClr>
            </a:outerShdw>
          </a:effectLst>
        </xdr:spPr>
        <xdr:style>
          <a:lnRef idx="1">
            <a:schemeClr val="accent1"/>
          </a:lnRef>
          <a:fillRef idx="0">
            <a:schemeClr val="accent1"/>
          </a:fillRef>
          <a:effectRef idx="0">
            <a:schemeClr val="accent1"/>
          </a:effectRef>
          <a:fontRef idx="minor">
            <a:schemeClr val="tx1"/>
          </a:fontRef>
        </xdr:style>
      </xdr:cxnSp>
      <xdr:cxnSp macro="">
        <xdr:nvCxnSpPr>
          <xdr:cNvPr id="53" name="DbgGradArrow"/>
          <xdr:cNvCxnSpPr>
            <a:stCxn id="49" idx="1"/>
          </xdr:cNvCxnSpPr>
        </xdr:nvCxnSpPr>
        <xdr:spPr bwMode="auto">
          <a:xfrm flipH="1">
            <a:off x="8772525" y="10982325"/>
            <a:ext cx="1233488" cy="809625"/>
          </a:xfrm>
          <a:prstGeom prst="straightConnector1">
            <a:avLst/>
          </a:prstGeom>
          <a:ln w="12700">
            <a:gradFill>
              <a:gsLst>
                <a:gs pos="0">
                  <a:schemeClr val="tx2"/>
                </a:gs>
                <a:gs pos="50000">
                  <a:srgbClr val="FF0000"/>
                </a:gs>
              </a:gsLst>
              <a:lin ang="5400000" scaled="0"/>
            </a:gradFill>
            <a:tailEnd type="arrow"/>
          </a:ln>
          <a:effectLst>
            <a:outerShdw blurRad="50800" dist="38100" dir="2700000" algn="tl" rotWithShape="0">
              <a:prstClr val="black">
                <a:alpha val="40000"/>
              </a:prstClr>
            </a:outerShdw>
          </a:effectLst>
        </xdr:spPr>
        <xdr:style>
          <a:lnRef idx="1">
            <a:schemeClr val="accent1"/>
          </a:lnRef>
          <a:fillRef idx="0">
            <a:schemeClr val="accent1"/>
          </a:fillRef>
          <a:effectRef idx="0">
            <a:schemeClr val="accent1"/>
          </a:effectRef>
          <a:fontRef idx="minor">
            <a:schemeClr val="tx1"/>
          </a:fontRef>
        </xdr:style>
      </xdr:cxnSp>
      <xdr:cxnSp macro="">
        <xdr:nvCxnSpPr>
          <xdr:cNvPr id="56" name="DbgGradArrow"/>
          <xdr:cNvCxnSpPr>
            <a:stCxn id="49" idx="1"/>
          </xdr:cNvCxnSpPr>
        </xdr:nvCxnSpPr>
        <xdr:spPr bwMode="auto">
          <a:xfrm flipH="1">
            <a:off x="9629775" y="10982325"/>
            <a:ext cx="376238" cy="819150"/>
          </a:xfrm>
          <a:prstGeom prst="straightConnector1">
            <a:avLst/>
          </a:prstGeom>
          <a:ln w="12700">
            <a:gradFill>
              <a:gsLst>
                <a:gs pos="0">
                  <a:schemeClr val="tx2"/>
                </a:gs>
                <a:gs pos="50000">
                  <a:srgbClr val="FF0000"/>
                </a:gs>
              </a:gsLst>
              <a:lin ang="5400000" scaled="0"/>
            </a:gradFill>
            <a:tailEnd type="arrow"/>
          </a:ln>
          <a:effectLst>
            <a:outerShdw blurRad="50800" dist="38100" dir="2700000" algn="tl" rotWithShape="0">
              <a:prstClr val="black">
                <a:alpha val="40000"/>
              </a:prstClr>
            </a:outerShdw>
          </a:effectLst>
        </xdr:spPr>
        <xdr:style>
          <a:lnRef idx="1">
            <a:schemeClr val="accent1"/>
          </a:lnRef>
          <a:fillRef idx="0">
            <a:schemeClr val="accent1"/>
          </a:fillRef>
          <a:effectRef idx="0">
            <a:schemeClr val="accent1"/>
          </a:effectRef>
          <a:fontRef idx="minor">
            <a:schemeClr val="tx1"/>
          </a:fontRef>
        </xdr:style>
      </xdr:cxnSp>
    </xdr:grpSp>
    <xdr:clientData/>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Blp/API/Office%20Tools/BloombergUI.xla"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Sheet1"/>
      <sheetName val="Sheet2"/>
      <sheetName val="Sheet3"/>
    </sheetNames>
    <definedNames>
      <definedName name="getformula"/>
    </definedNames>
    <sheetDataSet>
      <sheetData sheetId="0"/>
      <sheetData sheetId="1"/>
      <sheetData sheetId="2"/>
    </sheetDataSet>
  </externalBook>
</externalLink>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11.xml.rels><?xml version="1.0" encoding="UTF-8" standalone="yes"?>
<Relationships xmlns="http://schemas.openxmlformats.org/package/2006/relationships"><Relationship Id="rId1" Type="http://schemas.openxmlformats.org/officeDocument/2006/relationships/drawing" Target="../drawings/drawing3.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dimension ref="A1:AX87"/>
  <sheetViews>
    <sheetView showGridLines="0" showRowColHeaders="0" tabSelected="1" topLeftCell="E1" zoomScaleNormal="100" workbookViewId="0">
      <pane ySplit="5" topLeftCell="A6" activePane="bottomLeft" state="frozen"/>
      <selection activeCell="E1" sqref="E1"/>
      <selection pane="bottomLeft" activeCell="E6" sqref="E6"/>
    </sheetView>
  </sheetViews>
  <sheetFormatPr defaultRowHeight="15" customHeight="1" x14ac:dyDescent="0.25"/>
  <cols>
    <col min="1" max="3" width="9.140625" hidden="1" customWidth="1"/>
    <col min="4" max="4" width="9.140625" style="9" hidden="1" customWidth="1"/>
    <col min="5" max="5" width="1.7109375" customWidth="1"/>
    <col min="6" max="6" width="16.42578125" customWidth="1"/>
    <col min="7" max="7" width="10.140625" bestFit="1" customWidth="1"/>
    <col min="8" max="8" width="9.7109375" bestFit="1" customWidth="1"/>
    <col min="11" max="11" width="9.7109375" bestFit="1" customWidth="1"/>
  </cols>
  <sheetData>
    <row r="1" spans="1:18" ht="5.0999999999999996" customHeight="1" x14ac:dyDescent="0.25">
      <c r="P1" s="1"/>
      <c r="Q1" s="1"/>
      <c r="R1" s="1"/>
    </row>
    <row r="5" spans="1:18" ht="5.0999999999999996" customHeight="1" x14ac:dyDescent="0.25"/>
    <row r="7" spans="1:18" ht="15.75" hidden="1" thickBot="1" x14ac:dyDescent="0.3"/>
    <row r="8" spans="1:18" x14ac:dyDescent="0.25">
      <c r="A8" s="1" t="s">
        <v>10</v>
      </c>
      <c r="B8" s="1" t="s">
        <v>13</v>
      </c>
      <c r="C8" t="s">
        <v>98</v>
      </c>
      <c r="F8" s="93" t="s">
        <v>100</v>
      </c>
      <c r="G8" s="94"/>
      <c r="H8" s="97" t="s">
        <v>98</v>
      </c>
      <c r="I8" s="97"/>
      <c r="J8" s="97"/>
      <c r="K8" s="97"/>
      <c r="L8" s="97"/>
      <c r="M8" s="98"/>
    </row>
    <row r="9" spans="1:18" x14ac:dyDescent="0.25">
      <c r="A9" s="1" t="s">
        <v>10</v>
      </c>
      <c r="B9" s="1" t="s">
        <v>14</v>
      </c>
      <c r="C9" t="s">
        <v>95</v>
      </c>
      <c r="F9" s="95" t="s">
        <v>81</v>
      </c>
      <c r="G9" s="96"/>
      <c r="H9" s="99" t="s">
        <v>129</v>
      </c>
      <c r="I9" s="99"/>
      <c r="J9" s="99"/>
      <c r="K9" s="99"/>
      <c r="L9" s="99"/>
      <c r="M9" s="100"/>
    </row>
    <row r="10" spans="1:18" x14ac:dyDescent="0.25">
      <c r="A10" s="1" t="s">
        <v>10</v>
      </c>
      <c r="B10" s="1" t="s">
        <v>15</v>
      </c>
      <c r="C10" t="s">
        <v>99</v>
      </c>
    </row>
    <row r="11" spans="1:18" x14ac:dyDescent="0.25">
      <c r="A11" s="1" t="s">
        <v>11</v>
      </c>
      <c r="B11" s="1" t="s">
        <v>14</v>
      </c>
      <c r="F11" s="41" t="s">
        <v>98</v>
      </c>
      <c r="G11" s="23" t="s">
        <v>21</v>
      </c>
      <c r="H11" s="23" t="s">
        <v>28</v>
      </c>
      <c r="I11" s="23" t="s">
        <v>29</v>
      </c>
      <c r="J11" s="24" t="s">
        <v>30</v>
      </c>
      <c r="K11" s="24" t="s">
        <v>35</v>
      </c>
      <c r="L11" s="24" t="s">
        <v>36</v>
      </c>
      <c r="M11" s="24" t="s">
        <v>37</v>
      </c>
      <c r="N11" s="24" t="s">
        <v>38</v>
      </c>
      <c r="O11" s="25" t="s">
        <v>40</v>
      </c>
      <c r="P11" s="11"/>
    </row>
    <row r="12" spans="1:18" x14ac:dyDescent="0.25">
      <c r="A12" s="1" t="s">
        <v>11</v>
      </c>
      <c r="B12" s="1" t="s">
        <v>15</v>
      </c>
      <c r="C12" t="str">
        <f>$F$11&amp;": "&amp;$F12</f>
        <v>TRSY: 03-05 vs 02-07</v>
      </c>
      <c r="F12" s="42" t="str">
        <f>A8&amp;" vs "&amp;B8</f>
        <v>03-05 vs 02-07</v>
      </c>
      <c r="G12" s="26" t="str">
        <f ca="1">TRSYS!H$13</f>
        <v/>
      </c>
      <c r="H12" s="26">
        <f ca="1">MAX(TRSYS!H$13:H$274)</f>
        <v>0.46298543689320393</v>
      </c>
      <c r="I12" s="26">
        <f ca="1">MIN(TRSYS!H$13:H$275)</f>
        <v>0.40125885129819056</v>
      </c>
      <c r="J12" s="26">
        <f ca="1">TRSYS!H$14</f>
        <v>0.41402908468776728</v>
      </c>
      <c r="K12" s="26" t="e">
        <f ca="1">INDEX(CurrentRegionColumn(INDEX(TRSYS!$H$12:$T$12,MATCH(USA!$F12,TRSYS!$H$12:$T$12,0))),MATCH(TRSYS!$K$2,CurrentRegionColumn(TRSYS!$A$12),0))</f>
        <v>#VALUE!</v>
      </c>
      <c r="L12" s="26" t="e">
        <f ca="1">INDEX(CurrentRegionColumn(INDEX(TRSYS!$H$12:$T$12,MATCH(USA!$F12,TRSYS!$H$12:$T$12,0))),MATCH(TRSYS!$K$3,CurrentRegionColumn(TRSYS!$A$12),0))</f>
        <v>#VALUE!</v>
      </c>
      <c r="M12" s="26" t="e">
        <f ca="1">INDEX(CurrentRegionColumn(INDEX(TRSYS!$H$12:$T$12,MATCH(USA!$F12,TRSYS!$H$12:$T$12,0))),MATCH(TRSYS!$K$4,CurrentRegionColumn(TRSYS!$A$12),0))</f>
        <v>#VALUE!</v>
      </c>
      <c r="N12" s="26" t="e">
        <f ca="1">INDEX(CurrentRegionColumn(INDEX(TRSYS!$H$12:$T$12,MATCH(USA!$F12,TRSYS!$H$12:$T$12,0))),MATCH(TRSYS!$K$5,CurrentRegionColumn(TRSYS!$A$12),0))</f>
        <v>#VALUE!</v>
      </c>
      <c r="O12" s="27" t="e">
        <f ca="1">INDEX(CurrentRegionColumn(INDEX(TRSYS!$H$12:$T$12,MATCH(USA!$F12,TRSYS!$H$12:$T$12,0))),MATCH(TRSYS!$K$6,CurrentRegionColumn(TRSYS!$A$12),0))</f>
        <v>#VALUE!</v>
      </c>
    </row>
    <row r="13" spans="1:18" x14ac:dyDescent="0.25">
      <c r="A13" s="1" t="s">
        <v>11</v>
      </c>
      <c r="B13" s="1" t="s">
        <v>17</v>
      </c>
      <c r="C13" t="str">
        <f t="shared" ref="C13:C24" si="0">$F$11&amp;": "&amp;$F13</f>
        <v>TRSY: 03-05 vs 02-10</v>
      </c>
      <c r="F13" s="43" t="str">
        <f>A9&amp;" vs "&amp;B9</f>
        <v>03-05 vs 02-10</v>
      </c>
      <c r="G13" s="28" t="str">
        <f ca="1">TRSYS!I$13</f>
        <v/>
      </c>
      <c r="H13" s="28">
        <f ca="1">MAX(TRSYS!I$13:I$274)</f>
        <v>0.39337748344370871</v>
      </c>
      <c r="I13" s="28">
        <f ca="1">MIN(TRSYS!I$13:I$275)</f>
        <v>0.34068965517241379</v>
      </c>
      <c r="J13" s="28">
        <f ca="1">TRSYS!I$14</f>
        <v>0.34620886981401994</v>
      </c>
      <c r="K13" s="28" t="e">
        <f ca="1">INDEX(CurrentRegionColumn(INDEX(TRSYS!$H$12:$T$12,MATCH(USA!$F13,TRSYS!$H$12:$T$12,0))),MATCH(TRSYS!$K$2,CurrentRegionColumn(TRSYS!$A$12),0))</f>
        <v>#VALUE!</v>
      </c>
      <c r="L13" s="28" t="e">
        <f ca="1">INDEX(CurrentRegionColumn(INDEX(TRSYS!$H$12:$T$12,MATCH(USA!$F13,TRSYS!$H$12:$T$12,0))),MATCH(TRSYS!$K$3,CurrentRegionColumn(TRSYS!$A$12),0))</f>
        <v>#VALUE!</v>
      </c>
      <c r="M13" s="28" t="e">
        <f ca="1">INDEX(CurrentRegionColumn(INDEX(TRSYS!$H$12:$T$12,MATCH(USA!$F13,TRSYS!$H$12:$T$12,0))),MATCH(TRSYS!$K$4,CurrentRegionColumn(TRSYS!$A$12),0))</f>
        <v>#VALUE!</v>
      </c>
      <c r="N13" s="28" t="e">
        <f ca="1">INDEX(CurrentRegionColumn(INDEX(TRSYS!$H$12:$T$12,MATCH(USA!$F13,TRSYS!$H$12:$T$12,0))),MATCH(TRSYS!$K$5,CurrentRegionColumn(TRSYS!$A$12),0))</f>
        <v>#VALUE!</v>
      </c>
      <c r="O13" s="29" t="e">
        <f ca="1">INDEX(CurrentRegionColumn(INDEX(TRSYS!$H$12:$T$12,MATCH(USA!$F13,TRSYS!$H$12:$T$12,0))),MATCH(TRSYS!$K$6,CurrentRegionColumn(TRSYS!$A$12),0))</f>
        <v>#VALUE!</v>
      </c>
    </row>
    <row r="14" spans="1:18" x14ac:dyDescent="0.25">
      <c r="A14" s="1" t="s">
        <v>11</v>
      </c>
      <c r="B14" s="1" t="s">
        <v>16</v>
      </c>
      <c r="C14" t="str">
        <f t="shared" si="0"/>
        <v>TRSY: 03-05 vs 02-30</v>
      </c>
      <c r="F14" s="43" t="str">
        <f>A10&amp;" vs "&amp;B10</f>
        <v>03-05 vs 02-30</v>
      </c>
      <c r="G14" s="28" t="str">
        <f ca="1">TRSYS!J$13</f>
        <v/>
      </c>
      <c r="H14" s="28">
        <f ca="1">MAX(TRSYS!J$13:J$274)</f>
        <v>0.28612716763005785</v>
      </c>
      <c r="I14" s="28">
        <f ca="1">MIN(TRSYS!J$13:J$275)</f>
        <v>0.22978505629477991</v>
      </c>
      <c r="J14" s="28">
        <f ca="1">TRSYS!J$14</f>
        <v>0.23679060665362034</v>
      </c>
      <c r="K14" s="28" t="e">
        <f ca="1">INDEX(CurrentRegionColumn(INDEX(TRSYS!$H$12:$T$12,MATCH(USA!$F14,TRSYS!$H$12:$T$12,0))),MATCH(TRSYS!$K$2,CurrentRegionColumn(TRSYS!$A$12),0))</f>
        <v>#VALUE!</v>
      </c>
      <c r="L14" s="28" t="e">
        <f ca="1">INDEX(CurrentRegionColumn(INDEX(TRSYS!$H$12:$T$12,MATCH(USA!$F14,TRSYS!$H$12:$T$12,0))),MATCH(TRSYS!$K$3,CurrentRegionColumn(TRSYS!$A$12),0))</f>
        <v>#VALUE!</v>
      </c>
      <c r="M14" s="28" t="e">
        <f ca="1">INDEX(CurrentRegionColumn(INDEX(TRSYS!$H$12:$T$12,MATCH(USA!$F14,TRSYS!$H$12:$T$12,0))),MATCH(TRSYS!$K$4,CurrentRegionColumn(TRSYS!$A$12),0))</f>
        <v>#VALUE!</v>
      </c>
      <c r="N14" s="28" t="e">
        <f ca="1">INDEX(CurrentRegionColumn(INDEX(TRSYS!$H$12:$T$12,MATCH(USA!$F14,TRSYS!$H$12:$T$12,0))),MATCH(TRSYS!$K$5,CurrentRegionColumn(TRSYS!$A$12),0))</f>
        <v>#VALUE!</v>
      </c>
      <c r="O14" s="29" t="e">
        <f ca="1">INDEX(CurrentRegionColumn(INDEX(TRSYS!$H$12:$T$12,MATCH(USA!$F14,TRSYS!$H$12:$T$12,0))),MATCH(TRSYS!$K$6,CurrentRegionColumn(TRSYS!$A$12),0))</f>
        <v>#VALUE!</v>
      </c>
    </row>
    <row r="15" spans="1:18" x14ac:dyDescent="0.25">
      <c r="A15" s="1" t="s">
        <v>12</v>
      </c>
      <c r="B15" s="1" t="s">
        <v>15</v>
      </c>
      <c r="C15" t="str">
        <f t="shared" si="0"/>
        <v>TRSY: 05-07 vs 02-10</v>
      </c>
      <c r="F15" s="43" t="str">
        <f t="shared" ref="F15:F24" si="1">A11&amp;" vs "&amp;B11</f>
        <v>05-07 vs 02-10</v>
      </c>
      <c r="G15" s="28" t="str">
        <f ca="1">TRSYS!K$13</f>
        <v/>
      </c>
      <c r="H15" s="28">
        <f ca="1">MAX(TRSYS!K$13:K$274)</f>
        <v>0.25608732157850561</v>
      </c>
      <c r="I15" s="28">
        <f ca="1">MIN(TRSYS!K$13:K$275)</f>
        <v>0.20420223243598157</v>
      </c>
      <c r="J15" s="28">
        <f ca="1">TRSYS!K$14</f>
        <v>0.23676680972818312</v>
      </c>
      <c r="K15" s="28" t="e">
        <f ca="1">INDEX(CurrentRegionColumn(INDEX(TRSYS!$H$12:$T$12,MATCH(USA!$F15,TRSYS!$H$12:$T$12,0))),MATCH(TRSYS!$K$2,CurrentRegionColumn(TRSYS!$A$12),0))</f>
        <v>#VALUE!</v>
      </c>
      <c r="L15" s="28" t="e">
        <f ca="1">INDEX(CurrentRegionColumn(INDEX(TRSYS!$H$12:$T$12,MATCH(USA!$F15,TRSYS!$H$12:$T$12,0))),MATCH(TRSYS!$K$3,CurrentRegionColumn(TRSYS!$A$12),0))</f>
        <v>#VALUE!</v>
      </c>
      <c r="M15" s="28" t="e">
        <f ca="1">INDEX(CurrentRegionColumn(INDEX(TRSYS!$H$12:$T$12,MATCH(USA!$F15,TRSYS!$H$12:$T$12,0))),MATCH(TRSYS!$K$4,CurrentRegionColumn(TRSYS!$A$12),0))</f>
        <v>#VALUE!</v>
      </c>
      <c r="N15" s="28" t="e">
        <f ca="1">INDEX(CurrentRegionColumn(INDEX(TRSYS!$H$12:$T$12,MATCH(USA!$F15,TRSYS!$H$12:$T$12,0))),MATCH(TRSYS!$K$5,CurrentRegionColumn(TRSYS!$A$12),0))</f>
        <v>#VALUE!</v>
      </c>
      <c r="O15" s="29" t="e">
        <f ca="1">INDEX(CurrentRegionColumn(INDEX(TRSYS!$H$12:$T$12,MATCH(USA!$F15,TRSYS!$H$12:$T$12,0))),MATCH(TRSYS!$K$6,CurrentRegionColumn(TRSYS!$A$12),0))</f>
        <v>#VALUE!</v>
      </c>
    </row>
    <row r="16" spans="1:18" x14ac:dyDescent="0.25">
      <c r="A16" s="1" t="s">
        <v>12</v>
      </c>
      <c r="B16" s="1" t="s">
        <v>16</v>
      </c>
      <c r="C16" t="str">
        <f t="shared" si="0"/>
        <v>TRSY: 05-07 vs 02-30</v>
      </c>
      <c r="F16" s="43" t="str">
        <f t="shared" si="1"/>
        <v>05-07 vs 02-30</v>
      </c>
      <c r="G16" s="28" t="str">
        <f ca="1">TRSYS!L$13</f>
        <v/>
      </c>
      <c r="H16" s="28">
        <f ca="1">MAX(TRSYS!L$13:L$274)</f>
        <v>0.18550247116968688</v>
      </c>
      <c r="I16" s="28">
        <f ca="1">MIN(TRSYS!L$13:L$275)</f>
        <v>0.14484536082474234</v>
      </c>
      <c r="J16" s="28">
        <f ca="1">TRSYS!L$14</f>
        <v>0.16193737769080235</v>
      </c>
      <c r="K16" s="28" t="e">
        <f ca="1">INDEX(CurrentRegionColumn(INDEX(TRSYS!$H$12:$T$12,MATCH(USA!$F16,TRSYS!$H$12:$T$12,0))),MATCH(TRSYS!$K$2,CurrentRegionColumn(TRSYS!$A$12),0))</f>
        <v>#VALUE!</v>
      </c>
      <c r="L16" s="28" t="e">
        <f ca="1">INDEX(CurrentRegionColumn(INDEX(TRSYS!$H$12:$T$12,MATCH(USA!$F16,TRSYS!$H$12:$T$12,0))),MATCH(TRSYS!$K$3,CurrentRegionColumn(TRSYS!$A$12),0))</f>
        <v>#VALUE!</v>
      </c>
      <c r="M16" s="28" t="e">
        <f ca="1">INDEX(CurrentRegionColumn(INDEX(TRSYS!$H$12:$T$12,MATCH(USA!$F16,TRSYS!$H$12:$T$12,0))),MATCH(TRSYS!$K$4,CurrentRegionColumn(TRSYS!$A$12),0))</f>
        <v>#VALUE!</v>
      </c>
      <c r="N16" s="28" t="e">
        <f ca="1">INDEX(CurrentRegionColumn(INDEX(TRSYS!$H$12:$T$12,MATCH(USA!$F16,TRSYS!$H$12:$T$12,0))),MATCH(TRSYS!$K$5,CurrentRegionColumn(TRSYS!$A$12),0))</f>
        <v>#VALUE!</v>
      </c>
      <c r="O16" s="29" t="e">
        <f ca="1">INDEX(CurrentRegionColumn(INDEX(TRSYS!$H$12:$T$12,MATCH(USA!$F16,TRSYS!$H$12:$T$12,0))),MATCH(TRSYS!$K$6,CurrentRegionColumn(TRSYS!$A$12),0))</f>
        <v>#VALUE!</v>
      </c>
    </row>
    <row r="17" spans="1:19" x14ac:dyDescent="0.25">
      <c r="A17" s="1" t="s">
        <v>12</v>
      </c>
      <c r="B17" s="1" t="s">
        <v>18</v>
      </c>
      <c r="C17" t="str">
        <f t="shared" si="0"/>
        <v>TRSY: 05-07 vs 03-10</v>
      </c>
      <c r="F17" s="43" t="str">
        <f t="shared" si="1"/>
        <v>05-07 vs 03-10</v>
      </c>
      <c r="G17" s="28" t="str">
        <f ca="1">TRSYS!M$13</f>
        <v/>
      </c>
      <c r="H17" s="28">
        <f ca="1">MAX(TRSYS!M$13:M$274)</f>
        <v>0.33738938053097339</v>
      </c>
      <c r="I17" s="28">
        <f ca="1">MIN(TRSYS!M$13:M$275)</f>
        <v>0.27734095782701917</v>
      </c>
      <c r="J17" s="28">
        <f ca="1">TRSYS!M$14</f>
        <v>0.31704980842911873</v>
      </c>
      <c r="K17" s="28" t="e">
        <f ca="1">INDEX(CurrentRegionColumn(INDEX(TRSYS!$H$12:$T$12,MATCH(USA!$F17,TRSYS!$H$12:$T$12,0))),MATCH(TRSYS!$K$2,CurrentRegionColumn(TRSYS!$A$12),0))</f>
        <v>#VALUE!</v>
      </c>
      <c r="L17" s="28" t="e">
        <f ca="1">INDEX(CurrentRegionColumn(INDEX(TRSYS!$H$12:$T$12,MATCH(USA!$F17,TRSYS!$H$12:$T$12,0))),MATCH(TRSYS!$K$3,CurrentRegionColumn(TRSYS!$A$12),0))</f>
        <v>#VALUE!</v>
      </c>
      <c r="M17" s="28" t="e">
        <f ca="1">INDEX(CurrentRegionColumn(INDEX(TRSYS!$H$12:$T$12,MATCH(USA!$F17,TRSYS!$H$12:$T$12,0))),MATCH(TRSYS!$K$4,CurrentRegionColumn(TRSYS!$A$12),0))</f>
        <v>#VALUE!</v>
      </c>
      <c r="N17" s="28" t="e">
        <f ca="1">INDEX(CurrentRegionColumn(INDEX(TRSYS!$H$12:$T$12,MATCH(USA!$F17,TRSYS!$H$12:$T$12,0))),MATCH(TRSYS!$K$5,CurrentRegionColumn(TRSYS!$A$12),0))</f>
        <v>#VALUE!</v>
      </c>
      <c r="O17" s="29" t="e">
        <f ca="1">INDEX(CurrentRegionColumn(INDEX(TRSYS!$H$12:$T$12,MATCH(USA!$F17,TRSYS!$H$12:$T$12,0))),MATCH(TRSYS!$K$6,CurrentRegionColumn(TRSYS!$A$12),0))</f>
        <v>#VALUE!</v>
      </c>
    </row>
    <row r="18" spans="1:19" x14ac:dyDescent="0.25">
      <c r="A18" s="1" t="s">
        <v>17</v>
      </c>
      <c r="B18" s="1" t="s">
        <v>15</v>
      </c>
      <c r="C18" t="str">
        <f t="shared" si="0"/>
        <v>TRSY: 05-07 vs 03-30</v>
      </c>
      <c r="F18" s="43" t="str">
        <f t="shared" si="1"/>
        <v>05-07 vs 03-30</v>
      </c>
      <c r="G18" s="28" t="str">
        <f ca="1">TRSYS!N$13</f>
        <v/>
      </c>
      <c r="H18" s="28">
        <f ca="1">MAX(TRSYS!N$13:N$274)</f>
        <v>0.2185559006211179</v>
      </c>
      <c r="I18" s="28">
        <f ca="1">MIN(TRSYS!N$13:N$275)</f>
        <v>0.18012820512820518</v>
      </c>
      <c r="J18" s="28">
        <f ca="1">TRSYS!N$14</f>
        <v>0.19585798816568045</v>
      </c>
      <c r="K18" s="28" t="e">
        <f ca="1">INDEX(CurrentRegionColumn(INDEX(TRSYS!$H$12:$T$12,MATCH(USA!$F18,TRSYS!$H$12:$T$12,0))),MATCH(TRSYS!$K$2,CurrentRegionColumn(TRSYS!$A$12),0))</f>
        <v>#VALUE!</v>
      </c>
      <c r="L18" s="28" t="e">
        <f ca="1">INDEX(CurrentRegionColumn(INDEX(TRSYS!$H$12:$T$12,MATCH(USA!$F18,TRSYS!$H$12:$T$12,0))),MATCH(TRSYS!$K$3,CurrentRegionColumn(TRSYS!$A$12),0))</f>
        <v>#VALUE!</v>
      </c>
      <c r="M18" s="28" t="e">
        <f ca="1">INDEX(CurrentRegionColumn(INDEX(TRSYS!$H$12:$T$12,MATCH(USA!$F18,TRSYS!$H$12:$T$12,0))),MATCH(TRSYS!$K$4,CurrentRegionColumn(TRSYS!$A$12),0))</f>
        <v>#VALUE!</v>
      </c>
      <c r="N18" s="28" t="e">
        <f ca="1">INDEX(CurrentRegionColumn(INDEX(TRSYS!$H$12:$T$12,MATCH(USA!$F18,TRSYS!$H$12:$T$12,0))),MATCH(TRSYS!$K$5,CurrentRegionColumn(TRSYS!$A$12),0))</f>
        <v>#VALUE!</v>
      </c>
      <c r="O18" s="29" t="e">
        <f ca="1">INDEX(CurrentRegionColumn(INDEX(TRSYS!$H$12:$T$12,MATCH(USA!$F18,TRSYS!$H$12:$T$12,0))),MATCH(TRSYS!$K$6,CurrentRegionColumn(TRSYS!$A$12),0))</f>
        <v>#VALUE!</v>
      </c>
    </row>
    <row r="19" spans="1:19" x14ac:dyDescent="0.25">
      <c r="A19" s="1" t="s">
        <v>86</v>
      </c>
      <c r="B19" s="1" t="s">
        <v>15</v>
      </c>
      <c r="C19" t="str">
        <f t="shared" si="0"/>
        <v>TRSY: 07-10 vs 02-30</v>
      </c>
      <c r="F19" s="43" t="str">
        <f t="shared" si="1"/>
        <v>07-10 vs 02-30</v>
      </c>
      <c r="G19" s="28" t="str">
        <f ca="1">TRSYS!O$13</f>
        <v/>
      </c>
      <c r="H19" s="28">
        <f ca="1">MAX(TRSYS!O$13:O$274)</f>
        <v>0.15326550705612083</v>
      </c>
      <c r="I19" s="28">
        <f ca="1">MIN(TRSYS!O$13:O$275)</f>
        <v>8.4296724470134782E-2</v>
      </c>
      <c r="J19" s="28">
        <f ca="1">TRSYS!O$14</f>
        <v>0.11203522504892374</v>
      </c>
      <c r="K19" s="28" t="e">
        <f ca="1">INDEX(CurrentRegionColumn(INDEX(TRSYS!$H$12:$T$12,MATCH(USA!$F19,TRSYS!$H$12:$T$12,0))),MATCH(TRSYS!$K$2,CurrentRegionColumn(TRSYS!$A$12),0))</f>
        <v>#VALUE!</v>
      </c>
      <c r="L19" s="28" t="e">
        <f ca="1">INDEX(CurrentRegionColumn(INDEX(TRSYS!$H$12:$T$12,MATCH(USA!$F19,TRSYS!$H$12:$T$12,0))),MATCH(TRSYS!$K$3,CurrentRegionColumn(TRSYS!$A$12),0))</f>
        <v>#VALUE!</v>
      </c>
      <c r="M19" s="28" t="e">
        <f ca="1">INDEX(CurrentRegionColumn(INDEX(TRSYS!$H$12:$T$12,MATCH(USA!$F19,TRSYS!$H$12:$T$12,0))),MATCH(TRSYS!$K$4,CurrentRegionColumn(TRSYS!$A$12),0))</f>
        <v>#VALUE!</v>
      </c>
      <c r="N19" s="28" t="e">
        <f ca="1">INDEX(CurrentRegionColumn(INDEX(TRSYS!$H$12:$T$12,MATCH(USA!$F19,TRSYS!$H$12:$T$12,0))),MATCH(TRSYS!$K$5,CurrentRegionColumn(TRSYS!$A$12),0))</f>
        <v>#VALUE!</v>
      </c>
      <c r="O19" s="29" t="e">
        <f ca="1">INDEX(CurrentRegionColumn(INDEX(TRSYS!$H$12:$T$12,MATCH(USA!$F19,TRSYS!$H$12:$T$12,0))),MATCH(TRSYS!$K$6,CurrentRegionColumn(TRSYS!$A$12),0))</f>
        <v>#VALUE!</v>
      </c>
    </row>
    <row r="20" spans="1:19" x14ac:dyDescent="0.25">
      <c r="A20" s="1" t="s">
        <v>86</v>
      </c>
      <c r="B20" s="1" t="s">
        <v>16</v>
      </c>
      <c r="C20" t="str">
        <f t="shared" si="0"/>
        <v>TRSY: 07-10 vs 03-30</v>
      </c>
      <c r="F20" s="43" t="str">
        <f t="shared" si="1"/>
        <v>07-10 vs 03-30</v>
      </c>
      <c r="G20" s="28" t="str">
        <f ca="1">TRSYS!P$13</f>
        <v/>
      </c>
      <c r="H20" s="28">
        <f ca="1">MAX(TRSYS!P$13:P$274)</f>
        <v>0.17851681957186549</v>
      </c>
      <c r="I20" s="28">
        <f ca="1">MIN(TRSYS!P$13:P$275)</f>
        <v>0.10612492419648259</v>
      </c>
      <c r="J20" s="28">
        <f ca="1">TRSYS!P$14</f>
        <v>0.1355029585798817</v>
      </c>
      <c r="K20" s="28" t="e">
        <f ca="1">INDEX(CurrentRegionColumn(INDEX(TRSYS!$H$12:$T$12,MATCH(USA!$F20,TRSYS!$H$12:$T$12,0))),MATCH(TRSYS!$K$2,CurrentRegionColumn(TRSYS!$A$12),0))</f>
        <v>#VALUE!</v>
      </c>
      <c r="L20" s="28" t="e">
        <f ca="1">INDEX(CurrentRegionColumn(INDEX(TRSYS!$H$12:$T$12,MATCH(USA!$F20,TRSYS!$H$12:$T$12,0))),MATCH(TRSYS!$K$3,CurrentRegionColumn(TRSYS!$A$12),0))</f>
        <v>#VALUE!</v>
      </c>
      <c r="M20" s="28" t="e">
        <f ca="1">INDEX(CurrentRegionColumn(INDEX(TRSYS!$H$12:$T$12,MATCH(USA!$F20,TRSYS!$H$12:$T$12,0))),MATCH(TRSYS!$K$4,CurrentRegionColumn(TRSYS!$A$12),0))</f>
        <v>#VALUE!</v>
      </c>
      <c r="N20" s="28" t="e">
        <f ca="1">INDEX(CurrentRegionColumn(INDEX(TRSYS!$H$12:$T$12,MATCH(USA!$F20,TRSYS!$H$12:$T$12,0))),MATCH(TRSYS!$K$5,CurrentRegionColumn(TRSYS!$A$12),0))</f>
        <v>#VALUE!</v>
      </c>
      <c r="O20" s="29" t="e">
        <f ca="1">INDEX(CurrentRegionColumn(INDEX(TRSYS!$H$12:$T$12,MATCH(USA!$F20,TRSYS!$H$12:$T$12,0))),MATCH(TRSYS!$K$6,CurrentRegionColumn(TRSYS!$A$12),0))</f>
        <v>#VALUE!</v>
      </c>
    </row>
    <row r="21" spans="1:19" x14ac:dyDescent="0.25">
      <c r="C21" t="str">
        <f>$F$11&amp;": "&amp;$F21</f>
        <v>TRSY: 07-10 vs 05-30</v>
      </c>
      <c r="F21" s="43" t="str">
        <f t="shared" si="1"/>
        <v>07-10 vs 05-30</v>
      </c>
      <c r="G21" s="28" t="str">
        <f ca="1">TRSYS!Q$13</f>
        <v/>
      </c>
      <c r="H21" s="28">
        <f ca="1">MAX(TRSYS!Q$13:Q$274)</f>
        <v>0.25054347826086948</v>
      </c>
      <c r="I21" s="28">
        <f ca="1">MIN(TRSYS!Q$13:Q$275)</f>
        <v>0.1613198900091658</v>
      </c>
      <c r="J21" s="28">
        <f ca="1">TRSYS!Q$14</f>
        <v>0.18988391376451086</v>
      </c>
      <c r="K21" s="28" t="e">
        <f ca="1">INDEX(CurrentRegionColumn(INDEX(TRSYS!$H$12:$T$12,MATCH(USA!$F21,TRSYS!$H$12:$T$12,0))),MATCH(TRSYS!$K$2,CurrentRegionColumn(TRSYS!$A$12),0))</f>
        <v>#VALUE!</v>
      </c>
      <c r="L21" s="28" t="e">
        <f ca="1">INDEX(CurrentRegionColumn(INDEX(TRSYS!$H$12:$T$12,MATCH(USA!$F21,TRSYS!$H$12:$T$12,0))),MATCH(TRSYS!$K$3,CurrentRegionColumn(TRSYS!$A$12),0))</f>
        <v>#VALUE!</v>
      </c>
      <c r="M21" s="28" t="e">
        <f ca="1">INDEX(CurrentRegionColumn(INDEX(TRSYS!$H$12:$T$12,MATCH(USA!$F21,TRSYS!$H$12:$T$12,0))),MATCH(TRSYS!$K$4,CurrentRegionColumn(TRSYS!$A$12),0))</f>
        <v>#VALUE!</v>
      </c>
      <c r="N21" s="28" t="e">
        <f ca="1">INDEX(CurrentRegionColumn(INDEX(TRSYS!$H$12:$T$12,MATCH(USA!$F21,TRSYS!$H$12:$T$12,0))),MATCH(TRSYS!$K$5,CurrentRegionColumn(TRSYS!$A$12),0))</f>
        <v>#VALUE!</v>
      </c>
      <c r="O21" s="29" t="e">
        <f ca="1">INDEX(CurrentRegionColumn(INDEX(TRSYS!$H$12:$T$12,MATCH(USA!$F21,TRSYS!$H$12:$T$12,0))),MATCH(TRSYS!$K$6,CurrentRegionColumn(TRSYS!$A$12),0))</f>
        <v>#VALUE!</v>
      </c>
    </row>
    <row r="22" spans="1:19" x14ac:dyDescent="0.25">
      <c r="C22" t="str">
        <f t="shared" si="0"/>
        <v>TRSY: 03-10 vs 02-30</v>
      </c>
      <c r="F22" s="43" t="str">
        <f t="shared" si="1"/>
        <v>03-10 vs 02-30</v>
      </c>
      <c r="G22" s="28" t="str">
        <f ca="1">TRSYS!R$13</f>
        <v/>
      </c>
      <c r="H22" s="28">
        <f ca="1">MAX(TRSYS!R$13:R$274)</f>
        <v>0.59376037172253571</v>
      </c>
      <c r="I22" s="28">
        <f ca="1">MIN(TRSYS!R$13:R$275)</f>
        <v>0.49453409682457045</v>
      </c>
      <c r="J22" s="28">
        <f ca="1">TRSYS!R$14</f>
        <v>0.51076320939334652</v>
      </c>
      <c r="K22" s="28" t="e">
        <f ca="1">INDEX(CurrentRegionColumn(INDEX(TRSYS!$H$12:$T$12,MATCH(USA!$F22,TRSYS!$H$12:$T$12,0))),MATCH(TRSYS!$K$2,CurrentRegionColumn(TRSYS!$A$12),0))</f>
        <v>#VALUE!</v>
      </c>
      <c r="L22" s="28" t="e">
        <f ca="1">INDEX(CurrentRegionColumn(INDEX(TRSYS!$H$12:$T$12,MATCH(USA!$F22,TRSYS!$H$12:$T$12,0))),MATCH(TRSYS!$K$3,CurrentRegionColumn(TRSYS!$A$12),0))</f>
        <v>#VALUE!</v>
      </c>
      <c r="M22" s="28" t="e">
        <f ca="1">INDEX(CurrentRegionColumn(INDEX(TRSYS!$H$12:$T$12,MATCH(USA!$F22,TRSYS!$H$12:$T$12,0))),MATCH(TRSYS!$K$4,CurrentRegionColumn(TRSYS!$A$12),0))</f>
        <v>#VALUE!</v>
      </c>
      <c r="N22" s="28" t="e">
        <f ca="1">INDEX(CurrentRegionColumn(INDEX(TRSYS!$H$12:$T$12,MATCH(USA!$F22,TRSYS!$H$12:$T$12,0))),MATCH(TRSYS!$K$5,CurrentRegionColumn(TRSYS!$A$12),0))</f>
        <v>#VALUE!</v>
      </c>
      <c r="O22" s="29" t="e">
        <f ca="1">INDEX(CurrentRegionColumn(INDEX(TRSYS!$H$12:$T$12,MATCH(USA!$F22,TRSYS!$H$12:$T$12,0))),MATCH(TRSYS!$K$6,CurrentRegionColumn(TRSYS!$A$12),0))</f>
        <v>#VALUE!</v>
      </c>
    </row>
    <row r="23" spans="1:19" x14ac:dyDescent="0.25">
      <c r="A23" s="1" t="s">
        <v>10</v>
      </c>
      <c r="B23" s="1" t="s">
        <v>13</v>
      </c>
      <c r="C23" t="str">
        <f t="shared" si="0"/>
        <v>TRSY: 05-10 vs 02-30</v>
      </c>
      <c r="F23" s="43" t="str">
        <f t="shared" si="1"/>
        <v>05-10 vs 02-30</v>
      </c>
      <c r="G23" s="28" t="str">
        <f ca="1">TRSYS!S$13</f>
        <v/>
      </c>
      <c r="H23" s="28">
        <f ca="1">MAX(TRSYS!S$13:S$274)</f>
        <v>0.33151651170246882</v>
      </c>
      <c r="I23" s="28">
        <f ca="1">MIN(TRSYS!S$13:S$275)</f>
        <v>0.2355491329479768</v>
      </c>
      <c r="J23" s="28">
        <f ca="1">TRSYS!S$14</f>
        <v>0.27397260273972612</v>
      </c>
      <c r="K23" s="28" t="e">
        <f ca="1">INDEX(CurrentRegionColumn(INDEX(TRSYS!$H$12:$T$12,MATCH(USA!$F23,TRSYS!$H$12:$T$12,0))),MATCH(TRSYS!$K$2,CurrentRegionColumn(TRSYS!$A$12),0))</f>
        <v>#VALUE!</v>
      </c>
      <c r="L23" s="28" t="e">
        <f ca="1">INDEX(CurrentRegionColumn(INDEX(TRSYS!$H$12:$T$12,MATCH(USA!$F23,TRSYS!$H$12:$T$12,0))),MATCH(TRSYS!$K$3,CurrentRegionColumn(TRSYS!$A$12),0))</f>
        <v>#VALUE!</v>
      </c>
      <c r="M23" s="28" t="e">
        <f ca="1">INDEX(CurrentRegionColumn(INDEX(TRSYS!$H$12:$T$12,MATCH(USA!$F23,TRSYS!$H$12:$T$12,0))),MATCH(TRSYS!$K$4,CurrentRegionColumn(TRSYS!$A$12),0))</f>
        <v>#VALUE!</v>
      </c>
      <c r="N23" s="28" t="e">
        <f ca="1">INDEX(CurrentRegionColumn(INDEX(TRSYS!$H$12:$T$12,MATCH(USA!$F23,TRSYS!$H$12:$T$12,0))),MATCH(TRSYS!$K$5,CurrentRegionColumn(TRSYS!$A$12),0))</f>
        <v>#VALUE!</v>
      </c>
      <c r="O23" s="29" t="e">
        <f ca="1">INDEX(CurrentRegionColumn(INDEX(TRSYS!$H$12:$T$12,MATCH(USA!$F23,TRSYS!$H$12:$T$12,0))),MATCH(TRSYS!$K$6,CurrentRegionColumn(TRSYS!$A$12),0))</f>
        <v>#VALUE!</v>
      </c>
    </row>
    <row r="24" spans="1:19" x14ac:dyDescent="0.25">
      <c r="A24" s="1" t="s">
        <v>10</v>
      </c>
      <c r="B24" s="1" t="s">
        <v>14</v>
      </c>
      <c r="C24" t="str">
        <f t="shared" si="0"/>
        <v>TRSY: 05-10 vs 03-30</v>
      </c>
      <c r="F24" s="44" t="str">
        <f t="shared" si="1"/>
        <v>05-10 vs 03-30</v>
      </c>
      <c r="G24" s="30" t="str">
        <f ca="1">TRSYS!T$13</f>
        <v/>
      </c>
      <c r="H24" s="30">
        <f ca="1">MAX(TRSYS!T$13:T$274)</f>
        <v>0.38916070756492294</v>
      </c>
      <c r="I24" s="30">
        <f ca="1">MIN(TRSYS!T$13:T$275)</f>
        <v>0.29654335961188588</v>
      </c>
      <c r="J24" s="30">
        <f ca="1">TRSYS!T$14</f>
        <v>0.33136094674556216</v>
      </c>
      <c r="K24" s="30" t="e">
        <f ca="1">INDEX(CurrentRegionColumn(INDEX(TRSYS!$H$12:$T$12,MATCH(USA!$F24,TRSYS!$H$12:$T$12,0))),MATCH(TRSYS!$K$2,CurrentRegionColumn(TRSYS!$A$12),0))</f>
        <v>#VALUE!</v>
      </c>
      <c r="L24" s="30" t="e">
        <f ca="1">INDEX(CurrentRegionColumn(INDEX(TRSYS!$H$12:$T$12,MATCH(USA!$F24,TRSYS!$H$12:$T$12,0))),MATCH(TRSYS!$K$3,CurrentRegionColumn(TRSYS!$A$12),0))</f>
        <v>#VALUE!</v>
      </c>
      <c r="M24" s="30" t="e">
        <f ca="1">INDEX(CurrentRegionColumn(INDEX(TRSYS!$H$12:$T$12,MATCH(USA!$F24,TRSYS!$H$12:$T$12,0))),MATCH(TRSYS!$K$4,CurrentRegionColumn(TRSYS!$A$12),0))</f>
        <v>#VALUE!</v>
      </c>
      <c r="N24" s="30" t="e">
        <f ca="1">INDEX(CurrentRegionColumn(INDEX(TRSYS!$H$12:$T$12,MATCH(USA!$F24,TRSYS!$H$12:$T$12,0))),MATCH(TRSYS!$K$5,CurrentRegionColumn(TRSYS!$A$12),0))</f>
        <v>#VALUE!</v>
      </c>
      <c r="O24" s="31" t="e">
        <f ca="1">INDEX(CurrentRegionColumn(INDEX(TRSYS!$H$12:$T$12,MATCH(USA!$F24,TRSYS!$H$12:$T$12,0))),MATCH(TRSYS!$K$6,CurrentRegionColumn(TRSYS!$A$12),0))</f>
        <v>#VALUE!</v>
      </c>
    </row>
    <row r="25" spans="1:19" x14ac:dyDescent="0.25">
      <c r="A25" s="1" t="s">
        <v>10</v>
      </c>
      <c r="B25" s="1" t="s">
        <v>15</v>
      </c>
      <c r="C25" s="1"/>
      <c r="D25" s="10"/>
      <c r="P25" s="1"/>
      <c r="Q25" s="1"/>
      <c r="R25" s="1"/>
      <c r="S25" s="1"/>
    </row>
    <row r="26" spans="1:19" ht="15" hidden="1" customHeight="1" x14ac:dyDescent="0.25">
      <c r="A26" s="1" t="s">
        <v>11</v>
      </c>
      <c r="B26" s="1" t="s">
        <v>14</v>
      </c>
      <c r="C26" s="1"/>
      <c r="D26" s="10"/>
      <c r="F26" s="45" t="s">
        <v>95</v>
      </c>
      <c r="G26" s="38" t="s">
        <v>21</v>
      </c>
      <c r="H26" s="38" t="s">
        <v>28</v>
      </c>
      <c r="I26" s="38" t="s">
        <v>29</v>
      </c>
      <c r="J26" s="39" t="s">
        <v>30</v>
      </c>
      <c r="K26" s="39" t="s">
        <v>35</v>
      </c>
      <c r="L26" s="39" t="s">
        <v>36</v>
      </c>
      <c r="M26" s="39" t="s">
        <v>37</v>
      </c>
      <c r="N26" s="39" t="s">
        <v>38</v>
      </c>
      <c r="O26" s="40" t="s">
        <v>40</v>
      </c>
      <c r="P26" s="3"/>
      <c r="Q26" s="3"/>
      <c r="R26" s="3"/>
      <c r="S26" s="3"/>
    </row>
    <row r="27" spans="1:19" ht="15" hidden="1" customHeight="1" x14ac:dyDescent="0.25">
      <c r="A27" s="1" t="s">
        <v>11</v>
      </c>
      <c r="B27" s="1" t="s">
        <v>15</v>
      </c>
      <c r="C27" t="str">
        <f>$F$26&amp;": "&amp;$F27</f>
        <v>SWAPS: 03-05 vs 02-07</v>
      </c>
      <c r="D27" s="10"/>
      <c r="F27" s="46" t="str">
        <f>A23&amp;" vs "&amp;B23</f>
        <v>03-05 vs 02-07</v>
      </c>
      <c r="G27" s="32" t="str">
        <f ca="1">SWPS!H$13</f>
        <v/>
      </c>
      <c r="H27" s="32">
        <f ca="1">MAX(SWPS!H$13:H$274)</f>
        <v>0.46565692145121534</v>
      </c>
      <c r="I27" s="32">
        <f ca="1">MIN(SWPS!H$13:H$275)</f>
        <v>0.40615224191866528</v>
      </c>
      <c r="J27" s="32">
        <f ca="1">SWPS!H$14</f>
        <v>0.42581104444218437</v>
      </c>
      <c r="K27" s="32" t="e">
        <f ca="1">INDEX(CurrentRegionColumn(INDEX(SWPS!$H$12:$T$12,MATCH(USA!$F27,SWPS!$H$12:$T$12,0))),MATCH(SWPS!$K$2,CurrentRegionColumn(SWPS!$A$12),0))</f>
        <v>#VALUE!</v>
      </c>
      <c r="L27" s="32" t="e">
        <f ca="1">INDEX(CurrentRegionColumn(INDEX(SWPS!$H$12:$T$12,MATCH(USA!$F27,SWPS!$H$12:$T$12,0))),MATCH(SWPS!$K$3,CurrentRegionColumn(SWPS!$A$12),0))</f>
        <v>#VALUE!</v>
      </c>
      <c r="M27" s="32" t="e">
        <f ca="1">INDEX(CurrentRegionColumn(INDEX(SWPS!$H$12:$T$12,MATCH(USA!$F27,SWPS!$H$12:$T$12,0))),MATCH(SWPS!$K$4,CurrentRegionColumn(SWPS!$A$12),0))</f>
        <v>#VALUE!</v>
      </c>
      <c r="N27" s="32" t="e">
        <f ca="1">INDEX(CurrentRegionColumn(INDEX(SWPS!$H$12:$T$12,MATCH(USA!$F27,SWPS!$H$12:$T$12,0))),MATCH(SWPS!$K$5,CurrentRegionColumn(SWPS!$A$12),0))</f>
        <v>#VALUE!</v>
      </c>
      <c r="O27" s="33" t="e">
        <f ca="1">INDEX(CurrentRegionColumn(INDEX(SWPS!$H$12:$T$12,MATCH(USA!$F27,SWPS!$H$12:$T$12,0))),MATCH(SWPS!$K$6,CurrentRegionColumn(SWPS!$A$12),0))</f>
        <v>#VALUE!</v>
      </c>
    </row>
    <row r="28" spans="1:19" ht="15" hidden="1" customHeight="1" x14ac:dyDescent="0.25">
      <c r="A28" s="1" t="s">
        <v>11</v>
      </c>
      <c r="B28" s="1" t="s">
        <v>17</v>
      </c>
      <c r="C28" t="str">
        <f t="shared" ref="C28:C39" si="2">$F$26&amp;": "&amp;$F28</f>
        <v>SWAPS: 03-05 vs 02-10</v>
      </c>
      <c r="D28" s="10"/>
      <c r="F28" s="47" t="str">
        <f t="shared" ref="F28:F39" si="3">A24&amp;" vs "&amp;B24</f>
        <v>03-05 vs 02-10</v>
      </c>
      <c r="G28" s="34" t="str">
        <f ca="1">SWPS!I$13</f>
        <v/>
      </c>
      <c r="H28" s="34">
        <f ca="1">MAX(SWPS!I$13:I$274)</f>
        <v>0.37461037120997454</v>
      </c>
      <c r="I28" s="34">
        <f ca="1">MIN(SWPS!I$13:I$275)</f>
        <v>0.32243377483443708</v>
      </c>
      <c r="J28" s="34">
        <f ca="1">SWPS!I$14</f>
        <v>0.34319672131147538</v>
      </c>
      <c r="K28" s="34" t="e">
        <f ca="1">INDEX(CurrentRegionColumn(INDEX(SWPS!$H$12:$T$12,MATCH(USA!$F28,SWPS!$H$12:$T$12,0))),MATCH(SWPS!$K$2,CurrentRegionColumn(SWPS!$A$12),0))</f>
        <v>#VALUE!</v>
      </c>
      <c r="L28" s="34" t="e">
        <f ca="1">INDEX(CurrentRegionColumn(INDEX(SWPS!$H$12:$T$12,MATCH(USA!$F28,SWPS!$H$12:$T$12,0))),MATCH(SWPS!$K$3,CurrentRegionColumn(SWPS!$A$12),0))</f>
        <v>#VALUE!</v>
      </c>
      <c r="M28" s="34" t="e">
        <f ca="1">INDEX(CurrentRegionColumn(INDEX(SWPS!$H$12:$T$12,MATCH(USA!$F28,SWPS!$H$12:$T$12,0))),MATCH(SWPS!$K$4,CurrentRegionColumn(SWPS!$A$12),0))</f>
        <v>#VALUE!</v>
      </c>
      <c r="N28" s="34" t="e">
        <f ca="1">INDEX(CurrentRegionColumn(INDEX(SWPS!$H$12:$T$12,MATCH(USA!$F28,SWPS!$H$12:$T$12,0))),MATCH(SWPS!$K$5,CurrentRegionColumn(SWPS!$A$12),0))</f>
        <v>#VALUE!</v>
      </c>
      <c r="O28" s="35" t="e">
        <f ca="1">INDEX(CurrentRegionColumn(INDEX(SWPS!$H$12:$T$12,MATCH(USA!$F28,SWPS!$H$12:$T$12,0))),MATCH(SWPS!$K$6,CurrentRegionColumn(SWPS!$A$12),0))</f>
        <v>#VALUE!</v>
      </c>
      <c r="P28" s="1"/>
      <c r="Q28" s="1"/>
      <c r="R28" s="1"/>
    </row>
    <row r="29" spans="1:19" ht="15" hidden="1" customHeight="1" x14ac:dyDescent="0.25">
      <c r="A29" s="1" t="s">
        <v>11</v>
      </c>
      <c r="B29" s="1" t="s">
        <v>16</v>
      </c>
      <c r="C29" t="str">
        <f t="shared" si="2"/>
        <v>SWAPS: 03-05 vs 02-30</v>
      </c>
      <c r="D29" s="10"/>
      <c r="F29" s="47" t="str">
        <f t="shared" si="3"/>
        <v>03-05 vs 02-30</v>
      </c>
      <c r="G29" s="34" t="str">
        <f ca="1">SWPS!J$13</f>
        <v/>
      </c>
      <c r="H29" s="34">
        <f ca="1">MAX(SWPS!J$13:J$274)</f>
        <v>0.28133645456480105</v>
      </c>
      <c r="I29" s="34">
        <f ca="1">MIN(SWPS!J$13:J$275)</f>
        <v>0.23352566049195261</v>
      </c>
      <c r="J29" s="34">
        <f ca="1">SWPS!J$14</f>
        <v>0.259610615079365</v>
      </c>
      <c r="K29" s="34" t="e">
        <f ca="1">INDEX(CurrentRegionColumn(INDEX(SWPS!$H$12:$T$12,MATCH(USA!$F29,SWPS!$H$12:$T$12,0))),MATCH(SWPS!$K$2,CurrentRegionColumn(SWPS!$A$12),0))</f>
        <v>#VALUE!</v>
      </c>
      <c r="L29" s="34" t="e">
        <f ca="1">INDEX(CurrentRegionColumn(INDEX(SWPS!$H$12:$T$12,MATCH(USA!$F29,SWPS!$H$12:$T$12,0))),MATCH(SWPS!$K$3,CurrentRegionColumn(SWPS!$A$12),0))</f>
        <v>#VALUE!</v>
      </c>
      <c r="M29" s="34" t="e">
        <f ca="1">INDEX(CurrentRegionColumn(INDEX(SWPS!$H$12:$T$12,MATCH(USA!$F29,SWPS!$H$12:$T$12,0))),MATCH(SWPS!$K$4,CurrentRegionColumn(SWPS!$A$12),0))</f>
        <v>#VALUE!</v>
      </c>
      <c r="N29" s="34" t="e">
        <f ca="1">INDEX(CurrentRegionColumn(INDEX(SWPS!$H$12:$T$12,MATCH(USA!$F29,SWPS!$H$12:$T$12,0))),MATCH(SWPS!$K$5,CurrentRegionColumn(SWPS!$A$12),0))</f>
        <v>#VALUE!</v>
      </c>
      <c r="O29" s="35" t="e">
        <f ca="1">INDEX(CurrentRegionColumn(INDEX(SWPS!$H$12:$T$12,MATCH(USA!$F29,SWPS!$H$12:$T$12,0))),MATCH(SWPS!$K$6,CurrentRegionColumn(SWPS!$A$12),0))</f>
        <v>#VALUE!</v>
      </c>
      <c r="P29" s="3"/>
      <c r="Q29" s="3"/>
      <c r="R29" s="3"/>
    </row>
    <row r="30" spans="1:19" ht="15" hidden="1" customHeight="1" x14ac:dyDescent="0.25">
      <c r="A30" s="1" t="s">
        <v>12</v>
      </c>
      <c r="B30" s="1" t="s">
        <v>15</v>
      </c>
      <c r="C30" t="str">
        <f t="shared" si="2"/>
        <v>SWAPS: 05-07 vs 02-10</v>
      </c>
      <c r="D30" s="10"/>
      <c r="F30" s="47" t="str">
        <f t="shared" si="3"/>
        <v>05-07 vs 02-10</v>
      </c>
      <c r="G30" s="34" t="str">
        <f ca="1">SWPS!K$13</f>
        <v/>
      </c>
      <c r="H30" s="34">
        <f ca="1">MAX(SWPS!K$13:K$274)</f>
        <v>0.24515824279641008</v>
      </c>
      <c r="I30" s="34">
        <f ca="1">MIN(SWPS!K$13:K$275)</f>
        <v>0.1874912843397015</v>
      </c>
      <c r="J30" s="34">
        <f ca="1">SWPS!K$14</f>
        <v>0.21377049180327884</v>
      </c>
      <c r="K30" s="34" t="e">
        <f ca="1">INDEX(CurrentRegionColumn(INDEX(SWPS!$H$12:$T$12,MATCH(USA!$F30,SWPS!$H$12:$T$12,0))),MATCH(SWPS!$K$2,CurrentRegionColumn(SWPS!$A$12),0))</f>
        <v>#VALUE!</v>
      </c>
      <c r="L30" s="34" t="e">
        <f ca="1">INDEX(CurrentRegionColumn(INDEX(SWPS!$H$12:$T$12,MATCH(USA!$F30,SWPS!$H$12:$T$12,0))),MATCH(SWPS!$K$3,CurrentRegionColumn(SWPS!$A$12),0))</f>
        <v>#VALUE!</v>
      </c>
      <c r="M30" s="34" t="e">
        <f ca="1">INDEX(CurrentRegionColumn(INDEX(SWPS!$H$12:$T$12,MATCH(USA!$F30,SWPS!$H$12:$T$12,0))),MATCH(SWPS!$K$4,CurrentRegionColumn(SWPS!$A$12),0))</f>
        <v>#VALUE!</v>
      </c>
      <c r="N30" s="34" t="e">
        <f ca="1">INDEX(CurrentRegionColumn(INDEX(SWPS!$H$12:$T$12,MATCH(USA!$F30,SWPS!$H$12:$T$12,0))),MATCH(SWPS!$K$5,CurrentRegionColumn(SWPS!$A$12),0))</f>
        <v>#VALUE!</v>
      </c>
      <c r="O30" s="35" t="e">
        <f ca="1">INDEX(CurrentRegionColumn(INDEX(SWPS!$H$12:$T$12,MATCH(USA!$F30,SWPS!$H$12:$T$12,0))),MATCH(SWPS!$K$6,CurrentRegionColumn(SWPS!$A$12),0))</f>
        <v>#VALUE!</v>
      </c>
    </row>
    <row r="31" spans="1:19" ht="15" hidden="1" customHeight="1" x14ac:dyDescent="0.25">
      <c r="A31" s="1" t="s">
        <v>12</v>
      </c>
      <c r="B31" s="1" t="s">
        <v>16</v>
      </c>
      <c r="C31" t="str">
        <f t="shared" si="2"/>
        <v>SWAPS: 05-07 vs 02-30</v>
      </c>
      <c r="D31" s="10"/>
      <c r="F31" s="47" t="str">
        <f t="shared" si="3"/>
        <v>05-07 vs 02-30</v>
      </c>
      <c r="G31" s="34" t="str">
        <f ca="1">SWPS!L$13</f>
        <v/>
      </c>
      <c r="H31" s="34">
        <f ca="1">MAX(SWPS!L$13:L$274)</f>
        <v>0.18439286915573497</v>
      </c>
      <c r="I31" s="34">
        <f ca="1">MIN(SWPS!L$13:L$275)</f>
        <v>0.14236696364074158</v>
      </c>
      <c r="J31" s="34">
        <f ca="1">SWPS!L$14</f>
        <v>0.1617063492063493</v>
      </c>
      <c r="K31" s="34" t="e">
        <f ca="1">INDEX(CurrentRegionColumn(INDEX(SWPS!$H$12:$T$12,MATCH(USA!$F31,SWPS!$H$12:$T$12,0))),MATCH(SWPS!$K$2,CurrentRegionColumn(SWPS!$A$12),0))</f>
        <v>#VALUE!</v>
      </c>
      <c r="L31" s="34" t="e">
        <f ca="1">INDEX(CurrentRegionColumn(INDEX(SWPS!$H$12:$T$12,MATCH(USA!$F31,SWPS!$H$12:$T$12,0))),MATCH(SWPS!$K$3,CurrentRegionColumn(SWPS!$A$12),0))</f>
        <v>#VALUE!</v>
      </c>
      <c r="M31" s="34" t="e">
        <f ca="1">INDEX(CurrentRegionColumn(INDEX(SWPS!$H$12:$T$12,MATCH(USA!$F31,SWPS!$H$12:$T$12,0))),MATCH(SWPS!$K$4,CurrentRegionColumn(SWPS!$A$12),0))</f>
        <v>#VALUE!</v>
      </c>
      <c r="N31" s="34" t="e">
        <f ca="1">INDEX(CurrentRegionColumn(INDEX(SWPS!$H$12:$T$12,MATCH(USA!$F31,SWPS!$H$12:$T$12,0))),MATCH(SWPS!$K$5,CurrentRegionColumn(SWPS!$A$12),0))</f>
        <v>#VALUE!</v>
      </c>
      <c r="O31" s="35" t="e">
        <f ca="1">INDEX(CurrentRegionColumn(INDEX(SWPS!$H$12:$T$12,MATCH(USA!$F31,SWPS!$H$12:$T$12,0))),MATCH(SWPS!$K$6,CurrentRegionColumn(SWPS!$A$12),0))</f>
        <v>#VALUE!</v>
      </c>
    </row>
    <row r="32" spans="1:19" ht="15" hidden="1" customHeight="1" x14ac:dyDescent="0.25">
      <c r="A32" s="1" t="s">
        <v>12</v>
      </c>
      <c r="B32" s="1" t="s">
        <v>18</v>
      </c>
      <c r="C32" t="str">
        <f t="shared" si="2"/>
        <v>SWAPS: 05-07 vs 03-10</v>
      </c>
      <c r="D32" s="10"/>
      <c r="F32" s="47" t="str">
        <f t="shared" si="3"/>
        <v>05-07 vs 03-10</v>
      </c>
      <c r="G32" s="34" t="str">
        <f ca="1">SWPS!M$13</f>
        <v/>
      </c>
      <c r="H32" s="34">
        <f ca="1">MAX(SWPS!M$13:M$274)</f>
        <v>0.29982668977469679</v>
      </c>
      <c r="I32" s="34">
        <f ca="1">MIN(SWPS!M$13:M$275)</f>
        <v>0.26109331003009995</v>
      </c>
      <c r="J32" s="34">
        <f ca="1">SWPS!M$14</f>
        <v>0.28465400567561688</v>
      </c>
      <c r="K32" s="34" t="e">
        <f ca="1">INDEX(CurrentRegionColumn(INDEX(SWPS!$H$12:$T$12,MATCH(USA!$F32,SWPS!$H$12:$T$12,0))),MATCH(SWPS!$K$2,CurrentRegionColumn(SWPS!$A$12),0))</f>
        <v>#VALUE!</v>
      </c>
      <c r="L32" s="34" t="e">
        <f ca="1">INDEX(CurrentRegionColumn(INDEX(SWPS!$H$12:$T$12,MATCH(USA!$F32,SWPS!$H$12:$T$12,0))),MATCH(SWPS!$K$3,CurrentRegionColumn(SWPS!$A$12),0))</f>
        <v>#VALUE!</v>
      </c>
      <c r="M32" s="34" t="e">
        <f ca="1">INDEX(CurrentRegionColumn(INDEX(SWPS!$H$12:$T$12,MATCH(USA!$F32,SWPS!$H$12:$T$12,0))),MATCH(SWPS!$K$4,CurrentRegionColumn(SWPS!$A$12),0))</f>
        <v>#VALUE!</v>
      </c>
      <c r="N32" s="34" t="e">
        <f ca="1">INDEX(CurrentRegionColumn(INDEX(SWPS!$H$12:$T$12,MATCH(USA!$F32,SWPS!$H$12:$T$12,0))),MATCH(SWPS!$K$5,CurrentRegionColumn(SWPS!$A$12),0))</f>
        <v>#VALUE!</v>
      </c>
      <c r="O32" s="35" t="e">
        <f ca="1">INDEX(CurrentRegionColumn(INDEX(SWPS!$H$12:$T$12,MATCH(USA!$F32,SWPS!$H$12:$T$12,0))),MATCH(SWPS!$K$6,CurrentRegionColumn(SWPS!$A$12),0))</f>
        <v>#VALUE!</v>
      </c>
    </row>
    <row r="33" spans="1:50" ht="15" hidden="1" customHeight="1" x14ac:dyDescent="0.25">
      <c r="A33" s="1" t="s">
        <v>17</v>
      </c>
      <c r="B33" s="1" t="s">
        <v>15</v>
      </c>
      <c r="C33" t="str">
        <f t="shared" si="2"/>
        <v>SWAPS: 05-07 vs 03-30</v>
      </c>
      <c r="F33" s="47" t="str">
        <f t="shared" si="3"/>
        <v>05-07 vs 03-30</v>
      </c>
      <c r="G33" s="34" t="str">
        <f ca="1">SWPS!N$13</f>
        <v/>
      </c>
      <c r="H33" s="34">
        <f ca="1">MAX(SWPS!N$13:N$274)</f>
        <v>0.2150816070307596</v>
      </c>
      <c r="I33" s="34">
        <f ca="1">MIN(SWPS!N$13:N$275)</f>
        <v>0.18082524271844644</v>
      </c>
      <c r="J33" s="34">
        <f ca="1">SWPS!N$14</f>
        <v>0.19923605805958755</v>
      </c>
      <c r="K33" s="34" t="e">
        <f ca="1">INDEX(CurrentRegionColumn(INDEX(SWPS!$H$12:$T$12,MATCH(USA!$F33,SWPS!$H$12:$T$12,0))),MATCH(SWPS!$K$2,CurrentRegionColumn(SWPS!$A$12),0))</f>
        <v>#VALUE!</v>
      </c>
      <c r="L33" s="34" t="e">
        <f ca="1">INDEX(CurrentRegionColumn(INDEX(SWPS!$H$12:$T$12,MATCH(USA!$F33,SWPS!$H$12:$T$12,0))),MATCH(SWPS!$K$3,CurrentRegionColumn(SWPS!$A$12),0))</f>
        <v>#VALUE!</v>
      </c>
      <c r="M33" s="34" t="e">
        <f ca="1">INDEX(CurrentRegionColumn(INDEX(SWPS!$H$12:$T$12,MATCH(USA!$F33,SWPS!$H$12:$T$12,0))),MATCH(SWPS!$K$4,CurrentRegionColumn(SWPS!$A$12),0))</f>
        <v>#VALUE!</v>
      </c>
      <c r="N33" s="34" t="e">
        <f ca="1">INDEX(CurrentRegionColumn(INDEX(SWPS!$H$12:$T$12,MATCH(USA!$F33,SWPS!$H$12:$T$12,0))),MATCH(SWPS!$K$5,CurrentRegionColumn(SWPS!$A$12),0))</f>
        <v>#VALUE!</v>
      </c>
      <c r="O33" s="35" t="e">
        <f ca="1">INDEX(CurrentRegionColumn(INDEX(SWPS!$H$12:$T$12,MATCH(USA!$F33,SWPS!$H$12:$T$12,0))),MATCH(SWPS!$K$6,CurrentRegionColumn(SWPS!$A$12),0))</f>
        <v>#VALUE!</v>
      </c>
    </row>
    <row r="34" spans="1:50" ht="15" hidden="1" customHeight="1" x14ac:dyDescent="0.25">
      <c r="A34" s="1" t="s">
        <v>86</v>
      </c>
      <c r="B34" s="1" t="s">
        <v>15</v>
      </c>
      <c r="C34" t="str">
        <f t="shared" si="2"/>
        <v>SWAPS: 07-10 vs 02-30</v>
      </c>
      <c r="F34" s="47" t="str">
        <f t="shared" si="3"/>
        <v>07-10 vs 02-30</v>
      </c>
      <c r="G34" s="34" t="str">
        <f ca="1">SWPS!O$13</f>
        <v/>
      </c>
      <c r="H34" s="34">
        <f ca="1">MAX(SWPS!O$13:O$274)</f>
        <v>0.17058617058617048</v>
      </c>
      <c r="I34" s="34">
        <f ca="1">MIN(SWPS!O$13:O$275)</f>
        <v>0.12797977365759686</v>
      </c>
      <c r="J34" s="34">
        <f ca="1">SWPS!O$14</f>
        <v>0.14676339285714279</v>
      </c>
      <c r="K34" s="34" t="e">
        <f ca="1">INDEX(CurrentRegionColumn(INDEX(SWPS!$H$12:$T$12,MATCH(USA!$F34,SWPS!$H$12:$T$12,0))),MATCH(SWPS!$K$2,CurrentRegionColumn(SWPS!$A$12),0))</f>
        <v>#VALUE!</v>
      </c>
      <c r="L34" s="34" t="e">
        <f ca="1">INDEX(CurrentRegionColumn(INDEX(SWPS!$H$12:$T$12,MATCH(USA!$F34,SWPS!$H$12:$T$12,0))),MATCH(SWPS!$K$3,CurrentRegionColumn(SWPS!$A$12),0))</f>
        <v>#VALUE!</v>
      </c>
      <c r="M34" s="34" t="e">
        <f ca="1">INDEX(CurrentRegionColumn(INDEX(SWPS!$H$12:$T$12,MATCH(USA!$F34,SWPS!$H$12:$T$12,0))),MATCH(SWPS!$K$4,CurrentRegionColumn(SWPS!$A$12),0))</f>
        <v>#VALUE!</v>
      </c>
      <c r="N34" s="34" t="e">
        <f ca="1">INDEX(CurrentRegionColumn(INDEX(SWPS!$H$12:$T$12,MATCH(USA!$F34,SWPS!$H$12:$T$12,0))),MATCH(SWPS!$K$5,CurrentRegionColumn(SWPS!$A$12),0))</f>
        <v>#VALUE!</v>
      </c>
      <c r="O34" s="35" t="e">
        <f ca="1">INDEX(CurrentRegionColumn(INDEX(SWPS!$H$12:$T$12,MATCH(USA!$F34,SWPS!$H$12:$T$12,0))),MATCH(SWPS!$K$6,CurrentRegionColumn(SWPS!$A$12),0))</f>
        <v>#VALUE!</v>
      </c>
    </row>
    <row r="35" spans="1:50" ht="15" hidden="1" customHeight="1" x14ac:dyDescent="0.25">
      <c r="A35" s="1" t="s">
        <v>86</v>
      </c>
      <c r="B35" s="1" t="s">
        <v>16</v>
      </c>
      <c r="C35" t="str">
        <f t="shared" si="2"/>
        <v>SWAPS: 07-10 vs 03-30</v>
      </c>
      <c r="F35" s="47" t="str">
        <f t="shared" si="3"/>
        <v>07-10 vs 03-30</v>
      </c>
      <c r="G35" s="34" t="str">
        <f ca="1">SWPS!P$13</f>
        <v/>
      </c>
      <c r="H35" s="34">
        <f ca="1">MAX(SWPS!P$13:P$274)</f>
        <v>0.19732034104750296</v>
      </c>
      <c r="I35" s="34">
        <f ca="1">MIN(SWPS!P$13:P$275)</f>
        <v>0.16450015475085106</v>
      </c>
      <c r="J35" s="34">
        <f ca="1">SWPS!P$14</f>
        <v>0.18082505729564544</v>
      </c>
      <c r="K35" s="34" t="e">
        <f ca="1">INDEX(CurrentRegionColumn(INDEX(SWPS!$H$12:$T$12,MATCH(USA!$F35,SWPS!$H$12:$T$12,0))),MATCH(SWPS!$K$2,CurrentRegionColumn(SWPS!$A$12),0))</f>
        <v>#VALUE!</v>
      </c>
      <c r="L35" s="34" t="e">
        <f ca="1">INDEX(CurrentRegionColumn(INDEX(SWPS!$H$12:$T$12,MATCH(USA!$F35,SWPS!$H$12:$T$12,0))),MATCH(SWPS!$K$3,CurrentRegionColumn(SWPS!$A$12),0))</f>
        <v>#VALUE!</v>
      </c>
      <c r="M35" s="34" t="e">
        <f ca="1">INDEX(CurrentRegionColumn(INDEX(SWPS!$H$12:$T$12,MATCH(USA!$F35,SWPS!$H$12:$T$12,0))),MATCH(SWPS!$K$4,CurrentRegionColumn(SWPS!$A$12),0))</f>
        <v>#VALUE!</v>
      </c>
      <c r="N35" s="34" t="e">
        <f ca="1">INDEX(CurrentRegionColumn(INDEX(SWPS!$H$12:$T$12,MATCH(USA!$F35,SWPS!$H$12:$T$12,0))),MATCH(SWPS!$K$5,CurrentRegionColumn(SWPS!$A$12),0))</f>
        <v>#VALUE!</v>
      </c>
      <c r="O35" s="35" t="e">
        <f ca="1">INDEX(CurrentRegionColumn(INDEX(SWPS!$H$12:$T$12,MATCH(USA!$F35,SWPS!$H$12:$T$12,0))),MATCH(SWPS!$K$6,CurrentRegionColumn(SWPS!$A$12),0))</f>
        <v>#VALUE!</v>
      </c>
    </row>
    <row r="36" spans="1:50" ht="15" hidden="1" customHeight="1" x14ac:dyDescent="0.25">
      <c r="C36" t="str">
        <f>$F$26&amp;": "&amp;$F36</f>
        <v>SWAPS: 07-10 vs 05-30</v>
      </c>
      <c r="F36" s="47" t="str">
        <f t="shared" si="3"/>
        <v>07-10 vs 05-30</v>
      </c>
      <c r="G36" s="34" t="str">
        <f ca="1">SWPS!Q$13</f>
        <v/>
      </c>
      <c r="H36" s="34">
        <f ca="1">MAX(SWPS!Q$13:Q$274)</f>
        <v>0.28316370046056732</v>
      </c>
      <c r="I36" s="34">
        <f ca="1">MIN(SWPS!Q$13:Q$275)</f>
        <v>0.24912116240918669</v>
      </c>
      <c r="J36" s="34">
        <f ca="1">SWPS!Q$14</f>
        <v>0.2658654386161966</v>
      </c>
      <c r="K36" s="34" t="e">
        <f ca="1">INDEX(CurrentRegionColumn(INDEX(SWPS!$H$12:$T$12,MATCH(USA!$F36,SWPS!$H$12:$T$12,0))),MATCH(SWPS!$K$2,CurrentRegionColumn(SWPS!$A$12),0))</f>
        <v>#VALUE!</v>
      </c>
      <c r="L36" s="34" t="e">
        <f ca="1">INDEX(CurrentRegionColumn(INDEX(SWPS!$H$12:$T$12,MATCH(USA!$F36,SWPS!$H$12:$T$12,0))),MATCH(SWPS!$K$3,CurrentRegionColumn(SWPS!$A$12),0))</f>
        <v>#VALUE!</v>
      </c>
      <c r="M36" s="34" t="e">
        <f ca="1">INDEX(CurrentRegionColumn(INDEX(SWPS!$H$12:$T$12,MATCH(USA!$F36,SWPS!$H$12:$T$12,0))),MATCH(SWPS!$K$4,CurrentRegionColumn(SWPS!$A$12),0))</f>
        <v>#VALUE!</v>
      </c>
      <c r="N36" s="34" t="e">
        <f ca="1">INDEX(CurrentRegionColumn(INDEX(SWPS!$H$12:$T$12,MATCH(USA!$F36,SWPS!$H$12:$T$12,0))),MATCH(SWPS!$K$5,CurrentRegionColumn(SWPS!$A$12),0))</f>
        <v>#VALUE!</v>
      </c>
      <c r="O36" s="35" t="e">
        <f ca="1">INDEX(CurrentRegionColumn(INDEX(SWPS!$H$12:$T$12,MATCH(USA!$F36,SWPS!$H$12:$T$12,0))),MATCH(SWPS!$K$6,CurrentRegionColumn(SWPS!$A$12),0))</f>
        <v>#VALUE!</v>
      </c>
    </row>
    <row r="37" spans="1:50" ht="15" hidden="1" customHeight="1" x14ac:dyDescent="0.25">
      <c r="C37" t="str">
        <f t="shared" si="2"/>
        <v>SWAPS: 03-10 vs 02-30</v>
      </c>
      <c r="E37" s="14"/>
      <c r="F37" s="47" t="str">
        <f t="shared" si="3"/>
        <v>03-10 vs 02-30</v>
      </c>
      <c r="G37" s="34" t="str">
        <f ca="1">SWPS!R$13</f>
        <v/>
      </c>
      <c r="H37" s="34">
        <f ca="1">MAX(SWPS!R$13:R$274)</f>
        <v>0.61765893037336017</v>
      </c>
      <c r="I37" s="34">
        <f ca="1">MIN(SWPS!R$13:R$275)</f>
        <v>0.53461353238622678</v>
      </c>
      <c r="J37" s="34">
        <f ca="1">SWPS!R$14</f>
        <v>0.5680803571428571</v>
      </c>
      <c r="K37" s="34" t="e">
        <f ca="1">INDEX(CurrentRegionColumn(INDEX(SWPS!$H$12:$T$12,MATCH(USA!$F37,SWPS!$H$12:$T$12,0))),MATCH(SWPS!$K$2,CurrentRegionColumn(SWPS!$A$12),0))</f>
        <v>#VALUE!</v>
      </c>
      <c r="L37" s="34" t="e">
        <f ca="1">INDEX(CurrentRegionColumn(INDEX(SWPS!$H$12:$T$12,MATCH(USA!$F37,SWPS!$H$12:$T$12,0))),MATCH(SWPS!$K$3,CurrentRegionColumn(SWPS!$A$12),0))</f>
        <v>#VALUE!</v>
      </c>
      <c r="M37" s="34" t="e">
        <f ca="1">INDEX(CurrentRegionColumn(INDEX(SWPS!$H$12:$T$12,MATCH(USA!$F37,SWPS!$H$12:$T$12,0))),MATCH(SWPS!$K$4,CurrentRegionColumn(SWPS!$A$12),0))</f>
        <v>#VALUE!</v>
      </c>
      <c r="N37" s="34" t="e">
        <f ca="1">INDEX(CurrentRegionColumn(INDEX(SWPS!$H$12:$T$12,MATCH(USA!$F37,SWPS!$H$12:$T$12,0))),MATCH(SWPS!$K$5,CurrentRegionColumn(SWPS!$A$12),0))</f>
        <v>#VALUE!</v>
      </c>
      <c r="O37" s="35" t="e">
        <f ca="1">INDEX(CurrentRegionColumn(INDEX(SWPS!$H$12:$T$12,MATCH(USA!$F37,SWPS!$H$12:$T$12,0))),MATCH(SWPS!$K$6,CurrentRegionColumn(SWPS!$A$12),0))</f>
        <v>#VALUE!</v>
      </c>
    </row>
    <row r="38" spans="1:50" ht="15" hidden="1" customHeight="1" x14ac:dyDescent="0.25">
      <c r="C38" t="str">
        <f t="shared" si="2"/>
        <v>SWAPS: 05-10 vs 02-30</v>
      </c>
      <c r="E38" s="14"/>
      <c r="F38" s="47" t="str">
        <f t="shared" si="3"/>
        <v>05-10 vs 02-30</v>
      </c>
      <c r="G38" s="34" t="str">
        <f ca="1">SWPS!S$13</f>
        <v/>
      </c>
      <c r="H38" s="34">
        <f ca="1">MAX(SWPS!S$13:S$274)</f>
        <v>0.35275535275535269</v>
      </c>
      <c r="I38" s="34">
        <f ca="1">MIN(SWPS!S$13:S$275)</f>
        <v>0.27034673729833847</v>
      </c>
      <c r="J38" s="34">
        <f ca="1">SWPS!S$14</f>
        <v>0.30846974206349209</v>
      </c>
      <c r="K38" s="34" t="e">
        <f ca="1">INDEX(CurrentRegionColumn(INDEX(SWPS!$H$12:$T$12,MATCH(USA!$F38,SWPS!$H$12:$T$12,0))),MATCH(SWPS!$K$2,CurrentRegionColumn(SWPS!$A$12),0))</f>
        <v>#VALUE!</v>
      </c>
      <c r="L38" s="34" t="e">
        <f ca="1">INDEX(CurrentRegionColumn(INDEX(SWPS!$H$12:$T$12,MATCH(USA!$F38,SWPS!$H$12:$T$12,0))),MATCH(SWPS!$K$3,CurrentRegionColumn(SWPS!$A$12),0))</f>
        <v>#VALUE!</v>
      </c>
      <c r="M38" s="34" t="e">
        <f ca="1">INDEX(CurrentRegionColumn(INDEX(SWPS!$H$12:$T$12,MATCH(USA!$F38,SWPS!$H$12:$T$12,0))),MATCH(SWPS!$K$4,CurrentRegionColumn(SWPS!$A$12),0))</f>
        <v>#VALUE!</v>
      </c>
      <c r="N38" s="34" t="e">
        <f ca="1">INDEX(CurrentRegionColumn(INDEX(SWPS!$H$12:$T$12,MATCH(USA!$F38,SWPS!$H$12:$T$12,0))),MATCH(SWPS!$K$5,CurrentRegionColumn(SWPS!$A$12),0))</f>
        <v>#VALUE!</v>
      </c>
      <c r="O38" s="35" t="e">
        <f ca="1">INDEX(CurrentRegionColumn(INDEX(SWPS!$H$12:$T$12,MATCH(USA!$F38,SWPS!$H$12:$T$12,0))),MATCH(SWPS!$K$6,CurrentRegionColumn(SWPS!$A$12),0))</f>
        <v>#VALUE!</v>
      </c>
    </row>
    <row r="39" spans="1:50" ht="15" hidden="1" customHeight="1" x14ac:dyDescent="0.25">
      <c r="A39" t="str">
        <f>SWPS!W1</f>
        <v>EDH8</v>
      </c>
      <c r="B39" t="str">
        <f>SWPS!X1</f>
        <v>EDU6</v>
      </c>
      <c r="C39" t="str">
        <f t="shared" si="2"/>
        <v>SWAPS: 05-10 vs 03-30</v>
      </c>
      <c r="D39"/>
      <c r="E39" s="14"/>
      <c r="F39" s="48" t="str">
        <f t="shared" si="3"/>
        <v>05-10 vs 03-30</v>
      </c>
      <c r="G39" s="36" t="str">
        <f ca="1">SWPS!T$13</f>
        <v/>
      </c>
      <c r="H39" s="36">
        <f ca="1">MAX(SWPS!T$13:T$274)</f>
        <v>0.41046767106089133</v>
      </c>
      <c r="I39" s="36">
        <f ca="1">MIN(SWPS!T$13:T$275)</f>
        <v>0.34749303621169902</v>
      </c>
      <c r="J39" s="36">
        <f ca="1">SWPS!T$14</f>
        <v>0.38006111535523301</v>
      </c>
      <c r="K39" s="36" t="e">
        <f ca="1">INDEX(CurrentRegionColumn(INDEX(SWPS!$H$12:$T$12,MATCH(USA!$F39,SWPS!$H$12:$T$12,0))),MATCH(SWPS!$K$2,CurrentRegionColumn(SWPS!$A$12),0))</f>
        <v>#VALUE!</v>
      </c>
      <c r="L39" s="36" t="e">
        <f ca="1">INDEX(CurrentRegionColumn(INDEX(SWPS!$H$12:$T$12,MATCH(USA!$F39,SWPS!$H$12:$T$12,0))),MATCH(SWPS!$K$3,CurrentRegionColumn(SWPS!$A$12),0))</f>
        <v>#VALUE!</v>
      </c>
      <c r="M39" s="36" t="e">
        <f ca="1">INDEX(CurrentRegionColumn(INDEX(SWPS!$H$12:$T$12,MATCH(USA!$F39,SWPS!$H$12:$T$12,0))),MATCH(SWPS!$K$4,CurrentRegionColumn(SWPS!$A$12),0))</f>
        <v>#VALUE!</v>
      </c>
      <c r="N39" s="36" t="e">
        <f ca="1">INDEX(CurrentRegionColumn(INDEX(SWPS!$H$12:$T$12,MATCH(USA!$F39,SWPS!$H$12:$T$12,0))),MATCH(SWPS!$K$5,CurrentRegionColumn(SWPS!$A$12),0))</f>
        <v>#VALUE!</v>
      </c>
      <c r="O39" s="37" t="e">
        <f ca="1">INDEX(CurrentRegionColumn(INDEX(SWPS!$H$12:$T$12,MATCH(USA!$F39,SWPS!$H$12:$T$12,0))),MATCH(SWPS!$K$6,CurrentRegionColumn(SWPS!$A$12),0))</f>
        <v>#VALUE!</v>
      </c>
    </row>
    <row r="40" spans="1:50" ht="15" hidden="1" customHeight="1" x14ac:dyDescent="0.25">
      <c r="A40">
        <v>1</v>
      </c>
    </row>
    <row r="41" spans="1:50" ht="15" customHeight="1" x14ac:dyDescent="0.25">
      <c r="C41" s="18"/>
      <c r="G41" s="20" t="s">
        <v>82</v>
      </c>
      <c r="H41" s="91" t="s">
        <v>84</v>
      </c>
      <c r="I41" s="92"/>
      <c r="J41" s="21" t="s">
        <v>80</v>
      </c>
      <c r="K41" s="89">
        <v>42005</v>
      </c>
      <c r="L41" s="101"/>
      <c r="M41" s="21" t="s">
        <v>79</v>
      </c>
      <c r="N41" s="89">
        <v>42094</v>
      </c>
      <c r="O41" s="90"/>
    </row>
    <row r="42" spans="1:50" s="11" customFormat="1" ht="5.0999999999999996" customHeight="1" x14ac:dyDescent="0.25">
      <c r="C42" s="50"/>
      <c r="D42" s="51"/>
      <c r="G42" s="52"/>
      <c r="H42" s="53"/>
      <c r="I42" s="54"/>
      <c r="J42" s="52"/>
      <c r="K42" s="55"/>
      <c r="L42" s="56"/>
      <c r="M42" s="52"/>
      <c r="N42" s="55"/>
      <c r="O42" s="56"/>
    </row>
    <row r="43" spans="1:50" ht="15" customHeight="1" x14ac:dyDescent="0.25">
      <c r="C43">
        <v>0</v>
      </c>
      <c r="D43" s="9">
        <f>MATCH(20,C44:C87,0)</f>
        <v>24</v>
      </c>
      <c r="F43" s="16">
        <v>42094</v>
      </c>
      <c r="G43" s="64" t="str">
        <f ca="1">$F44</f>
        <v>EDM5</v>
      </c>
      <c r="H43" s="63" t="str">
        <f ca="1">$F45</f>
        <v>EDU5</v>
      </c>
      <c r="I43" s="63" t="str">
        <f ca="1">$F46</f>
        <v>EDZ5</v>
      </c>
      <c r="J43" s="63" t="str">
        <f ca="1">$F47</f>
        <v>EDH6</v>
      </c>
      <c r="K43" s="63" t="str">
        <f ca="1">$F48</f>
        <v>EDM6</v>
      </c>
      <c r="L43" s="63" t="str">
        <f ca="1">$F49</f>
        <v>EDU6</v>
      </c>
      <c r="M43" s="63" t="str">
        <f ca="1">$F50</f>
        <v>EDZ6</v>
      </c>
      <c r="N43" s="63" t="str">
        <f ca="1">$F51</f>
        <v>EDH7</v>
      </c>
      <c r="O43" s="63" t="str">
        <f ca="1">$F52</f>
        <v>EDM7</v>
      </c>
      <c r="P43" s="63" t="str">
        <f ca="1">$F53</f>
        <v>EDU7</v>
      </c>
      <c r="Q43" s="63" t="str">
        <f ca="1">$F54</f>
        <v>EDZ7</v>
      </c>
      <c r="R43" s="63" t="str">
        <f ca="1">$F55</f>
        <v>EDH8</v>
      </c>
      <c r="S43" s="63" t="str">
        <f ca="1">$F56</f>
        <v>EDM8</v>
      </c>
      <c r="T43" s="63" t="str">
        <f ca="1">$F57</f>
        <v>EDU8</v>
      </c>
      <c r="U43" s="63" t="str">
        <f ca="1">$F58</f>
        <v>EDZ8</v>
      </c>
      <c r="V43" s="63" t="str">
        <f ca="1">$F59</f>
        <v>EDH9</v>
      </c>
      <c r="W43" s="63" t="str">
        <f ca="1">$F60</f>
        <v>EDM9</v>
      </c>
      <c r="X43" s="63" t="str">
        <f ca="1">$F61</f>
        <v>EDU9</v>
      </c>
      <c r="Y43" s="63" t="str">
        <f ca="1">$F62</f>
        <v>EDZ9</v>
      </c>
      <c r="Z43" s="65" t="str">
        <f ca="1">$F63</f>
        <v>EDH0</v>
      </c>
      <c r="AC43" s="11"/>
      <c r="AD43" s="11"/>
      <c r="AE43" s="11"/>
      <c r="AF43" s="11"/>
      <c r="AG43" s="11"/>
      <c r="AH43" s="11"/>
      <c r="AI43" s="11"/>
      <c r="AJ43" s="11"/>
      <c r="AK43" s="11"/>
      <c r="AL43" s="11"/>
      <c r="AM43" s="11"/>
      <c r="AN43" s="11"/>
      <c r="AO43" s="11"/>
      <c r="AP43" s="11"/>
      <c r="AQ43" s="11"/>
      <c r="AR43" s="11"/>
      <c r="AS43" s="11"/>
      <c r="AT43" s="11"/>
      <c r="AU43" s="11"/>
      <c r="AV43" s="11"/>
      <c r="AW43" s="11"/>
      <c r="AX43" s="11"/>
    </row>
    <row r="44" spans="1:50" ht="15" customHeight="1" x14ac:dyDescent="0.25">
      <c r="A44" s="6" t="str">
        <f>_xll.BDS("eda comdty","fut chain","cols=1;rows=44")</f>
        <v>#N/A Requesting Data...</v>
      </c>
      <c r="B44" s="6" t="str">
        <f>_xll.BDP($A44,"last price")</f>
        <v>#N/A Invalid Security</v>
      </c>
      <c r="C44" s="8" t="str">
        <f>IF(OR(MID(A44,3,1)="H",MID(A44,3,1)="M",MID(A44,3,1)="U",MID(A44,3,1)="Z"),MAX($C$43:C43)+1,"")</f>
        <v/>
      </c>
      <c r="D44" s="9" t="str">
        <f ca="1">OFFSET($A$43,MATCH(1,$C$44:$C$87,0),0)</f>
        <v>EDM5 Comdty</v>
      </c>
      <c r="E44" s="11"/>
      <c r="F44" s="62" t="str">
        <f ca="1">_xll.BDP($D44,"TICKER")</f>
        <v>EDM5</v>
      </c>
      <c r="G44" s="66">
        <f ca="1">IF(dataset="Correlation",CORREL(OFFSET(Sheet3!$B$2,0,MATCH(USA!$F44,Sheet3!$1:$1,0)-2,300,1),OFFSET(Sheet3!$B$2,0,MATCH(USA!G$43,Sheet3!$1:$1,0)-2,300,1)),ABS(OFFSET(Sheet3!$B$2,0,MATCH(USA!$F44,Sheet3!$A$1:$U$1,0)-2)-OFFSET(Sheet3!$B$2,0,MATCH(G$43,Sheet3!$A$1:$U$1,0)-2)))</f>
        <v>0</v>
      </c>
      <c r="H44" s="66" t="e">
        <f ca="1">IF(dataset="Correlation",CORREL(OFFSET(Sheet3!$B$2,0,MATCH(USA!$F44,Sheet3!$1:$1,0)-2,300,1),OFFSET(Sheet3!$B$2,0,MATCH(USA!H$43,Sheet3!$1:$1,0)-2,300,1)),ABS(OFFSET(Sheet3!$B$2,0,MATCH(USA!$F44,Sheet3!$A$1:$U$1,0)-2)-OFFSET(Sheet3!$B$2,0,MATCH(H$43,Sheet3!$A$1:$U$1,0)-2)))</f>
        <v>#VALUE!</v>
      </c>
      <c r="I44" s="66" t="e">
        <f ca="1">IF(dataset="Correlation",CORREL(OFFSET(Sheet3!$B$2,0,MATCH(USA!$F44,Sheet3!$1:$1,0)-2,300,1),OFFSET(Sheet3!$B$2,0,MATCH(USA!I$43,Sheet3!$1:$1,0)-2,300,1)),ABS(OFFSET(Sheet3!$B$2,0,MATCH(USA!$F44,Sheet3!$A$1:$U$1,0)-2)-OFFSET(Sheet3!$B$2,0,MATCH(I$43,Sheet3!$A$1:$U$1,0)-2)))</f>
        <v>#VALUE!</v>
      </c>
      <c r="J44" s="66" t="e">
        <f ca="1">IF(dataset="Correlation",CORREL(OFFSET(Sheet3!$B$2,0,MATCH(USA!$F44,Sheet3!$1:$1,0)-2,300,1),OFFSET(Sheet3!$B$2,0,MATCH(USA!J$43,Sheet3!$1:$1,0)-2,300,1)),ABS(OFFSET(Sheet3!$B$2,0,MATCH(USA!$F44,Sheet3!$A$1:$U$1,0)-2)-OFFSET(Sheet3!$B$2,0,MATCH(J$43,Sheet3!$A$1:$U$1,0)-2)))</f>
        <v>#VALUE!</v>
      </c>
      <c r="K44" s="66" t="e">
        <f ca="1">IF(dataset="Correlation",CORREL(OFFSET(Sheet3!$B$2,0,MATCH(USA!$F44,Sheet3!$1:$1,0)-2,300,1),OFFSET(Sheet3!$B$2,0,MATCH(USA!K$43,Sheet3!$1:$1,0)-2,300,1)),ABS(OFFSET(Sheet3!$B$2,0,MATCH(USA!$F44,Sheet3!$A$1:$U$1,0)-2)-OFFSET(Sheet3!$B$2,0,MATCH(K$43,Sheet3!$A$1:$U$1,0)-2)))</f>
        <v>#VALUE!</v>
      </c>
      <c r="L44" s="66" t="e">
        <f ca="1">IF(dataset="Correlation",CORREL(OFFSET(Sheet3!$B$2,0,MATCH(USA!$F44,Sheet3!$1:$1,0)-2,300,1),OFFSET(Sheet3!$B$2,0,MATCH(USA!L$43,Sheet3!$1:$1,0)-2,300,1)),ABS(OFFSET(Sheet3!$B$2,0,MATCH(USA!$F44,Sheet3!$A$1:$U$1,0)-2)-OFFSET(Sheet3!$B$2,0,MATCH(L$43,Sheet3!$A$1:$U$1,0)-2)))</f>
        <v>#VALUE!</v>
      </c>
      <c r="M44" s="66" t="e">
        <f ca="1">IF(dataset="Correlation",CORREL(OFFSET(Sheet3!$B$2,0,MATCH(USA!$F44,Sheet3!$1:$1,0)-2,300,1),OFFSET(Sheet3!$B$2,0,MATCH(USA!M$43,Sheet3!$1:$1,0)-2,300,1)),ABS(OFFSET(Sheet3!$B$2,0,MATCH(USA!$F44,Sheet3!$A$1:$U$1,0)-2)-OFFSET(Sheet3!$B$2,0,MATCH(M$43,Sheet3!$A$1:$U$1,0)-2)))</f>
        <v>#VALUE!</v>
      </c>
      <c r="N44" s="66" t="e">
        <f ca="1">IF(dataset="Correlation",CORREL(OFFSET(Sheet3!$B$2,0,MATCH(USA!$F44,Sheet3!$1:$1,0)-2,300,1),OFFSET(Sheet3!$B$2,0,MATCH(USA!N$43,Sheet3!$1:$1,0)-2,300,1)),ABS(OFFSET(Sheet3!$B$2,0,MATCH(USA!$F44,Sheet3!$A$1:$U$1,0)-2)-OFFSET(Sheet3!$B$2,0,MATCH(N$43,Sheet3!$A$1:$U$1,0)-2)))</f>
        <v>#VALUE!</v>
      </c>
      <c r="O44" s="66" t="e">
        <f ca="1">IF(dataset="Correlation",CORREL(OFFSET(Sheet3!$B$2,0,MATCH(USA!$F44,Sheet3!$1:$1,0)-2,300,1),OFFSET(Sheet3!$B$2,0,MATCH(USA!O$43,Sheet3!$1:$1,0)-2,300,1)),ABS(OFFSET(Sheet3!$B$2,0,MATCH(USA!$F44,Sheet3!$A$1:$U$1,0)-2)-OFFSET(Sheet3!$B$2,0,MATCH(O$43,Sheet3!$A$1:$U$1,0)-2)))</f>
        <v>#VALUE!</v>
      </c>
      <c r="P44" s="66" t="e">
        <f ca="1">IF(dataset="Correlation",CORREL(OFFSET(Sheet3!$B$2,0,MATCH(USA!$F44,Sheet3!$1:$1,0)-2,300,1),OFFSET(Sheet3!$B$2,0,MATCH(USA!P$43,Sheet3!$1:$1,0)-2,300,1)),ABS(OFFSET(Sheet3!$B$2,0,MATCH(USA!$F44,Sheet3!$A$1:$U$1,0)-2)-OFFSET(Sheet3!$B$2,0,MATCH(P$43,Sheet3!$A$1:$U$1,0)-2)))</f>
        <v>#VALUE!</v>
      </c>
      <c r="Q44" s="66" t="e">
        <f ca="1">IF(dataset="Correlation",CORREL(OFFSET(Sheet3!$B$2,0,MATCH(USA!$F44,Sheet3!$1:$1,0)-2,300,1),OFFSET(Sheet3!$B$2,0,MATCH(USA!Q$43,Sheet3!$1:$1,0)-2,300,1)),ABS(OFFSET(Sheet3!$B$2,0,MATCH(USA!$F44,Sheet3!$A$1:$U$1,0)-2)-OFFSET(Sheet3!$B$2,0,MATCH(Q$43,Sheet3!$A$1:$U$1,0)-2)))</f>
        <v>#VALUE!</v>
      </c>
      <c r="R44" s="66" t="e">
        <f ca="1">IF(dataset="Correlation",CORREL(OFFSET(Sheet3!$B$2,0,MATCH(USA!$F44,Sheet3!$1:$1,0)-2,300,1),OFFSET(Sheet3!$B$2,0,MATCH(USA!R$43,Sheet3!$1:$1,0)-2,300,1)),ABS(OFFSET(Sheet3!$B$2,0,MATCH(USA!$F44,Sheet3!$A$1:$U$1,0)-2)-OFFSET(Sheet3!$B$2,0,MATCH(R$43,Sheet3!$A$1:$U$1,0)-2)))</f>
        <v>#VALUE!</v>
      </c>
      <c r="S44" s="66" t="e">
        <f ca="1">IF(dataset="Correlation",CORREL(OFFSET(Sheet3!$B$2,0,MATCH(USA!$F44,Sheet3!$1:$1,0)-2,300,1),OFFSET(Sheet3!$B$2,0,MATCH(USA!S$43,Sheet3!$1:$1,0)-2,300,1)),ABS(OFFSET(Sheet3!$B$2,0,MATCH(USA!$F44,Sheet3!$A$1:$U$1,0)-2)-OFFSET(Sheet3!$B$2,0,MATCH(S$43,Sheet3!$A$1:$U$1,0)-2)))</f>
        <v>#VALUE!</v>
      </c>
      <c r="T44" s="66" t="e">
        <f ca="1">IF(dataset="Correlation",CORREL(OFFSET(Sheet3!$B$2,0,MATCH(USA!$F44,Sheet3!$1:$1,0)-2,300,1),OFFSET(Sheet3!$B$2,0,MATCH(USA!T$43,Sheet3!$1:$1,0)-2,300,1)),ABS(OFFSET(Sheet3!$B$2,0,MATCH(USA!$F44,Sheet3!$A$1:$U$1,0)-2)-OFFSET(Sheet3!$B$2,0,MATCH(T$43,Sheet3!$A$1:$U$1,0)-2)))</f>
        <v>#VALUE!</v>
      </c>
      <c r="U44" s="66" t="e">
        <f ca="1">IF(dataset="Correlation",CORREL(OFFSET(Sheet3!$B$2,0,MATCH(USA!$F44,Sheet3!$1:$1,0)-2,300,1),OFFSET(Sheet3!$B$2,0,MATCH(USA!U$43,Sheet3!$1:$1,0)-2,300,1)),ABS(OFFSET(Sheet3!$B$2,0,MATCH(USA!$F44,Sheet3!$A$1:$U$1,0)-2)-OFFSET(Sheet3!$B$2,0,MATCH(U$43,Sheet3!$A$1:$U$1,0)-2)))</f>
        <v>#VALUE!</v>
      </c>
      <c r="V44" s="66" t="e">
        <f ca="1">IF(dataset="Correlation",CORREL(OFFSET(Sheet3!$B$2,0,MATCH(USA!$F44,Sheet3!$1:$1,0)-2,300,1),OFFSET(Sheet3!$B$2,0,MATCH(USA!V$43,Sheet3!$1:$1,0)-2,300,1)),ABS(OFFSET(Sheet3!$B$2,0,MATCH(USA!$F44,Sheet3!$A$1:$U$1,0)-2)-OFFSET(Sheet3!$B$2,0,MATCH(V$43,Sheet3!$A$1:$U$1,0)-2)))</f>
        <v>#VALUE!</v>
      </c>
      <c r="W44" s="66" t="e">
        <f ca="1">IF(dataset="Correlation",CORREL(OFFSET(Sheet3!$B$2,0,MATCH(USA!$F44,Sheet3!$1:$1,0)-2,300,1),OFFSET(Sheet3!$B$2,0,MATCH(USA!W$43,Sheet3!$1:$1,0)-2,300,1)),ABS(OFFSET(Sheet3!$B$2,0,MATCH(USA!$F44,Sheet3!$A$1:$U$1,0)-2)-OFFSET(Sheet3!$B$2,0,MATCH(W$43,Sheet3!$A$1:$U$1,0)-2)))</f>
        <v>#VALUE!</v>
      </c>
      <c r="X44" s="66" t="e">
        <f ca="1">IF(dataset="Correlation",CORREL(OFFSET(Sheet3!$B$2,0,MATCH(USA!$F44,Sheet3!$1:$1,0)-2,300,1),OFFSET(Sheet3!$B$2,0,MATCH(USA!X$43,Sheet3!$1:$1,0)-2,300,1)),ABS(OFFSET(Sheet3!$B$2,0,MATCH(USA!$F44,Sheet3!$A$1:$U$1,0)-2)-OFFSET(Sheet3!$B$2,0,MATCH(X$43,Sheet3!$A$1:$U$1,0)-2)))</f>
        <v>#VALUE!</v>
      </c>
      <c r="Y44" s="66" t="e">
        <f ca="1">IF(dataset="Correlation",CORREL(OFFSET(Sheet3!$B$2,0,MATCH(USA!$F44,Sheet3!$1:$1,0)-2,300,1),OFFSET(Sheet3!$B$2,0,MATCH(USA!Y$43,Sheet3!$1:$1,0)-2,300,1)),ABS(OFFSET(Sheet3!$B$2,0,MATCH(USA!$F44,Sheet3!$A$1:$U$1,0)-2)-OFFSET(Sheet3!$B$2,0,MATCH(Y$43,Sheet3!$A$1:$U$1,0)-2)))</f>
        <v>#VALUE!</v>
      </c>
      <c r="Z44" s="67" t="e">
        <f ca="1">IF(dataset="Correlation",CORREL(OFFSET(Sheet3!$B$2,0,MATCH(USA!$F44,Sheet3!$1:$1,0)-2,300,1),OFFSET(Sheet3!$B$2,0,MATCH(USA!Z$43,Sheet3!$1:$1,0)-2,300,1)),ABS(OFFSET(Sheet3!$B$2,0,MATCH(USA!$F44,Sheet3!$A$1:$U$1,0)-2)-OFFSET(Sheet3!$B$2,0,MATCH(Z$43,Sheet3!$A$1:$U$1,0)-2)))</f>
        <v>#VALUE!</v>
      </c>
      <c r="AC44" s="7"/>
      <c r="AD44" s="7"/>
      <c r="AE44" s="7"/>
      <c r="AF44" s="7"/>
      <c r="AG44" s="7"/>
      <c r="AH44" s="7"/>
      <c r="AI44" s="7"/>
      <c r="AJ44" s="7"/>
      <c r="AK44" s="7"/>
      <c r="AL44" s="7"/>
      <c r="AM44" s="7"/>
      <c r="AN44" s="7"/>
      <c r="AO44" s="7"/>
      <c r="AP44" s="7"/>
      <c r="AQ44" s="7"/>
      <c r="AR44" s="7"/>
      <c r="AS44" s="7"/>
      <c r="AT44" s="7"/>
      <c r="AU44" s="7"/>
      <c r="AV44" s="7"/>
      <c r="AW44" s="7"/>
      <c r="AX44" s="7"/>
    </row>
    <row r="45" spans="1:50" ht="15" customHeight="1" x14ac:dyDescent="0.25">
      <c r="A45" s="6" t="s">
        <v>56</v>
      </c>
      <c r="B45" s="6" t="str">
        <f>_xll.BDP($A45,"last price")</f>
        <v>#N/A Requesting Data...</v>
      </c>
      <c r="C45" s="8">
        <f>IF(OR(MID(A45,3,1)="H",MID(A45,3,1)="M",MID(A45,3,1)="U",MID(A45,3,1)="Z"),MAX($C$43:C44)+1,"")</f>
        <v>1</v>
      </c>
      <c r="D45" s="9" t="str">
        <f ca="1">OFFSET($A$43,MATCH(2,$C$44:$C$87,0),0)</f>
        <v>EDU5 Comdty</v>
      </c>
      <c r="E45" s="11"/>
      <c r="F45" s="60" t="str">
        <f ca="1">_xll.BDP($D45,"TICKER")</f>
        <v>EDU5</v>
      </c>
      <c r="G45" s="68" t="e">
        <f ca="1">IF(dataset="Correlation",CORREL(OFFSET(Sheet3!$B$2,0,MATCH(USA!$F45,Sheet3!$1:$1,0)-2,300,1),OFFSET(Sheet3!$B$2,0,MATCH(USA!G$43,Sheet3!$1:$1,0)-2,300,1)),ABS(OFFSET(Sheet3!$B$2,0,MATCH(USA!$F45,Sheet3!$A$1:$U$1,0)-2)-OFFSET(Sheet3!$B$2,0,MATCH(G$43,Sheet3!$A$1:$U$1,0)-2)))</f>
        <v>#VALUE!</v>
      </c>
      <c r="H45" s="68" t="e">
        <f ca="1">IF(dataset="Correlation",CORREL(OFFSET(Sheet3!$B$2,0,MATCH(USA!$F45,Sheet3!$1:$1,0)-2,300,1),OFFSET(Sheet3!$B$2,0,MATCH(USA!H$43,Sheet3!$1:$1,0)-2,300,1)),ABS(OFFSET(Sheet3!$B$2,0,MATCH(USA!$F45,Sheet3!$A$1:$U$1,0)-2)-OFFSET(Sheet3!$B$2,0,MATCH(H$43,Sheet3!$A$1:$U$1,0)-2)))</f>
        <v>#VALUE!</v>
      </c>
      <c r="I45" s="68" t="e">
        <f ca="1">IF(dataset="Correlation",CORREL(OFFSET(Sheet3!$B$2,0,MATCH(USA!$F45,Sheet3!$1:$1,0)-2,300,1),OFFSET(Sheet3!$B$2,0,MATCH(USA!I$43,Sheet3!$1:$1,0)-2,300,1)),ABS(OFFSET(Sheet3!$B$2,0,MATCH(USA!$F45,Sheet3!$A$1:$U$1,0)-2)-OFFSET(Sheet3!$B$2,0,MATCH(I$43,Sheet3!$A$1:$U$1,0)-2)))</f>
        <v>#VALUE!</v>
      </c>
      <c r="J45" s="68" t="e">
        <f ca="1">IF(dataset="Correlation",CORREL(OFFSET(Sheet3!$B$2,0,MATCH(USA!$F45,Sheet3!$1:$1,0)-2,300,1),OFFSET(Sheet3!$B$2,0,MATCH(USA!J$43,Sheet3!$1:$1,0)-2,300,1)),ABS(OFFSET(Sheet3!$B$2,0,MATCH(USA!$F45,Sheet3!$A$1:$U$1,0)-2)-OFFSET(Sheet3!$B$2,0,MATCH(J$43,Sheet3!$A$1:$U$1,0)-2)))</f>
        <v>#VALUE!</v>
      </c>
      <c r="K45" s="68" t="e">
        <f ca="1">IF(dataset="Correlation",CORREL(OFFSET(Sheet3!$B$2,0,MATCH(USA!$F45,Sheet3!$1:$1,0)-2,300,1),OFFSET(Sheet3!$B$2,0,MATCH(USA!K$43,Sheet3!$1:$1,0)-2,300,1)),ABS(OFFSET(Sheet3!$B$2,0,MATCH(USA!$F45,Sheet3!$A$1:$U$1,0)-2)-OFFSET(Sheet3!$B$2,0,MATCH(K$43,Sheet3!$A$1:$U$1,0)-2)))</f>
        <v>#VALUE!</v>
      </c>
      <c r="L45" s="68" t="e">
        <f ca="1">IF(dataset="Correlation",CORREL(OFFSET(Sheet3!$B$2,0,MATCH(USA!$F45,Sheet3!$1:$1,0)-2,300,1),OFFSET(Sheet3!$B$2,0,MATCH(USA!L$43,Sheet3!$1:$1,0)-2,300,1)),ABS(OFFSET(Sheet3!$B$2,0,MATCH(USA!$F45,Sheet3!$A$1:$U$1,0)-2)-OFFSET(Sheet3!$B$2,0,MATCH(L$43,Sheet3!$A$1:$U$1,0)-2)))</f>
        <v>#VALUE!</v>
      </c>
      <c r="M45" s="68" t="e">
        <f ca="1">IF(dataset="Correlation",CORREL(OFFSET(Sheet3!$B$2,0,MATCH(USA!$F45,Sheet3!$1:$1,0)-2,300,1),OFFSET(Sheet3!$B$2,0,MATCH(USA!M$43,Sheet3!$1:$1,0)-2,300,1)),ABS(OFFSET(Sheet3!$B$2,0,MATCH(USA!$F45,Sheet3!$A$1:$U$1,0)-2)-OFFSET(Sheet3!$B$2,0,MATCH(M$43,Sheet3!$A$1:$U$1,0)-2)))</f>
        <v>#VALUE!</v>
      </c>
      <c r="N45" s="68" t="e">
        <f ca="1">IF(dataset="Correlation",CORREL(OFFSET(Sheet3!$B$2,0,MATCH(USA!$F45,Sheet3!$1:$1,0)-2,300,1),OFFSET(Sheet3!$B$2,0,MATCH(USA!N$43,Sheet3!$1:$1,0)-2,300,1)),ABS(OFFSET(Sheet3!$B$2,0,MATCH(USA!$F45,Sheet3!$A$1:$U$1,0)-2)-OFFSET(Sheet3!$B$2,0,MATCH(N$43,Sheet3!$A$1:$U$1,0)-2)))</f>
        <v>#VALUE!</v>
      </c>
      <c r="O45" s="68" t="e">
        <f ca="1">IF(dataset="Correlation",CORREL(OFFSET(Sheet3!$B$2,0,MATCH(USA!$F45,Sheet3!$1:$1,0)-2,300,1),OFFSET(Sheet3!$B$2,0,MATCH(USA!O$43,Sheet3!$1:$1,0)-2,300,1)),ABS(OFFSET(Sheet3!$B$2,0,MATCH(USA!$F45,Sheet3!$A$1:$U$1,0)-2)-OFFSET(Sheet3!$B$2,0,MATCH(O$43,Sheet3!$A$1:$U$1,0)-2)))</f>
        <v>#VALUE!</v>
      </c>
      <c r="P45" s="68" t="e">
        <f ca="1">IF(dataset="Correlation",CORREL(OFFSET(Sheet3!$B$2,0,MATCH(USA!$F45,Sheet3!$1:$1,0)-2,300,1),OFFSET(Sheet3!$B$2,0,MATCH(USA!P$43,Sheet3!$1:$1,0)-2,300,1)),ABS(OFFSET(Sheet3!$B$2,0,MATCH(USA!$F45,Sheet3!$A$1:$U$1,0)-2)-OFFSET(Sheet3!$B$2,0,MATCH(P$43,Sheet3!$A$1:$U$1,0)-2)))</f>
        <v>#VALUE!</v>
      </c>
      <c r="Q45" s="68" t="e">
        <f ca="1">IF(dataset="Correlation",CORREL(OFFSET(Sheet3!$B$2,0,MATCH(USA!$F45,Sheet3!$1:$1,0)-2,300,1),OFFSET(Sheet3!$B$2,0,MATCH(USA!Q$43,Sheet3!$1:$1,0)-2,300,1)),ABS(OFFSET(Sheet3!$B$2,0,MATCH(USA!$F45,Sheet3!$A$1:$U$1,0)-2)-OFFSET(Sheet3!$B$2,0,MATCH(Q$43,Sheet3!$A$1:$U$1,0)-2)))</f>
        <v>#VALUE!</v>
      </c>
      <c r="R45" s="68" t="e">
        <f ca="1">IF(dataset="Correlation",CORREL(OFFSET(Sheet3!$B$2,0,MATCH(USA!$F45,Sheet3!$1:$1,0)-2,300,1),OFFSET(Sheet3!$B$2,0,MATCH(USA!R$43,Sheet3!$1:$1,0)-2,300,1)),ABS(OFFSET(Sheet3!$B$2,0,MATCH(USA!$F45,Sheet3!$A$1:$U$1,0)-2)-OFFSET(Sheet3!$B$2,0,MATCH(R$43,Sheet3!$A$1:$U$1,0)-2)))</f>
        <v>#VALUE!</v>
      </c>
      <c r="S45" s="68" t="e">
        <f ca="1">IF(dataset="Correlation",CORREL(OFFSET(Sheet3!$B$2,0,MATCH(USA!$F45,Sheet3!$1:$1,0)-2,300,1),OFFSET(Sheet3!$B$2,0,MATCH(USA!S$43,Sheet3!$1:$1,0)-2,300,1)),ABS(OFFSET(Sheet3!$B$2,0,MATCH(USA!$F45,Sheet3!$A$1:$U$1,0)-2)-OFFSET(Sheet3!$B$2,0,MATCH(S$43,Sheet3!$A$1:$U$1,0)-2)))</f>
        <v>#VALUE!</v>
      </c>
      <c r="T45" s="68" t="e">
        <f ca="1">IF(dataset="Correlation",CORREL(OFFSET(Sheet3!$B$2,0,MATCH(USA!$F45,Sheet3!$1:$1,0)-2,300,1),OFFSET(Sheet3!$B$2,0,MATCH(USA!T$43,Sheet3!$1:$1,0)-2,300,1)),ABS(OFFSET(Sheet3!$B$2,0,MATCH(USA!$F45,Sheet3!$A$1:$U$1,0)-2)-OFFSET(Sheet3!$B$2,0,MATCH(T$43,Sheet3!$A$1:$U$1,0)-2)))</f>
        <v>#VALUE!</v>
      </c>
      <c r="U45" s="68" t="e">
        <f ca="1">IF(dataset="Correlation",CORREL(OFFSET(Sheet3!$B$2,0,MATCH(USA!$F45,Sheet3!$1:$1,0)-2,300,1),OFFSET(Sheet3!$B$2,0,MATCH(USA!U$43,Sheet3!$1:$1,0)-2,300,1)),ABS(OFFSET(Sheet3!$B$2,0,MATCH(USA!$F45,Sheet3!$A$1:$U$1,0)-2)-OFFSET(Sheet3!$B$2,0,MATCH(U$43,Sheet3!$A$1:$U$1,0)-2)))</f>
        <v>#VALUE!</v>
      </c>
      <c r="V45" s="68" t="e">
        <f ca="1">IF(dataset="Correlation",CORREL(OFFSET(Sheet3!$B$2,0,MATCH(USA!$F45,Sheet3!$1:$1,0)-2,300,1),OFFSET(Sheet3!$B$2,0,MATCH(USA!V$43,Sheet3!$1:$1,0)-2,300,1)),ABS(OFFSET(Sheet3!$B$2,0,MATCH(USA!$F45,Sheet3!$A$1:$U$1,0)-2)-OFFSET(Sheet3!$B$2,0,MATCH(V$43,Sheet3!$A$1:$U$1,0)-2)))</f>
        <v>#VALUE!</v>
      </c>
      <c r="W45" s="68" t="e">
        <f ca="1">IF(dataset="Correlation",CORREL(OFFSET(Sheet3!$B$2,0,MATCH(USA!$F45,Sheet3!$1:$1,0)-2,300,1),OFFSET(Sheet3!$B$2,0,MATCH(USA!W$43,Sheet3!$1:$1,0)-2,300,1)),ABS(OFFSET(Sheet3!$B$2,0,MATCH(USA!$F45,Sheet3!$A$1:$U$1,0)-2)-OFFSET(Sheet3!$B$2,0,MATCH(W$43,Sheet3!$A$1:$U$1,0)-2)))</f>
        <v>#VALUE!</v>
      </c>
      <c r="X45" s="68" t="e">
        <f ca="1">IF(dataset="Correlation",CORREL(OFFSET(Sheet3!$B$2,0,MATCH(USA!$F45,Sheet3!$1:$1,0)-2,300,1),OFFSET(Sheet3!$B$2,0,MATCH(USA!X$43,Sheet3!$1:$1,0)-2,300,1)),ABS(OFFSET(Sheet3!$B$2,0,MATCH(USA!$F45,Sheet3!$A$1:$U$1,0)-2)-OFFSET(Sheet3!$B$2,0,MATCH(X$43,Sheet3!$A$1:$U$1,0)-2)))</f>
        <v>#VALUE!</v>
      </c>
      <c r="Y45" s="68" t="e">
        <f ca="1">IF(dataset="Correlation",CORREL(OFFSET(Sheet3!$B$2,0,MATCH(USA!$F45,Sheet3!$1:$1,0)-2,300,1),OFFSET(Sheet3!$B$2,0,MATCH(USA!Y$43,Sheet3!$1:$1,0)-2,300,1)),ABS(OFFSET(Sheet3!$B$2,0,MATCH(USA!$F45,Sheet3!$A$1:$U$1,0)-2)-OFFSET(Sheet3!$B$2,0,MATCH(Y$43,Sheet3!$A$1:$U$1,0)-2)))</f>
        <v>#VALUE!</v>
      </c>
      <c r="Z45" s="69" t="e">
        <f ca="1">IF(dataset="Correlation",CORREL(OFFSET(Sheet3!$B$2,0,MATCH(USA!$F45,Sheet3!$1:$1,0)-2,300,1),OFFSET(Sheet3!$B$2,0,MATCH(USA!Z$43,Sheet3!$1:$1,0)-2,300,1)),ABS(OFFSET(Sheet3!$B$2,0,MATCH(USA!$F45,Sheet3!$A$1:$U$1,0)-2)-OFFSET(Sheet3!$B$2,0,MATCH(Z$43,Sheet3!$A$1:$U$1,0)-2)))</f>
        <v>#VALUE!</v>
      </c>
      <c r="AC45" s="7"/>
      <c r="AD45" s="7"/>
      <c r="AE45" s="7"/>
      <c r="AF45" s="7"/>
      <c r="AG45" s="7"/>
      <c r="AH45" s="7"/>
      <c r="AI45" s="7"/>
      <c r="AJ45" s="7"/>
      <c r="AK45" s="7"/>
      <c r="AL45" s="7"/>
      <c r="AM45" s="7"/>
      <c r="AN45" s="7"/>
      <c r="AO45" s="7"/>
      <c r="AP45" s="7"/>
      <c r="AQ45" s="7"/>
      <c r="AR45" s="7"/>
      <c r="AS45" s="7"/>
      <c r="AT45" s="7"/>
      <c r="AU45" s="7"/>
      <c r="AV45" s="7"/>
      <c r="AW45" s="7"/>
      <c r="AX45" s="7"/>
    </row>
    <row r="46" spans="1:50" ht="15" customHeight="1" x14ac:dyDescent="0.25">
      <c r="A46" s="6" t="s">
        <v>126</v>
      </c>
      <c r="B46" s="6" t="str">
        <f>_xll.BDP($A46,"last price")</f>
        <v>#N/A Requesting Data...</v>
      </c>
      <c r="C46" s="8" t="str">
        <f>IF(OR(MID(A46,3,1)="H",MID(A46,3,1)="M",MID(A46,3,1)="U",MID(A46,3,1)="Z"),MAX($C$43:C45)+1,"")</f>
        <v/>
      </c>
      <c r="D46" s="9" t="str">
        <f ca="1">OFFSET($A$43,MATCH(3,$C$44:$C$87,0),0)</f>
        <v>EDZ5 Comdty</v>
      </c>
      <c r="E46" s="11"/>
      <c r="F46" s="60" t="str">
        <f ca="1">_xll.BDP($D46,"TICKER")</f>
        <v>EDZ5</v>
      </c>
      <c r="G46" s="66" t="e">
        <f ca="1">IF(dataset="Correlation",CORREL(OFFSET(Sheet3!$B$2,0,MATCH(USA!$F46,Sheet3!$1:$1,0)-2,300,1),OFFSET(Sheet3!$B$2,0,MATCH(USA!G$43,Sheet3!$1:$1,0)-2,300,1)),ABS(OFFSET(Sheet3!$B$2,0,MATCH(USA!$F46,Sheet3!$A$1:$U$1,0)-2)-OFFSET(Sheet3!$B$2,0,MATCH(G$43,Sheet3!$A$1:$U$1,0)-2)))</f>
        <v>#VALUE!</v>
      </c>
      <c r="H46" s="66" t="e">
        <f ca="1">IF(dataset="Correlation",CORREL(OFFSET(Sheet3!$B$2,0,MATCH(USA!$F46,Sheet3!$1:$1,0)-2,300,1),OFFSET(Sheet3!$B$2,0,MATCH(USA!H$43,Sheet3!$1:$1,0)-2,300,1)),ABS(OFFSET(Sheet3!$B$2,0,MATCH(USA!$F46,Sheet3!$A$1:$U$1,0)-2)-OFFSET(Sheet3!$B$2,0,MATCH(H$43,Sheet3!$A$1:$U$1,0)-2)))</f>
        <v>#VALUE!</v>
      </c>
      <c r="I46" s="66" t="e">
        <f ca="1">IF(dataset="Correlation",CORREL(OFFSET(Sheet3!$B$2,0,MATCH(USA!$F46,Sheet3!$1:$1,0)-2,300,1),OFFSET(Sheet3!$B$2,0,MATCH(USA!I$43,Sheet3!$1:$1,0)-2,300,1)),ABS(OFFSET(Sheet3!$B$2,0,MATCH(USA!$F46,Sheet3!$A$1:$U$1,0)-2)-OFFSET(Sheet3!$B$2,0,MATCH(I$43,Sheet3!$A$1:$U$1,0)-2)))</f>
        <v>#VALUE!</v>
      </c>
      <c r="J46" s="66" t="e">
        <f ca="1">IF(dataset="Correlation",CORREL(OFFSET(Sheet3!$B$2,0,MATCH(USA!$F46,Sheet3!$1:$1,0)-2,300,1),OFFSET(Sheet3!$B$2,0,MATCH(USA!J$43,Sheet3!$1:$1,0)-2,300,1)),ABS(OFFSET(Sheet3!$B$2,0,MATCH(USA!$F46,Sheet3!$A$1:$U$1,0)-2)-OFFSET(Sheet3!$B$2,0,MATCH(J$43,Sheet3!$A$1:$U$1,0)-2)))</f>
        <v>#VALUE!</v>
      </c>
      <c r="K46" s="66" t="e">
        <f ca="1">IF(dataset="Correlation",CORREL(OFFSET(Sheet3!$B$2,0,MATCH(USA!$F46,Sheet3!$1:$1,0)-2,300,1),OFFSET(Sheet3!$B$2,0,MATCH(USA!K$43,Sheet3!$1:$1,0)-2,300,1)),ABS(OFFSET(Sheet3!$B$2,0,MATCH(USA!$F46,Sheet3!$A$1:$U$1,0)-2)-OFFSET(Sheet3!$B$2,0,MATCH(K$43,Sheet3!$A$1:$U$1,0)-2)))</f>
        <v>#VALUE!</v>
      </c>
      <c r="L46" s="66" t="e">
        <f ca="1">IF(dataset="Correlation",CORREL(OFFSET(Sheet3!$B$2,0,MATCH(USA!$F46,Sheet3!$1:$1,0)-2,300,1),OFFSET(Sheet3!$B$2,0,MATCH(USA!L$43,Sheet3!$1:$1,0)-2,300,1)),ABS(OFFSET(Sheet3!$B$2,0,MATCH(USA!$F46,Sheet3!$A$1:$U$1,0)-2)-OFFSET(Sheet3!$B$2,0,MATCH(L$43,Sheet3!$A$1:$U$1,0)-2)))</f>
        <v>#VALUE!</v>
      </c>
      <c r="M46" s="66" t="e">
        <f ca="1">IF(dataset="Correlation",CORREL(OFFSET(Sheet3!$B$2,0,MATCH(USA!$F46,Sheet3!$1:$1,0)-2,300,1),OFFSET(Sheet3!$B$2,0,MATCH(USA!M$43,Sheet3!$1:$1,0)-2,300,1)),ABS(OFFSET(Sheet3!$B$2,0,MATCH(USA!$F46,Sheet3!$A$1:$U$1,0)-2)-OFFSET(Sheet3!$B$2,0,MATCH(M$43,Sheet3!$A$1:$U$1,0)-2)))</f>
        <v>#VALUE!</v>
      </c>
      <c r="N46" s="66" t="e">
        <f ca="1">IF(dataset="Correlation",CORREL(OFFSET(Sheet3!$B$2,0,MATCH(USA!$F46,Sheet3!$1:$1,0)-2,300,1),OFFSET(Sheet3!$B$2,0,MATCH(USA!N$43,Sheet3!$1:$1,0)-2,300,1)),ABS(OFFSET(Sheet3!$B$2,0,MATCH(USA!$F46,Sheet3!$A$1:$U$1,0)-2)-OFFSET(Sheet3!$B$2,0,MATCH(N$43,Sheet3!$A$1:$U$1,0)-2)))</f>
        <v>#VALUE!</v>
      </c>
      <c r="O46" s="66" t="e">
        <f ca="1">IF(dataset="Correlation",CORREL(OFFSET(Sheet3!$B$2,0,MATCH(USA!$F46,Sheet3!$1:$1,0)-2,300,1),OFFSET(Sheet3!$B$2,0,MATCH(USA!O$43,Sheet3!$1:$1,0)-2,300,1)),ABS(OFFSET(Sheet3!$B$2,0,MATCH(USA!$F46,Sheet3!$A$1:$U$1,0)-2)-OFFSET(Sheet3!$B$2,0,MATCH(O$43,Sheet3!$A$1:$U$1,0)-2)))</f>
        <v>#VALUE!</v>
      </c>
      <c r="P46" s="66" t="e">
        <f ca="1">IF(dataset="Correlation",CORREL(OFFSET(Sheet3!$B$2,0,MATCH(USA!$F46,Sheet3!$1:$1,0)-2,300,1),OFFSET(Sheet3!$B$2,0,MATCH(USA!P$43,Sheet3!$1:$1,0)-2,300,1)),ABS(OFFSET(Sheet3!$B$2,0,MATCH(USA!$F46,Sheet3!$A$1:$U$1,0)-2)-OFFSET(Sheet3!$B$2,0,MATCH(P$43,Sheet3!$A$1:$U$1,0)-2)))</f>
        <v>#VALUE!</v>
      </c>
      <c r="Q46" s="66" t="e">
        <f ca="1">IF(dataset="Correlation",CORREL(OFFSET(Sheet3!$B$2,0,MATCH(USA!$F46,Sheet3!$1:$1,0)-2,300,1),OFFSET(Sheet3!$B$2,0,MATCH(USA!Q$43,Sheet3!$1:$1,0)-2,300,1)),ABS(OFFSET(Sheet3!$B$2,0,MATCH(USA!$F46,Sheet3!$A$1:$U$1,0)-2)-OFFSET(Sheet3!$B$2,0,MATCH(Q$43,Sheet3!$A$1:$U$1,0)-2)))</f>
        <v>#VALUE!</v>
      </c>
      <c r="R46" s="66" t="e">
        <f ca="1">IF(dataset="Correlation",CORREL(OFFSET(Sheet3!$B$2,0,MATCH(USA!$F46,Sheet3!$1:$1,0)-2,300,1),OFFSET(Sheet3!$B$2,0,MATCH(USA!R$43,Sheet3!$1:$1,0)-2,300,1)),ABS(OFFSET(Sheet3!$B$2,0,MATCH(USA!$F46,Sheet3!$A$1:$U$1,0)-2)-OFFSET(Sheet3!$B$2,0,MATCH(R$43,Sheet3!$A$1:$U$1,0)-2)))</f>
        <v>#VALUE!</v>
      </c>
      <c r="S46" s="66" t="e">
        <f ca="1">IF(dataset="Correlation",CORREL(OFFSET(Sheet3!$B$2,0,MATCH(USA!$F46,Sheet3!$1:$1,0)-2,300,1),OFFSET(Sheet3!$B$2,0,MATCH(USA!S$43,Sheet3!$1:$1,0)-2,300,1)),ABS(OFFSET(Sheet3!$B$2,0,MATCH(USA!$F46,Sheet3!$A$1:$U$1,0)-2)-OFFSET(Sheet3!$B$2,0,MATCH(S$43,Sheet3!$A$1:$U$1,0)-2)))</f>
        <v>#VALUE!</v>
      </c>
      <c r="T46" s="66" t="e">
        <f ca="1">IF(dataset="Correlation",CORREL(OFFSET(Sheet3!$B$2,0,MATCH(USA!$F46,Sheet3!$1:$1,0)-2,300,1),OFFSET(Sheet3!$B$2,0,MATCH(USA!T$43,Sheet3!$1:$1,0)-2,300,1)),ABS(OFFSET(Sheet3!$B$2,0,MATCH(USA!$F46,Sheet3!$A$1:$U$1,0)-2)-OFFSET(Sheet3!$B$2,0,MATCH(T$43,Sheet3!$A$1:$U$1,0)-2)))</f>
        <v>#VALUE!</v>
      </c>
      <c r="U46" s="66" t="e">
        <f ca="1">IF(dataset="Correlation",CORREL(OFFSET(Sheet3!$B$2,0,MATCH(USA!$F46,Sheet3!$1:$1,0)-2,300,1),OFFSET(Sheet3!$B$2,0,MATCH(USA!U$43,Sheet3!$1:$1,0)-2,300,1)),ABS(OFFSET(Sheet3!$B$2,0,MATCH(USA!$F46,Sheet3!$A$1:$U$1,0)-2)-OFFSET(Sheet3!$B$2,0,MATCH(U$43,Sheet3!$A$1:$U$1,0)-2)))</f>
        <v>#VALUE!</v>
      </c>
      <c r="V46" s="66" t="e">
        <f ca="1">IF(dataset="Correlation",CORREL(OFFSET(Sheet3!$B$2,0,MATCH(USA!$F46,Sheet3!$1:$1,0)-2,300,1),OFFSET(Sheet3!$B$2,0,MATCH(USA!V$43,Sheet3!$1:$1,0)-2,300,1)),ABS(OFFSET(Sheet3!$B$2,0,MATCH(USA!$F46,Sheet3!$A$1:$U$1,0)-2)-OFFSET(Sheet3!$B$2,0,MATCH(V$43,Sheet3!$A$1:$U$1,0)-2)))</f>
        <v>#VALUE!</v>
      </c>
      <c r="W46" s="66" t="e">
        <f ca="1">IF(dataset="Correlation",CORREL(OFFSET(Sheet3!$B$2,0,MATCH(USA!$F46,Sheet3!$1:$1,0)-2,300,1),OFFSET(Sheet3!$B$2,0,MATCH(USA!W$43,Sheet3!$1:$1,0)-2,300,1)),ABS(OFFSET(Sheet3!$B$2,0,MATCH(USA!$F46,Sheet3!$A$1:$U$1,0)-2)-OFFSET(Sheet3!$B$2,0,MATCH(W$43,Sheet3!$A$1:$U$1,0)-2)))</f>
        <v>#VALUE!</v>
      </c>
      <c r="X46" s="66" t="e">
        <f ca="1">IF(dataset="Correlation",CORREL(OFFSET(Sheet3!$B$2,0,MATCH(USA!$F46,Sheet3!$1:$1,0)-2,300,1),OFFSET(Sheet3!$B$2,0,MATCH(USA!X$43,Sheet3!$1:$1,0)-2,300,1)),ABS(OFFSET(Sheet3!$B$2,0,MATCH(USA!$F46,Sheet3!$A$1:$U$1,0)-2)-OFFSET(Sheet3!$B$2,0,MATCH(X$43,Sheet3!$A$1:$U$1,0)-2)))</f>
        <v>#VALUE!</v>
      </c>
      <c r="Y46" s="66" t="e">
        <f ca="1">IF(dataset="Correlation",CORREL(OFFSET(Sheet3!$B$2,0,MATCH(USA!$F46,Sheet3!$1:$1,0)-2,300,1),OFFSET(Sheet3!$B$2,0,MATCH(USA!Y$43,Sheet3!$1:$1,0)-2,300,1)),ABS(OFFSET(Sheet3!$B$2,0,MATCH(USA!$F46,Sheet3!$A$1:$U$1,0)-2)-OFFSET(Sheet3!$B$2,0,MATCH(Y$43,Sheet3!$A$1:$U$1,0)-2)))</f>
        <v>#VALUE!</v>
      </c>
      <c r="Z46" s="67" t="e">
        <f ca="1">IF(dataset="Correlation",CORREL(OFFSET(Sheet3!$B$2,0,MATCH(USA!$F46,Sheet3!$1:$1,0)-2,300,1),OFFSET(Sheet3!$B$2,0,MATCH(USA!Z$43,Sheet3!$1:$1,0)-2,300,1)),ABS(OFFSET(Sheet3!$B$2,0,MATCH(USA!$F46,Sheet3!$A$1:$U$1,0)-2)-OFFSET(Sheet3!$B$2,0,MATCH(Z$43,Sheet3!$A$1:$U$1,0)-2)))</f>
        <v>#VALUE!</v>
      </c>
      <c r="AC46" s="7"/>
      <c r="AD46" s="7"/>
      <c r="AE46" s="7"/>
      <c r="AF46" s="7"/>
      <c r="AG46" s="7"/>
      <c r="AH46" s="7"/>
      <c r="AI46" s="7"/>
      <c r="AJ46" s="7"/>
      <c r="AK46" s="7"/>
      <c r="AL46" s="7"/>
      <c r="AM46" s="7"/>
      <c r="AN46" s="7"/>
      <c r="AO46" s="7"/>
      <c r="AP46" s="7"/>
      <c r="AQ46" s="7"/>
      <c r="AR46" s="7"/>
      <c r="AS46" s="7"/>
      <c r="AT46" s="7"/>
      <c r="AU46" s="7"/>
      <c r="AV46" s="7"/>
      <c r="AW46" s="7"/>
      <c r="AX46" s="7"/>
    </row>
    <row r="47" spans="1:50" ht="15" customHeight="1" x14ac:dyDescent="0.25">
      <c r="A47" s="6" t="s">
        <v>127</v>
      </c>
      <c r="B47" s="6" t="str">
        <f>_xll.BDP($A47,"last price")</f>
        <v>#N/A Requesting Data...</v>
      </c>
      <c r="C47" s="8" t="str">
        <f>IF(OR(MID(A47,3,1)="H",MID(A47,3,1)="M",MID(A47,3,1)="U",MID(A47,3,1)="Z"),MAX($C$43:C46)+1,"")</f>
        <v/>
      </c>
      <c r="D47" s="9" t="str">
        <f ca="1">OFFSET($A$43,MATCH(4,$C$44:$C$87,0),0)</f>
        <v>EDH6 Comdty</v>
      </c>
      <c r="E47" s="11"/>
      <c r="F47" s="60" t="str">
        <f ca="1">_xll.BDP($D47,"TICKER")</f>
        <v>EDH6</v>
      </c>
      <c r="G47" s="68" t="e">
        <f ca="1">IF(dataset="Correlation",CORREL(OFFSET(Sheet3!$B$2,0,MATCH(USA!$F47,Sheet3!$1:$1,0)-2,300,1),OFFSET(Sheet3!$B$2,0,MATCH(USA!G$43,Sheet3!$1:$1,0)-2,300,1)),ABS(OFFSET(Sheet3!$B$2,0,MATCH(USA!$F47,Sheet3!$A$1:$U$1,0)-2)-OFFSET(Sheet3!$B$2,0,MATCH(G$43,Sheet3!$A$1:$U$1,0)-2)))</f>
        <v>#VALUE!</v>
      </c>
      <c r="H47" s="68" t="e">
        <f ca="1">IF(dataset="Correlation",CORREL(OFFSET(Sheet3!$B$2,0,MATCH(USA!$F47,Sheet3!$1:$1,0)-2,300,1),OFFSET(Sheet3!$B$2,0,MATCH(USA!H$43,Sheet3!$1:$1,0)-2,300,1)),ABS(OFFSET(Sheet3!$B$2,0,MATCH(USA!$F47,Sheet3!$A$1:$U$1,0)-2)-OFFSET(Sheet3!$B$2,0,MATCH(H$43,Sheet3!$A$1:$U$1,0)-2)))</f>
        <v>#VALUE!</v>
      </c>
      <c r="I47" s="68" t="e">
        <f ca="1">IF(dataset="Correlation",CORREL(OFFSET(Sheet3!$B$2,0,MATCH(USA!$F47,Sheet3!$1:$1,0)-2,300,1),OFFSET(Sheet3!$B$2,0,MATCH(USA!I$43,Sheet3!$1:$1,0)-2,300,1)),ABS(OFFSET(Sheet3!$B$2,0,MATCH(USA!$F47,Sheet3!$A$1:$U$1,0)-2)-OFFSET(Sheet3!$B$2,0,MATCH(I$43,Sheet3!$A$1:$U$1,0)-2)))</f>
        <v>#VALUE!</v>
      </c>
      <c r="J47" s="68" t="e">
        <f ca="1">IF(dataset="Correlation",CORREL(OFFSET(Sheet3!$B$2,0,MATCH(USA!$F47,Sheet3!$1:$1,0)-2,300,1),OFFSET(Sheet3!$B$2,0,MATCH(USA!J$43,Sheet3!$1:$1,0)-2,300,1)),ABS(OFFSET(Sheet3!$B$2,0,MATCH(USA!$F47,Sheet3!$A$1:$U$1,0)-2)-OFFSET(Sheet3!$B$2,0,MATCH(J$43,Sheet3!$A$1:$U$1,0)-2)))</f>
        <v>#VALUE!</v>
      </c>
      <c r="K47" s="68" t="e">
        <f ca="1">IF(dataset="Correlation",CORREL(OFFSET(Sheet3!$B$2,0,MATCH(USA!$F47,Sheet3!$1:$1,0)-2,300,1),OFFSET(Sheet3!$B$2,0,MATCH(USA!K$43,Sheet3!$1:$1,0)-2,300,1)),ABS(OFFSET(Sheet3!$B$2,0,MATCH(USA!$F47,Sheet3!$A$1:$U$1,0)-2)-OFFSET(Sheet3!$B$2,0,MATCH(K$43,Sheet3!$A$1:$U$1,0)-2)))</f>
        <v>#VALUE!</v>
      </c>
      <c r="L47" s="68" t="e">
        <f ca="1">IF(dataset="Correlation",CORREL(OFFSET(Sheet3!$B$2,0,MATCH(USA!$F47,Sheet3!$1:$1,0)-2,300,1),OFFSET(Sheet3!$B$2,0,MATCH(USA!L$43,Sheet3!$1:$1,0)-2,300,1)),ABS(OFFSET(Sheet3!$B$2,0,MATCH(USA!$F47,Sheet3!$A$1:$U$1,0)-2)-OFFSET(Sheet3!$B$2,0,MATCH(L$43,Sheet3!$A$1:$U$1,0)-2)))</f>
        <v>#VALUE!</v>
      </c>
      <c r="M47" s="68" t="e">
        <f ca="1">IF(dataset="Correlation",CORREL(OFFSET(Sheet3!$B$2,0,MATCH(USA!$F47,Sheet3!$1:$1,0)-2,300,1),OFFSET(Sheet3!$B$2,0,MATCH(USA!M$43,Sheet3!$1:$1,0)-2,300,1)),ABS(OFFSET(Sheet3!$B$2,0,MATCH(USA!$F47,Sheet3!$A$1:$U$1,0)-2)-OFFSET(Sheet3!$B$2,0,MATCH(M$43,Sheet3!$A$1:$U$1,0)-2)))</f>
        <v>#VALUE!</v>
      </c>
      <c r="N47" s="68" t="e">
        <f ca="1">IF(dataset="Correlation",CORREL(OFFSET(Sheet3!$B$2,0,MATCH(USA!$F47,Sheet3!$1:$1,0)-2,300,1),OFFSET(Sheet3!$B$2,0,MATCH(USA!N$43,Sheet3!$1:$1,0)-2,300,1)),ABS(OFFSET(Sheet3!$B$2,0,MATCH(USA!$F47,Sheet3!$A$1:$U$1,0)-2)-OFFSET(Sheet3!$B$2,0,MATCH(N$43,Sheet3!$A$1:$U$1,0)-2)))</f>
        <v>#VALUE!</v>
      </c>
      <c r="O47" s="68" t="e">
        <f ca="1">IF(dataset="Correlation",CORREL(OFFSET(Sheet3!$B$2,0,MATCH(USA!$F47,Sheet3!$1:$1,0)-2,300,1),OFFSET(Sheet3!$B$2,0,MATCH(USA!O$43,Sheet3!$1:$1,0)-2,300,1)),ABS(OFFSET(Sheet3!$B$2,0,MATCH(USA!$F47,Sheet3!$A$1:$U$1,0)-2)-OFFSET(Sheet3!$B$2,0,MATCH(O$43,Sheet3!$A$1:$U$1,0)-2)))</f>
        <v>#VALUE!</v>
      </c>
      <c r="P47" s="68" t="e">
        <f ca="1">IF(dataset="Correlation",CORREL(OFFSET(Sheet3!$B$2,0,MATCH(USA!$F47,Sheet3!$1:$1,0)-2,300,1),OFFSET(Sheet3!$B$2,0,MATCH(USA!P$43,Sheet3!$1:$1,0)-2,300,1)),ABS(OFFSET(Sheet3!$B$2,0,MATCH(USA!$F47,Sheet3!$A$1:$U$1,0)-2)-OFFSET(Sheet3!$B$2,0,MATCH(P$43,Sheet3!$A$1:$U$1,0)-2)))</f>
        <v>#VALUE!</v>
      </c>
      <c r="Q47" s="68" t="e">
        <f ca="1">IF(dataset="Correlation",CORREL(OFFSET(Sheet3!$B$2,0,MATCH(USA!$F47,Sheet3!$1:$1,0)-2,300,1),OFFSET(Sheet3!$B$2,0,MATCH(USA!Q$43,Sheet3!$1:$1,0)-2,300,1)),ABS(OFFSET(Sheet3!$B$2,0,MATCH(USA!$F47,Sheet3!$A$1:$U$1,0)-2)-OFFSET(Sheet3!$B$2,0,MATCH(Q$43,Sheet3!$A$1:$U$1,0)-2)))</f>
        <v>#VALUE!</v>
      </c>
      <c r="R47" s="68" t="e">
        <f ca="1">IF(dataset="Correlation",CORREL(OFFSET(Sheet3!$B$2,0,MATCH(USA!$F47,Sheet3!$1:$1,0)-2,300,1),OFFSET(Sheet3!$B$2,0,MATCH(USA!R$43,Sheet3!$1:$1,0)-2,300,1)),ABS(OFFSET(Sheet3!$B$2,0,MATCH(USA!$F47,Sheet3!$A$1:$U$1,0)-2)-OFFSET(Sheet3!$B$2,0,MATCH(R$43,Sheet3!$A$1:$U$1,0)-2)))</f>
        <v>#VALUE!</v>
      </c>
      <c r="S47" s="68" t="e">
        <f ca="1">IF(dataset="Correlation",CORREL(OFFSET(Sheet3!$B$2,0,MATCH(USA!$F47,Sheet3!$1:$1,0)-2,300,1),OFFSET(Sheet3!$B$2,0,MATCH(USA!S$43,Sheet3!$1:$1,0)-2,300,1)),ABS(OFFSET(Sheet3!$B$2,0,MATCH(USA!$F47,Sheet3!$A$1:$U$1,0)-2)-OFFSET(Sheet3!$B$2,0,MATCH(S$43,Sheet3!$A$1:$U$1,0)-2)))</f>
        <v>#VALUE!</v>
      </c>
      <c r="T47" s="68" t="e">
        <f ca="1">IF(dataset="Correlation",CORREL(OFFSET(Sheet3!$B$2,0,MATCH(USA!$F47,Sheet3!$1:$1,0)-2,300,1),OFFSET(Sheet3!$B$2,0,MATCH(USA!T$43,Sheet3!$1:$1,0)-2,300,1)),ABS(OFFSET(Sheet3!$B$2,0,MATCH(USA!$F47,Sheet3!$A$1:$U$1,0)-2)-OFFSET(Sheet3!$B$2,0,MATCH(T$43,Sheet3!$A$1:$U$1,0)-2)))</f>
        <v>#VALUE!</v>
      </c>
      <c r="U47" s="68" t="e">
        <f ca="1">IF(dataset="Correlation",CORREL(OFFSET(Sheet3!$B$2,0,MATCH(USA!$F47,Sheet3!$1:$1,0)-2,300,1),OFFSET(Sheet3!$B$2,0,MATCH(USA!U$43,Sheet3!$1:$1,0)-2,300,1)),ABS(OFFSET(Sheet3!$B$2,0,MATCH(USA!$F47,Sheet3!$A$1:$U$1,0)-2)-OFFSET(Sheet3!$B$2,0,MATCH(U$43,Sheet3!$A$1:$U$1,0)-2)))</f>
        <v>#VALUE!</v>
      </c>
      <c r="V47" s="68" t="e">
        <f ca="1">IF(dataset="Correlation",CORREL(OFFSET(Sheet3!$B$2,0,MATCH(USA!$F47,Sheet3!$1:$1,0)-2,300,1),OFFSET(Sheet3!$B$2,0,MATCH(USA!V$43,Sheet3!$1:$1,0)-2,300,1)),ABS(OFFSET(Sheet3!$B$2,0,MATCH(USA!$F47,Sheet3!$A$1:$U$1,0)-2)-OFFSET(Sheet3!$B$2,0,MATCH(V$43,Sheet3!$A$1:$U$1,0)-2)))</f>
        <v>#VALUE!</v>
      </c>
      <c r="W47" s="68" t="e">
        <f ca="1">IF(dataset="Correlation",CORREL(OFFSET(Sheet3!$B$2,0,MATCH(USA!$F47,Sheet3!$1:$1,0)-2,300,1),OFFSET(Sheet3!$B$2,0,MATCH(USA!W$43,Sheet3!$1:$1,0)-2,300,1)),ABS(OFFSET(Sheet3!$B$2,0,MATCH(USA!$F47,Sheet3!$A$1:$U$1,0)-2)-OFFSET(Sheet3!$B$2,0,MATCH(W$43,Sheet3!$A$1:$U$1,0)-2)))</f>
        <v>#VALUE!</v>
      </c>
      <c r="X47" s="68" t="e">
        <f ca="1">IF(dataset="Correlation",CORREL(OFFSET(Sheet3!$B$2,0,MATCH(USA!$F47,Sheet3!$1:$1,0)-2,300,1),OFFSET(Sheet3!$B$2,0,MATCH(USA!X$43,Sheet3!$1:$1,0)-2,300,1)),ABS(OFFSET(Sheet3!$B$2,0,MATCH(USA!$F47,Sheet3!$A$1:$U$1,0)-2)-OFFSET(Sheet3!$B$2,0,MATCH(X$43,Sheet3!$A$1:$U$1,0)-2)))</f>
        <v>#VALUE!</v>
      </c>
      <c r="Y47" s="68" t="e">
        <f ca="1">IF(dataset="Correlation",CORREL(OFFSET(Sheet3!$B$2,0,MATCH(USA!$F47,Sheet3!$1:$1,0)-2,300,1),OFFSET(Sheet3!$B$2,0,MATCH(USA!Y$43,Sheet3!$1:$1,0)-2,300,1)),ABS(OFFSET(Sheet3!$B$2,0,MATCH(USA!$F47,Sheet3!$A$1:$U$1,0)-2)-OFFSET(Sheet3!$B$2,0,MATCH(Y$43,Sheet3!$A$1:$U$1,0)-2)))</f>
        <v>#VALUE!</v>
      </c>
      <c r="Z47" s="69" t="e">
        <f ca="1">IF(dataset="Correlation",CORREL(OFFSET(Sheet3!$B$2,0,MATCH(USA!$F47,Sheet3!$1:$1,0)-2,300,1),OFFSET(Sheet3!$B$2,0,MATCH(USA!Z$43,Sheet3!$1:$1,0)-2,300,1)),ABS(OFFSET(Sheet3!$B$2,0,MATCH(USA!$F47,Sheet3!$A$1:$U$1,0)-2)-OFFSET(Sheet3!$B$2,0,MATCH(Z$43,Sheet3!$A$1:$U$1,0)-2)))</f>
        <v>#VALUE!</v>
      </c>
      <c r="AC47" s="7"/>
      <c r="AD47" s="7"/>
      <c r="AE47" s="7"/>
      <c r="AF47" s="7"/>
      <c r="AG47" s="7"/>
      <c r="AH47" s="7"/>
      <c r="AI47" s="7"/>
      <c r="AJ47" s="7"/>
      <c r="AK47" s="7"/>
      <c r="AL47" s="7"/>
      <c r="AM47" s="7"/>
      <c r="AN47" s="7"/>
      <c r="AO47" s="7"/>
      <c r="AP47" s="7"/>
      <c r="AQ47" s="7"/>
      <c r="AR47" s="7"/>
      <c r="AS47" s="7"/>
      <c r="AT47" s="7"/>
      <c r="AU47" s="7"/>
      <c r="AV47" s="7"/>
      <c r="AW47" s="7"/>
      <c r="AX47" s="7"/>
    </row>
    <row r="48" spans="1:50" ht="15" customHeight="1" x14ac:dyDescent="0.25">
      <c r="A48" s="6" t="s">
        <v>57</v>
      </c>
      <c r="B48" s="6" t="str">
        <f>_xll.BDP($A48,"last price")</f>
        <v>#N/A Requesting Data...</v>
      </c>
      <c r="C48" s="8">
        <f>IF(OR(MID(A48,3,1)="H",MID(A48,3,1)="M",MID(A48,3,1)="U",MID(A48,3,1)="Z"),MAX($C$43:C47)+1,"")</f>
        <v>2</v>
      </c>
      <c r="D48" s="9" t="str">
        <f ca="1">OFFSET($A$43,MATCH(5,$C$44:$C$87,0),0)</f>
        <v>EDM6 Comdty</v>
      </c>
      <c r="E48" s="11"/>
      <c r="F48" s="60" t="str">
        <f ca="1">_xll.BDP($D48,"TICKER")</f>
        <v>EDM6</v>
      </c>
      <c r="G48" s="66" t="e">
        <f ca="1">IF(dataset="Correlation",CORREL(OFFSET(Sheet3!$B$2,0,MATCH(USA!$F48,Sheet3!$1:$1,0)-2,300,1),OFFSET(Sheet3!$B$2,0,MATCH(USA!G$43,Sheet3!$1:$1,0)-2,300,1)),ABS(OFFSET(Sheet3!$B$2,0,MATCH(USA!$F48,Sheet3!$A$1:$U$1,0)-2)-OFFSET(Sheet3!$B$2,0,MATCH(G$43,Sheet3!$A$1:$U$1,0)-2)))</f>
        <v>#VALUE!</v>
      </c>
      <c r="H48" s="66" t="e">
        <f ca="1">IF(dataset="Correlation",CORREL(OFFSET(Sheet3!$B$2,0,MATCH(USA!$F48,Sheet3!$1:$1,0)-2,300,1),OFFSET(Sheet3!$B$2,0,MATCH(USA!H$43,Sheet3!$1:$1,0)-2,300,1)),ABS(OFFSET(Sheet3!$B$2,0,MATCH(USA!$F48,Sheet3!$A$1:$U$1,0)-2)-OFFSET(Sheet3!$B$2,0,MATCH(H$43,Sheet3!$A$1:$U$1,0)-2)))</f>
        <v>#VALUE!</v>
      </c>
      <c r="I48" s="66" t="e">
        <f ca="1">IF(dataset="Correlation",CORREL(OFFSET(Sheet3!$B$2,0,MATCH(USA!$F48,Sheet3!$1:$1,0)-2,300,1),OFFSET(Sheet3!$B$2,0,MATCH(USA!I$43,Sheet3!$1:$1,0)-2,300,1)),ABS(OFFSET(Sheet3!$B$2,0,MATCH(USA!$F48,Sheet3!$A$1:$U$1,0)-2)-OFFSET(Sheet3!$B$2,0,MATCH(I$43,Sheet3!$A$1:$U$1,0)-2)))</f>
        <v>#VALUE!</v>
      </c>
      <c r="J48" s="66" t="e">
        <f ca="1">IF(dataset="Correlation",CORREL(OFFSET(Sheet3!$B$2,0,MATCH(USA!$F48,Sheet3!$1:$1,0)-2,300,1),OFFSET(Sheet3!$B$2,0,MATCH(USA!J$43,Sheet3!$1:$1,0)-2,300,1)),ABS(OFFSET(Sheet3!$B$2,0,MATCH(USA!$F48,Sheet3!$A$1:$U$1,0)-2)-OFFSET(Sheet3!$B$2,0,MATCH(J$43,Sheet3!$A$1:$U$1,0)-2)))</f>
        <v>#VALUE!</v>
      </c>
      <c r="K48" s="66" t="e">
        <f ca="1">IF(dataset="Correlation",CORREL(OFFSET(Sheet3!$B$2,0,MATCH(USA!$F48,Sheet3!$1:$1,0)-2,300,1),OFFSET(Sheet3!$B$2,0,MATCH(USA!K$43,Sheet3!$1:$1,0)-2,300,1)),ABS(OFFSET(Sheet3!$B$2,0,MATCH(USA!$F48,Sheet3!$A$1:$U$1,0)-2)-OFFSET(Sheet3!$B$2,0,MATCH(K$43,Sheet3!$A$1:$U$1,0)-2)))</f>
        <v>#VALUE!</v>
      </c>
      <c r="L48" s="66" t="e">
        <f ca="1">IF(dataset="Correlation",CORREL(OFFSET(Sheet3!$B$2,0,MATCH(USA!$F48,Sheet3!$1:$1,0)-2,300,1),OFFSET(Sheet3!$B$2,0,MATCH(USA!L$43,Sheet3!$1:$1,0)-2,300,1)),ABS(OFFSET(Sheet3!$B$2,0,MATCH(USA!$F48,Sheet3!$A$1:$U$1,0)-2)-OFFSET(Sheet3!$B$2,0,MATCH(L$43,Sheet3!$A$1:$U$1,0)-2)))</f>
        <v>#VALUE!</v>
      </c>
      <c r="M48" s="66" t="e">
        <f ca="1">IF(dataset="Correlation",CORREL(OFFSET(Sheet3!$B$2,0,MATCH(USA!$F48,Sheet3!$1:$1,0)-2,300,1),OFFSET(Sheet3!$B$2,0,MATCH(USA!M$43,Sheet3!$1:$1,0)-2,300,1)),ABS(OFFSET(Sheet3!$B$2,0,MATCH(USA!$F48,Sheet3!$A$1:$U$1,0)-2)-OFFSET(Sheet3!$B$2,0,MATCH(M$43,Sheet3!$A$1:$U$1,0)-2)))</f>
        <v>#VALUE!</v>
      </c>
      <c r="N48" s="66" t="e">
        <f ca="1">IF(dataset="Correlation",CORREL(OFFSET(Sheet3!$B$2,0,MATCH(USA!$F48,Sheet3!$1:$1,0)-2,300,1),OFFSET(Sheet3!$B$2,0,MATCH(USA!N$43,Sheet3!$1:$1,0)-2,300,1)),ABS(OFFSET(Sheet3!$B$2,0,MATCH(USA!$F48,Sheet3!$A$1:$U$1,0)-2)-OFFSET(Sheet3!$B$2,0,MATCH(N$43,Sheet3!$A$1:$U$1,0)-2)))</f>
        <v>#VALUE!</v>
      </c>
      <c r="O48" s="66" t="e">
        <f ca="1">IF(dataset="Correlation",CORREL(OFFSET(Sheet3!$B$2,0,MATCH(USA!$F48,Sheet3!$1:$1,0)-2,300,1),OFFSET(Sheet3!$B$2,0,MATCH(USA!O$43,Sheet3!$1:$1,0)-2,300,1)),ABS(OFFSET(Sheet3!$B$2,0,MATCH(USA!$F48,Sheet3!$A$1:$U$1,0)-2)-OFFSET(Sheet3!$B$2,0,MATCH(O$43,Sheet3!$A$1:$U$1,0)-2)))</f>
        <v>#VALUE!</v>
      </c>
      <c r="P48" s="66" t="e">
        <f ca="1">IF(dataset="Correlation",CORREL(OFFSET(Sheet3!$B$2,0,MATCH(USA!$F48,Sheet3!$1:$1,0)-2,300,1),OFFSET(Sheet3!$B$2,0,MATCH(USA!P$43,Sheet3!$1:$1,0)-2,300,1)),ABS(OFFSET(Sheet3!$B$2,0,MATCH(USA!$F48,Sheet3!$A$1:$U$1,0)-2)-OFFSET(Sheet3!$B$2,0,MATCH(P$43,Sheet3!$A$1:$U$1,0)-2)))</f>
        <v>#VALUE!</v>
      </c>
      <c r="Q48" s="66" t="e">
        <f ca="1">IF(dataset="Correlation",CORREL(OFFSET(Sheet3!$B$2,0,MATCH(USA!$F48,Sheet3!$1:$1,0)-2,300,1),OFFSET(Sheet3!$B$2,0,MATCH(USA!Q$43,Sheet3!$1:$1,0)-2,300,1)),ABS(OFFSET(Sheet3!$B$2,0,MATCH(USA!$F48,Sheet3!$A$1:$U$1,0)-2)-OFFSET(Sheet3!$B$2,0,MATCH(Q$43,Sheet3!$A$1:$U$1,0)-2)))</f>
        <v>#VALUE!</v>
      </c>
      <c r="R48" s="66" t="e">
        <f ca="1">IF(dataset="Correlation",CORREL(OFFSET(Sheet3!$B$2,0,MATCH(USA!$F48,Sheet3!$1:$1,0)-2,300,1),OFFSET(Sheet3!$B$2,0,MATCH(USA!R$43,Sheet3!$1:$1,0)-2,300,1)),ABS(OFFSET(Sheet3!$B$2,0,MATCH(USA!$F48,Sheet3!$A$1:$U$1,0)-2)-OFFSET(Sheet3!$B$2,0,MATCH(R$43,Sheet3!$A$1:$U$1,0)-2)))</f>
        <v>#VALUE!</v>
      </c>
      <c r="S48" s="66" t="e">
        <f ca="1">IF(dataset="Correlation",CORREL(OFFSET(Sheet3!$B$2,0,MATCH(USA!$F48,Sheet3!$1:$1,0)-2,300,1),OFFSET(Sheet3!$B$2,0,MATCH(USA!S$43,Sheet3!$1:$1,0)-2,300,1)),ABS(OFFSET(Sheet3!$B$2,0,MATCH(USA!$F48,Sheet3!$A$1:$U$1,0)-2)-OFFSET(Sheet3!$B$2,0,MATCH(S$43,Sheet3!$A$1:$U$1,0)-2)))</f>
        <v>#VALUE!</v>
      </c>
      <c r="T48" s="66" t="e">
        <f ca="1">IF(dataset="Correlation",CORREL(OFFSET(Sheet3!$B$2,0,MATCH(USA!$F48,Sheet3!$1:$1,0)-2,300,1),OFFSET(Sheet3!$B$2,0,MATCH(USA!T$43,Sheet3!$1:$1,0)-2,300,1)),ABS(OFFSET(Sheet3!$B$2,0,MATCH(USA!$F48,Sheet3!$A$1:$U$1,0)-2)-OFFSET(Sheet3!$B$2,0,MATCH(T$43,Sheet3!$A$1:$U$1,0)-2)))</f>
        <v>#VALUE!</v>
      </c>
      <c r="U48" s="66" t="e">
        <f ca="1">IF(dataset="Correlation",CORREL(OFFSET(Sheet3!$B$2,0,MATCH(USA!$F48,Sheet3!$1:$1,0)-2,300,1),OFFSET(Sheet3!$B$2,0,MATCH(USA!U$43,Sheet3!$1:$1,0)-2,300,1)),ABS(OFFSET(Sheet3!$B$2,0,MATCH(USA!$F48,Sheet3!$A$1:$U$1,0)-2)-OFFSET(Sheet3!$B$2,0,MATCH(U$43,Sheet3!$A$1:$U$1,0)-2)))</f>
        <v>#VALUE!</v>
      </c>
      <c r="V48" s="66" t="e">
        <f ca="1">IF(dataset="Correlation",CORREL(OFFSET(Sheet3!$B$2,0,MATCH(USA!$F48,Sheet3!$1:$1,0)-2,300,1),OFFSET(Sheet3!$B$2,0,MATCH(USA!V$43,Sheet3!$1:$1,0)-2,300,1)),ABS(OFFSET(Sheet3!$B$2,0,MATCH(USA!$F48,Sheet3!$A$1:$U$1,0)-2)-OFFSET(Sheet3!$B$2,0,MATCH(V$43,Sheet3!$A$1:$U$1,0)-2)))</f>
        <v>#VALUE!</v>
      </c>
      <c r="W48" s="66" t="e">
        <f ca="1">IF(dataset="Correlation",CORREL(OFFSET(Sheet3!$B$2,0,MATCH(USA!$F48,Sheet3!$1:$1,0)-2,300,1),OFFSET(Sheet3!$B$2,0,MATCH(USA!W$43,Sheet3!$1:$1,0)-2,300,1)),ABS(OFFSET(Sheet3!$B$2,0,MATCH(USA!$F48,Sheet3!$A$1:$U$1,0)-2)-OFFSET(Sheet3!$B$2,0,MATCH(W$43,Sheet3!$A$1:$U$1,0)-2)))</f>
        <v>#VALUE!</v>
      </c>
      <c r="X48" s="66" t="e">
        <f ca="1">IF(dataset="Correlation",CORREL(OFFSET(Sheet3!$B$2,0,MATCH(USA!$F48,Sheet3!$1:$1,0)-2,300,1),OFFSET(Sheet3!$B$2,0,MATCH(USA!X$43,Sheet3!$1:$1,0)-2,300,1)),ABS(OFFSET(Sheet3!$B$2,0,MATCH(USA!$F48,Sheet3!$A$1:$U$1,0)-2)-OFFSET(Sheet3!$B$2,0,MATCH(X$43,Sheet3!$A$1:$U$1,0)-2)))</f>
        <v>#VALUE!</v>
      </c>
      <c r="Y48" s="66" t="e">
        <f ca="1">IF(dataset="Correlation",CORREL(OFFSET(Sheet3!$B$2,0,MATCH(USA!$F48,Sheet3!$1:$1,0)-2,300,1),OFFSET(Sheet3!$B$2,0,MATCH(USA!Y$43,Sheet3!$1:$1,0)-2,300,1)),ABS(OFFSET(Sheet3!$B$2,0,MATCH(USA!$F48,Sheet3!$A$1:$U$1,0)-2)-OFFSET(Sheet3!$B$2,0,MATCH(Y$43,Sheet3!$A$1:$U$1,0)-2)))</f>
        <v>#VALUE!</v>
      </c>
      <c r="Z48" s="67" t="e">
        <f ca="1">IF(dataset="Correlation",CORREL(OFFSET(Sheet3!$B$2,0,MATCH(USA!$F48,Sheet3!$1:$1,0)-2,300,1),OFFSET(Sheet3!$B$2,0,MATCH(USA!Z$43,Sheet3!$1:$1,0)-2,300,1)),ABS(OFFSET(Sheet3!$B$2,0,MATCH(USA!$F48,Sheet3!$A$1:$U$1,0)-2)-OFFSET(Sheet3!$B$2,0,MATCH(Z$43,Sheet3!$A$1:$U$1,0)-2)))</f>
        <v>#VALUE!</v>
      </c>
      <c r="AC48" s="7"/>
      <c r="AD48" s="7"/>
      <c r="AE48" s="7"/>
      <c r="AF48" s="7"/>
      <c r="AG48" s="7"/>
      <c r="AH48" s="7"/>
      <c r="AI48" s="7"/>
      <c r="AJ48" s="7"/>
      <c r="AK48" s="7"/>
      <c r="AL48" s="7"/>
      <c r="AM48" s="7"/>
      <c r="AN48" s="7"/>
      <c r="AO48" s="7"/>
      <c r="AP48" s="7"/>
      <c r="AQ48" s="7"/>
      <c r="AR48" s="7"/>
      <c r="AS48" s="7"/>
      <c r="AT48" s="7"/>
      <c r="AU48" s="7"/>
      <c r="AV48" s="7"/>
      <c r="AW48" s="7"/>
      <c r="AX48" s="7"/>
    </row>
    <row r="49" spans="1:50" ht="15" customHeight="1" x14ac:dyDescent="0.25">
      <c r="A49" s="6" t="s">
        <v>137</v>
      </c>
      <c r="B49" s="6" t="str">
        <f>_xll.BDP($A49,"last price")</f>
        <v>#N/A Requesting Data...</v>
      </c>
      <c r="C49" s="8" t="str">
        <f>IF(OR(MID(A49,3,1)="H",MID(A49,3,1)="M",MID(A49,3,1)="U",MID(A49,3,1)="Z"),MAX($C$43:C48)+1,"")</f>
        <v/>
      </c>
      <c r="D49" s="9" t="str">
        <f ca="1">OFFSET($A$43,MATCH(6,$C$44:$C$87,0),0)</f>
        <v>EDU6 Comdty</v>
      </c>
      <c r="E49" s="11"/>
      <c r="F49" s="60" t="str">
        <f ca="1">_xll.BDP($D49,"TICKER")</f>
        <v>EDU6</v>
      </c>
      <c r="G49" s="68" t="e">
        <f ca="1">IF(dataset="Correlation",CORREL(OFFSET(Sheet3!$B$2,0,MATCH(USA!$F49,Sheet3!$1:$1,0)-2,300,1),OFFSET(Sheet3!$B$2,0,MATCH(USA!G$43,Sheet3!$1:$1,0)-2,300,1)),ABS(OFFSET(Sheet3!$B$2,0,MATCH(USA!$F49,Sheet3!$A$1:$U$1,0)-2)-OFFSET(Sheet3!$B$2,0,MATCH(G$43,Sheet3!$A$1:$U$1,0)-2)))</f>
        <v>#VALUE!</v>
      </c>
      <c r="H49" s="68" t="e">
        <f ca="1">IF(dataset="Correlation",CORREL(OFFSET(Sheet3!$B$2,0,MATCH(USA!$F49,Sheet3!$1:$1,0)-2,300,1),OFFSET(Sheet3!$B$2,0,MATCH(USA!H$43,Sheet3!$1:$1,0)-2,300,1)),ABS(OFFSET(Sheet3!$B$2,0,MATCH(USA!$F49,Sheet3!$A$1:$U$1,0)-2)-OFFSET(Sheet3!$B$2,0,MATCH(H$43,Sheet3!$A$1:$U$1,0)-2)))</f>
        <v>#VALUE!</v>
      </c>
      <c r="I49" s="68" t="e">
        <f ca="1">IF(dataset="Correlation",CORREL(OFFSET(Sheet3!$B$2,0,MATCH(USA!$F49,Sheet3!$1:$1,0)-2,300,1),OFFSET(Sheet3!$B$2,0,MATCH(USA!I$43,Sheet3!$1:$1,0)-2,300,1)),ABS(OFFSET(Sheet3!$B$2,0,MATCH(USA!$F49,Sheet3!$A$1:$U$1,0)-2)-OFFSET(Sheet3!$B$2,0,MATCH(I$43,Sheet3!$A$1:$U$1,0)-2)))</f>
        <v>#VALUE!</v>
      </c>
      <c r="J49" s="68" t="e">
        <f ca="1">IF(dataset="Correlation",CORREL(OFFSET(Sheet3!$B$2,0,MATCH(USA!$F49,Sheet3!$1:$1,0)-2,300,1),OFFSET(Sheet3!$B$2,0,MATCH(USA!J$43,Sheet3!$1:$1,0)-2,300,1)),ABS(OFFSET(Sheet3!$B$2,0,MATCH(USA!$F49,Sheet3!$A$1:$U$1,0)-2)-OFFSET(Sheet3!$B$2,0,MATCH(J$43,Sheet3!$A$1:$U$1,0)-2)))</f>
        <v>#VALUE!</v>
      </c>
      <c r="K49" s="68" t="e">
        <f ca="1">IF(dataset="Correlation",CORREL(OFFSET(Sheet3!$B$2,0,MATCH(USA!$F49,Sheet3!$1:$1,0)-2,300,1),OFFSET(Sheet3!$B$2,0,MATCH(USA!K$43,Sheet3!$1:$1,0)-2,300,1)),ABS(OFFSET(Sheet3!$B$2,0,MATCH(USA!$F49,Sheet3!$A$1:$U$1,0)-2)-OFFSET(Sheet3!$B$2,0,MATCH(K$43,Sheet3!$A$1:$U$1,0)-2)))</f>
        <v>#VALUE!</v>
      </c>
      <c r="L49" s="68" t="e">
        <f ca="1">IF(dataset="Correlation",CORREL(OFFSET(Sheet3!$B$2,0,MATCH(USA!$F49,Sheet3!$1:$1,0)-2,300,1),OFFSET(Sheet3!$B$2,0,MATCH(USA!L$43,Sheet3!$1:$1,0)-2,300,1)),ABS(OFFSET(Sheet3!$B$2,0,MATCH(USA!$F49,Sheet3!$A$1:$U$1,0)-2)-OFFSET(Sheet3!$B$2,0,MATCH(L$43,Sheet3!$A$1:$U$1,0)-2)))</f>
        <v>#VALUE!</v>
      </c>
      <c r="M49" s="68" t="e">
        <f ca="1">IF(dataset="Correlation",CORREL(OFFSET(Sheet3!$B$2,0,MATCH(USA!$F49,Sheet3!$1:$1,0)-2,300,1),OFFSET(Sheet3!$B$2,0,MATCH(USA!M$43,Sheet3!$1:$1,0)-2,300,1)),ABS(OFFSET(Sheet3!$B$2,0,MATCH(USA!$F49,Sheet3!$A$1:$U$1,0)-2)-OFFSET(Sheet3!$B$2,0,MATCH(M$43,Sheet3!$A$1:$U$1,0)-2)))</f>
        <v>#VALUE!</v>
      </c>
      <c r="N49" s="68" t="e">
        <f ca="1">IF(dataset="Correlation",CORREL(OFFSET(Sheet3!$B$2,0,MATCH(USA!$F49,Sheet3!$1:$1,0)-2,300,1),OFFSET(Sheet3!$B$2,0,MATCH(USA!N$43,Sheet3!$1:$1,0)-2,300,1)),ABS(OFFSET(Sheet3!$B$2,0,MATCH(USA!$F49,Sheet3!$A$1:$U$1,0)-2)-OFFSET(Sheet3!$B$2,0,MATCH(N$43,Sheet3!$A$1:$U$1,0)-2)))</f>
        <v>#VALUE!</v>
      </c>
      <c r="O49" s="68" t="e">
        <f ca="1">IF(dataset="Correlation",CORREL(OFFSET(Sheet3!$B$2,0,MATCH(USA!$F49,Sheet3!$1:$1,0)-2,300,1),OFFSET(Sheet3!$B$2,0,MATCH(USA!O$43,Sheet3!$1:$1,0)-2,300,1)),ABS(OFFSET(Sheet3!$B$2,0,MATCH(USA!$F49,Sheet3!$A$1:$U$1,0)-2)-OFFSET(Sheet3!$B$2,0,MATCH(O$43,Sheet3!$A$1:$U$1,0)-2)))</f>
        <v>#VALUE!</v>
      </c>
      <c r="P49" s="68" t="e">
        <f ca="1">IF(dataset="Correlation",CORREL(OFFSET(Sheet3!$B$2,0,MATCH(USA!$F49,Sheet3!$1:$1,0)-2,300,1),OFFSET(Sheet3!$B$2,0,MATCH(USA!P$43,Sheet3!$1:$1,0)-2,300,1)),ABS(OFFSET(Sheet3!$B$2,0,MATCH(USA!$F49,Sheet3!$A$1:$U$1,0)-2)-OFFSET(Sheet3!$B$2,0,MATCH(P$43,Sheet3!$A$1:$U$1,0)-2)))</f>
        <v>#VALUE!</v>
      </c>
      <c r="Q49" s="68" t="e">
        <f ca="1">IF(dataset="Correlation",CORREL(OFFSET(Sheet3!$B$2,0,MATCH(USA!$F49,Sheet3!$1:$1,0)-2,300,1),OFFSET(Sheet3!$B$2,0,MATCH(USA!Q$43,Sheet3!$1:$1,0)-2,300,1)),ABS(OFFSET(Sheet3!$B$2,0,MATCH(USA!$F49,Sheet3!$A$1:$U$1,0)-2)-OFFSET(Sheet3!$B$2,0,MATCH(Q$43,Sheet3!$A$1:$U$1,0)-2)))</f>
        <v>#VALUE!</v>
      </c>
      <c r="R49" s="68" t="e">
        <f ca="1">IF(dataset="Correlation",CORREL(OFFSET(Sheet3!$B$2,0,MATCH(USA!$F49,Sheet3!$1:$1,0)-2,300,1),OFFSET(Sheet3!$B$2,0,MATCH(USA!R$43,Sheet3!$1:$1,0)-2,300,1)),ABS(OFFSET(Sheet3!$B$2,0,MATCH(USA!$F49,Sheet3!$A$1:$U$1,0)-2)-OFFSET(Sheet3!$B$2,0,MATCH(R$43,Sheet3!$A$1:$U$1,0)-2)))</f>
        <v>#VALUE!</v>
      </c>
      <c r="S49" s="68" t="e">
        <f ca="1">IF(dataset="Correlation",CORREL(OFFSET(Sheet3!$B$2,0,MATCH(USA!$F49,Sheet3!$1:$1,0)-2,300,1),OFFSET(Sheet3!$B$2,0,MATCH(USA!S$43,Sheet3!$1:$1,0)-2,300,1)),ABS(OFFSET(Sheet3!$B$2,0,MATCH(USA!$F49,Sheet3!$A$1:$U$1,0)-2)-OFFSET(Sheet3!$B$2,0,MATCH(S$43,Sheet3!$A$1:$U$1,0)-2)))</f>
        <v>#VALUE!</v>
      </c>
      <c r="T49" s="68" t="e">
        <f ca="1">IF(dataset="Correlation",CORREL(OFFSET(Sheet3!$B$2,0,MATCH(USA!$F49,Sheet3!$1:$1,0)-2,300,1),OFFSET(Sheet3!$B$2,0,MATCH(USA!T$43,Sheet3!$1:$1,0)-2,300,1)),ABS(OFFSET(Sheet3!$B$2,0,MATCH(USA!$F49,Sheet3!$A$1:$U$1,0)-2)-OFFSET(Sheet3!$B$2,0,MATCH(T$43,Sheet3!$A$1:$U$1,0)-2)))</f>
        <v>#VALUE!</v>
      </c>
      <c r="U49" s="68" t="e">
        <f ca="1">IF(dataset="Correlation",CORREL(OFFSET(Sheet3!$B$2,0,MATCH(USA!$F49,Sheet3!$1:$1,0)-2,300,1),OFFSET(Sheet3!$B$2,0,MATCH(USA!U$43,Sheet3!$1:$1,0)-2,300,1)),ABS(OFFSET(Sheet3!$B$2,0,MATCH(USA!$F49,Sheet3!$A$1:$U$1,0)-2)-OFFSET(Sheet3!$B$2,0,MATCH(U$43,Sheet3!$A$1:$U$1,0)-2)))</f>
        <v>#VALUE!</v>
      </c>
      <c r="V49" s="68" t="e">
        <f ca="1">IF(dataset="Correlation",CORREL(OFFSET(Sheet3!$B$2,0,MATCH(USA!$F49,Sheet3!$1:$1,0)-2,300,1),OFFSET(Sheet3!$B$2,0,MATCH(USA!V$43,Sheet3!$1:$1,0)-2,300,1)),ABS(OFFSET(Sheet3!$B$2,0,MATCH(USA!$F49,Sheet3!$A$1:$U$1,0)-2)-OFFSET(Sheet3!$B$2,0,MATCH(V$43,Sheet3!$A$1:$U$1,0)-2)))</f>
        <v>#VALUE!</v>
      </c>
      <c r="W49" s="68" t="e">
        <f ca="1">IF(dataset="Correlation",CORREL(OFFSET(Sheet3!$B$2,0,MATCH(USA!$F49,Sheet3!$1:$1,0)-2,300,1),OFFSET(Sheet3!$B$2,0,MATCH(USA!W$43,Sheet3!$1:$1,0)-2,300,1)),ABS(OFFSET(Sheet3!$B$2,0,MATCH(USA!$F49,Sheet3!$A$1:$U$1,0)-2)-OFFSET(Sheet3!$B$2,0,MATCH(W$43,Sheet3!$A$1:$U$1,0)-2)))</f>
        <v>#VALUE!</v>
      </c>
      <c r="X49" s="68" t="e">
        <f ca="1">IF(dataset="Correlation",CORREL(OFFSET(Sheet3!$B$2,0,MATCH(USA!$F49,Sheet3!$1:$1,0)-2,300,1),OFFSET(Sheet3!$B$2,0,MATCH(USA!X$43,Sheet3!$1:$1,0)-2,300,1)),ABS(OFFSET(Sheet3!$B$2,0,MATCH(USA!$F49,Sheet3!$A$1:$U$1,0)-2)-OFFSET(Sheet3!$B$2,0,MATCH(X$43,Sheet3!$A$1:$U$1,0)-2)))</f>
        <v>#VALUE!</v>
      </c>
      <c r="Y49" s="68" t="e">
        <f ca="1">IF(dataset="Correlation",CORREL(OFFSET(Sheet3!$B$2,0,MATCH(USA!$F49,Sheet3!$1:$1,0)-2,300,1),OFFSET(Sheet3!$B$2,0,MATCH(USA!Y$43,Sheet3!$1:$1,0)-2,300,1)),ABS(OFFSET(Sheet3!$B$2,0,MATCH(USA!$F49,Sheet3!$A$1:$U$1,0)-2)-OFFSET(Sheet3!$B$2,0,MATCH(Y$43,Sheet3!$A$1:$U$1,0)-2)))</f>
        <v>#VALUE!</v>
      </c>
      <c r="Z49" s="69" t="e">
        <f ca="1">IF(dataset="Correlation",CORREL(OFFSET(Sheet3!$B$2,0,MATCH(USA!$F49,Sheet3!$1:$1,0)-2,300,1),OFFSET(Sheet3!$B$2,0,MATCH(USA!Z$43,Sheet3!$1:$1,0)-2,300,1)),ABS(OFFSET(Sheet3!$B$2,0,MATCH(USA!$F49,Sheet3!$A$1:$U$1,0)-2)-OFFSET(Sheet3!$B$2,0,MATCH(Z$43,Sheet3!$A$1:$U$1,0)-2)))</f>
        <v>#VALUE!</v>
      </c>
      <c r="AC49" s="7"/>
      <c r="AD49" s="7"/>
      <c r="AE49" s="7"/>
      <c r="AF49" s="7"/>
      <c r="AG49" s="7"/>
      <c r="AH49" s="7"/>
      <c r="AI49" s="7"/>
      <c r="AJ49" s="7"/>
      <c r="AK49" s="7"/>
      <c r="AL49" s="7"/>
      <c r="AM49" s="7"/>
      <c r="AN49" s="7"/>
      <c r="AO49" s="7"/>
      <c r="AP49" s="7"/>
      <c r="AQ49" s="7"/>
      <c r="AR49" s="7"/>
      <c r="AS49" s="7"/>
      <c r="AT49" s="7"/>
      <c r="AU49" s="7"/>
      <c r="AV49" s="7"/>
      <c r="AW49" s="7"/>
      <c r="AX49" s="7"/>
    </row>
    <row r="50" spans="1:50" ht="15" customHeight="1" x14ac:dyDescent="0.25">
      <c r="A50" s="6" t="s">
        <v>58</v>
      </c>
      <c r="B50" s="6" t="str">
        <f>_xll.BDP($A50,"last price")</f>
        <v>#N/A Requesting Data...</v>
      </c>
      <c r="C50" s="8">
        <f>IF(OR(MID(A50,3,1)="H",MID(A50,3,1)="M",MID(A50,3,1)="U",MID(A50,3,1)="Z"),MAX($C$43:C49)+1,"")</f>
        <v>3</v>
      </c>
      <c r="D50" s="9" t="str">
        <f ca="1">OFFSET($A$43,MATCH(7,$C$44:$C$87,0),0)</f>
        <v>EDZ6 Comdty</v>
      </c>
      <c r="E50" s="11"/>
      <c r="F50" s="60" t="str">
        <f ca="1">_xll.BDP($D50,"TICKER")</f>
        <v>EDZ6</v>
      </c>
      <c r="G50" s="66" t="e">
        <f ca="1">IF(dataset="Correlation",CORREL(OFFSET(Sheet3!$B$2,0,MATCH(USA!$F50,Sheet3!$1:$1,0)-2,300,1),OFFSET(Sheet3!$B$2,0,MATCH(USA!G$43,Sheet3!$1:$1,0)-2,300,1)),ABS(OFFSET(Sheet3!$B$2,0,MATCH(USA!$F50,Sheet3!$A$1:$U$1,0)-2)-OFFSET(Sheet3!$B$2,0,MATCH(G$43,Sheet3!$A$1:$U$1,0)-2)))</f>
        <v>#VALUE!</v>
      </c>
      <c r="H50" s="66" t="e">
        <f ca="1">IF(dataset="Correlation",CORREL(OFFSET(Sheet3!$B$2,0,MATCH(USA!$F50,Sheet3!$1:$1,0)-2,300,1),OFFSET(Sheet3!$B$2,0,MATCH(USA!H$43,Sheet3!$1:$1,0)-2,300,1)),ABS(OFFSET(Sheet3!$B$2,0,MATCH(USA!$F50,Sheet3!$A$1:$U$1,0)-2)-OFFSET(Sheet3!$B$2,0,MATCH(H$43,Sheet3!$A$1:$U$1,0)-2)))</f>
        <v>#VALUE!</v>
      </c>
      <c r="I50" s="66" t="e">
        <f ca="1">IF(dataset="Correlation",CORREL(OFFSET(Sheet3!$B$2,0,MATCH(USA!$F50,Sheet3!$1:$1,0)-2,300,1),OFFSET(Sheet3!$B$2,0,MATCH(USA!I$43,Sheet3!$1:$1,0)-2,300,1)),ABS(OFFSET(Sheet3!$B$2,0,MATCH(USA!$F50,Sheet3!$A$1:$U$1,0)-2)-OFFSET(Sheet3!$B$2,0,MATCH(I$43,Sheet3!$A$1:$U$1,0)-2)))</f>
        <v>#VALUE!</v>
      </c>
      <c r="J50" s="66" t="e">
        <f ca="1">IF(dataset="Correlation",CORREL(OFFSET(Sheet3!$B$2,0,MATCH(USA!$F50,Sheet3!$1:$1,0)-2,300,1),OFFSET(Sheet3!$B$2,0,MATCH(USA!J$43,Sheet3!$1:$1,0)-2,300,1)),ABS(OFFSET(Sheet3!$B$2,0,MATCH(USA!$F50,Sheet3!$A$1:$U$1,0)-2)-OFFSET(Sheet3!$B$2,0,MATCH(J$43,Sheet3!$A$1:$U$1,0)-2)))</f>
        <v>#VALUE!</v>
      </c>
      <c r="K50" s="66" t="e">
        <f ca="1">IF(dataset="Correlation",CORREL(OFFSET(Sheet3!$B$2,0,MATCH(USA!$F50,Sheet3!$1:$1,0)-2,300,1),OFFSET(Sheet3!$B$2,0,MATCH(USA!K$43,Sheet3!$1:$1,0)-2,300,1)),ABS(OFFSET(Sheet3!$B$2,0,MATCH(USA!$F50,Sheet3!$A$1:$U$1,0)-2)-OFFSET(Sheet3!$B$2,0,MATCH(K$43,Sheet3!$A$1:$U$1,0)-2)))</f>
        <v>#VALUE!</v>
      </c>
      <c r="L50" s="66" t="e">
        <f ca="1">IF(dataset="Correlation",CORREL(OFFSET(Sheet3!$B$2,0,MATCH(USA!$F50,Sheet3!$1:$1,0)-2,300,1),OFFSET(Sheet3!$B$2,0,MATCH(USA!L$43,Sheet3!$1:$1,0)-2,300,1)),ABS(OFFSET(Sheet3!$B$2,0,MATCH(USA!$F50,Sheet3!$A$1:$U$1,0)-2)-OFFSET(Sheet3!$B$2,0,MATCH(L$43,Sheet3!$A$1:$U$1,0)-2)))</f>
        <v>#VALUE!</v>
      </c>
      <c r="M50" s="66" t="e">
        <f ca="1">IF(dataset="Correlation",CORREL(OFFSET(Sheet3!$B$2,0,MATCH(USA!$F50,Sheet3!$1:$1,0)-2,300,1),OFFSET(Sheet3!$B$2,0,MATCH(USA!M$43,Sheet3!$1:$1,0)-2,300,1)),ABS(OFFSET(Sheet3!$B$2,0,MATCH(USA!$F50,Sheet3!$A$1:$U$1,0)-2)-OFFSET(Sheet3!$B$2,0,MATCH(M$43,Sheet3!$A$1:$U$1,0)-2)))</f>
        <v>#VALUE!</v>
      </c>
      <c r="N50" s="66" t="e">
        <f ca="1">IF(dataset="Correlation",CORREL(OFFSET(Sheet3!$B$2,0,MATCH(USA!$F50,Sheet3!$1:$1,0)-2,300,1),OFFSET(Sheet3!$B$2,0,MATCH(USA!N$43,Sheet3!$1:$1,0)-2,300,1)),ABS(OFFSET(Sheet3!$B$2,0,MATCH(USA!$F50,Sheet3!$A$1:$U$1,0)-2)-OFFSET(Sheet3!$B$2,0,MATCH(N$43,Sheet3!$A$1:$U$1,0)-2)))</f>
        <v>#VALUE!</v>
      </c>
      <c r="O50" s="66" t="e">
        <f ca="1">IF(dataset="Correlation",CORREL(OFFSET(Sheet3!$B$2,0,MATCH(USA!$F50,Sheet3!$1:$1,0)-2,300,1),OFFSET(Sheet3!$B$2,0,MATCH(USA!O$43,Sheet3!$1:$1,0)-2,300,1)),ABS(OFFSET(Sheet3!$B$2,0,MATCH(USA!$F50,Sheet3!$A$1:$U$1,0)-2)-OFFSET(Sheet3!$B$2,0,MATCH(O$43,Sheet3!$A$1:$U$1,0)-2)))</f>
        <v>#VALUE!</v>
      </c>
      <c r="P50" s="66" t="e">
        <f ca="1">IF(dataset="Correlation",CORREL(OFFSET(Sheet3!$B$2,0,MATCH(USA!$F50,Sheet3!$1:$1,0)-2,300,1),OFFSET(Sheet3!$B$2,0,MATCH(USA!P$43,Sheet3!$1:$1,0)-2,300,1)),ABS(OFFSET(Sheet3!$B$2,0,MATCH(USA!$F50,Sheet3!$A$1:$U$1,0)-2)-OFFSET(Sheet3!$B$2,0,MATCH(P$43,Sheet3!$A$1:$U$1,0)-2)))</f>
        <v>#VALUE!</v>
      </c>
      <c r="Q50" s="66" t="e">
        <f ca="1">IF(dataset="Correlation",CORREL(OFFSET(Sheet3!$B$2,0,MATCH(USA!$F50,Sheet3!$1:$1,0)-2,300,1),OFFSET(Sheet3!$B$2,0,MATCH(USA!Q$43,Sheet3!$1:$1,0)-2,300,1)),ABS(OFFSET(Sheet3!$B$2,0,MATCH(USA!$F50,Sheet3!$A$1:$U$1,0)-2)-OFFSET(Sheet3!$B$2,0,MATCH(Q$43,Sheet3!$A$1:$U$1,0)-2)))</f>
        <v>#VALUE!</v>
      </c>
      <c r="R50" s="66" t="e">
        <f ca="1">IF(dataset="Correlation",CORREL(OFFSET(Sheet3!$B$2,0,MATCH(USA!$F50,Sheet3!$1:$1,0)-2,300,1),OFFSET(Sheet3!$B$2,0,MATCH(USA!R$43,Sheet3!$1:$1,0)-2,300,1)),ABS(OFFSET(Sheet3!$B$2,0,MATCH(USA!$F50,Sheet3!$A$1:$U$1,0)-2)-OFFSET(Sheet3!$B$2,0,MATCH(R$43,Sheet3!$A$1:$U$1,0)-2)))</f>
        <v>#VALUE!</v>
      </c>
      <c r="S50" s="66" t="e">
        <f ca="1">IF(dataset="Correlation",CORREL(OFFSET(Sheet3!$B$2,0,MATCH(USA!$F50,Sheet3!$1:$1,0)-2,300,1),OFFSET(Sheet3!$B$2,0,MATCH(USA!S$43,Sheet3!$1:$1,0)-2,300,1)),ABS(OFFSET(Sheet3!$B$2,0,MATCH(USA!$F50,Sheet3!$A$1:$U$1,0)-2)-OFFSET(Sheet3!$B$2,0,MATCH(S$43,Sheet3!$A$1:$U$1,0)-2)))</f>
        <v>#VALUE!</v>
      </c>
      <c r="T50" s="66" t="e">
        <f ca="1">IF(dataset="Correlation",CORREL(OFFSET(Sheet3!$B$2,0,MATCH(USA!$F50,Sheet3!$1:$1,0)-2,300,1),OFFSET(Sheet3!$B$2,0,MATCH(USA!T$43,Sheet3!$1:$1,0)-2,300,1)),ABS(OFFSET(Sheet3!$B$2,0,MATCH(USA!$F50,Sheet3!$A$1:$U$1,0)-2)-OFFSET(Sheet3!$B$2,0,MATCH(T$43,Sheet3!$A$1:$U$1,0)-2)))</f>
        <v>#VALUE!</v>
      </c>
      <c r="U50" s="66" t="e">
        <f ca="1">IF(dataset="Correlation",CORREL(OFFSET(Sheet3!$B$2,0,MATCH(USA!$F50,Sheet3!$1:$1,0)-2,300,1),OFFSET(Sheet3!$B$2,0,MATCH(USA!U$43,Sheet3!$1:$1,0)-2,300,1)),ABS(OFFSET(Sheet3!$B$2,0,MATCH(USA!$F50,Sheet3!$A$1:$U$1,0)-2)-OFFSET(Sheet3!$B$2,0,MATCH(U$43,Sheet3!$A$1:$U$1,0)-2)))</f>
        <v>#VALUE!</v>
      </c>
      <c r="V50" s="66" t="e">
        <f ca="1">IF(dataset="Correlation",CORREL(OFFSET(Sheet3!$B$2,0,MATCH(USA!$F50,Sheet3!$1:$1,0)-2,300,1),OFFSET(Sheet3!$B$2,0,MATCH(USA!V$43,Sheet3!$1:$1,0)-2,300,1)),ABS(OFFSET(Sheet3!$B$2,0,MATCH(USA!$F50,Sheet3!$A$1:$U$1,0)-2)-OFFSET(Sheet3!$B$2,0,MATCH(V$43,Sheet3!$A$1:$U$1,0)-2)))</f>
        <v>#VALUE!</v>
      </c>
      <c r="W50" s="66" t="e">
        <f ca="1">IF(dataset="Correlation",CORREL(OFFSET(Sheet3!$B$2,0,MATCH(USA!$F50,Sheet3!$1:$1,0)-2,300,1),OFFSET(Sheet3!$B$2,0,MATCH(USA!W$43,Sheet3!$1:$1,0)-2,300,1)),ABS(OFFSET(Sheet3!$B$2,0,MATCH(USA!$F50,Sheet3!$A$1:$U$1,0)-2)-OFFSET(Sheet3!$B$2,0,MATCH(W$43,Sheet3!$A$1:$U$1,0)-2)))</f>
        <v>#VALUE!</v>
      </c>
      <c r="X50" s="66" t="e">
        <f ca="1">IF(dataset="Correlation",CORREL(OFFSET(Sheet3!$B$2,0,MATCH(USA!$F50,Sheet3!$1:$1,0)-2,300,1),OFFSET(Sheet3!$B$2,0,MATCH(USA!X$43,Sheet3!$1:$1,0)-2,300,1)),ABS(OFFSET(Sheet3!$B$2,0,MATCH(USA!$F50,Sheet3!$A$1:$U$1,0)-2)-OFFSET(Sheet3!$B$2,0,MATCH(X$43,Sheet3!$A$1:$U$1,0)-2)))</f>
        <v>#VALUE!</v>
      </c>
      <c r="Y50" s="66" t="e">
        <f ca="1">IF(dataset="Correlation",CORREL(OFFSET(Sheet3!$B$2,0,MATCH(USA!$F50,Sheet3!$1:$1,0)-2,300,1),OFFSET(Sheet3!$B$2,0,MATCH(USA!Y$43,Sheet3!$1:$1,0)-2,300,1)),ABS(OFFSET(Sheet3!$B$2,0,MATCH(USA!$F50,Sheet3!$A$1:$U$1,0)-2)-OFFSET(Sheet3!$B$2,0,MATCH(Y$43,Sheet3!$A$1:$U$1,0)-2)))</f>
        <v>#VALUE!</v>
      </c>
      <c r="Z50" s="67" t="e">
        <f ca="1">IF(dataset="Correlation",CORREL(OFFSET(Sheet3!$B$2,0,MATCH(USA!$F50,Sheet3!$1:$1,0)-2,300,1),OFFSET(Sheet3!$B$2,0,MATCH(USA!Z$43,Sheet3!$1:$1,0)-2,300,1)),ABS(OFFSET(Sheet3!$B$2,0,MATCH(USA!$F50,Sheet3!$A$1:$U$1,0)-2)-OFFSET(Sheet3!$B$2,0,MATCH(Z$43,Sheet3!$A$1:$U$1,0)-2)))</f>
        <v>#VALUE!</v>
      </c>
      <c r="AC50" s="7"/>
      <c r="AD50" s="7"/>
      <c r="AE50" s="7"/>
      <c r="AF50" s="7"/>
      <c r="AG50" s="7"/>
      <c r="AH50" s="7"/>
      <c r="AI50" s="7"/>
      <c r="AJ50" s="7"/>
      <c r="AK50" s="7"/>
      <c r="AL50" s="7"/>
      <c r="AM50" s="7"/>
      <c r="AN50" s="7"/>
      <c r="AO50" s="7"/>
      <c r="AP50" s="7"/>
      <c r="AQ50" s="7"/>
      <c r="AR50" s="7"/>
      <c r="AS50" s="7"/>
      <c r="AT50" s="7"/>
      <c r="AU50" s="7"/>
      <c r="AV50" s="7"/>
      <c r="AW50" s="7"/>
      <c r="AX50" s="7"/>
    </row>
    <row r="51" spans="1:50" ht="15" customHeight="1" x14ac:dyDescent="0.25">
      <c r="A51" s="6" t="s">
        <v>59</v>
      </c>
      <c r="B51" s="6" t="str">
        <f>_xll.BDP($A51,"last price")</f>
        <v>#N/A Requesting Data...</v>
      </c>
      <c r="C51" s="8">
        <f>IF(OR(MID(A51,3,1)="H",MID(A51,3,1)="M",MID(A51,3,1)="U",MID(A51,3,1)="Z"),MAX($C$43:C50)+1,"")</f>
        <v>4</v>
      </c>
      <c r="D51" s="9" t="str">
        <f ca="1">OFFSET($A$43,MATCH(8,$C$44:$C$87,0),0)</f>
        <v>EDH7 Comdty</v>
      </c>
      <c r="E51" s="11"/>
      <c r="F51" s="60" t="str">
        <f ca="1">_xll.BDP($D51,"TICKER")</f>
        <v>EDH7</v>
      </c>
      <c r="G51" s="68" t="e">
        <f ca="1">IF(dataset="Correlation",CORREL(OFFSET(Sheet3!$B$2,0,MATCH(USA!$F51,Sheet3!$1:$1,0)-2,300,1),OFFSET(Sheet3!$B$2,0,MATCH(USA!G$43,Sheet3!$1:$1,0)-2,300,1)),ABS(OFFSET(Sheet3!$B$2,0,MATCH(USA!$F51,Sheet3!$A$1:$U$1,0)-2)-OFFSET(Sheet3!$B$2,0,MATCH(G$43,Sheet3!$A$1:$U$1,0)-2)))</f>
        <v>#VALUE!</v>
      </c>
      <c r="H51" s="68" t="e">
        <f ca="1">IF(dataset="Correlation",CORREL(OFFSET(Sheet3!$B$2,0,MATCH(USA!$F51,Sheet3!$1:$1,0)-2,300,1),OFFSET(Sheet3!$B$2,0,MATCH(USA!H$43,Sheet3!$1:$1,0)-2,300,1)),ABS(OFFSET(Sheet3!$B$2,0,MATCH(USA!$F51,Sheet3!$A$1:$U$1,0)-2)-OFFSET(Sheet3!$B$2,0,MATCH(H$43,Sheet3!$A$1:$U$1,0)-2)))</f>
        <v>#VALUE!</v>
      </c>
      <c r="I51" s="68" t="e">
        <f ca="1">IF(dataset="Correlation",CORREL(OFFSET(Sheet3!$B$2,0,MATCH(USA!$F51,Sheet3!$1:$1,0)-2,300,1),OFFSET(Sheet3!$B$2,0,MATCH(USA!I$43,Sheet3!$1:$1,0)-2,300,1)),ABS(OFFSET(Sheet3!$B$2,0,MATCH(USA!$F51,Sheet3!$A$1:$U$1,0)-2)-OFFSET(Sheet3!$B$2,0,MATCH(I$43,Sheet3!$A$1:$U$1,0)-2)))</f>
        <v>#VALUE!</v>
      </c>
      <c r="J51" s="68" t="e">
        <f ca="1">IF(dataset="Correlation",CORREL(OFFSET(Sheet3!$B$2,0,MATCH(USA!$F51,Sheet3!$1:$1,0)-2,300,1),OFFSET(Sheet3!$B$2,0,MATCH(USA!J$43,Sheet3!$1:$1,0)-2,300,1)),ABS(OFFSET(Sheet3!$B$2,0,MATCH(USA!$F51,Sheet3!$A$1:$U$1,0)-2)-OFFSET(Sheet3!$B$2,0,MATCH(J$43,Sheet3!$A$1:$U$1,0)-2)))</f>
        <v>#VALUE!</v>
      </c>
      <c r="K51" s="68" t="e">
        <f ca="1">IF(dataset="Correlation",CORREL(OFFSET(Sheet3!$B$2,0,MATCH(USA!$F51,Sheet3!$1:$1,0)-2,300,1),OFFSET(Sheet3!$B$2,0,MATCH(USA!K$43,Sheet3!$1:$1,0)-2,300,1)),ABS(OFFSET(Sheet3!$B$2,0,MATCH(USA!$F51,Sheet3!$A$1:$U$1,0)-2)-OFFSET(Sheet3!$B$2,0,MATCH(K$43,Sheet3!$A$1:$U$1,0)-2)))</f>
        <v>#VALUE!</v>
      </c>
      <c r="L51" s="68" t="e">
        <f ca="1">IF(dataset="Correlation",CORREL(OFFSET(Sheet3!$B$2,0,MATCH(USA!$F51,Sheet3!$1:$1,0)-2,300,1),OFFSET(Sheet3!$B$2,0,MATCH(USA!L$43,Sheet3!$1:$1,0)-2,300,1)),ABS(OFFSET(Sheet3!$B$2,0,MATCH(USA!$F51,Sheet3!$A$1:$U$1,0)-2)-OFFSET(Sheet3!$B$2,0,MATCH(L$43,Sheet3!$A$1:$U$1,0)-2)))</f>
        <v>#VALUE!</v>
      </c>
      <c r="M51" s="68" t="e">
        <f ca="1">IF(dataset="Correlation",CORREL(OFFSET(Sheet3!$B$2,0,MATCH(USA!$F51,Sheet3!$1:$1,0)-2,300,1),OFFSET(Sheet3!$B$2,0,MATCH(USA!M$43,Sheet3!$1:$1,0)-2,300,1)),ABS(OFFSET(Sheet3!$B$2,0,MATCH(USA!$F51,Sheet3!$A$1:$U$1,0)-2)-OFFSET(Sheet3!$B$2,0,MATCH(M$43,Sheet3!$A$1:$U$1,0)-2)))</f>
        <v>#VALUE!</v>
      </c>
      <c r="N51" s="68" t="e">
        <f ca="1">IF(dataset="Correlation",CORREL(OFFSET(Sheet3!$B$2,0,MATCH(USA!$F51,Sheet3!$1:$1,0)-2,300,1),OFFSET(Sheet3!$B$2,0,MATCH(USA!N$43,Sheet3!$1:$1,0)-2,300,1)),ABS(OFFSET(Sheet3!$B$2,0,MATCH(USA!$F51,Sheet3!$A$1:$U$1,0)-2)-OFFSET(Sheet3!$B$2,0,MATCH(N$43,Sheet3!$A$1:$U$1,0)-2)))</f>
        <v>#VALUE!</v>
      </c>
      <c r="O51" s="68" t="e">
        <f ca="1">IF(dataset="Correlation",CORREL(OFFSET(Sheet3!$B$2,0,MATCH(USA!$F51,Sheet3!$1:$1,0)-2,300,1),OFFSET(Sheet3!$B$2,0,MATCH(USA!O$43,Sheet3!$1:$1,0)-2,300,1)),ABS(OFFSET(Sheet3!$B$2,0,MATCH(USA!$F51,Sheet3!$A$1:$U$1,0)-2)-OFFSET(Sheet3!$B$2,0,MATCH(O$43,Sheet3!$A$1:$U$1,0)-2)))</f>
        <v>#VALUE!</v>
      </c>
      <c r="P51" s="68" t="e">
        <f ca="1">IF(dataset="Correlation",CORREL(OFFSET(Sheet3!$B$2,0,MATCH(USA!$F51,Sheet3!$1:$1,0)-2,300,1),OFFSET(Sheet3!$B$2,0,MATCH(USA!P$43,Sheet3!$1:$1,0)-2,300,1)),ABS(OFFSET(Sheet3!$B$2,0,MATCH(USA!$F51,Sheet3!$A$1:$U$1,0)-2)-OFFSET(Sheet3!$B$2,0,MATCH(P$43,Sheet3!$A$1:$U$1,0)-2)))</f>
        <v>#VALUE!</v>
      </c>
      <c r="Q51" s="68" t="e">
        <f ca="1">IF(dataset="Correlation",CORREL(OFFSET(Sheet3!$B$2,0,MATCH(USA!$F51,Sheet3!$1:$1,0)-2,300,1),OFFSET(Sheet3!$B$2,0,MATCH(USA!Q$43,Sheet3!$1:$1,0)-2,300,1)),ABS(OFFSET(Sheet3!$B$2,0,MATCH(USA!$F51,Sheet3!$A$1:$U$1,0)-2)-OFFSET(Sheet3!$B$2,0,MATCH(Q$43,Sheet3!$A$1:$U$1,0)-2)))</f>
        <v>#VALUE!</v>
      </c>
      <c r="R51" s="68" t="e">
        <f ca="1">IF(dataset="Correlation",CORREL(OFFSET(Sheet3!$B$2,0,MATCH(USA!$F51,Sheet3!$1:$1,0)-2,300,1),OFFSET(Sheet3!$B$2,0,MATCH(USA!R$43,Sheet3!$1:$1,0)-2,300,1)),ABS(OFFSET(Sheet3!$B$2,0,MATCH(USA!$F51,Sheet3!$A$1:$U$1,0)-2)-OFFSET(Sheet3!$B$2,0,MATCH(R$43,Sheet3!$A$1:$U$1,0)-2)))</f>
        <v>#VALUE!</v>
      </c>
      <c r="S51" s="68" t="e">
        <f ca="1">IF(dataset="Correlation",CORREL(OFFSET(Sheet3!$B$2,0,MATCH(USA!$F51,Sheet3!$1:$1,0)-2,300,1),OFFSET(Sheet3!$B$2,0,MATCH(USA!S$43,Sheet3!$1:$1,0)-2,300,1)),ABS(OFFSET(Sheet3!$B$2,0,MATCH(USA!$F51,Sheet3!$A$1:$U$1,0)-2)-OFFSET(Sheet3!$B$2,0,MATCH(S$43,Sheet3!$A$1:$U$1,0)-2)))</f>
        <v>#VALUE!</v>
      </c>
      <c r="T51" s="68" t="e">
        <f ca="1">IF(dataset="Correlation",CORREL(OFFSET(Sheet3!$B$2,0,MATCH(USA!$F51,Sheet3!$1:$1,0)-2,300,1),OFFSET(Sheet3!$B$2,0,MATCH(USA!T$43,Sheet3!$1:$1,0)-2,300,1)),ABS(OFFSET(Sheet3!$B$2,0,MATCH(USA!$F51,Sheet3!$A$1:$U$1,0)-2)-OFFSET(Sheet3!$B$2,0,MATCH(T$43,Sheet3!$A$1:$U$1,0)-2)))</f>
        <v>#VALUE!</v>
      </c>
      <c r="U51" s="68" t="e">
        <f ca="1">IF(dataset="Correlation",CORREL(OFFSET(Sheet3!$B$2,0,MATCH(USA!$F51,Sheet3!$1:$1,0)-2,300,1),OFFSET(Sheet3!$B$2,0,MATCH(USA!U$43,Sheet3!$1:$1,0)-2,300,1)),ABS(OFFSET(Sheet3!$B$2,0,MATCH(USA!$F51,Sheet3!$A$1:$U$1,0)-2)-OFFSET(Sheet3!$B$2,0,MATCH(U$43,Sheet3!$A$1:$U$1,0)-2)))</f>
        <v>#VALUE!</v>
      </c>
      <c r="V51" s="68" t="e">
        <f ca="1">IF(dataset="Correlation",CORREL(OFFSET(Sheet3!$B$2,0,MATCH(USA!$F51,Sheet3!$1:$1,0)-2,300,1),OFFSET(Sheet3!$B$2,0,MATCH(USA!V$43,Sheet3!$1:$1,0)-2,300,1)),ABS(OFFSET(Sheet3!$B$2,0,MATCH(USA!$F51,Sheet3!$A$1:$U$1,0)-2)-OFFSET(Sheet3!$B$2,0,MATCH(V$43,Sheet3!$A$1:$U$1,0)-2)))</f>
        <v>#VALUE!</v>
      </c>
      <c r="W51" s="68" t="e">
        <f ca="1">IF(dataset="Correlation",CORREL(OFFSET(Sheet3!$B$2,0,MATCH(USA!$F51,Sheet3!$1:$1,0)-2,300,1),OFFSET(Sheet3!$B$2,0,MATCH(USA!W$43,Sheet3!$1:$1,0)-2,300,1)),ABS(OFFSET(Sheet3!$B$2,0,MATCH(USA!$F51,Sheet3!$A$1:$U$1,0)-2)-OFFSET(Sheet3!$B$2,0,MATCH(W$43,Sheet3!$A$1:$U$1,0)-2)))</f>
        <v>#VALUE!</v>
      </c>
      <c r="X51" s="68" t="e">
        <f ca="1">IF(dataset="Correlation",CORREL(OFFSET(Sheet3!$B$2,0,MATCH(USA!$F51,Sheet3!$1:$1,0)-2,300,1),OFFSET(Sheet3!$B$2,0,MATCH(USA!X$43,Sheet3!$1:$1,0)-2,300,1)),ABS(OFFSET(Sheet3!$B$2,0,MATCH(USA!$F51,Sheet3!$A$1:$U$1,0)-2)-OFFSET(Sheet3!$B$2,0,MATCH(X$43,Sheet3!$A$1:$U$1,0)-2)))</f>
        <v>#VALUE!</v>
      </c>
      <c r="Y51" s="68" t="e">
        <f ca="1">IF(dataset="Correlation",CORREL(OFFSET(Sheet3!$B$2,0,MATCH(USA!$F51,Sheet3!$1:$1,0)-2,300,1),OFFSET(Sheet3!$B$2,0,MATCH(USA!Y$43,Sheet3!$1:$1,0)-2,300,1)),ABS(OFFSET(Sheet3!$B$2,0,MATCH(USA!$F51,Sheet3!$A$1:$U$1,0)-2)-OFFSET(Sheet3!$B$2,0,MATCH(Y$43,Sheet3!$A$1:$U$1,0)-2)))</f>
        <v>#VALUE!</v>
      </c>
      <c r="Z51" s="69" t="e">
        <f ca="1">IF(dataset="Correlation",CORREL(OFFSET(Sheet3!$B$2,0,MATCH(USA!$F51,Sheet3!$1:$1,0)-2,300,1),OFFSET(Sheet3!$B$2,0,MATCH(USA!Z$43,Sheet3!$1:$1,0)-2,300,1)),ABS(OFFSET(Sheet3!$B$2,0,MATCH(USA!$F51,Sheet3!$A$1:$U$1,0)-2)-OFFSET(Sheet3!$B$2,0,MATCH(Z$43,Sheet3!$A$1:$U$1,0)-2)))</f>
        <v>#VALUE!</v>
      </c>
      <c r="AC51" s="7"/>
      <c r="AD51" s="7"/>
      <c r="AE51" s="7"/>
      <c r="AF51" s="7"/>
      <c r="AG51" s="7"/>
      <c r="AH51" s="7"/>
      <c r="AI51" s="7"/>
      <c r="AJ51" s="7"/>
      <c r="AK51" s="7"/>
      <c r="AL51" s="7"/>
      <c r="AM51" s="7"/>
      <c r="AN51" s="7"/>
      <c r="AO51" s="7"/>
      <c r="AP51" s="7"/>
      <c r="AQ51" s="7"/>
      <c r="AR51" s="7"/>
      <c r="AS51" s="7"/>
      <c r="AT51" s="7"/>
      <c r="AU51" s="7"/>
      <c r="AV51" s="7"/>
      <c r="AW51" s="7"/>
      <c r="AX51" s="7"/>
    </row>
    <row r="52" spans="1:50" ht="15" customHeight="1" x14ac:dyDescent="0.25">
      <c r="A52" s="6" t="s">
        <v>60</v>
      </c>
      <c r="B52" s="6" t="str">
        <f>_xll.BDP($A52,"last price")</f>
        <v>#N/A Requesting Data...</v>
      </c>
      <c r="C52" s="8">
        <f>IF(OR(MID(A52,3,1)="H",MID(A52,3,1)="M",MID(A52,3,1)="U",MID(A52,3,1)="Z"),MAX($C$43:C51)+1,"")</f>
        <v>5</v>
      </c>
      <c r="D52" s="9" t="str">
        <f ca="1">OFFSET($A$43,MATCH(9,$C$44:$C$87,0),0)</f>
        <v>EDM7 Comdty</v>
      </c>
      <c r="E52" s="11"/>
      <c r="F52" s="60" t="str">
        <f ca="1">_xll.BDP($D52,"TICKER")</f>
        <v>EDM7</v>
      </c>
      <c r="G52" s="66" t="e">
        <f ca="1">IF(dataset="Correlation",CORREL(OFFSET(Sheet3!$B$2,0,MATCH(USA!$F52,Sheet3!$1:$1,0)-2,300,1),OFFSET(Sheet3!$B$2,0,MATCH(USA!G$43,Sheet3!$1:$1,0)-2,300,1)),ABS(OFFSET(Sheet3!$B$2,0,MATCH(USA!$F52,Sheet3!$A$1:$U$1,0)-2)-OFFSET(Sheet3!$B$2,0,MATCH(G$43,Sheet3!$A$1:$U$1,0)-2)))</f>
        <v>#VALUE!</v>
      </c>
      <c r="H52" s="66" t="e">
        <f ca="1">IF(dataset="Correlation",CORREL(OFFSET(Sheet3!$B$2,0,MATCH(USA!$F52,Sheet3!$1:$1,0)-2,300,1),OFFSET(Sheet3!$B$2,0,MATCH(USA!H$43,Sheet3!$1:$1,0)-2,300,1)),ABS(OFFSET(Sheet3!$B$2,0,MATCH(USA!$F52,Sheet3!$A$1:$U$1,0)-2)-OFFSET(Sheet3!$B$2,0,MATCH(H$43,Sheet3!$A$1:$U$1,0)-2)))</f>
        <v>#VALUE!</v>
      </c>
      <c r="I52" s="66" t="e">
        <f ca="1">IF(dataset="Correlation",CORREL(OFFSET(Sheet3!$B$2,0,MATCH(USA!$F52,Sheet3!$1:$1,0)-2,300,1),OFFSET(Sheet3!$B$2,0,MATCH(USA!I$43,Sheet3!$1:$1,0)-2,300,1)),ABS(OFFSET(Sheet3!$B$2,0,MATCH(USA!$F52,Sheet3!$A$1:$U$1,0)-2)-OFFSET(Sheet3!$B$2,0,MATCH(I$43,Sheet3!$A$1:$U$1,0)-2)))</f>
        <v>#VALUE!</v>
      </c>
      <c r="J52" s="66" t="e">
        <f ca="1">IF(dataset="Correlation",CORREL(OFFSET(Sheet3!$B$2,0,MATCH(USA!$F52,Sheet3!$1:$1,0)-2,300,1),OFFSET(Sheet3!$B$2,0,MATCH(USA!J$43,Sheet3!$1:$1,0)-2,300,1)),ABS(OFFSET(Sheet3!$B$2,0,MATCH(USA!$F52,Sheet3!$A$1:$U$1,0)-2)-OFFSET(Sheet3!$B$2,0,MATCH(J$43,Sheet3!$A$1:$U$1,0)-2)))</f>
        <v>#VALUE!</v>
      </c>
      <c r="K52" s="66" t="e">
        <f ca="1">IF(dataset="Correlation",CORREL(OFFSET(Sheet3!$B$2,0,MATCH(USA!$F52,Sheet3!$1:$1,0)-2,300,1),OFFSET(Sheet3!$B$2,0,MATCH(USA!K$43,Sheet3!$1:$1,0)-2,300,1)),ABS(OFFSET(Sheet3!$B$2,0,MATCH(USA!$F52,Sheet3!$A$1:$U$1,0)-2)-OFFSET(Sheet3!$B$2,0,MATCH(K$43,Sheet3!$A$1:$U$1,0)-2)))</f>
        <v>#VALUE!</v>
      </c>
      <c r="L52" s="66" t="e">
        <f ca="1">IF(dataset="Correlation",CORREL(OFFSET(Sheet3!$B$2,0,MATCH(USA!$F52,Sheet3!$1:$1,0)-2,300,1),OFFSET(Sheet3!$B$2,0,MATCH(USA!L$43,Sheet3!$1:$1,0)-2,300,1)),ABS(OFFSET(Sheet3!$B$2,0,MATCH(USA!$F52,Sheet3!$A$1:$U$1,0)-2)-OFFSET(Sheet3!$B$2,0,MATCH(L$43,Sheet3!$A$1:$U$1,0)-2)))</f>
        <v>#VALUE!</v>
      </c>
      <c r="M52" s="66" t="e">
        <f ca="1">IF(dataset="Correlation",CORREL(OFFSET(Sheet3!$B$2,0,MATCH(USA!$F52,Sheet3!$1:$1,0)-2,300,1),OFFSET(Sheet3!$B$2,0,MATCH(USA!M$43,Sheet3!$1:$1,0)-2,300,1)),ABS(OFFSET(Sheet3!$B$2,0,MATCH(USA!$F52,Sheet3!$A$1:$U$1,0)-2)-OFFSET(Sheet3!$B$2,0,MATCH(M$43,Sheet3!$A$1:$U$1,0)-2)))</f>
        <v>#VALUE!</v>
      </c>
      <c r="N52" s="66" t="e">
        <f ca="1">IF(dataset="Correlation",CORREL(OFFSET(Sheet3!$B$2,0,MATCH(USA!$F52,Sheet3!$1:$1,0)-2,300,1),OFFSET(Sheet3!$B$2,0,MATCH(USA!N$43,Sheet3!$1:$1,0)-2,300,1)),ABS(OFFSET(Sheet3!$B$2,0,MATCH(USA!$F52,Sheet3!$A$1:$U$1,0)-2)-OFFSET(Sheet3!$B$2,0,MATCH(N$43,Sheet3!$A$1:$U$1,0)-2)))</f>
        <v>#VALUE!</v>
      </c>
      <c r="O52" s="66" t="e">
        <f ca="1">IF(dataset="Correlation",CORREL(OFFSET(Sheet3!$B$2,0,MATCH(USA!$F52,Sheet3!$1:$1,0)-2,300,1),OFFSET(Sheet3!$B$2,0,MATCH(USA!O$43,Sheet3!$1:$1,0)-2,300,1)),ABS(OFFSET(Sheet3!$B$2,0,MATCH(USA!$F52,Sheet3!$A$1:$U$1,0)-2)-OFFSET(Sheet3!$B$2,0,MATCH(O$43,Sheet3!$A$1:$U$1,0)-2)))</f>
        <v>#VALUE!</v>
      </c>
      <c r="P52" s="66" t="e">
        <f ca="1">IF(dataset="Correlation",CORREL(OFFSET(Sheet3!$B$2,0,MATCH(USA!$F52,Sheet3!$1:$1,0)-2,300,1),OFFSET(Sheet3!$B$2,0,MATCH(USA!P$43,Sheet3!$1:$1,0)-2,300,1)),ABS(OFFSET(Sheet3!$B$2,0,MATCH(USA!$F52,Sheet3!$A$1:$U$1,0)-2)-OFFSET(Sheet3!$B$2,0,MATCH(P$43,Sheet3!$A$1:$U$1,0)-2)))</f>
        <v>#VALUE!</v>
      </c>
      <c r="Q52" s="66" t="e">
        <f ca="1">IF(dataset="Correlation",CORREL(OFFSET(Sheet3!$B$2,0,MATCH(USA!$F52,Sheet3!$1:$1,0)-2,300,1),OFFSET(Sheet3!$B$2,0,MATCH(USA!Q$43,Sheet3!$1:$1,0)-2,300,1)),ABS(OFFSET(Sheet3!$B$2,0,MATCH(USA!$F52,Sheet3!$A$1:$U$1,0)-2)-OFFSET(Sheet3!$B$2,0,MATCH(Q$43,Sheet3!$A$1:$U$1,0)-2)))</f>
        <v>#VALUE!</v>
      </c>
      <c r="R52" s="66" t="e">
        <f ca="1">IF(dataset="Correlation",CORREL(OFFSET(Sheet3!$B$2,0,MATCH(USA!$F52,Sheet3!$1:$1,0)-2,300,1),OFFSET(Sheet3!$B$2,0,MATCH(USA!R$43,Sheet3!$1:$1,0)-2,300,1)),ABS(OFFSET(Sheet3!$B$2,0,MATCH(USA!$F52,Sheet3!$A$1:$U$1,0)-2)-OFFSET(Sheet3!$B$2,0,MATCH(R$43,Sheet3!$A$1:$U$1,0)-2)))</f>
        <v>#VALUE!</v>
      </c>
      <c r="S52" s="66" t="e">
        <f ca="1">IF(dataset="Correlation",CORREL(OFFSET(Sheet3!$B$2,0,MATCH(USA!$F52,Sheet3!$1:$1,0)-2,300,1),OFFSET(Sheet3!$B$2,0,MATCH(USA!S$43,Sheet3!$1:$1,0)-2,300,1)),ABS(OFFSET(Sheet3!$B$2,0,MATCH(USA!$F52,Sheet3!$A$1:$U$1,0)-2)-OFFSET(Sheet3!$B$2,0,MATCH(S$43,Sheet3!$A$1:$U$1,0)-2)))</f>
        <v>#VALUE!</v>
      </c>
      <c r="T52" s="66" t="e">
        <f ca="1">IF(dataset="Correlation",CORREL(OFFSET(Sheet3!$B$2,0,MATCH(USA!$F52,Sheet3!$1:$1,0)-2,300,1),OFFSET(Sheet3!$B$2,0,MATCH(USA!T$43,Sheet3!$1:$1,0)-2,300,1)),ABS(OFFSET(Sheet3!$B$2,0,MATCH(USA!$F52,Sheet3!$A$1:$U$1,0)-2)-OFFSET(Sheet3!$B$2,0,MATCH(T$43,Sheet3!$A$1:$U$1,0)-2)))</f>
        <v>#VALUE!</v>
      </c>
      <c r="U52" s="66" t="e">
        <f ca="1">IF(dataset="Correlation",CORREL(OFFSET(Sheet3!$B$2,0,MATCH(USA!$F52,Sheet3!$1:$1,0)-2,300,1),OFFSET(Sheet3!$B$2,0,MATCH(USA!U$43,Sheet3!$1:$1,0)-2,300,1)),ABS(OFFSET(Sheet3!$B$2,0,MATCH(USA!$F52,Sheet3!$A$1:$U$1,0)-2)-OFFSET(Sheet3!$B$2,0,MATCH(U$43,Sheet3!$A$1:$U$1,0)-2)))</f>
        <v>#VALUE!</v>
      </c>
      <c r="V52" s="66" t="e">
        <f ca="1">IF(dataset="Correlation",CORREL(OFFSET(Sheet3!$B$2,0,MATCH(USA!$F52,Sheet3!$1:$1,0)-2,300,1),OFFSET(Sheet3!$B$2,0,MATCH(USA!V$43,Sheet3!$1:$1,0)-2,300,1)),ABS(OFFSET(Sheet3!$B$2,0,MATCH(USA!$F52,Sheet3!$A$1:$U$1,0)-2)-OFFSET(Sheet3!$B$2,0,MATCH(V$43,Sheet3!$A$1:$U$1,0)-2)))</f>
        <v>#VALUE!</v>
      </c>
      <c r="W52" s="66" t="e">
        <f ca="1">IF(dataset="Correlation",CORREL(OFFSET(Sheet3!$B$2,0,MATCH(USA!$F52,Sheet3!$1:$1,0)-2,300,1),OFFSET(Sheet3!$B$2,0,MATCH(USA!W$43,Sheet3!$1:$1,0)-2,300,1)),ABS(OFFSET(Sheet3!$B$2,0,MATCH(USA!$F52,Sheet3!$A$1:$U$1,0)-2)-OFFSET(Sheet3!$B$2,0,MATCH(W$43,Sheet3!$A$1:$U$1,0)-2)))</f>
        <v>#VALUE!</v>
      </c>
      <c r="X52" s="66" t="e">
        <f ca="1">IF(dataset="Correlation",CORREL(OFFSET(Sheet3!$B$2,0,MATCH(USA!$F52,Sheet3!$1:$1,0)-2,300,1),OFFSET(Sheet3!$B$2,0,MATCH(USA!X$43,Sheet3!$1:$1,0)-2,300,1)),ABS(OFFSET(Sheet3!$B$2,0,MATCH(USA!$F52,Sheet3!$A$1:$U$1,0)-2)-OFFSET(Sheet3!$B$2,0,MATCH(X$43,Sheet3!$A$1:$U$1,0)-2)))</f>
        <v>#VALUE!</v>
      </c>
      <c r="Y52" s="66" t="e">
        <f ca="1">IF(dataset="Correlation",CORREL(OFFSET(Sheet3!$B$2,0,MATCH(USA!$F52,Sheet3!$1:$1,0)-2,300,1),OFFSET(Sheet3!$B$2,0,MATCH(USA!Y$43,Sheet3!$1:$1,0)-2,300,1)),ABS(OFFSET(Sheet3!$B$2,0,MATCH(USA!$F52,Sheet3!$A$1:$U$1,0)-2)-OFFSET(Sheet3!$B$2,0,MATCH(Y$43,Sheet3!$A$1:$U$1,0)-2)))</f>
        <v>#VALUE!</v>
      </c>
      <c r="Z52" s="67" t="e">
        <f ca="1">IF(dataset="Correlation",CORREL(OFFSET(Sheet3!$B$2,0,MATCH(USA!$F52,Sheet3!$1:$1,0)-2,300,1),OFFSET(Sheet3!$B$2,0,MATCH(USA!Z$43,Sheet3!$1:$1,0)-2,300,1)),ABS(OFFSET(Sheet3!$B$2,0,MATCH(USA!$F52,Sheet3!$A$1:$U$1,0)-2)-OFFSET(Sheet3!$B$2,0,MATCH(Z$43,Sheet3!$A$1:$U$1,0)-2)))</f>
        <v>#VALUE!</v>
      </c>
      <c r="AC52" s="7"/>
      <c r="AD52" s="7"/>
      <c r="AE52" s="7"/>
      <c r="AF52" s="7"/>
      <c r="AG52" s="7"/>
      <c r="AH52" s="7"/>
      <c r="AI52" s="7"/>
      <c r="AJ52" s="7"/>
      <c r="AK52" s="7"/>
      <c r="AL52" s="7"/>
      <c r="AM52" s="7"/>
      <c r="AN52" s="7"/>
      <c r="AO52" s="7"/>
      <c r="AP52" s="7"/>
      <c r="AQ52" s="7"/>
      <c r="AR52" s="7"/>
      <c r="AS52" s="7"/>
      <c r="AT52" s="7"/>
      <c r="AU52" s="7"/>
      <c r="AV52" s="7"/>
      <c r="AW52" s="7"/>
      <c r="AX52" s="7"/>
    </row>
    <row r="53" spans="1:50" ht="15" customHeight="1" x14ac:dyDescent="0.25">
      <c r="A53" s="6" t="s">
        <v>61</v>
      </c>
      <c r="B53" s="6" t="str">
        <f>_xll.BDP($A53,"last price")</f>
        <v>#N/A Requesting Data...</v>
      </c>
      <c r="C53" s="8">
        <f>IF(OR(MID(A53,3,1)="H",MID(A53,3,1)="M",MID(A53,3,1)="U",MID(A53,3,1)="Z"),MAX($C$43:C52)+1,"")</f>
        <v>6</v>
      </c>
      <c r="D53" s="9" t="str">
        <f ca="1">OFFSET($A$43,MATCH(10,$C$44:$C$87,0),0)</f>
        <v>EDU7 Comdty</v>
      </c>
      <c r="E53" s="11"/>
      <c r="F53" s="60" t="str">
        <f ca="1">_xll.BDP($D53,"TICKER")</f>
        <v>EDU7</v>
      </c>
      <c r="G53" s="68" t="e">
        <f ca="1">IF(dataset="Correlation",CORREL(OFFSET(Sheet3!$B$2,0,MATCH(USA!$F53,Sheet3!$1:$1,0)-2,300,1),OFFSET(Sheet3!$B$2,0,MATCH(USA!G$43,Sheet3!$1:$1,0)-2,300,1)),ABS(OFFSET(Sheet3!$B$2,0,MATCH(USA!$F53,Sheet3!$A$1:$U$1,0)-2)-OFFSET(Sheet3!$B$2,0,MATCH(G$43,Sheet3!$A$1:$U$1,0)-2)))</f>
        <v>#VALUE!</v>
      </c>
      <c r="H53" s="68" t="e">
        <f ca="1">IF(dataset="Correlation",CORREL(OFFSET(Sheet3!$B$2,0,MATCH(USA!$F53,Sheet3!$1:$1,0)-2,300,1),OFFSET(Sheet3!$B$2,0,MATCH(USA!H$43,Sheet3!$1:$1,0)-2,300,1)),ABS(OFFSET(Sheet3!$B$2,0,MATCH(USA!$F53,Sheet3!$A$1:$U$1,0)-2)-OFFSET(Sheet3!$B$2,0,MATCH(H$43,Sheet3!$A$1:$U$1,0)-2)))</f>
        <v>#VALUE!</v>
      </c>
      <c r="I53" s="68" t="e">
        <f ca="1">IF(dataset="Correlation",CORREL(OFFSET(Sheet3!$B$2,0,MATCH(USA!$F53,Sheet3!$1:$1,0)-2,300,1),OFFSET(Sheet3!$B$2,0,MATCH(USA!I$43,Sheet3!$1:$1,0)-2,300,1)),ABS(OFFSET(Sheet3!$B$2,0,MATCH(USA!$F53,Sheet3!$A$1:$U$1,0)-2)-OFFSET(Sheet3!$B$2,0,MATCH(I$43,Sheet3!$A$1:$U$1,0)-2)))</f>
        <v>#VALUE!</v>
      </c>
      <c r="J53" s="68" t="e">
        <f ca="1">IF(dataset="Correlation",CORREL(OFFSET(Sheet3!$B$2,0,MATCH(USA!$F53,Sheet3!$1:$1,0)-2,300,1),OFFSET(Sheet3!$B$2,0,MATCH(USA!J$43,Sheet3!$1:$1,0)-2,300,1)),ABS(OFFSET(Sheet3!$B$2,0,MATCH(USA!$F53,Sheet3!$A$1:$U$1,0)-2)-OFFSET(Sheet3!$B$2,0,MATCH(J$43,Sheet3!$A$1:$U$1,0)-2)))</f>
        <v>#VALUE!</v>
      </c>
      <c r="K53" s="68" t="e">
        <f ca="1">IF(dataset="Correlation",CORREL(OFFSET(Sheet3!$B$2,0,MATCH(USA!$F53,Sheet3!$1:$1,0)-2,300,1),OFFSET(Sheet3!$B$2,0,MATCH(USA!K$43,Sheet3!$1:$1,0)-2,300,1)),ABS(OFFSET(Sheet3!$B$2,0,MATCH(USA!$F53,Sheet3!$A$1:$U$1,0)-2)-OFFSET(Sheet3!$B$2,0,MATCH(K$43,Sheet3!$A$1:$U$1,0)-2)))</f>
        <v>#VALUE!</v>
      </c>
      <c r="L53" s="68" t="e">
        <f ca="1">IF(dataset="Correlation",CORREL(OFFSET(Sheet3!$B$2,0,MATCH(USA!$F53,Sheet3!$1:$1,0)-2,300,1),OFFSET(Sheet3!$B$2,0,MATCH(USA!L$43,Sheet3!$1:$1,0)-2,300,1)),ABS(OFFSET(Sheet3!$B$2,0,MATCH(USA!$F53,Sheet3!$A$1:$U$1,0)-2)-OFFSET(Sheet3!$B$2,0,MATCH(L$43,Sheet3!$A$1:$U$1,0)-2)))</f>
        <v>#VALUE!</v>
      </c>
      <c r="M53" s="68" t="e">
        <f ca="1">IF(dataset="Correlation",CORREL(OFFSET(Sheet3!$B$2,0,MATCH(USA!$F53,Sheet3!$1:$1,0)-2,300,1),OFFSET(Sheet3!$B$2,0,MATCH(USA!M$43,Sheet3!$1:$1,0)-2,300,1)),ABS(OFFSET(Sheet3!$B$2,0,MATCH(USA!$F53,Sheet3!$A$1:$U$1,0)-2)-OFFSET(Sheet3!$B$2,0,MATCH(M$43,Sheet3!$A$1:$U$1,0)-2)))</f>
        <v>#VALUE!</v>
      </c>
      <c r="N53" s="68" t="e">
        <f ca="1">IF(dataset="Correlation",CORREL(OFFSET(Sheet3!$B$2,0,MATCH(USA!$F53,Sheet3!$1:$1,0)-2,300,1),OFFSET(Sheet3!$B$2,0,MATCH(USA!N$43,Sheet3!$1:$1,0)-2,300,1)),ABS(OFFSET(Sheet3!$B$2,0,MATCH(USA!$F53,Sheet3!$A$1:$U$1,0)-2)-OFFSET(Sheet3!$B$2,0,MATCH(N$43,Sheet3!$A$1:$U$1,0)-2)))</f>
        <v>#VALUE!</v>
      </c>
      <c r="O53" s="68" t="e">
        <f ca="1">IF(dataset="Correlation",CORREL(OFFSET(Sheet3!$B$2,0,MATCH(USA!$F53,Sheet3!$1:$1,0)-2,300,1),OFFSET(Sheet3!$B$2,0,MATCH(USA!O$43,Sheet3!$1:$1,0)-2,300,1)),ABS(OFFSET(Sheet3!$B$2,0,MATCH(USA!$F53,Sheet3!$A$1:$U$1,0)-2)-OFFSET(Sheet3!$B$2,0,MATCH(O$43,Sheet3!$A$1:$U$1,0)-2)))</f>
        <v>#VALUE!</v>
      </c>
      <c r="P53" s="68" t="e">
        <f ca="1">IF(dataset="Correlation",CORREL(OFFSET(Sheet3!$B$2,0,MATCH(USA!$F53,Sheet3!$1:$1,0)-2,300,1),OFFSET(Sheet3!$B$2,0,MATCH(USA!P$43,Sheet3!$1:$1,0)-2,300,1)),ABS(OFFSET(Sheet3!$B$2,0,MATCH(USA!$F53,Sheet3!$A$1:$U$1,0)-2)-OFFSET(Sheet3!$B$2,0,MATCH(P$43,Sheet3!$A$1:$U$1,0)-2)))</f>
        <v>#VALUE!</v>
      </c>
      <c r="Q53" s="68" t="e">
        <f ca="1">IF(dataset="Correlation",CORREL(OFFSET(Sheet3!$B$2,0,MATCH(USA!$F53,Sheet3!$1:$1,0)-2,300,1),OFFSET(Sheet3!$B$2,0,MATCH(USA!Q$43,Sheet3!$1:$1,0)-2,300,1)),ABS(OFFSET(Sheet3!$B$2,0,MATCH(USA!$F53,Sheet3!$A$1:$U$1,0)-2)-OFFSET(Sheet3!$B$2,0,MATCH(Q$43,Sheet3!$A$1:$U$1,0)-2)))</f>
        <v>#VALUE!</v>
      </c>
      <c r="R53" s="68" t="e">
        <f ca="1">IF(dataset="Correlation",CORREL(OFFSET(Sheet3!$B$2,0,MATCH(USA!$F53,Sheet3!$1:$1,0)-2,300,1),OFFSET(Sheet3!$B$2,0,MATCH(USA!R$43,Sheet3!$1:$1,0)-2,300,1)),ABS(OFFSET(Sheet3!$B$2,0,MATCH(USA!$F53,Sheet3!$A$1:$U$1,0)-2)-OFFSET(Sheet3!$B$2,0,MATCH(R$43,Sheet3!$A$1:$U$1,0)-2)))</f>
        <v>#VALUE!</v>
      </c>
      <c r="S53" s="68" t="e">
        <f ca="1">IF(dataset="Correlation",CORREL(OFFSET(Sheet3!$B$2,0,MATCH(USA!$F53,Sheet3!$1:$1,0)-2,300,1),OFFSET(Sheet3!$B$2,0,MATCH(USA!S$43,Sheet3!$1:$1,0)-2,300,1)),ABS(OFFSET(Sheet3!$B$2,0,MATCH(USA!$F53,Sheet3!$A$1:$U$1,0)-2)-OFFSET(Sheet3!$B$2,0,MATCH(S$43,Sheet3!$A$1:$U$1,0)-2)))</f>
        <v>#VALUE!</v>
      </c>
      <c r="T53" s="68" t="e">
        <f ca="1">IF(dataset="Correlation",CORREL(OFFSET(Sheet3!$B$2,0,MATCH(USA!$F53,Sheet3!$1:$1,0)-2,300,1),OFFSET(Sheet3!$B$2,0,MATCH(USA!T$43,Sheet3!$1:$1,0)-2,300,1)),ABS(OFFSET(Sheet3!$B$2,0,MATCH(USA!$F53,Sheet3!$A$1:$U$1,0)-2)-OFFSET(Sheet3!$B$2,0,MATCH(T$43,Sheet3!$A$1:$U$1,0)-2)))</f>
        <v>#VALUE!</v>
      </c>
      <c r="U53" s="68" t="e">
        <f ca="1">IF(dataset="Correlation",CORREL(OFFSET(Sheet3!$B$2,0,MATCH(USA!$F53,Sheet3!$1:$1,0)-2,300,1),OFFSET(Sheet3!$B$2,0,MATCH(USA!U$43,Sheet3!$1:$1,0)-2,300,1)),ABS(OFFSET(Sheet3!$B$2,0,MATCH(USA!$F53,Sheet3!$A$1:$U$1,0)-2)-OFFSET(Sheet3!$B$2,0,MATCH(U$43,Sheet3!$A$1:$U$1,0)-2)))</f>
        <v>#VALUE!</v>
      </c>
      <c r="V53" s="68" t="e">
        <f ca="1">IF(dataset="Correlation",CORREL(OFFSET(Sheet3!$B$2,0,MATCH(USA!$F53,Sheet3!$1:$1,0)-2,300,1),OFFSET(Sheet3!$B$2,0,MATCH(USA!V$43,Sheet3!$1:$1,0)-2,300,1)),ABS(OFFSET(Sheet3!$B$2,0,MATCH(USA!$F53,Sheet3!$A$1:$U$1,0)-2)-OFFSET(Sheet3!$B$2,0,MATCH(V$43,Sheet3!$A$1:$U$1,0)-2)))</f>
        <v>#VALUE!</v>
      </c>
      <c r="W53" s="68" t="e">
        <f ca="1">IF(dataset="Correlation",CORREL(OFFSET(Sheet3!$B$2,0,MATCH(USA!$F53,Sheet3!$1:$1,0)-2,300,1),OFFSET(Sheet3!$B$2,0,MATCH(USA!W$43,Sheet3!$1:$1,0)-2,300,1)),ABS(OFFSET(Sheet3!$B$2,0,MATCH(USA!$F53,Sheet3!$A$1:$U$1,0)-2)-OFFSET(Sheet3!$B$2,0,MATCH(W$43,Sheet3!$A$1:$U$1,0)-2)))</f>
        <v>#VALUE!</v>
      </c>
      <c r="X53" s="68" t="e">
        <f ca="1">IF(dataset="Correlation",CORREL(OFFSET(Sheet3!$B$2,0,MATCH(USA!$F53,Sheet3!$1:$1,0)-2,300,1),OFFSET(Sheet3!$B$2,0,MATCH(USA!X$43,Sheet3!$1:$1,0)-2,300,1)),ABS(OFFSET(Sheet3!$B$2,0,MATCH(USA!$F53,Sheet3!$A$1:$U$1,0)-2)-OFFSET(Sheet3!$B$2,0,MATCH(X$43,Sheet3!$A$1:$U$1,0)-2)))</f>
        <v>#VALUE!</v>
      </c>
      <c r="Y53" s="68" t="e">
        <f ca="1">IF(dataset="Correlation",CORREL(OFFSET(Sheet3!$B$2,0,MATCH(USA!$F53,Sheet3!$1:$1,0)-2,300,1),OFFSET(Sheet3!$B$2,0,MATCH(USA!Y$43,Sheet3!$1:$1,0)-2,300,1)),ABS(OFFSET(Sheet3!$B$2,0,MATCH(USA!$F53,Sheet3!$A$1:$U$1,0)-2)-OFFSET(Sheet3!$B$2,0,MATCH(Y$43,Sheet3!$A$1:$U$1,0)-2)))</f>
        <v>#VALUE!</v>
      </c>
      <c r="Z53" s="69" t="e">
        <f ca="1">IF(dataset="Correlation",CORREL(OFFSET(Sheet3!$B$2,0,MATCH(USA!$F53,Sheet3!$1:$1,0)-2,300,1),OFFSET(Sheet3!$B$2,0,MATCH(USA!Z$43,Sheet3!$1:$1,0)-2,300,1)),ABS(OFFSET(Sheet3!$B$2,0,MATCH(USA!$F53,Sheet3!$A$1:$U$1,0)-2)-OFFSET(Sheet3!$B$2,0,MATCH(Z$43,Sheet3!$A$1:$U$1,0)-2)))</f>
        <v>#VALUE!</v>
      </c>
      <c r="AC53" s="7"/>
      <c r="AD53" s="7"/>
      <c r="AE53" s="7"/>
      <c r="AF53" s="7"/>
      <c r="AG53" s="7"/>
      <c r="AH53" s="7"/>
      <c r="AI53" s="7"/>
      <c r="AJ53" s="7"/>
      <c r="AK53" s="7"/>
      <c r="AL53" s="7"/>
      <c r="AM53" s="7"/>
      <c r="AN53" s="7"/>
      <c r="AO53" s="7"/>
      <c r="AP53" s="7"/>
      <c r="AQ53" s="7"/>
      <c r="AR53" s="7"/>
      <c r="AS53" s="7"/>
      <c r="AT53" s="7"/>
      <c r="AU53" s="7"/>
      <c r="AV53" s="7"/>
      <c r="AW53" s="7"/>
      <c r="AX53" s="7"/>
    </row>
    <row r="54" spans="1:50" ht="15" customHeight="1" x14ac:dyDescent="0.25">
      <c r="A54" s="6" t="s">
        <v>62</v>
      </c>
      <c r="B54" s="6">
        <f>_xll.BDP($A54,"last price")</f>
        <v>99.04</v>
      </c>
      <c r="C54" s="8">
        <f>IF(OR(MID(A54,3,1)="H",MID(A54,3,1)="M",MID(A54,3,1)="U",MID(A54,3,1)="Z"),MAX($C$43:C53)+1,"")</f>
        <v>7</v>
      </c>
      <c r="D54" s="9" t="str">
        <f ca="1">OFFSET($A$43,MATCH(11,$C$44:$C$87,0),0)</f>
        <v>EDZ7 Comdty</v>
      </c>
      <c r="E54" s="11"/>
      <c r="F54" s="60" t="str">
        <f ca="1">_xll.BDP($D54,"TICKER")</f>
        <v>EDZ7</v>
      </c>
      <c r="G54" s="66" t="e">
        <f ca="1">IF(dataset="Correlation",CORREL(OFFSET(Sheet3!$B$2,0,MATCH(USA!$F54,Sheet3!$1:$1,0)-2,300,1),OFFSET(Sheet3!$B$2,0,MATCH(USA!G$43,Sheet3!$1:$1,0)-2,300,1)),ABS(OFFSET(Sheet3!$B$2,0,MATCH(USA!$F54,Sheet3!$A$1:$U$1,0)-2)-OFFSET(Sheet3!$B$2,0,MATCH(G$43,Sheet3!$A$1:$U$1,0)-2)))</f>
        <v>#VALUE!</v>
      </c>
      <c r="H54" s="66" t="e">
        <f ca="1">IF(dataset="Correlation",CORREL(OFFSET(Sheet3!$B$2,0,MATCH(USA!$F54,Sheet3!$1:$1,0)-2,300,1),OFFSET(Sheet3!$B$2,0,MATCH(USA!H$43,Sheet3!$1:$1,0)-2,300,1)),ABS(OFFSET(Sheet3!$B$2,0,MATCH(USA!$F54,Sheet3!$A$1:$U$1,0)-2)-OFFSET(Sheet3!$B$2,0,MATCH(H$43,Sheet3!$A$1:$U$1,0)-2)))</f>
        <v>#VALUE!</v>
      </c>
      <c r="I54" s="66" t="e">
        <f ca="1">IF(dataset="Correlation",CORREL(OFFSET(Sheet3!$B$2,0,MATCH(USA!$F54,Sheet3!$1:$1,0)-2,300,1),OFFSET(Sheet3!$B$2,0,MATCH(USA!I$43,Sheet3!$1:$1,0)-2,300,1)),ABS(OFFSET(Sheet3!$B$2,0,MATCH(USA!$F54,Sheet3!$A$1:$U$1,0)-2)-OFFSET(Sheet3!$B$2,0,MATCH(I$43,Sheet3!$A$1:$U$1,0)-2)))</f>
        <v>#VALUE!</v>
      </c>
      <c r="J54" s="66" t="e">
        <f ca="1">IF(dataset="Correlation",CORREL(OFFSET(Sheet3!$B$2,0,MATCH(USA!$F54,Sheet3!$1:$1,0)-2,300,1),OFFSET(Sheet3!$B$2,0,MATCH(USA!J$43,Sheet3!$1:$1,0)-2,300,1)),ABS(OFFSET(Sheet3!$B$2,0,MATCH(USA!$F54,Sheet3!$A$1:$U$1,0)-2)-OFFSET(Sheet3!$B$2,0,MATCH(J$43,Sheet3!$A$1:$U$1,0)-2)))</f>
        <v>#VALUE!</v>
      </c>
      <c r="K54" s="66" t="e">
        <f ca="1">IF(dataset="Correlation",CORREL(OFFSET(Sheet3!$B$2,0,MATCH(USA!$F54,Sheet3!$1:$1,0)-2,300,1),OFFSET(Sheet3!$B$2,0,MATCH(USA!K$43,Sheet3!$1:$1,0)-2,300,1)),ABS(OFFSET(Sheet3!$B$2,0,MATCH(USA!$F54,Sheet3!$A$1:$U$1,0)-2)-OFFSET(Sheet3!$B$2,0,MATCH(K$43,Sheet3!$A$1:$U$1,0)-2)))</f>
        <v>#VALUE!</v>
      </c>
      <c r="L54" s="66" t="e">
        <f ca="1">IF(dataset="Correlation",CORREL(OFFSET(Sheet3!$B$2,0,MATCH(USA!$F54,Sheet3!$1:$1,0)-2,300,1),OFFSET(Sheet3!$B$2,0,MATCH(USA!L$43,Sheet3!$1:$1,0)-2,300,1)),ABS(OFFSET(Sheet3!$B$2,0,MATCH(USA!$F54,Sheet3!$A$1:$U$1,0)-2)-OFFSET(Sheet3!$B$2,0,MATCH(L$43,Sheet3!$A$1:$U$1,0)-2)))</f>
        <v>#VALUE!</v>
      </c>
      <c r="M54" s="66" t="e">
        <f ca="1">IF(dataset="Correlation",CORREL(OFFSET(Sheet3!$B$2,0,MATCH(USA!$F54,Sheet3!$1:$1,0)-2,300,1),OFFSET(Sheet3!$B$2,0,MATCH(USA!M$43,Sheet3!$1:$1,0)-2,300,1)),ABS(OFFSET(Sheet3!$B$2,0,MATCH(USA!$F54,Sheet3!$A$1:$U$1,0)-2)-OFFSET(Sheet3!$B$2,0,MATCH(M$43,Sheet3!$A$1:$U$1,0)-2)))</f>
        <v>#VALUE!</v>
      </c>
      <c r="N54" s="66" t="e">
        <f ca="1">IF(dataset="Correlation",CORREL(OFFSET(Sheet3!$B$2,0,MATCH(USA!$F54,Sheet3!$1:$1,0)-2,300,1),OFFSET(Sheet3!$B$2,0,MATCH(USA!N$43,Sheet3!$1:$1,0)-2,300,1)),ABS(OFFSET(Sheet3!$B$2,0,MATCH(USA!$F54,Sheet3!$A$1:$U$1,0)-2)-OFFSET(Sheet3!$B$2,0,MATCH(N$43,Sheet3!$A$1:$U$1,0)-2)))</f>
        <v>#VALUE!</v>
      </c>
      <c r="O54" s="66" t="e">
        <f ca="1">IF(dataset="Correlation",CORREL(OFFSET(Sheet3!$B$2,0,MATCH(USA!$F54,Sheet3!$1:$1,0)-2,300,1),OFFSET(Sheet3!$B$2,0,MATCH(USA!O$43,Sheet3!$1:$1,0)-2,300,1)),ABS(OFFSET(Sheet3!$B$2,0,MATCH(USA!$F54,Sheet3!$A$1:$U$1,0)-2)-OFFSET(Sheet3!$B$2,0,MATCH(O$43,Sheet3!$A$1:$U$1,0)-2)))</f>
        <v>#VALUE!</v>
      </c>
      <c r="P54" s="66" t="e">
        <f ca="1">IF(dataset="Correlation",CORREL(OFFSET(Sheet3!$B$2,0,MATCH(USA!$F54,Sheet3!$1:$1,0)-2,300,1),OFFSET(Sheet3!$B$2,0,MATCH(USA!P$43,Sheet3!$1:$1,0)-2,300,1)),ABS(OFFSET(Sheet3!$B$2,0,MATCH(USA!$F54,Sheet3!$A$1:$U$1,0)-2)-OFFSET(Sheet3!$B$2,0,MATCH(P$43,Sheet3!$A$1:$U$1,0)-2)))</f>
        <v>#VALUE!</v>
      </c>
      <c r="Q54" s="66" t="e">
        <f ca="1">IF(dataset="Correlation",CORREL(OFFSET(Sheet3!$B$2,0,MATCH(USA!$F54,Sheet3!$1:$1,0)-2,300,1),OFFSET(Sheet3!$B$2,0,MATCH(USA!Q$43,Sheet3!$1:$1,0)-2,300,1)),ABS(OFFSET(Sheet3!$B$2,0,MATCH(USA!$F54,Sheet3!$A$1:$U$1,0)-2)-OFFSET(Sheet3!$B$2,0,MATCH(Q$43,Sheet3!$A$1:$U$1,0)-2)))</f>
        <v>#VALUE!</v>
      </c>
      <c r="R54" s="66" t="e">
        <f ca="1">IF(dataset="Correlation",CORREL(OFFSET(Sheet3!$B$2,0,MATCH(USA!$F54,Sheet3!$1:$1,0)-2,300,1),OFFSET(Sheet3!$B$2,0,MATCH(USA!R$43,Sheet3!$1:$1,0)-2,300,1)),ABS(OFFSET(Sheet3!$B$2,0,MATCH(USA!$F54,Sheet3!$A$1:$U$1,0)-2)-OFFSET(Sheet3!$B$2,0,MATCH(R$43,Sheet3!$A$1:$U$1,0)-2)))</f>
        <v>#VALUE!</v>
      </c>
      <c r="S54" s="66" t="e">
        <f ca="1">IF(dataset="Correlation",CORREL(OFFSET(Sheet3!$B$2,0,MATCH(USA!$F54,Sheet3!$1:$1,0)-2,300,1),OFFSET(Sheet3!$B$2,0,MATCH(USA!S$43,Sheet3!$1:$1,0)-2,300,1)),ABS(OFFSET(Sheet3!$B$2,0,MATCH(USA!$F54,Sheet3!$A$1:$U$1,0)-2)-OFFSET(Sheet3!$B$2,0,MATCH(S$43,Sheet3!$A$1:$U$1,0)-2)))</f>
        <v>#VALUE!</v>
      </c>
      <c r="T54" s="66" t="e">
        <f ca="1">IF(dataset="Correlation",CORREL(OFFSET(Sheet3!$B$2,0,MATCH(USA!$F54,Sheet3!$1:$1,0)-2,300,1),OFFSET(Sheet3!$B$2,0,MATCH(USA!T$43,Sheet3!$1:$1,0)-2,300,1)),ABS(OFFSET(Sheet3!$B$2,0,MATCH(USA!$F54,Sheet3!$A$1:$U$1,0)-2)-OFFSET(Sheet3!$B$2,0,MATCH(T$43,Sheet3!$A$1:$U$1,0)-2)))</f>
        <v>#VALUE!</v>
      </c>
      <c r="U54" s="66" t="e">
        <f ca="1">IF(dataset="Correlation",CORREL(OFFSET(Sheet3!$B$2,0,MATCH(USA!$F54,Sheet3!$1:$1,0)-2,300,1),OFFSET(Sheet3!$B$2,0,MATCH(USA!U$43,Sheet3!$1:$1,0)-2,300,1)),ABS(OFFSET(Sheet3!$B$2,0,MATCH(USA!$F54,Sheet3!$A$1:$U$1,0)-2)-OFFSET(Sheet3!$B$2,0,MATCH(U$43,Sheet3!$A$1:$U$1,0)-2)))</f>
        <v>#VALUE!</v>
      </c>
      <c r="V54" s="66" t="e">
        <f ca="1">IF(dataset="Correlation",CORREL(OFFSET(Sheet3!$B$2,0,MATCH(USA!$F54,Sheet3!$1:$1,0)-2,300,1),OFFSET(Sheet3!$B$2,0,MATCH(USA!V$43,Sheet3!$1:$1,0)-2,300,1)),ABS(OFFSET(Sheet3!$B$2,0,MATCH(USA!$F54,Sheet3!$A$1:$U$1,0)-2)-OFFSET(Sheet3!$B$2,0,MATCH(V$43,Sheet3!$A$1:$U$1,0)-2)))</f>
        <v>#VALUE!</v>
      </c>
      <c r="W54" s="66" t="e">
        <f ca="1">IF(dataset="Correlation",CORREL(OFFSET(Sheet3!$B$2,0,MATCH(USA!$F54,Sheet3!$1:$1,0)-2,300,1),OFFSET(Sheet3!$B$2,0,MATCH(USA!W$43,Sheet3!$1:$1,0)-2,300,1)),ABS(OFFSET(Sheet3!$B$2,0,MATCH(USA!$F54,Sheet3!$A$1:$U$1,0)-2)-OFFSET(Sheet3!$B$2,0,MATCH(W$43,Sheet3!$A$1:$U$1,0)-2)))</f>
        <v>#VALUE!</v>
      </c>
      <c r="X54" s="66" t="e">
        <f ca="1">IF(dataset="Correlation",CORREL(OFFSET(Sheet3!$B$2,0,MATCH(USA!$F54,Sheet3!$1:$1,0)-2,300,1),OFFSET(Sheet3!$B$2,0,MATCH(USA!X$43,Sheet3!$1:$1,0)-2,300,1)),ABS(OFFSET(Sheet3!$B$2,0,MATCH(USA!$F54,Sheet3!$A$1:$U$1,0)-2)-OFFSET(Sheet3!$B$2,0,MATCH(X$43,Sheet3!$A$1:$U$1,0)-2)))</f>
        <v>#VALUE!</v>
      </c>
      <c r="Y54" s="66" t="e">
        <f ca="1">IF(dataset="Correlation",CORREL(OFFSET(Sheet3!$B$2,0,MATCH(USA!$F54,Sheet3!$1:$1,0)-2,300,1),OFFSET(Sheet3!$B$2,0,MATCH(USA!Y$43,Sheet3!$1:$1,0)-2,300,1)),ABS(OFFSET(Sheet3!$B$2,0,MATCH(USA!$F54,Sheet3!$A$1:$U$1,0)-2)-OFFSET(Sheet3!$B$2,0,MATCH(Y$43,Sheet3!$A$1:$U$1,0)-2)))</f>
        <v>#VALUE!</v>
      </c>
      <c r="Z54" s="67" t="e">
        <f ca="1">IF(dataset="Correlation",CORREL(OFFSET(Sheet3!$B$2,0,MATCH(USA!$F54,Sheet3!$1:$1,0)-2,300,1),OFFSET(Sheet3!$B$2,0,MATCH(USA!Z$43,Sheet3!$1:$1,0)-2,300,1)),ABS(OFFSET(Sheet3!$B$2,0,MATCH(USA!$F54,Sheet3!$A$1:$U$1,0)-2)-OFFSET(Sheet3!$B$2,0,MATCH(Z$43,Sheet3!$A$1:$U$1,0)-2)))</f>
        <v>#VALUE!</v>
      </c>
      <c r="AC54" s="7"/>
      <c r="AD54" s="7"/>
      <c r="AE54" s="7"/>
      <c r="AF54" s="7"/>
      <c r="AG54" s="7"/>
      <c r="AH54" s="7"/>
      <c r="AI54" s="7"/>
      <c r="AJ54" s="7"/>
      <c r="AK54" s="7"/>
      <c r="AL54" s="7"/>
      <c r="AM54" s="7"/>
      <c r="AN54" s="7"/>
      <c r="AO54" s="7"/>
      <c r="AP54" s="7"/>
      <c r="AQ54" s="7"/>
      <c r="AR54" s="7"/>
      <c r="AS54" s="7"/>
      <c r="AT54" s="7"/>
      <c r="AU54" s="7"/>
      <c r="AV54" s="7"/>
      <c r="AW54" s="7"/>
      <c r="AX54" s="7"/>
    </row>
    <row r="55" spans="1:50" ht="15" customHeight="1" x14ac:dyDescent="0.25">
      <c r="A55" s="6" t="s">
        <v>63</v>
      </c>
      <c r="B55" s="6">
        <f>_xll.BDP($A55,"last price")</f>
        <v>98.99</v>
      </c>
      <c r="C55" s="8">
        <f>IF(OR(MID(A55,3,1)="H",MID(A55,3,1)="M",MID(A55,3,1)="U",MID(A55,3,1)="Z"),MAX($C$43:C54)+1,"")</f>
        <v>8</v>
      </c>
      <c r="D55" s="9" t="str">
        <f ca="1">OFFSET($A$43,MATCH(12,$C$44:$C$87,0),0)</f>
        <v>EDH8 Comdty</v>
      </c>
      <c r="E55" s="11"/>
      <c r="F55" s="60" t="str">
        <f ca="1">_xll.BDP($D55,"TICKER")</f>
        <v>EDH8</v>
      </c>
      <c r="G55" s="68" t="e">
        <f ca="1">IF(dataset="Correlation",CORREL(OFFSET(Sheet3!$B$2,0,MATCH(USA!$F55,Sheet3!$1:$1,0)-2,300,1),OFFSET(Sheet3!$B$2,0,MATCH(USA!G$43,Sheet3!$1:$1,0)-2,300,1)),ABS(OFFSET(Sheet3!$B$2,0,MATCH(USA!$F55,Sheet3!$A$1:$U$1,0)-2)-OFFSET(Sheet3!$B$2,0,MATCH(G$43,Sheet3!$A$1:$U$1,0)-2)))</f>
        <v>#VALUE!</v>
      </c>
      <c r="H55" s="68" t="e">
        <f ca="1">IF(dataset="Correlation",CORREL(OFFSET(Sheet3!$B$2,0,MATCH(USA!$F55,Sheet3!$1:$1,0)-2,300,1),OFFSET(Sheet3!$B$2,0,MATCH(USA!H$43,Sheet3!$1:$1,0)-2,300,1)),ABS(OFFSET(Sheet3!$B$2,0,MATCH(USA!$F55,Sheet3!$A$1:$U$1,0)-2)-OFFSET(Sheet3!$B$2,0,MATCH(H$43,Sheet3!$A$1:$U$1,0)-2)))</f>
        <v>#VALUE!</v>
      </c>
      <c r="I55" s="68" t="e">
        <f ca="1">IF(dataset="Correlation",CORREL(OFFSET(Sheet3!$B$2,0,MATCH(USA!$F55,Sheet3!$1:$1,0)-2,300,1),OFFSET(Sheet3!$B$2,0,MATCH(USA!I$43,Sheet3!$1:$1,0)-2,300,1)),ABS(OFFSET(Sheet3!$B$2,0,MATCH(USA!$F55,Sheet3!$A$1:$U$1,0)-2)-OFFSET(Sheet3!$B$2,0,MATCH(I$43,Sheet3!$A$1:$U$1,0)-2)))</f>
        <v>#VALUE!</v>
      </c>
      <c r="J55" s="68" t="e">
        <f ca="1">IF(dataset="Correlation",CORREL(OFFSET(Sheet3!$B$2,0,MATCH(USA!$F55,Sheet3!$1:$1,0)-2,300,1),OFFSET(Sheet3!$B$2,0,MATCH(USA!J$43,Sheet3!$1:$1,0)-2,300,1)),ABS(OFFSET(Sheet3!$B$2,0,MATCH(USA!$F55,Sheet3!$A$1:$U$1,0)-2)-OFFSET(Sheet3!$B$2,0,MATCH(J$43,Sheet3!$A$1:$U$1,0)-2)))</f>
        <v>#VALUE!</v>
      </c>
      <c r="K55" s="68" t="e">
        <f ca="1">IF(dataset="Correlation",CORREL(OFFSET(Sheet3!$B$2,0,MATCH(USA!$F55,Sheet3!$1:$1,0)-2,300,1),OFFSET(Sheet3!$B$2,0,MATCH(USA!K$43,Sheet3!$1:$1,0)-2,300,1)),ABS(OFFSET(Sheet3!$B$2,0,MATCH(USA!$F55,Sheet3!$A$1:$U$1,0)-2)-OFFSET(Sheet3!$B$2,0,MATCH(K$43,Sheet3!$A$1:$U$1,0)-2)))</f>
        <v>#VALUE!</v>
      </c>
      <c r="L55" s="68" t="e">
        <f ca="1">IF(dataset="Correlation",CORREL(OFFSET(Sheet3!$B$2,0,MATCH(USA!$F55,Sheet3!$1:$1,0)-2,300,1),OFFSET(Sheet3!$B$2,0,MATCH(USA!L$43,Sheet3!$1:$1,0)-2,300,1)),ABS(OFFSET(Sheet3!$B$2,0,MATCH(USA!$F55,Sheet3!$A$1:$U$1,0)-2)-OFFSET(Sheet3!$B$2,0,MATCH(L$43,Sheet3!$A$1:$U$1,0)-2)))</f>
        <v>#VALUE!</v>
      </c>
      <c r="M55" s="68" t="e">
        <f ca="1">IF(dataset="Correlation",CORREL(OFFSET(Sheet3!$B$2,0,MATCH(USA!$F55,Sheet3!$1:$1,0)-2,300,1),OFFSET(Sheet3!$B$2,0,MATCH(USA!M$43,Sheet3!$1:$1,0)-2,300,1)),ABS(OFFSET(Sheet3!$B$2,0,MATCH(USA!$F55,Sheet3!$A$1:$U$1,0)-2)-OFFSET(Sheet3!$B$2,0,MATCH(M$43,Sheet3!$A$1:$U$1,0)-2)))</f>
        <v>#VALUE!</v>
      </c>
      <c r="N55" s="68" t="e">
        <f ca="1">IF(dataset="Correlation",CORREL(OFFSET(Sheet3!$B$2,0,MATCH(USA!$F55,Sheet3!$1:$1,0)-2,300,1),OFFSET(Sheet3!$B$2,0,MATCH(USA!N$43,Sheet3!$1:$1,0)-2,300,1)),ABS(OFFSET(Sheet3!$B$2,0,MATCH(USA!$F55,Sheet3!$A$1:$U$1,0)-2)-OFFSET(Sheet3!$B$2,0,MATCH(N$43,Sheet3!$A$1:$U$1,0)-2)))</f>
        <v>#VALUE!</v>
      </c>
      <c r="O55" s="68" t="e">
        <f ca="1">IF(dataset="Correlation",CORREL(OFFSET(Sheet3!$B$2,0,MATCH(USA!$F55,Sheet3!$1:$1,0)-2,300,1),OFFSET(Sheet3!$B$2,0,MATCH(USA!O$43,Sheet3!$1:$1,0)-2,300,1)),ABS(OFFSET(Sheet3!$B$2,0,MATCH(USA!$F55,Sheet3!$A$1:$U$1,0)-2)-OFFSET(Sheet3!$B$2,0,MATCH(O$43,Sheet3!$A$1:$U$1,0)-2)))</f>
        <v>#VALUE!</v>
      </c>
      <c r="P55" s="68" t="e">
        <f ca="1">IF(dataset="Correlation",CORREL(OFFSET(Sheet3!$B$2,0,MATCH(USA!$F55,Sheet3!$1:$1,0)-2,300,1),OFFSET(Sheet3!$B$2,0,MATCH(USA!P$43,Sheet3!$1:$1,0)-2,300,1)),ABS(OFFSET(Sheet3!$B$2,0,MATCH(USA!$F55,Sheet3!$A$1:$U$1,0)-2)-OFFSET(Sheet3!$B$2,0,MATCH(P$43,Sheet3!$A$1:$U$1,0)-2)))</f>
        <v>#VALUE!</v>
      </c>
      <c r="Q55" s="68" t="e">
        <f ca="1">IF(dataset="Correlation",CORREL(OFFSET(Sheet3!$B$2,0,MATCH(USA!$F55,Sheet3!$1:$1,0)-2,300,1),OFFSET(Sheet3!$B$2,0,MATCH(USA!Q$43,Sheet3!$1:$1,0)-2,300,1)),ABS(OFFSET(Sheet3!$B$2,0,MATCH(USA!$F55,Sheet3!$A$1:$U$1,0)-2)-OFFSET(Sheet3!$B$2,0,MATCH(Q$43,Sheet3!$A$1:$U$1,0)-2)))</f>
        <v>#VALUE!</v>
      </c>
      <c r="R55" s="68" t="e">
        <f ca="1">IF(dataset="Correlation",CORREL(OFFSET(Sheet3!$B$2,0,MATCH(USA!$F55,Sheet3!$1:$1,0)-2,300,1),OFFSET(Sheet3!$B$2,0,MATCH(USA!R$43,Sheet3!$1:$1,0)-2,300,1)),ABS(OFFSET(Sheet3!$B$2,0,MATCH(USA!$F55,Sheet3!$A$1:$U$1,0)-2)-OFFSET(Sheet3!$B$2,0,MATCH(R$43,Sheet3!$A$1:$U$1,0)-2)))</f>
        <v>#VALUE!</v>
      </c>
      <c r="S55" s="68" t="e">
        <f ca="1">IF(dataset="Correlation",CORREL(OFFSET(Sheet3!$B$2,0,MATCH(USA!$F55,Sheet3!$1:$1,0)-2,300,1),OFFSET(Sheet3!$B$2,0,MATCH(USA!S$43,Sheet3!$1:$1,0)-2,300,1)),ABS(OFFSET(Sheet3!$B$2,0,MATCH(USA!$F55,Sheet3!$A$1:$U$1,0)-2)-OFFSET(Sheet3!$B$2,0,MATCH(S$43,Sheet3!$A$1:$U$1,0)-2)))</f>
        <v>#VALUE!</v>
      </c>
      <c r="T55" s="68" t="e">
        <f ca="1">IF(dataset="Correlation",CORREL(OFFSET(Sheet3!$B$2,0,MATCH(USA!$F55,Sheet3!$1:$1,0)-2,300,1),OFFSET(Sheet3!$B$2,0,MATCH(USA!T$43,Sheet3!$1:$1,0)-2,300,1)),ABS(OFFSET(Sheet3!$B$2,0,MATCH(USA!$F55,Sheet3!$A$1:$U$1,0)-2)-OFFSET(Sheet3!$B$2,0,MATCH(T$43,Sheet3!$A$1:$U$1,0)-2)))</f>
        <v>#VALUE!</v>
      </c>
      <c r="U55" s="68" t="e">
        <f ca="1">IF(dataset="Correlation",CORREL(OFFSET(Sheet3!$B$2,0,MATCH(USA!$F55,Sheet3!$1:$1,0)-2,300,1),OFFSET(Sheet3!$B$2,0,MATCH(USA!U$43,Sheet3!$1:$1,0)-2,300,1)),ABS(OFFSET(Sheet3!$B$2,0,MATCH(USA!$F55,Sheet3!$A$1:$U$1,0)-2)-OFFSET(Sheet3!$B$2,0,MATCH(U$43,Sheet3!$A$1:$U$1,0)-2)))</f>
        <v>#VALUE!</v>
      </c>
      <c r="V55" s="68" t="e">
        <f ca="1">IF(dataset="Correlation",CORREL(OFFSET(Sheet3!$B$2,0,MATCH(USA!$F55,Sheet3!$1:$1,0)-2,300,1),OFFSET(Sheet3!$B$2,0,MATCH(USA!V$43,Sheet3!$1:$1,0)-2,300,1)),ABS(OFFSET(Sheet3!$B$2,0,MATCH(USA!$F55,Sheet3!$A$1:$U$1,0)-2)-OFFSET(Sheet3!$B$2,0,MATCH(V$43,Sheet3!$A$1:$U$1,0)-2)))</f>
        <v>#VALUE!</v>
      </c>
      <c r="W55" s="68" t="e">
        <f ca="1">IF(dataset="Correlation",CORREL(OFFSET(Sheet3!$B$2,0,MATCH(USA!$F55,Sheet3!$1:$1,0)-2,300,1),OFFSET(Sheet3!$B$2,0,MATCH(USA!W$43,Sheet3!$1:$1,0)-2,300,1)),ABS(OFFSET(Sheet3!$B$2,0,MATCH(USA!$F55,Sheet3!$A$1:$U$1,0)-2)-OFFSET(Sheet3!$B$2,0,MATCH(W$43,Sheet3!$A$1:$U$1,0)-2)))</f>
        <v>#VALUE!</v>
      </c>
      <c r="X55" s="68" t="e">
        <f ca="1">IF(dataset="Correlation",CORREL(OFFSET(Sheet3!$B$2,0,MATCH(USA!$F55,Sheet3!$1:$1,0)-2,300,1),OFFSET(Sheet3!$B$2,0,MATCH(USA!X$43,Sheet3!$1:$1,0)-2,300,1)),ABS(OFFSET(Sheet3!$B$2,0,MATCH(USA!$F55,Sheet3!$A$1:$U$1,0)-2)-OFFSET(Sheet3!$B$2,0,MATCH(X$43,Sheet3!$A$1:$U$1,0)-2)))</f>
        <v>#VALUE!</v>
      </c>
      <c r="Y55" s="68" t="e">
        <f ca="1">IF(dataset="Correlation",CORREL(OFFSET(Sheet3!$B$2,0,MATCH(USA!$F55,Sheet3!$1:$1,0)-2,300,1),OFFSET(Sheet3!$B$2,0,MATCH(USA!Y$43,Sheet3!$1:$1,0)-2,300,1)),ABS(OFFSET(Sheet3!$B$2,0,MATCH(USA!$F55,Sheet3!$A$1:$U$1,0)-2)-OFFSET(Sheet3!$B$2,0,MATCH(Y$43,Sheet3!$A$1:$U$1,0)-2)))</f>
        <v>#VALUE!</v>
      </c>
      <c r="Z55" s="69" t="e">
        <f ca="1">IF(dataset="Correlation",CORREL(OFFSET(Sheet3!$B$2,0,MATCH(USA!$F55,Sheet3!$1:$1,0)-2,300,1),OFFSET(Sheet3!$B$2,0,MATCH(USA!Z$43,Sheet3!$1:$1,0)-2,300,1)),ABS(OFFSET(Sheet3!$B$2,0,MATCH(USA!$F55,Sheet3!$A$1:$U$1,0)-2)-OFFSET(Sheet3!$B$2,0,MATCH(Z$43,Sheet3!$A$1:$U$1,0)-2)))</f>
        <v>#VALUE!</v>
      </c>
      <c r="AC55" s="7"/>
      <c r="AD55" s="7"/>
      <c r="AE55" s="7"/>
      <c r="AF55" s="7"/>
      <c r="AG55" s="7"/>
      <c r="AH55" s="7"/>
      <c r="AI55" s="7"/>
      <c r="AJ55" s="7"/>
      <c r="AK55" s="7"/>
      <c r="AL55" s="7"/>
      <c r="AM55" s="7"/>
      <c r="AN55" s="7"/>
      <c r="AO55" s="7"/>
      <c r="AP55" s="7"/>
      <c r="AQ55" s="7"/>
      <c r="AR55" s="7"/>
      <c r="AS55" s="7"/>
      <c r="AT55" s="7"/>
      <c r="AU55" s="7"/>
      <c r="AV55" s="7"/>
      <c r="AW55" s="7"/>
      <c r="AX55" s="7"/>
    </row>
    <row r="56" spans="1:50" ht="15" customHeight="1" x14ac:dyDescent="0.25">
      <c r="A56" s="6" t="s">
        <v>64</v>
      </c>
      <c r="B56" s="6">
        <f>_xll.BDP($A56,"last price")</f>
        <v>98.93</v>
      </c>
      <c r="C56" s="8">
        <f>IF(OR(MID(A56,3,1)="H",MID(A56,3,1)="M",MID(A56,3,1)="U",MID(A56,3,1)="Z"),MAX($C$43:C55)+1,"")</f>
        <v>9</v>
      </c>
      <c r="D56" s="9" t="str">
        <f ca="1">OFFSET($A$43,MATCH(13,$C$44:$C$87,0),0)</f>
        <v>EDM8 Comdty</v>
      </c>
      <c r="E56" s="11"/>
      <c r="F56" s="60" t="str">
        <f ca="1">_xll.BDP($D56,"TICKER")</f>
        <v>EDM8</v>
      </c>
      <c r="G56" s="66" t="e">
        <f ca="1">IF(dataset="Correlation",CORREL(OFFSET(Sheet3!$B$2,0,MATCH(USA!$F56,Sheet3!$1:$1,0)-2,300,1),OFFSET(Sheet3!$B$2,0,MATCH(USA!G$43,Sheet3!$1:$1,0)-2,300,1)),ABS(OFFSET(Sheet3!$B$2,0,MATCH(USA!$F56,Sheet3!$A$1:$U$1,0)-2)-OFFSET(Sheet3!$B$2,0,MATCH(G$43,Sheet3!$A$1:$U$1,0)-2)))</f>
        <v>#VALUE!</v>
      </c>
      <c r="H56" s="66" t="e">
        <f ca="1">IF(dataset="Correlation",CORREL(OFFSET(Sheet3!$B$2,0,MATCH(USA!$F56,Sheet3!$1:$1,0)-2,300,1),OFFSET(Sheet3!$B$2,0,MATCH(USA!H$43,Sheet3!$1:$1,0)-2,300,1)),ABS(OFFSET(Sheet3!$B$2,0,MATCH(USA!$F56,Sheet3!$A$1:$U$1,0)-2)-OFFSET(Sheet3!$B$2,0,MATCH(H$43,Sheet3!$A$1:$U$1,0)-2)))</f>
        <v>#VALUE!</v>
      </c>
      <c r="I56" s="66" t="e">
        <f ca="1">IF(dataset="Correlation",CORREL(OFFSET(Sheet3!$B$2,0,MATCH(USA!$F56,Sheet3!$1:$1,0)-2,300,1),OFFSET(Sheet3!$B$2,0,MATCH(USA!I$43,Sheet3!$1:$1,0)-2,300,1)),ABS(OFFSET(Sheet3!$B$2,0,MATCH(USA!$F56,Sheet3!$A$1:$U$1,0)-2)-OFFSET(Sheet3!$B$2,0,MATCH(I$43,Sheet3!$A$1:$U$1,0)-2)))</f>
        <v>#VALUE!</v>
      </c>
      <c r="J56" s="66" t="e">
        <f ca="1">IF(dataset="Correlation",CORREL(OFFSET(Sheet3!$B$2,0,MATCH(USA!$F56,Sheet3!$1:$1,0)-2,300,1),OFFSET(Sheet3!$B$2,0,MATCH(USA!J$43,Sheet3!$1:$1,0)-2,300,1)),ABS(OFFSET(Sheet3!$B$2,0,MATCH(USA!$F56,Sheet3!$A$1:$U$1,0)-2)-OFFSET(Sheet3!$B$2,0,MATCH(J$43,Sheet3!$A$1:$U$1,0)-2)))</f>
        <v>#VALUE!</v>
      </c>
      <c r="K56" s="66" t="e">
        <f ca="1">IF(dataset="Correlation",CORREL(OFFSET(Sheet3!$B$2,0,MATCH(USA!$F56,Sheet3!$1:$1,0)-2,300,1),OFFSET(Sheet3!$B$2,0,MATCH(USA!K$43,Sheet3!$1:$1,0)-2,300,1)),ABS(OFFSET(Sheet3!$B$2,0,MATCH(USA!$F56,Sheet3!$A$1:$U$1,0)-2)-OFFSET(Sheet3!$B$2,0,MATCH(K$43,Sheet3!$A$1:$U$1,0)-2)))</f>
        <v>#VALUE!</v>
      </c>
      <c r="L56" s="66" t="e">
        <f ca="1">IF(dataset="Correlation",CORREL(OFFSET(Sheet3!$B$2,0,MATCH(USA!$F56,Sheet3!$1:$1,0)-2,300,1),OFFSET(Sheet3!$B$2,0,MATCH(USA!L$43,Sheet3!$1:$1,0)-2,300,1)),ABS(OFFSET(Sheet3!$B$2,0,MATCH(USA!$F56,Sheet3!$A$1:$U$1,0)-2)-OFFSET(Sheet3!$B$2,0,MATCH(L$43,Sheet3!$A$1:$U$1,0)-2)))</f>
        <v>#VALUE!</v>
      </c>
      <c r="M56" s="66" t="e">
        <f ca="1">IF(dataset="Correlation",CORREL(OFFSET(Sheet3!$B$2,0,MATCH(USA!$F56,Sheet3!$1:$1,0)-2,300,1),OFFSET(Sheet3!$B$2,0,MATCH(USA!M$43,Sheet3!$1:$1,0)-2,300,1)),ABS(OFFSET(Sheet3!$B$2,0,MATCH(USA!$F56,Sheet3!$A$1:$U$1,0)-2)-OFFSET(Sheet3!$B$2,0,MATCH(M$43,Sheet3!$A$1:$U$1,0)-2)))</f>
        <v>#VALUE!</v>
      </c>
      <c r="N56" s="66" t="e">
        <f ca="1">IF(dataset="Correlation",CORREL(OFFSET(Sheet3!$B$2,0,MATCH(USA!$F56,Sheet3!$1:$1,0)-2,300,1),OFFSET(Sheet3!$B$2,0,MATCH(USA!N$43,Sheet3!$1:$1,0)-2,300,1)),ABS(OFFSET(Sheet3!$B$2,0,MATCH(USA!$F56,Sheet3!$A$1:$U$1,0)-2)-OFFSET(Sheet3!$B$2,0,MATCH(N$43,Sheet3!$A$1:$U$1,0)-2)))</f>
        <v>#VALUE!</v>
      </c>
      <c r="O56" s="66" t="e">
        <f ca="1">IF(dataset="Correlation",CORREL(OFFSET(Sheet3!$B$2,0,MATCH(USA!$F56,Sheet3!$1:$1,0)-2,300,1),OFFSET(Sheet3!$B$2,0,MATCH(USA!O$43,Sheet3!$1:$1,0)-2,300,1)),ABS(OFFSET(Sheet3!$B$2,0,MATCH(USA!$F56,Sheet3!$A$1:$U$1,0)-2)-OFFSET(Sheet3!$B$2,0,MATCH(O$43,Sheet3!$A$1:$U$1,0)-2)))</f>
        <v>#VALUE!</v>
      </c>
      <c r="P56" s="66" t="e">
        <f ca="1">IF(dataset="Correlation",CORREL(OFFSET(Sheet3!$B$2,0,MATCH(USA!$F56,Sheet3!$1:$1,0)-2,300,1),OFFSET(Sheet3!$B$2,0,MATCH(USA!P$43,Sheet3!$1:$1,0)-2,300,1)),ABS(OFFSET(Sheet3!$B$2,0,MATCH(USA!$F56,Sheet3!$A$1:$U$1,0)-2)-OFFSET(Sheet3!$B$2,0,MATCH(P$43,Sheet3!$A$1:$U$1,0)-2)))</f>
        <v>#VALUE!</v>
      </c>
      <c r="Q56" s="66" t="e">
        <f ca="1">IF(dataset="Correlation",CORREL(OFFSET(Sheet3!$B$2,0,MATCH(USA!$F56,Sheet3!$1:$1,0)-2,300,1),OFFSET(Sheet3!$B$2,0,MATCH(USA!Q$43,Sheet3!$1:$1,0)-2,300,1)),ABS(OFFSET(Sheet3!$B$2,0,MATCH(USA!$F56,Sheet3!$A$1:$U$1,0)-2)-OFFSET(Sheet3!$B$2,0,MATCH(Q$43,Sheet3!$A$1:$U$1,0)-2)))</f>
        <v>#VALUE!</v>
      </c>
      <c r="R56" s="66" t="e">
        <f ca="1">IF(dataset="Correlation",CORREL(OFFSET(Sheet3!$B$2,0,MATCH(USA!$F56,Sheet3!$1:$1,0)-2,300,1),OFFSET(Sheet3!$B$2,0,MATCH(USA!R$43,Sheet3!$1:$1,0)-2,300,1)),ABS(OFFSET(Sheet3!$B$2,0,MATCH(USA!$F56,Sheet3!$A$1:$U$1,0)-2)-OFFSET(Sheet3!$B$2,0,MATCH(R$43,Sheet3!$A$1:$U$1,0)-2)))</f>
        <v>#VALUE!</v>
      </c>
      <c r="S56" s="66" t="e">
        <f ca="1">IF(dataset="Correlation",CORREL(OFFSET(Sheet3!$B$2,0,MATCH(USA!$F56,Sheet3!$1:$1,0)-2,300,1),OFFSET(Sheet3!$B$2,0,MATCH(USA!S$43,Sheet3!$1:$1,0)-2,300,1)),ABS(OFFSET(Sheet3!$B$2,0,MATCH(USA!$F56,Sheet3!$A$1:$U$1,0)-2)-OFFSET(Sheet3!$B$2,0,MATCH(S$43,Sheet3!$A$1:$U$1,0)-2)))</f>
        <v>#VALUE!</v>
      </c>
      <c r="T56" s="66" t="e">
        <f ca="1">IF(dataset="Correlation",CORREL(OFFSET(Sheet3!$B$2,0,MATCH(USA!$F56,Sheet3!$1:$1,0)-2,300,1),OFFSET(Sheet3!$B$2,0,MATCH(USA!T$43,Sheet3!$1:$1,0)-2,300,1)),ABS(OFFSET(Sheet3!$B$2,0,MATCH(USA!$F56,Sheet3!$A$1:$U$1,0)-2)-OFFSET(Sheet3!$B$2,0,MATCH(T$43,Sheet3!$A$1:$U$1,0)-2)))</f>
        <v>#VALUE!</v>
      </c>
      <c r="U56" s="66" t="e">
        <f ca="1">IF(dataset="Correlation",CORREL(OFFSET(Sheet3!$B$2,0,MATCH(USA!$F56,Sheet3!$1:$1,0)-2,300,1),OFFSET(Sheet3!$B$2,0,MATCH(USA!U$43,Sheet3!$1:$1,0)-2,300,1)),ABS(OFFSET(Sheet3!$B$2,0,MATCH(USA!$F56,Sheet3!$A$1:$U$1,0)-2)-OFFSET(Sheet3!$B$2,0,MATCH(U$43,Sheet3!$A$1:$U$1,0)-2)))</f>
        <v>#VALUE!</v>
      </c>
      <c r="V56" s="66" t="e">
        <f ca="1">IF(dataset="Correlation",CORREL(OFFSET(Sheet3!$B$2,0,MATCH(USA!$F56,Sheet3!$1:$1,0)-2,300,1),OFFSET(Sheet3!$B$2,0,MATCH(USA!V$43,Sheet3!$1:$1,0)-2,300,1)),ABS(OFFSET(Sheet3!$B$2,0,MATCH(USA!$F56,Sheet3!$A$1:$U$1,0)-2)-OFFSET(Sheet3!$B$2,0,MATCH(V$43,Sheet3!$A$1:$U$1,0)-2)))</f>
        <v>#VALUE!</v>
      </c>
      <c r="W56" s="66" t="e">
        <f ca="1">IF(dataset="Correlation",CORREL(OFFSET(Sheet3!$B$2,0,MATCH(USA!$F56,Sheet3!$1:$1,0)-2,300,1),OFFSET(Sheet3!$B$2,0,MATCH(USA!W$43,Sheet3!$1:$1,0)-2,300,1)),ABS(OFFSET(Sheet3!$B$2,0,MATCH(USA!$F56,Sheet3!$A$1:$U$1,0)-2)-OFFSET(Sheet3!$B$2,0,MATCH(W$43,Sheet3!$A$1:$U$1,0)-2)))</f>
        <v>#VALUE!</v>
      </c>
      <c r="X56" s="66" t="e">
        <f ca="1">IF(dataset="Correlation",CORREL(OFFSET(Sheet3!$B$2,0,MATCH(USA!$F56,Sheet3!$1:$1,0)-2,300,1),OFFSET(Sheet3!$B$2,0,MATCH(USA!X$43,Sheet3!$1:$1,0)-2,300,1)),ABS(OFFSET(Sheet3!$B$2,0,MATCH(USA!$F56,Sheet3!$A$1:$U$1,0)-2)-OFFSET(Sheet3!$B$2,0,MATCH(X$43,Sheet3!$A$1:$U$1,0)-2)))</f>
        <v>#VALUE!</v>
      </c>
      <c r="Y56" s="66" t="e">
        <f ca="1">IF(dataset="Correlation",CORREL(OFFSET(Sheet3!$B$2,0,MATCH(USA!$F56,Sheet3!$1:$1,0)-2,300,1),OFFSET(Sheet3!$B$2,0,MATCH(USA!Y$43,Sheet3!$1:$1,0)-2,300,1)),ABS(OFFSET(Sheet3!$B$2,0,MATCH(USA!$F56,Sheet3!$A$1:$U$1,0)-2)-OFFSET(Sheet3!$B$2,0,MATCH(Y$43,Sheet3!$A$1:$U$1,0)-2)))</f>
        <v>#VALUE!</v>
      </c>
      <c r="Z56" s="67" t="e">
        <f ca="1">IF(dataset="Correlation",CORREL(OFFSET(Sheet3!$B$2,0,MATCH(USA!$F56,Sheet3!$1:$1,0)-2,300,1),OFFSET(Sheet3!$B$2,0,MATCH(USA!Z$43,Sheet3!$1:$1,0)-2,300,1)),ABS(OFFSET(Sheet3!$B$2,0,MATCH(USA!$F56,Sheet3!$A$1:$U$1,0)-2)-OFFSET(Sheet3!$B$2,0,MATCH(Z$43,Sheet3!$A$1:$U$1,0)-2)))</f>
        <v>#VALUE!</v>
      </c>
      <c r="AC56" s="7"/>
      <c r="AD56" s="7"/>
      <c r="AE56" s="7"/>
      <c r="AF56" s="7"/>
      <c r="AG56" s="7"/>
      <c r="AH56" s="7"/>
      <c r="AI56" s="7"/>
      <c r="AJ56" s="7"/>
      <c r="AK56" s="7"/>
      <c r="AL56" s="7"/>
      <c r="AM56" s="7"/>
      <c r="AN56" s="7"/>
      <c r="AO56" s="7"/>
      <c r="AP56" s="7"/>
      <c r="AQ56" s="7"/>
      <c r="AR56" s="7"/>
      <c r="AS56" s="7"/>
      <c r="AT56" s="7"/>
      <c r="AU56" s="7"/>
      <c r="AV56" s="7"/>
      <c r="AW56" s="7"/>
      <c r="AX56" s="7"/>
    </row>
    <row r="57" spans="1:50" ht="15" customHeight="1" x14ac:dyDescent="0.25">
      <c r="A57" s="6" t="s">
        <v>65</v>
      </c>
      <c r="B57" s="6">
        <f>_xll.BDP($A57,"last price")</f>
        <v>98.885000000000005</v>
      </c>
      <c r="C57" s="8">
        <f>IF(OR(MID(A57,3,1)="H",MID(A57,3,1)="M",MID(A57,3,1)="U",MID(A57,3,1)="Z"),MAX($C$43:C56)+1,"")</f>
        <v>10</v>
      </c>
      <c r="D57" s="9" t="str">
        <f ca="1">OFFSET($A$43,MATCH(14,$C$44:$C$87,0),0)</f>
        <v>EDU8 Comdty</v>
      </c>
      <c r="E57" s="11"/>
      <c r="F57" s="60" t="str">
        <f ca="1">_xll.BDP($D57,"TICKER")</f>
        <v>EDU8</v>
      </c>
      <c r="G57" s="68" t="e">
        <f ca="1">IF(dataset="Correlation",CORREL(OFFSET(Sheet3!$B$2,0,MATCH(USA!$F57,Sheet3!$1:$1,0)-2,300,1),OFFSET(Sheet3!$B$2,0,MATCH(USA!G$43,Sheet3!$1:$1,0)-2,300,1)),ABS(OFFSET(Sheet3!$B$2,0,MATCH(USA!$F57,Sheet3!$A$1:$U$1,0)-2)-OFFSET(Sheet3!$B$2,0,MATCH(G$43,Sheet3!$A$1:$U$1,0)-2)))</f>
        <v>#VALUE!</v>
      </c>
      <c r="H57" s="68" t="e">
        <f ca="1">IF(dataset="Correlation",CORREL(OFFSET(Sheet3!$B$2,0,MATCH(USA!$F57,Sheet3!$1:$1,0)-2,300,1),OFFSET(Sheet3!$B$2,0,MATCH(USA!H$43,Sheet3!$1:$1,0)-2,300,1)),ABS(OFFSET(Sheet3!$B$2,0,MATCH(USA!$F57,Sheet3!$A$1:$U$1,0)-2)-OFFSET(Sheet3!$B$2,0,MATCH(H$43,Sheet3!$A$1:$U$1,0)-2)))</f>
        <v>#VALUE!</v>
      </c>
      <c r="I57" s="68" t="e">
        <f ca="1">IF(dataset="Correlation",CORREL(OFFSET(Sheet3!$B$2,0,MATCH(USA!$F57,Sheet3!$1:$1,0)-2,300,1),OFFSET(Sheet3!$B$2,0,MATCH(USA!I$43,Sheet3!$1:$1,0)-2,300,1)),ABS(OFFSET(Sheet3!$B$2,0,MATCH(USA!$F57,Sheet3!$A$1:$U$1,0)-2)-OFFSET(Sheet3!$B$2,0,MATCH(I$43,Sheet3!$A$1:$U$1,0)-2)))</f>
        <v>#VALUE!</v>
      </c>
      <c r="J57" s="68" t="e">
        <f ca="1">IF(dataset="Correlation",CORREL(OFFSET(Sheet3!$B$2,0,MATCH(USA!$F57,Sheet3!$1:$1,0)-2,300,1),OFFSET(Sheet3!$B$2,0,MATCH(USA!J$43,Sheet3!$1:$1,0)-2,300,1)),ABS(OFFSET(Sheet3!$B$2,0,MATCH(USA!$F57,Sheet3!$A$1:$U$1,0)-2)-OFFSET(Sheet3!$B$2,0,MATCH(J$43,Sheet3!$A$1:$U$1,0)-2)))</f>
        <v>#VALUE!</v>
      </c>
      <c r="K57" s="68" t="e">
        <f ca="1">IF(dataset="Correlation",CORREL(OFFSET(Sheet3!$B$2,0,MATCH(USA!$F57,Sheet3!$1:$1,0)-2,300,1),OFFSET(Sheet3!$B$2,0,MATCH(USA!K$43,Sheet3!$1:$1,0)-2,300,1)),ABS(OFFSET(Sheet3!$B$2,0,MATCH(USA!$F57,Sheet3!$A$1:$U$1,0)-2)-OFFSET(Sheet3!$B$2,0,MATCH(K$43,Sheet3!$A$1:$U$1,0)-2)))</f>
        <v>#VALUE!</v>
      </c>
      <c r="L57" s="68" t="e">
        <f ca="1">IF(dataset="Correlation",CORREL(OFFSET(Sheet3!$B$2,0,MATCH(USA!$F57,Sheet3!$1:$1,0)-2,300,1),OFFSET(Sheet3!$B$2,0,MATCH(USA!L$43,Sheet3!$1:$1,0)-2,300,1)),ABS(OFFSET(Sheet3!$B$2,0,MATCH(USA!$F57,Sheet3!$A$1:$U$1,0)-2)-OFFSET(Sheet3!$B$2,0,MATCH(L$43,Sheet3!$A$1:$U$1,0)-2)))</f>
        <v>#VALUE!</v>
      </c>
      <c r="M57" s="68" t="e">
        <f ca="1">IF(dataset="Correlation",CORREL(OFFSET(Sheet3!$B$2,0,MATCH(USA!$F57,Sheet3!$1:$1,0)-2,300,1),OFFSET(Sheet3!$B$2,0,MATCH(USA!M$43,Sheet3!$1:$1,0)-2,300,1)),ABS(OFFSET(Sheet3!$B$2,0,MATCH(USA!$F57,Sheet3!$A$1:$U$1,0)-2)-OFFSET(Sheet3!$B$2,0,MATCH(M$43,Sheet3!$A$1:$U$1,0)-2)))</f>
        <v>#VALUE!</v>
      </c>
      <c r="N57" s="68" t="e">
        <f ca="1">IF(dataset="Correlation",CORREL(OFFSET(Sheet3!$B$2,0,MATCH(USA!$F57,Sheet3!$1:$1,0)-2,300,1),OFFSET(Sheet3!$B$2,0,MATCH(USA!N$43,Sheet3!$1:$1,0)-2,300,1)),ABS(OFFSET(Sheet3!$B$2,0,MATCH(USA!$F57,Sheet3!$A$1:$U$1,0)-2)-OFFSET(Sheet3!$B$2,0,MATCH(N$43,Sheet3!$A$1:$U$1,0)-2)))</f>
        <v>#VALUE!</v>
      </c>
      <c r="O57" s="68" t="e">
        <f ca="1">IF(dataset="Correlation",CORREL(OFFSET(Sheet3!$B$2,0,MATCH(USA!$F57,Sheet3!$1:$1,0)-2,300,1),OFFSET(Sheet3!$B$2,0,MATCH(USA!O$43,Sheet3!$1:$1,0)-2,300,1)),ABS(OFFSET(Sheet3!$B$2,0,MATCH(USA!$F57,Sheet3!$A$1:$U$1,0)-2)-OFFSET(Sheet3!$B$2,0,MATCH(O$43,Sheet3!$A$1:$U$1,0)-2)))</f>
        <v>#VALUE!</v>
      </c>
      <c r="P57" s="68" t="e">
        <f ca="1">IF(dataset="Correlation",CORREL(OFFSET(Sheet3!$B$2,0,MATCH(USA!$F57,Sheet3!$1:$1,0)-2,300,1),OFFSET(Sheet3!$B$2,0,MATCH(USA!P$43,Sheet3!$1:$1,0)-2,300,1)),ABS(OFFSET(Sheet3!$B$2,0,MATCH(USA!$F57,Sheet3!$A$1:$U$1,0)-2)-OFFSET(Sheet3!$B$2,0,MATCH(P$43,Sheet3!$A$1:$U$1,0)-2)))</f>
        <v>#VALUE!</v>
      </c>
      <c r="Q57" s="68" t="e">
        <f ca="1">IF(dataset="Correlation",CORREL(OFFSET(Sheet3!$B$2,0,MATCH(USA!$F57,Sheet3!$1:$1,0)-2,300,1),OFFSET(Sheet3!$B$2,0,MATCH(USA!Q$43,Sheet3!$1:$1,0)-2,300,1)),ABS(OFFSET(Sheet3!$B$2,0,MATCH(USA!$F57,Sheet3!$A$1:$U$1,0)-2)-OFFSET(Sheet3!$B$2,0,MATCH(Q$43,Sheet3!$A$1:$U$1,0)-2)))</f>
        <v>#VALUE!</v>
      </c>
      <c r="R57" s="68" t="e">
        <f ca="1">IF(dataset="Correlation",CORREL(OFFSET(Sheet3!$B$2,0,MATCH(USA!$F57,Sheet3!$1:$1,0)-2,300,1),OFFSET(Sheet3!$B$2,0,MATCH(USA!R$43,Sheet3!$1:$1,0)-2,300,1)),ABS(OFFSET(Sheet3!$B$2,0,MATCH(USA!$F57,Sheet3!$A$1:$U$1,0)-2)-OFFSET(Sheet3!$B$2,0,MATCH(R$43,Sheet3!$A$1:$U$1,0)-2)))</f>
        <v>#VALUE!</v>
      </c>
      <c r="S57" s="68" t="e">
        <f ca="1">IF(dataset="Correlation",CORREL(OFFSET(Sheet3!$B$2,0,MATCH(USA!$F57,Sheet3!$1:$1,0)-2,300,1),OFFSET(Sheet3!$B$2,0,MATCH(USA!S$43,Sheet3!$1:$1,0)-2,300,1)),ABS(OFFSET(Sheet3!$B$2,0,MATCH(USA!$F57,Sheet3!$A$1:$U$1,0)-2)-OFFSET(Sheet3!$B$2,0,MATCH(S$43,Sheet3!$A$1:$U$1,0)-2)))</f>
        <v>#VALUE!</v>
      </c>
      <c r="T57" s="68" t="e">
        <f ca="1">IF(dataset="Correlation",CORREL(OFFSET(Sheet3!$B$2,0,MATCH(USA!$F57,Sheet3!$1:$1,0)-2,300,1),OFFSET(Sheet3!$B$2,0,MATCH(USA!T$43,Sheet3!$1:$1,0)-2,300,1)),ABS(OFFSET(Sheet3!$B$2,0,MATCH(USA!$F57,Sheet3!$A$1:$U$1,0)-2)-OFFSET(Sheet3!$B$2,0,MATCH(T$43,Sheet3!$A$1:$U$1,0)-2)))</f>
        <v>#VALUE!</v>
      </c>
      <c r="U57" s="68" t="e">
        <f ca="1">IF(dataset="Correlation",CORREL(OFFSET(Sheet3!$B$2,0,MATCH(USA!$F57,Sheet3!$1:$1,0)-2,300,1),OFFSET(Sheet3!$B$2,0,MATCH(USA!U$43,Sheet3!$1:$1,0)-2,300,1)),ABS(OFFSET(Sheet3!$B$2,0,MATCH(USA!$F57,Sheet3!$A$1:$U$1,0)-2)-OFFSET(Sheet3!$B$2,0,MATCH(U$43,Sheet3!$A$1:$U$1,0)-2)))</f>
        <v>#VALUE!</v>
      </c>
      <c r="V57" s="68" t="e">
        <f ca="1">IF(dataset="Correlation",CORREL(OFFSET(Sheet3!$B$2,0,MATCH(USA!$F57,Sheet3!$1:$1,0)-2,300,1),OFFSET(Sheet3!$B$2,0,MATCH(USA!V$43,Sheet3!$1:$1,0)-2,300,1)),ABS(OFFSET(Sheet3!$B$2,0,MATCH(USA!$F57,Sheet3!$A$1:$U$1,0)-2)-OFFSET(Sheet3!$B$2,0,MATCH(V$43,Sheet3!$A$1:$U$1,0)-2)))</f>
        <v>#VALUE!</v>
      </c>
      <c r="W57" s="68" t="e">
        <f ca="1">IF(dataset="Correlation",CORREL(OFFSET(Sheet3!$B$2,0,MATCH(USA!$F57,Sheet3!$1:$1,0)-2,300,1),OFFSET(Sheet3!$B$2,0,MATCH(USA!W$43,Sheet3!$1:$1,0)-2,300,1)),ABS(OFFSET(Sheet3!$B$2,0,MATCH(USA!$F57,Sheet3!$A$1:$U$1,0)-2)-OFFSET(Sheet3!$B$2,0,MATCH(W$43,Sheet3!$A$1:$U$1,0)-2)))</f>
        <v>#VALUE!</v>
      </c>
      <c r="X57" s="68" t="e">
        <f ca="1">IF(dataset="Correlation",CORREL(OFFSET(Sheet3!$B$2,0,MATCH(USA!$F57,Sheet3!$1:$1,0)-2,300,1),OFFSET(Sheet3!$B$2,0,MATCH(USA!X$43,Sheet3!$1:$1,0)-2,300,1)),ABS(OFFSET(Sheet3!$B$2,0,MATCH(USA!$F57,Sheet3!$A$1:$U$1,0)-2)-OFFSET(Sheet3!$B$2,0,MATCH(X$43,Sheet3!$A$1:$U$1,0)-2)))</f>
        <v>#VALUE!</v>
      </c>
      <c r="Y57" s="68" t="e">
        <f ca="1">IF(dataset="Correlation",CORREL(OFFSET(Sheet3!$B$2,0,MATCH(USA!$F57,Sheet3!$1:$1,0)-2,300,1),OFFSET(Sheet3!$B$2,0,MATCH(USA!Y$43,Sheet3!$1:$1,0)-2,300,1)),ABS(OFFSET(Sheet3!$B$2,0,MATCH(USA!$F57,Sheet3!$A$1:$U$1,0)-2)-OFFSET(Sheet3!$B$2,0,MATCH(Y$43,Sheet3!$A$1:$U$1,0)-2)))</f>
        <v>#VALUE!</v>
      </c>
      <c r="Z57" s="69" t="e">
        <f ca="1">IF(dataset="Correlation",CORREL(OFFSET(Sheet3!$B$2,0,MATCH(USA!$F57,Sheet3!$1:$1,0)-2,300,1),OFFSET(Sheet3!$B$2,0,MATCH(USA!Z$43,Sheet3!$1:$1,0)-2,300,1)),ABS(OFFSET(Sheet3!$B$2,0,MATCH(USA!$F57,Sheet3!$A$1:$U$1,0)-2)-OFFSET(Sheet3!$B$2,0,MATCH(Z$43,Sheet3!$A$1:$U$1,0)-2)))</f>
        <v>#VALUE!</v>
      </c>
      <c r="AC57" s="7"/>
      <c r="AD57" s="7"/>
      <c r="AE57" s="7"/>
      <c r="AF57" s="7"/>
      <c r="AG57" s="7"/>
      <c r="AH57" s="7"/>
      <c r="AI57" s="7"/>
      <c r="AJ57" s="7"/>
      <c r="AK57" s="7"/>
      <c r="AL57" s="7"/>
      <c r="AM57" s="7"/>
      <c r="AN57" s="7"/>
      <c r="AO57" s="7"/>
      <c r="AP57" s="7"/>
      <c r="AQ57" s="7"/>
      <c r="AR57" s="7"/>
      <c r="AS57" s="7"/>
      <c r="AT57" s="7"/>
      <c r="AU57" s="7"/>
      <c r="AV57" s="7"/>
      <c r="AW57" s="7"/>
      <c r="AX57" s="7"/>
    </row>
    <row r="58" spans="1:50" ht="15" customHeight="1" x14ac:dyDescent="0.25">
      <c r="A58" s="6" t="s">
        <v>66</v>
      </c>
      <c r="B58" s="6">
        <f>_xll.BDP($A58,"last price")</f>
        <v>98.83</v>
      </c>
      <c r="C58" s="8">
        <f>IF(OR(MID(A58,3,1)="H",MID(A58,3,1)="M",MID(A58,3,1)="U",MID(A58,3,1)="Z"),MAX($C$43:C57)+1,"")</f>
        <v>11</v>
      </c>
      <c r="D58" s="9" t="str">
        <f ca="1">OFFSET($A$43,MATCH(15,$C$44:$C$87,0),0)</f>
        <v>EDZ8 Comdty</v>
      </c>
      <c r="E58" s="11"/>
      <c r="F58" s="60" t="str">
        <f ca="1">_xll.BDP($D58,"TICKER")</f>
        <v>EDZ8</v>
      </c>
      <c r="G58" s="66" t="e">
        <f ca="1">IF(dataset="Correlation",CORREL(OFFSET(Sheet3!$B$2,0,MATCH(USA!$F58,Sheet3!$1:$1,0)-2,300,1),OFFSET(Sheet3!$B$2,0,MATCH(USA!G$43,Sheet3!$1:$1,0)-2,300,1)),ABS(OFFSET(Sheet3!$B$2,0,MATCH(USA!$F58,Sheet3!$A$1:$U$1,0)-2)-OFFSET(Sheet3!$B$2,0,MATCH(G$43,Sheet3!$A$1:$U$1,0)-2)))</f>
        <v>#VALUE!</v>
      </c>
      <c r="H58" s="66" t="e">
        <f ca="1">IF(dataset="Correlation",CORREL(OFFSET(Sheet3!$B$2,0,MATCH(USA!$F58,Sheet3!$1:$1,0)-2,300,1),OFFSET(Sheet3!$B$2,0,MATCH(USA!H$43,Sheet3!$1:$1,0)-2,300,1)),ABS(OFFSET(Sheet3!$B$2,0,MATCH(USA!$F58,Sheet3!$A$1:$U$1,0)-2)-OFFSET(Sheet3!$B$2,0,MATCH(H$43,Sheet3!$A$1:$U$1,0)-2)))</f>
        <v>#VALUE!</v>
      </c>
      <c r="I58" s="66" t="e">
        <f ca="1">IF(dataset="Correlation",CORREL(OFFSET(Sheet3!$B$2,0,MATCH(USA!$F58,Sheet3!$1:$1,0)-2,300,1),OFFSET(Sheet3!$B$2,0,MATCH(USA!I$43,Sheet3!$1:$1,0)-2,300,1)),ABS(OFFSET(Sheet3!$B$2,0,MATCH(USA!$F58,Sheet3!$A$1:$U$1,0)-2)-OFFSET(Sheet3!$B$2,0,MATCH(I$43,Sheet3!$A$1:$U$1,0)-2)))</f>
        <v>#VALUE!</v>
      </c>
      <c r="J58" s="66" t="e">
        <f ca="1">IF(dataset="Correlation",CORREL(OFFSET(Sheet3!$B$2,0,MATCH(USA!$F58,Sheet3!$1:$1,0)-2,300,1),OFFSET(Sheet3!$B$2,0,MATCH(USA!J$43,Sheet3!$1:$1,0)-2,300,1)),ABS(OFFSET(Sheet3!$B$2,0,MATCH(USA!$F58,Sheet3!$A$1:$U$1,0)-2)-OFFSET(Sheet3!$B$2,0,MATCH(J$43,Sheet3!$A$1:$U$1,0)-2)))</f>
        <v>#VALUE!</v>
      </c>
      <c r="K58" s="66" t="e">
        <f ca="1">IF(dataset="Correlation",CORREL(OFFSET(Sheet3!$B$2,0,MATCH(USA!$F58,Sheet3!$1:$1,0)-2,300,1),OFFSET(Sheet3!$B$2,0,MATCH(USA!K$43,Sheet3!$1:$1,0)-2,300,1)),ABS(OFFSET(Sheet3!$B$2,0,MATCH(USA!$F58,Sheet3!$A$1:$U$1,0)-2)-OFFSET(Sheet3!$B$2,0,MATCH(K$43,Sheet3!$A$1:$U$1,0)-2)))</f>
        <v>#VALUE!</v>
      </c>
      <c r="L58" s="66" t="e">
        <f ca="1">IF(dataset="Correlation",CORREL(OFFSET(Sheet3!$B$2,0,MATCH(USA!$F58,Sheet3!$1:$1,0)-2,300,1),OFFSET(Sheet3!$B$2,0,MATCH(USA!L$43,Sheet3!$1:$1,0)-2,300,1)),ABS(OFFSET(Sheet3!$B$2,0,MATCH(USA!$F58,Sheet3!$A$1:$U$1,0)-2)-OFFSET(Sheet3!$B$2,0,MATCH(L$43,Sheet3!$A$1:$U$1,0)-2)))</f>
        <v>#VALUE!</v>
      </c>
      <c r="M58" s="66" t="e">
        <f ca="1">IF(dataset="Correlation",CORREL(OFFSET(Sheet3!$B$2,0,MATCH(USA!$F58,Sheet3!$1:$1,0)-2,300,1),OFFSET(Sheet3!$B$2,0,MATCH(USA!M$43,Sheet3!$1:$1,0)-2,300,1)),ABS(OFFSET(Sheet3!$B$2,0,MATCH(USA!$F58,Sheet3!$A$1:$U$1,0)-2)-OFFSET(Sheet3!$B$2,0,MATCH(M$43,Sheet3!$A$1:$U$1,0)-2)))</f>
        <v>#VALUE!</v>
      </c>
      <c r="N58" s="66" t="e">
        <f ca="1">IF(dataset="Correlation",CORREL(OFFSET(Sheet3!$B$2,0,MATCH(USA!$F58,Sheet3!$1:$1,0)-2,300,1),OFFSET(Sheet3!$B$2,0,MATCH(USA!N$43,Sheet3!$1:$1,0)-2,300,1)),ABS(OFFSET(Sheet3!$B$2,0,MATCH(USA!$F58,Sheet3!$A$1:$U$1,0)-2)-OFFSET(Sheet3!$B$2,0,MATCH(N$43,Sheet3!$A$1:$U$1,0)-2)))</f>
        <v>#VALUE!</v>
      </c>
      <c r="O58" s="66" t="e">
        <f ca="1">IF(dataset="Correlation",CORREL(OFFSET(Sheet3!$B$2,0,MATCH(USA!$F58,Sheet3!$1:$1,0)-2,300,1),OFFSET(Sheet3!$B$2,0,MATCH(USA!O$43,Sheet3!$1:$1,0)-2,300,1)),ABS(OFFSET(Sheet3!$B$2,0,MATCH(USA!$F58,Sheet3!$A$1:$U$1,0)-2)-OFFSET(Sheet3!$B$2,0,MATCH(O$43,Sheet3!$A$1:$U$1,0)-2)))</f>
        <v>#VALUE!</v>
      </c>
      <c r="P58" s="66" t="e">
        <f ca="1">IF(dataset="Correlation",CORREL(OFFSET(Sheet3!$B$2,0,MATCH(USA!$F58,Sheet3!$1:$1,0)-2,300,1),OFFSET(Sheet3!$B$2,0,MATCH(USA!P$43,Sheet3!$1:$1,0)-2,300,1)),ABS(OFFSET(Sheet3!$B$2,0,MATCH(USA!$F58,Sheet3!$A$1:$U$1,0)-2)-OFFSET(Sheet3!$B$2,0,MATCH(P$43,Sheet3!$A$1:$U$1,0)-2)))</f>
        <v>#VALUE!</v>
      </c>
      <c r="Q58" s="66" t="e">
        <f ca="1">IF(dataset="Correlation",CORREL(OFFSET(Sheet3!$B$2,0,MATCH(USA!$F58,Sheet3!$1:$1,0)-2,300,1),OFFSET(Sheet3!$B$2,0,MATCH(USA!Q$43,Sheet3!$1:$1,0)-2,300,1)),ABS(OFFSET(Sheet3!$B$2,0,MATCH(USA!$F58,Sheet3!$A$1:$U$1,0)-2)-OFFSET(Sheet3!$B$2,0,MATCH(Q$43,Sheet3!$A$1:$U$1,0)-2)))</f>
        <v>#VALUE!</v>
      </c>
      <c r="R58" s="66" t="e">
        <f ca="1">IF(dataset="Correlation",CORREL(OFFSET(Sheet3!$B$2,0,MATCH(USA!$F58,Sheet3!$1:$1,0)-2,300,1),OFFSET(Sheet3!$B$2,0,MATCH(USA!R$43,Sheet3!$1:$1,0)-2,300,1)),ABS(OFFSET(Sheet3!$B$2,0,MATCH(USA!$F58,Sheet3!$A$1:$U$1,0)-2)-OFFSET(Sheet3!$B$2,0,MATCH(R$43,Sheet3!$A$1:$U$1,0)-2)))</f>
        <v>#VALUE!</v>
      </c>
      <c r="S58" s="66" t="e">
        <f ca="1">IF(dataset="Correlation",CORREL(OFFSET(Sheet3!$B$2,0,MATCH(USA!$F58,Sheet3!$1:$1,0)-2,300,1),OFFSET(Sheet3!$B$2,0,MATCH(USA!S$43,Sheet3!$1:$1,0)-2,300,1)),ABS(OFFSET(Sheet3!$B$2,0,MATCH(USA!$F58,Sheet3!$A$1:$U$1,0)-2)-OFFSET(Sheet3!$B$2,0,MATCH(S$43,Sheet3!$A$1:$U$1,0)-2)))</f>
        <v>#VALUE!</v>
      </c>
      <c r="T58" s="66" t="e">
        <f ca="1">IF(dataset="Correlation",CORREL(OFFSET(Sheet3!$B$2,0,MATCH(USA!$F58,Sheet3!$1:$1,0)-2,300,1),OFFSET(Sheet3!$B$2,0,MATCH(USA!T$43,Sheet3!$1:$1,0)-2,300,1)),ABS(OFFSET(Sheet3!$B$2,0,MATCH(USA!$F58,Sheet3!$A$1:$U$1,0)-2)-OFFSET(Sheet3!$B$2,0,MATCH(T$43,Sheet3!$A$1:$U$1,0)-2)))</f>
        <v>#VALUE!</v>
      </c>
      <c r="U58" s="66" t="e">
        <f ca="1">IF(dataset="Correlation",CORREL(OFFSET(Sheet3!$B$2,0,MATCH(USA!$F58,Sheet3!$1:$1,0)-2,300,1),OFFSET(Sheet3!$B$2,0,MATCH(USA!U$43,Sheet3!$1:$1,0)-2,300,1)),ABS(OFFSET(Sheet3!$B$2,0,MATCH(USA!$F58,Sheet3!$A$1:$U$1,0)-2)-OFFSET(Sheet3!$B$2,0,MATCH(U$43,Sheet3!$A$1:$U$1,0)-2)))</f>
        <v>#VALUE!</v>
      </c>
      <c r="V58" s="66" t="e">
        <f ca="1">IF(dataset="Correlation",CORREL(OFFSET(Sheet3!$B$2,0,MATCH(USA!$F58,Sheet3!$1:$1,0)-2,300,1),OFFSET(Sheet3!$B$2,0,MATCH(USA!V$43,Sheet3!$1:$1,0)-2,300,1)),ABS(OFFSET(Sheet3!$B$2,0,MATCH(USA!$F58,Sheet3!$A$1:$U$1,0)-2)-OFFSET(Sheet3!$B$2,0,MATCH(V$43,Sheet3!$A$1:$U$1,0)-2)))</f>
        <v>#VALUE!</v>
      </c>
      <c r="W58" s="66" t="e">
        <f ca="1">IF(dataset="Correlation",CORREL(OFFSET(Sheet3!$B$2,0,MATCH(USA!$F58,Sheet3!$1:$1,0)-2,300,1),OFFSET(Sheet3!$B$2,0,MATCH(USA!W$43,Sheet3!$1:$1,0)-2,300,1)),ABS(OFFSET(Sheet3!$B$2,0,MATCH(USA!$F58,Sheet3!$A$1:$U$1,0)-2)-OFFSET(Sheet3!$B$2,0,MATCH(W$43,Sheet3!$A$1:$U$1,0)-2)))</f>
        <v>#VALUE!</v>
      </c>
      <c r="X58" s="66" t="e">
        <f ca="1">IF(dataset="Correlation",CORREL(OFFSET(Sheet3!$B$2,0,MATCH(USA!$F58,Sheet3!$1:$1,0)-2,300,1),OFFSET(Sheet3!$B$2,0,MATCH(USA!X$43,Sheet3!$1:$1,0)-2,300,1)),ABS(OFFSET(Sheet3!$B$2,0,MATCH(USA!$F58,Sheet3!$A$1:$U$1,0)-2)-OFFSET(Sheet3!$B$2,0,MATCH(X$43,Sheet3!$A$1:$U$1,0)-2)))</f>
        <v>#VALUE!</v>
      </c>
      <c r="Y58" s="66" t="e">
        <f ca="1">IF(dataset="Correlation",CORREL(OFFSET(Sheet3!$B$2,0,MATCH(USA!$F58,Sheet3!$1:$1,0)-2,300,1),OFFSET(Sheet3!$B$2,0,MATCH(USA!Y$43,Sheet3!$1:$1,0)-2,300,1)),ABS(OFFSET(Sheet3!$B$2,0,MATCH(USA!$F58,Sheet3!$A$1:$U$1,0)-2)-OFFSET(Sheet3!$B$2,0,MATCH(Y$43,Sheet3!$A$1:$U$1,0)-2)))</f>
        <v>#VALUE!</v>
      </c>
      <c r="Z58" s="67" t="e">
        <f ca="1">IF(dataset="Correlation",CORREL(OFFSET(Sheet3!$B$2,0,MATCH(USA!$F58,Sheet3!$1:$1,0)-2,300,1),OFFSET(Sheet3!$B$2,0,MATCH(USA!Z$43,Sheet3!$1:$1,0)-2,300,1)),ABS(OFFSET(Sheet3!$B$2,0,MATCH(USA!$F58,Sheet3!$A$1:$U$1,0)-2)-OFFSET(Sheet3!$B$2,0,MATCH(Z$43,Sheet3!$A$1:$U$1,0)-2)))</f>
        <v>#VALUE!</v>
      </c>
      <c r="AC58" s="7"/>
      <c r="AD58" s="7"/>
      <c r="AE58" s="7"/>
      <c r="AF58" s="7"/>
      <c r="AG58" s="7"/>
      <c r="AH58" s="7"/>
      <c r="AI58" s="7"/>
      <c r="AJ58" s="7"/>
      <c r="AK58" s="7"/>
      <c r="AL58" s="7"/>
      <c r="AM58" s="7"/>
      <c r="AN58" s="7"/>
      <c r="AO58" s="7"/>
      <c r="AP58" s="7"/>
      <c r="AQ58" s="7"/>
      <c r="AR58" s="7"/>
      <c r="AS58" s="7"/>
      <c r="AT58" s="7"/>
      <c r="AU58" s="7"/>
      <c r="AV58" s="7"/>
      <c r="AW58" s="7"/>
      <c r="AX58" s="7"/>
    </row>
    <row r="59" spans="1:50" ht="15" customHeight="1" x14ac:dyDescent="0.25">
      <c r="A59" s="6" t="s">
        <v>67</v>
      </c>
      <c r="B59" s="6">
        <f>_xll.BDP($A59,"last price")</f>
        <v>98.795000000000002</v>
      </c>
      <c r="C59" s="8">
        <f>IF(OR(MID(A59,3,1)="H",MID(A59,3,1)="M",MID(A59,3,1)="U",MID(A59,3,1)="Z"),MAX($C$43:C58)+1,"")</f>
        <v>12</v>
      </c>
      <c r="D59" s="9" t="str">
        <f ca="1">OFFSET($A$43,MATCH(16,$C$44:$C$87,0),0)</f>
        <v>EDH9 Comdty</v>
      </c>
      <c r="E59" s="11"/>
      <c r="F59" s="60" t="str">
        <f ca="1">_xll.BDP($D59,"TICKER")</f>
        <v>EDH9</v>
      </c>
      <c r="G59" s="68" t="e">
        <f ca="1">IF(dataset="Correlation",CORREL(OFFSET(Sheet3!$B$2,0,MATCH(USA!$F59,Sheet3!$1:$1,0)-2,300,1),OFFSET(Sheet3!$B$2,0,MATCH(USA!G$43,Sheet3!$1:$1,0)-2,300,1)),ABS(OFFSET(Sheet3!$B$2,0,MATCH(USA!$F59,Sheet3!$A$1:$U$1,0)-2)-OFFSET(Sheet3!$B$2,0,MATCH(G$43,Sheet3!$A$1:$U$1,0)-2)))</f>
        <v>#VALUE!</v>
      </c>
      <c r="H59" s="68" t="e">
        <f ca="1">IF(dataset="Correlation",CORREL(OFFSET(Sheet3!$B$2,0,MATCH(USA!$F59,Sheet3!$1:$1,0)-2,300,1),OFFSET(Sheet3!$B$2,0,MATCH(USA!H$43,Sheet3!$1:$1,0)-2,300,1)),ABS(OFFSET(Sheet3!$B$2,0,MATCH(USA!$F59,Sheet3!$A$1:$U$1,0)-2)-OFFSET(Sheet3!$B$2,0,MATCH(H$43,Sheet3!$A$1:$U$1,0)-2)))</f>
        <v>#VALUE!</v>
      </c>
      <c r="I59" s="68" t="e">
        <f ca="1">IF(dataset="Correlation",CORREL(OFFSET(Sheet3!$B$2,0,MATCH(USA!$F59,Sheet3!$1:$1,0)-2,300,1),OFFSET(Sheet3!$B$2,0,MATCH(USA!I$43,Sheet3!$1:$1,0)-2,300,1)),ABS(OFFSET(Sheet3!$B$2,0,MATCH(USA!$F59,Sheet3!$A$1:$U$1,0)-2)-OFFSET(Sheet3!$B$2,0,MATCH(I$43,Sheet3!$A$1:$U$1,0)-2)))</f>
        <v>#VALUE!</v>
      </c>
      <c r="J59" s="68" t="e">
        <f ca="1">IF(dataset="Correlation",CORREL(OFFSET(Sheet3!$B$2,0,MATCH(USA!$F59,Sheet3!$1:$1,0)-2,300,1),OFFSET(Sheet3!$B$2,0,MATCH(USA!J$43,Sheet3!$1:$1,0)-2,300,1)),ABS(OFFSET(Sheet3!$B$2,0,MATCH(USA!$F59,Sheet3!$A$1:$U$1,0)-2)-OFFSET(Sheet3!$B$2,0,MATCH(J$43,Sheet3!$A$1:$U$1,0)-2)))</f>
        <v>#VALUE!</v>
      </c>
      <c r="K59" s="68" t="e">
        <f ca="1">IF(dataset="Correlation",CORREL(OFFSET(Sheet3!$B$2,0,MATCH(USA!$F59,Sheet3!$1:$1,0)-2,300,1),OFFSET(Sheet3!$B$2,0,MATCH(USA!K$43,Sheet3!$1:$1,0)-2,300,1)),ABS(OFFSET(Sheet3!$B$2,0,MATCH(USA!$F59,Sheet3!$A$1:$U$1,0)-2)-OFFSET(Sheet3!$B$2,0,MATCH(K$43,Sheet3!$A$1:$U$1,0)-2)))</f>
        <v>#VALUE!</v>
      </c>
      <c r="L59" s="68" t="e">
        <f ca="1">IF(dataset="Correlation",CORREL(OFFSET(Sheet3!$B$2,0,MATCH(USA!$F59,Sheet3!$1:$1,0)-2,300,1),OFFSET(Sheet3!$B$2,0,MATCH(USA!L$43,Sheet3!$1:$1,0)-2,300,1)),ABS(OFFSET(Sheet3!$B$2,0,MATCH(USA!$F59,Sheet3!$A$1:$U$1,0)-2)-OFFSET(Sheet3!$B$2,0,MATCH(L$43,Sheet3!$A$1:$U$1,0)-2)))</f>
        <v>#VALUE!</v>
      </c>
      <c r="M59" s="68" t="e">
        <f ca="1">IF(dataset="Correlation",CORREL(OFFSET(Sheet3!$B$2,0,MATCH(USA!$F59,Sheet3!$1:$1,0)-2,300,1),OFFSET(Sheet3!$B$2,0,MATCH(USA!M$43,Sheet3!$1:$1,0)-2,300,1)),ABS(OFFSET(Sheet3!$B$2,0,MATCH(USA!$F59,Sheet3!$A$1:$U$1,0)-2)-OFFSET(Sheet3!$B$2,0,MATCH(M$43,Sheet3!$A$1:$U$1,0)-2)))</f>
        <v>#VALUE!</v>
      </c>
      <c r="N59" s="68" t="e">
        <f ca="1">IF(dataset="Correlation",CORREL(OFFSET(Sheet3!$B$2,0,MATCH(USA!$F59,Sheet3!$1:$1,0)-2,300,1),OFFSET(Sheet3!$B$2,0,MATCH(USA!N$43,Sheet3!$1:$1,0)-2,300,1)),ABS(OFFSET(Sheet3!$B$2,0,MATCH(USA!$F59,Sheet3!$A$1:$U$1,0)-2)-OFFSET(Sheet3!$B$2,0,MATCH(N$43,Sheet3!$A$1:$U$1,0)-2)))</f>
        <v>#VALUE!</v>
      </c>
      <c r="O59" s="68" t="e">
        <f ca="1">IF(dataset="Correlation",CORREL(OFFSET(Sheet3!$B$2,0,MATCH(USA!$F59,Sheet3!$1:$1,0)-2,300,1),OFFSET(Sheet3!$B$2,0,MATCH(USA!O$43,Sheet3!$1:$1,0)-2,300,1)),ABS(OFFSET(Sheet3!$B$2,0,MATCH(USA!$F59,Sheet3!$A$1:$U$1,0)-2)-OFFSET(Sheet3!$B$2,0,MATCH(O$43,Sheet3!$A$1:$U$1,0)-2)))</f>
        <v>#VALUE!</v>
      </c>
      <c r="P59" s="68" t="e">
        <f ca="1">IF(dataset="Correlation",CORREL(OFFSET(Sheet3!$B$2,0,MATCH(USA!$F59,Sheet3!$1:$1,0)-2,300,1),OFFSET(Sheet3!$B$2,0,MATCH(USA!P$43,Sheet3!$1:$1,0)-2,300,1)),ABS(OFFSET(Sheet3!$B$2,0,MATCH(USA!$F59,Sheet3!$A$1:$U$1,0)-2)-OFFSET(Sheet3!$B$2,0,MATCH(P$43,Sheet3!$A$1:$U$1,0)-2)))</f>
        <v>#VALUE!</v>
      </c>
      <c r="Q59" s="68" t="e">
        <f ca="1">IF(dataset="Correlation",CORREL(OFFSET(Sheet3!$B$2,0,MATCH(USA!$F59,Sheet3!$1:$1,0)-2,300,1),OFFSET(Sheet3!$B$2,0,MATCH(USA!Q$43,Sheet3!$1:$1,0)-2,300,1)),ABS(OFFSET(Sheet3!$B$2,0,MATCH(USA!$F59,Sheet3!$A$1:$U$1,0)-2)-OFFSET(Sheet3!$B$2,0,MATCH(Q$43,Sheet3!$A$1:$U$1,0)-2)))</f>
        <v>#VALUE!</v>
      </c>
      <c r="R59" s="68" t="e">
        <f ca="1">IF(dataset="Correlation",CORREL(OFFSET(Sheet3!$B$2,0,MATCH(USA!$F59,Sheet3!$1:$1,0)-2,300,1),OFFSET(Sheet3!$B$2,0,MATCH(USA!R$43,Sheet3!$1:$1,0)-2,300,1)),ABS(OFFSET(Sheet3!$B$2,0,MATCH(USA!$F59,Sheet3!$A$1:$U$1,0)-2)-OFFSET(Sheet3!$B$2,0,MATCH(R$43,Sheet3!$A$1:$U$1,0)-2)))</f>
        <v>#VALUE!</v>
      </c>
      <c r="S59" s="68" t="e">
        <f ca="1">IF(dataset="Correlation",CORREL(OFFSET(Sheet3!$B$2,0,MATCH(USA!$F59,Sheet3!$1:$1,0)-2,300,1),OFFSET(Sheet3!$B$2,0,MATCH(USA!S$43,Sheet3!$1:$1,0)-2,300,1)),ABS(OFFSET(Sheet3!$B$2,0,MATCH(USA!$F59,Sheet3!$A$1:$U$1,0)-2)-OFFSET(Sheet3!$B$2,0,MATCH(S$43,Sheet3!$A$1:$U$1,0)-2)))</f>
        <v>#VALUE!</v>
      </c>
      <c r="T59" s="68" t="e">
        <f ca="1">IF(dataset="Correlation",CORREL(OFFSET(Sheet3!$B$2,0,MATCH(USA!$F59,Sheet3!$1:$1,0)-2,300,1),OFFSET(Sheet3!$B$2,0,MATCH(USA!T$43,Sheet3!$1:$1,0)-2,300,1)),ABS(OFFSET(Sheet3!$B$2,0,MATCH(USA!$F59,Sheet3!$A$1:$U$1,0)-2)-OFFSET(Sheet3!$B$2,0,MATCH(T$43,Sheet3!$A$1:$U$1,0)-2)))</f>
        <v>#VALUE!</v>
      </c>
      <c r="U59" s="68" t="e">
        <f ca="1">IF(dataset="Correlation",CORREL(OFFSET(Sheet3!$B$2,0,MATCH(USA!$F59,Sheet3!$1:$1,0)-2,300,1),OFFSET(Sheet3!$B$2,0,MATCH(USA!U$43,Sheet3!$1:$1,0)-2,300,1)),ABS(OFFSET(Sheet3!$B$2,0,MATCH(USA!$F59,Sheet3!$A$1:$U$1,0)-2)-OFFSET(Sheet3!$B$2,0,MATCH(U$43,Sheet3!$A$1:$U$1,0)-2)))</f>
        <v>#VALUE!</v>
      </c>
      <c r="V59" s="68" t="e">
        <f ca="1">IF(dataset="Correlation",CORREL(OFFSET(Sheet3!$B$2,0,MATCH(USA!$F59,Sheet3!$1:$1,0)-2,300,1),OFFSET(Sheet3!$B$2,0,MATCH(USA!V$43,Sheet3!$1:$1,0)-2,300,1)),ABS(OFFSET(Sheet3!$B$2,0,MATCH(USA!$F59,Sheet3!$A$1:$U$1,0)-2)-OFFSET(Sheet3!$B$2,0,MATCH(V$43,Sheet3!$A$1:$U$1,0)-2)))</f>
        <v>#VALUE!</v>
      </c>
      <c r="W59" s="68" t="e">
        <f ca="1">IF(dataset="Correlation",CORREL(OFFSET(Sheet3!$B$2,0,MATCH(USA!$F59,Sheet3!$1:$1,0)-2,300,1),OFFSET(Sheet3!$B$2,0,MATCH(USA!W$43,Sheet3!$1:$1,0)-2,300,1)),ABS(OFFSET(Sheet3!$B$2,0,MATCH(USA!$F59,Sheet3!$A$1:$U$1,0)-2)-OFFSET(Sheet3!$B$2,0,MATCH(W$43,Sheet3!$A$1:$U$1,0)-2)))</f>
        <v>#VALUE!</v>
      </c>
      <c r="X59" s="68" t="e">
        <f ca="1">IF(dataset="Correlation",CORREL(OFFSET(Sheet3!$B$2,0,MATCH(USA!$F59,Sheet3!$1:$1,0)-2,300,1),OFFSET(Sheet3!$B$2,0,MATCH(USA!X$43,Sheet3!$1:$1,0)-2,300,1)),ABS(OFFSET(Sheet3!$B$2,0,MATCH(USA!$F59,Sheet3!$A$1:$U$1,0)-2)-OFFSET(Sheet3!$B$2,0,MATCH(X$43,Sheet3!$A$1:$U$1,0)-2)))</f>
        <v>#VALUE!</v>
      </c>
      <c r="Y59" s="68" t="e">
        <f ca="1">IF(dataset="Correlation",CORREL(OFFSET(Sheet3!$B$2,0,MATCH(USA!$F59,Sheet3!$1:$1,0)-2,300,1),OFFSET(Sheet3!$B$2,0,MATCH(USA!Y$43,Sheet3!$1:$1,0)-2,300,1)),ABS(OFFSET(Sheet3!$B$2,0,MATCH(USA!$F59,Sheet3!$A$1:$U$1,0)-2)-OFFSET(Sheet3!$B$2,0,MATCH(Y$43,Sheet3!$A$1:$U$1,0)-2)))</f>
        <v>#VALUE!</v>
      </c>
      <c r="Z59" s="69" t="e">
        <f ca="1">IF(dataset="Correlation",CORREL(OFFSET(Sheet3!$B$2,0,MATCH(USA!$F59,Sheet3!$1:$1,0)-2,300,1),OFFSET(Sheet3!$B$2,0,MATCH(USA!Z$43,Sheet3!$1:$1,0)-2,300,1)),ABS(OFFSET(Sheet3!$B$2,0,MATCH(USA!$F59,Sheet3!$A$1:$U$1,0)-2)-OFFSET(Sheet3!$B$2,0,MATCH(Z$43,Sheet3!$A$1:$U$1,0)-2)))</f>
        <v>#VALUE!</v>
      </c>
      <c r="AC59" s="7"/>
      <c r="AD59" s="7"/>
      <c r="AE59" s="7"/>
      <c r="AF59" s="7"/>
      <c r="AG59" s="7"/>
      <c r="AH59" s="7"/>
      <c r="AI59" s="7"/>
      <c r="AJ59" s="7"/>
      <c r="AK59" s="7"/>
      <c r="AL59" s="7"/>
      <c r="AM59" s="7"/>
      <c r="AN59" s="7"/>
      <c r="AO59" s="7"/>
      <c r="AP59" s="7"/>
      <c r="AQ59" s="7"/>
      <c r="AR59" s="7"/>
      <c r="AS59" s="7"/>
      <c r="AT59" s="7"/>
      <c r="AU59" s="7"/>
      <c r="AV59" s="7"/>
      <c r="AW59" s="7"/>
      <c r="AX59" s="7"/>
    </row>
    <row r="60" spans="1:50" ht="15" customHeight="1" x14ac:dyDescent="0.25">
      <c r="A60" s="6" t="s">
        <v>68</v>
      </c>
      <c r="B60" s="6">
        <f>_xll.BDP($A60,"last price")</f>
        <v>98.754999999999995</v>
      </c>
      <c r="C60" s="8">
        <f>IF(OR(MID(A60,3,1)="H",MID(A60,3,1)="M",MID(A60,3,1)="U",MID(A60,3,1)="Z"),MAX($C$43:C59)+1,"")</f>
        <v>13</v>
      </c>
      <c r="D60" s="9" t="str">
        <f ca="1">OFFSET($A$43,MATCH(17,$C$44:$C$87,0),0)</f>
        <v>EDM9 Comdty</v>
      </c>
      <c r="E60" s="11"/>
      <c r="F60" s="60" t="str">
        <f ca="1">_xll.BDP($D60,"TICKER")</f>
        <v>EDM9</v>
      </c>
      <c r="G60" s="66" t="e">
        <f ca="1">IF(dataset="Correlation",CORREL(OFFSET(Sheet3!$B$2,0,MATCH(USA!$F60,Sheet3!$1:$1,0)-2,300,1),OFFSET(Sheet3!$B$2,0,MATCH(USA!G$43,Sheet3!$1:$1,0)-2,300,1)),ABS(OFFSET(Sheet3!$B$2,0,MATCH(USA!$F60,Sheet3!$A$1:$U$1,0)-2)-OFFSET(Sheet3!$B$2,0,MATCH(G$43,Sheet3!$A$1:$U$1,0)-2)))</f>
        <v>#VALUE!</v>
      </c>
      <c r="H60" s="66" t="e">
        <f ca="1">IF(dataset="Correlation",CORREL(OFFSET(Sheet3!$B$2,0,MATCH(USA!$F60,Sheet3!$1:$1,0)-2,300,1),OFFSET(Sheet3!$B$2,0,MATCH(USA!H$43,Sheet3!$1:$1,0)-2,300,1)),ABS(OFFSET(Sheet3!$B$2,0,MATCH(USA!$F60,Sheet3!$A$1:$U$1,0)-2)-OFFSET(Sheet3!$B$2,0,MATCH(H$43,Sheet3!$A$1:$U$1,0)-2)))</f>
        <v>#VALUE!</v>
      </c>
      <c r="I60" s="66" t="e">
        <f ca="1">IF(dataset="Correlation",CORREL(OFFSET(Sheet3!$B$2,0,MATCH(USA!$F60,Sheet3!$1:$1,0)-2,300,1),OFFSET(Sheet3!$B$2,0,MATCH(USA!I$43,Sheet3!$1:$1,0)-2,300,1)),ABS(OFFSET(Sheet3!$B$2,0,MATCH(USA!$F60,Sheet3!$A$1:$U$1,0)-2)-OFFSET(Sheet3!$B$2,0,MATCH(I$43,Sheet3!$A$1:$U$1,0)-2)))</f>
        <v>#VALUE!</v>
      </c>
      <c r="J60" s="66" t="e">
        <f ca="1">IF(dataset="Correlation",CORREL(OFFSET(Sheet3!$B$2,0,MATCH(USA!$F60,Sheet3!$1:$1,0)-2,300,1),OFFSET(Sheet3!$B$2,0,MATCH(USA!J$43,Sheet3!$1:$1,0)-2,300,1)),ABS(OFFSET(Sheet3!$B$2,0,MATCH(USA!$F60,Sheet3!$A$1:$U$1,0)-2)-OFFSET(Sheet3!$B$2,0,MATCH(J$43,Sheet3!$A$1:$U$1,0)-2)))</f>
        <v>#VALUE!</v>
      </c>
      <c r="K60" s="66" t="e">
        <f ca="1">IF(dataset="Correlation",CORREL(OFFSET(Sheet3!$B$2,0,MATCH(USA!$F60,Sheet3!$1:$1,0)-2,300,1),OFFSET(Sheet3!$B$2,0,MATCH(USA!K$43,Sheet3!$1:$1,0)-2,300,1)),ABS(OFFSET(Sheet3!$B$2,0,MATCH(USA!$F60,Sheet3!$A$1:$U$1,0)-2)-OFFSET(Sheet3!$B$2,0,MATCH(K$43,Sheet3!$A$1:$U$1,0)-2)))</f>
        <v>#VALUE!</v>
      </c>
      <c r="L60" s="66" t="e">
        <f ca="1">IF(dataset="Correlation",CORREL(OFFSET(Sheet3!$B$2,0,MATCH(USA!$F60,Sheet3!$1:$1,0)-2,300,1),OFFSET(Sheet3!$B$2,0,MATCH(USA!L$43,Sheet3!$1:$1,0)-2,300,1)),ABS(OFFSET(Sheet3!$B$2,0,MATCH(USA!$F60,Sheet3!$A$1:$U$1,0)-2)-OFFSET(Sheet3!$B$2,0,MATCH(L$43,Sheet3!$A$1:$U$1,0)-2)))</f>
        <v>#VALUE!</v>
      </c>
      <c r="M60" s="66" t="e">
        <f ca="1">IF(dataset="Correlation",CORREL(OFFSET(Sheet3!$B$2,0,MATCH(USA!$F60,Sheet3!$1:$1,0)-2,300,1),OFFSET(Sheet3!$B$2,0,MATCH(USA!M$43,Sheet3!$1:$1,0)-2,300,1)),ABS(OFFSET(Sheet3!$B$2,0,MATCH(USA!$F60,Sheet3!$A$1:$U$1,0)-2)-OFFSET(Sheet3!$B$2,0,MATCH(M$43,Sheet3!$A$1:$U$1,0)-2)))</f>
        <v>#VALUE!</v>
      </c>
      <c r="N60" s="66" t="e">
        <f ca="1">IF(dataset="Correlation",CORREL(OFFSET(Sheet3!$B$2,0,MATCH(USA!$F60,Sheet3!$1:$1,0)-2,300,1),OFFSET(Sheet3!$B$2,0,MATCH(USA!N$43,Sheet3!$1:$1,0)-2,300,1)),ABS(OFFSET(Sheet3!$B$2,0,MATCH(USA!$F60,Sheet3!$A$1:$U$1,0)-2)-OFFSET(Sheet3!$B$2,0,MATCH(N$43,Sheet3!$A$1:$U$1,0)-2)))</f>
        <v>#VALUE!</v>
      </c>
      <c r="O60" s="66" t="e">
        <f ca="1">IF(dataset="Correlation",CORREL(OFFSET(Sheet3!$B$2,0,MATCH(USA!$F60,Sheet3!$1:$1,0)-2,300,1),OFFSET(Sheet3!$B$2,0,MATCH(USA!O$43,Sheet3!$1:$1,0)-2,300,1)),ABS(OFFSET(Sheet3!$B$2,0,MATCH(USA!$F60,Sheet3!$A$1:$U$1,0)-2)-OFFSET(Sheet3!$B$2,0,MATCH(O$43,Sheet3!$A$1:$U$1,0)-2)))</f>
        <v>#VALUE!</v>
      </c>
      <c r="P60" s="66" t="e">
        <f ca="1">IF(dataset="Correlation",CORREL(OFFSET(Sheet3!$B$2,0,MATCH(USA!$F60,Sheet3!$1:$1,0)-2,300,1),OFFSET(Sheet3!$B$2,0,MATCH(USA!P$43,Sheet3!$1:$1,0)-2,300,1)),ABS(OFFSET(Sheet3!$B$2,0,MATCH(USA!$F60,Sheet3!$A$1:$U$1,0)-2)-OFFSET(Sheet3!$B$2,0,MATCH(P$43,Sheet3!$A$1:$U$1,0)-2)))</f>
        <v>#VALUE!</v>
      </c>
      <c r="Q60" s="66" t="e">
        <f ca="1">IF(dataset="Correlation",CORREL(OFFSET(Sheet3!$B$2,0,MATCH(USA!$F60,Sheet3!$1:$1,0)-2,300,1),OFFSET(Sheet3!$B$2,0,MATCH(USA!Q$43,Sheet3!$1:$1,0)-2,300,1)),ABS(OFFSET(Sheet3!$B$2,0,MATCH(USA!$F60,Sheet3!$A$1:$U$1,0)-2)-OFFSET(Sheet3!$B$2,0,MATCH(Q$43,Sheet3!$A$1:$U$1,0)-2)))</f>
        <v>#VALUE!</v>
      </c>
      <c r="R60" s="66" t="e">
        <f ca="1">IF(dataset="Correlation",CORREL(OFFSET(Sheet3!$B$2,0,MATCH(USA!$F60,Sheet3!$1:$1,0)-2,300,1),OFFSET(Sheet3!$B$2,0,MATCH(USA!R$43,Sheet3!$1:$1,0)-2,300,1)),ABS(OFFSET(Sheet3!$B$2,0,MATCH(USA!$F60,Sheet3!$A$1:$U$1,0)-2)-OFFSET(Sheet3!$B$2,0,MATCH(R$43,Sheet3!$A$1:$U$1,0)-2)))</f>
        <v>#VALUE!</v>
      </c>
      <c r="S60" s="66" t="e">
        <f ca="1">IF(dataset="Correlation",CORREL(OFFSET(Sheet3!$B$2,0,MATCH(USA!$F60,Sheet3!$1:$1,0)-2,300,1),OFFSET(Sheet3!$B$2,0,MATCH(USA!S$43,Sheet3!$1:$1,0)-2,300,1)),ABS(OFFSET(Sheet3!$B$2,0,MATCH(USA!$F60,Sheet3!$A$1:$U$1,0)-2)-OFFSET(Sheet3!$B$2,0,MATCH(S$43,Sheet3!$A$1:$U$1,0)-2)))</f>
        <v>#VALUE!</v>
      </c>
      <c r="T60" s="66" t="e">
        <f ca="1">IF(dataset="Correlation",CORREL(OFFSET(Sheet3!$B$2,0,MATCH(USA!$F60,Sheet3!$1:$1,0)-2,300,1),OFFSET(Sheet3!$B$2,0,MATCH(USA!T$43,Sheet3!$1:$1,0)-2,300,1)),ABS(OFFSET(Sheet3!$B$2,0,MATCH(USA!$F60,Sheet3!$A$1:$U$1,0)-2)-OFFSET(Sheet3!$B$2,0,MATCH(T$43,Sheet3!$A$1:$U$1,0)-2)))</f>
        <v>#VALUE!</v>
      </c>
      <c r="U60" s="66" t="e">
        <f ca="1">IF(dataset="Correlation",CORREL(OFFSET(Sheet3!$B$2,0,MATCH(USA!$F60,Sheet3!$1:$1,0)-2,300,1),OFFSET(Sheet3!$B$2,0,MATCH(USA!U$43,Sheet3!$1:$1,0)-2,300,1)),ABS(OFFSET(Sheet3!$B$2,0,MATCH(USA!$F60,Sheet3!$A$1:$U$1,0)-2)-OFFSET(Sheet3!$B$2,0,MATCH(U$43,Sheet3!$A$1:$U$1,0)-2)))</f>
        <v>#VALUE!</v>
      </c>
      <c r="V60" s="66" t="e">
        <f ca="1">IF(dataset="Correlation",CORREL(OFFSET(Sheet3!$B$2,0,MATCH(USA!$F60,Sheet3!$1:$1,0)-2,300,1),OFFSET(Sheet3!$B$2,0,MATCH(USA!V$43,Sheet3!$1:$1,0)-2,300,1)),ABS(OFFSET(Sheet3!$B$2,0,MATCH(USA!$F60,Sheet3!$A$1:$U$1,0)-2)-OFFSET(Sheet3!$B$2,0,MATCH(V$43,Sheet3!$A$1:$U$1,0)-2)))</f>
        <v>#VALUE!</v>
      </c>
      <c r="W60" s="66" t="e">
        <f ca="1">IF(dataset="Correlation",CORREL(OFFSET(Sheet3!$B$2,0,MATCH(USA!$F60,Sheet3!$1:$1,0)-2,300,1),OFFSET(Sheet3!$B$2,0,MATCH(USA!W$43,Sheet3!$1:$1,0)-2,300,1)),ABS(OFFSET(Sheet3!$B$2,0,MATCH(USA!$F60,Sheet3!$A$1:$U$1,0)-2)-OFFSET(Sheet3!$B$2,0,MATCH(W$43,Sheet3!$A$1:$U$1,0)-2)))</f>
        <v>#VALUE!</v>
      </c>
      <c r="X60" s="66" t="e">
        <f ca="1">IF(dataset="Correlation",CORREL(OFFSET(Sheet3!$B$2,0,MATCH(USA!$F60,Sheet3!$1:$1,0)-2,300,1),OFFSET(Sheet3!$B$2,0,MATCH(USA!X$43,Sheet3!$1:$1,0)-2,300,1)),ABS(OFFSET(Sheet3!$B$2,0,MATCH(USA!$F60,Sheet3!$A$1:$U$1,0)-2)-OFFSET(Sheet3!$B$2,0,MATCH(X$43,Sheet3!$A$1:$U$1,0)-2)))</f>
        <v>#VALUE!</v>
      </c>
      <c r="Y60" s="66" t="e">
        <f ca="1">IF(dataset="Correlation",CORREL(OFFSET(Sheet3!$B$2,0,MATCH(USA!$F60,Sheet3!$1:$1,0)-2,300,1),OFFSET(Sheet3!$B$2,0,MATCH(USA!Y$43,Sheet3!$1:$1,0)-2,300,1)),ABS(OFFSET(Sheet3!$B$2,0,MATCH(USA!$F60,Sheet3!$A$1:$U$1,0)-2)-OFFSET(Sheet3!$B$2,0,MATCH(Y$43,Sheet3!$A$1:$U$1,0)-2)))</f>
        <v>#VALUE!</v>
      </c>
      <c r="Z60" s="67" t="e">
        <f ca="1">IF(dataset="Correlation",CORREL(OFFSET(Sheet3!$B$2,0,MATCH(USA!$F60,Sheet3!$1:$1,0)-2,300,1),OFFSET(Sheet3!$B$2,0,MATCH(USA!Z$43,Sheet3!$1:$1,0)-2,300,1)),ABS(OFFSET(Sheet3!$B$2,0,MATCH(USA!$F60,Sheet3!$A$1:$U$1,0)-2)-OFFSET(Sheet3!$B$2,0,MATCH(Z$43,Sheet3!$A$1:$U$1,0)-2)))</f>
        <v>#VALUE!</v>
      </c>
      <c r="AC60" s="7"/>
      <c r="AD60" s="7"/>
      <c r="AE60" s="7"/>
      <c r="AF60" s="7"/>
      <c r="AG60" s="7"/>
      <c r="AH60" s="7"/>
      <c r="AI60" s="7"/>
      <c r="AJ60" s="7"/>
      <c r="AK60" s="7"/>
      <c r="AL60" s="7"/>
      <c r="AM60" s="7"/>
      <c r="AN60" s="7"/>
      <c r="AO60" s="7"/>
      <c r="AP60" s="7"/>
      <c r="AQ60" s="7"/>
      <c r="AR60" s="7"/>
      <c r="AS60" s="7"/>
      <c r="AT60" s="7"/>
      <c r="AU60" s="7"/>
      <c r="AV60" s="7"/>
      <c r="AW60" s="7"/>
      <c r="AX60" s="7"/>
    </row>
    <row r="61" spans="1:50" ht="15" customHeight="1" x14ac:dyDescent="0.25">
      <c r="A61" s="6" t="s">
        <v>69</v>
      </c>
      <c r="B61" s="6">
        <f>_xll.BDP($A61,"last price")</f>
        <v>98.71</v>
      </c>
      <c r="C61" s="8">
        <f>IF(OR(MID(A61,3,1)="H",MID(A61,3,1)="M",MID(A61,3,1)="U",MID(A61,3,1)="Z"),MAX($C$43:C60)+1,"")</f>
        <v>14</v>
      </c>
      <c r="D61" s="9" t="str">
        <f ca="1">OFFSET($A$43,MATCH(18,$C$44:$C$87,0),0)</f>
        <v>EDU9 Comdty</v>
      </c>
      <c r="E61" s="11"/>
      <c r="F61" s="60" t="str">
        <f ca="1">_xll.BDP($D61,"TICKER")</f>
        <v>EDU9</v>
      </c>
      <c r="G61" s="68" t="e">
        <f ca="1">IF(dataset="Correlation",CORREL(OFFSET(Sheet3!$B$2,0,MATCH(USA!$F61,Sheet3!$1:$1,0)-2,300,1),OFFSET(Sheet3!$B$2,0,MATCH(USA!G$43,Sheet3!$1:$1,0)-2,300,1)),ABS(OFFSET(Sheet3!$B$2,0,MATCH(USA!$F61,Sheet3!$A$1:$U$1,0)-2)-OFFSET(Sheet3!$B$2,0,MATCH(G$43,Sheet3!$A$1:$U$1,0)-2)))</f>
        <v>#VALUE!</v>
      </c>
      <c r="H61" s="68" t="e">
        <f ca="1">IF(dataset="Correlation",CORREL(OFFSET(Sheet3!$B$2,0,MATCH(USA!$F61,Sheet3!$1:$1,0)-2,300,1),OFFSET(Sheet3!$B$2,0,MATCH(USA!H$43,Sheet3!$1:$1,0)-2,300,1)),ABS(OFFSET(Sheet3!$B$2,0,MATCH(USA!$F61,Sheet3!$A$1:$U$1,0)-2)-OFFSET(Sheet3!$B$2,0,MATCH(H$43,Sheet3!$A$1:$U$1,0)-2)))</f>
        <v>#VALUE!</v>
      </c>
      <c r="I61" s="68" t="e">
        <f ca="1">IF(dataset="Correlation",CORREL(OFFSET(Sheet3!$B$2,0,MATCH(USA!$F61,Sheet3!$1:$1,0)-2,300,1),OFFSET(Sheet3!$B$2,0,MATCH(USA!I$43,Sheet3!$1:$1,0)-2,300,1)),ABS(OFFSET(Sheet3!$B$2,0,MATCH(USA!$F61,Sheet3!$A$1:$U$1,0)-2)-OFFSET(Sheet3!$B$2,0,MATCH(I$43,Sheet3!$A$1:$U$1,0)-2)))</f>
        <v>#VALUE!</v>
      </c>
      <c r="J61" s="68" t="e">
        <f ca="1">IF(dataset="Correlation",CORREL(OFFSET(Sheet3!$B$2,0,MATCH(USA!$F61,Sheet3!$1:$1,0)-2,300,1),OFFSET(Sheet3!$B$2,0,MATCH(USA!J$43,Sheet3!$1:$1,0)-2,300,1)),ABS(OFFSET(Sheet3!$B$2,0,MATCH(USA!$F61,Sheet3!$A$1:$U$1,0)-2)-OFFSET(Sheet3!$B$2,0,MATCH(J$43,Sheet3!$A$1:$U$1,0)-2)))</f>
        <v>#VALUE!</v>
      </c>
      <c r="K61" s="68" t="e">
        <f ca="1">IF(dataset="Correlation",CORREL(OFFSET(Sheet3!$B$2,0,MATCH(USA!$F61,Sheet3!$1:$1,0)-2,300,1),OFFSET(Sheet3!$B$2,0,MATCH(USA!K$43,Sheet3!$1:$1,0)-2,300,1)),ABS(OFFSET(Sheet3!$B$2,0,MATCH(USA!$F61,Sheet3!$A$1:$U$1,0)-2)-OFFSET(Sheet3!$B$2,0,MATCH(K$43,Sheet3!$A$1:$U$1,0)-2)))</f>
        <v>#VALUE!</v>
      </c>
      <c r="L61" s="68" t="e">
        <f ca="1">IF(dataset="Correlation",CORREL(OFFSET(Sheet3!$B$2,0,MATCH(USA!$F61,Sheet3!$1:$1,0)-2,300,1),OFFSET(Sheet3!$B$2,0,MATCH(USA!L$43,Sheet3!$1:$1,0)-2,300,1)),ABS(OFFSET(Sheet3!$B$2,0,MATCH(USA!$F61,Sheet3!$A$1:$U$1,0)-2)-OFFSET(Sheet3!$B$2,0,MATCH(L$43,Sheet3!$A$1:$U$1,0)-2)))</f>
        <v>#VALUE!</v>
      </c>
      <c r="M61" s="68" t="e">
        <f ca="1">IF(dataset="Correlation",CORREL(OFFSET(Sheet3!$B$2,0,MATCH(USA!$F61,Sheet3!$1:$1,0)-2,300,1),OFFSET(Sheet3!$B$2,0,MATCH(USA!M$43,Sheet3!$1:$1,0)-2,300,1)),ABS(OFFSET(Sheet3!$B$2,0,MATCH(USA!$F61,Sheet3!$A$1:$U$1,0)-2)-OFFSET(Sheet3!$B$2,0,MATCH(M$43,Sheet3!$A$1:$U$1,0)-2)))</f>
        <v>#VALUE!</v>
      </c>
      <c r="N61" s="68" t="e">
        <f ca="1">IF(dataset="Correlation",CORREL(OFFSET(Sheet3!$B$2,0,MATCH(USA!$F61,Sheet3!$1:$1,0)-2,300,1),OFFSET(Sheet3!$B$2,0,MATCH(USA!N$43,Sheet3!$1:$1,0)-2,300,1)),ABS(OFFSET(Sheet3!$B$2,0,MATCH(USA!$F61,Sheet3!$A$1:$U$1,0)-2)-OFFSET(Sheet3!$B$2,0,MATCH(N$43,Sheet3!$A$1:$U$1,0)-2)))</f>
        <v>#VALUE!</v>
      </c>
      <c r="O61" s="68" t="e">
        <f ca="1">IF(dataset="Correlation",CORREL(OFFSET(Sheet3!$B$2,0,MATCH(USA!$F61,Sheet3!$1:$1,0)-2,300,1),OFFSET(Sheet3!$B$2,0,MATCH(USA!O$43,Sheet3!$1:$1,0)-2,300,1)),ABS(OFFSET(Sheet3!$B$2,0,MATCH(USA!$F61,Sheet3!$A$1:$U$1,0)-2)-OFFSET(Sheet3!$B$2,0,MATCH(O$43,Sheet3!$A$1:$U$1,0)-2)))</f>
        <v>#VALUE!</v>
      </c>
      <c r="P61" s="68" t="e">
        <f ca="1">IF(dataset="Correlation",CORREL(OFFSET(Sheet3!$B$2,0,MATCH(USA!$F61,Sheet3!$1:$1,0)-2,300,1),OFFSET(Sheet3!$B$2,0,MATCH(USA!P$43,Sheet3!$1:$1,0)-2,300,1)),ABS(OFFSET(Sheet3!$B$2,0,MATCH(USA!$F61,Sheet3!$A$1:$U$1,0)-2)-OFFSET(Sheet3!$B$2,0,MATCH(P$43,Sheet3!$A$1:$U$1,0)-2)))</f>
        <v>#VALUE!</v>
      </c>
      <c r="Q61" s="68" t="e">
        <f ca="1">IF(dataset="Correlation",CORREL(OFFSET(Sheet3!$B$2,0,MATCH(USA!$F61,Sheet3!$1:$1,0)-2,300,1),OFFSET(Sheet3!$B$2,0,MATCH(USA!Q$43,Sheet3!$1:$1,0)-2,300,1)),ABS(OFFSET(Sheet3!$B$2,0,MATCH(USA!$F61,Sheet3!$A$1:$U$1,0)-2)-OFFSET(Sheet3!$B$2,0,MATCH(Q$43,Sheet3!$A$1:$U$1,0)-2)))</f>
        <v>#VALUE!</v>
      </c>
      <c r="R61" s="68" t="e">
        <f ca="1">IF(dataset="Correlation",CORREL(OFFSET(Sheet3!$B$2,0,MATCH(USA!$F61,Sheet3!$1:$1,0)-2,300,1),OFFSET(Sheet3!$B$2,0,MATCH(USA!R$43,Sheet3!$1:$1,0)-2,300,1)),ABS(OFFSET(Sheet3!$B$2,0,MATCH(USA!$F61,Sheet3!$A$1:$U$1,0)-2)-OFFSET(Sheet3!$B$2,0,MATCH(R$43,Sheet3!$A$1:$U$1,0)-2)))</f>
        <v>#VALUE!</v>
      </c>
      <c r="S61" s="68" t="e">
        <f ca="1">IF(dataset="Correlation",CORREL(OFFSET(Sheet3!$B$2,0,MATCH(USA!$F61,Sheet3!$1:$1,0)-2,300,1),OFFSET(Sheet3!$B$2,0,MATCH(USA!S$43,Sheet3!$1:$1,0)-2,300,1)),ABS(OFFSET(Sheet3!$B$2,0,MATCH(USA!$F61,Sheet3!$A$1:$U$1,0)-2)-OFFSET(Sheet3!$B$2,0,MATCH(S$43,Sheet3!$A$1:$U$1,0)-2)))</f>
        <v>#VALUE!</v>
      </c>
      <c r="T61" s="68" t="e">
        <f ca="1">IF(dataset="Correlation",CORREL(OFFSET(Sheet3!$B$2,0,MATCH(USA!$F61,Sheet3!$1:$1,0)-2,300,1),OFFSET(Sheet3!$B$2,0,MATCH(USA!T$43,Sheet3!$1:$1,0)-2,300,1)),ABS(OFFSET(Sheet3!$B$2,0,MATCH(USA!$F61,Sheet3!$A$1:$U$1,0)-2)-OFFSET(Sheet3!$B$2,0,MATCH(T$43,Sheet3!$A$1:$U$1,0)-2)))</f>
        <v>#VALUE!</v>
      </c>
      <c r="U61" s="68" t="e">
        <f ca="1">IF(dataset="Correlation",CORREL(OFFSET(Sheet3!$B$2,0,MATCH(USA!$F61,Sheet3!$1:$1,0)-2,300,1),OFFSET(Sheet3!$B$2,0,MATCH(USA!U$43,Sheet3!$1:$1,0)-2,300,1)),ABS(OFFSET(Sheet3!$B$2,0,MATCH(USA!$F61,Sheet3!$A$1:$U$1,0)-2)-OFFSET(Sheet3!$B$2,0,MATCH(U$43,Sheet3!$A$1:$U$1,0)-2)))</f>
        <v>#VALUE!</v>
      </c>
      <c r="V61" s="68" t="e">
        <f ca="1">IF(dataset="Correlation",CORREL(OFFSET(Sheet3!$B$2,0,MATCH(USA!$F61,Sheet3!$1:$1,0)-2,300,1),OFFSET(Sheet3!$B$2,0,MATCH(USA!V$43,Sheet3!$1:$1,0)-2,300,1)),ABS(OFFSET(Sheet3!$B$2,0,MATCH(USA!$F61,Sheet3!$A$1:$U$1,0)-2)-OFFSET(Sheet3!$B$2,0,MATCH(V$43,Sheet3!$A$1:$U$1,0)-2)))</f>
        <v>#VALUE!</v>
      </c>
      <c r="W61" s="68" t="e">
        <f ca="1">IF(dataset="Correlation",CORREL(OFFSET(Sheet3!$B$2,0,MATCH(USA!$F61,Sheet3!$1:$1,0)-2,300,1),OFFSET(Sheet3!$B$2,0,MATCH(USA!W$43,Sheet3!$1:$1,0)-2,300,1)),ABS(OFFSET(Sheet3!$B$2,0,MATCH(USA!$F61,Sheet3!$A$1:$U$1,0)-2)-OFFSET(Sheet3!$B$2,0,MATCH(W$43,Sheet3!$A$1:$U$1,0)-2)))</f>
        <v>#VALUE!</v>
      </c>
      <c r="X61" s="68" t="e">
        <f ca="1">IF(dataset="Correlation",CORREL(OFFSET(Sheet3!$B$2,0,MATCH(USA!$F61,Sheet3!$1:$1,0)-2,300,1),OFFSET(Sheet3!$B$2,0,MATCH(USA!X$43,Sheet3!$1:$1,0)-2,300,1)),ABS(OFFSET(Sheet3!$B$2,0,MATCH(USA!$F61,Sheet3!$A$1:$U$1,0)-2)-OFFSET(Sheet3!$B$2,0,MATCH(X$43,Sheet3!$A$1:$U$1,0)-2)))</f>
        <v>#VALUE!</v>
      </c>
      <c r="Y61" s="68" t="e">
        <f ca="1">IF(dataset="Correlation",CORREL(OFFSET(Sheet3!$B$2,0,MATCH(USA!$F61,Sheet3!$1:$1,0)-2,300,1),OFFSET(Sheet3!$B$2,0,MATCH(USA!Y$43,Sheet3!$1:$1,0)-2,300,1)),ABS(OFFSET(Sheet3!$B$2,0,MATCH(USA!$F61,Sheet3!$A$1:$U$1,0)-2)-OFFSET(Sheet3!$B$2,0,MATCH(Y$43,Sheet3!$A$1:$U$1,0)-2)))</f>
        <v>#VALUE!</v>
      </c>
      <c r="Z61" s="69" t="e">
        <f ca="1">IF(dataset="Correlation",CORREL(OFFSET(Sheet3!$B$2,0,MATCH(USA!$F61,Sheet3!$1:$1,0)-2,300,1),OFFSET(Sheet3!$B$2,0,MATCH(USA!Z$43,Sheet3!$1:$1,0)-2,300,1)),ABS(OFFSET(Sheet3!$B$2,0,MATCH(USA!$F61,Sheet3!$A$1:$U$1,0)-2)-OFFSET(Sheet3!$B$2,0,MATCH(Z$43,Sheet3!$A$1:$U$1,0)-2)))</f>
        <v>#VALUE!</v>
      </c>
      <c r="AC61" s="7"/>
      <c r="AD61" s="7"/>
      <c r="AE61" s="7"/>
      <c r="AF61" s="7"/>
      <c r="AG61" s="7"/>
      <c r="AH61" s="7"/>
      <c r="AI61" s="7"/>
      <c r="AJ61" s="7"/>
      <c r="AK61" s="7"/>
      <c r="AL61" s="7"/>
      <c r="AM61" s="7"/>
      <c r="AN61" s="7"/>
      <c r="AO61" s="7"/>
      <c r="AP61" s="7"/>
      <c r="AQ61" s="7"/>
      <c r="AR61" s="7"/>
      <c r="AS61" s="7"/>
      <c r="AT61" s="7"/>
      <c r="AU61" s="7"/>
      <c r="AV61" s="7"/>
      <c r="AW61" s="7"/>
      <c r="AX61" s="7"/>
    </row>
    <row r="62" spans="1:50" ht="15" customHeight="1" x14ac:dyDescent="0.25">
      <c r="A62" s="6" t="s">
        <v>70</v>
      </c>
      <c r="B62" s="6">
        <f>_xll.BDP($A62,"last price")</f>
        <v>98.66</v>
      </c>
      <c r="C62" s="8">
        <f>IF(OR(MID(A62,3,1)="H",MID(A62,3,1)="M",MID(A62,3,1)="U",MID(A62,3,1)="Z"),MAX($C$43:C61)+1,"")</f>
        <v>15</v>
      </c>
      <c r="D62" s="9" t="str">
        <f ca="1">OFFSET($A$43,MATCH(19,$C$44:$C$87,0),0)</f>
        <v>EDZ9 Comdty</v>
      </c>
      <c r="E62" s="11"/>
      <c r="F62" s="60" t="str">
        <f ca="1">_xll.BDP($D62,"TICKER")</f>
        <v>EDZ9</v>
      </c>
      <c r="G62" s="66" t="e">
        <f ca="1">IF(dataset="Correlation",CORREL(OFFSET(Sheet3!$B$2,0,MATCH(USA!$F62,Sheet3!$1:$1,0)-2,300,1),OFFSET(Sheet3!$B$2,0,MATCH(USA!G$43,Sheet3!$1:$1,0)-2,300,1)),ABS(OFFSET(Sheet3!$B$2,0,MATCH(USA!$F62,Sheet3!$A$1:$U$1,0)-2)-OFFSET(Sheet3!$B$2,0,MATCH(G$43,Sheet3!$A$1:$U$1,0)-2)))</f>
        <v>#VALUE!</v>
      </c>
      <c r="H62" s="66" t="e">
        <f ca="1">IF(dataset="Correlation",CORREL(OFFSET(Sheet3!$B$2,0,MATCH(USA!$F62,Sheet3!$1:$1,0)-2,300,1),OFFSET(Sheet3!$B$2,0,MATCH(USA!H$43,Sheet3!$1:$1,0)-2,300,1)),ABS(OFFSET(Sheet3!$B$2,0,MATCH(USA!$F62,Sheet3!$A$1:$U$1,0)-2)-OFFSET(Sheet3!$B$2,0,MATCH(H$43,Sheet3!$A$1:$U$1,0)-2)))</f>
        <v>#VALUE!</v>
      </c>
      <c r="I62" s="66" t="e">
        <f ca="1">IF(dataset="Correlation",CORREL(OFFSET(Sheet3!$B$2,0,MATCH(USA!$F62,Sheet3!$1:$1,0)-2,300,1),OFFSET(Sheet3!$B$2,0,MATCH(USA!I$43,Sheet3!$1:$1,0)-2,300,1)),ABS(OFFSET(Sheet3!$B$2,0,MATCH(USA!$F62,Sheet3!$A$1:$U$1,0)-2)-OFFSET(Sheet3!$B$2,0,MATCH(I$43,Sheet3!$A$1:$U$1,0)-2)))</f>
        <v>#VALUE!</v>
      </c>
      <c r="J62" s="66" t="e">
        <f ca="1">IF(dataset="Correlation",CORREL(OFFSET(Sheet3!$B$2,0,MATCH(USA!$F62,Sheet3!$1:$1,0)-2,300,1),OFFSET(Sheet3!$B$2,0,MATCH(USA!J$43,Sheet3!$1:$1,0)-2,300,1)),ABS(OFFSET(Sheet3!$B$2,0,MATCH(USA!$F62,Sheet3!$A$1:$U$1,0)-2)-OFFSET(Sheet3!$B$2,0,MATCH(J$43,Sheet3!$A$1:$U$1,0)-2)))</f>
        <v>#VALUE!</v>
      </c>
      <c r="K62" s="66" t="e">
        <f ca="1">IF(dataset="Correlation",CORREL(OFFSET(Sheet3!$B$2,0,MATCH(USA!$F62,Sheet3!$1:$1,0)-2,300,1),OFFSET(Sheet3!$B$2,0,MATCH(USA!K$43,Sheet3!$1:$1,0)-2,300,1)),ABS(OFFSET(Sheet3!$B$2,0,MATCH(USA!$F62,Sheet3!$A$1:$U$1,0)-2)-OFFSET(Sheet3!$B$2,0,MATCH(K$43,Sheet3!$A$1:$U$1,0)-2)))</f>
        <v>#VALUE!</v>
      </c>
      <c r="L62" s="66" t="e">
        <f ca="1">IF(dataset="Correlation",CORREL(OFFSET(Sheet3!$B$2,0,MATCH(USA!$F62,Sheet3!$1:$1,0)-2,300,1),OFFSET(Sheet3!$B$2,0,MATCH(USA!L$43,Sheet3!$1:$1,0)-2,300,1)),ABS(OFFSET(Sheet3!$B$2,0,MATCH(USA!$F62,Sheet3!$A$1:$U$1,0)-2)-OFFSET(Sheet3!$B$2,0,MATCH(L$43,Sheet3!$A$1:$U$1,0)-2)))</f>
        <v>#VALUE!</v>
      </c>
      <c r="M62" s="66" t="e">
        <f ca="1">IF(dataset="Correlation",CORREL(OFFSET(Sheet3!$B$2,0,MATCH(USA!$F62,Sheet3!$1:$1,0)-2,300,1),OFFSET(Sheet3!$B$2,0,MATCH(USA!M$43,Sheet3!$1:$1,0)-2,300,1)),ABS(OFFSET(Sheet3!$B$2,0,MATCH(USA!$F62,Sheet3!$A$1:$U$1,0)-2)-OFFSET(Sheet3!$B$2,0,MATCH(M$43,Sheet3!$A$1:$U$1,0)-2)))</f>
        <v>#VALUE!</v>
      </c>
      <c r="N62" s="66" t="e">
        <f ca="1">IF(dataset="Correlation",CORREL(OFFSET(Sheet3!$B$2,0,MATCH(USA!$F62,Sheet3!$1:$1,0)-2,300,1),OFFSET(Sheet3!$B$2,0,MATCH(USA!N$43,Sheet3!$1:$1,0)-2,300,1)),ABS(OFFSET(Sheet3!$B$2,0,MATCH(USA!$F62,Sheet3!$A$1:$U$1,0)-2)-OFFSET(Sheet3!$B$2,0,MATCH(N$43,Sheet3!$A$1:$U$1,0)-2)))</f>
        <v>#VALUE!</v>
      </c>
      <c r="O62" s="66" t="e">
        <f ca="1">IF(dataset="Correlation",CORREL(OFFSET(Sheet3!$B$2,0,MATCH(USA!$F62,Sheet3!$1:$1,0)-2,300,1),OFFSET(Sheet3!$B$2,0,MATCH(USA!O$43,Sheet3!$1:$1,0)-2,300,1)),ABS(OFFSET(Sheet3!$B$2,0,MATCH(USA!$F62,Sheet3!$A$1:$U$1,0)-2)-OFFSET(Sheet3!$B$2,0,MATCH(O$43,Sheet3!$A$1:$U$1,0)-2)))</f>
        <v>#VALUE!</v>
      </c>
      <c r="P62" s="66" t="e">
        <f ca="1">IF(dataset="Correlation",CORREL(OFFSET(Sheet3!$B$2,0,MATCH(USA!$F62,Sheet3!$1:$1,0)-2,300,1),OFFSET(Sheet3!$B$2,0,MATCH(USA!P$43,Sheet3!$1:$1,0)-2,300,1)),ABS(OFFSET(Sheet3!$B$2,0,MATCH(USA!$F62,Sheet3!$A$1:$U$1,0)-2)-OFFSET(Sheet3!$B$2,0,MATCH(P$43,Sheet3!$A$1:$U$1,0)-2)))</f>
        <v>#VALUE!</v>
      </c>
      <c r="Q62" s="66" t="e">
        <f ca="1">IF(dataset="Correlation",CORREL(OFFSET(Sheet3!$B$2,0,MATCH(USA!$F62,Sheet3!$1:$1,0)-2,300,1),OFFSET(Sheet3!$B$2,0,MATCH(USA!Q$43,Sheet3!$1:$1,0)-2,300,1)),ABS(OFFSET(Sheet3!$B$2,0,MATCH(USA!$F62,Sheet3!$A$1:$U$1,0)-2)-OFFSET(Sheet3!$B$2,0,MATCH(Q$43,Sheet3!$A$1:$U$1,0)-2)))</f>
        <v>#VALUE!</v>
      </c>
      <c r="R62" s="66" t="e">
        <f ca="1">IF(dataset="Correlation",CORREL(OFFSET(Sheet3!$B$2,0,MATCH(USA!$F62,Sheet3!$1:$1,0)-2,300,1),OFFSET(Sheet3!$B$2,0,MATCH(USA!R$43,Sheet3!$1:$1,0)-2,300,1)),ABS(OFFSET(Sheet3!$B$2,0,MATCH(USA!$F62,Sheet3!$A$1:$U$1,0)-2)-OFFSET(Sheet3!$B$2,0,MATCH(R$43,Sheet3!$A$1:$U$1,0)-2)))</f>
        <v>#VALUE!</v>
      </c>
      <c r="S62" s="66" t="e">
        <f ca="1">IF(dataset="Correlation",CORREL(OFFSET(Sheet3!$B$2,0,MATCH(USA!$F62,Sheet3!$1:$1,0)-2,300,1),OFFSET(Sheet3!$B$2,0,MATCH(USA!S$43,Sheet3!$1:$1,0)-2,300,1)),ABS(OFFSET(Sheet3!$B$2,0,MATCH(USA!$F62,Sheet3!$A$1:$U$1,0)-2)-OFFSET(Sheet3!$B$2,0,MATCH(S$43,Sheet3!$A$1:$U$1,0)-2)))</f>
        <v>#VALUE!</v>
      </c>
      <c r="T62" s="66" t="e">
        <f ca="1">IF(dataset="Correlation",CORREL(OFFSET(Sheet3!$B$2,0,MATCH(USA!$F62,Sheet3!$1:$1,0)-2,300,1),OFFSET(Sheet3!$B$2,0,MATCH(USA!T$43,Sheet3!$1:$1,0)-2,300,1)),ABS(OFFSET(Sheet3!$B$2,0,MATCH(USA!$F62,Sheet3!$A$1:$U$1,0)-2)-OFFSET(Sheet3!$B$2,0,MATCH(T$43,Sheet3!$A$1:$U$1,0)-2)))</f>
        <v>#VALUE!</v>
      </c>
      <c r="U62" s="66" t="e">
        <f ca="1">IF(dataset="Correlation",CORREL(OFFSET(Sheet3!$B$2,0,MATCH(USA!$F62,Sheet3!$1:$1,0)-2,300,1),OFFSET(Sheet3!$B$2,0,MATCH(USA!U$43,Sheet3!$1:$1,0)-2,300,1)),ABS(OFFSET(Sheet3!$B$2,0,MATCH(USA!$F62,Sheet3!$A$1:$U$1,0)-2)-OFFSET(Sheet3!$B$2,0,MATCH(U$43,Sheet3!$A$1:$U$1,0)-2)))</f>
        <v>#VALUE!</v>
      </c>
      <c r="V62" s="66" t="e">
        <f ca="1">IF(dataset="Correlation",CORREL(OFFSET(Sheet3!$B$2,0,MATCH(USA!$F62,Sheet3!$1:$1,0)-2,300,1),OFFSET(Sheet3!$B$2,0,MATCH(USA!V$43,Sheet3!$1:$1,0)-2,300,1)),ABS(OFFSET(Sheet3!$B$2,0,MATCH(USA!$F62,Sheet3!$A$1:$U$1,0)-2)-OFFSET(Sheet3!$B$2,0,MATCH(V$43,Sheet3!$A$1:$U$1,0)-2)))</f>
        <v>#VALUE!</v>
      </c>
      <c r="W62" s="66" t="e">
        <f ca="1">IF(dataset="Correlation",CORREL(OFFSET(Sheet3!$B$2,0,MATCH(USA!$F62,Sheet3!$1:$1,0)-2,300,1),OFFSET(Sheet3!$B$2,0,MATCH(USA!W$43,Sheet3!$1:$1,0)-2,300,1)),ABS(OFFSET(Sheet3!$B$2,0,MATCH(USA!$F62,Sheet3!$A$1:$U$1,0)-2)-OFFSET(Sheet3!$B$2,0,MATCH(W$43,Sheet3!$A$1:$U$1,0)-2)))</f>
        <v>#VALUE!</v>
      </c>
      <c r="X62" s="66" t="e">
        <f ca="1">IF(dataset="Correlation",CORREL(OFFSET(Sheet3!$B$2,0,MATCH(USA!$F62,Sheet3!$1:$1,0)-2,300,1),OFFSET(Sheet3!$B$2,0,MATCH(USA!X$43,Sheet3!$1:$1,0)-2,300,1)),ABS(OFFSET(Sheet3!$B$2,0,MATCH(USA!$F62,Sheet3!$A$1:$U$1,0)-2)-OFFSET(Sheet3!$B$2,0,MATCH(X$43,Sheet3!$A$1:$U$1,0)-2)))</f>
        <v>#VALUE!</v>
      </c>
      <c r="Y62" s="66" t="e">
        <f ca="1">IF(dataset="Correlation",CORREL(OFFSET(Sheet3!$B$2,0,MATCH(USA!$F62,Sheet3!$1:$1,0)-2,300,1),OFFSET(Sheet3!$B$2,0,MATCH(USA!Y$43,Sheet3!$1:$1,0)-2,300,1)),ABS(OFFSET(Sheet3!$B$2,0,MATCH(USA!$F62,Sheet3!$A$1:$U$1,0)-2)-OFFSET(Sheet3!$B$2,0,MATCH(Y$43,Sheet3!$A$1:$U$1,0)-2)))</f>
        <v>#VALUE!</v>
      </c>
      <c r="Z62" s="67" t="e">
        <f ca="1">IF(dataset="Correlation",CORREL(OFFSET(Sheet3!$B$2,0,MATCH(USA!$F62,Sheet3!$1:$1,0)-2,300,1),OFFSET(Sheet3!$B$2,0,MATCH(USA!Z$43,Sheet3!$1:$1,0)-2,300,1)),ABS(OFFSET(Sheet3!$B$2,0,MATCH(USA!$F62,Sheet3!$A$1:$U$1,0)-2)-OFFSET(Sheet3!$B$2,0,MATCH(Z$43,Sheet3!$A$1:$U$1,0)-2)))</f>
        <v>#VALUE!</v>
      </c>
      <c r="AC62" s="7"/>
      <c r="AD62" s="7"/>
      <c r="AE62" s="7"/>
      <c r="AF62" s="7"/>
      <c r="AG62" s="7"/>
      <c r="AH62" s="7"/>
      <c r="AI62" s="7"/>
      <c r="AJ62" s="7"/>
      <c r="AK62" s="7"/>
      <c r="AL62" s="7"/>
      <c r="AM62" s="7"/>
      <c r="AN62" s="7"/>
      <c r="AO62" s="7"/>
      <c r="AP62" s="7"/>
      <c r="AQ62" s="7"/>
      <c r="AR62" s="7"/>
      <c r="AS62" s="7"/>
      <c r="AT62" s="7"/>
      <c r="AU62" s="7"/>
      <c r="AV62" s="7"/>
      <c r="AW62" s="7"/>
      <c r="AX62" s="7"/>
    </row>
    <row r="63" spans="1:50" ht="15" customHeight="1" x14ac:dyDescent="0.25">
      <c r="A63" s="6" t="s">
        <v>71</v>
      </c>
      <c r="B63" s="6">
        <f>_xll.BDP($A63,"last price")</f>
        <v>98.63</v>
      </c>
      <c r="C63" s="8">
        <f>IF(OR(MID(A63,3,1)="H",MID(A63,3,1)="M",MID(A63,3,1)="U",MID(A63,3,1)="Z"),MAX($C$43:C62)+1,"")</f>
        <v>16</v>
      </c>
      <c r="D63" s="9" t="str">
        <f ca="1">OFFSET($A$43,MATCH(20,$C$44:$C$87,0),0)</f>
        <v>EDH0 Comdty</v>
      </c>
      <c r="E63" s="11"/>
      <c r="F63" s="61" t="str">
        <f ca="1">_xll.BDP($D63,"TICKER")</f>
        <v>EDH0</v>
      </c>
      <c r="G63" s="70" t="e">
        <f ca="1">IF(dataset="Correlation",CORREL(OFFSET(Sheet3!$B$2,0,MATCH(USA!$F63,Sheet3!$1:$1,0)-2,300,1),OFFSET(Sheet3!$B$2,0,MATCH(USA!G$43,Sheet3!$1:$1,0)-2,300,1)),ABS(OFFSET(Sheet3!$B$2,0,MATCH(USA!$F63,Sheet3!$A$1:$U$1,0)-2)-OFFSET(Sheet3!$B$2,0,MATCH(G$43,Sheet3!$A$1:$U$1,0)-2)))</f>
        <v>#VALUE!</v>
      </c>
      <c r="H63" s="70" t="e">
        <f ca="1">IF(dataset="Correlation",CORREL(OFFSET(Sheet3!$B$2,0,MATCH(USA!$F63,Sheet3!$1:$1,0)-2,300,1),OFFSET(Sheet3!$B$2,0,MATCH(USA!H$43,Sheet3!$1:$1,0)-2,300,1)),ABS(OFFSET(Sheet3!$B$2,0,MATCH(USA!$F63,Sheet3!$A$1:$U$1,0)-2)-OFFSET(Sheet3!$B$2,0,MATCH(H$43,Sheet3!$A$1:$U$1,0)-2)))</f>
        <v>#VALUE!</v>
      </c>
      <c r="I63" s="70" t="e">
        <f ca="1">IF(dataset="Correlation",CORREL(OFFSET(Sheet3!$B$2,0,MATCH(USA!$F63,Sheet3!$1:$1,0)-2,300,1),OFFSET(Sheet3!$B$2,0,MATCH(USA!I$43,Sheet3!$1:$1,0)-2,300,1)),ABS(OFFSET(Sheet3!$B$2,0,MATCH(USA!$F63,Sheet3!$A$1:$U$1,0)-2)-OFFSET(Sheet3!$B$2,0,MATCH(I$43,Sheet3!$A$1:$U$1,0)-2)))</f>
        <v>#VALUE!</v>
      </c>
      <c r="J63" s="70" t="e">
        <f ca="1">IF(dataset="Correlation",CORREL(OFFSET(Sheet3!$B$2,0,MATCH(USA!$F63,Sheet3!$1:$1,0)-2,300,1),OFFSET(Sheet3!$B$2,0,MATCH(USA!J$43,Sheet3!$1:$1,0)-2,300,1)),ABS(OFFSET(Sheet3!$B$2,0,MATCH(USA!$F63,Sheet3!$A$1:$U$1,0)-2)-OFFSET(Sheet3!$B$2,0,MATCH(J$43,Sheet3!$A$1:$U$1,0)-2)))</f>
        <v>#VALUE!</v>
      </c>
      <c r="K63" s="70" t="e">
        <f ca="1">IF(dataset="Correlation",CORREL(OFFSET(Sheet3!$B$2,0,MATCH(USA!$F63,Sheet3!$1:$1,0)-2,300,1),OFFSET(Sheet3!$B$2,0,MATCH(USA!K$43,Sheet3!$1:$1,0)-2,300,1)),ABS(OFFSET(Sheet3!$B$2,0,MATCH(USA!$F63,Sheet3!$A$1:$U$1,0)-2)-OFFSET(Sheet3!$B$2,0,MATCH(K$43,Sheet3!$A$1:$U$1,0)-2)))</f>
        <v>#VALUE!</v>
      </c>
      <c r="L63" s="70" t="e">
        <f ca="1">IF(dataset="Correlation",CORREL(OFFSET(Sheet3!$B$2,0,MATCH(USA!$F63,Sheet3!$1:$1,0)-2,300,1),OFFSET(Sheet3!$B$2,0,MATCH(USA!L$43,Sheet3!$1:$1,0)-2,300,1)),ABS(OFFSET(Sheet3!$B$2,0,MATCH(USA!$F63,Sheet3!$A$1:$U$1,0)-2)-OFFSET(Sheet3!$B$2,0,MATCH(L$43,Sheet3!$A$1:$U$1,0)-2)))</f>
        <v>#VALUE!</v>
      </c>
      <c r="M63" s="70" t="e">
        <f ca="1">IF(dataset="Correlation",CORREL(OFFSET(Sheet3!$B$2,0,MATCH(USA!$F63,Sheet3!$1:$1,0)-2,300,1),OFFSET(Sheet3!$B$2,0,MATCH(USA!M$43,Sheet3!$1:$1,0)-2,300,1)),ABS(OFFSET(Sheet3!$B$2,0,MATCH(USA!$F63,Sheet3!$A$1:$U$1,0)-2)-OFFSET(Sheet3!$B$2,0,MATCH(M$43,Sheet3!$A$1:$U$1,0)-2)))</f>
        <v>#VALUE!</v>
      </c>
      <c r="N63" s="70" t="e">
        <f ca="1">IF(dataset="Correlation",CORREL(OFFSET(Sheet3!$B$2,0,MATCH(USA!$F63,Sheet3!$1:$1,0)-2,300,1),OFFSET(Sheet3!$B$2,0,MATCH(USA!N$43,Sheet3!$1:$1,0)-2,300,1)),ABS(OFFSET(Sheet3!$B$2,0,MATCH(USA!$F63,Sheet3!$A$1:$U$1,0)-2)-OFFSET(Sheet3!$B$2,0,MATCH(N$43,Sheet3!$A$1:$U$1,0)-2)))</f>
        <v>#VALUE!</v>
      </c>
      <c r="O63" s="70" t="e">
        <f ca="1">IF(dataset="Correlation",CORREL(OFFSET(Sheet3!$B$2,0,MATCH(USA!$F63,Sheet3!$1:$1,0)-2,300,1),OFFSET(Sheet3!$B$2,0,MATCH(USA!O$43,Sheet3!$1:$1,0)-2,300,1)),ABS(OFFSET(Sheet3!$B$2,0,MATCH(USA!$F63,Sheet3!$A$1:$U$1,0)-2)-OFFSET(Sheet3!$B$2,0,MATCH(O$43,Sheet3!$A$1:$U$1,0)-2)))</f>
        <v>#VALUE!</v>
      </c>
      <c r="P63" s="70" t="e">
        <f ca="1">IF(dataset="Correlation",CORREL(OFFSET(Sheet3!$B$2,0,MATCH(USA!$F63,Sheet3!$1:$1,0)-2,300,1),OFFSET(Sheet3!$B$2,0,MATCH(USA!P$43,Sheet3!$1:$1,0)-2,300,1)),ABS(OFFSET(Sheet3!$B$2,0,MATCH(USA!$F63,Sheet3!$A$1:$U$1,0)-2)-OFFSET(Sheet3!$B$2,0,MATCH(P$43,Sheet3!$A$1:$U$1,0)-2)))</f>
        <v>#VALUE!</v>
      </c>
      <c r="Q63" s="70" t="e">
        <f ca="1">IF(dataset="Correlation",CORREL(OFFSET(Sheet3!$B$2,0,MATCH(USA!$F63,Sheet3!$1:$1,0)-2,300,1),OFFSET(Sheet3!$B$2,0,MATCH(USA!Q$43,Sheet3!$1:$1,0)-2,300,1)),ABS(OFFSET(Sheet3!$B$2,0,MATCH(USA!$F63,Sheet3!$A$1:$U$1,0)-2)-OFFSET(Sheet3!$B$2,0,MATCH(Q$43,Sheet3!$A$1:$U$1,0)-2)))</f>
        <v>#VALUE!</v>
      </c>
      <c r="R63" s="70" t="e">
        <f ca="1">IF(dataset="Correlation",CORREL(OFFSET(Sheet3!$B$2,0,MATCH(USA!$F63,Sheet3!$1:$1,0)-2,300,1),OFFSET(Sheet3!$B$2,0,MATCH(USA!R$43,Sheet3!$1:$1,0)-2,300,1)),ABS(OFFSET(Sheet3!$B$2,0,MATCH(USA!$F63,Sheet3!$A$1:$U$1,0)-2)-OFFSET(Sheet3!$B$2,0,MATCH(R$43,Sheet3!$A$1:$U$1,0)-2)))</f>
        <v>#VALUE!</v>
      </c>
      <c r="S63" s="70" t="e">
        <f ca="1">IF(dataset="Correlation",CORREL(OFFSET(Sheet3!$B$2,0,MATCH(USA!$F63,Sheet3!$1:$1,0)-2,300,1),OFFSET(Sheet3!$B$2,0,MATCH(USA!S$43,Sheet3!$1:$1,0)-2,300,1)),ABS(OFFSET(Sheet3!$B$2,0,MATCH(USA!$F63,Sheet3!$A$1:$U$1,0)-2)-OFFSET(Sheet3!$B$2,0,MATCH(S$43,Sheet3!$A$1:$U$1,0)-2)))</f>
        <v>#VALUE!</v>
      </c>
      <c r="T63" s="70" t="e">
        <f ca="1">IF(dataset="Correlation",CORREL(OFFSET(Sheet3!$B$2,0,MATCH(USA!$F63,Sheet3!$1:$1,0)-2,300,1),OFFSET(Sheet3!$B$2,0,MATCH(USA!T$43,Sheet3!$1:$1,0)-2,300,1)),ABS(OFFSET(Sheet3!$B$2,0,MATCH(USA!$F63,Sheet3!$A$1:$U$1,0)-2)-OFFSET(Sheet3!$B$2,0,MATCH(T$43,Sheet3!$A$1:$U$1,0)-2)))</f>
        <v>#VALUE!</v>
      </c>
      <c r="U63" s="70" t="e">
        <f ca="1">IF(dataset="Correlation",CORREL(OFFSET(Sheet3!$B$2,0,MATCH(USA!$F63,Sheet3!$1:$1,0)-2,300,1),OFFSET(Sheet3!$B$2,0,MATCH(USA!U$43,Sheet3!$1:$1,0)-2,300,1)),ABS(OFFSET(Sheet3!$B$2,0,MATCH(USA!$F63,Sheet3!$A$1:$U$1,0)-2)-OFFSET(Sheet3!$B$2,0,MATCH(U$43,Sheet3!$A$1:$U$1,0)-2)))</f>
        <v>#VALUE!</v>
      </c>
      <c r="V63" s="70" t="e">
        <f ca="1">IF(dataset="Correlation",CORREL(OFFSET(Sheet3!$B$2,0,MATCH(USA!$F63,Sheet3!$1:$1,0)-2,300,1),OFFSET(Sheet3!$B$2,0,MATCH(USA!V$43,Sheet3!$1:$1,0)-2,300,1)),ABS(OFFSET(Sheet3!$B$2,0,MATCH(USA!$F63,Sheet3!$A$1:$U$1,0)-2)-OFFSET(Sheet3!$B$2,0,MATCH(V$43,Sheet3!$A$1:$U$1,0)-2)))</f>
        <v>#VALUE!</v>
      </c>
      <c r="W63" s="70" t="e">
        <f ca="1">IF(dataset="Correlation",CORREL(OFFSET(Sheet3!$B$2,0,MATCH(USA!$F63,Sheet3!$1:$1,0)-2,300,1),OFFSET(Sheet3!$B$2,0,MATCH(USA!W$43,Sheet3!$1:$1,0)-2,300,1)),ABS(OFFSET(Sheet3!$B$2,0,MATCH(USA!$F63,Sheet3!$A$1:$U$1,0)-2)-OFFSET(Sheet3!$B$2,0,MATCH(W$43,Sheet3!$A$1:$U$1,0)-2)))</f>
        <v>#VALUE!</v>
      </c>
      <c r="X63" s="70" t="e">
        <f ca="1">IF(dataset="Correlation",CORREL(OFFSET(Sheet3!$B$2,0,MATCH(USA!$F63,Sheet3!$1:$1,0)-2,300,1),OFFSET(Sheet3!$B$2,0,MATCH(USA!X$43,Sheet3!$1:$1,0)-2,300,1)),ABS(OFFSET(Sheet3!$B$2,0,MATCH(USA!$F63,Sheet3!$A$1:$U$1,0)-2)-OFFSET(Sheet3!$B$2,0,MATCH(X$43,Sheet3!$A$1:$U$1,0)-2)))</f>
        <v>#VALUE!</v>
      </c>
      <c r="Y63" s="70" t="e">
        <f ca="1">IF(dataset="Correlation",CORREL(OFFSET(Sheet3!$B$2,0,MATCH(USA!$F63,Sheet3!$1:$1,0)-2,300,1),OFFSET(Sheet3!$B$2,0,MATCH(USA!Y$43,Sheet3!$1:$1,0)-2,300,1)),ABS(OFFSET(Sheet3!$B$2,0,MATCH(USA!$F63,Sheet3!$A$1:$U$1,0)-2)-OFFSET(Sheet3!$B$2,0,MATCH(Y$43,Sheet3!$A$1:$U$1,0)-2)))</f>
        <v>#VALUE!</v>
      </c>
      <c r="Z63" s="71" t="e">
        <f ca="1">IF(dataset="Correlation",CORREL(OFFSET(Sheet3!$B$2,0,MATCH(USA!$F63,Sheet3!$1:$1,0)-2,300,1),OFFSET(Sheet3!$B$2,0,MATCH(USA!Z$43,Sheet3!$1:$1,0)-2,300,1)),ABS(OFFSET(Sheet3!$B$2,0,MATCH(USA!$F63,Sheet3!$A$1:$U$1,0)-2)-OFFSET(Sheet3!$B$2,0,MATCH(Z$43,Sheet3!$A$1:$U$1,0)-2)))</f>
        <v>#VALUE!</v>
      </c>
      <c r="AC63" s="7"/>
      <c r="AD63" s="7"/>
      <c r="AE63" s="7"/>
      <c r="AF63" s="7"/>
      <c r="AG63" s="7"/>
      <c r="AH63" s="7"/>
      <c r="AI63" s="7"/>
      <c r="AJ63" s="7"/>
      <c r="AK63" s="7"/>
      <c r="AL63" s="7"/>
      <c r="AM63" s="7"/>
      <c r="AN63" s="7"/>
      <c r="AO63" s="7"/>
      <c r="AP63" s="7"/>
      <c r="AQ63" s="7"/>
      <c r="AR63" s="7"/>
      <c r="AS63" s="7"/>
      <c r="AT63" s="7"/>
      <c r="AU63" s="7"/>
      <c r="AV63" s="7"/>
      <c r="AW63" s="7"/>
      <c r="AX63" s="7"/>
    </row>
    <row r="64" spans="1:50" ht="15" customHeight="1" x14ac:dyDescent="0.25">
      <c r="A64" s="6" t="s">
        <v>72</v>
      </c>
      <c r="B64" s="6">
        <f>_xll.BDP($A64,"last price")</f>
        <v>98.584999999999994</v>
      </c>
      <c r="C64" s="8">
        <f>IF(OR(MID(A64,3,1)="H",MID(A64,3,1)="M",MID(A64,3,1)="U",MID(A64,3,1)="Z"),MAX($C$43:C63)+1,"")</f>
        <v>17</v>
      </c>
      <c r="E64" s="11"/>
      <c r="F64" s="11"/>
      <c r="G64" s="19"/>
      <c r="H64" s="19"/>
      <c r="I64" s="19"/>
      <c r="J64" s="19"/>
      <c r="K64" s="19"/>
      <c r="L64" s="19"/>
      <c r="M64" s="19"/>
      <c r="N64" s="19"/>
      <c r="O64" s="19"/>
      <c r="P64" s="19"/>
      <c r="Q64" s="19"/>
      <c r="R64" s="19"/>
      <c r="S64" s="19"/>
      <c r="T64" s="19"/>
      <c r="U64" s="19"/>
      <c r="V64" s="19"/>
      <c r="W64" s="19"/>
      <c r="X64" s="19"/>
      <c r="Y64" s="19"/>
      <c r="Z64" s="19"/>
      <c r="AC64" s="7"/>
      <c r="AD64" s="7"/>
      <c r="AE64" s="7"/>
      <c r="AF64" s="7"/>
      <c r="AG64" s="7"/>
      <c r="AH64" s="7"/>
      <c r="AI64" s="7"/>
      <c r="AJ64" s="7"/>
      <c r="AK64" s="7"/>
      <c r="AL64" s="7"/>
      <c r="AM64" s="7"/>
      <c r="AN64" s="7"/>
      <c r="AO64" s="7"/>
      <c r="AP64" s="7"/>
      <c r="AQ64" s="7"/>
      <c r="AR64" s="7"/>
      <c r="AS64" s="7"/>
      <c r="AT64" s="7"/>
      <c r="AU64" s="7"/>
      <c r="AV64" s="7"/>
      <c r="AW64" s="7"/>
      <c r="AX64" s="7"/>
    </row>
    <row r="65" spans="1:50" ht="15" customHeight="1" x14ac:dyDescent="0.25">
      <c r="A65" s="6" t="s">
        <v>73</v>
      </c>
      <c r="B65" s="6">
        <f>_xll.BDP($A65,"last price")</f>
        <v>98.545000000000002</v>
      </c>
      <c r="C65" s="8">
        <f>IF(OR(MID(A65,3,1)="H",MID(A65,3,1)="M",MID(A65,3,1)="U",MID(A65,3,1)="Z"),MAX($C$43:C64)+1,"")</f>
        <v>18</v>
      </c>
      <c r="E65" s="11"/>
      <c r="F65" s="11"/>
      <c r="G65" s="7"/>
      <c r="H65" s="7"/>
      <c r="I65" s="7"/>
      <c r="J65" s="7"/>
      <c r="K65" s="7"/>
      <c r="L65" s="7"/>
      <c r="M65" s="7"/>
      <c r="N65" s="7"/>
      <c r="O65" s="7"/>
      <c r="P65" s="7"/>
      <c r="Q65" s="7"/>
      <c r="R65" s="7"/>
      <c r="S65" s="7"/>
      <c r="T65" s="7"/>
      <c r="U65" s="7"/>
      <c r="V65" s="7"/>
      <c r="W65" s="7"/>
      <c r="X65" s="7"/>
      <c r="Y65" s="7"/>
      <c r="Z65" s="7"/>
      <c r="AC65" s="7"/>
      <c r="AD65" s="7"/>
      <c r="AE65" s="7"/>
      <c r="AF65" s="7"/>
      <c r="AG65" s="7"/>
      <c r="AH65" s="7"/>
      <c r="AI65" s="7"/>
      <c r="AJ65" s="7"/>
      <c r="AK65" s="7"/>
      <c r="AL65" s="7"/>
      <c r="AM65" s="7"/>
      <c r="AN65" s="7"/>
      <c r="AO65" s="7"/>
      <c r="AP65" s="7"/>
      <c r="AQ65" s="7"/>
      <c r="AR65" s="7"/>
      <c r="AS65" s="7"/>
      <c r="AT65" s="7"/>
      <c r="AU65" s="7"/>
      <c r="AV65" s="7"/>
      <c r="AW65" s="7"/>
      <c r="AX65" s="7"/>
    </row>
    <row r="66" spans="1:50" ht="15" customHeight="1" x14ac:dyDescent="0.25">
      <c r="A66" s="6" t="s">
        <v>74</v>
      </c>
      <c r="B66" s="6" t="str">
        <f>_xll.BDP($A66,"last price")</f>
        <v>#N/A Requesting Data...</v>
      </c>
      <c r="C66" s="8">
        <f>IF(OR(MID(A66,3,1)="H",MID(A66,3,1)="M",MID(A66,3,1)="U",MID(A66,3,1)="Z"),MAX($C$43:C65)+1,"")</f>
        <v>19</v>
      </c>
      <c r="E66" s="11"/>
      <c r="F66" s="11"/>
      <c r="G66" s="7"/>
      <c r="H66" s="7"/>
      <c r="I66" s="7"/>
      <c r="J66" s="7"/>
      <c r="K66" s="7"/>
      <c r="L66" s="7"/>
      <c r="M66" s="7"/>
      <c r="N66" s="7"/>
      <c r="O66" s="7"/>
      <c r="P66" s="7"/>
      <c r="Q66" s="7"/>
      <c r="R66" s="7"/>
      <c r="S66" s="7"/>
      <c r="T66" s="7"/>
      <c r="U66" s="7"/>
      <c r="V66" s="7"/>
      <c r="W66" s="7"/>
      <c r="X66" s="7"/>
      <c r="Y66" s="7"/>
      <c r="Z66" s="7"/>
      <c r="AC66" s="7"/>
      <c r="AD66" s="7"/>
      <c r="AE66" s="7"/>
      <c r="AF66" s="7"/>
      <c r="AG66" s="7"/>
      <c r="AH66" s="7"/>
      <c r="AI66" s="7"/>
      <c r="AJ66" s="7"/>
      <c r="AK66" s="7"/>
      <c r="AL66" s="7"/>
      <c r="AM66" s="7"/>
      <c r="AN66" s="7"/>
      <c r="AO66" s="7"/>
      <c r="AP66" s="7"/>
      <c r="AQ66" s="7"/>
      <c r="AR66" s="7"/>
      <c r="AS66" s="7"/>
      <c r="AT66" s="7"/>
      <c r="AU66" s="7"/>
      <c r="AV66" s="7"/>
      <c r="AW66" s="7"/>
      <c r="AX66" s="7"/>
    </row>
    <row r="67" spans="1:50" ht="15" customHeight="1" x14ac:dyDescent="0.25">
      <c r="A67" s="6" t="s">
        <v>75</v>
      </c>
      <c r="B67" s="6" t="str">
        <f>_xll.BDP($A67,"last price")</f>
        <v>#N/A Requesting Data...</v>
      </c>
      <c r="C67" s="8">
        <f>IF(OR(MID(A67,3,1)="H",MID(A67,3,1)="M",MID(A67,3,1)="U",MID(A67,3,1)="Z"),MAX($C$43:C66)+1,"")</f>
        <v>20</v>
      </c>
      <c r="E67" s="11"/>
      <c r="F67" s="11"/>
      <c r="G67" s="7"/>
      <c r="H67" s="7"/>
      <c r="I67" s="7"/>
      <c r="J67" s="7"/>
      <c r="K67" s="7"/>
      <c r="L67" s="7"/>
      <c r="M67" s="7"/>
      <c r="N67" s="7"/>
      <c r="O67" s="7"/>
      <c r="P67" s="7"/>
      <c r="Q67" s="7"/>
      <c r="R67" s="7"/>
      <c r="S67" s="7"/>
      <c r="T67" s="7"/>
      <c r="U67" s="7"/>
      <c r="V67" s="7"/>
      <c r="W67" s="7"/>
      <c r="X67" s="7"/>
      <c r="Y67" s="7"/>
      <c r="Z67" s="7"/>
      <c r="AC67" s="7"/>
      <c r="AD67" s="7"/>
      <c r="AE67" s="7"/>
      <c r="AF67" s="7"/>
      <c r="AG67" s="7"/>
      <c r="AH67" s="7"/>
      <c r="AI67" s="7"/>
      <c r="AJ67" s="7"/>
      <c r="AK67" s="7"/>
      <c r="AL67" s="7"/>
      <c r="AM67" s="7"/>
      <c r="AN67" s="7"/>
      <c r="AO67" s="7"/>
      <c r="AP67" s="7"/>
      <c r="AQ67" s="7"/>
      <c r="AR67" s="7"/>
      <c r="AS67" s="7"/>
      <c r="AT67" s="7"/>
      <c r="AU67" s="7"/>
      <c r="AV67" s="7"/>
      <c r="AW67" s="7"/>
      <c r="AX67" s="7"/>
    </row>
    <row r="68" spans="1:50" ht="15" customHeight="1" x14ac:dyDescent="0.25">
      <c r="A68" s="6" t="s">
        <v>76</v>
      </c>
      <c r="B68" s="6" t="str">
        <f>_xll.BDP($A68,"last price")</f>
        <v>#N/A Requesting Data...</v>
      </c>
      <c r="C68" s="8">
        <f>IF(OR(MID(A68,3,1)="H",MID(A68,3,1)="M",MID(A68,3,1)="U",MID(A68,3,1)="Z"),MAX($C$43:C67)+1,"")</f>
        <v>21</v>
      </c>
      <c r="E68" s="11"/>
      <c r="F68" s="11"/>
      <c r="G68" s="7"/>
      <c r="H68" s="7"/>
      <c r="I68" s="7"/>
      <c r="J68" s="7"/>
      <c r="K68" s="7"/>
      <c r="L68" s="7"/>
      <c r="M68" s="7"/>
      <c r="N68" s="7"/>
      <c r="O68" s="7"/>
      <c r="P68" s="7"/>
      <c r="Q68" s="7"/>
      <c r="R68" s="7"/>
      <c r="S68" s="7"/>
      <c r="T68" s="7"/>
      <c r="U68" s="7"/>
      <c r="V68" s="7"/>
      <c r="W68" s="7"/>
      <c r="X68" s="7"/>
      <c r="Y68" s="7"/>
      <c r="Z68" s="7"/>
      <c r="AC68" s="7"/>
      <c r="AD68" s="7"/>
      <c r="AE68" s="7"/>
      <c r="AF68" s="7"/>
      <c r="AG68" s="7"/>
      <c r="AH68" s="7"/>
      <c r="AI68" s="7"/>
      <c r="AJ68" s="7"/>
      <c r="AK68" s="7"/>
      <c r="AL68" s="7"/>
      <c r="AM68" s="7"/>
      <c r="AN68" s="7"/>
      <c r="AO68" s="7"/>
      <c r="AP68" s="7"/>
      <c r="AQ68" s="7"/>
      <c r="AR68" s="7"/>
      <c r="AS68" s="7"/>
      <c r="AT68" s="7"/>
      <c r="AU68" s="7"/>
      <c r="AV68" s="7"/>
      <c r="AW68" s="7"/>
      <c r="AX68" s="7"/>
    </row>
    <row r="69" spans="1:50" ht="15" customHeight="1" x14ac:dyDescent="0.25">
      <c r="A69" s="6" t="s">
        <v>77</v>
      </c>
      <c r="B69" s="6" t="str">
        <f>_xll.BDP($A69,"last price")</f>
        <v>#N/A Requesting Data...</v>
      </c>
      <c r="C69" s="8">
        <f>IF(OR(MID(A69,3,1)="H",MID(A69,3,1)="M",MID(A69,3,1)="U",MID(A69,3,1)="Z"),MAX($C$43:C68)+1,"")</f>
        <v>22</v>
      </c>
      <c r="E69" s="11"/>
      <c r="F69" s="11"/>
      <c r="G69" s="7"/>
      <c r="H69" s="7"/>
      <c r="I69" s="7"/>
      <c r="J69" s="7"/>
      <c r="K69" s="7"/>
      <c r="L69" s="7"/>
      <c r="M69" s="7"/>
      <c r="N69" s="7"/>
      <c r="O69" s="7"/>
      <c r="P69" s="7"/>
      <c r="Q69" s="7"/>
      <c r="R69" s="7"/>
      <c r="S69" s="7"/>
      <c r="T69" s="7"/>
      <c r="U69" s="7"/>
      <c r="V69" s="7"/>
      <c r="W69" s="7"/>
      <c r="X69" s="7"/>
      <c r="Y69" s="7"/>
      <c r="Z69" s="7"/>
      <c r="AC69" s="7"/>
      <c r="AD69" s="7"/>
      <c r="AE69" s="7"/>
      <c r="AF69" s="7"/>
      <c r="AG69" s="7"/>
      <c r="AH69" s="7"/>
      <c r="AI69" s="7"/>
      <c r="AJ69" s="7"/>
      <c r="AK69" s="7"/>
      <c r="AL69" s="7"/>
      <c r="AM69" s="7"/>
      <c r="AN69" s="7"/>
      <c r="AO69" s="7"/>
      <c r="AP69" s="7"/>
      <c r="AQ69" s="7"/>
      <c r="AR69" s="7"/>
      <c r="AS69" s="7"/>
      <c r="AT69" s="7"/>
      <c r="AU69" s="7"/>
      <c r="AV69" s="7"/>
      <c r="AW69" s="7"/>
      <c r="AX69" s="7"/>
    </row>
    <row r="70" spans="1:50" ht="15" customHeight="1" x14ac:dyDescent="0.25">
      <c r="A70" s="6" t="s">
        <v>78</v>
      </c>
      <c r="B70" s="6" t="str">
        <f>_xll.BDP($A70,"last price")</f>
        <v>#N/A Requesting Data...</v>
      </c>
      <c r="C70" s="8">
        <f>IF(OR(MID(A70,3,1)="H",MID(A70,3,1)="M",MID(A70,3,1)="U",MID(A70,3,1)="Z"),MAX($C$43:C69)+1,"")</f>
        <v>23</v>
      </c>
      <c r="E70" s="11"/>
      <c r="F70" s="11"/>
      <c r="G70" s="7"/>
      <c r="H70" s="7"/>
      <c r="I70" s="7"/>
      <c r="J70" s="7"/>
      <c r="K70" s="7"/>
      <c r="L70" s="7"/>
      <c r="M70" s="7"/>
      <c r="N70" s="7"/>
      <c r="O70" s="7"/>
      <c r="P70" s="7"/>
      <c r="Q70" s="7"/>
      <c r="R70" s="7"/>
      <c r="S70" s="7"/>
      <c r="T70" s="7"/>
      <c r="U70" s="7"/>
      <c r="V70" s="7"/>
      <c r="W70" s="7"/>
      <c r="X70" s="7"/>
      <c r="Y70" s="7"/>
      <c r="Z70" s="7"/>
      <c r="AC70" s="7"/>
      <c r="AD70" s="7"/>
      <c r="AE70" s="7"/>
      <c r="AF70" s="7"/>
      <c r="AG70" s="7"/>
      <c r="AH70" s="7"/>
      <c r="AI70" s="7"/>
      <c r="AJ70" s="7"/>
      <c r="AK70" s="7"/>
      <c r="AL70" s="7"/>
      <c r="AM70" s="7"/>
      <c r="AN70" s="7"/>
      <c r="AO70" s="7"/>
      <c r="AP70" s="7"/>
      <c r="AQ70" s="7"/>
      <c r="AR70" s="7"/>
      <c r="AS70" s="7"/>
      <c r="AT70" s="7"/>
      <c r="AU70" s="7"/>
      <c r="AV70" s="7"/>
      <c r="AW70" s="7"/>
      <c r="AX70" s="7"/>
    </row>
    <row r="71" spans="1:50" ht="15" customHeight="1" x14ac:dyDescent="0.25">
      <c r="A71" s="6" t="s">
        <v>113</v>
      </c>
      <c r="B71" s="6" t="str">
        <f>_xll.BDP($A71,"last price")</f>
        <v>#N/A Requesting Data...</v>
      </c>
      <c r="C71" s="8">
        <f>IF(OR(MID(A71,3,1)="H",MID(A71,3,1)="M",MID(A71,3,1)="U",MID(A71,3,1)="Z"),MAX($C$43:C70)+1,"")</f>
        <v>24</v>
      </c>
      <c r="E71" s="11"/>
      <c r="F71" s="11"/>
      <c r="G71" s="7"/>
      <c r="H71" s="7"/>
      <c r="I71" s="7"/>
      <c r="J71" s="7"/>
      <c r="K71" s="7"/>
      <c r="L71" s="7"/>
      <c r="M71" s="7"/>
      <c r="N71" s="7"/>
      <c r="O71" s="7"/>
      <c r="P71" s="7"/>
      <c r="Q71" s="7"/>
      <c r="R71" s="7"/>
      <c r="S71" s="7"/>
      <c r="T71" s="7"/>
      <c r="U71" s="7"/>
      <c r="V71" s="7"/>
      <c r="W71" s="7"/>
      <c r="X71" s="7"/>
      <c r="Y71" s="7"/>
      <c r="Z71" s="7"/>
      <c r="AC71" s="7"/>
      <c r="AD71" s="7"/>
      <c r="AE71" s="7"/>
      <c r="AF71" s="7"/>
      <c r="AG71" s="7"/>
      <c r="AH71" s="7"/>
      <c r="AI71" s="7"/>
      <c r="AJ71" s="7"/>
      <c r="AK71" s="7"/>
      <c r="AL71" s="7"/>
      <c r="AM71" s="7"/>
      <c r="AN71" s="7"/>
      <c r="AO71" s="7"/>
      <c r="AP71" s="7"/>
      <c r="AQ71" s="7"/>
      <c r="AR71" s="7"/>
      <c r="AS71" s="7"/>
      <c r="AT71" s="7"/>
      <c r="AU71" s="7"/>
      <c r="AV71" s="7"/>
      <c r="AW71" s="7"/>
      <c r="AX71" s="7"/>
    </row>
    <row r="72" spans="1:50" ht="15" customHeight="1" x14ac:dyDescent="0.25">
      <c r="A72" s="6" t="s">
        <v>41</v>
      </c>
      <c r="B72" s="6" t="str">
        <f>_xll.BDP($A72,"last price")</f>
        <v>#N/A Requesting Data...</v>
      </c>
      <c r="C72" s="8">
        <f>IF(OR(MID(A72,3,1)="H",MID(A72,3,1)="M",MID(A72,3,1)="U",MID(A72,3,1)="Z"),MAX($C$43:C71)+1,"")</f>
        <v>25</v>
      </c>
      <c r="E72" s="11"/>
      <c r="F72" s="11"/>
      <c r="G72" s="7"/>
      <c r="H72" s="7"/>
      <c r="I72" s="7"/>
      <c r="J72" s="7"/>
      <c r="K72" s="7"/>
      <c r="L72" s="7"/>
      <c r="M72" s="7"/>
      <c r="N72" s="7"/>
      <c r="O72" s="7"/>
      <c r="P72" s="7"/>
      <c r="Q72" s="7"/>
      <c r="R72" s="7"/>
      <c r="S72" s="7"/>
      <c r="T72" s="7"/>
      <c r="U72" s="7"/>
      <c r="V72" s="7"/>
      <c r="W72" s="7"/>
      <c r="X72" s="7"/>
      <c r="Y72" s="7"/>
      <c r="Z72" s="7"/>
      <c r="AC72" s="7"/>
      <c r="AD72" s="7"/>
      <c r="AE72" s="7"/>
      <c r="AF72" s="7"/>
      <c r="AG72" s="7"/>
      <c r="AH72" s="7"/>
      <c r="AI72" s="7"/>
      <c r="AJ72" s="7"/>
      <c r="AK72" s="7"/>
      <c r="AL72" s="7"/>
      <c r="AM72" s="7"/>
      <c r="AN72" s="7"/>
      <c r="AO72" s="7"/>
      <c r="AP72" s="7"/>
      <c r="AQ72" s="7"/>
      <c r="AR72" s="7"/>
      <c r="AS72" s="7"/>
      <c r="AT72" s="7"/>
      <c r="AU72" s="7"/>
      <c r="AV72" s="7"/>
      <c r="AW72" s="7"/>
      <c r="AX72" s="7"/>
    </row>
    <row r="73" spans="1:50" ht="15" customHeight="1" x14ac:dyDescent="0.25">
      <c r="A73" s="6" t="s">
        <v>42</v>
      </c>
      <c r="B73" s="6" t="str">
        <f>_xll.BDP($A73,"last price")</f>
        <v>#N/A Requesting Data...</v>
      </c>
      <c r="C73" s="8">
        <f>IF(OR(MID(A73,3,1)="H",MID(A73,3,1)="M",MID(A73,3,1)="U",MID(A73,3,1)="Z"),MAX($C$43:C72)+1,"")</f>
        <v>26</v>
      </c>
      <c r="E73" s="11"/>
      <c r="F73" s="11"/>
      <c r="G73" s="7"/>
      <c r="H73" s="7"/>
      <c r="I73" s="7"/>
      <c r="J73" s="7"/>
      <c r="K73" s="7"/>
      <c r="L73" s="7"/>
      <c r="M73" s="7"/>
      <c r="N73" s="7"/>
      <c r="O73" s="7"/>
      <c r="P73" s="7"/>
      <c r="Q73" s="7"/>
      <c r="R73" s="7"/>
      <c r="S73" s="7"/>
      <c r="T73" s="7"/>
      <c r="U73" s="7"/>
      <c r="V73" s="7"/>
      <c r="W73" s="7"/>
      <c r="X73" s="7"/>
      <c r="Y73" s="7"/>
      <c r="Z73" s="7"/>
      <c r="AC73" s="7"/>
      <c r="AD73" s="7"/>
      <c r="AE73" s="7"/>
      <c r="AF73" s="7"/>
      <c r="AG73" s="7"/>
      <c r="AH73" s="7"/>
      <c r="AI73" s="7"/>
      <c r="AJ73" s="7"/>
      <c r="AK73" s="7"/>
      <c r="AL73" s="7"/>
      <c r="AM73" s="7"/>
      <c r="AN73" s="7"/>
      <c r="AO73" s="7"/>
      <c r="AP73" s="7"/>
      <c r="AQ73" s="7"/>
      <c r="AR73" s="7"/>
      <c r="AS73" s="7"/>
      <c r="AT73" s="7"/>
      <c r="AU73" s="7"/>
      <c r="AV73" s="7"/>
      <c r="AW73" s="7"/>
      <c r="AX73" s="7"/>
    </row>
    <row r="74" spans="1:50" ht="15" customHeight="1" x14ac:dyDescent="0.25">
      <c r="A74" s="6" t="s">
        <v>43</v>
      </c>
      <c r="B74" s="6" t="str">
        <f>_xll.BDP($A74,"last price")</f>
        <v>#N/A Requesting Data...</v>
      </c>
      <c r="C74" s="8">
        <f>IF(OR(MID(A74,3,1)="H",MID(A74,3,1)="M",MID(A74,3,1)="U",MID(A74,3,1)="Z"),MAX($C$43:C73)+1,"")</f>
        <v>27</v>
      </c>
      <c r="E74" s="11"/>
      <c r="F74" s="11"/>
      <c r="G74" s="7"/>
      <c r="H74" s="7"/>
      <c r="I74" s="7"/>
      <c r="J74" s="7"/>
      <c r="K74" s="7"/>
      <c r="L74" s="7"/>
      <c r="M74" s="7"/>
      <c r="N74" s="7"/>
      <c r="O74" s="7"/>
      <c r="P74" s="7"/>
      <c r="Q74" s="7"/>
      <c r="R74" s="7"/>
      <c r="S74" s="7"/>
      <c r="T74" s="7"/>
      <c r="U74" s="7"/>
      <c r="V74" s="7"/>
      <c r="W74" s="7"/>
      <c r="X74" s="7"/>
      <c r="Y74" s="7"/>
      <c r="Z74" s="7"/>
      <c r="AA74" s="7"/>
      <c r="AB74" s="7"/>
      <c r="AC74" s="7"/>
      <c r="AD74" s="7"/>
      <c r="AE74" s="7"/>
      <c r="AF74" s="7"/>
      <c r="AG74" s="7"/>
      <c r="AH74" s="7"/>
      <c r="AI74" s="7"/>
      <c r="AJ74" s="7"/>
      <c r="AK74" s="7"/>
      <c r="AL74" s="7"/>
      <c r="AM74" s="7"/>
      <c r="AN74" s="7"/>
      <c r="AO74" s="7"/>
      <c r="AP74" s="7"/>
      <c r="AQ74" s="7"/>
      <c r="AR74" s="7"/>
      <c r="AS74" s="7"/>
      <c r="AT74" s="7"/>
      <c r="AU74" s="7"/>
      <c r="AV74" s="7"/>
      <c r="AW74" s="7"/>
      <c r="AX74" s="7"/>
    </row>
    <row r="75" spans="1:50" ht="15" customHeight="1" x14ac:dyDescent="0.25">
      <c r="A75" s="6" t="s">
        <v>44</v>
      </c>
      <c r="B75" s="6" t="str">
        <f>_xll.BDP($A75,"last price")</f>
        <v>#N/A Requesting Data...</v>
      </c>
      <c r="C75" s="8">
        <f>IF(OR(MID(A75,3,1)="H",MID(A75,3,1)="M",MID(A75,3,1)="U",MID(A75,3,1)="Z"),MAX($C$43:C74)+1,"")</f>
        <v>28</v>
      </c>
      <c r="E75" s="11"/>
      <c r="F75" s="11"/>
      <c r="G75" s="7"/>
      <c r="H75" s="7"/>
      <c r="I75" s="7"/>
      <c r="J75" s="7"/>
      <c r="K75" s="7"/>
      <c r="L75" s="7"/>
      <c r="M75" s="7"/>
      <c r="N75" s="7"/>
      <c r="O75" s="7"/>
      <c r="P75" s="7"/>
      <c r="Q75" s="7"/>
      <c r="R75" s="7"/>
      <c r="S75" s="7"/>
      <c r="T75" s="7"/>
      <c r="U75" s="7"/>
      <c r="V75" s="7"/>
      <c r="W75" s="7"/>
      <c r="X75" s="7"/>
      <c r="Y75" s="7"/>
      <c r="Z75" s="7"/>
      <c r="AA75" s="7"/>
      <c r="AB75" s="7"/>
      <c r="AC75" s="7"/>
      <c r="AD75" s="7"/>
      <c r="AE75" s="7"/>
      <c r="AF75" s="7"/>
      <c r="AG75" s="7"/>
      <c r="AH75" s="7"/>
      <c r="AI75" s="7"/>
      <c r="AJ75" s="7"/>
      <c r="AK75" s="7"/>
      <c r="AL75" s="7"/>
      <c r="AM75" s="7"/>
      <c r="AN75" s="7"/>
      <c r="AO75" s="7"/>
      <c r="AP75" s="7"/>
      <c r="AQ75" s="7"/>
      <c r="AR75" s="7"/>
      <c r="AS75" s="7"/>
      <c r="AT75" s="7"/>
      <c r="AU75" s="7"/>
      <c r="AV75" s="7"/>
      <c r="AW75" s="7"/>
      <c r="AX75" s="7"/>
    </row>
    <row r="76" spans="1:50" ht="15" customHeight="1" x14ac:dyDescent="0.25">
      <c r="A76" s="6" t="s">
        <v>45</v>
      </c>
      <c r="B76" s="6" t="str">
        <f>_xll.BDP($A76,"last price")</f>
        <v>#N/A Requesting Data...</v>
      </c>
      <c r="C76" s="8">
        <f>IF(OR(MID(A76,3,1)="H",MID(A76,3,1)="M",MID(A76,3,1)="U",MID(A76,3,1)="Z"),MAX($C$43:C75)+1,"")</f>
        <v>29</v>
      </c>
      <c r="E76" s="11"/>
      <c r="F76" s="11"/>
      <c r="G76" s="7"/>
      <c r="H76" s="7"/>
      <c r="I76" s="7"/>
      <c r="J76" s="7"/>
      <c r="K76" s="7"/>
      <c r="L76" s="7"/>
      <c r="M76" s="7"/>
      <c r="N76" s="7"/>
      <c r="O76" s="7"/>
      <c r="P76" s="7"/>
      <c r="Q76" s="7"/>
      <c r="R76" s="7"/>
      <c r="S76" s="7"/>
      <c r="T76" s="7"/>
      <c r="U76" s="7"/>
      <c r="V76" s="7"/>
      <c r="W76" s="7"/>
      <c r="X76" s="7"/>
      <c r="Y76" s="7"/>
      <c r="Z76" s="7"/>
      <c r="AA76" s="7"/>
      <c r="AB76" s="7"/>
      <c r="AC76" s="7"/>
      <c r="AD76" s="7"/>
      <c r="AE76" s="7"/>
      <c r="AF76" s="7"/>
      <c r="AG76" s="7"/>
      <c r="AH76" s="7"/>
      <c r="AI76" s="7"/>
      <c r="AJ76" s="7"/>
      <c r="AK76" s="7"/>
      <c r="AL76" s="7"/>
      <c r="AM76" s="7"/>
      <c r="AN76" s="7"/>
      <c r="AO76" s="7"/>
      <c r="AP76" s="7"/>
      <c r="AQ76" s="7"/>
      <c r="AR76" s="7"/>
      <c r="AS76" s="7"/>
      <c r="AT76" s="7"/>
      <c r="AU76" s="7"/>
      <c r="AV76" s="7"/>
      <c r="AW76" s="7"/>
      <c r="AX76" s="7"/>
    </row>
    <row r="77" spans="1:50" ht="15" customHeight="1" x14ac:dyDescent="0.25">
      <c r="A77" s="6" t="s">
        <v>128</v>
      </c>
      <c r="B77" s="6" t="str">
        <f>_xll.BDP($A77,"last price")</f>
        <v>#N/A Requesting Data...</v>
      </c>
      <c r="C77" s="8">
        <f>IF(OR(MID(A77,3,1)="H",MID(A77,3,1)="M",MID(A77,3,1)="U",MID(A77,3,1)="Z"),MAX($C$43:C76)+1,"")</f>
        <v>30</v>
      </c>
      <c r="E77" s="11"/>
      <c r="F77" s="11"/>
      <c r="G77" s="7"/>
      <c r="H77" s="7"/>
      <c r="I77" s="7"/>
      <c r="J77" s="7"/>
      <c r="K77" s="7"/>
      <c r="L77" s="7"/>
      <c r="M77" s="7"/>
      <c r="N77" s="7"/>
      <c r="O77" s="7"/>
      <c r="P77" s="7"/>
      <c r="Q77" s="7"/>
      <c r="R77" s="7"/>
      <c r="S77" s="7"/>
      <c r="T77" s="7"/>
      <c r="U77" s="7"/>
      <c r="V77" s="7"/>
      <c r="W77" s="7"/>
      <c r="X77" s="7"/>
      <c r="Y77" s="7"/>
      <c r="Z77" s="7"/>
      <c r="AA77" s="7"/>
      <c r="AB77" s="7"/>
      <c r="AC77" s="7"/>
      <c r="AD77" s="7"/>
      <c r="AE77" s="7"/>
      <c r="AF77" s="7"/>
      <c r="AG77" s="7"/>
      <c r="AH77" s="7"/>
      <c r="AI77" s="7"/>
      <c r="AJ77" s="7"/>
      <c r="AK77" s="7"/>
      <c r="AL77" s="7"/>
      <c r="AM77" s="7"/>
      <c r="AN77" s="7"/>
      <c r="AO77" s="7"/>
      <c r="AP77" s="7"/>
      <c r="AQ77" s="7"/>
      <c r="AR77" s="7"/>
      <c r="AS77" s="7"/>
      <c r="AT77" s="7"/>
      <c r="AU77" s="7"/>
      <c r="AV77" s="7"/>
      <c r="AW77" s="7"/>
      <c r="AX77" s="7"/>
    </row>
    <row r="78" spans="1:50" ht="15" customHeight="1" x14ac:dyDescent="0.25">
      <c r="A78" s="6" t="s">
        <v>46</v>
      </c>
      <c r="B78" s="6" t="str">
        <f>_xll.BDP($A78,"last price")</f>
        <v>#N/A Requesting Data...</v>
      </c>
      <c r="C78" s="8">
        <f>IF(OR(MID(A78,3,1)="H",MID(A78,3,1)="M",MID(A78,3,1)="U",MID(A78,3,1)="Z"),MAX($C$43:C77)+1,"")</f>
        <v>31</v>
      </c>
      <c r="E78" s="11"/>
      <c r="F78" s="11"/>
      <c r="G78" s="7"/>
      <c r="H78" s="7"/>
      <c r="I78" s="7"/>
      <c r="J78" s="7"/>
      <c r="K78" s="7"/>
      <c r="L78" s="7"/>
      <c r="M78" s="7"/>
      <c r="N78" s="7"/>
      <c r="O78" s="7"/>
      <c r="P78" s="7"/>
      <c r="Q78" s="7"/>
      <c r="R78" s="7"/>
      <c r="S78" s="7"/>
      <c r="T78" s="7"/>
      <c r="U78" s="7"/>
      <c r="V78" s="7"/>
      <c r="W78" s="7"/>
      <c r="X78" s="7"/>
      <c r="Y78" s="7"/>
      <c r="Z78" s="7"/>
      <c r="AA78" s="7"/>
      <c r="AB78" s="7"/>
      <c r="AC78" s="7"/>
      <c r="AD78" s="7"/>
      <c r="AE78" s="7"/>
      <c r="AF78" s="7"/>
      <c r="AG78" s="7"/>
      <c r="AH78" s="7"/>
      <c r="AI78" s="7"/>
      <c r="AJ78" s="7"/>
      <c r="AK78" s="7"/>
      <c r="AL78" s="7"/>
      <c r="AM78" s="7"/>
      <c r="AN78" s="7"/>
      <c r="AO78" s="7"/>
      <c r="AP78" s="7"/>
      <c r="AQ78" s="7"/>
      <c r="AR78" s="7"/>
      <c r="AS78" s="7"/>
      <c r="AT78" s="7"/>
      <c r="AU78" s="7"/>
      <c r="AV78" s="7"/>
      <c r="AW78" s="7"/>
      <c r="AX78" s="7"/>
    </row>
    <row r="79" spans="1:50" ht="15" customHeight="1" x14ac:dyDescent="0.25">
      <c r="A79" s="6" t="s">
        <v>47</v>
      </c>
      <c r="B79" s="6" t="str">
        <f>_xll.BDP($A79,"last price")</f>
        <v>#N/A Requesting Data...</v>
      </c>
      <c r="C79" s="8">
        <f>IF(OR(MID(A79,3,1)="H",MID(A79,3,1)="M",MID(A79,3,1)="U",MID(A79,3,1)="Z"),MAX($C$43:C78)+1,"")</f>
        <v>32</v>
      </c>
      <c r="E79" s="11"/>
      <c r="F79" s="11"/>
      <c r="G79" s="7"/>
      <c r="H79" s="7"/>
      <c r="I79" s="7"/>
      <c r="J79" s="7"/>
      <c r="K79" s="7"/>
      <c r="L79" s="7"/>
      <c r="M79" s="7"/>
      <c r="N79" s="7"/>
      <c r="O79" s="7"/>
      <c r="P79" s="7"/>
      <c r="Q79" s="7"/>
      <c r="R79" s="7"/>
      <c r="S79" s="7"/>
      <c r="T79" s="7"/>
      <c r="U79" s="7"/>
      <c r="V79" s="7"/>
      <c r="W79" s="7"/>
      <c r="X79" s="7"/>
      <c r="Y79" s="7"/>
      <c r="Z79" s="7"/>
      <c r="AA79" s="7"/>
      <c r="AB79" s="7"/>
      <c r="AC79" s="7"/>
      <c r="AD79" s="7"/>
      <c r="AE79" s="7"/>
      <c r="AF79" s="7"/>
      <c r="AG79" s="7"/>
      <c r="AH79" s="7"/>
      <c r="AI79" s="7"/>
      <c r="AJ79" s="7"/>
      <c r="AK79" s="7"/>
      <c r="AL79" s="7"/>
      <c r="AM79" s="7"/>
      <c r="AN79" s="7"/>
      <c r="AO79" s="7"/>
      <c r="AP79" s="7"/>
      <c r="AQ79" s="7"/>
      <c r="AR79" s="7"/>
      <c r="AS79" s="7"/>
      <c r="AT79" s="7"/>
      <c r="AU79" s="7"/>
      <c r="AV79" s="7"/>
      <c r="AW79" s="7"/>
      <c r="AX79" s="7"/>
    </row>
    <row r="80" spans="1:50" ht="15" customHeight="1" x14ac:dyDescent="0.25">
      <c r="A80" s="6" t="s">
        <v>48</v>
      </c>
      <c r="B80" s="6" t="str">
        <f>_xll.BDP($A80,"last price")</f>
        <v>#N/A Requesting Data...</v>
      </c>
      <c r="C80" s="8">
        <f>IF(OR(MID(A80,3,1)="H",MID(A80,3,1)="M",MID(A80,3,1)="U",MID(A80,3,1)="Z"),MAX($C$43:C79)+1,"")</f>
        <v>33</v>
      </c>
      <c r="E80" s="11"/>
      <c r="F80" s="11"/>
      <c r="G80" s="7"/>
      <c r="H80" s="7"/>
      <c r="I80" s="7"/>
      <c r="J80" s="7"/>
      <c r="K80" s="7"/>
      <c r="L80" s="7"/>
      <c r="M80" s="7"/>
      <c r="N80" s="7"/>
      <c r="O80" s="7"/>
      <c r="P80" s="7"/>
      <c r="Q80" s="7"/>
      <c r="R80" s="7"/>
      <c r="S80" s="7"/>
      <c r="T80" s="7"/>
      <c r="U80" s="7"/>
      <c r="V80" s="7"/>
      <c r="W80" s="7"/>
      <c r="X80" s="7"/>
      <c r="Y80" s="7"/>
      <c r="Z80" s="7"/>
      <c r="AA80" s="7"/>
      <c r="AB80" s="7"/>
      <c r="AC80" s="7"/>
      <c r="AD80" s="7"/>
      <c r="AE80" s="7"/>
      <c r="AF80" s="7"/>
      <c r="AG80" s="7"/>
      <c r="AH80" s="7"/>
      <c r="AI80" s="7"/>
      <c r="AJ80" s="7"/>
      <c r="AK80" s="7"/>
      <c r="AL80" s="7"/>
      <c r="AM80" s="7"/>
      <c r="AN80" s="7"/>
      <c r="AO80" s="7"/>
      <c r="AP80" s="7"/>
      <c r="AQ80" s="7"/>
      <c r="AR80" s="7"/>
      <c r="AS80" s="7"/>
      <c r="AT80" s="7"/>
      <c r="AU80" s="7"/>
      <c r="AV80" s="7"/>
      <c r="AW80" s="7"/>
      <c r="AX80" s="7"/>
    </row>
    <row r="81" spans="1:50" ht="15" customHeight="1" x14ac:dyDescent="0.25">
      <c r="A81" s="6" t="s">
        <v>49</v>
      </c>
      <c r="B81" s="6" t="str">
        <f>_xll.BDP($A81,"last price")</f>
        <v>#N/A Requesting Data...</v>
      </c>
      <c r="C81" s="8">
        <f>IF(OR(MID(A81,3,1)="H",MID(A81,3,1)="M",MID(A81,3,1)="U",MID(A81,3,1)="Z"),MAX($C$43:C80)+1,"")</f>
        <v>34</v>
      </c>
      <c r="E81" s="11"/>
      <c r="F81" s="11"/>
      <c r="G81" s="7"/>
      <c r="H81" s="7"/>
      <c r="I81" s="7"/>
      <c r="J81" s="7"/>
      <c r="K81" s="7"/>
      <c r="L81" s="7"/>
      <c r="M81" s="7"/>
      <c r="N81" s="7"/>
      <c r="O81" s="7"/>
      <c r="P81" s="7"/>
      <c r="Q81" s="7"/>
      <c r="R81" s="7"/>
      <c r="S81" s="7"/>
      <c r="T81" s="7"/>
      <c r="U81" s="7"/>
      <c r="V81" s="7"/>
      <c r="W81" s="7"/>
      <c r="X81" s="7"/>
      <c r="Y81" s="7"/>
      <c r="Z81" s="7"/>
      <c r="AA81" s="7"/>
      <c r="AB81" s="7"/>
      <c r="AC81" s="7"/>
      <c r="AD81" s="7"/>
      <c r="AE81" s="7"/>
      <c r="AF81" s="7"/>
      <c r="AG81" s="7"/>
      <c r="AH81" s="7"/>
      <c r="AI81" s="7"/>
      <c r="AJ81" s="7"/>
      <c r="AK81" s="7"/>
      <c r="AL81" s="7"/>
      <c r="AM81" s="7"/>
      <c r="AN81" s="7"/>
      <c r="AO81" s="7"/>
      <c r="AP81" s="7"/>
      <c r="AQ81" s="7"/>
      <c r="AR81" s="7"/>
      <c r="AS81" s="7"/>
      <c r="AT81" s="7"/>
      <c r="AU81" s="7"/>
      <c r="AV81" s="7"/>
      <c r="AW81" s="7"/>
      <c r="AX81" s="7"/>
    </row>
    <row r="82" spans="1:50" ht="15" customHeight="1" x14ac:dyDescent="0.25">
      <c r="A82" s="6" t="s">
        <v>50</v>
      </c>
      <c r="B82" s="6" t="str">
        <f>_xll.BDP($A82,"last price")</f>
        <v>#N/A Requesting Data...</v>
      </c>
      <c r="C82" s="8">
        <f>IF(OR(MID(A82,3,1)="H",MID(A82,3,1)="M",MID(A82,3,1)="U",MID(A82,3,1)="Z"),MAX($C$43:C81)+1,"")</f>
        <v>35</v>
      </c>
      <c r="E82" s="11"/>
      <c r="F82" s="11"/>
      <c r="G82" s="7"/>
      <c r="H82" s="7"/>
      <c r="I82" s="7"/>
      <c r="J82" s="7"/>
      <c r="K82" s="7"/>
      <c r="L82" s="7"/>
      <c r="M82" s="7"/>
      <c r="N82" s="7"/>
      <c r="O82" s="7"/>
      <c r="P82" s="7"/>
      <c r="Q82" s="7"/>
      <c r="R82" s="7"/>
      <c r="S82" s="7"/>
      <c r="T82" s="7"/>
      <c r="U82" s="7"/>
      <c r="V82" s="7"/>
      <c r="W82" s="7"/>
      <c r="X82" s="7"/>
      <c r="Y82" s="7"/>
      <c r="Z82" s="7"/>
      <c r="AA82" s="7"/>
      <c r="AB82" s="7"/>
      <c r="AC82" s="7"/>
      <c r="AD82" s="7"/>
      <c r="AE82" s="7"/>
      <c r="AF82" s="7"/>
      <c r="AG82" s="7"/>
      <c r="AH82" s="7"/>
      <c r="AI82" s="7"/>
      <c r="AJ82" s="7"/>
      <c r="AK82" s="7"/>
      <c r="AL82" s="7"/>
      <c r="AM82" s="7"/>
      <c r="AN82" s="7"/>
      <c r="AO82" s="7"/>
      <c r="AP82" s="7"/>
      <c r="AQ82" s="7"/>
      <c r="AR82" s="7"/>
      <c r="AS82" s="7"/>
      <c r="AT82" s="7"/>
      <c r="AU82" s="7"/>
      <c r="AV82" s="7"/>
      <c r="AW82" s="7"/>
      <c r="AX82" s="7"/>
    </row>
    <row r="83" spans="1:50" ht="15" customHeight="1" x14ac:dyDescent="0.25">
      <c r="A83" s="6" t="s">
        <v>51</v>
      </c>
      <c r="B83" s="6" t="str">
        <f>_xll.BDP($A83,"last price")</f>
        <v>#N/A Requesting Data...</v>
      </c>
      <c r="C83" s="8">
        <f>IF(OR(MID(A83,3,1)="H",MID(A83,3,1)="M",MID(A83,3,1)="U",MID(A83,3,1)="Z"),MAX($C$43:C82)+1,"")</f>
        <v>36</v>
      </c>
      <c r="E83" s="11"/>
      <c r="F83" s="11"/>
      <c r="G83" s="7"/>
      <c r="H83" s="7"/>
      <c r="I83" s="7"/>
      <c r="J83" s="7"/>
      <c r="K83" s="7"/>
      <c r="L83" s="7"/>
      <c r="M83" s="7"/>
      <c r="N83" s="7"/>
      <c r="O83" s="7"/>
      <c r="P83" s="7"/>
      <c r="Q83" s="7"/>
      <c r="R83" s="7"/>
      <c r="S83" s="7"/>
      <c r="T83" s="7"/>
      <c r="U83" s="7"/>
      <c r="V83" s="7"/>
      <c r="W83" s="7"/>
      <c r="X83" s="7"/>
      <c r="Y83" s="7"/>
      <c r="Z83" s="7"/>
      <c r="AA83" s="7"/>
      <c r="AB83" s="7"/>
      <c r="AC83" s="7"/>
      <c r="AD83" s="7"/>
      <c r="AE83" s="7"/>
      <c r="AF83" s="7"/>
      <c r="AG83" s="7"/>
      <c r="AH83" s="7"/>
      <c r="AI83" s="7"/>
      <c r="AJ83" s="7"/>
      <c r="AK83" s="7"/>
      <c r="AL83" s="7"/>
      <c r="AM83" s="7"/>
      <c r="AN83" s="7"/>
      <c r="AO83" s="7"/>
      <c r="AP83" s="7"/>
      <c r="AQ83" s="7"/>
      <c r="AR83" s="7"/>
      <c r="AS83" s="7"/>
      <c r="AT83" s="7"/>
      <c r="AU83" s="7"/>
      <c r="AV83" s="7"/>
      <c r="AW83" s="7"/>
      <c r="AX83" s="7"/>
    </row>
    <row r="84" spans="1:50" ht="15" customHeight="1" x14ac:dyDescent="0.25">
      <c r="A84" s="6" t="s">
        <v>52</v>
      </c>
      <c r="B84" s="6" t="str">
        <f>_xll.BDP($A84,"last price")</f>
        <v>#N/A Requesting Data...</v>
      </c>
      <c r="C84" s="8">
        <f>IF(OR(MID(A84,3,1)="H",MID(A84,3,1)="M",MID(A84,3,1)="U",MID(A84,3,1)="Z"),MAX($C$43:C83)+1,"")</f>
        <v>37</v>
      </c>
      <c r="E84" s="11"/>
      <c r="F84" s="11"/>
      <c r="G84" s="7"/>
      <c r="H84" s="7"/>
      <c r="I84" s="7"/>
      <c r="J84" s="7"/>
      <c r="K84" s="7"/>
      <c r="L84" s="7"/>
      <c r="M84" s="7"/>
      <c r="N84" s="7"/>
      <c r="O84" s="7"/>
      <c r="P84" s="7"/>
      <c r="Q84" s="7"/>
      <c r="R84" s="7"/>
      <c r="S84" s="7"/>
      <c r="T84" s="7"/>
      <c r="U84" s="7"/>
      <c r="V84" s="7"/>
      <c r="W84" s="7"/>
      <c r="X84" s="7"/>
      <c r="Y84" s="7"/>
      <c r="Z84" s="7"/>
      <c r="AA84" s="7"/>
      <c r="AB84" s="7"/>
      <c r="AC84" s="7"/>
      <c r="AD84" s="7"/>
      <c r="AE84" s="7"/>
      <c r="AF84" s="7"/>
      <c r="AG84" s="7"/>
      <c r="AH84" s="7"/>
      <c r="AI84" s="7"/>
      <c r="AJ84" s="7"/>
      <c r="AK84" s="7"/>
      <c r="AL84" s="7"/>
      <c r="AM84" s="7"/>
      <c r="AN84" s="7"/>
      <c r="AO84" s="7"/>
      <c r="AP84" s="7"/>
      <c r="AQ84" s="7"/>
      <c r="AR84" s="7"/>
      <c r="AS84" s="7"/>
      <c r="AT84" s="7"/>
      <c r="AU84" s="7"/>
      <c r="AV84" s="7"/>
      <c r="AW84" s="7"/>
      <c r="AX84" s="7"/>
    </row>
    <row r="85" spans="1:50" ht="15" customHeight="1" x14ac:dyDescent="0.25">
      <c r="A85" s="6" t="s">
        <v>53</v>
      </c>
      <c r="B85" s="6" t="str">
        <f>_xll.BDP($A85,"last price")</f>
        <v>#N/A Requesting Data...</v>
      </c>
      <c r="C85" s="8">
        <f>IF(OR(MID(A85,3,1)="H",MID(A85,3,1)="M",MID(A85,3,1)="U",MID(A85,3,1)="Z"),MAX($C$43:C84)+1,"")</f>
        <v>38</v>
      </c>
      <c r="E85" s="11"/>
      <c r="F85" s="11"/>
      <c r="G85" s="7"/>
      <c r="H85" s="7"/>
      <c r="I85" s="7"/>
      <c r="J85" s="7"/>
      <c r="K85" s="7"/>
      <c r="L85" s="7"/>
      <c r="M85" s="7"/>
      <c r="N85" s="7"/>
      <c r="O85" s="7"/>
      <c r="P85" s="7"/>
      <c r="Q85" s="7"/>
      <c r="R85" s="7"/>
      <c r="S85" s="7"/>
      <c r="T85" s="7"/>
      <c r="U85" s="7"/>
      <c r="V85" s="7"/>
      <c r="W85" s="7"/>
      <c r="X85" s="7"/>
      <c r="Y85" s="7"/>
      <c r="Z85" s="7"/>
      <c r="AA85" s="7"/>
      <c r="AB85" s="7"/>
      <c r="AC85" s="7"/>
      <c r="AD85" s="7"/>
      <c r="AE85" s="7"/>
      <c r="AF85" s="7"/>
      <c r="AG85" s="7"/>
      <c r="AH85" s="7"/>
      <c r="AI85" s="7"/>
      <c r="AJ85" s="7"/>
      <c r="AK85" s="7"/>
      <c r="AL85" s="7"/>
      <c r="AM85" s="7"/>
      <c r="AN85" s="7"/>
      <c r="AO85" s="7"/>
      <c r="AP85" s="7"/>
      <c r="AQ85" s="7"/>
      <c r="AR85" s="7"/>
      <c r="AS85" s="7"/>
      <c r="AT85" s="7"/>
      <c r="AU85" s="7"/>
      <c r="AV85" s="7"/>
      <c r="AW85" s="7"/>
      <c r="AX85" s="7"/>
    </row>
    <row r="86" spans="1:50" ht="15" customHeight="1" x14ac:dyDescent="0.25">
      <c r="A86" s="6" t="s">
        <v>54</v>
      </c>
      <c r="B86" s="6" t="str">
        <f>_xll.BDP($A86,"last price")</f>
        <v>#N/A Requesting Data...</v>
      </c>
      <c r="C86" s="8">
        <f>IF(OR(MID(A86,3,1)="H",MID(A86,3,1)="M",MID(A86,3,1)="U",MID(A86,3,1)="Z"),MAX($C$43:C85)+1,"")</f>
        <v>39</v>
      </c>
      <c r="E86" s="11"/>
      <c r="F86" s="11"/>
      <c r="G86" s="7"/>
      <c r="H86" s="7"/>
      <c r="I86" s="7"/>
      <c r="J86" s="7"/>
      <c r="K86" s="7"/>
      <c r="L86" s="7"/>
      <c r="M86" s="7"/>
      <c r="N86" s="7"/>
      <c r="O86" s="7"/>
      <c r="P86" s="7"/>
      <c r="Q86" s="7"/>
      <c r="R86" s="7"/>
      <c r="S86" s="7"/>
      <c r="T86" s="7"/>
      <c r="U86" s="7"/>
      <c r="V86" s="7"/>
      <c r="W86" s="7"/>
      <c r="X86" s="7"/>
      <c r="Y86" s="7"/>
      <c r="Z86" s="7"/>
      <c r="AA86" s="7"/>
      <c r="AB86" s="7"/>
      <c r="AC86" s="7"/>
      <c r="AD86" s="7"/>
      <c r="AE86" s="7"/>
      <c r="AF86" s="7"/>
      <c r="AG86" s="7"/>
      <c r="AH86" s="7"/>
      <c r="AI86" s="7"/>
      <c r="AJ86" s="7"/>
      <c r="AK86" s="7"/>
      <c r="AL86" s="7"/>
      <c r="AM86" s="7"/>
      <c r="AN86" s="7"/>
      <c r="AO86" s="7"/>
      <c r="AP86" s="7"/>
      <c r="AQ86" s="7"/>
      <c r="AR86" s="7"/>
      <c r="AS86" s="7"/>
      <c r="AT86" s="7"/>
      <c r="AU86" s="7"/>
      <c r="AV86" s="7"/>
      <c r="AW86" s="7"/>
      <c r="AX86" s="7"/>
    </row>
    <row r="87" spans="1:50" ht="15" customHeight="1" x14ac:dyDescent="0.25">
      <c r="A87" s="6" t="s">
        <v>55</v>
      </c>
      <c r="B87" s="6" t="str">
        <f>_xll.BDP($A87,"last price")</f>
        <v>#N/A Requesting Data...</v>
      </c>
      <c r="C87" s="8">
        <f>IF(OR(MID(A87,3,1)="H",MID(A87,3,1)="M",MID(A87,3,1)="U",MID(A87,3,1)="Z"),MAX($C$43:C86)+1,"")</f>
        <v>40</v>
      </c>
      <c r="E87" s="11"/>
      <c r="F87" s="11"/>
      <c r="G87" s="7"/>
      <c r="H87" s="7"/>
      <c r="I87" s="7"/>
      <c r="J87" s="7"/>
      <c r="K87" s="7"/>
      <c r="L87" s="7"/>
      <c r="M87" s="7"/>
      <c r="N87" s="7"/>
      <c r="O87" s="7"/>
      <c r="P87" s="7"/>
      <c r="Q87" s="7"/>
      <c r="R87" s="7"/>
      <c r="S87" s="7"/>
      <c r="T87" s="7"/>
      <c r="U87" s="7"/>
      <c r="V87" s="7"/>
      <c r="W87" s="7"/>
      <c r="X87" s="7"/>
      <c r="Y87" s="7"/>
      <c r="Z87" s="7"/>
      <c r="AA87" s="7"/>
      <c r="AB87" s="7"/>
      <c r="AC87" s="7"/>
      <c r="AD87" s="7"/>
      <c r="AE87" s="7"/>
      <c r="AF87" s="7"/>
      <c r="AG87" s="7"/>
      <c r="AH87" s="7"/>
      <c r="AI87" s="7"/>
      <c r="AJ87" s="7"/>
      <c r="AK87" s="7"/>
      <c r="AL87" s="7"/>
      <c r="AM87" s="7"/>
      <c r="AN87" s="7"/>
      <c r="AO87" s="7"/>
      <c r="AP87" s="7"/>
      <c r="AQ87" s="7"/>
      <c r="AR87" s="7"/>
      <c r="AS87" s="7"/>
      <c r="AT87" s="7"/>
      <c r="AU87" s="7"/>
      <c r="AV87" s="7"/>
      <c r="AW87" s="7"/>
      <c r="AX87" s="7"/>
    </row>
  </sheetData>
  <mergeCells count="7">
    <mergeCell ref="N41:O41"/>
    <mergeCell ref="H41:I41"/>
    <mergeCell ref="F8:G8"/>
    <mergeCell ref="F9:G9"/>
    <mergeCell ref="H8:M8"/>
    <mergeCell ref="H9:M9"/>
    <mergeCell ref="K41:L41"/>
  </mergeCells>
  <phoneticPr fontId="5" type="noConversion"/>
  <conditionalFormatting sqref="G44:Z63">
    <cfRule type="expression" dxfId="5" priority="5" stopIfTrue="1">
      <formula>IF(OR(AND($H$41="Correlation",G44=1),AND($H$41="Spread",G44=0)),TRUE,FALSE)</formula>
    </cfRule>
    <cfRule type="expression" dxfId="4" priority="6" stopIfTrue="1">
      <formula>IF(G$43=col,TRUE,FALSE)</formula>
    </cfRule>
    <cfRule type="expression" dxfId="3" priority="7" stopIfTrue="1">
      <formula>IF($F44=row,TRUE,FALSE)</formula>
    </cfRule>
  </conditionalFormatting>
  <dataValidations count="2">
    <dataValidation type="list" allowBlank="1" showInputMessage="1" showErrorMessage="1" sqref="H9">
      <formula1>$F$27:$F$39</formula1>
    </dataValidation>
    <dataValidation type="list" allowBlank="1" showInputMessage="1" showErrorMessage="1" sqref="H8:M8">
      <formula1>C$8:C$10</formula1>
    </dataValidation>
  </dataValidations>
  <pageMargins left="0.7" right="0.7" top="0.75" bottom="0.75" header="0.3" footer="0.3"/>
  <pageSetup orientation="portrait" r:id="rId1"/>
  <drawing r:id="rId2"/>
  <extLst>
    <ext xmlns:x14="http://schemas.microsoft.com/office/spreadsheetml/2009/9/main" uri="{CCE6A557-97BC-4b89-ADB6-D9C93CAAB3DF}">
      <x14:dataValidations xmlns:xm="http://schemas.microsoft.com/office/excel/2006/main" count="1">
        <x14:dataValidation type="list" allowBlank="1" showInputMessage="1" showErrorMessage="1">
          <x14:formula1>
            <xm:f>SWPS!$S$1:$S$2</xm:f>
          </x14:formula1>
          <xm:sqref>H41:H42</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dimension ref="A1:IV536"/>
  <sheetViews>
    <sheetView workbookViewId="0">
      <selection activeCell="H18" sqref="H18"/>
    </sheetView>
  </sheetViews>
  <sheetFormatPr defaultRowHeight="15" x14ac:dyDescent="0.25"/>
  <cols>
    <col min="1" max="1" width="10.7109375" bestFit="1" customWidth="1"/>
    <col min="2" max="2" width="9.7109375" bestFit="1" customWidth="1"/>
    <col min="8" max="14" width="13.28515625" bestFit="1" customWidth="1"/>
    <col min="15" max="15" width="12.85546875" customWidth="1"/>
    <col min="16" max="18" width="13.28515625" bestFit="1" customWidth="1"/>
    <col min="21" max="21" width="38.7109375" customWidth="1"/>
    <col min="22" max="22" width="9.7109375" bestFit="1" customWidth="1"/>
    <col min="26" max="26" width="9.7109375" style="4" bestFit="1" customWidth="1"/>
    <col min="27" max="27" width="9.7109375" style="5" bestFit="1" customWidth="1"/>
  </cols>
  <sheetData>
    <row r="1" spans="1:256" x14ac:dyDescent="0.25">
      <c r="D1" s="2" t="s">
        <v>6</v>
      </c>
      <c r="E1" s="2" t="s">
        <v>7</v>
      </c>
      <c r="F1" s="2" t="s">
        <v>8</v>
      </c>
      <c r="G1" s="2" t="s">
        <v>9</v>
      </c>
      <c r="H1" s="2" t="s">
        <v>19</v>
      </c>
      <c r="I1" s="2" t="s">
        <v>20</v>
      </c>
      <c r="K1" s="4"/>
      <c r="S1" t="s">
        <v>83</v>
      </c>
      <c r="U1" t="s">
        <v>85</v>
      </c>
      <c r="V1">
        <f ca="1">IF(ISERROR(MID([1]!getformula(Sheet3!A2),SEARCH("rows=",[1]!getformula(Sheet3!A2),1)+5,LEN([1]!getformula(Sheet3!A2))-SEARCH("rows=",[1]!getformula(Sheet3!A2),1)-6)),0,MID([1]!getformula(Sheet3!A2),SEARCH("rows=",[1]!getformula(Sheet3!A2),1)+5,LEN([1]!getformula(Sheet3!A2))-SEARCH("rows=",[1]!getformula(Sheet3!A2),1)-6))</f>
        <v>0</v>
      </c>
      <c r="W1" t="s">
        <v>96</v>
      </c>
      <c r="X1" t="s">
        <v>97</v>
      </c>
      <c r="AB1" s="5"/>
    </row>
    <row r="2" spans="1:256" x14ac:dyDescent="0.25">
      <c r="D2" t="str">
        <f>_xll.BDP($B3&amp;" govt","YLD_CNV_MID")</f>
        <v>#N/A Requesting Data...</v>
      </c>
      <c r="E2" t="str">
        <f>_xll.BDP($B4&amp;" govt","YLD_CNV_MID")</f>
        <v>#N/A Requesting Data...</v>
      </c>
      <c r="F2" t="str">
        <f>_xll.BDP($B5&amp;" govt","YLD_CNV_MID")</f>
        <v>#N/A Requesting Data...</v>
      </c>
      <c r="G2" t="str">
        <f>_xll.BDP($B6&amp;" govt","YLD_CNV_MID")</f>
        <v>#N/A Requesting Data...</v>
      </c>
      <c r="H2" t="str">
        <f>_xll.BDP($B7&amp;" govt","YLD_CNV_MID")</f>
        <v>#N/A Requesting Data...</v>
      </c>
      <c r="I2" t="str">
        <f>_xll.BDP($B8&amp;" govt","YLD_CNV_MID")</f>
        <v>#N/A Requesting Data...</v>
      </c>
      <c r="J2" t="s">
        <v>31</v>
      </c>
      <c r="K2" s="4" t="e">
        <f ca="1">OFFSET($A$1,IF(ISERROR(MATCH(L2,A:A,0)),MATCH(WORKDAY(L2,-1),A:A,0),MATCH(L2,A:A,0))-1,0)</f>
        <v>#VALUE!</v>
      </c>
      <c r="L2" s="4" t="e">
        <f>WORKDAY($A$13,-5)</f>
        <v>#VALUE!</v>
      </c>
      <c r="M2" s="4" t="e">
        <f ca="1">OFFSET($A$1,IF(ISERROR(MATCH(L2,A:A,0)),MATCH(WORKDAY(L2,-1),A:A,0),MATCH(L2,A:A,0))-1,0)</f>
        <v>#VALUE!</v>
      </c>
      <c r="O2" s="4"/>
      <c r="S2" t="s">
        <v>84</v>
      </c>
      <c r="U2" s="4">
        <v>40206</v>
      </c>
      <c r="V2" s="4">
        <v>40571</v>
      </c>
      <c r="Z2" s="4" t="str">
        <f ca="1">IF(OFFSET(Sheet3!$A$1,0,0,300)="","",OFFSET(Sheet3!$A$1,0,0,300))</f>
        <v>#N/A Requesting Data...</v>
      </c>
      <c r="AA2" s="5" t="str">
        <f ca="1">IF(OFFSET(Sheet3!$A$1,0,MATCH(W$1,Sheet3!$1:$1,0)-1,300)="","",OFFSET(Sheet3!$A$1,0,MATCH(W$1,Sheet3!$1:$1,0)-1,300))</f>
        <v>#N/A Requesting Data...</v>
      </c>
      <c r="AB2" s="5" t="str">
        <f ca="1">IF(OFFSET(Sheet3!$A$1,0,MATCH(X$1,Sheet3!$1:$1,0)-1,300)="","",OFFSET(Sheet3!$A$1,0,MATCH(X$1,Sheet3!$1:$1,0)-1,300))</f>
        <v>#N/A Requesting Data...</v>
      </c>
      <c r="AC2" t="e">
        <f ca="1">IF(AND(AA2&lt;&gt;"",AB2&lt;&gt;""),ABS(AA2-AB2),"")</f>
        <v>#VALUE!</v>
      </c>
      <c r="AD2" t="str">
        <f ca="1">IF(ISNA(MATCH("",AC2:AC21,0)),AVERAGE(AC2:AC21),"")</f>
        <v/>
      </c>
    </row>
    <row r="3" spans="1:256" x14ac:dyDescent="0.25">
      <c r="A3" s="2" t="s">
        <v>6</v>
      </c>
      <c r="B3" t="s">
        <v>0</v>
      </c>
      <c r="C3" t="str">
        <f>_xll.BDP($B3&amp;" govt","YLD_CNV_MID")</f>
        <v>#N/A Requesting Data...</v>
      </c>
      <c r="D3" t="str">
        <f>IF(D$1=TRSYS!$A3,"",ABS($C3-D$2)*100)</f>
        <v/>
      </c>
      <c r="E3" t="e">
        <f>IF(E$1=TRSYS!$A3,"",ABS($C3-E$2)*100)</f>
        <v>#VALUE!</v>
      </c>
      <c r="F3" t="e">
        <f>IF(F$1=TRSYS!$A3,"",ABS($C3-F$2)*100)</f>
        <v>#VALUE!</v>
      </c>
      <c r="G3" t="e">
        <f>IF(G$1=TRSYS!$A3,"",ABS($C3-G$2)*100)</f>
        <v>#VALUE!</v>
      </c>
      <c r="H3" t="e">
        <f>IF(H$1=TRSYS!$A3,"",ABS($C3-H$2)*100)</f>
        <v>#VALUE!</v>
      </c>
      <c r="I3" t="e">
        <f>IF(I$1=TRSYS!$A3,"",ABS($C3-I$2)*100)</f>
        <v>#VALUE!</v>
      </c>
      <c r="J3" t="s">
        <v>32</v>
      </c>
      <c r="K3" s="4" t="e">
        <f ca="1">OFFSET($A$1,IF(ISERROR(MATCH(L3,A:A,0)),MATCH(WORKDAY(L3,-1),A:A,0),MATCH(L3,A:A,0))-1,0)</f>
        <v>#VALUE!</v>
      </c>
      <c r="L3" s="4" t="e">
        <f>EDATE($A$13,-1)</f>
        <v>#VALUE!</v>
      </c>
      <c r="M3" s="4" t="e">
        <f ca="1">OFFSET($A$1,IF(ISERROR(MATCH(L3,A:A,0)),MATCH(WORKDAY(L3,-1),A:A,0),MATCH(L3,A:A,0))-1,0)</f>
        <v>#VALUE!</v>
      </c>
      <c r="O3" s="4"/>
      <c r="U3" s="4">
        <f>start</f>
        <v>42005</v>
      </c>
      <c r="V3" s="4">
        <f>end</f>
        <v>42094</v>
      </c>
      <c r="Z3" s="4" t="str">
        <f ca="1">IF(OFFSET(Sheet3!$A$1,0,0,300)="","",OFFSET(Sheet3!$A$1,0,0,300))</f>
        <v/>
      </c>
      <c r="AA3" s="5" t="str">
        <f ca="1">IF(OFFSET(Sheet3!$A$1,0,MATCH(W$1,Sheet3!$1:$1,0)-1,300)="","",OFFSET(Sheet3!$A$1,0,MATCH(W$1,Sheet3!$1:$1,0)-1,300))</f>
        <v/>
      </c>
      <c r="AB3" s="5" t="str">
        <f ca="1">IF(OFFSET(Sheet3!$A$1,0,MATCH(X$1,Sheet3!$1:$1,0)-1,300)="","",OFFSET(Sheet3!$A$1,0,MATCH(X$1,Sheet3!$1:$1,0)-1,300))</f>
        <v/>
      </c>
      <c r="AC3" t="str">
        <f t="shared" ref="AC3:AC66" ca="1" si="0">IF(AND(AA3&lt;&gt;"",AB3&lt;&gt;""),ABS(AA3-AB3),"")</f>
        <v/>
      </c>
      <c r="AD3" t="str">
        <f t="shared" ref="AD3:AD66" ca="1" si="1">IF(ISNA(MATCH("",AC3:AC22,0)),AVERAGE(AC3:AC22),"")</f>
        <v/>
      </c>
    </row>
    <row r="4" spans="1:256" x14ac:dyDescent="0.25">
      <c r="A4" s="2" t="s">
        <v>7</v>
      </c>
      <c r="B4" t="s">
        <v>1</v>
      </c>
      <c r="C4" t="str">
        <f>_xll.BDP($B4&amp;" govt","YLD_CNV_MID")</f>
        <v>#N/A Requesting Data...</v>
      </c>
      <c r="D4" t="e">
        <f>IF(D$1=TRSYS!$A4,"",ABS($C4-D$2)*100)</f>
        <v>#VALUE!</v>
      </c>
      <c r="E4" t="str">
        <f>IF(E$1=TRSYS!$A4,"",ABS($C4-E$2)*100)</f>
        <v/>
      </c>
      <c r="F4" t="e">
        <f>IF(F$1=TRSYS!$A4,"",ABS($C4-F$2)*100)</f>
        <v>#VALUE!</v>
      </c>
      <c r="G4" t="e">
        <f>IF(G$1=TRSYS!$A4,"",ABS($C4-G$2)*100)</f>
        <v>#VALUE!</v>
      </c>
      <c r="H4" t="e">
        <f>IF(H$1=TRSYS!$A4,"",ABS($C4-H$2)*100)</f>
        <v>#VALUE!</v>
      </c>
      <c r="I4" t="e">
        <f>IF(I$1=TRSYS!$A4,"",ABS($C4-I$2)*100)</f>
        <v>#VALUE!</v>
      </c>
      <c r="J4" t="s">
        <v>33</v>
      </c>
      <c r="K4" s="4" t="e">
        <f ca="1">OFFSET($A$1,IF(ISERROR(MATCH(L4,A:A,0)),MATCH(WORKDAY(L4,-1),A:A,0),MATCH(L4,A:A,0))-1,0)</f>
        <v>#VALUE!</v>
      </c>
      <c r="L4" s="4" t="e">
        <f>EDATE($A$13,-3)</f>
        <v>#VALUE!</v>
      </c>
      <c r="M4" s="4" t="e">
        <f ca="1">OFFSET($A$1,IF(ISERROR(MATCH(L4,A:A,0)),MATCH(WORKDAY(L4,-1),A:A,0),MATCH(L4,A:A,0))-1,0)</f>
        <v>#VALUE!</v>
      </c>
      <c r="Z4" s="4" t="str">
        <f ca="1">IF(OFFSET(Sheet3!$A$1,0,0,300)="","",OFFSET(Sheet3!$A$1,0,0,300))</f>
        <v/>
      </c>
      <c r="AA4" s="5" t="str">
        <f ca="1">IF(OFFSET(Sheet3!$A$1,0,MATCH(W$1,Sheet3!$1:$1,0)-1,300)="","",OFFSET(Sheet3!$A$1,0,MATCH(W$1,Sheet3!$1:$1,0)-1,300))</f>
        <v/>
      </c>
      <c r="AB4" s="5" t="str">
        <f ca="1">IF(OFFSET(Sheet3!$A$1,0,MATCH(X$1,Sheet3!$1:$1,0)-1,300)="","",OFFSET(Sheet3!$A$1,0,MATCH(X$1,Sheet3!$1:$1,0)-1,300))</f>
        <v/>
      </c>
      <c r="AC4" t="str">
        <f t="shared" ca="1" si="0"/>
        <v/>
      </c>
      <c r="AD4" t="str">
        <f t="shared" ca="1" si="1"/>
        <v/>
      </c>
    </row>
    <row r="5" spans="1:256" x14ac:dyDescent="0.25">
      <c r="A5" s="2" t="s">
        <v>8</v>
      </c>
      <c r="B5" t="s">
        <v>2</v>
      </c>
      <c r="C5" t="str">
        <f>_xll.BDP($B5&amp;" govt","YLD_CNV_MID")</f>
        <v>#N/A Requesting Data...</v>
      </c>
      <c r="D5" t="e">
        <f>IF(D$1=TRSYS!$A5,"",ABS($C5-D$2)*100)</f>
        <v>#VALUE!</v>
      </c>
      <c r="E5" t="e">
        <f>IF(E$1=TRSYS!$A5,"",ABS($C5-E$2)*100)</f>
        <v>#VALUE!</v>
      </c>
      <c r="F5" t="str">
        <f>IF(F$1=TRSYS!$A5,"",ABS($C5-F$2)*100)</f>
        <v/>
      </c>
      <c r="G5" t="e">
        <f>IF(G$1=TRSYS!$A5,"",ABS($C5-G$2)*100)</f>
        <v>#VALUE!</v>
      </c>
      <c r="H5" t="e">
        <f>IF(H$1=TRSYS!$A5,"",ABS($C5-H$2)*100)</f>
        <v>#VALUE!</v>
      </c>
      <c r="I5" t="e">
        <f>IF(I$1=TRSYS!$A5,"",ABS($C5-I$2)*100)</f>
        <v>#VALUE!</v>
      </c>
      <c r="J5" t="s">
        <v>34</v>
      </c>
      <c r="K5" s="4" t="e">
        <f ca="1">OFFSET($A$1,IF(ISERROR(MATCH(L5,A:A,0)),MATCH(WORKDAY(L5,-1),A:A,0),MATCH(L5,A:A,0))-1,0)</f>
        <v>#VALUE!</v>
      </c>
      <c r="L5" s="4" t="e">
        <f>EDATE($A$13,-6)</f>
        <v>#VALUE!</v>
      </c>
      <c r="M5" s="4" t="e">
        <f ca="1">OFFSET($A$1,IF(ISERROR(MATCH(L5,A:A,0)),MATCH(WORKDAY(L5,-1),A:A,0),MATCH(L5,A:A,0))-1,0)</f>
        <v>#VALUE!</v>
      </c>
      <c r="Z5" s="4" t="str">
        <f ca="1">IF(OFFSET(Sheet3!$A$1,0,0,300)="","",OFFSET(Sheet3!$A$1,0,0,300))</f>
        <v/>
      </c>
      <c r="AA5" s="5" t="str">
        <f ca="1">IF(OFFSET(Sheet3!$A$1,0,MATCH(W$1,Sheet3!$1:$1,0)-1,300)="","",OFFSET(Sheet3!$A$1,0,MATCH(W$1,Sheet3!$1:$1,0)-1,300))</f>
        <v/>
      </c>
      <c r="AB5" s="5" t="str">
        <f ca="1">IF(OFFSET(Sheet3!$A$1,0,MATCH(X$1,Sheet3!$1:$1,0)-1,300)="","",OFFSET(Sheet3!$A$1,0,MATCH(X$1,Sheet3!$1:$1,0)-1,300))</f>
        <v/>
      </c>
      <c r="AC5" t="str">
        <f t="shared" ca="1" si="0"/>
        <v/>
      </c>
      <c r="AD5" t="str">
        <f t="shared" ca="1" si="1"/>
        <v/>
      </c>
    </row>
    <row r="6" spans="1:256" x14ac:dyDescent="0.25">
      <c r="A6" s="2" t="s">
        <v>9</v>
      </c>
      <c r="B6" t="s">
        <v>3</v>
      </c>
      <c r="C6" t="str">
        <f>_xll.BDP($B6&amp;" govt","YLD_CNV_MID")</f>
        <v>#N/A Requesting Data...</v>
      </c>
      <c r="D6" t="e">
        <f>IF(D$1=TRSYS!$A6,"",ABS($C6-D$2)*100)</f>
        <v>#VALUE!</v>
      </c>
      <c r="E6" t="e">
        <f>IF(E$1=TRSYS!$A6,"",ABS($C6-E$2)*100)</f>
        <v>#VALUE!</v>
      </c>
      <c r="F6" t="e">
        <f>IF(F$1=TRSYS!$A6,"",ABS($C6-F$2)*100)</f>
        <v>#VALUE!</v>
      </c>
      <c r="G6" t="str">
        <f>IF(G$1=TRSYS!$A6,"",ABS($C6-G$2)*100)</f>
        <v/>
      </c>
      <c r="H6" t="e">
        <f>IF(H$1=TRSYS!$A6,"",ABS($C6-H$2)*100)</f>
        <v>#VALUE!</v>
      </c>
      <c r="I6" t="e">
        <f>IF(I$1=TRSYS!$A6,"",ABS($C6-I$2)*100)</f>
        <v>#VALUE!</v>
      </c>
      <c r="J6" t="s">
        <v>39</v>
      </c>
      <c r="K6" s="4" t="e">
        <f ca="1">OFFSET($A$1,IF(ISERROR(MATCH(L6,A:A,0)),MATCH(WORKDAY(L6,-1),A:A,0),MATCH(L6,A:A,0))-1,0)</f>
        <v>#VALUE!</v>
      </c>
      <c r="L6" s="4" t="e">
        <f>EDATE($A$13,-12)</f>
        <v>#VALUE!</v>
      </c>
      <c r="M6" s="4" t="e">
        <f ca="1">OFFSET($A$1,IF(ISERROR(MATCH(L6,A:A,0)),MATCH(WORKDAY(L6,-1),A:A,0),MATCH(L6,A:A,0))-1,0)</f>
        <v>#VALUE!</v>
      </c>
      <c r="Z6" s="4" t="str">
        <f ca="1">IF(OFFSET(Sheet3!$A$1,0,0,300)="","",OFFSET(Sheet3!$A$1,0,0,300))</f>
        <v/>
      </c>
      <c r="AA6" s="5" t="str">
        <f ca="1">IF(OFFSET(Sheet3!$A$1,0,MATCH(W$1,Sheet3!$1:$1,0)-1,300)="","",OFFSET(Sheet3!$A$1,0,MATCH(W$1,Sheet3!$1:$1,0)-1,300))</f>
        <v/>
      </c>
      <c r="AB6" s="5" t="str">
        <f ca="1">IF(OFFSET(Sheet3!$A$1,0,MATCH(X$1,Sheet3!$1:$1,0)-1,300)="","",OFFSET(Sheet3!$A$1,0,MATCH(X$1,Sheet3!$1:$1,0)-1,300))</f>
        <v/>
      </c>
      <c r="AC6" t="str">
        <f t="shared" ca="1" si="0"/>
        <v/>
      </c>
      <c r="AD6" t="str">
        <f t="shared" ca="1" si="1"/>
        <v/>
      </c>
    </row>
    <row r="7" spans="1:256" x14ac:dyDescent="0.25">
      <c r="A7" s="2" t="s">
        <v>19</v>
      </c>
      <c r="B7" t="s">
        <v>4</v>
      </c>
      <c r="C7" t="str">
        <f>_xll.BDP($B7&amp;" govt","YLD_CNV_MID")</f>
        <v>#N/A Requesting Data...</v>
      </c>
      <c r="D7" t="e">
        <f>IF(D$1=TRSYS!$A7,"",ABS($C7-D$2)*100)</f>
        <v>#VALUE!</v>
      </c>
      <c r="E7" t="e">
        <f>IF(E$1=TRSYS!$A7,"",ABS($C7-E$2)*100)</f>
        <v>#VALUE!</v>
      </c>
      <c r="F7" t="e">
        <f>IF(F$1=TRSYS!$A7,"",ABS($C7-F$2)*100)</f>
        <v>#VALUE!</v>
      </c>
      <c r="G7" t="e">
        <f>IF(G$1=TRSYS!$A7,"",ABS($C7-G$2)*100)</f>
        <v>#VALUE!</v>
      </c>
      <c r="H7" t="str">
        <f>IF(H$1=TRSYS!$A7,"",ABS($C7-H$2)*100)</f>
        <v/>
      </c>
      <c r="I7" t="e">
        <f>IF(I$1=TRSYS!$A7,"",ABS($C7-I$2)*100)</f>
        <v>#VALUE!</v>
      </c>
      <c r="Z7" s="4" t="str">
        <f ca="1">IF(OFFSET(Sheet3!$A$1,0,0,300)="","",OFFSET(Sheet3!$A$1,0,0,300))</f>
        <v/>
      </c>
      <c r="AA7" s="5" t="str">
        <f ca="1">IF(OFFSET(Sheet3!$A$1,0,MATCH(W$1,Sheet3!$1:$1,0)-1,300)="","",OFFSET(Sheet3!$A$1,0,MATCH(W$1,Sheet3!$1:$1,0)-1,300))</f>
        <v/>
      </c>
      <c r="AB7" s="5" t="str">
        <f ca="1">IF(OFFSET(Sheet3!$A$1,0,MATCH(X$1,Sheet3!$1:$1,0)-1,300)="","",OFFSET(Sheet3!$A$1,0,MATCH(X$1,Sheet3!$1:$1,0)-1,300))</f>
        <v/>
      </c>
      <c r="AC7" t="str">
        <f t="shared" ca="1" si="0"/>
        <v/>
      </c>
      <c r="AD7" t="str">
        <f t="shared" ca="1" si="1"/>
        <v/>
      </c>
    </row>
    <row r="8" spans="1:256" x14ac:dyDescent="0.25">
      <c r="A8" s="2" t="s">
        <v>20</v>
      </c>
      <c r="B8" t="s">
        <v>5</v>
      </c>
      <c r="C8" t="str">
        <f>_xll.BDP($B8&amp;" govt","YLD_CNV_MID")</f>
        <v>#N/A Requesting Data...</v>
      </c>
      <c r="D8" t="e">
        <f>IF(D$1=TRSYS!$A8,"",ABS($C8-D$2)*100)</f>
        <v>#VALUE!</v>
      </c>
      <c r="E8" t="e">
        <f>IF(E$1=TRSYS!$A8,"",ABS($C8-E$2)*100)</f>
        <v>#VALUE!</v>
      </c>
      <c r="F8" t="e">
        <f>IF(F$1=TRSYS!$A8,"",ABS($C8-F$2)*100)</f>
        <v>#VALUE!</v>
      </c>
      <c r="G8" t="e">
        <f>IF(G$1=TRSYS!$A8,"",ABS($C8-G$2)*100)</f>
        <v>#VALUE!</v>
      </c>
      <c r="H8" t="e">
        <f>IF(H$1=TRSYS!$A8,"",ABS($C8-H$2)*100)</f>
        <v>#VALUE!</v>
      </c>
      <c r="I8" t="str">
        <f>IF(I$1=TRSYS!$A8,"",ABS($C8-I$2)*100)</f>
        <v/>
      </c>
      <c r="Z8" s="4" t="str">
        <f ca="1">IF(OFFSET(Sheet3!$A$1,0,0,300)="","",OFFSET(Sheet3!$A$1,0,0,300))</f>
        <v/>
      </c>
      <c r="AA8" s="5" t="str">
        <f ca="1">IF(OFFSET(Sheet3!$A$1,0,MATCH(W$1,Sheet3!$1:$1,0)-1,300)="","",OFFSET(Sheet3!$A$1,0,MATCH(W$1,Sheet3!$1:$1,0)-1,300))</f>
        <v/>
      </c>
      <c r="AB8" s="5" t="str">
        <f ca="1">IF(OFFSET(Sheet3!$A$1,0,MATCH(X$1,Sheet3!$1:$1,0)-1,300)="","",OFFSET(Sheet3!$A$1,0,MATCH(X$1,Sheet3!$1:$1,0)-1,300))</f>
        <v/>
      </c>
      <c r="AC8" t="str">
        <f t="shared" ca="1" si="0"/>
        <v/>
      </c>
      <c r="AD8" t="str">
        <f t="shared" ca="1" si="1"/>
        <v/>
      </c>
    </row>
    <row r="9" spans="1:256" x14ac:dyDescent="0.25">
      <c r="H9" s="1" t="s">
        <v>10</v>
      </c>
      <c r="I9" s="1" t="s">
        <v>10</v>
      </c>
      <c r="J9" s="1" t="s">
        <v>10</v>
      </c>
      <c r="K9" s="1" t="s">
        <v>11</v>
      </c>
      <c r="L9" s="1" t="s">
        <v>11</v>
      </c>
      <c r="M9" s="1" t="s">
        <v>11</v>
      </c>
      <c r="N9" s="1" t="s">
        <v>11</v>
      </c>
      <c r="O9" s="1" t="s">
        <v>12</v>
      </c>
      <c r="P9" s="1" t="s">
        <v>12</v>
      </c>
      <c r="Q9" s="1" t="s">
        <v>12</v>
      </c>
      <c r="R9" s="1" t="s">
        <v>17</v>
      </c>
      <c r="S9" s="1" t="s">
        <v>86</v>
      </c>
      <c r="T9" s="1" t="s">
        <v>86</v>
      </c>
      <c r="Z9" s="4" t="str">
        <f ca="1">IF(OFFSET(Sheet3!$A$1,0,0,300)="","",OFFSET(Sheet3!$A$1,0,0,300))</f>
        <v/>
      </c>
      <c r="AA9" s="5" t="str">
        <f ca="1">IF(OFFSET(Sheet3!$A$1,0,MATCH(W$1,Sheet3!$1:$1,0)-1,300)="","",OFFSET(Sheet3!$A$1,0,MATCH(W$1,Sheet3!$1:$1,0)-1,300))</f>
        <v/>
      </c>
      <c r="AB9" s="5" t="str">
        <f ca="1">IF(OFFSET(Sheet3!$A$1,0,MATCH(X$1,Sheet3!$1:$1,0)-1,300)="","",OFFSET(Sheet3!$A$1,0,MATCH(X$1,Sheet3!$1:$1,0)-1,300))</f>
        <v/>
      </c>
      <c r="AC9" t="str">
        <f t="shared" ca="1" si="0"/>
        <v/>
      </c>
      <c r="AD9" t="str">
        <f t="shared" ca="1" si="1"/>
        <v/>
      </c>
    </row>
    <row r="10" spans="1:256" x14ac:dyDescent="0.25">
      <c r="H10" s="1" t="s">
        <v>13</v>
      </c>
      <c r="I10" s="1" t="s">
        <v>14</v>
      </c>
      <c r="J10" s="1" t="s">
        <v>15</v>
      </c>
      <c r="K10" s="1" t="s">
        <v>14</v>
      </c>
      <c r="L10" s="1" t="s">
        <v>15</v>
      </c>
      <c r="M10" s="1" t="s">
        <v>17</v>
      </c>
      <c r="N10" s="1" t="s">
        <v>16</v>
      </c>
      <c r="O10" s="1" t="s">
        <v>15</v>
      </c>
      <c r="P10" s="1" t="s">
        <v>16</v>
      </c>
      <c r="Q10" s="1" t="s">
        <v>18</v>
      </c>
      <c r="R10" s="1" t="s">
        <v>15</v>
      </c>
      <c r="S10" s="1" t="s">
        <v>15</v>
      </c>
      <c r="T10" s="1" t="s">
        <v>16</v>
      </c>
      <c r="Z10" s="4" t="str">
        <f ca="1">IF(OFFSET(Sheet3!$A$1,0,0,300)="","",OFFSET(Sheet3!$A$1,0,0,300))</f>
        <v/>
      </c>
      <c r="AA10" s="5" t="str">
        <f ca="1">IF(OFFSET(Sheet3!$A$1,0,MATCH(W$1,Sheet3!$1:$1,0)-1,300)="","",OFFSET(Sheet3!$A$1,0,MATCH(W$1,Sheet3!$1:$1,0)-1,300))</f>
        <v/>
      </c>
      <c r="AB10" s="5" t="str">
        <f ca="1">IF(OFFSET(Sheet3!$A$1,0,MATCH(X$1,Sheet3!$1:$1,0)-1,300)="","",OFFSET(Sheet3!$A$1,0,MATCH(X$1,Sheet3!$1:$1,0)-1,300))</f>
        <v/>
      </c>
      <c r="AC10" t="str">
        <f t="shared" ca="1" si="0"/>
        <v/>
      </c>
      <c r="AD10" t="str">
        <f t="shared" ca="1" si="1"/>
        <v/>
      </c>
    </row>
    <row r="11" spans="1:256" x14ac:dyDescent="0.25">
      <c r="B11" s="1" t="s">
        <v>6</v>
      </c>
      <c r="C11" s="1" t="s">
        <v>7</v>
      </c>
      <c r="D11" s="1" t="s">
        <v>8</v>
      </c>
      <c r="E11" s="1" t="s">
        <v>9</v>
      </c>
      <c r="F11" s="1" t="s">
        <v>19</v>
      </c>
      <c r="G11" s="1" t="s">
        <v>20</v>
      </c>
      <c r="H11">
        <v>1</v>
      </c>
      <c r="I11">
        <v>2</v>
      </c>
      <c r="J11">
        <v>3</v>
      </c>
      <c r="K11">
        <v>4</v>
      </c>
      <c r="L11">
        <v>5</v>
      </c>
      <c r="M11">
        <v>6</v>
      </c>
      <c r="N11">
        <v>7</v>
      </c>
      <c r="O11">
        <v>8</v>
      </c>
      <c r="P11">
        <v>9</v>
      </c>
      <c r="Q11">
        <v>10</v>
      </c>
      <c r="R11">
        <v>11</v>
      </c>
      <c r="S11">
        <v>12</v>
      </c>
      <c r="T11">
        <v>13</v>
      </c>
      <c r="Z11" s="4" t="str">
        <f ca="1">IF(OFFSET(Sheet3!$A$1,0,0,300)="","",OFFSET(Sheet3!$A$1,0,0,300))</f>
        <v/>
      </c>
      <c r="AA11" s="5" t="str">
        <f ca="1">IF(OFFSET(Sheet3!$A$1,0,MATCH(W$1,Sheet3!$1:$1,0)-1,300)="","",OFFSET(Sheet3!$A$1,0,MATCH(W$1,Sheet3!$1:$1,0)-1,300))</f>
        <v/>
      </c>
      <c r="AB11" s="5" t="str">
        <f ca="1">IF(OFFSET(Sheet3!$A$1,0,MATCH(X$1,Sheet3!$1:$1,0)-1,300)="","",OFFSET(Sheet3!$A$1,0,MATCH(X$1,Sheet3!$1:$1,0)-1,300))</f>
        <v/>
      </c>
      <c r="AC11" t="str">
        <f t="shared" ca="1" si="0"/>
        <v/>
      </c>
      <c r="AD11" t="str">
        <f t="shared" ca="1" si="1"/>
        <v/>
      </c>
    </row>
    <row r="12" spans="1:256" x14ac:dyDescent="0.25">
      <c r="A12" t="s">
        <v>130</v>
      </c>
      <c r="B12" t="s">
        <v>22</v>
      </c>
      <c r="C12" t="s">
        <v>23</v>
      </c>
      <c r="D12" t="s">
        <v>24</v>
      </c>
      <c r="E12" t="s">
        <v>25</v>
      </c>
      <c r="F12" t="s">
        <v>26</v>
      </c>
      <c r="G12" t="s">
        <v>27</v>
      </c>
      <c r="H12" t="str">
        <f t="shared" ref="H12:T12" si="2">H9&amp;" vs "&amp;H10</f>
        <v>03-05 vs 02-07</v>
      </c>
      <c r="I12" t="str">
        <f t="shared" si="2"/>
        <v>03-05 vs 02-10</v>
      </c>
      <c r="J12" t="str">
        <f t="shared" si="2"/>
        <v>03-05 vs 02-30</v>
      </c>
      <c r="K12" t="str">
        <f t="shared" si="2"/>
        <v>05-07 vs 02-10</v>
      </c>
      <c r="L12" t="str">
        <f t="shared" si="2"/>
        <v>05-07 vs 02-30</v>
      </c>
      <c r="M12" t="str">
        <f t="shared" si="2"/>
        <v>05-07 vs 03-10</v>
      </c>
      <c r="N12" t="str">
        <f t="shared" si="2"/>
        <v>05-07 vs 03-30</v>
      </c>
      <c r="O12" t="str">
        <f t="shared" si="2"/>
        <v>07-10 vs 02-30</v>
      </c>
      <c r="P12" t="str">
        <f t="shared" si="2"/>
        <v>07-10 vs 03-30</v>
      </c>
      <c r="Q12" t="str">
        <f t="shared" si="2"/>
        <v>07-10 vs 05-30</v>
      </c>
      <c r="R12" t="str">
        <f t="shared" si="2"/>
        <v>03-10 vs 02-30</v>
      </c>
      <c r="S12" t="str">
        <f t="shared" si="2"/>
        <v>05-10 vs 02-30</v>
      </c>
      <c r="T12" t="str">
        <f t="shared" si="2"/>
        <v>05-10 vs 03-30</v>
      </c>
      <c r="U12" s="49"/>
      <c r="W12" s="5" t="str">
        <f ca="1">"TRSY: "&amp;OFFSET($H$12,0,MATCH(select,$H$12:$T$12,0)-1,300,1)</f>
        <v>TRSY: 05-07 vs 03-10</v>
      </c>
      <c r="Z12" s="4" t="str">
        <f ca="1">IF(OFFSET(Sheet3!$A$1,0,0,300)="","",OFFSET(Sheet3!$A$1,0,0,300))</f>
        <v/>
      </c>
      <c r="AA12" s="5" t="str">
        <f ca="1">IF(OFFSET(Sheet3!$A$1,0,MATCH(W$1,Sheet3!$1:$1,0)-1,300)="","",OFFSET(Sheet3!$A$1,0,MATCH(W$1,Sheet3!$1:$1,0)-1,300))</f>
        <v/>
      </c>
      <c r="AB12" s="5" t="str">
        <f ca="1">IF(OFFSET(Sheet3!$A$1,0,MATCH(X$1,Sheet3!$1:$1,0)-1,300)="","",OFFSET(Sheet3!$A$1,0,MATCH(X$1,Sheet3!$1:$1,0)-1,300))</f>
        <v/>
      </c>
      <c r="AC12" t="str">
        <f t="shared" ca="1" si="0"/>
        <v/>
      </c>
      <c r="AD12" t="str">
        <f t="shared" ca="1" si="1"/>
        <v/>
      </c>
    </row>
    <row r="13" spans="1:256" x14ac:dyDescent="0.25">
      <c r="A13" s="4" t="str">
        <f>_xll.BDH(B$12&amp;" govt","YLD_CNV_MID","ed-2ay","","Sort=D","cols=2;rows=522")</f>
        <v>#N/A Requesting Data...</v>
      </c>
      <c r="B13">
        <v>0.50600000000000001</v>
      </c>
      <c r="C13" s="5" t="str">
        <f>_xll.BDH(C$12&amp;" govt","YLD_CNV_MID","ed-2ay","","Dts=H","Sort=D","cols=1;rows=522")</f>
        <v>#N/A Requesting Data...</v>
      </c>
      <c r="D13" s="5" t="str">
        <f>_xll.BDH(D$12&amp;" govt","YLD_CNV_MID","ed-2ay","","Dts=H","Sort=D","cols=1;rows=522")</f>
        <v>#N/A Requesting Data...</v>
      </c>
      <c r="E13" s="5" t="str">
        <f>_xll.BDH(E$12&amp;" govt","YLD_CNV_MID","ed-2ay","","Dts=H","Sort=D","cols=1;rows=522")</f>
        <v>#N/A Requesting Data...</v>
      </c>
      <c r="F13" s="5" t="str">
        <f>_xll.BDH(F$12&amp;" govt","YLD_CNV_MID","ed-2ay","","Dts=H","Sort=D","cols=1;rows=522")</f>
        <v>#N/A Requesting Data...</v>
      </c>
      <c r="G13" s="5" t="str">
        <f>_xll.BDH(G$12&amp;" govt","YLD_CNV_MID","ed-2ay","","Dts=H","Sort=D","cols=1;rows=522")</f>
        <v>#N/A Requesting Data...</v>
      </c>
      <c r="H13" t="str">
        <f ca="1">IF(ISERROR(ABS(OFFSET($A$11,ROW()-11,MATCH(LEFT(H$9,2),$A$11:$G$11,0)-1)-OFFSET($A$11,ROW()-11,MATCH(RIGHT(H$9,2),$A$11:$G$11,0)-1))/ABS(OFFSET($A$11,ROW()-11,MATCH(LEFT(H$10,2),$A$11:$G$11,0)-1)-OFFSET($A$11,ROW()-11,MATCH(RIGHT(H$10,2),$A$11:$G$11,0)-1))),"",ABS(OFFSET($A$11,ROW()-11,MATCH(LEFT(H$9,2),$A$11:$G$11,0)-1)-OFFSET($A$11,ROW()-11,MATCH(RIGHT(H$9,2),$A$11:$G$11,0)-1))/ABS(OFFSET($A$11,ROW()-11,MATCH(LEFT(H$10,2),$A$11:$G$11,0)-1)-OFFSET($A$11,ROW()-11,MATCH(RIGHT(H$10,2),$A$11:$G$11,0)-1)))</f>
        <v/>
      </c>
      <c r="I13" t="str">
        <f t="shared" ref="H13:T28" ca="1" si="3">IF(ISERROR(ABS(OFFSET($A$11,ROW()-11,MATCH(LEFT(I$9,2),$A$11:$G$11,0)-1)-OFFSET($A$11,ROW()-11,MATCH(RIGHT(I$9,2),$A$11:$G$11,0)-1))/ABS(OFFSET($A$11,ROW()-11,MATCH(LEFT(I$10,2),$A$11:$G$11,0)-1)-OFFSET($A$11,ROW()-11,MATCH(RIGHT(I$10,2),$A$11:$G$11,0)-1))),"",ABS(OFFSET($A$11,ROW()-11,MATCH(LEFT(I$9,2),$A$11:$G$11,0)-1)-OFFSET($A$11,ROW()-11,MATCH(RIGHT(I$9,2),$A$11:$G$11,0)-1))/ABS(OFFSET($A$11,ROW()-11,MATCH(LEFT(I$10,2),$A$11:$G$11,0)-1)-OFFSET($A$11,ROW()-11,MATCH(RIGHT(I$10,2),$A$11:$G$11,0)-1)))</f>
        <v/>
      </c>
      <c r="J13" t="str">
        <f t="shared" ca="1" si="3"/>
        <v/>
      </c>
      <c r="K13" t="str">
        <f t="shared" ca="1" si="3"/>
        <v/>
      </c>
      <c r="L13" t="str">
        <f t="shared" ca="1" si="3"/>
        <v/>
      </c>
      <c r="M13" t="str">
        <f t="shared" ca="1" si="3"/>
        <v/>
      </c>
      <c r="N13" t="str">
        <f t="shared" ca="1" si="3"/>
        <v/>
      </c>
      <c r="O13" t="str">
        <f t="shared" ca="1" si="3"/>
        <v/>
      </c>
      <c r="P13" t="str">
        <f t="shared" ca="1" si="3"/>
        <v/>
      </c>
      <c r="Q13" t="str">
        <f t="shared" ca="1" si="3"/>
        <v/>
      </c>
      <c r="R13" t="str">
        <f t="shared" ca="1" si="3"/>
        <v/>
      </c>
      <c r="S13" t="str">
        <f ca="1">IF(ISERROR(ABS(OFFSET($A$11,ROW()-11,MATCH(LEFT(S$9,2),$A$11:$G$11,0)-1)-OFFSET($A$11,ROW()-11,MATCH(RIGHT(S$9,2),$A$11:$G$11,0)-1))/ABS(OFFSET($A$11,ROW()-11,MATCH(LEFT(S$10,2),$A$11:$G$11,0)-1)-OFFSET($A$11,ROW()-11,MATCH(RIGHT(S$10,2),$A$11:$G$11,0)-1))),"",ABS(OFFSET($A$11,ROW()-11,MATCH(LEFT(S$9,2),$A$11:$G$11,0)-1)-OFFSET($A$11,ROW()-11,MATCH(RIGHT(S$9,2),$A$11:$G$11,0)-1))/ABS(OFFSET($A$11,ROW()-11,MATCH(LEFT(S$10,2),$A$11:$G$11,0)-1)-OFFSET($A$11,ROW()-11,MATCH(RIGHT(S$10,2),$A$11:$G$11,0)-1)))</f>
        <v/>
      </c>
      <c r="T13" t="str">
        <f t="shared" ca="1" si="3"/>
        <v/>
      </c>
      <c r="U13" s="5"/>
      <c r="V13" s="4" t="str">
        <f>IF(A13&lt;&gt;"",A13,"")</f>
        <v>#N/A Requesting Data...</v>
      </c>
      <c r="W13" s="5" t="str">
        <f t="shared" ref="W13:W75" ca="1" si="4">OFFSET($H$12,0,MATCH(select,$H$12:$T$12,0)-1,300,1)</f>
        <v/>
      </c>
      <c r="X13" s="4"/>
      <c r="Y13" s="4"/>
      <c r="Z13" s="4" t="str">
        <f ca="1">IF(OFFSET(Sheet3!$A$1,0,0,300)="","",OFFSET(Sheet3!$A$1,0,0,300))</f>
        <v/>
      </c>
      <c r="AA13" s="5" t="str">
        <f ca="1">IF(OFFSET(Sheet3!$A$1,0,MATCH(W$1,Sheet3!$1:$1,0)-1,300)="","",OFFSET(Sheet3!$A$1,0,MATCH(W$1,Sheet3!$1:$1,0)-1,300))</f>
        <v/>
      </c>
      <c r="AB13" s="5" t="str">
        <f ca="1">IF(OFFSET(Sheet3!$A$1,0,MATCH(X$1,Sheet3!$1:$1,0)-1,300)="","",OFFSET(Sheet3!$A$1,0,MATCH(X$1,Sheet3!$1:$1,0)-1,300))</f>
        <v/>
      </c>
      <c r="AC13" t="str">
        <f t="shared" ca="1" si="0"/>
        <v/>
      </c>
      <c r="AD13" t="str">
        <f t="shared" ca="1" si="1"/>
        <v/>
      </c>
      <c r="AE13" s="4"/>
      <c r="AF13" s="4"/>
      <c r="AG13" s="4"/>
      <c r="AH13" s="4"/>
      <c r="AI13" s="4"/>
      <c r="AJ13" s="4"/>
      <c r="AK13" s="4"/>
      <c r="AL13" s="4"/>
      <c r="AM13" s="4"/>
      <c r="AN13" s="4"/>
      <c r="AO13" s="4"/>
      <c r="AP13" s="4"/>
      <c r="AQ13" s="4"/>
      <c r="AR13" s="4"/>
      <c r="AS13" s="4"/>
      <c r="AT13" s="4"/>
      <c r="AU13" s="4"/>
      <c r="AV13" s="4"/>
      <c r="AW13" s="4"/>
      <c r="AX13" s="4"/>
      <c r="AY13" s="4"/>
      <c r="AZ13" s="4"/>
      <c r="BA13" s="4"/>
      <c r="BB13" s="4"/>
      <c r="BC13" s="4"/>
      <c r="BD13" s="4"/>
      <c r="BE13" s="4"/>
      <c r="BF13" s="4"/>
      <c r="BG13" s="4"/>
      <c r="BH13" s="4"/>
      <c r="BI13" s="4"/>
      <c r="BJ13" s="4"/>
      <c r="BK13" s="4"/>
      <c r="BL13" s="4"/>
      <c r="BM13" s="4"/>
      <c r="BN13" s="4"/>
      <c r="BO13" s="4"/>
      <c r="BP13" s="4"/>
      <c r="BQ13" s="4"/>
      <c r="BR13" s="4"/>
      <c r="BS13" s="4"/>
      <c r="BT13" s="4"/>
      <c r="BU13" s="4"/>
      <c r="BV13" s="4"/>
      <c r="BW13" s="4"/>
      <c r="BX13" s="4"/>
      <c r="BY13" s="4"/>
      <c r="BZ13" s="4"/>
      <c r="CA13" s="4"/>
      <c r="CB13" s="4"/>
      <c r="CC13" s="4"/>
      <c r="CD13" s="4"/>
      <c r="CE13" s="4"/>
      <c r="CF13" s="4"/>
      <c r="CG13" s="4"/>
      <c r="CH13" s="4"/>
      <c r="CI13" s="4"/>
      <c r="CJ13" s="4"/>
      <c r="CK13" s="4"/>
      <c r="CL13" s="4"/>
      <c r="CM13" s="4"/>
      <c r="CN13" s="4"/>
      <c r="CO13" s="4"/>
      <c r="CP13" s="4"/>
      <c r="CQ13" s="4"/>
      <c r="CR13" s="4"/>
      <c r="CS13" s="4"/>
      <c r="CT13" s="4"/>
      <c r="CU13" s="4"/>
      <c r="CV13" s="4"/>
      <c r="CW13" s="4"/>
      <c r="CX13" s="4"/>
      <c r="CY13" s="4"/>
      <c r="CZ13" s="4"/>
      <c r="DA13" s="4"/>
      <c r="DB13" s="4"/>
      <c r="DC13" s="4"/>
      <c r="DD13" s="4"/>
      <c r="DE13" s="4"/>
      <c r="DF13" s="4"/>
      <c r="DG13" s="4"/>
      <c r="DH13" s="4"/>
      <c r="DI13" s="4"/>
      <c r="DJ13" s="4"/>
      <c r="DK13" s="4"/>
      <c r="DL13" s="4"/>
      <c r="DM13" s="4"/>
      <c r="DN13" s="4"/>
      <c r="DO13" s="4"/>
      <c r="DP13" s="4"/>
      <c r="DQ13" s="4"/>
      <c r="DR13" s="4"/>
      <c r="DS13" s="4"/>
      <c r="DT13" s="4"/>
      <c r="DU13" s="4"/>
      <c r="DV13" s="4"/>
      <c r="DW13" s="4"/>
      <c r="DX13" s="4"/>
      <c r="DY13" s="4"/>
      <c r="DZ13" s="4"/>
      <c r="EA13" s="4"/>
      <c r="EB13" s="4"/>
      <c r="EC13" s="4"/>
      <c r="ED13" s="4"/>
      <c r="EE13" s="4"/>
      <c r="EF13" s="4"/>
      <c r="EG13" s="4"/>
      <c r="EH13" s="4"/>
      <c r="EI13" s="4"/>
      <c r="EJ13" s="4"/>
      <c r="EK13" s="4"/>
      <c r="EL13" s="4"/>
      <c r="EM13" s="4"/>
      <c r="EN13" s="4"/>
      <c r="EO13" s="4"/>
      <c r="EP13" s="4"/>
      <c r="EQ13" s="4"/>
      <c r="ER13" s="4"/>
      <c r="ES13" s="4"/>
      <c r="ET13" s="4"/>
      <c r="EU13" s="4"/>
      <c r="EV13" s="4"/>
      <c r="EW13" s="4"/>
      <c r="EX13" s="4"/>
      <c r="EY13" s="4"/>
      <c r="EZ13" s="4"/>
      <c r="FA13" s="4"/>
      <c r="FB13" s="4"/>
      <c r="FC13" s="4"/>
      <c r="FD13" s="4"/>
      <c r="FE13" s="4"/>
      <c r="FF13" s="4"/>
      <c r="FG13" s="4"/>
      <c r="FH13" s="4"/>
      <c r="FI13" s="4"/>
      <c r="FJ13" s="4"/>
      <c r="FK13" s="4"/>
      <c r="FL13" s="4"/>
      <c r="FM13" s="4"/>
      <c r="FN13" s="4"/>
      <c r="FO13" s="4"/>
      <c r="FP13" s="4"/>
      <c r="FQ13" s="4"/>
      <c r="FR13" s="4"/>
      <c r="FS13" s="4"/>
      <c r="FT13" s="4"/>
      <c r="FU13" s="4"/>
      <c r="FV13" s="4"/>
      <c r="FW13" s="4"/>
      <c r="FX13" s="4"/>
      <c r="FY13" s="4"/>
      <c r="FZ13" s="4"/>
      <c r="GA13" s="4"/>
      <c r="GB13" s="4"/>
      <c r="GC13" s="4"/>
      <c r="GD13" s="4"/>
      <c r="GE13" s="4"/>
      <c r="GF13" s="4"/>
      <c r="GG13" s="4"/>
      <c r="GH13" s="4"/>
      <c r="GI13" s="4"/>
      <c r="GJ13" s="4"/>
      <c r="GK13" s="4"/>
      <c r="GL13" s="4"/>
      <c r="GM13" s="4"/>
      <c r="GN13" s="4"/>
      <c r="GO13" s="4"/>
      <c r="GP13" s="4"/>
      <c r="GQ13" s="4"/>
      <c r="GR13" s="4"/>
      <c r="GS13" s="4"/>
      <c r="GT13" s="4"/>
      <c r="GU13" s="4"/>
      <c r="GV13" s="4"/>
      <c r="GW13" s="4"/>
      <c r="GX13" s="4"/>
      <c r="GY13" s="4"/>
      <c r="GZ13" s="4"/>
      <c r="HA13" s="4"/>
      <c r="HB13" s="4"/>
      <c r="HC13" s="4"/>
      <c r="HD13" s="4"/>
      <c r="HE13" s="4"/>
      <c r="HF13" s="4"/>
      <c r="HG13" s="4"/>
      <c r="HH13" s="4"/>
      <c r="HI13" s="4"/>
      <c r="HJ13" s="4"/>
      <c r="HK13" s="4"/>
      <c r="HL13" s="4"/>
      <c r="HM13" s="4"/>
      <c r="HN13" s="4"/>
      <c r="HO13" s="4"/>
      <c r="HP13" s="4"/>
      <c r="HQ13" s="4"/>
      <c r="HR13" s="4"/>
      <c r="HS13" s="4"/>
      <c r="HT13" s="4"/>
      <c r="HU13" s="4"/>
      <c r="HV13" s="4"/>
      <c r="HW13" s="4"/>
      <c r="HX13" s="4"/>
      <c r="HY13" s="4"/>
      <c r="HZ13" s="4"/>
      <c r="IA13" s="4"/>
      <c r="IB13" s="4"/>
      <c r="IC13" s="4"/>
      <c r="ID13" s="4"/>
      <c r="IE13" s="4"/>
      <c r="IF13" s="4"/>
      <c r="IG13" s="4"/>
      <c r="IH13" s="4"/>
      <c r="II13" s="4"/>
      <c r="IJ13" s="4"/>
      <c r="IK13" s="4"/>
      <c r="IL13" s="4"/>
      <c r="IM13" s="4"/>
      <c r="IN13" s="4"/>
      <c r="IO13" s="4"/>
      <c r="IP13" s="4"/>
      <c r="IQ13" s="4"/>
      <c r="IR13" s="4"/>
      <c r="IS13" s="4"/>
      <c r="IT13" s="4"/>
      <c r="IU13" s="4"/>
      <c r="IV13" s="4"/>
    </row>
    <row r="14" spans="1:256" x14ac:dyDescent="0.25">
      <c r="A14" s="4">
        <v>42107</v>
      </c>
      <c r="B14">
        <v>0.53</v>
      </c>
      <c r="C14" s="5">
        <v>0.88400000000000001</v>
      </c>
      <c r="D14">
        <v>1.3679999999999999</v>
      </c>
      <c r="E14">
        <v>1.6989999999999998</v>
      </c>
      <c r="F14">
        <v>1.9279999999999999</v>
      </c>
      <c r="G14">
        <v>2.5739999999999998</v>
      </c>
      <c r="H14">
        <f t="shared" ca="1" si="3"/>
        <v>0.41402908468776728</v>
      </c>
      <c r="I14">
        <f t="shared" ca="1" si="3"/>
        <v>0.34620886981401994</v>
      </c>
      <c r="J14">
        <f t="shared" ca="1" si="3"/>
        <v>0.23679060665362034</v>
      </c>
      <c r="K14">
        <f t="shared" ca="1" si="3"/>
        <v>0.23676680972818312</v>
      </c>
      <c r="L14">
        <f t="shared" ca="1" si="3"/>
        <v>0.16193737769080235</v>
      </c>
      <c r="M14">
        <f t="shared" ca="1" si="3"/>
        <v>0.31704980842911873</v>
      </c>
      <c r="N14">
        <f t="shared" ca="1" si="3"/>
        <v>0.19585798816568045</v>
      </c>
      <c r="O14">
        <f t="shared" ca="1" si="3"/>
        <v>0.11203522504892374</v>
      </c>
      <c r="P14">
        <f t="shared" ca="1" si="3"/>
        <v>0.1355029585798817</v>
      </c>
      <c r="Q14">
        <f t="shared" ca="1" si="3"/>
        <v>0.18988391376451086</v>
      </c>
      <c r="R14">
        <f t="shared" ca="1" si="3"/>
        <v>0.51076320939334652</v>
      </c>
      <c r="S14">
        <f t="shared" ca="1" si="3"/>
        <v>0.27397260273972612</v>
      </c>
      <c r="T14">
        <f t="shared" ca="1" si="3"/>
        <v>0.33136094674556216</v>
      </c>
      <c r="U14" s="5"/>
      <c r="V14" s="4">
        <f t="shared" ref="V14:V77" si="5">IF(A14&lt;&gt;"",A14,"")</f>
        <v>42107</v>
      </c>
      <c r="W14" s="5">
        <f t="shared" ca="1" si="4"/>
        <v>0.31704980842911873</v>
      </c>
      <c r="Z14" s="4" t="str">
        <f ca="1">IF(OFFSET(Sheet3!$A$1,0,0,300)="","",OFFSET(Sheet3!$A$1,0,0,300))</f>
        <v/>
      </c>
      <c r="AA14" s="5" t="str">
        <f ca="1">IF(OFFSET(Sheet3!$A$1,0,MATCH(W$1,Sheet3!$1:$1,0)-1,300)="","",OFFSET(Sheet3!$A$1,0,MATCH(W$1,Sheet3!$1:$1,0)-1,300))</f>
        <v/>
      </c>
      <c r="AB14" s="5" t="str">
        <f ca="1">IF(OFFSET(Sheet3!$A$1,0,MATCH(X$1,Sheet3!$1:$1,0)-1,300)="","",OFFSET(Sheet3!$A$1,0,MATCH(X$1,Sheet3!$1:$1,0)-1,300))</f>
        <v/>
      </c>
      <c r="AC14" t="str">
        <f t="shared" ca="1" si="0"/>
        <v/>
      </c>
      <c r="AD14" t="str">
        <f t="shared" ca="1" si="1"/>
        <v/>
      </c>
    </row>
    <row r="15" spans="1:256" x14ac:dyDescent="0.25">
      <c r="A15" s="4">
        <v>42104</v>
      </c>
      <c r="B15">
        <v>0.55800000000000005</v>
      </c>
      <c r="C15" s="5">
        <v>0.91300000000000003</v>
      </c>
      <c r="D15">
        <v>1.395</v>
      </c>
      <c r="E15">
        <v>1.7250000000000001</v>
      </c>
      <c r="F15">
        <v>1.948</v>
      </c>
      <c r="G15">
        <v>2.5789999999999997</v>
      </c>
      <c r="H15">
        <f t="shared" ca="1" si="3"/>
        <v>0.41302485004284489</v>
      </c>
      <c r="I15">
        <f t="shared" ca="1" si="3"/>
        <v>0.34676258992805759</v>
      </c>
      <c r="J15">
        <f t="shared" ca="1" si="3"/>
        <v>0.23849579416130628</v>
      </c>
      <c r="K15">
        <f t="shared" ca="1" si="3"/>
        <v>0.23741007194244612</v>
      </c>
      <c r="L15">
        <f t="shared" ca="1" si="3"/>
        <v>0.16328550222662053</v>
      </c>
      <c r="M15">
        <f t="shared" ca="1" si="3"/>
        <v>0.31884057971014501</v>
      </c>
      <c r="N15">
        <f t="shared" ca="1" si="3"/>
        <v>0.19807923169267716</v>
      </c>
      <c r="O15">
        <f t="shared" ca="1" si="3"/>
        <v>0.11034141514101924</v>
      </c>
      <c r="P15">
        <f t="shared" ca="1" si="3"/>
        <v>0.13385354141656658</v>
      </c>
      <c r="Q15">
        <f t="shared" ca="1" si="3"/>
        <v>0.18834459459459452</v>
      </c>
      <c r="R15">
        <f t="shared" ca="1" si="3"/>
        <v>0.51212271152894606</v>
      </c>
      <c r="S15">
        <f t="shared" ca="1" si="3"/>
        <v>0.27362691736763978</v>
      </c>
      <c r="T15">
        <f t="shared" ca="1" si="3"/>
        <v>0.33193277310924374</v>
      </c>
      <c r="U15" s="5"/>
      <c r="V15" s="4">
        <f t="shared" si="5"/>
        <v>42104</v>
      </c>
      <c r="W15" s="5">
        <f t="shared" ca="1" si="4"/>
        <v>0.31884057971014501</v>
      </c>
      <c r="Z15" s="4" t="str">
        <f ca="1">IF(OFFSET(Sheet3!$A$1,0,0,300)="","",OFFSET(Sheet3!$A$1,0,0,300))</f>
        <v/>
      </c>
      <c r="AA15" s="5" t="str">
        <f ca="1">IF(OFFSET(Sheet3!$A$1,0,MATCH(W$1,Sheet3!$1:$1,0)-1,300)="","",OFFSET(Sheet3!$A$1,0,MATCH(W$1,Sheet3!$1:$1,0)-1,300))</f>
        <v/>
      </c>
      <c r="AB15" s="5" t="str">
        <f ca="1">IF(OFFSET(Sheet3!$A$1,0,MATCH(X$1,Sheet3!$1:$1,0)-1,300)="","",OFFSET(Sheet3!$A$1,0,MATCH(X$1,Sheet3!$1:$1,0)-1,300))</f>
        <v/>
      </c>
      <c r="AC15" t="str">
        <f t="shared" ca="1" si="0"/>
        <v/>
      </c>
      <c r="AD15" t="str">
        <f t="shared" ca="1" si="1"/>
        <v/>
      </c>
    </row>
    <row r="16" spans="1:256" x14ac:dyDescent="0.25">
      <c r="A16" s="4">
        <v>42103</v>
      </c>
      <c r="B16">
        <v>0.55000000000000004</v>
      </c>
      <c r="C16" s="5">
        <v>0.90700000000000003</v>
      </c>
      <c r="D16">
        <v>1.399</v>
      </c>
      <c r="E16">
        <v>1.732</v>
      </c>
      <c r="F16">
        <v>1.96</v>
      </c>
      <c r="G16">
        <v>2.5990000000000002</v>
      </c>
      <c r="H16">
        <f t="shared" ca="1" si="3"/>
        <v>0.41624365482233505</v>
      </c>
      <c r="I16">
        <f t="shared" ca="1" si="3"/>
        <v>0.34893617021276596</v>
      </c>
      <c r="J16">
        <f t="shared" ca="1" si="3"/>
        <v>0.24011713030746701</v>
      </c>
      <c r="K16">
        <f t="shared" ca="1" si="3"/>
        <v>0.23617021276595743</v>
      </c>
      <c r="L16">
        <f t="shared" ca="1" si="3"/>
        <v>0.16251830161054168</v>
      </c>
      <c r="M16">
        <f t="shared" ca="1" si="3"/>
        <v>0.31623931623931623</v>
      </c>
      <c r="N16">
        <f t="shared" ca="1" si="3"/>
        <v>0.19680851063829782</v>
      </c>
      <c r="O16">
        <f t="shared" ca="1" si="3"/>
        <v>0.11127379209370422</v>
      </c>
      <c r="P16">
        <f t="shared" ca="1" si="3"/>
        <v>0.13475177304964536</v>
      </c>
      <c r="Q16">
        <f t="shared" ca="1" si="3"/>
        <v>0.18999999999999995</v>
      </c>
      <c r="R16">
        <f t="shared" ca="1" si="3"/>
        <v>0.51390922401171291</v>
      </c>
      <c r="S16">
        <f t="shared" ca="1" si="3"/>
        <v>0.2737920937042459</v>
      </c>
      <c r="T16">
        <f t="shared" ca="1" si="3"/>
        <v>0.33156028368794321</v>
      </c>
      <c r="U16" s="5"/>
      <c r="V16" s="4">
        <f t="shared" si="5"/>
        <v>42103</v>
      </c>
      <c r="W16" s="5">
        <f t="shared" ca="1" si="4"/>
        <v>0.31623931623931623</v>
      </c>
      <c r="Z16" s="4" t="str">
        <f ca="1">IF(OFFSET(Sheet3!$A$1,0,0,300)="","",OFFSET(Sheet3!$A$1,0,0,300))</f>
        <v/>
      </c>
      <c r="AA16" s="5" t="str">
        <f ca="1">IF(OFFSET(Sheet3!$A$1,0,MATCH(W$1,Sheet3!$1:$1,0)-1,300)="","",OFFSET(Sheet3!$A$1,0,MATCH(W$1,Sheet3!$1:$1,0)-1,300))</f>
        <v/>
      </c>
      <c r="AB16" s="5" t="str">
        <f ca="1">IF(OFFSET(Sheet3!$A$1,0,MATCH(X$1,Sheet3!$1:$1,0)-1,300)="","",OFFSET(Sheet3!$A$1,0,MATCH(X$1,Sheet3!$1:$1,0)-1,300))</f>
        <v/>
      </c>
      <c r="AC16" t="str">
        <f t="shared" ca="1" si="0"/>
        <v/>
      </c>
      <c r="AD16" t="str">
        <f t="shared" ca="1" si="1"/>
        <v/>
      </c>
    </row>
    <row r="17" spans="1:30" x14ac:dyDescent="0.25">
      <c r="A17" s="4">
        <v>42102</v>
      </c>
      <c r="B17">
        <v>0.53400000000000003</v>
      </c>
      <c r="C17" s="5">
        <v>0.876</v>
      </c>
      <c r="D17">
        <v>1.3479999999999999</v>
      </c>
      <c r="E17">
        <v>1.6800000000000002</v>
      </c>
      <c r="F17">
        <v>1.9060000000000001</v>
      </c>
      <c r="G17">
        <v>2.5300000000000002</v>
      </c>
      <c r="H17">
        <f t="shared" ca="1" si="3"/>
        <v>0.41186736474694574</v>
      </c>
      <c r="I17">
        <f t="shared" ca="1" si="3"/>
        <v>0.34402332361516025</v>
      </c>
      <c r="J17">
        <f t="shared" ca="1" si="3"/>
        <v>0.23647294589178347</v>
      </c>
      <c r="K17">
        <f t="shared" ca="1" si="3"/>
        <v>0.24198250728862994</v>
      </c>
      <c r="L17">
        <f t="shared" ca="1" si="3"/>
        <v>0.16633266533066146</v>
      </c>
      <c r="M17">
        <f t="shared" ca="1" si="3"/>
        <v>0.32233009708737886</v>
      </c>
      <c r="N17">
        <f t="shared" ca="1" si="3"/>
        <v>0.20072551390568333</v>
      </c>
      <c r="O17">
        <f t="shared" ca="1" si="3"/>
        <v>0.1132264529058116</v>
      </c>
      <c r="P17">
        <f t="shared" ca="1" si="3"/>
        <v>0.13663845223700116</v>
      </c>
      <c r="Q17">
        <f t="shared" ca="1" si="3"/>
        <v>0.19120135363790178</v>
      </c>
      <c r="R17">
        <f t="shared" ca="1" si="3"/>
        <v>0.51603206412825653</v>
      </c>
      <c r="S17">
        <f t="shared" ca="1" si="3"/>
        <v>0.27955911823647306</v>
      </c>
      <c r="T17">
        <f t="shared" ca="1" si="3"/>
        <v>0.33736396614268449</v>
      </c>
      <c r="U17" s="5"/>
      <c r="V17" s="4">
        <f t="shared" si="5"/>
        <v>42102</v>
      </c>
      <c r="W17" s="5">
        <f t="shared" ca="1" si="4"/>
        <v>0.32233009708737886</v>
      </c>
      <c r="Z17" s="4" t="str">
        <f ca="1">IF(OFFSET(Sheet3!$A$1,0,0,300)="","",OFFSET(Sheet3!$A$1,0,0,300))</f>
        <v/>
      </c>
      <c r="AA17" s="5" t="str">
        <f ca="1">IF(OFFSET(Sheet3!$A$1,0,MATCH(W$1,Sheet3!$1:$1,0)-1,300)="","",OFFSET(Sheet3!$A$1,0,MATCH(W$1,Sheet3!$1:$1,0)-1,300))</f>
        <v/>
      </c>
      <c r="AB17" s="5" t="str">
        <f ca="1">IF(OFFSET(Sheet3!$A$1,0,MATCH(X$1,Sheet3!$1:$1,0)-1,300)="","",OFFSET(Sheet3!$A$1,0,MATCH(X$1,Sheet3!$1:$1,0)-1,300))</f>
        <v/>
      </c>
      <c r="AC17" t="str">
        <f t="shared" ca="1" si="0"/>
        <v/>
      </c>
      <c r="AD17" t="str">
        <f t="shared" ca="1" si="1"/>
        <v/>
      </c>
    </row>
    <row r="18" spans="1:30" x14ac:dyDescent="0.25">
      <c r="A18" s="4">
        <v>42101</v>
      </c>
      <c r="B18">
        <v>0.51800000000000002</v>
      </c>
      <c r="C18" s="5">
        <v>0.82899999999999996</v>
      </c>
      <c r="D18">
        <v>1.3220000000000001</v>
      </c>
      <c r="E18">
        <v>1.661</v>
      </c>
      <c r="F18">
        <v>1.8860000000000001</v>
      </c>
      <c r="G18">
        <v>2.5190000000000001</v>
      </c>
      <c r="H18">
        <f t="shared" ca="1" si="3"/>
        <v>0.43132108486439202</v>
      </c>
      <c r="I18">
        <f t="shared" ca="1" si="3"/>
        <v>0.36038011695906436</v>
      </c>
      <c r="J18">
        <f t="shared" ca="1" si="3"/>
        <v>0.24637681159420291</v>
      </c>
      <c r="K18">
        <f t="shared" ca="1" si="3"/>
        <v>0.24780701754385961</v>
      </c>
      <c r="L18">
        <f t="shared" ca="1" si="3"/>
        <v>0.16941529235382305</v>
      </c>
      <c r="M18">
        <f t="shared" ca="1" si="3"/>
        <v>0.32071901608325443</v>
      </c>
      <c r="N18">
        <f t="shared" ca="1" si="3"/>
        <v>0.20059171597633133</v>
      </c>
      <c r="O18">
        <f t="shared" ca="1" si="3"/>
        <v>0.11244377811094455</v>
      </c>
      <c r="P18">
        <f t="shared" ca="1" si="3"/>
        <v>0.13313609467455625</v>
      </c>
      <c r="Q18">
        <f t="shared" ca="1" si="3"/>
        <v>0.18796992481203015</v>
      </c>
      <c r="R18">
        <f t="shared" ca="1" si="3"/>
        <v>0.52823588205897054</v>
      </c>
      <c r="S18">
        <f t="shared" ca="1" si="3"/>
        <v>0.2818590704647676</v>
      </c>
      <c r="T18">
        <f t="shared" ca="1" si="3"/>
        <v>0.33372781065088758</v>
      </c>
      <c r="U18" s="5"/>
      <c r="V18" s="4">
        <f t="shared" si="5"/>
        <v>42101</v>
      </c>
      <c r="W18" s="5">
        <f t="shared" ca="1" si="4"/>
        <v>0.32071901608325443</v>
      </c>
      <c r="Z18" s="4" t="str">
        <f ca="1">IF(OFFSET(Sheet3!$A$1,0,0,300)="","",OFFSET(Sheet3!$A$1,0,0,300))</f>
        <v/>
      </c>
      <c r="AA18" s="5" t="str">
        <f ca="1">IF(OFFSET(Sheet3!$A$1,0,MATCH(W$1,Sheet3!$1:$1,0)-1,300)="","",OFFSET(Sheet3!$A$1,0,MATCH(W$1,Sheet3!$1:$1,0)-1,300))</f>
        <v/>
      </c>
      <c r="AB18" s="5" t="str">
        <f ca="1">IF(OFFSET(Sheet3!$A$1,0,MATCH(X$1,Sheet3!$1:$1,0)-1,300)="","",OFFSET(Sheet3!$A$1,0,MATCH(X$1,Sheet3!$1:$1,0)-1,300))</f>
        <v/>
      </c>
      <c r="AC18" t="str">
        <f t="shared" ca="1" si="0"/>
        <v/>
      </c>
      <c r="AD18" t="str">
        <f t="shared" ca="1" si="1"/>
        <v/>
      </c>
    </row>
    <row r="19" spans="1:30" x14ac:dyDescent="0.25">
      <c r="A19" s="4">
        <v>42100</v>
      </c>
      <c r="B19">
        <v>0.497</v>
      </c>
      <c r="C19" s="5">
        <v>0.80700000000000005</v>
      </c>
      <c r="D19">
        <v>1.304</v>
      </c>
      <c r="E19">
        <v>1.651</v>
      </c>
      <c r="F19">
        <v>1.8959999999999999</v>
      </c>
      <c r="G19">
        <v>2.5540000000000003</v>
      </c>
      <c r="H19">
        <f t="shared" ca="1" si="3"/>
        <v>0.43067590987868287</v>
      </c>
      <c r="I19">
        <f t="shared" ca="1" si="3"/>
        <v>0.35525375268048603</v>
      </c>
      <c r="J19">
        <f t="shared" ca="1" si="3"/>
        <v>0.24161400097228969</v>
      </c>
      <c r="K19">
        <f t="shared" ca="1" si="3"/>
        <v>0.24803431022158684</v>
      </c>
      <c r="L19">
        <f t="shared" ca="1" si="3"/>
        <v>0.16869227029654832</v>
      </c>
      <c r="M19">
        <f t="shared" ca="1" si="3"/>
        <v>0.31864095500459133</v>
      </c>
      <c r="N19">
        <f t="shared" ca="1" si="3"/>
        <v>0.19862621637092154</v>
      </c>
      <c r="O19">
        <f t="shared" ca="1" si="3"/>
        <v>0.11910549343704416</v>
      </c>
      <c r="P19">
        <f t="shared" ca="1" si="3"/>
        <v>0.14024041213508864</v>
      </c>
      <c r="Q19">
        <f t="shared" ca="1" si="3"/>
        <v>0.19599999999999987</v>
      </c>
      <c r="R19">
        <f t="shared" ca="1" si="3"/>
        <v>0.52941176470588225</v>
      </c>
      <c r="S19">
        <f t="shared" ca="1" si="3"/>
        <v>0.2877977637335925</v>
      </c>
      <c r="T19">
        <f t="shared" ca="1" si="3"/>
        <v>0.33886662850601018</v>
      </c>
      <c r="U19" s="5"/>
      <c r="V19" s="4">
        <f t="shared" si="5"/>
        <v>42100</v>
      </c>
      <c r="W19" s="5">
        <f t="shared" ca="1" si="4"/>
        <v>0.31864095500459133</v>
      </c>
      <c r="Z19" s="4" t="str">
        <f ca="1">IF(OFFSET(Sheet3!$A$1,0,0,300)="","",OFFSET(Sheet3!$A$1,0,0,300))</f>
        <v/>
      </c>
      <c r="AA19" s="5" t="str">
        <f ca="1">IF(OFFSET(Sheet3!$A$1,0,MATCH(W$1,Sheet3!$1:$1,0)-1,300)="","",OFFSET(Sheet3!$A$1,0,MATCH(W$1,Sheet3!$1:$1,0)-1,300))</f>
        <v/>
      </c>
      <c r="AB19" s="5" t="str">
        <f ca="1">IF(OFFSET(Sheet3!$A$1,0,MATCH(X$1,Sheet3!$1:$1,0)-1,300)="","",OFFSET(Sheet3!$A$1,0,MATCH(X$1,Sheet3!$1:$1,0)-1,300))</f>
        <v/>
      </c>
      <c r="AC19" t="str">
        <f t="shared" ca="1" si="0"/>
        <v/>
      </c>
      <c r="AD19" t="str">
        <f t="shared" ca="1" si="1"/>
        <v/>
      </c>
    </row>
    <row r="20" spans="1:30" x14ac:dyDescent="0.25">
      <c r="A20" s="4">
        <v>42097</v>
      </c>
      <c r="B20">
        <v>0.47799999999999998</v>
      </c>
      <c r="C20" s="5">
        <v>0.78</v>
      </c>
      <c r="D20">
        <v>1.254</v>
      </c>
      <c r="E20">
        <v>1.597</v>
      </c>
      <c r="F20">
        <v>1.8399999999999999</v>
      </c>
      <c r="G20">
        <v>2.4870000000000001</v>
      </c>
      <c r="H20">
        <f t="shared" ca="1" si="3"/>
        <v>0.42359249329758714</v>
      </c>
      <c r="I20">
        <f t="shared" ca="1" si="3"/>
        <v>0.34801762114537449</v>
      </c>
      <c r="J20">
        <f t="shared" ca="1" si="3"/>
        <v>0.23593827775012438</v>
      </c>
      <c r="K20">
        <f t="shared" ca="1" si="3"/>
        <v>0.25183553597650515</v>
      </c>
      <c r="L20">
        <f t="shared" ca="1" si="3"/>
        <v>0.17073170731707313</v>
      </c>
      <c r="M20">
        <f t="shared" ca="1" si="3"/>
        <v>0.3235849056603774</v>
      </c>
      <c r="N20">
        <f t="shared" ca="1" si="3"/>
        <v>0.20093731693028702</v>
      </c>
      <c r="O20">
        <f t="shared" ca="1" si="3"/>
        <v>0.12095569935291181</v>
      </c>
      <c r="P20">
        <f t="shared" ca="1" si="3"/>
        <v>0.14235500878734614</v>
      </c>
      <c r="Q20">
        <f t="shared" ca="1" si="3"/>
        <v>0.19708029197080282</v>
      </c>
      <c r="R20">
        <f t="shared" ca="1" si="3"/>
        <v>0.52762568442010938</v>
      </c>
      <c r="S20">
        <f t="shared" ca="1" si="3"/>
        <v>0.29168740666998494</v>
      </c>
      <c r="T20">
        <f t="shared" ca="1" si="3"/>
        <v>0.34329232571763318</v>
      </c>
      <c r="U20" s="5"/>
      <c r="V20" s="4">
        <f t="shared" si="5"/>
        <v>42097</v>
      </c>
      <c r="W20" s="5">
        <f t="shared" ca="1" si="4"/>
        <v>0.3235849056603774</v>
      </c>
      <c r="Z20" s="4" t="str">
        <f ca="1">IF(OFFSET(Sheet3!$A$1,0,0,300)="","",OFFSET(Sheet3!$A$1,0,0,300))</f>
        <v/>
      </c>
      <c r="AA20" s="5" t="str">
        <f ca="1">IF(OFFSET(Sheet3!$A$1,0,MATCH(W$1,Sheet3!$1:$1,0)-1,300)="","",OFFSET(Sheet3!$A$1,0,MATCH(W$1,Sheet3!$1:$1,0)-1,300))</f>
        <v/>
      </c>
      <c r="AB20" s="5" t="str">
        <f ca="1">IF(OFFSET(Sheet3!$A$1,0,MATCH(X$1,Sheet3!$1:$1,0)-1,300)="","",OFFSET(Sheet3!$A$1,0,MATCH(X$1,Sheet3!$1:$1,0)-1,300))</f>
        <v/>
      </c>
      <c r="AC20" t="str">
        <f t="shared" ca="1" si="0"/>
        <v/>
      </c>
      <c r="AD20" t="str">
        <f t="shared" ca="1" si="1"/>
        <v/>
      </c>
    </row>
    <row r="21" spans="1:30" x14ac:dyDescent="0.25">
      <c r="A21" s="4">
        <v>42096</v>
      </c>
      <c r="B21">
        <v>0.54200000000000004</v>
      </c>
      <c r="C21" s="5">
        <v>0.85799999999999998</v>
      </c>
      <c r="D21">
        <v>1.351</v>
      </c>
      <c r="E21">
        <v>1.6890000000000001</v>
      </c>
      <c r="F21">
        <v>1.9119999999999999</v>
      </c>
      <c r="G21">
        <v>2.5329999999999999</v>
      </c>
      <c r="H21">
        <f t="shared" ca="1" si="3"/>
        <v>0.42981691368788144</v>
      </c>
      <c r="I21">
        <f t="shared" ca="1" si="3"/>
        <v>0.35985401459854016</v>
      </c>
      <c r="J21">
        <f t="shared" ca="1" si="3"/>
        <v>0.24761426418884983</v>
      </c>
      <c r="K21">
        <f t="shared" ca="1" si="3"/>
        <v>0.24671532846715336</v>
      </c>
      <c r="L21">
        <f t="shared" ca="1" si="3"/>
        <v>0.16976393771973888</v>
      </c>
      <c r="M21">
        <f t="shared" ca="1" si="3"/>
        <v>0.32068311195445931</v>
      </c>
      <c r="N21">
        <f t="shared" ca="1" si="3"/>
        <v>0.20179104477611948</v>
      </c>
      <c r="O21">
        <f t="shared" ca="1" si="3"/>
        <v>0.11200401808136609</v>
      </c>
      <c r="P21">
        <f t="shared" ca="1" si="3"/>
        <v>0.13313432835820888</v>
      </c>
      <c r="Q21">
        <f t="shared" ca="1" si="3"/>
        <v>0.18866328257191192</v>
      </c>
      <c r="R21">
        <f t="shared" ca="1" si="3"/>
        <v>0.52938221998995472</v>
      </c>
      <c r="S21">
        <f t="shared" ca="1" si="3"/>
        <v>0.28176795580110497</v>
      </c>
      <c r="T21">
        <f t="shared" ca="1" si="3"/>
        <v>0.33492537313432835</v>
      </c>
      <c r="U21" s="5"/>
      <c r="V21" s="4">
        <f t="shared" si="5"/>
        <v>42096</v>
      </c>
      <c r="W21" s="5">
        <f t="shared" ca="1" si="4"/>
        <v>0.32068311195445931</v>
      </c>
      <c r="Z21" s="4" t="str">
        <f ca="1">IF(OFFSET(Sheet3!$A$1,0,0,300)="","",OFFSET(Sheet3!$A$1,0,0,300))</f>
        <v/>
      </c>
      <c r="AA21" s="5" t="str">
        <f ca="1">IF(OFFSET(Sheet3!$A$1,0,MATCH(W$1,Sheet3!$1:$1,0)-1,300)="","",OFFSET(Sheet3!$A$1,0,MATCH(W$1,Sheet3!$1:$1,0)-1,300))</f>
        <v/>
      </c>
      <c r="AB21" s="5" t="str">
        <f ca="1">IF(OFFSET(Sheet3!$A$1,0,MATCH(X$1,Sheet3!$1:$1,0)-1,300)="","",OFFSET(Sheet3!$A$1,0,MATCH(X$1,Sheet3!$1:$1,0)-1,300))</f>
        <v/>
      </c>
      <c r="AC21" t="str">
        <f t="shared" ca="1" si="0"/>
        <v/>
      </c>
      <c r="AD21" t="str">
        <f t="shared" ca="1" si="1"/>
        <v/>
      </c>
    </row>
    <row r="22" spans="1:30" x14ac:dyDescent="0.25">
      <c r="A22" s="4">
        <v>42095</v>
      </c>
      <c r="B22">
        <v>0.53700000000000003</v>
      </c>
      <c r="C22" s="5">
        <v>0.85099999999999998</v>
      </c>
      <c r="D22">
        <v>1.319</v>
      </c>
      <c r="E22">
        <v>1.647</v>
      </c>
      <c r="F22">
        <v>1.8580000000000001</v>
      </c>
      <c r="G22">
        <v>2.4649999999999999</v>
      </c>
      <c r="H22">
        <f t="shared" ca="1" si="3"/>
        <v>0.42162162162162165</v>
      </c>
      <c r="I22">
        <f t="shared" ca="1" si="3"/>
        <v>0.35427706283118843</v>
      </c>
      <c r="J22">
        <f t="shared" ca="1" si="3"/>
        <v>0.24273858921161826</v>
      </c>
      <c r="K22">
        <f t="shared" ca="1" si="3"/>
        <v>0.24829674489023468</v>
      </c>
      <c r="L22">
        <f t="shared" ca="1" si="3"/>
        <v>0.17012448132780086</v>
      </c>
      <c r="M22">
        <f t="shared" ca="1" si="3"/>
        <v>0.32571996027805367</v>
      </c>
      <c r="N22">
        <f t="shared" ca="1" si="3"/>
        <v>0.20322180916976462</v>
      </c>
      <c r="O22">
        <f t="shared" ca="1" si="3"/>
        <v>0.10943983402489631</v>
      </c>
      <c r="P22">
        <f t="shared" ca="1" si="3"/>
        <v>0.13073110285006201</v>
      </c>
      <c r="Q22">
        <f t="shared" ca="1" si="3"/>
        <v>0.18411867364746953</v>
      </c>
      <c r="R22">
        <f t="shared" ca="1" si="3"/>
        <v>0.52230290456431538</v>
      </c>
      <c r="S22">
        <f t="shared" ca="1" si="3"/>
        <v>0.27956431535269716</v>
      </c>
      <c r="T22">
        <f t="shared" ca="1" si="3"/>
        <v>0.33395291201982663</v>
      </c>
      <c r="U22" s="5"/>
      <c r="V22" s="4">
        <f t="shared" si="5"/>
        <v>42095</v>
      </c>
      <c r="W22" s="5">
        <f t="shared" ca="1" si="4"/>
        <v>0.32571996027805367</v>
      </c>
      <c r="Z22" s="4" t="str">
        <f ca="1">IF(OFFSET(Sheet3!$A$1,0,0,300)="","",OFFSET(Sheet3!$A$1,0,0,300))</f>
        <v/>
      </c>
      <c r="AA22" s="5" t="str">
        <f ca="1">IF(OFFSET(Sheet3!$A$1,0,MATCH(W$1,Sheet3!$1:$1,0)-1,300)="","",OFFSET(Sheet3!$A$1,0,MATCH(W$1,Sheet3!$1:$1,0)-1,300))</f>
        <v/>
      </c>
      <c r="AB22" s="5" t="str">
        <f ca="1">IF(OFFSET(Sheet3!$A$1,0,MATCH(X$1,Sheet3!$1:$1,0)-1,300)="","",OFFSET(Sheet3!$A$1,0,MATCH(X$1,Sheet3!$1:$1,0)-1,300))</f>
        <v/>
      </c>
      <c r="AC22" t="str">
        <f t="shared" ca="1" si="0"/>
        <v/>
      </c>
      <c r="AD22" t="str">
        <f t="shared" ca="1" si="1"/>
        <v/>
      </c>
    </row>
    <row r="23" spans="1:30" x14ac:dyDescent="0.25">
      <c r="A23" s="4">
        <v>42094</v>
      </c>
      <c r="B23">
        <v>0.55700000000000005</v>
      </c>
      <c r="C23" s="5">
        <v>0.88</v>
      </c>
      <c r="D23">
        <v>1.371</v>
      </c>
      <c r="E23">
        <v>1.708</v>
      </c>
      <c r="F23">
        <v>1.9239999999999999</v>
      </c>
      <c r="G23">
        <v>2.5369999999999999</v>
      </c>
      <c r="H23">
        <f t="shared" ca="1" si="3"/>
        <v>0.42658557775847095</v>
      </c>
      <c r="I23">
        <f t="shared" ca="1" si="3"/>
        <v>0.35918068763716166</v>
      </c>
      <c r="J23">
        <f t="shared" ca="1" si="3"/>
        <v>0.24797979797979797</v>
      </c>
      <c r="K23">
        <f t="shared" ca="1" si="3"/>
        <v>0.24652523774689097</v>
      </c>
      <c r="L23">
        <f t="shared" ca="1" si="3"/>
        <v>0.17020202020202019</v>
      </c>
      <c r="M23">
        <f t="shared" ca="1" si="3"/>
        <v>0.32279693486590033</v>
      </c>
      <c r="N23">
        <f t="shared" ca="1" si="3"/>
        <v>0.20337960168980082</v>
      </c>
      <c r="O23">
        <f t="shared" ca="1" si="3"/>
        <v>0.10909090909090907</v>
      </c>
      <c r="P23">
        <f t="shared" ca="1" si="3"/>
        <v>0.13035606517803258</v>
      </c>
      <c r="Q23">
        <f t="shared" ca="1" si="3"/>
        <v>0.18524871355060032</v>
      </c>
      <c r="R23">
        <f t="shared" ca="1" si="3"/>
        <v>0.52727272727272734</v>
      </c>
      <c r="S23">
        <f t="shared" ca="1" si="3"/>
        <v>0.27929292929292926</v>
      </c>
      <c r="T23">
        <f t="shared" ca="1" si="3"/>
        <v>0.3337356668678334</v>
      </c>
      <c r="U23" s="5"/>
      <c r="V23" s="4">
        <f t="shared" si="5"/>
        <v>42094</v>
      </c>
      <c r="W23" s="5">
        <f t="shared" ca="1" si="4"/>
        <v>0.32279693486590033</v>
      </c>
      <c r="Z23" s="4" t="str">
        <f ca="1">IF(OFFSET(Sheet3!$A$1,0,0,300)="","",OFFSET(Sheet3!$A$1,0,0,300))</f>
        <v/>
      </c>
      <c r="AA23" s="5" t="str">
        <f ca="1">IF(OFFSET(Sheet3!$A$1,0,MATCH(W$1,Sheet3!$1:$1,0)-1,300)="","",OFFSET(Sheet3!$A$1,0,MATCH(W$1,Sheet3!$1:$1,0)-1,300))</f>
        <v/>
      </c>
      <c r="AB23" s="5" t="str">
        <f ca="1">IF(OFFSET(Sheet3!$A$1,0,MATCH(X$1,Sheet3!$1:$1,0)-1,300)="","",OFFSET(Sheet3!$A$1,0,MATCH(X$1,Sheet3!$1:$1,0)-1,300))</f>
        <v/>
      </c>
      <c r="AC23" t="str">
        <f t="shared" ca="1" si="0"/>
        <v/>
      </c>
      <c r="AD23" t="str">
        <f t="shared" ca="1" si="1"/>
        <v/>
      </c>
    </row>
    <row r="24" spans="1:30" x14ac:dyDescent="0.25">
      <c r="A24" s="4">
        <v>42093</v>
      </c>
      <c r="B24">
        <v>0.58099999999999996</v>
      </c>
      <c r="C24" s="5">
        <v>0.90700000000000003</v>
      </c>
      <c r="D24">
        <v>1.403</v>
      </c>
      <c r="E24">
        <v>1.7389999999999999</v>
      </c>
      <c r="F24">
        <v>1.948</v>
      </c>
      <c r="G24">
        <v>2.548</v>
      </c>
      <c r="H24">
        <f t="shared" ca="1" si="3"/>
        <v>0.42832469775474957</v>
      </c>
      <c r="I24">
        <f t="shared" ca="1" si="3"/>
        <v>0.36283833211411853</v>
      </c>
      <c r="J24">
        <f t="shared" ca="1" si="3"/>
        <v>0.25216065073716321</v>
      </c>
      <c r="K24">
        <f t="shared" ca="1" si="3"/>
        <v>0.24579370885149954</v>
      </c>
      <c r="L24">
        <f t="shared" ca="1" si="3"/>
        <v>0.17081850533807821</v>
      </c>
      <c r="M24">
        <f t="shared" ca="1" si="3"/>
        <v>0.32276657060518721</v>
      </c>
      <c r="N24">
        <f t="shared" ca="1" si="3"/>
        <v>0.20475319926873847</v>
      </c>
      <c r="O24">
        <f t="shared" ca="1" si="3"/>
        <v>0.10625317742755469</v>
      </c>
      <c r="P24">
        <f t="shared" ca="1" si="3"/>
        <v>0.1273613650213285</v>
      </c>
      <c r="Q24">
        <f t="shared" ca="1" si="3"/>
        <v>0.18253275109170311</v>
      </c>
      <c r="R24">
        <f t="shared" ca="1" si="3"/>
        <v>0.52923233350279608</v>
      </c>
      <c r="S24">
        <f t="shared" ca="1" si="3"/>
        <v>0.27707168276563288</v>
      </c>
      <c r="T24">
        <f t="shared" ca="1" si="3"/>
        <v>0.33211456429006697</v>
      </c>
      <c r="U24" s="5"/>
      <c r="V24" s="4">
        <f t="shared" si="5"/>
        <v>42093</v>
      </c>
      <c r="W24" s="5">
        <f t="shared" ca="1" si="4"/>
        <v>0.32276657060518721</v>
      </c>
      <c r="Z24" s="4" t="str">
        <f ca="1">IF(OFFSET(Sheet3!$A$1,0,0,300)="","",OFFSET(Sheet3!$A$1,0,0,300))</f>
        <v/>
      </c>
      <c r="AA24" s="5" t="str">
        <f ca="1">IF(OFFSET(Sheet3!$A$1,0,MATCH(W$1,Sheet3!$1:$1,0)-1,300)="","",OFFSET(Sheet3!$A$1,0,MATCH(W$1,Sheet3!$1:$1,0)-1,300))</f>
        <v/>
      </c>
      <c r="AB24" s="5" t="str">
        <f ca="1">IF(OFFSET(Sheet3!$A$1,0,MATCH(X$1,Sheet3!$1:$1,0)-1,300)="","",OFFSET(Sheet3!$A$1,0,MATCH(X$1,Sheet3!$1:$1,0)-1,300))</f>
        <v/>
      </c>
      <c r="AC24" t="str">
        <f t="shared" ca="1" si="0"/>
        <v/>
      </c>
      <c r="AD24" t="str">
        <f t="shared" ca="1" si="1"/>
        <v/>
      </c>
    </row>
    <row r="25" spans="1:30" x14ac:dyDescent="0.25">
      <c r="A25" s="4">
        <v>42090</v>
      </c>
      <c r="B25">
        <v>0.59599999999999997</v>
      </c>
      <c r="C25" s="5">
        <v>0.93200000000000005</v>
      </c>
      <c r="D25">
        <v>1.4359999999999999</v>
      </c>
      <c r="E25">
        <v>1.7629999999999999</v>
      </c>
      <c r="F25">
        <v>1.962</v>
      </c>
      <c r="G25">
        <v>2.5409999999999999</v>
      </c>
      <c r="H25">
        <f t="shared" ca="1" si="3"/>
        <v>0.43187660668380462</v>
      </c>
      <c r="I25">
        <f t="shared" ca="1" si="3"/>
        <v>0.36896046852122977</v>
      </c>
      <c r="J25">
        <f t="shared" ca="1" si="3"/>
        <v>0.25912596401028276</v>
      </c>
      <c r="K25">
        <f t="shared" ca="1" si="3"/>
        <v>0.23938506588579789</v>
      </c>
      <c r="L25">
        <f t="shared" ca="1" si="3"/>
        <v>0.16812339331619536</v>
      </c>
      <c r="M25">
        <f t="shared" ca="1" si="3"/>
        <v>0.31747572815533981</v>
      </c>
      <c r="N25">
        <f t="shared" ca="1" si="3"/>
        <v>0.20323182100683651</v>
      </c>
      <c r="O25">
        <f t="shared" ca="1" si="3"/>
        <v>0.10231362467866328</v>
      </c>
      <c r="P25">
        <f t="shared" ca="1" si="3"/>
        <v>0.12367930391547549</v>
      </c>
      <c r="Q25">
        <f t="shared" ca="1" si="3"/>
        <v>0.18009049773755662</v>
      </c>
      <c r="R25">
        <f t="shared" ca="1" si="3"/>
        <v>0.52956298200514129</v>
      </c>
      <c r="S25">
        <f t="shared" ca="1" si="3"/>
        <v>0.27043701799485864</v>
      </c>
      <c r="T25">
        <f t="shared" ca="1" si="3"/>
        <v>0.326911124922312</v>
      </c>
      <c r="U25" s="5"/>
      <c r="V25" s="4">
        <f t="shared" si="5"/>
        <v>42090</v>
      </c>
      <c r="W25" s="5">
        <f t="shared" ca="1" si="4"/>
        <v>0.31747572815533981</v>
      </c>
      <c r="Z25" s="4" t="str">
        <f ca="1">IF(OFFSET(Sheet3!$A$1,0,0,300)="","",OFFSET(Sheet3!$A$1,0,0,300))</f>
        <v/>
      </c>
      <c r="AA25" s="5" t="str">
        <f ca="1">IF(OFFSET(Sheet3!$A$1,0,MATCH(W$1,Sheet3!$1:$1,0)-1,300)="","",OFFSET(Sheet3!$A$1,0,MATCH(W$1,Sheet3!$1:$1,0)-1,300))</f>
        <v/>
      </c>
      <c r="AB25" s="5" t="str">
        <f ca="1">IF(OFFSET(Sheet3!$A$1,0,MATCH(X$1,Sheet3!$1:$1,0)-1,300)="","",OFFSET(Sheet3!$A$1,0,MATCH(X$1,Sheet3!$1:$1,0)-1,300))</f>
        <v/>
      </c>
      <c r="AC25" t="str">
        <f t="shared" ca="1" si="0"/>
        <v/>
      </c>
      <c r="AD25" t="str">
        <f t="shared" ca="1" si="1"/>
        <v/>
      </c>
    </row>
    <row r="26" spans="1:30" x14ac:dyDescent="0.25">
      <c r="A26" s="4">
        <v>42089</v>
      </c>
      <c r="B26">
        <v>0.61199999999999999</v>
      </c>
      <c r="C26" s="5">
        <v>0.95599999999999996</v>
      </c>
      <c r="D26">
        <v>1.4590000000000001</v>
      </c>
      <c r="E26">
        <v>1.782</v>
      </c>
      <c r="F26">
        <v>1.99</v>
      </c>
      <c r="G26">
        <v>2.581</v>
      </c>
      <c r="H26">
        <f t="shared" ca="1" si="3"/>
        <v>0.42991452991453005</v>
      </c>
      <c r="I26">
        <f t="shared" ca="1" si="3"/>
        <v>0.36502177068214808</v>
      </c>
      <c r="J26">
        <f t="shared" ca="1" si="3"/>
        <v>0.25545962417470802</v>
      </c>
      <c r="K26">
        <f t="shared" ca="1" si="3"/>
        <v>0.23439767779390416</v>
      </c>
      <c r="L26">
        <f t="shared" ca="1" si="3"/>
        <v>0.16404266124936515</v>
      </c>
      <c r="M26">
        <f t="shared" ca="1" si="3"/>
        <v>0.3123791102514506</v>
      </c>
      <c r="N26">
        <f t="shared" ca="1" si="3"/>
        <v>0.19876923076923075</v>
      </c>
      <c r="O26">
        <f t="shared" ca="1" si="3"/>
        <v>0.10563737938039613</v>
      </c>
      <c r="P26">
        <f t="shared" ca="1" si="3"/>
        <v>0.12799999999999997</v>
      </c>
      <c r="Q26">
        <f t="shared" ca="1" si="3"/>
        <v>0.1853832442067736</v>
      </c>
      <c r="R26">
        <f t="shared" ca="1" si="3"/>
        <v>0.52513966480446927</v>
      </c>
      <c r="S26">
        <f t="shared" ca="1" si="3"/>
        <v>0.26968004062976125</v>
      </c>
      <c r="T26">
        <f t="shared" ca="1" si="3"/>
        <v>0.3267692307692307</v>
      </c>
      <c r="U26" s="5"/>
      <c r="V26" s="4">
        <f t="shared" si="5"/>
        <v>42089</v>
      </c>
      <c r="W26" s="5">
        <f t="shared" ca="1" si="4"/>
        <v>0.3123791102514506</v>
      </c>
      <c r="Z26" s="4" t="str">
        <f ca="1">IF(OFFSET(Sheet3!$A$1,0,0,300)="","",OFFSET(Sheet3!$A$1,0,0,300))</f>
        <v/>
      </c>
      <c r="AA26" s="5" t="str">
        <f ca="1">IF(OFFSET(Sheet3!$A$1,0,MATCH(W$1,Sheet3!$1:$1,0)-1,300)="","",OFFSET(Sheet3!$A$1,0,MATCH(W$1,Sheet3!$1:$1,0)-1,300))</f>
        <v/>
      </c>
      <c r="AB26" s="5" t="str">
        <f ca="1">IF(OFFSET(Sheet3!$A$1,0,MATCH(X$1,Sheet3!$1:$1,0)-1,300)="","",OFFSET(Sheet3!$A$1,0,MATCH(X$1,Sheet3!$1:$1,0)-1,300))</f>
        <v/>
      </c>
      <c r="AC26" t="str">
        <f t="shared" ca="1" si="0"/>
        <v/>
      </c>
      <c r="AD26" t="str">
        <f t="shared" ca="1" si="1"/>
        <v/>
      </c>
    </row>
    <row r="27" spans="1:30" x14ac:dyDescent="0.25">
      <c r="A27" s="4">
        <v>42088</v>
      </c>
      <c r="B27">
        <v>0.60399999999999998</v>
      </c>
      <c r="C27" s="5">
        <v>0.94199999999999995</v>
      </c>
      <c r="D27">
        <v>1.415</v>
      </c>
      <c r="E27">
        <v>1.7269999999999999</v>
      </c>
      <c r="F27">
        <v>1.9260000000000002</v>
      </c>
      <c r="G27">
        <v>2.508</v>
      </c>
      <c r="H27">
        <f t="shared" ca="1" si="3"/>
        <v>0.42119323241317913</v>
      </c>
      <c r="I27">
        <f t="shared" ca="1" si="3"/>
        <v>0.35779122541603636</v>
      </c>
      <c r="J27">
        <f t="shared" ca="1" si="3"/>
        <v>0.24842436974789922</v>
      </c>
      <c r="K27">
        <f t="shared" ca="1" si="3"/>
        <v>0.2360060514372162</v>
      </c>
      <c r="L27">
        <f t="shared" ca="1" si="3"/>
        <v>0.16386554621848731</v>
      </c>
      <c r="M27">
        <f t="shared" ca="1" si="3"/>
        <v>0.3170731707317071</v>
      </c>
      <c r="N27">
        <f t="shared" ca="1" si="3"/>
        <v>0.19923371647509566</v>
      </c>
      <c r="O27">
        <f t="shared" ca="1" si="3"/>
        <v>0.10451680672268923</v>
      </c>
      <c r="P27">
        <f t="shared" ca="1" si="3"/>
        <v>0.12707535121328242</v>
      </c>
      <c r="Q27">
        <f t="shared" ca="1" si="3"/>
        <v>0.18206770356816129</v>
      </c>
      <c r="R27">
        <f t="shared" ca="1" si="3"/>
        <v>0.51680672268907579</v>
      </c>
      <c r="S27">
        <f t="shared" ca="1" si="3"/>
        <v>0.26838235294117657</v>
      </c>
      <c r="T27">
        <f t="shared" ca="1" si="3"/>
        <v>0.32630906768837808</v>
      </c>
      <c r="U27" s="5"/>
      <c r="V27" s="4">
        <f t="shared" si="5"/>
        <v>42088</v>
      </c>
      <c r="W27" s="5">
        <f t="shared" ca="1" si="4"/>
        <v>0.3170731707317071</v>
      </c>
      <c r="Z27" s="4" t="str">
        <f ca="1">IF(OFFSET(Sheet3!$A$1,0,0,300)="","",OFFSET(Sheet3!$A$1,0,0,300))</f>
        <v/>
      </c>
      <c r="AA27" s="5" t="str">
        <f ca="1">IF(OFFSET(Sheet3!$A$1,0,MATCH(W$1,Sheet3!$1:$1,0)-1,300)="","",OFFSET(Sheet3!$A$1,0,MATCH(W$1,Sheet3!$1:$1,0)-1,300))</f>
        <v/>
      </c>
      <c r="AB27" s="5" t="str">
        <f ca="1">IF(OFFSET(Sheet3!$A$1,0,MATCH(X$1,Sheet3!$1:$1,0)-1,300)="","",OFFSET(Sheet3!$A$1,0,MATCH(X$1,Sheet3!$1:$1,0)-1,300))</f>
        <v/>
      </c>
      <c r="AC27" t="str">
        <f t="shared" ca="1" si="0"/>
        <v/>
      </c>
      <c r="AD27" t="str">
        <f t="shared" ca="1" si="1"/>
        <v/>
      </c>
    </row>
    <row r="28" spans="1:30" x14ac:dyDescent="0.25">
      <c r="A28" s="4">
        <v>42087</v>
      </c>
      <c r="B28">
        <v>0.55900000000000005</v>
      </c>
      <c r="C28" s="5">
        <v>0.90300000000000002</v>
      </c>
      <c r="D28">
        <v>1.361</v>
      </c>
      <c r="E28">
        <v>1.6739999999999999</v>
      </c>
      <c r="F28">
        <v>1.8740000000000001</v>
      </c>
      <c r="G28">
        <v>2.4649999999999999</v>
      </c>
      <c r="H28">
        <f t="shared" ca="1" si="3"/>
        <v>0.41076233183856509</v>
      </c>
      <c r="I28">
        <f t="shared" ca="1" si="3"/>
        <v>0.34828897338403042</v>
      </c>
      <c r="J28">
        <f t="shared" ca="1" si="3"/>
        <v>0.24029380902413433</v>
      </c>
      <c r="K28">
        <f t="shared" ca="1" si="3"/>
        <v>0.2380228136882129</v>
      </c>
      <c r="L28">
        <f t="shared" ca="1" si="3"/>
        <v>0.16421825813221405</v>
      </c>
      <c r="M28">
        <f t="shared" ca="1" si="3"/>
        <v>0.32234809474768272</v>
      </c>
      <c r="N28">
        <f t="shared" ca="1" si="3"/>
        <v>0.20038412291933416</v>
      </c>
      <c r="O28">
        <f t="shared" ca="1" si="3"/>
        <v>0.10493179433368321</v>
      </c>
      <c r="P28">
        <f t="shared" ca="1" si="3"/>
        <v>0.12804097311139578</v>
      </c>
      <c r="Q28">
        <f t="shared" ca="1" si="3"/>
        <v>0.18115942028985527</v>
      </c>
      <c r="R28">
        <f t="shared" ca="1" si="3"/>
        <v>0.50944386149003162</v>
      </c>
      <c r="S28">
        <f t="shared" ca="1" si="3"/>
        <v>0.26915005246589729</v>
      </c>
      <c r="T28">
        <f t="shared" ca="1" si="3"/>
        <v>0.32842509603072995</v>
      </c>
      <c r="U28" s="5"/>
      <c r="V28" s="4">
        <f t="shared" si="5"/>
        <v>42087</v>
      </c>
      <c r="W28" s="5">
        <f t="shared" ca="1" si="4"/>
        <v>0.32234809474768272</v>
      </c>
      <c r="Z28" s="4" t="str">
        <f ca="1">IF(OFFSET(Sheet3!$A$1,0,0,300)="","",OFFSET(Sheet3!$A$1,0,0,300))</f>
        <v/>
      </c>
      <c r="AA28" s="5" t="str">
        <f ca="1">IF(OFFSET(Sheet3!$A$1,0,MATCH(W$1,Sheet3!$1:$1,0)-1,300)="","",OFFSET(Sheet3!$A$1,0,MATCH(W$1,Sheet3!$1:$1,0)-1,300))</f>
        <v/>
      </c>
      <c r="AB28" s="5" t="str">
        <f ca="1">IF(OFFSET(Sheet3!$A$1,0,MATCH(X$1,Sheet3!$1:$1,0)-1,300)="","",OFFSET(Sheet3!$A$1,0,MATCH(X$1,Sheet3!$1:$1,0)-1,300))</f>
        <v/>
      </c>
      <c r="AC28" t="str">
        <f t="shared" ca="1" si="0"/>
        <v/>
      </c>
      <c r="AD28" t="str">
        <f t="shared" ca="1" si="1"/>
        <v/>
      </c>
    </row>
    <row r="29" spans="1:30" x14ac:dyDescent="0.25">
      <c r="A29" s="4">
        <v>42086</v>
      </c>
      <c r="B29">
        <v>0.57099999999999995</v>
      </c>
      <c r="C29" s="5">
        <v>0.92400000000000004</v>
      </c>
      <c r="D29">
        <v>1.391</v>
      </c>
      <c r="E29">
        <v>1.708</v>
      </c>
      <c r="F29">
        <v>1.9119999999999999</v>
      </c>
      <c r="G29">
        <v>2.5150000000000001</v>
      </c>
      <c r="H29">
        <f t="shared" ref="H29:T44" ca="1" si="6">IF(ISERROR(ABS(OFFSET($A$11,ROW()-11,MATCH(LEFT(H$9,2),$A$11:$G$11,0)-1)-OFFSET($A$11,ROW()-11,MATCH(RIGHT(H$9,2),$A$11:$G$11,0)-1))/ABS(OFFSET($A$11,ROW()-11,MATCH(LEFT(H$10,2),$A$11:$G$11,0)-1)-OFFSET($A$11,ROW()-11,MATCH(RIGHT(H$10,2),$A$11:$G$11,0)-1))),"",ABS(OFFSET($A$11,ROW()-11,MATCH(LEFT(H$9,2),$A$11:$G$11,0)-1)-OFFSET($A$11,ROW()-11,MATCH(RIGHT(H$9,2),$A$11:$G$11,0)-1))/ABS(OFFSET($A$11,ROW()-11,MATCH(LEFT(H$10,2),$A$11:$G$11,0)-1)-OFFSET($A$11,ROW()-11,MATCH(RIGHT(H$10,2),$A$11:$G$11,0)-1)))</f>
        <v>0.4107299912049252</v>
      </c>
      <c r="I29">
        <f t="shared" ca="1" si="6"/>
        <v>0.34824757643549586</v>
      </c>
      <c r="J29">
        <f t="shared" ca="1" si="6"/>
        <v>0.24022633744855965</v>
      </c>
      <c r="K29">
        <f t="shared" ca="1" si="6"/>
        <v>0.23639075316927663</v>
      </c>
      <c r="L29">
        <f t="shared" ca="1" si="6"/>
        <v>0.16306584362139914</v>
      </c>
      <c r="M29">
        <f t="shared" ca="1" si="6"/>
        <v>0.3208502024291498</v>
      </c>
      <c r="N29">
        <f t="shared" ca="1" si="6"/>
        <v>0.19924575738529221</v>
      </c>
      <c r="O29">
        <f t="shared" ca="1" si="6"/>
        <v>0.10493827160493824</v>
      </c>
      <c r="P29">
        <f t="shared" ca="1" si="6"/>
        <v>0.12822124450031422</v>
      </c>
      <c r="Q29">
        <f t="shared" ca="1" si="6"/>
        <v>0.18149466192170813</v>
      </c>
      <c r="R29">
        <f t="shared" ca="1" si="6"/>
        <v>0.50823045267489697</v>
      </c>
      <c r="S29">
        <f t="shared" ca="1" si="6"/>
        <v>0.26800411522633738</v>
      </c>
      <c r="T29">
        <f t="shared" ca="1" si="6"/>
        <v>0.32746700188560646</v>
      </c>
      <c r="U29" s="5"/>
      <c r="V29" s="4">
        <f t="shared" si="5"/>
        <v>42086</v>
      </c>
      <c r="W29" s="5">
        <f t="shared" ca="1" si="4"/>
        <v>0.3208502024291498</v>
      </c>
      <c r="Z29" s="4" t="str">
        <f ca="1">IF(OFFSET(Sheet3!$A$1,0,0,300)="","",OFFSET(Sheet3!$A$1,0,0,300))</f>
        <v/>
      </c>
      <c r="AA29" s="5" t="str">
        <f ca="1">IF(OFFSET(Sheet3!$A$1,0,MATCH(W$1,Sheet3!$1:$1,0)-1,300)="","",OFFSET(Sheet3!$A$1,0,MATCH(W$1,Sheet3!$1:$1,0)-1,300))</f>
        <v/>
      </c>
      <c r="AB29" s="5" t="str">
        <f ca="1">IF(OFFSET(Sheet3!$A$1,0,MATCH(X$1,Sheet3!$1:$1,0)-1,300)="","",OFFSET(Sheet3!$A$1,0,MATCH(X$1,Sheet3!$1:$1,0)-1,300))</f>
        <v/>
      </c>
      <c r="AC29" t="str">
        <f t="shared" ca="1" si="0"/>
        <v/>
      </c>
      <c r="AD29" t="str">
        <f t="shared" ca="1" si="1"/>
        <v/>
      </c>
    </row>
    <row r="30" spans="1:30" x14ac:dyDescent="0.25">
      <c r="A30" s="4">
        <v>42083</v>
      </c>
      <c r="B30">
        <v>0.58299999999999996</v>
      </c>
      <c r="C30" s="5">
        <v>0.94299999999999995</v>
      </c>
      <c r="D30">
        <v>1.415</v>
      </c>
      <c r="E30">
        <v>1.73</v>
      </c>
      <c r="F30">
        <v>1.931</v>
      </c>
      <c r="G30">
        <v>2.5060000000000002</v>
      </c>
      <c r="H30">
        <f t="shared" ca="1" si="6"/>
        <v>0.4115082824760245</v>
      </c>
      <c r="I30">
        <f t="shared" ca="1" si="6"/>
        <v>0.3501483679525223</v>
      </c>
      <c r="J30">
        <f t="shared" ca="1" si="6"/>
        <v>0.24544981799271973</v>
      </c>
      <c r="K30">
        <f t="shared" ca="1" si="6"/>
        <v>0.23367952522255186</v>
      </c>
      <c r="L30">
        <f t="shared" ca="1" si="6"/>
        <v>0.16380655226209043</v>
      </c>
      <c r="M30">
        <f t="shared" ca="1" si="6"/>
        <v>0.31882591093117402</v>
      </c>
      <c r="N30">
        <f t="shared" ca="1" si="6"/>
        <v>0.20153550863723602</v>
      </c>
      <c r="O30">
        <f t="shared" ca="1" si="6"/>
        <v>0.10452418096723871</v>
      </c>
      <c r="P30">
        <f t="shared" ca="1" si="6"/>
        <v>0.12859884836852209</v>
      </c>
      <c r="Q30">
        <f t="shared" ca="1" si="6"/>
        <v>0.18423464711274062</v>
      </c>
      <c r="R30">
        <f t="shared" ca="1" si="6"/>
        <v>0.51378055122204891</v>
      </c>
      <c r="S30">
        <f t="shared" ca="1" si="6"/>
        <v>0.26833073322932915</v>
      </c>
      <c r="T30">
        <f t="shared" ca="1" si="6"/>
        <v>0.33013435700575811</v>
      </c>
      <c r="U30" s="5"/>
      <c r="V30" s="4">
        <f t="shared" si="5"/>
        <v>42083</v>
      </c>
      <c r="W30" s="5">
        <f t="shared" ca="1" si="4"/>
        <v>0.31882591093117402</v>
      </c>
      <c r="Z30" s="4" t="str">
        <f ca="1">IF(OFFSET(Sheet3!$A$1,0,0,300)="","",OFFSET(Sheet3!$A$1,0,0,300))</f>
        <v/>
      </c>
      <c r="AA30" s="5" t="str">
        <f ca="1">IF(OFFSET(Sheet3!$A$1,0,MATCH(W$1,Sheet3!$1:$1,0)-1,300)="","",OFFSET(Sheet3!$A$1,0,MATCH(W$1,Sheet3!$1:$1,0)-1,300))</f>
        <v/>
      </c>
      <c r="AB30" s="5" t="str">
        <f ca="1">IF(OFFSET(Sheet3!$A$1,0,MATCH(X$1,Sheet3!$1:$1,0)-1,300)="","",OFFSET(Sheet3!$A$1,0,MATCH(X$1,Sheet3!$1:$1,0)-1,300))</f>
        <v/>
      </c>
      <c r="AC30" t="str">
        <f t="shared" ca="1" si="0"/>
        <v/>
      </c>
      <c r="AD30" t="str">
        <f t="shared" ca="1" si="1"/>
        <v/>
      </c>
    </row>
    <row r="31" spans="1:30" x14ac:dyDescent="0.25">
      <c r="A31" s="4">
        <v>42082</v>
      </c>
      <c r="B31">
        <v>0.61099999999999999</v>
      </c>
      <c r="C31" s="5">
        <v>0.98799999999999999</v>
      </c>
      <c r="D31">
        <v>1.468</v>
      </c>
      <c r="E31">
        <v>1.778</v>
      </c>
      <c r="F31">
        <v>1.9689999999999999</v>
      </c>
      <c r="G31">
        <v>2.5289999999999999</v>
      </c>
      <c r="H31">
        <f t="shared" ca="1" si="6"/>
        <v>0.41131105398457579</v>
      </c>
      <c r="I31">
        <f t="shared" ca="1" si="6"/>
        <v>0.35346097201767307</v>
      </c>
      <c r="J31">
        <f t="shared" ca="1" si="6"/>
        <v>0.25026068821689262</v>
      </c>
      <c r="K31">
        <f t="shared" ca="1" si="6"/>
        <v>0.22827687776141389</v>
      </c>
      <c r="L31">
        <f t="shared" ca="1" si="6"/>
        <v>0.16162669447340983</v>
      </c>
      <c r="M31">
        <f t="shared" ca="1" si="6"/>
        <v>0.31600407747196746</v>
      </c>
      <c r="N31">
        <f t="shared" ca="1" si="6"/>
        <v>0.20116807268007791</v>
      </c>
      <c r="O31">
        <f t="shared" ca="1" si="6"/>
        <v>9.9582898852971766E-2</v>
      </c>
      <c r="P31">
        <f t="shared" ca="1" si="6"/>
        <v>0.12394548994159627</v>
      </c>
      <c r="Q31">
        <f t="shared" ca="1" si="6"/>
        <v>0.18001885014137592</v>
      </c>
      <c r="R31">
        <f t="shared" ca="1" si="6"/>
        <v>0.51147028154327423</v>
      </c>
      <c r="S31">
        <f t="shared" ca="1" si="6"/>
        <v>0.26120959332638161</v>
      </c>
      <c r="T31">
        <f t="shared" ca="1" si="6"/>
        <v>0.32511356262167418</v>
      </c>
      <c r="U31" s="5"/>
      <c r="V31" s="4">
        <f t="shared" si="5"/>
        <v>42082</v>
      </c>
      <c r="W31" s="5">
        <f t="shared" ca="1" si="4"/>
        <v>0.31600407747196746</v>
      </c>
      <c r="Z31" s="4" t="str">
        <f ca="1">IF(OFFSET(Sheet3!$A$1,0,0,300)="","",OFFSET(Sheet3!$A$1,0,0,300))</f>
        <v/>
      </c>
      <c r="AA31" s="5" t="str">
        <f ca="1">IF(OFFSET(Sheet3!$A$1,0,MATCH(W$1,Sheet3!$1:$1,0)-1,300)="","",OFFSET(Sheet3!$A$1,0,MATCH(W$1,Sheet3!$1:$1,0)-1,300))</f>
        <v/>
      </c>
      <c r="AB31" s="5" t="str">
        <f ca="1">IF(OFFSET(Sheet3!$A$1,0,MATCH(X$1,Sheet3!$1:$1,0)-1,300)="","",OFFSET(Sheet3!$A$1,0,MATCH(X$1,Sheet3!$1:$1,0)-1,300))</f>
        <v/>
      </c>
      <c r="AC31" t="str">
        <f t="shared" ca="1" si="0"/>
        <v/>
      </c>
      <c r="AD31" t="str">
        <f t="shared" ca="1" si="1"/>
        <v/>
      </c>
    </row>
    <row r="32" spans="1:30" x14ac:dyDescent="0.25">
      <c r="A32" s="4">
        <v>42081</v>
      </c>
      <c r="B32">
        <v>0.55400000000000005</v>
      </c>
      <c r="C32" s="5">
        <v>0.91100000000000003</v>
      </c>
      <c r="D32">
        <v>1.389</v>
      </c>
      <c r="E32">
        <v>1.7149999999999999</v>
      </c>
      <c r="F32">
        <v>1.921</v>
      </c>
      <c r="G32">
        <v>2.5110000000000001</v>
      </c>
      <c r="H32">
        <f t="shared" ca="1" si="6"/>
        <v>0.41171403962101644</v>
      </c>
      <c r="I32">
        <f t="shared" ca="1" si="6"/>
        <v>0.34967081199707389</v>
      </c>
      <c r="J32">
        <f t="shared" ca="1" si="6"/>
        <v>0.24425140521205926</v>
      </c>
      <c r="K32">
        <f t="shared" ca="1" si="6"/>
        <v>0.23847841989758584</v>
      </c>
      <c r="L32">
        <f t="shared" ca="1" si="6"/>
        <v>0.16658150229943783</v>
      </c>
      <c r="M32">
        <f t="shared" ca="1" si="6"/>
        <v>0.32277227722772261</v>
      </c>
      <c r="N32">
        <f t="shared" ca="1" si="6"/>
        <v>0.2037499999999999</v>
      </c>
      <c r="O32">
        <f t="shared" ca="1" si="6"/>
        <v>0.10526315789473693</v>
      </c>
      <c r="P32">
        <f t="shared" ca="1" si="6"/>
        <v>0.12875000000000011</v>
      </c>
      <c r="Q32">
        <f t="shared" ca="1" si="6"/>
        <v>0.18360071301247785</v>
      </c>
      <c r="R32">
        <f t="shared" ca="1" si="6"/>
        <v>0.51609606540623398</v>
      </c>
      <c r="S32">
        <f t="shared" ca="1" si="6"/>
        <v>0.27184466019417475</v>
      </c>
      <c r="T32">
        <f t="shared" ca="1" si="6"/>
        <v>0.33250000000000002</v>
      </c>
      <c r="U32" s="5"/>
      <c r="V32" s="4">
        <f t="shared" si="5"/>
        <v>42081</v>
      </c>
      <c r="W32" s="5">
        <f t="shared" ca="1" si="4"/>
        <v>0.32277227722772261</v>
      </c>
      <c r="Z32" s="4" t="str">
        <f ca="1">IF(OFFSET(Sheet3!$A$1,0,0,300)="","",OFFSET(Sheet3!$A$1,0,0,300))</f>
        <v/>
      </c>
      <c r="AA32" s="5" t="str">
        <f ca="1">IF(OFFSET(Sheet3!$A$1,0,MATCH(W$1,Sheet3!$1:$1,0)-1,300)="","",OFFSET(Sheet3!$A$1,0,MATCH(W$1,Sheet3!$1:$1,0)-1,300))</f>
        <v/>
      </c>
      <c r="AB32" s="5" t="str">
        <f ca="1">IF(OFFSET(Sheet3!$A$1,0,MATCH(X$1,Sheet3!$1:$1,0)-1,300)="","",OFFSET(Sheet3!$A$1,0,MATCH(X$1,Sheet3!$1:$1,0)-1,300))</f>
        <v/>
      </c>
      <c r="AC32" t="str">
        <f t="shared" ca="1" si="0"/>
        <v/>
      </c>
      <c r="AD32" t="str">
        <f t="shared" ca="1" si="1"/>
        <v/>
      </c>
    </row>
    <row r="33" spans="1:30" x14ac:dyDescent="0.25">
      <c r="A33" s="4">
        <v>42080</v>
      </c>
      <c r="B33">
        <v>0.67400000000000004</v>
      </c>
      <c r="C33" s="5">
        <v>1.0680000000000001</v>
      </c>
      <c r="D33">
        <v>1.5529999999999999</v>
      </c>
      <c r="E33">
        <v>1.8639999999999999</v>
      </c>
      <c r="F33">
        <v>2.0510000000000002</v>
      </c>
      <c r="G33">
        <v>2.6029999999999998</v>
      </c>
      <c r="H33">
        <f t="shared" ca="1" si="6"/>
        <v>0.40756302521008397</v>
      </c>
      <c r="I33">
        <f t="shared" ca="1" si="6"/>
        <v>0.35221496005809716</v>
      </c>
      <c r="J33">
        <f t="shared" ca="1" si="6"/>
        <v>0.25142560912389833</v>
      </c>
      <c r="K33">
        <f t="shared" ca="1" si="6"/>
        <v>0.22585330428467676</v>
      </c>
      <c r="L33">
        <f t="shared" ca="1" si="6"/>
        <v>0.16122343182996371</v>
      </c>
      <c r="M33">
        <f t="shared" ca="1" si="6"/>
        <v>0.31637843336724303</v>
      </c>
      <c r="N33">
        <f t="shared" ca="1" si="6"/>
        <v>0.20260586319218241</v>
      </c>
      <c r="O33">
        <f t="shared" ca="1" si="6"/>
        <v>9.694142042509088E-2</v>
      </c>
      <c r="P33">
        <f t="shared" ca="1" si="6"/>
        <v>0.12182410423452789</v>
      </c>
      <c r="Q33">
        <f t="shared" ca="1" si="6"/>
        <v>0.17809523809523839</v>
      </c>
      <c r="R33">
        <f t="shared" ca="1" si="6"/>
        <v>0.50959046137895292</v>
      </c>
      <c r="S33">
        <f t="shared" ca="1" si="6"/>
        <v>0.25816485225505459</v>
      </c>
      <c r="T33">
        <f t="shared" ca="1" si="6"/>
        <v>0.32442996742671032</v>
      </c>
      <c r="U33" s="5"/>
      <c r="V33" s="4">
        <f t="shared" si="5"/>
        <v>42080</v>
      </c>
      <c r="W33" s="5">
        <f t="shared" ca="1" si="4"/>
        <v>0.31637843336724303</v>
      </c>
      <c r="Z33" s="4" t="str">
        <f ca="1">IF(OFFSET(Sheet3!$A$1,0,0,300)="","",OFFSET(Sheet3!$A$1,0,0,300))</f>
        <v/>
      </c>
      <c r="AA33" s="5" t="str">
        <f ca="1">IF(OFFSET(Sheet3!$A$1,0,MATCH(W$1,Sheet3!$1:$1,0)-1,300)="","",OFFSET(Sheet3!$A$1,0,MATCH(W$1,Sheet3!$1:$1,0)-1,300))</f>
        <v/>
      </c>
      <c r="AB33" s="5" t="str">
        <f ca="1">IF(OFFSET(Sheet3!$A$1,0,MATCH(X$1,Sheet3!$1:$1,0)-1,300)="","",OFFSET(Sheet3!$A$1,0,MATCH(X$1,Sheet3!$1:$1,0)-1,300))</f>
        <v/>
      </c>
      <c r="AC33" t="str">
        <f t="shared" ca="1" si="0"/>
        <v/>
      </c>
      <c r="AD33" t="str">
        <f t="shared" ca="1" si="1"/>
        <v/>
      </c>
    </row>
    <row r="34" spans="1:30" x14ac:dyDescent="0.25">
      <c r="A34" s="4">
        <v>42079</v>
      </c>
      <c r="B34">
        <v>0.65100000000000002</v>
      </c>
      <c r="C34" s="5">
        <v>1.054</v>
      </c>
      <c r="D34">
        <v>1.5529999999999999</v>
      </c>
      <c r="E34">
        <v>1.881</v>
      </c>
      <c r="F34">
        <v>2.073</v>
      </c>
      <c r="G34">
        <v>2.645</v>
      </c>
      <c r="H34">
        <f t="shared" ca="1" si="6"/>
        <v>0.405691056910569</v>
      </c>
      <c r="I34">
        <f t="shared" ca="1" si="6"/>
        <v>0.35091420534458501</v>
      </c>
      <c r="J34">
        <f t="shared" ca="1" si="6"/>
        <v>0.25025075225677024</v>
      </c>
      <c r="K34">
        <f t="shared" ca="1" si="6"/>
        <v>0.23066104078762312</v>
      </c>
      <c r="L34">
        <f t="shared" ca="1" si="6"/>
        <v>0.164493480441324</v>
      </c>
      <c r="M34">
        <f t="shared" ca="1" si="6"/>
        <v>0.32188420019627095</v>
      </c>
      <c r="N34">
        <f t="shared" ca="1" si="6"/>
        <v>0.20615964802011319</v>
      </c>
      <c r="O34">
        <f t="shared" ca="1" si="6"/>
        <v>9.6288866599799378E-2</v>
      </c>
      <c r="P34">
        <f t="shared" ca="1" si="6"/>
        <v>0.12067881835323693</v>
      </c>
      <c r="Q34">
        <f t="shared" ca="1" si="6"/>
        <v>0.17582417582417575</v>
      </c>
      <c r="R34">
        <f t="shared" ca="1" si="6"/>
        <v>0.51103309929789364</v>
      </c>
      <c r="S34">
        <f t="shared" ca="1" si="6"/>
        <v>0.26078234704112335</v>
      </c>
      <c r="T34">
        <f t="shared" ca="1" si="6"/>
        <v>0.32683846637335012</v>
      </c>
      <c r="U34" s="5"/>
      <c r="V34" s="4">
        <f t="shared" si="5"/>
        <v>42079</v>
      </c>
      <c r="W34" s="5">
        <f t="shared" ca="1" si="4"/>
        <v>0.32188420019627095</v>
      </c>
      <c r="Z34" s="4" t="str">
        <f ca="1">IF(OFFSET(Sheet3!$A$1,0,0,300)="","",OFFSET(Sheet3!$A$1,0,0,300))</f>
        <v/>
      </c>
      <c r="AA34" s="5" t="str">
        <f ca="1">IF(OFFSET(Sheet3!$A$1,0,MATCH(W$1,Sheet3!$1:$1,0)-1,300)="","",OFFSET(Sheet3!$A$1,0,MATCH(W$1,Sheet3!$1:$1,0)-1,300))</f>
        <v/>
      </c>
      <c r="AB34" s="5" t="str">
        <f ca="1">IF(OFFSET(Sheet3!$A$1,0,MATCH(X$1,Sheet3!$1:$1,0)-1,300)="","",OFFSET(Sheet3!$A$1,0,MATCH(X$1,Sheet3!$1:$1,0)-1,300))</f>
        <v/>
      </c>
      <c r="AC34" t="str">
        <f t="shared" ca="1" si="0"/>
        <v/>
      </c>
      <c r="AD34" t="str">
        <f t="shared" ca="1" si="1"/>
        <v/>
      </c>
    </row>
    <row r="35" spans="1:30" x14ac:dyDescent="0.25">
      <c r="A35" s="4">
        <v>42076</v>
      </c>
      <c r="B35">
        <v>0.65900000000000003</v>
      </c>
      <c r="C35" s="5">
        <v>1.0680000000000001</v>
      </c>
      <c r="D35">
        <v>1.585</v>
      </c>
      <c r="E35">
        <v>1.917</v>
      </c>
      <c r="F35">
        <v>2.1150000000000002</v>
      </c>
      <c r="G35">
        <v>2.6989999999999998</v>
      </c>
      <c r="H35">
        <f t="shared" ca="1" si="6"/>
        <v>0.41096979332273442</v>
      </c>
      <c r="I35">
        <f t="shared" ca="1" si="6"/>
        <v>0.35508241758241749</v>
      </c>
      <c r="J35">
        <f t="shared" ca="1" si="6"/>
        <v>0.25343137254901954</v>
      </c>
      <c r="K35">
        <f t="shared" ca="1" si="6"/>
        <v>0.22802197802197804</v>
      </c>
      <c r="L35">
        <f t="shared" ca="1" si="6"/>
        <v>0.16274509803921572</v>
      </c>
      <c r="M35">
        <f t="shared" ca="1" si="6"/>
        <v>0.31709646609360082</v>
      </c>
      <c r="N35">
        <f t="shared" ca="1" si="6"/>
        <v>0.20355610055180878</v>
      </c>
      <c r="O35">
        <f t="shared" ca="1" si="6"/>
        <v>9.705882352941185E-2</v>
      </c>
      <c r="P35">
        <f t="shared" ca="1" si="6"/>
        <v>0.12139791538933183</v>
      </c>
      <c r="Q35">
        <f t="shared" ca="1" si="6"/>
        <v>0.17773788150807918</v>
      </c>
      <c r="R35">
        <f t="shared" ca="1" si="6"/>
        <v>0.51323529411764712</v>
      </c>
      <c r="S35">
        <f t="shared" ca="1" si="6"/>
        <v>0.25980392156862758</v>
      </c>
      <c r="T35">
        <f t="shared" ca="1" si="6"/>
        <v>0.32495401594114059</v>
      </c>
      <c r="U35" s="5"/>
      <c r="V35" s="4">
        <f t="shared" si="5"/>
        <v>42076</v>
      </c>
      <c r="W35" s="5">
        <f t="shared" ca="1" si="4"/>
        <v>0.31709646609360082</v>
      </c>
      <c r="Z35" s="4" t="str">
        <f ca="1">IF(OFFSET(Sheet3!$A$1,0,0,300)="","",OFFSET(Sheet3!$A$1,0,0,300))</f>
        <v/>
      </c>
      <c r="AA35" s="5" t="str">
        <f ca="1">IF(OFFSET(Sheet3!$A$1,0,MATCH(W$1,Sheet3!$1:$1,0)-1,300)="","",OFFSET(Sheet3!$A$1,0,MATCH(W$1,Sheet3!$1:$1,0)-1,300))</f>
        <v/>
      </c>
      <c r="AB35" s="5" t="str">
        <f ca="1">IF(OFFSET(Sheet3!$A$1,0,MATCH(X$1,Sheet3!$1:$1,0)-1,300)="","",OFFSET(Sheet3!$A$1,0,MATCH(X$1,Sheet3!$1:$1,0)-1,300))</f>
        <v/>
      </c>
      <c r="AC35" t="str">
        <f t="shared" ca="1" si="0"/>
        <v/>
      </c>
      <c r="AD35" t="str">
        <f t="shared" ca="1" si="1"/>
        <v/>
      </c>
    </row>
    <row r="36" spans="1:30" x14ac:dyDescent="0.25">
      <c r="A36" s="4">
        <v>42075</v>
      </c>
      <c r="B36">
        <v>0.66600000000000004</v>
      </c>
      <c r="C36" s="5">
        <v>1.081</v>
      </c>
      <c r="D36">
        <v>1.5979999999999999</v>
      </c>
      <c r="E36">
        <v>1.925</v>
      </c>
      <c r="F36">
        <v>2.117</v>
      </c>
      <c r="G36">
        <v>2.7</v>
      </c>
      <c r="H36">
        <f t="shared" ca="1" si="6"/>
        <v>0.41064336775218424</v>
      </c>
      <c r="I36">
        <f t="shared" ca="1" si="6"/>
        <v>0.35630599586492068</v>
      </c>
      <c r="J36">
        <f t="shared" ca="1" si="6"/>
        <v>0.25417895771878063</v>
      </c>
      <c r="K36">
        <f t="shared" ca="1" si="6"/>
        <v>0.2253618194348726</v>
      </c>
      <c r="L36">
        <f t="shared" ca="1" si="6"/>
        <v>0.16076696165191748</v>
      </c>
      <c r="M36">
        <f t="shared" ca="1" si="6"/>
        <v>0.31563706563706578</v>
      </c>
      <c r="N36">
        <f t="shared" ca="1" si="6"/>
        <v>0.20197652872143307</v>
      </c>
      <c r="O36">
        <f t="shared" ca="1" si="6"/>
        <v>9.4395280235988158E-2</v>
      </c>
      <c r="P36">
        <f t="shared" ca="1" si="6"/>
        <v>0.11859172328597894</v>
      </c>
      <c r="Q36">
        <f t="shared" ca="1" si="6"/>
        <v>0.17422867513611606</v>
      </c>
      <c r="R36">
        <f t="shared" ca="1" si="6"/>
        <v>0.50934119960668633</v>
      </c>
      <c r="S36">
        <f t="shared" ca="1" si="6"/>
        <v>0.25516224188790565</v>
      </c>
      <c r="T36">
        <f t="shared" ca="1" si="6"/>
        <v>0.32056825200741201</v>
      </c>
      <c r="U36" s="5"/>
      <c r="V36" s="4">
        <f t="shared" si="5"/>
        <v>42075</v>
      </c>
      <c r="W36" s="5">
        <f t="shared" ca="1" si="4"/>
        <v>0.31563706563706578</v>
      </c>
      <c r="Z36" s="4" t="str">
        <f ca="1">IF(OFFSET(Sheet3!$A$1,0,0,300)="","",OFFSET(Sheet3!$A$1,0,0,300))</f>
        <v/>
      </c>
      <c r="AA36" s="5" t="str">
        <f ca="1">IF(OFFSET(Sheet3!$A$1,0,MATCH(W$1,Sheet3!$1:$1,0)-1,300)="","",OFFSET(Sheet3!$A$1,0,MATCH(W$1,Sheet3!$1:$1,0)-1,300))</f>
        <v/>
      </c>
      <c r="AB36" s="5" t="str">
        <f ca="1">IF(OFFSET(Sheet3!$A$1,0,MATCH(X$1,Sheet3!$1:$1,0)-1,300)="","",OFFSET(Sheet3!$A$1,0,MATCH(X$1,Sheet3!$1:$1,0)-1,300))</f>
        <v/>
      </c>
      <c r="AC36" t="str">
        <f t="shared" ca="1" si="0"/>
        <v/>
      </c>
      <c r="AD36" t="str">
        <f t="shared" ca="1" si="1"/>
        <v/>
      </c>
    </row>
    <row r="37" spans="1:30" x14ac:dyDescent="0.25">
      <c r="A37" s="4">
        <v>42074</v>
      </c>
      <c r="B37">
        <v>0.68200000000000005</v>
      </c>
      <c r="C37" s="5">
        <v>1.097</v>
      </c>
      <c r="D37">
        <v>1.6059999999999999</v>
      </c>
      <c r="E37">
        <v>1.927</v>
      </c>
      <c r="F37">
        <v>2.109</v>
      </c>
      <c r="G37">
        <v>2.6859999999999999</v>
      </c>
      <c r="H37">
        <f t="shared" ca="1" si="6"/>
        <v>0.40883534136546174</v>
      </c>
      <c r="I37">
        <f t="shared" ca="1" si="6"/>
        <v>0.35669236159775747</v>
      </c>
      <c r="J37">
        <f t="shared" ca="1" si="6"/>
        <v>0.25399201596806381</v>
      </c>
      <c r="K37">
        <f t="shared" ca="1" si="6"/>
        <v>0.22494744218640517</v>
      </c>
      <c r="L37">
        <f t="shared" ca="1" si="6"/>
        <v>0.16017964071856297</v>
      </c>
      <c r="M37">
        <f t="shared" ca="1" si="6"/>
        <v>0.31719367588932823</v>
      </c>
      <c r="N37">
        <f t="shared" ca="1" si="6"/>
        <v>0.20201384518565146</v>
      </c>
      <c r="O37">
        <f t="shared" ca="1" si="6"/>
        <v>9.0818363273453065E-2</v>
      </c>
      <c r="P37">
        <f t="shared" ca="1" si="6"/>
        <v>0.11453744493392067</v>
      </c>
      <c r="Q37">
        <f t="shared" ca="1" si="6"/>
        <v>0.16851851851851846</v>
      </c>
      <c r="R37">
        <f t="shared" ca="1" si="6"/>
        <v>0.50499001996007986</v>
      </c>
      <c r="S37">
        <f t="shared" ca="1" si="6"/>
        <v>0.25099800399201605</v>
      </c>
      <c r="T37">
        <f t="shared" ca="1" si="6"/>
        <v>0.31655129011957212</v>
      </c>
      <c r="U37" s="5"/>
      <c r="V37" s="4">
        <f t="shared" si="5"/>
        <v>42074</v>
      </c>
      <c r="W37" s="5">
        <f t="shared" ca="1" si="4"/>
        <v>0.31719367588932823</v>
      </c>
      <c r="Z37" s="4" t="str">
        <f ca="1">IF(OFFSET(Sheet3!$A$1,0,0,300)="","",OFFSET(Sheet3!$A$1,0,0,300))</f>
        <v/>
      </c>
      <c r="AA37" s="5" t="str">
        <f ca="1">IF(OFFSET(Sheet3!$A$1,0,MATCH(W$1,Sheet3!$1:$1,0)-1,300)="","",OFFSET(Sheet3!$A$1,0,MATCH(W$1,Sheet3!$1:$1,0)-1,300))</f>
        <v/>
      </c>
      <c r="AB37" s="5" t="str">
        <f ca="1">IF(OFFSET(Sheet3!$A$1,0,MATCH(X$1,Sheet3!$1:$1,0)-1,300)="","",OFFSET(Sheet3!$A$1,0,MATCH(X$1,Sheet3!$1:$1,0)-1,300))</f>
        <v/>
      </c>
      <c r="AC37" t="str">
        <f t="shared" ca="1" si="0"/>
        <v/>
      </c>
      <c r="AD37" t="str">
        <f t="shared" ca="1" si="1"/>
        <v/>
      </c>
    </row>
    <row r="38" spans="1:30" x14ac:dyDescent="0.25">
      <c r="A38" s="4">
        <v>42073</v>
      </c>
      <c r="B38">
        <v>0.68200000000000005</v>
      </c>
      <c r="C38" s="5">
        <v>1.0720000000000001</v>
      </c>
      <c r="D38">
        <v>1.609</v>
      </c>
      <c r="E38">
        <v>1.9390000000000001</v>
      </c>
      <c r="F38">
        <v>2.1310000000000002</v>
      </c>
      <c r="G38">
        <v>2.7229999999999999</v>
      </c>
      <c r="H38">
        <f t="shared" ca="1" si="6"/>
        <v>0.42720763723150346</v>
      </c>
      <c r="I38">
        <f t="shared" ca="1" si="6"/>
        <v>0.37060041407867483</v>
      </c>
      <c r="J38">
        <f t="shared" ca="1" si="6"/>
        <v>0.26310632043116117</v>
      </c>
      <c r="K38">
        <f t="shared" ca="1" si="6"/>
        <v>0.2277432712215321</v>
      </c>
      <c r="L38">
        <f t="shared" ca="1" si="6"/>
        <v>0.16168544830965217</v>
      </c>
      <c r="M38">
        <f t="shared" ca="1" si="6"/>
        <v>0.31161473087818697</v>
      </c>
      <c r="N38">
        <f t="shared" ca="1" si="6"/>
        <v>0.19987886129618421</v>
      </c>
      <c r="O38">
        <f t="shared" ca="1" si="6"/>
        <v>9.4071533561979503E-2</v>
      </c>
      <c r="P38">
        <f t="shared" ca="1" si="6"/>
        <v>0.11629315566323452</v>
      </c>
      <c r="Q38">
        <f t="shared" ca="1" si="6"/>
        <v>0.17235188509874344</v>
      </c>
      <c r="R38">
        <f t="shared" ca="1" si="6"/>
        <v>0.51886330230279287</v>
      </c>
      <c r="S38">
        <f t="shared" ca="1" si="6"/>
        <v>0.25575698187163171</v>
      </c>
      <c r="T38">
        <f t="shared" ca="1" si="6"/>
        <v>0.31617201695941871</v>
      </c>
      <c r="U38" s="5"/>
      <c r="V38" s="4">
        <f t="shared" si="5"/>
        <v>42073</v>
      </c>
      <c r="W38" s="5">
        <f t="shared" ca="1" si="4"/>
        <v>0.31161473087818697</v>
      </c>
      <c r="Z38" s="4" t="str">
        <f ca="1">IF(OFFSET(Sheet3!$A$1,0,0,300)="","",OFFSET(Sheet3!$A$1,0,0,300))</f>
        <v/>
      </c>
      <c r="AA38" s="5" t="str">
        <f ca="1">IF(OFFSET(Sheet3!$A$1,0,MATCH(W$1,Sheet3!$1:$1,0)-1,300)="","",OFFSET(Sheet3!$A$1,0,MATCH(W$1,Sheet3!$1:$1,0)-1,300))</f>
        <v/>
      </c>
      <c r="AB38" s="5" t="str">
        <f ca="1">IF(OFFSET(Sheet3!$A$1,0,MATCH(X$1,Sheet3!$1:$1,0)-1,300)="","",OFFSET(Sheet3!$A$1,0,MATCH(X$1,Sheet3!$1:$1,0)-1,300))</f>
        <v/>
      </c>
      <c r="AC38" t="str">
        <f t="shared" ca="1" si="0"/>
        <v/>
      </c>
      <c r="AD38" t="str">
        <f t="shared" ca="1" si="1"/>
        <v/>
      </c>
    </row>
    <row r="39" spans="1:30" x14ac:dyDescent="0.25">
      <c r="A39" s="4">
        <v>42072</v>
      </c>
      <c r="B39">
        <v>0.69399999999999995</v>
      </c>
      <c r="C39" s="5">
        <v>1.1040000000000001</v>
      </c>
      <c r="D39">
        <v>1.65</v>
      </c>
      <c r="E39">
        <v>1.992</v>
      </c>
      <c r="F39">
        <v>2.1920000000000002</v>
      </c>
      <c r="G39">
        <v>2.798</v>
      </c>
      <c r="H39">
        <f t="shared" ca="1" si="6"/>
        <v>0.42064714946070864</v>
      </c>
      <c r="I39">
        <f t="shared" ca="1" si="6"/>
        <v>0.36448598130841103</v>
      </c>
      <c r="J39">
        <f t="shared" ca="1" si="6"/>
        <v>0.25950570342205315</v>
      </c>
      <c r="K39">
        <f t="shared" ca="1" si="6"/>
        <v>0.22830440587449935</v>
      </c>
      <c r="L39">
        <f t="shared" ca="1" si="6"/>
        <v>0.1625475285171103</v>
      </c>
      <c r="M39">
        <f t="shared" ca="1" si="6"/>
        <v>0.3143382352941177</v>
      </c>
      <c r="N39">
        <f t="shared" ca="1" si="6"/>
        <v>0.20188902007083831</v>
      </c>
      <c r="O39">
        <f t="shared" ca="1" si="6"/>
        <v>9.5057034220532396E-2</v>
      </c>
      <c r="P39">
        <f t="shared" ca="1" si="6"/>
        <v>0.11806375442739089</v>
      </c>
      <c r="Q39">
        <f t="shared" ca="1" si="6"/>
        <v>0.17421602787456458</v>
      </c>
      <c r="R39">
        <f t="shared" ca="1" si="6"/>
        <v>0.5171102661596958</v>
      </c>
      <c r="S39">
        <f t="shared" ca="1" si="6"/>
        <v>0.25760456273764271</v>
      </c>
      <c r="T39">
        <f t="shared" ca="1" si="6"/>
        <v>0.31995277449822923</v>
      </c>
      <c r="U39" s="5"/>
      <c r="V39" s="4">
        <f t="shared" si="5"/>
        <v>42072</v>
      </c>
      <c r="W39" s="5">
        <f t="shared" ca="1" si="4"/>
        <v>0.3143382352941177</v>
      </c>
      <c r="Z39" s="4" t="str">
        <f ca="1">IF(OFFSET(Sheet3!$A$1,0,0,300)="","",OFFSET(Sheet3!$A$1,0,0,300))</f>
        <v/>
      </c>
      <c r="AA39" s="5" t="str">
        <f ca="1">IF(OFFSET(Sheet3!$A$1,0,MATCH(W$1,Sheet3!$1:$1,0)-1,300)="","",OFFSET(Sheet3!$A$1,0,MATCH(W$1,Sheet3!$1:$1,0)-1,300))</f>
        <v/>
      </c>
      <c r="AB39" s="5" t="str">
        <f ca="1">IF(OFFSET(Sheet3!$A$1,0,MATCH(X$1,Sheet3!$1:$1,0)-1,300)="","",OFFSET(Sheet3!$A$1,0,MATCH(X$1,Sheet3!$1:$1,0)-1,300))</f>
        <v/>
      </c>
      <c r="AC39" t="str">
        <f t="shared" ca="1" si="0"/>
        <v/>
      </c>
      <c r="AD39" t="str">
        <f t="shared" ca="1" si="1"/>
        <v/>
      </c>
    </row>
    <row r="40" spans="1:30" x14ac:dyDescent="0.25">
      <c r="A40" s="4">
        <v>42069</v>
      </c>
      <c r="B40">
        <v>0.72499999999999998</v>
      </c>
      <c r="C40" s="5">
        <v>1.1419999999999999</v>
      </c>
      <c r="D40">
        <v>1.6949999999999998</v>
      </c>
      <c r="E40">
        <v>2.0409999999999999</v>
      </c>
      <c r="F40">
        <v>2.242</v>
      </c>
      <c r="G40">
        <v>2.8410000000000002</v>
      </c>
      <c r="H40">
        <f t="shared" ca="1" si="6"/>
        <v>0.42021276595744683</v>
      </c>
      <c r="I40">
        <f t="shared" ca="1" si="6"/>
        <v>0.36453526697429134</v>
      </c>
      <c r="J40">
        <f t="shared" ca="1" si="6"/>
        <v>0.26134215500945174</v>
      </c>
      <c r="K40">
        <f t="shared" ca="1" si="6"/>
        <v>0.22808174027686229</v>
      </c>
      <c r="L40">
        <f t="shared" ca="1" si="6"/>
        <v>0.16351606805293009</v>
      </c>
      <c r="M40">
        <f t="shared" ca="1" si="6"/>
        <v>0.31454545454545457</v>
      </c>
      <c r="N40">
        <f t="shared" ca="1" si="6"/>
        <v>0.20364920541494999</v>
      </c>
      <c r="O40">
        <f t="shared" ca="1" si="6"/>
        <v>9.4990548204158823E-2</v>
      </c>
      <c r="P40">
        <f t="shared" ca="1" si="6"/>
        <v>0.1183048852266039</v>
      </c>
      <c r="Q40">
        <f t="shared" ca="1" si="6"/>
        <v>0.17539267015706808</v>
      </c>
      <c r="R40">
        <f t="shared" ca="1" si="6"/>
        <v>0.51984877126654061</v>
      </c>
      <c r="S40">
        <f t="shared" ca="1" si="6"/>
        <v>0.25850661625708893</v>
      </c>
      <c r="T40">
        <f t="shared" ca="1" si="6"/>
        <v>0.32195409064155389</v>
      </c>
      <c r="U40" s="5"/>
      <c r="V40" s="4">
        <f t="shared" si="5"/>
        <v>42069</v>
      </c>
      <c r="W40" s="5">
        <f t="shared" ca="1" si="4"/>
        <v>0.31454545454545457</v>
      </c>
      <c r="Z40" s="4" t="str">
        <f ca="1">IF(OFFSET(Sheet3!$A$1,0,0,300)="","",OFFSET(Sheet3!$A$1,0,0,300))</f>
        <v/>
      </c>
      <c r="AA40" s="5" t="str">
        <f ca="1">IF(OFFSET(Sheet3!$A$1,0,MATCH(W$1,Sheet3!$1:$1,0)-1,300)="","",OFFSET(Sheet3!$A$1,0,MATCH(W$1,Sheet3!$1:$1,0)-1,300))</f>
        <v/>
      </c>
      <c r="AB40" s="5" t="str">
        <f ca="1">IF(OFFSET(Sheet3!$A$1,0,MATCH(X$1,Sheet3!$1:$1,0)-1,300)="","",OFFSET(Sheet3!$A$1,0,MATCH(X$1,Sheet3!$1:$1,0)-1,300))</f>
        <v/>
      </c>
      <c r="AC40" t="str">
        <f t="shared" ca="1" si="0"/>
        <v/>
      </c>
      <c r="AD40" t="str">
        <f t="shared" ca="1" si="1"/>
        <v/>
      </c>
    </row>
    <row r="41" spans="1:30" x14ac:dyDescent="0.25">
      <c r="A41" s="4">
        <v>42068</v>
      </c>
      <c r="B41">
        <v>0.64100000000000001</v>
      </c>
      <c r="C41" s="5">
        <v>1.036</v>
      </c>
      <c r="D41">
        <v>1.5739999999999998</v>
      </c>
      <c r="E41">
        <v>1.9140000000000001</v>
      </c>
      <c r="F41">
        <v>2.1160000000000001</v>
      </c>
      <c r="G41">
        <v>2.7290000000000001</v>
      </c>
      <c r="H41">
        <f t="shared" ca="1" si="6"/>
        <v>0.42262372348782384</v>
      </c>
      <c r="I41">
        <f t="shared" ca="1" si="6"/>
        <v>0.36474576271186426</v>
      </c>
      <c r="J41">
        <f t="shared" ca="1" si="6"/>
        <v>0.25766283524904204</v>
      </c>
      <c r="K41">
        <f t="shared" ca="1" si="6"/>
        <v>0.23050847457627138</v>
      </c>
      <c r="L41">
        <f t="shared" ca="1" si="6"/>
        <v>0.16283524904214572</v>
      </c>
      <c r="M41">
        <f t="shared" ca="1" si="6"/>
        <v>0.31481481481481505</v>
      </c>
      <c r="N41">
        <f t="shared" ca="1" si="6"/>
        <v>0.20082693443591276</v>
      </c>
      <c r="O41">
        <f t="shared" ca="1" si="6"/>
        <v>9.6743295019157058E-2</v>
      </c>
      <c r="P41">
        <f t="shared" ca="1" si="6"/>
        <v>0.11931482575310097</v>
      </c>
      <c r="Q41">
        <f t="shared" ca="1" si="6"/>
        <v>0.17489177489177482</v>
      </c>
      <c r="R41">
        <f t="shared" ca="1" si="6"/>
        <v>0.51724137931034486</v>
      </c>
      <c r="S41">
        <f t="shared" ca="1" si="6"/>
        <v>0.25957854406130282</v>
      </c>
      <c r="T41">
        <f t="shared" ca="1" si="6"/>
        <v>0.32014176018901375</v>
      </c>
      <c r="U41" s="5"/>
      <c r="V41" s="4">
        <f t="shared" si="5"/>
        <v>42068</v>
      </c>
      <c r="W41" s="5">
        <f t="shared" ca="1" si="4"/>
        <v>0.31481481481481505</v>
      </c>
      <c r="Z41" s="4" t="str">
        <f ca="1">IF(OFFSET(Sheet3!$A$1,0,0,300)="","",OFFSET(Sheet3!$A$1,0,0,300))</f>
        <v/>
      </c>
      <c r="AA41" s="5" t="str">
        <f ca="1">IF(OFFSET(Sheet3!$A$1,0,MATCH(W$1,Sheet3!$1:$1,0)-1,300)="","",OFFSET(Sheet3!$A$1,0,MATCH(W$1,Sheet3!$1:$1,0)-1,300))</f>
        <v/>
      </c>
      <c r="AB41" s="5" t="str">
        <f ca="1">IF(OFFSET(Sheet3!$A$1,0,MATCH(X$1,Sheet3!$1:$1,0)-1,300)="","",OFFSET(Sheet3!$A$1,0,MATCH(X$1,Sheet3!$1:$1,0)-1,300))</f>
        <v/>
      </c>
      <c r="AC41" t="str">
        <f t="shared" ca="1" si="0"/>
        <v/>
      </c>
      <c r="AD41" t="str">
        <f t="shared" ca="1" si="1"/>
        <v/>
      </c>
    </row>
    <row r="42" spans="1:30" x14ac:dyDescent="0.25">
      <c r="A42" s="4">
        <v>42067</v>
      </c>
      <c r="B42">
        <v>0.65700000000000003</v>
      </c>
      <c r="C42" s="5">
        <v>1.0469999999999999</v>
      </c>
      <c r="D42">
        <v>1.5880000000000001</v>
      </c>
      <c r="E42">
        <v>1.9260000000000002</v>
      </c>
      <c r="F42">
        <v>2.1179999999999999</v>
      </c>
      <c r="G42">
        <v>2.7210000000000001</v>
      </c>
      <c r="H42">
        <f t="shared" ca="1" si="6"/>
        <v>0.42631993695823489</v>
      </c>
      <c r="I42">
        <f t="shared" ca="1" si="6"/>
        <v>0.37029431895961684</v>
      </c>
      <c r="J42">
        <f t="shared" ca="1" si="6"/>
        <v>0.26211240310077527</v>
      </c>
      <c r="K42">
        <f t="shared" ca="1" si="6"/>
        <v>0.23134839151266265</v>
      </c>
      <c r="L42">
        <f t="shared" ca="1" si="6"/>
        <v>0.16375968992248066</v>
      </c>
      <c r="M42">
        <f t="shared" ca="1" si="6"/>
        <v>0.31559290382819805</v>
      </c>
      <c r="N42">
        <f t="shared" ca="1" si="6"/>
        <v>0.20191158900836323</v>
      </c>
      <c r="O42">
        <f t="shared" ca="1" si="6"/>
        <v>9.3023255813953348E-2</v>
      </c>
      <c r="P42">
        <f t="shared" ca="1" si="6"/>
        <v>0.11469534050179193</v>
      </c>
      <c r="Q42">
        <f t="shared" ca="1" si="6"/>
        <v>0.16946160635481</v>
      </c>
      <c r="R42">
        <f t="shared" ca="1" si="6"/>
        <v>0.51889534883720922</v>
      </c>
      <c r="S42">
        <f t="shared" ca="1" si="6"/>
        <v>0.25678294573643401</v>
      </c>
      <c r="T42">
        <f t="shared" ca="1" si="6"/>
        <v>0.31660692951015518</v>
      </c>
      <c r="U42" s="5"/>
      <c r="V42" s="4">
        <f t="shared" si="5"/>
        <v>42067</v>
      </c>
      <c r="W42" s="5">
        <f t="shared" ca="1" si="4"/>
        <v>0.31559290382819805</v>
      </c>
      <c r="Z42" s="4" t="str">
        <f ca="1">IF(OFFSET(Sheet3!$A$1,0,0,300)="","",OFFSET(Sheet3!$A$1,0,0,300))</f>
        <v/>
      </c>
      <c r="AA42" s="5" t="str">
        <f ca="1">IF(OFFSET(Sheet3!$A$1,0,MATCH(W$1,Sheet3!$1:$1,0)-1,300)="","",OFFSET(Sheet3!$A$1,0,MATCH(W$1,Sheet3!$1:$1,0)-1,300))</f>
        <v/>
      </c>
      <c r="AB42" s="5" t="str">
        <f ca="1">IF(OFFSET(Sheet3!$A$1,0,MATCH(X$1,Sheet3!$1:$1,0)-1,300)="","",OFFSET(Sheet3!$A$1,0,MATCH(X$1,Sheet3!$1:$1,0)-1,300))</f>
        <v/>
      </c>
      <c r="AC42" t="str">
        <f t="shared" ca="1" si="0"/>
        <v/>
      </c>
      <c r="AD42" t="str">
        <f t="shared" ca="1" si="1"/>
        <v/>
      </c>
    </row>
    <row r="43" spans="1:30" x14ac:dyDescent="0.25">
      <c r="A43" s="4">
        <v>42066</v>
      </c>
      <c r="B43">
        <v>0.68</v>
      </c>
      <c r="C43" s="5">
        <v>1.0740000000000001</v>
      </c>
      <c r="D43">
        <v>1.6059999999999999</v>
      </c>
      <c r="E43">
        <v>1.9359999999999999</v>
      </c>
      <c r="F43">
        <v>2.12</v>
      </c>
      <c r="G43">
        <v>2.7149999999999999</v>
      </c>
      <c r="H43">
        <f t="shared" ca="1" si="6"/>
        <v>0.42356687898089163</v>
      </c>
      <c r="I43">
        <f t="shared" ca="1" si="6"/>
        <v>0.3694444444444443</v>
      </c>
      <c r="J43">
        <f t="shared" ca="1" si="6"/>
        <v>0.26142506142506139</v>
      </c>
      <c r="K43">
        <f t="shared" ca="1" si="6"/>
        <v>0.22916666666666671</v>
      </c>
      <c r="L43">
        <f t="shared" ca="1" si="6"/>
        <v>0.16216216216216223</v>
      </c>
      <c r="M43">
        <f t="shared" ca="1" si="6"/>
        <v>0.31548757170172087</v>
      </c>
      <c r="N43">
        <f t="shared" ca="1" si="6"/>
        <v>0.20109689213893975</v>
      </c>
      <c r="O43">
        <f t="shared" ca="1" si="6"/>
        <v>9.0417690417690516E-2</v>
      </c>
      <c r="P43">
        <f t="shared" ca="1" si="6"/>
        <v>0.1121267519804998</v>
      </c>
      <c r="Q43">
        <f t="shared" ca="1" si="6"/>
        <v>0.16591523895401278</v>
      </c>
      <c r="R43">
        <f t="shared" ca="1" si="6"/>
        <v>0.5140049140049141</v>
      </c>
      <c r="S43">
        <f t="shared" ca="1" si="6"/>
        <v>0.25257985257985271</v>
      </c>
      <c r="T43">
        <f t="shared" ca="1" si="6"/>
        <v>0.31322364411943954</v>
      </c>
      <c r="U43" s="5"/>
      <c r="V43" s="4">
        <f t="shared" si="5"/>
        <v>42066</v>
      </c>
      <c r="W43" s="5">
        <f t="shared" ca="1" si="4"/>
        <v>0.31548757170172087</v>
      </c>
      <c r="Z43" s="4" t="str">
        <f ca="1">IF(OFFSET(Sheet3!$A$1,0,0,300)="","",OFFSET(Sheet3!$A$1,0,0,300))</f>
        <v/>
      </c>
      <c r="AA43" s="5" t="str">
        <f ca="1">IF(OFFSET(Sheet3!$A$1,0,MATCH(W$1,Sheet3!$1:$1,0)-1,300)="","",OFFSET(Sheet3!$A$1,0,MATCH(W$1,Sheet3!$1:$1,0)-1,300))</f>
        <v/>
      </c>
      <c r="AB43" s="5" t="str">
        <f ca="1">IF(OFFSET(Sheet3!$A$1,0,MATCH(X$1,Sheet3!$1:$1,0)-1,300)="","",OFFSET(Sheet3!$A$1,0,MATCH(X$1,Sheet3!$1:$1,0)-1,300))</f>
        <v/>
      </c>
      <c r="AC43" t="str">
        <f t="shared" ca="1" si="0"/>
        <v/>
      </c>
      <c r="AD43" t="str">
        <f t="shared" ca="1" si="1"/>
        <v/>
      </c>
    </row>
    <row r="44" spans="1:30" x14ac:dyDescent="0.25">
      <c r="A44" s="4">
        <v>42065</v>
      </c>
      <c r="B44">
        <v>0.66400000000000003</v>
      </c>
      <c r="C44" s="5">
        <v>1.05</v>
      </c>
      <c r="D44">
        <v>1.575</v>
      </c>
      <c r="E44">
        <v>1.9020000000000001</v>
      </c>
      <c r="F44">
        <v>2.0830000000000002</v>
      </c>
      <c r="G44">
        <v>2.6819999999999999</v>
      </c>
      <c r="H44">
        <f t="shared" ca="1" si="6"/>
        <v>0.42407108239095309</v>
      </c>
      <c r="I44">
        <f t="shared" ca="1" si="6"/>
        <v>0.36997885835095129</v>
      </c>
      <c r="J44">
        <f t="shared" ca="1" si="6"/>
        <v>0.26015857284440036</v>
      </c>
      <c r="K44">
        <f t="shared" ca="1" si="6"/>
        <v>0.23044397463002125</v>
      </c>
      <c r="L44">
        <f t="shared" ca="1" si="6"/>
        <v>0.1620416253716552</v>
      </c>
      <c r="M44">
        <f t="shared" ca="1" si="6"/>
        <v>0.31655372700871259</v>
      </c>
      <c r="N44">
        <f t="shared" ca="1" si="6"/>
        <v>0.20036764705882365</v>
      </c>
      <c r="O44">
        <f t="shared" ca="1" si="6"/>
        <v>8.9692765113974268E-2</v>
      </c>
      <c r="P44">
        <f t="shared" ca="1" si="6"/>
        <v>0.11090686274509808</v>
      </c>
      <c r="Q44">
        <f t="shared" ca="1" si="6"/>
        <v>0.1635049683830172</v>
      </c>
      <c r="R44">
        <f t="shared" ca="1" si="6"/>
        <v>0.51189296333002987</v>
      </c>
      <c r="S44">
        <f t="shared" ca="1" si="6"/>
        <v>0.25173439048562946</v>
      </c>
      <c r="T44">
        <f t="shared" ca="1" si="6"/>
        <v>0.31127450980392174</v>
      </c>
      <c r="U44" s="5"/>
      <c r="V44" s="4">
        <f t="shared" si="5"/>
        <v>42065</v>
      </c>
      <c r="W44" s="5">
        <f t="shared" ca="1" si="4"/>
        <v>0.31655372700871259</v>
      </c>
      <c r="Z44" s="4" t="str">
        <f ca="1">IF(OFFSET(Sheet3!$A$1,0,0,300)="","",OFFSET(Sheet3!$A$1,0,0,300))</f>
        <v/>
      </c>
      <c r="AA44" s="5" t="str">
        <f ca="1">IF(OFFSET(Sheet3!$A$1,0,MATCH(W$1,Sheet3!$1:$1,0)-1,300)="","",OFFSET(Sheet3!$A$1,0,MATCH(W$1,Sheet3!$1:$1,0)-1,300))</f>
        <v/>
      </c>
      <c r="AB44" s="5" t="str">
        <f ca="1">IF(OFFSET(Sheet3!$A$1,0,MATCH(X$1,Sheet3!$1:$1,0)-1,300)="","",OFFSET(Sheet3!$A$1,0,MATCH(X$1,Sheet3!$1:$1,0)-1,300))</f>
        <v/>
      </c>
      <c r="AC44" t="str">
        <f t="shared" ca="1" si="0"/>
        <v/>
      </c>
      <c r="AD44" t="str">
        <f t="shared" ca="1" si="1"/>
        <v/>
      </c>
    </row>
    <row r="45" spans="1:30" x14ac:dyDescent="0.25">
      <c r="A45" s="4">
        <v>42062</v>
      </c>
      <c r="B45">
        <v>0.62</v>
      </c>
      <c r="C45" s="5">
        <v>0.999</v>
      </c>
      <c r="D45">
        <v>1.5</v>
      </c>
      <c r="E45">
        <v>1.8180000000000001</v>
      </c>
      <c r="F45">
        <v>1.994</v>
      </c>
      <c r="G45">
        <v>2.5910000000000002</v>
      </c>
      <c r="H45">
        <f t="shared" ref="H45:T60" ca="1" si="7">IF(ISERROR(ABS(OFFSET($A$11,ROW()-11,MATCH(LEFT(H$9,2),$A$11:$G$11,0)-1)-OFFSET($A$11,ROW()-11,MATCH(RIGHT(H$9,2),$A$11:$G$11,0)-1))/ABS(OFFSET($A$11,ROW()-11,MATCH(LEFT(H$10,2),$A$11:$G$11,0)-1)-OFFSET($A$11,ROW()-11,MATCH(RIGHT(H$10,2),$A$11:$G$11,0)-1))),"",ABS(OFFSET($A$11,ROW()-11,MATCH(LEFT(H$9,2),$A$11:$G$11,0)-1)-OFFSET($A$11,ROW()-11,MATCH(RIGHT(H$9,2),$A$11:$G$11,0)-1))/ABS(OFFSET($A$11,ROW()-11,MATCH(LEFT(H$10,2),$A$11:$G$11,0)-1)-OFFSET($A$11,ROW()-11,MATCH(RIGHT(H$10,2),$A$11:$G$11,0)-1)))</f>
        <v>0.41819699499165275</v>
      </c>
      <c r="I45">
        <f t="shared" ca="1" si="7"/>
        <v>0.36462882096069865</v>
      </c>
      <c r="J45">
        <f t="shared" ca="1" si="7"/>
        <v>0.25418569254185691</v>
      </c>
      <c r="K45">
        <f t="shared" ca="1" si="7"/>
        <v>0.23144104803493451</v>
      </c>
      <c r="L45">
        <f t="shared" ca="1" si="7"/>
        <v>0.16133942161339423</v>
      </c>
      <c r="M45">
        <f t="shared" ca="1" si="7"/>
        <v>0.31959798994974881</v>
      </c>
      <c r="N45">
        <f t="shared" ca="1" si="7"/>
        <v>0.199748743718593</v>
      </c>
      <c r="O45">
        <f t="shared" ca="1" si="7"/>
        <v>8.9294774226281043E-2</v>
      </c>
      <c r="P45">
        <f t="shared" ca="1" si="7"/>
        <v>0.11055276381909543</v>
      </c>
      <c r="Q45">
        <f t="shared" ca="1" si="7"/>
        <v>0.1613198900091658</v>
      </c>
      <c r="R45">
        <f t="shared" ca="1" si="7"/>
        <v>0.50481988838153224</v>
      </c>
      <c r="S45">
        <f t="shared" ca="1" si="7"/>
        <v>0.25063419583967528</v>
      </c>
      <c r="T45">
        <f t="shared" ca="1" si="7"/>
        <v>0.31030150753768843</v>
      </c>
      <c r="U45" s="5"/>
      <c r="V45" s="4">
        <f t="shared" si="5"/>
        <v>42062</v>
      </c>
      <c r="W45" s="5">
        <f t="shared" ca="1" si="4"/>
        <v>0.31959798994974881</v>
      </c>
      <c r="Z45" s="4" t="str">
        <f ca="1">IF(OFFSET(Sheet3!$A$1,0,0,300)="","",OFFSET(Sheet3!$A$1,0,0,300))</f>
        <v/>
      </c>
      <c r="AA45" s="5" t="str">
        <f ca="1">IF(OFFSET(Sheet3!$A$1,0,MATCH(W$1,Sheet3!$1:$1,0)-1,300)="","",OFFSET(Sheet3!$A$1,0,MATCH(W$1,Sheet3!$1:$1,0)-1,300))</f>
        <v/>
      </c>
      <c r="AB45" s="5" t="str">
        <f ca="1">IF(OFFSET(Sheet3!$A$1,0,MATCH(X$1,Sheet3!$1:$1,0)-1,300)="","",OFFSET(Sheet3!$A$1,0,MATCH(X$1,Sheet3!$1:$1,0)-1,300))</f>
        <v/>
      </c>
      <c r="AC45" t="str">
        <f t="shared" ca="1" si="0"/>
        <v/>
      </c>
      <c r="AD45" t="str">
        <f t="shared" ca="1" si="1"/>
        <v/>
      </c>
    </row>
    <row r="46" spans="1:30" x14ac:dyDescent="0.25">
      <c r="A46" s="4">
        <v>42061</v>
      </c>
      <c r="B46">
        <v>0.64800000000000002</v>
      </c>
      <c r="C46" s="5">
        <v>1.0229999999999999</v>
      </c>
      <c r="D46">
        <v>1.5369999999999999</v>
      </c>
      <c r="E46">
        <v>1.849</v>
      </c>
      <c r="F46">
        <v>2.0299999999999998</v>
      </c>
      <c r="G46">
        <v>2.63</v>
      </c>
      <c r="H46">
        <f t="shared" ca="1" si="7"/>
        <v>0.4279766860949209</v>
      </c>
      <c r="I46">
        <f t="shared" ca="1" si="7"/>
        <v>0.37192474674384957</v>
      </c>
      <c r="J46">
        <f t="shared" ca="1" si="7"/>
        <v>0.25933400605449047</v>
      </c>
      <c r="K46">
        <f t="shared" ca="1" si="7"/>
        <v>0.22575976845151963</v>
      </c>
      <c r="L46">
        <f t="shared" ca="1" si="7"/>
        <v>0.15741675075681136</v>
      </c>
      <c r="M46">
        <f t="shared" ca="1" si="7"/>
        <v>0.30983118172790475</v>
      </c>
      <c r="N46">
        <f t="shared" ca="1" si="7"/>
        <v>0.19415059116365901</v>
      </c>
      <c r="O46">
        <f t="shared" ca="1" si="7"/>
        <v>9.1321897073662894E-2</v>
      </c>
      <c r="P46">
        <f t="shared" ca="1" si="7"/>
        <v>0.11263223397635334</v>
      </c>
      <c r="Q46">
        <f t="shared" ca="1" si="7"/>
        <v>0.16559926806953323</v>
      </c>
      <c r="R46">
        <f t="shared" ca="1" si="7"/>
        <v>0.5080726538849647</v>
      </c>
      <c r="S46">
        <f t="shared" ca="1" si="7"/>
        <v>0.24873864783047425</v>
      </c>
      <c r="T46">
        <f t="shared" ca="1" si="7"/>
        <v>0.30678282514001237</v>
      </c>
      <c r="U46" s="5"/>
      <c r="V46" s="4">
        <f t="shared" si="5"/>
        <v>42061</v>
      </c>
      <c r="W46" s="5">
        <f t="shared" ca="1" si="4"/>
        <v>0.30983118172790475</v>
      </c>
      <c r="Z46" s="4" t="str">
        <f ca="1">IF(OFFSET(Sheet3!$A$1,0,0,300)="","",OFFSET(Sheet3!$A$1,0,0,300))</f>
        <v/>
      </c>
      <c r="AA46" s="5" t="str">
        <f ca="1">IF(OFFSET(Sheet3!$A$1,0,MATCH(W$1,Sheet3!$1:$1,0)-1,300)="","",OFFSET(Sheet3!$A$1,0,MATCH(W$1,Sheet3!$1:$1,0)-1,300))</f>
        <v/>
      </c>
      <c r="AB46" s="5" t="str">
        <f ca="1">IF(OFFSET(Sheet3!$A$1,0,MATCH(X$1,Sheet3!$1:$1,0)-1,300)="","",OFFSET(Sheet3!$A$1,0,MATCH(X$1,Sheet3!$1:$1,0)-1,300))</f>
        <v/>
      </c>
      <c r="AC46" t="str">
        <f t="shared" ca="1" si="0"/>
        <v/>
      </c>
      <c r="AD46" t="str">
        <f t="shared" ca="1" si="1"/>
        <v/>
      </c>
    </row>
    <row r="47" spans="1:30" x14ac:dyDescent="0.25">
      <c r="A47" s="4">
        <v>42060</v>
      </c>
      <c r="B47">
        <v>0.60499999999999998</v>
      </c>
      <c r="C47" s="5">
        <v>0.96699999999999997</v>
      </c>
      <c r="D47">
        <v>1.454</v>
      </c>
      <c r="E47">
        <v>1.778</v>
      </c>
      <c r="F47">
        <v>1.97</v>
      </c>
      <c r="G47">
        <v>2.5709999999999997</v>
      </c>
      <c r="H47">
        <f t="shared" ca="1" si="7"/>
        <v>0.41517476555839727</v>
      </c>
      <c r="I47">
        <f t="shared" ca="1" si="7"/>
        <v>0.35677655677655679</v>
      </c>
      <c r="J47">
        <f t="shared" ca="1" si="7"/>
        <v>0.24771108850457785</v>
      </c>
      <c r="K47">
        <f t="shared" ca="1" si="7"/>
        <v>0.23736263736263741</v>
      </c>
      <c r="L47">
        <f t="shared" ca="1" si="7"/>
        <v>0.1648016276703968</v>
      </c>
      <c r="M47">
        <f t="shared" ca="1" si="7"/>
        <v>0.32303090727816552</v>
      </c>
      <c r="N47">
        <f t="shared" ca="1" si="7"/>
        <v>0.20199501246882801</v>
      </c>
      <c r="O47">
        <f t="shared" ca="1" si="7"/>
        <v>9.7660223804679536E-2</v>
      </c>
      <c r="P47">
        <f t="shared" ca="1" si="7"/>
        <v>0.11970074812967581</v>
      </c>
      <c r="Q47">
        <f t="shared" ca="1" si="7"/>
        <v>0.17188898836168306</v>
      </c>
      <c r="R47">
        <f t="shared" ca="1" si="7"/>
        <v>0.51017293997965429</v>
      </c>
      <c r="S47">
        <f t="shared" ca="1" si="7"/>
        <v>0.26246185147507634</v>
      </c>
      <c r="T47">
        <f t="shared" ca="1" si="7"/>
        <v>0.3216957605985038</v>
      </c>
      <c r="U47" s="5"/>
      <c r="V47" s="4">
        <f t="shared" si="5"/>
        <v>42060</v>
      </c>
      <c r="W47" s="5">
        <f t="shared" ca="1" si="4"/>
        <v>0.32303090727816552</v>
      </c>
      <c r="Z47" s="4" t="str">
        <f ca="1">IF(OFFSET(Sheet3!$A$1,0,0,300)="","",OFFSET(Sheet3!$A$1,0,0,300))</f>
        <v/>
      </c>
      <c r="AA47" s="5" t="str">
        <f ca="1">IF(OFFSET(Sheet3!$A$1,0,MATCH(W$1,Sheet3!$1:$1,0)-1,300)="","",OFFSET(Sheet3!$A$1,0,MATCH(W$1,Sheet3!$1:$1,0)-1,300))</f>
        <v/>
      </c>
      <c r="AB47" s="5" t="str">
        <f ca="1">IF(OFFSET(Sheet3!$A$1,0,MATCH(X$1,Sheet3!$1:$1,0)-1,300)="","",OFFSET(Sheet3!$A$1,0,MATCH(X$1,Sheet3!$1:$1,0)-1,300))</f>
        <v/>
      </c>
      <c r="AC47" t="str">
        <f t="shared" ca="1" si="0"/>
        <v/>
      </c>
      <c r="AD47" t="str">
        <f t="shared" ca="1" si="1"/>
        <v/>
      </c>
    </row>
    <row r="48" spans="1:30" x14ac:dyDescent="0.25">
      <c r="A48" s="4">
        <v>42059</v>
      </c>
      <c r="B48">
        <v>0.55500000000000005</v>
      </c>
      <c r="C48" s="5">
        <v>0.95899999999999996</v>
      </c>
      <c r="D48">
        <v>1.4570000000000001</v>
      </c>
      <c r="E48">
        <v>1.7829999999999999</v>
      </c>
      <c r="F48">
        <v>1.9809999999999999</v>
      </c>
      <c r="G48">
        <v>2.593</v>
      </c>
      <c r="H48">
        <f t="shared" ca="1" si="7"/>
        <v>0.4055374592833878</v>
      </c>
      <c r="I48">
        <f t="shared" ca="1" si="7"/>
        <v>0.34922861150070139</v>
      </c>
      <c r="J48">
        <f t="shared" ca="1" si="7"/>
        <v>0.24435721295387641</v>
      </c>
      <c r="K48">
        <f t="shared" ca="1" si="7"/>
        <v>0.22861150070126221</v>
      </c>
      <c r="L48">
        <f t="shared" ca="1" si="7"/>
        <v>0.1599607458292443</v>
      </c>
      <c r="M48">
        <f t="shared" ca="1" si="7"/>
        <v>0.31898238747553809</v>
      </c>
      <c r="N48">
        <f t="shared" ca="1" si="7"/>
        <v>0.19951040391676858</v>
      </c>
      <c r="O48">
        <f t="shared" ca="1" si="7"/>
        <v>9.7154072620215887E-2</v>
      </c>
      <c r="P48">
        <f t="shared" ca="1" si="7"/>
        <v>0.12117503059975518</v>
      </c>
      <c r="Q48">
        <f t="shared" ca="1" si="7"/>
        <v>0.17429577464788729</v>
      </c>
      <c r="R48">
        <f t="shared" ca="1" si="7"/>
        <v>0.50147203140333652</v>
      </c>
      <c r="S48">
        <f t="shared" ca="1" si="7"/>
        <v>0.25711481844946016</v>
      </c>
      <c r="T48">
        <f t="shared" ca="1" si="7"/>
        <v>0.32068543451652376</v>
      </c>
      <c r="U48" s="5"/>
      <c r="V48" s="4">
        <f t="shared" si="5"/>
        <v>42059</v>
      </c>
      <c r="W48" s="5">
        <f t="shared" ca="1" si="4"/>
        <v>0.31898238747553809</v>
      </c>
      <c r="Z48" s="4" t="str">
        <f ca="1">IF(OFFSET(Sheet3!$A$1,0,0,300)="","",OFFSET(Sheet3!$A$1,0,0,300))</f>
        <v/>
      </c>
      <c r="AA48" s="5" t="str">
        <f ca="1">IF(OFFSET(Sheet3!$A$1,0,MATCH(W$1,Sheet3!$1:$1,0)-1,300)="","",OFFSET(Sheet3!$A$1,0,MATCH(W$1,Sheet3!$1:$1,0)-1,300))</f>
        <v/>
      </c>
      <c r="AB48" s="5" t="str">
        <f ca="1">IF(OFFSET(Sheet3!$A$1,0,MATCH(X$1,Sheet3!$1:$1,0)-1,300)="","",OFFSET(Sheet3!$A$1,0,MATCH(X$1,Sheet3!$1:$1,0)-1,300))</f>
        <v/>
      </c>
      <c r="AC48" t="str">
        <f t="shared" ca="1" si="0"/>
        <v/>
      </c>
      <c r="AD48" t="str">
        <f t="shared" ca="1" si="1"/>
        <v/>
      </c>
    </row>
    <row r="49" spans="1:30" x14ac:dyDescent="0.25">
      <c r="A49" s="4">
        <v>42058</v>
      </c>
      <c r="B49">
        <v>0.60399999999999998</v>
      </c>
      <c r="C49" s="5">
        <v>1.02</v>
      </c>
      <c r="D49">
        <v>1.5409999999999999</v>
      </c>
      <c r="E49">
        <v>1.8679999999999999</v>
      </c>
      <c r="F49">
        <v>2.0579999999999998</v>
      </c>
      <c r="G49">
        <v>2.6579999999999999</v>
      </c>
      <c r="H49">
        <f t="shared" ca="1" si="7"/>
        <v>0.41218354430379744</v>
      </c>
      <c r="I49">
        <f t="shared" ca="1" si="7"/>
        <v>0.35832187070151306</v>
      </c>
      <c r="J49">
        <f t="shared" ca="1" si="7"/>
        <v>0.25365141187925994</v>
      </c>
      <c r="K49">
        <f t="shared" ca="1" si="7"/>
        <v>0.22489683631361762</v>
      </c>
      <c r="L49">
        <f t="shared" ca="1" si="7"/>
        <v>0.15920155793573515</v>
      </c>
      <c r="M49">
        <f t="shared" ca="1" si="7"/>
        <v>0.31502890173410408</v>
      </c>
      <c r="N49">
        <f t="shared" ca="1" si="7"/>
        <v>0.19963369963369962</v>
      </c>
      <c r="O49">
        <f t="shared" ca="1" si="7"/>
        <v>9.2502434274586154E-2</v>
      </c>
      <c r="P49">
        <f t="shared" ca="1" si="7"/>
        <v>0.11599511599511597</v>
      </c>
      <c r="Q49">
        <f t="shared" ca="1" si="7"/>
        <v>0.17009847806624884</v>
      </c>
      <c r="R49">
        <f t="shared" ca="1" si="7"/>
        <v>0.50535540408958124</v>
      </c>
      <c r="S49">
        <f t="shared" ca="1" si="7"/>
        <v>0.2517039922103213</v>
      </c>
      <c r="T49">
        <f t="shared" ca="1" si="7"/>
        <v>0.31562881562881556</v>
      </c>
      <c r="U49" s="5"/>
      <c r="V49" s="4">
        <f t="shared" si="5"/>
        <v>42058</v>
      </c>
      <c r="W49" s="5">
        <f t="shared" ca="1" si="4"/>
        <v>0.31502890173410408</v>
      </c>
      <c r="Z49" s="4" t="str">
        <f ca="1">IF(OFFSET(Sheet3!$A$1,0,0,300)="","",OFFSET(Sheet3!$A$1,0,0,300))</f>
        <v/>
      </c>
      <c r="AA49" s="5" t="str">
        <f ca="1">IF(OFFSET(Sheet3!$A$1,0,MATCH(W$1,Sheet3!$1:$1,0)-1,300)="","",OFFSET(Sheet3!$A$1,0,MATCH(W$1,Sheet3!$1:$1,0)-1,300))</f>
        <v/>
      </c>
      <c r="AB49" s="5" t="str">
        <f ca="1">IF(OFFSET(Sheet3!$A$1,0,MATCH(X$1,Sheet3!$1:$1,0)-1,300)="","",OFFSET(Sheet3!$A$1,0,MATCH(X$1,Sheet3!$1:$1,0)-1,300))</f>
        <v/>
      </c>
      <c r="AC49" t="str">
        <f t="shared" ca="1" si="0"/>
        <v/>
      </c>
      <c r="AD49" t="str">
        <f t="shared" ca="1" si="1"/>
        <v/>
      </c>
    </row>
    <row r="50" spans="1:30" x14ac:dyDescent="0.25">
      <c r="A50" s="4">
        <v>42055</v>
      </c>
      <c r="B50">
        <v>0.63400000000000001</v>
      </c>
      <c r="C50" s="5">
        <v>1.052</v>
      </c>
      <c r="D50">
        <v>1.5859999999999999</v>
      </c>
      <c r="E50">
        <v>1.9220000000000002</v>
      </c>
      <c r="F50">
        <v>2.113</v>
      </c>
      <c r="G50">
        <v>2.7149999999999999</v>
      </c>
      <c r="H50">
        <f t="shared" ca="1" si="7"/>
        <v>0.41459627329192522</v>
      </c>
      <c r="I50">
        <f t="shared" ca="1" si="7"/>
        <v>0.36105476673427978</v>
      </c>
      <c r="J50">
        <f t="shared" ca="1" si="7"/>
        <v>0.25660740028832285</v>
      </c>
      <c r="K50">
        <f t="shared" ca="1" si="7"/>
        <v>0.22718052738336733</v>
      </c>
      <c r="L50">
        <f t="shared" ca="1" si="7"/>
        <v>0.161460836136473</v>
      </c>
      <c r="M50">
        <f t="shared" ca="1" si="7"/>
        <v>0.31668237511781366</v>
      </c>
      <c r="N50">
        <f t="shared" ca="1" si="7"/>
        <v>0.20204449789537002</v>
      </c>
      <c r="O50">
        <f t="shared" ca="1" si="7"/>
        <v>9.1782796732340147E-2</v>
      </c>
      <c r="P50">
        <f t="shared" ca="1" si="7"/>
        <v>0.11485267588695121</v>
      </c>
      <c r="Q50">
        <f t="shared" ca="1" si="7"/>
        <v>0.16917626217891926</v>
      </c>
      <c r="R50">
        <f t="shared" ca="1" si="7"/>
        <v>0.50985103315713598</v>
      </c>
      <c r="S50">
        <f t="shared" ca="1" si="7"/>
        <v>0.25324363286881313</v>
      </c>
      <c r="T50">
        <f t="shared" ca="1" si="7"/>
        <v>0.31689717378232124</v>
      </c>
      <c r="U50" s="5"/>
      <c r="V50" s="4">
        <f t="shared" si="5"/>
        <v>42055</v>
      </c>
      <c r="W50" s="5">
        <f t="shared" ca="1" si="4"/>
        <v>0.31668237511781366</v>
      </c>
      <c r="Z50" s="4" t="str">
        <f ca="1">IF(OFFSET(Sheet3!$A$1,0,0,300)="","",OFFSET(Sheet3!$A$1,0,0,300))</f>
        <v/>
      </c>
      <c r="AA50" s="5" t="str">
        <f ca="1">IF(OFFSET(Sheet3!$A$1,0,MATCH(W$1,Sheet3!$1:$1,0)-1,300)="","",OFFSET(Sheet3!$A$1,0,MATCH(W$1,Sheet3!$1:$1,0)-1,300))</f>
        <v/>
      </c>
      <c r="AB50" s="5" t="str">
        <f ca="1">IF(OFFSET(Sheet3!$A$1,0,MATCH(X$1,Sheet3!$1:$1,0)-1,300)="","",OFFSET(Sheet3!$A$1,0,MATCH(X$1,Sheet3!$1:$1,0)-1,300))</f>
        <v/>
      </c>
      <c r="AC50" t="str">
        <f t="shared" ca="1" si="0"/>
        <v/>
      </c>
      <c r="AD50" t="str">
        <f t="shared" ca="1" si="1"/>
        <v/>
      </c>
    </row>
    <row r="51" spans="1:30" x14ac:dyDescent="0.25">
      <c r="A51" s="4">
        <v>42054</v>
      </c>
      <c r="B51">
        <v>0.61899999999999999</v>
      </c>
      <c r="C51" s="5">
        <v>1.044</v>
      </c>
      <c r="D51">
        <v>1.577</v>
      </c>
      <c r="E51">
        <v>1.921</v>
      </c>
      <c r="F51">
        <v>2.1150000000000002</v>
      </c>
      <c r="G51">
        <v>2.7349999999999999</v>
      </c>
      <c r="H51">
        <f t="shared" ca="1" si="7"/>
        <v>0.40937019969278027</v>
      </c>
      <c r="I51">
        <f t="shared" ca="1" si="7"/>
        <v>0.35628342245989292</v>
      </c>
      <c r="J51">
        <f t="shared" ca="1" si="7"/>
        <v>0.25189035916824198</v>
      </c>
      <c r="K51">
        <f t="shared" ca="1" si="7"/>
        <v>0.22994652406417115</v>
      </c>
      <c r="L51">
        <f t="shared" ca="1" si="7"/>
        <v>0.16257088846880913</v>
      </c>
      <c r="M51">
        <f t="shared" ca="1" si="7"/>
        <v>0.32119514472455651</v>
      </c>
      <c r="N51">
        <f t="shared" ca="1" si="7"/>
        <v>0.20342992312241284</v>
      </c>
      <c r="O51">
        <f t="shared" ca="1" si="7"/>
        <v>9.1682419659735448E-2</v>
      </c>
      <c r="P51">
        <f t="shared" ca="1" si="7"/>
        <v>0.11472501478415151</v>
      </c>
      <c r="Q51">
        <f t="shared" ca="1" si="7"/>
        <v>0.16753022452504335</v>
      </c>
      <c r="R51">
        <f t="shared" ca="1" si="7"/>
        <v>0.5061436672967865</v>
      </c>
      <c r="S51">
        <f t="shared" ca="1" si="7"/>
        <v>0.25425330812854458</v>
      </c>
      <c r="T51">
        <f t="shared" ca="1" si="7"/>
        <v>0.31815493790656435</v>
      </c>
      <c r="U51" s="5"/>
      <c r="V51" s="4">
        <f t="shared" si="5"/>
        <v>42054</v>
      </c>
      <c r="W51" s="5">
        <f t="shared" ca="1" si="4"/>
        <v>0.32119514472455651</v>
      </c>
      <c r="Z51" s="4" t="str">
        <f ca="1">IF(OFFSET(Sheet3!$A$1,0,0,300)="","",OFFSET(Sheet3!$A$1,0,0,300))</f>
        <v/>
      </c>
      <c r="AA51" s="5" t="str">
        <f ca="1">IF(OFFSET(Sheet3!$A$1,0,MATCH(W$1,Sheet3!$1:$1,0)-1,300)="","",OFFSET(Sheet3!$A$1,0,MATCH(W$1,Sheet3!$1:$1,0)-1,300))</f>
        <v/>
      </c>
      <c r="AB51" s="5" t="str">
        <f ca="1">IF(OFFSET(Sheet3!$A$1,0,MATCH(X$1,Sheet3!$1:$1,0)-1,300)="","",OFFSET(Sheet3!$A$1,0,MATCH(X$1,Sheet3!$1:$1,0)-1,300))</f>
        <v/>
      </c>
      <c r="AC51" t="str">
        <f t="shared" ca="1" si="0"/>
        <v/>
      </c>
      <c r="AD51" t="str">
        <f t="shared" ca="1" si="1"/>
        <v/>
      </c>
    </row>
    <row r="52" spans="1:30" x14ac:dyDescent="0.25">
      <c r="A52" s="4">
        <v>42053</v>
      </c>
      <c r="B52">
        <v>0.59899999999999998</v>
      </c>
      <c r="C52" s="5">
        <v>1.0089999999999999</v>
      </c>
      <c r="D52">
        <v>1.5190000000000001</v>
      </c>
      <c r="E52">
        <v>1.87</v>
      </c>
      <c r="F52">
        <v>2.081</v>
      </c>
      <c r="G52">
        <v>2.7109999999999999</v>
      </c>
      <c r="H52">
        <f t="shared" ca="1" si="7"/>
        <v>0.40125885129819056</v>
      </c>
      <c r="I52">
        <f t="shared" ca="1" si="7"/>
        <v>0.34412955465587058</v>
      </c>
      <c r="J52">
        <f t="shared" ca="1" si="7"/>
        <v>0.24147727272727282</v>
      </c>
      <c r="K52">
        <f t="shared" ca="1" si="7"/>
        <v>0.23684210526315788</v>
      </c>
      <c r="L52">
        <f t="shared" ca="1" si="7"/>
        <v>0.1661931818181818</v>
      </c>
      <c r="M52">
        <f t="shared" ca="1" si="7"/>
        <v>0.32742537313432835</v>
      </c>
      <c r="N52">
        <f t="shared" ca="1" si="7"/>
        <v>0.2062279670975323</v>
      </c>
      <c r="O52">
        <f t="shared" ca="1" si="7"/>
        <v>9.9905303030302955E-2</v>
      </c>
      <c r="P52">
        <f t="shared" ca="1" si="7"/>
        <v>0.12397179788484128</v>
      </c>
      <c r="Q52">
        <f t="shared" ca="1" si="7"/>
        <v>0.17701342281879187</v>
      </c>
      <c r="R52">
        <f t="shared" ca="1" si="7"/>
        <v>0.50757575757575757</v>
      </c>
      <c r="S52">
        <f t="shared" ca="1" si="7"/>
        <v>0.26609848484848475</v>
      </c>
      <c r="T52">
        <f t="shared" ca="1" si="7"/>
        <v>0.33019976498237358</v>
      </c>
      <c r="U52" s="5"/>
      <c r="V52" s="4">
        <f t="shared" si="5"/>
        <v>42053</v>
      </c>
      <c r="W52" s="5">
        <f t="shared" ca="1" si="4"/>
        <v>0.32742537313432835</v>
      </c>
      <c r="Z52" s="4" t="str">
        <f ca="1">IF(OFFSET(Sheet3!$A$1,0,0,300)="","",OFFSET(Sheet3!$A$1,0,0,300))</f>
        <v/>
      </c>
      <c r="AA52" s="5" t="str">
        <f ca="1">IF(OFFSET(Sheet3!$A$1,0,MATCH(W$1,Sheet3!$1:$1,0)-1,300)="","",OFFSET(Sheet3!$A$1,0,MATCH(W$1,Sheet3!$1:$1,0)-1,300))</f>
        <v/>
      </c>
      <c r="AB52" s="5" t="str">
        <f ca="1">IF(OFFSET(Sheet3!$A$1,0,MATCH(X$1,Sheet3!$1:$1,0)-1,300)="","",OFFSET(Sheet3!$A$1,0,MATCH(X$1,Sheet3!$1:$1,0)-1,300))</f>
        <v/>
      </c>
      <c r="AC52" t="str">
        <f t="shared" ca="1" si="0"/>
        <v/>
      </c>
      <c r="AD52" t="str">
        <f t="shared" ca="1" si="1"/>
        <v/>
      </c>
    </row>
    <row r="53" spans="1:30" x14ac:dyDescent="0.25">
      <c r="A53" s="4">
        <v>42052</v>
      </c>
      <c r="B53">
        <v>0.66400000000000003</v>
      </c>
      <c r="C53" s="5">
        <v>1.0860000000000001</v>
      </c>
      <c r="D53">
        <v>1.607</v>
      </c>
      <c r="E53">
        <v>1.9449999999999998</v>
      </c>
      <c r="F53">
        <v>2.1390000000000002</v>
      </c>
      <c r="G53">
        <v>2.7279999999999998</v>
      </c>
      <c r="H53">
        <f t="shared" ca="1" si="7"/>
        <v>0.40671350507416082</v>
      </c>
      <c r="I53">
        <f t="shared" ca="1" si="7"/>
        <v>0.35322033898305077</v>
      </c>
      <c r="J53">
        <f t="shared" ca="1" si="7"/>
        <v>0.25242248062015504</v>
      </c>
      <c r="K53">
        <f t="shared" ca="1" si="7"/>
        <v>0.22915254237288124</v>
      </c>
      <c r="L53">
        <f t="shared" ca="1" si="7"/>
        <v>0.16375968992248058</v>
      </c>
      <c r="M53">
        <f t="shared" ca="1" si="7"/>
        <v>0.32098765432098747</v>
      </c>
      <c r="N53">
        <f t="shared" ca="1" si="7"/>
        <v>0.20584652862362968</v>
      </c>
      <c r="O53">
        <f t="shared" ca="1" si="7"/>
        <v>9.3992248062015712E-2</v>
      </c>
      <c r="P53">
        <f t="shared" ca="1" si="7"/>
        <v>0.11814859926918418</v>
      </c>
      <c r="Q53">
        <f t="shared" ca="1" si="7"/>
        <v>0.17305976806422876</v>
      </c>
      <c r="R53">
        <f t="shared" ca="1" si="7"/>
        <v>0.51017441860465129</v>
      </c>
      <c r="S53">
        <f t="shared" ca="1" si="7"/>
        <v>0.2577519379844963</v>
      </c>
      <c r="T53">
        <f t="shared" ca="1" si="7"/>
        <v>0.32399512789281387</v>
      </c>
      <c r="U53" s="5"/>
      <c r="V53" s="4">
        <f t="shared" si="5"/>
        <v>42052</v>
      </c>
      <c r="W53" s="5">
        <f t="shared" ca="1" si="4"/>
        <v>0.32098765432098747</v>
      </c>
      <c r="Z53" s="4" t="str">
        <f ca="1">IF(OFFSET(Sheet3!$A$1,0,0,300)="","",OFFSET(Sheet3!$A$1,0,0,300))</f>
        <v/>
      </c>
      <c r="AA53" s="5" t="str">
        <f ca="1">IF(OFFSET(Sheet3!$A$1,0,MATCH(W$1,Sheet3!$1:$1,0)-1,300)="","",OFFSET(Sheet3!$A$1,0,MATCH(W$1,Sheet3!$1:$1,0)-1,300))</f>
        <v/>
      </c>
      <c r="AB53" s="5" t="str">
        <f ca="1">IF(OFFSET(Sheet3!$A$1,0,MATCH(X$1,Sheet3!$1:$1,0)-1,300)="","",OFFSET(Sheet3!$A$1,0,MATCH(X$1,Sheet3!$1:$1,0)-1,300))</f>
        <v/>
      </c>
      <c r="AC53" t="str">
        <f t="shared" ca="1" si="0"/>
        <v/>
      </c>
      <c r="AD53" t="str">
        <f t="shared" ca="1" si="1"/>
        <v/>
      </c>
    </row>
    <row r="54" spans="1:30" x14ac:dyDescent="0.25">
      <c r="A54" s="4">
        <v>42051</v>
      </c>
      <c r="B54">
        <v>0.64300000000000002</v>
      </c>
      <c r="C54" s="5">
        <v>1.044</v>
      </c>
      <c r="D54">
        <v>1.5390000000000001</v>
      </c>
      <c r="E54">
        <v>1.8599999999999999</v>
      </c>
      <c r="F54">
        <v>2.0510000000000002</v>
      </c>
      <c r="G54">
        <v>2.649</v>
      </c>
      <c r="H54">
        <f t="shared" ca="1" si="7"/>
        <v>0.40673788003286782</v>
      </c>
      <c r="I54">
        <f t="shared" ca="1" si="7"/>
        <v>0.35156250000000006</v>
      </c>
      <c r="J54">
        <f t="shared" ca="1" si="7"/>
        <v>0.24675972083748757</v>
      </c>
      <c r="K54">
        <f t="shared" ca="1" si="7"/>
        <v>0.22798295454545434</v>
      </c>
      <c r="L54">
        <f t="shared" ca="1" si="7"/>
        <v>0.16001994017946147</v>
      </c>
      <c r="M54">
        <f t="shared" ca="1" si="7"/>
        <v>0.31876861966236314</v>
      </c>
      <c r="N54">
        <f t="shared" ca="1" si="7"/>
        <v>0.19999999999999984</v>
      </c>
      <c r="O54">
        <f t="shared" ca="1" si="7"/>
        <v>9.5214356929212499E-2</v>
      </c>
      <c r="P54">
        <f t="shared" ca="1" si="7"/>
        <v>0.11900311526479769</v>
      </c>
      <c r="Q54">
        <f t="shared" ca="1" si="7"/>
        <v>0.17207207207207234</v>
      </c>
      <c r="R54">
        <f t="shared" ca="1" si="7"/>
        <v>0.5019940179461615</v>
      </c>
      <c r="S54">
        <f t="shared" ca="1" si="7"/>
        <v>0.25523429710867396</v>
      </c>
      <c r="T54">
        <f t="shared" ca="1" si="7"/>
        <v>0.31900311526479752</v>
      </c>
      <c r="U54" s="5"/>
      <c r="V54" s="4">
        <f t="shared" si="5"/>
        <v>42051</v>
      </c>
      <c r="W54" s="5">
        <f t="shared" ca="1" si="4"/>
        <v>0.31876861966236314</v>
      </c>
      <c r="Z54" s="4" t="str">
        <f ca="1">IF(OFFSET(Sheet3!$A$1,0,0,300)="","",OFFSET(Sheet3!$A$1,0,0,300))</f>
        <v/>
      </c>
      <c r="AA54" s="5" t="str">
        <f ca="1">IF(OFFSET(Sheet3!$A$1,0,MATCH(W$1,Sheet3!$1:$1,0)-1,300)="","",OFFSET(Sheet3!$A$1,0,MATCH(W$1,Sheet3!$1:$1,0)-1,300))</f>
        <v/>
      </c>
      <c r="AB54" s="5" t="str">
        <f ca="1">IF(OFFSET(Sheet3!$A$1,0,MATCH(X$1,Sheet3!$1:$1,0)-1,300)="","",OFFSET(Sheet3!$A$1,0,MATCH(X$1,Sheet3!$1:$1,0)-1,300))</f>
        <v/>
      </c>
      <c r="AC54" t="str">
        <f t="shared" ca="1" si="0"/>
        <v/>
      </c>
      <c r="AD54" t="str">
        <f t="shared" ca="1" si="1"/>
        <v/>
      </c>
    </row>
    <row r="55" spans="1:30" x14ac:dyDescent="0.25">
      <c r="A55" s="4">
        <v>42048</v>
      </c>
      <c r="B55">
        <v>0.64300000000000002</v>
      </c>
      <c r="C55" s="5">
        <v>1.044</v>
      </c>
      <c r="D55">
        <v>1.5390000000000001</v>
      </c>
      <c r="E55">
        <v>1.8599999999999999</v>
      </c>
      <c r="F55">
        <v>2.0510000000000002</v>
      </c>
      <c r="G55">
        <v>2.649</v>
      </c>
      <c r="H55">
        <f t="shared" ca="1" si="7"/>
        <v>0.40673788003286782</v>
      </c>
      <c r="I55">
        <f t="shared" ca="1" si="7"/>
        <v>0.35156250000000006</v>
      </c>
      <c r="J55">
        <f t="shared" ca="1" si="7"/>
        <v>0.24675972083748757</v>
      </c>
      <c r="K55">
        <f t="shared" ca="1" si="7"/>
        <v>0.22798295454545434</v>
      </c>
      <c r="L55">
        <f t="shared" ca="1" si="7"/>
        <v>0.16001994017946147</v>
      </c>
      <c r="M55">
        <f t="shared" ca="1" si="7"/>
        <v>0.31876861966236314</v>
      </c>
      <c r="N55">
        <f t="shared" ca="1" si="7"/>
        <v>0.19999999999999984</v>
      </c>
      <c r="O55">
        <f t="shared" ca="1" si="7"/>
        <v>9.5214356929212499E-2</v>
      </c>
      <c r="P55">
        <f t="shared" ca="1" si="7"/>
        <v>0.11900311526479769</v>
      </c>
      <c r="Q55">
        <f t="shared" ca="1" si="7"/>
        <v>0.17207207207207234</v>
      </c>
      <c r="R55">
        <f t="shared" ca="1" si="7"/>
        <v>0.5019940179461615</v>
      </c>
      <c r="S55">
        <f t="shared" ca="1" si="7"/>
        <v>0.25523429710867396</v>
      </c>
      <c r="T55">
        <f t="shared" ca="1" si="7"/>
        <v>0.31900311526479752</v>
      </c>
      <c r="U55" s="5"/>
      <c r="V55" s="4">
        <f t="shared" si="5"/>
        <v>42048</v>
      </c>
      <c r="W55" s="5">
        <f t="shared" ca="1" si="4"/>
        <v>0.31876861966236314</v>
      </c>
      <c r="Z55" s="4" t="str">
        <f ca="1">IF(OFFSET(Sheet3!$A$1,0,0,300)="","",OFFSET(Sheet3!$A$1,0,0,300))</f>
        <v/>
      </c>
      <c r="AA55" s="5" t="str">
        <f ca="1">IF(OFFSET(Sheet3!$A$1,0,MATCH(W$1,Sheet3!$1:$1,0)-1,300)="","",OFFSET(Sheet3!$A$1,0,MATCH(W$1,Sheet3!$1:$1,0)-1,300))</f>
        <v/>
      </c>
      <c r="AB55" s="5" t="str">
        <f ca="1">IF(OFFSET(Sheet3!$A$1,0,MATCH(X$1,Sheet3!$1:$1,0)-1,300)="","",OFFSET(Sheet3!$A$1,0,MATCH(X$1,Sheet3!$1:$1,0)-1,300))</f>
        <v/>
      </c>
      <c r="AC55" t="str">
        <f t="shared" ca="1" si="0"/>
        <v/>
      </c>
      <c r="AD55" t="str">
        <f t="shared" ca="1" si="1"/>
        <v/>
      </c>
    </row>
    <row r="56" spans="1:30" x14ac:dyDescent="0.25">
      <c r="A56" s="4">
        <v>42047</v>
      </c>
      <c r="B56">
        <v>0.626</v>
      </c>
      <c r="C56" s="5">
        <v>1.0169999999999999</v>
      </c>
      <c r="D56">
        <v>1.492</v>
      </c>
      <c r="E56">
        <v>1.8029999999999999</v>
      </c>
      <c r="F56">
        <v>1.9849999999999999</v>
      </c>
      <c r="G56">
        <v>2.5760000000000001</v>
      </c>
      <c r="H56">
        <f t="shared" ca="1" si="7"/>
        <v>0.40356839422259988</v>
      </c>
      <c r="I56">
        <f t="shared" ca="1" si="7"/>
        <v>0.34952170713760122</v>
      </c>
      <c r="J56">
        <f t="shared" ca="1" si="7"/>
        <v>0.24358974358974361</v>
      </c>
      <c r="K56">
        <f t="shared" ca="1" si="7"/>
        <v>0.22884473877851358</v>
      </c>
      <c r="L56">
        <f t="shared" ca="1" si="7"/>
        <v>0.15948717948717944</v>
      </c>
      <c r="M56">
        <f t="shared" ca="1" si="7"/>
        <v>0.32128099173553715</v>
      </c>
      <c r="N56">
        <f t="shared" ca="1" si="7"/>
        <v>0.19948685054522125</v>
      </c>
      <c r="O56">
        <f t="shared" ca="1" si="7"/>
        <v>9.3333333333333296E-2</v>
      </c>
      <c r="P56">
        <f t="shared" ca="1" si="7"/>
        <v>0.11674150096215517</v>
      </c>
      <c r="Q56">
        <f t="shared" ca="1" si="7"/>
        <v>0.16789667896678961</v>
      </c>
      <c r="R56">
        <f t="shared" ca="1" si="7"/>
        <v>0.49641025641025632</v>
      </c>
      <c r="S56">
        <f t="shared" ca="1" si="7"/>
        <v>0.25282051282051271</v>
      </c>
      <c r="T56">
        <f t="shared" ca="1" si="7"/>
        <v>0.31622835150737644</v>
      </c>
      <c r="U56" s="5"/>
      <c r="V56" s="4">
        <f t="shared" si="5"/>
        <v>42047</v>
      </c>
      <c r="W56" s="5">
        <f t="shared" ca="1" si="4"/>
        <v>0.32128099173553715</v>
      </c>
      <c r="Z56" s="4" t="str">
        <f ca="1">IF(OFFSET(Sheet3!$A$1,0,0,300)="","",OFFSET(Sheet3!$A$1,0,0,300))</f>
        <v/>
      </c>
      <c r="AA56" s="5" t="str">
        <f ca="1">IF(OFFSET(Sheet3!$A$1,0,MATCH(W$1,Sheet3!$1:$1,0)-1,300)="","",OFFSET(Sheet3!$A$1,0,MATCH(W$1,Sheet3!$1:$1,0)-1,300))</f>
        <v/>
      </c>
      <c r="AB56" s="5" t="str">
        <f ca="1">IF(OFFSET(Sheet3!$A$1,0,MATCH(X$1,Sheet3!$1:$1,0)-1,300)="","",OFFSET(Sheet3!$A$1,0,MATCH(X$1,Sheet3!$1:$1,0)-1,300))</f>
        <v/>
      </c>
      <c r="AC56" t="str">
        <f t="shared" ca="1" si="0"/>
        <v/>
      </c>
      <c r="AD56" t="str">
        <f t="shared" ca="1" si="1"/>
        <v/>
      </c>
    </row>
    <row r="57" spans="1:30" x14ac:dyDescent="0.25">
      <c r="A57" s="4">
        <v>42046</v>
      </c>
      <c r="B57">
        <v>0.66600000000000004</v>
      </c>
      <c r="C57" s="5">
        <v>1.0680000000000001</v>
      </c>
      <c r="D57">
        <v>1.5430000000000001</v>
      </c>
      <c r="E57">
        <v>1.847</v>
      </c>
      <c r="F57">
        <v>2.0179999999999998</v>
      </c>
      <c r="G57">
        <v>2.5869999999999997</v>
      </c>
      <c r="H57">
        <f t="shared" ca="1" si="7"/>
        <v>0.40220152413209148</v>
      </c>
      <c r="I57">
        <f t="shared" ca="1" si="7"/>
        <v>0.35133136094674566</v>
      </c>
      <c r="J57">
        <f t="shared" ca="1" si="7"/>
        <v>0.24726704841228533</v>
      </c>
      <c r="K57">
        <f t="shared" ca="1" si="7"/>
        <v>0.22485207100591706</v>
      </c>
      <c r="L57">
        <f t="shared" ca="1" si="7"/>
        <v>0.15825091098386249</v>
      </c>
      <c r="M57">
        <f t="shared" ca="1" si="7"/>
        <v>0.3199999999999999</v>
      </c>
      <c r="N57">
        <f t="shared" ca="1" si="7"/>
        <v>0.20013166556945353</v>
      </c>
      <c r="O57">
        <f t="shared" ca="1" si="7"/>
        <v>8.9016137428422612E-2</v>
      </c>
      <c r="P57">
        <f t="shared" ca="1" si="7"/>
        <v>0.11257406188281754</v>
      </c>
      <c r="Q57">
        <f t="shared" ca="1" si="7"/>
        <v>0.16379310344827575</v>
      </c>
      <c r="R57">
        <f t="shared" ca="1" si="7"/>
        <v>0.49453409682457045</v>
      </c>
      <c r="S57">
        <f t="shared" ca="1" si="7"/>
        <v>0.24726704841228511</v>
      </c>
      <c r="T57">
        <f t="shared" ca="1" si="7"/>
        <v>0.31270572745227104</v>
      </c>
      <c r="U57" s="5"/>
      <c r="V57" s="4">
        <f t="shared" si="5"/>
        <v>42046</v>
      </c>
      <c r="W57" s="5">
        <f t="shared" ca="1" si="4"/>
        <v>0.3199999999999999</v>
      </c>
      <c r="Z57" s="4" t="str">
        <f ca="1">IF(OFFSET(Sheet3!$A$1,0,0,300)="","",OFFSET(Sheet3!$A$1,0,0,300))</f>
        <v/>
      </c>
      <c r="AA57" s="5" t="str">
        <f ca="1">IF(OFFSET(Sheet3!$A$1,0,MATCH(W$1,Sheet3!$1:$1,0)-1,300)="","",OFFSET(Sheet3!$A$1,0,MATCH(W$1,Sheet3!$1:$1,0)-1,300))</f>
        <v/>
      </c>
      <c r="AB57" s="5" t="str">
        <f ca="1">IF(OFFSET(Sheet3!$A$1,0,MATCH(X$1,Sheet3!$1:$1,0)-1,300)="","",OFFSET(Sheet3!$A$1,0,MATCH(X$1,Sheet3!$1:$1,0)-1,300))</f>
        <v/>
      </c>
      <c r="AC57" t="str">
        <f t="shared" ca="1" si="0"/>
        <v/>
      </c>
      <c r="AD57" t="str">
        <f t="shared" ca="1" si="1"/>
        <v/>
      </c>
    </row>
    <row r="58" spans="1:30" x14ac:dyDescent="0.25">
      <c r="A58" s="4">
        <v>42045</v>
      </c>
      <c r="B58">
        <v>0.65200000000000002</v>
      </c>
      <c r="C58" s="5">
        <v>1.0229999999999999</v>
      </c>
      <c r="D58">
        <v>1.5129999999999999</v>
      </c>
      <c r="E58">
        <v>1.8149999999999999</v>
      </c>
      <c r="F58">
        <v>1.998</v>
      </c>
      <c r="G58">
        <v>2.577</v>
      </c>
      <c r="H58">
        <f t="shared" ca="1" si="7"/>
        <v>0.42132416165090292</v>
      </c>
      <c r="I58">
        <f t="shared" ca="1" si="7"/>
        <v>0.36404160475482911</v>
      </c>
      <c r="J58">
        <f t="shared" ca="1" si="7"/>
        <v>0.25454545454545457</v>
      </c>
      <c r="K58">
        <f t="shared" ca="1" si="7"/>
        <v>0.22436849925705796</v>
      </c>
      <c r="L58">
        <f t="shared" ca="1" si="7"/>
        <v>0.15688311688311693</v>
      </c>
      <c r="M58">
        <f t="shared" ca="1" si="7"/>
        <v>0.30974358974358979</v>
      </c>
      <c r="N58">
        <f t="shared" ca="1" si="7"/>
        <v>0.19433719433719437</v>
      </c>
      <c r="O58">
        <f t="shared" ca="1" si="7"/>
        <v>9.5064935064935102E-2</v>
      </c>
      <c r="P58">
        <f t="shared" ca="1" si="7"/>
        <v>0.11776061776061779</v>
      </c>
      <c r="Q58">
        <f t="shared" ca="1" si="7"/>
        <v>0.17199248120300756</v>
      </c>
      <c r="R58">
        <f t="shared" ca="1" si="7"/>
        <v>0.50649350649350655</v>
      </c>
      <c r="S58">
        <f t="shared" ca="1" si="7"/>
        <v>0.25194805194805203</v>
      </c>
      <c r="T58">
        <f t="shared" ca="1" si="7"/>
        <v>0.31209781209781218</v>
      </c>
      <c r="U58" s="5"/>
      <c r="V58" s="4">
        <f t="shared" si="5"/>
        <v>42045</v>
      </c>
      <c r="W58" s="5">
        <f t="shared" ca="1" si="4"/>
        <v>0.30974358974358979</v>
      </c>
      <c r="Z58" s="4" t="str">
        <f ca="1">IF(OFFSET(Sheet3!$A$1,0,0,300)="","",OFFSET(Sheet3!$A$1,0,0,300))</f>
        <v/>
      </c>
      <c r="AA58" s="5" t="str">
        <f ca="1">IF(OFFSET(Sheet3!$A$1,0,MATCH(W$1,Sheet3!$1:$1,0)-1,300)="","",OFFSET(Sheet3!$A$1,0,MATCH(W$1,Sheet3!$1:$1,0)-1,300))</f>
        <v/>
      </c>
      <c r="AB58" s="5" t="str">
        <f ca="1">IF(OFFSET(Sheet3!$A$1,0,MATCH(X$1,Sheet3!$1:$1,0)-1,300)="","",OFFSET(Sheet3!$A$1,0,MATCH(X$1,Sheet3!$1:$1,0)-1,300))</f>
        <v/>
      </c>
      <c r="AC58" t="str">
        <f t="shared" ca="1" si="0"/>
        <v/>
      </c>
      <c r="AD58" t="str">
        <f t="shared" ca="1" si="1"/>
        <v/>
      </c>
    </row>
    <row r="59" spans="1:30" x14ac:dyDescent="0.25">
      <c r="A59" s="4">
        <v>42044</v>
      </c>
      <c r="B59">
        <v>0.65400000000000003</v>
      </c>
      <c r="C59" s="5">
        <v>1.034</v>
      </c>
      <c r="D59">
        <v>1.508</v>
      </c>
      <c r="E59">
        <v>1.8050000000000002</v>
      </c>
      <c r="F59">
        <v>1.978</v>
      </c>
      <c r="G59">
        <v>2.5540000000000003</v>
      </c>
      <c r="H59">
        <f t="shared" ca="1" si="7"/>
        <v>0.41181581233709807</v>
      </c>
      <c r="I59">
        <f t="shared" ca="1" si="7"/>
        <v>0.35800604229607252</v>
      </c>
      <c r="J59">
        <f t="shared" ca="1" si="7"/>
        <v>0.24947368421052626</v>
      </c>
      <c r="K59">
        <f t="shared" ca="1" si="7"/>
        <v>0.22432024169184303</v>
      </c>
      <c r="L59">
        <f t="shared" ca="1" si="7"/>
        <v>0.15631578947368427</v>
      </c>
      <c r="M59">
        <f t="shared" ca="1" si="7"/>
        <v>0.31461864406779677</v>
      </c>
      <c r="N59">
        <f t="shared" ca="1" si="7"/>
        <v>0.19539473684210534</v>
      </c>
      <c r="O59">
        <f t="shared" ca="1" si="7"/>
        <v>9.105263157894726E-2</v>
      </c>
      <c r="P59">
        <f t="shared" ca="1" si="7"/>
        <v>0.11381578947368408</v>
      </c>
      <c r="Q59">
        <f t="shared" ca="1" si="7"/>
        <v>0.16539196940726555</v>
      </c>
      <c r="R59">
        <f t="shared" ca="1" si="7"/>
        <v>0.49684210526315775</v>
      </c>
      <c r="S59">
        <f t="shared" ca="1" si="7"/>
        <v>0.24736842105263152</v>
      </c>
      <c r="T59">
        <f t="shared" ca="1" si="7"/>
        <v>0.30921052631578938</v>
      </c>
      <c r="U59" s="5"/>
      <c r="V59" s="4">
        <f t="shared" si="5"/>
        <v>42044</v>
      </c>
      <c r="W59" s="5">
        <f t="shared" ca="1" si="4"/>
        <v>0.31461864406779677</v>
      </c>
      <c r="Z59" s="4" t="str">
        <f ca="1">IF(OFFSET(Sheet3!$A$1,0,0,300)="","",OFFSET(Sheet3!$A$1,0,0,300))</f>
        <v/>
      </c>
      <c r="AA59" s="5" t="str">
        <f ca="1">IF(OFFSET(Sheet3!$A$1,0,MATCH(W$1,Sheet3!$1:$1,0)-1,300)="","",OFFSET(Sheet3!$A$1,0,MATCH(W$1,Sheet3!$1:$1,0)-1,300))</f>
        <v/>
      </c>
      <c r="AB59" s="5" t="str">
        <f ca="1">IF(OFFSET(Sheet3!$A$1,0,MATCH(X$1,Sheet3!$1:$1,0)-1,300)="","",OFFSET(Sheet3!$A$1,0,MATCH(X$1,Sheet3!$1:$1,0)-1,300))</f>
        <v/>
      </c>
      <c r="AC59" t="str">
        <f t="shared" ca="1" si="0"/>
        <v/>
      </c>
      <c r="AD59" t="str">
        <f t="shared" ca="1" si="1"/>
        <v/>
      </c>
    </row>
    <row r="60" spans="1:30" x14ac:dyDescent="0.25">
      <c r="A60" s="4">
        <v>42041</v>
      </c>
      <c r="B60">
        <v>0.64600000000000002</v>
      </c>
      <c r="C60" s="5">
        <v>1.012</v>
      </c>
      <c r="D60">
        <v>1.48</v>
      </c>
      <c r="E60">
        <v>1.7829999999999999</v>
      </c>
      <c r="F60">
        <v>1.958</v>
      </c>
      <c r="G60">
        <v>2.5289999999999999</v>
      </c>
      <c r="H60">
        <f t="shared" ca="1" si="7"/>
        <v>0.41160949868073876</v>
      </c>
      <c r="I60">
        <f t="shared" ca="1" si="7"/>
        <v>0.35670731707317077</v>
      </c>
      <c r="J60">
        <f t="shared" ca="1" si="7"/>
        <v>0.24853956452469461</v>
      </c>
      <c r="K60">
        <f t="shared" ca="1" si="7"/>
        <v>0.2309451219512195</v>
      </c>
      <c r="L60">
        <f t="shared" ca="1" si="7"/>
        <v>0.16091343600637278</v>
      </c>
      <c r="M60">
        <f t="shared" ca="1" si="7"/>
        <v>0.32029598308668072</v>
      </c>
      <c r="N60">
        <f t="shared" ca="1" si="7"/>
        <v>0.19973632168754116</v>
      </c>
      <c r="O60">
        <f t="shared" ca="1" si="7"/>
        <v>9.2936802973977717E-2</v>
      </c>
      <c r="P60">
        <f t="shared" ca="1" si="7"/>
        <v>0.11535926170072515</v>
      </c>
      <c r="Q60">
        <f t="shared" ca="1" si="7"/>
        <v>0.1668255481410868</v>
      </c>
      <c r="R60">
        <f t="shared" ca="1" si="7"/>
        <v>0.50238980350504514</v>
      </c>
      <c r="S60">
        <f t="shared" ca="1" si="7"/>
        <v>0.25385023898035047</v>
      </c>
      <c r="T60">
        <f t="shared" ca="1" si="7"/>
        <v>0.31509558338826632</v>
      </c>
      <c r="U60" s="5"/>
      <c r="V60" s="4">
        <f t="shared" si="5"/>
        <v>42041</v>
      </c>
      <c r="W60" s="5">
        <f t="shared" ca="1" si="4"/>
        <v>0.32029598308668072</v>
      </c>
      <c r="Z60" s="4" t="str">
        <f ca="1">IF(OFFSET(Sheet3!$A$1,0,0,300)="","",OFFSET(Sheet3!$A$1,0,0,300))</f>
        <v/>
      </c>
      <c r="AA60" s="5" t="str">
        <f ca="1">IF(OFFSET(Sheet3!$A$1,0,MATCH(W$1,Sheet3!$1:$1,0)-1,300)="","",OFFSET(Sheet3!$A$1,0,MATCH(W$1,Sheet3!$1:$1,0)-1,300))</f>
        <v/>
      </c>
      <c r="AB60" s="5" t="str">
        <f ca="1">IF(OFFSET(Sheet3!$A$1,0,MATCH(X$1,Sheet3!$1:$1,0)-1,300)="","",OFFSET(Sheet3!$A$1,0,MATCH(X$1,Sheet3!$1:$1,0)-1,300))</f>
        <v/>
      </c>
      <c r="AC60" t="str">
        <f t="shared" ca="1" si="0"/>
        <v/>
      </c>
      <c r="AD60" t="str">
        <f t="shared" ca="1" si="1"/>
        <v/>
      </c>
    </row>
    <row r="61" spans="1:30" x14ac:dyDescent="0.25">
      <c r="A61" s="4">
        <v>42040</v>
      </c>
      <c r="B61">
        <v>0.52200000000000002</v>
      </c>
      <c r="C61" s="5">
        <v>0.84899999999999998</v>
      </c>
      <c r="D61">
        <v>1.304</v>
      </c>
      <c r="E61">
        <v>1.625</v>
      </c>
      <c r="F61">
        <v>1.821</v>
      </c>
      <c r="G61">
        <v>2.4329999999999998</v>
      </c>
      <c r="H61">
        <f t="shared" ref="H61:T76" ca="1" si="8">IF(ISERROR(ABS(OFFSET($A$11,ROW()-11,MATCH(LEFT(H$9,2),$A$11:$G$11,0)-1)-OFFSET($A$11,ROW()-11,MATCH(RIGHT(H$9,2),$A$11:$G$11,0)-1))/ABS(OFFSET($A$11,ROW()-11,MATCH(LEFT(H$10,2),$A$11:$G$11,0)-1)-OFFSET($A$11,ROW()-11,MATCH(RIGHT(H$10,2),$A$11:$G$11,0)-1))),"",ABS(OFFSET($A$11,ROW()-11,MATCH(LEFT(H$9,2),$A$11:$G$11,0)-1)-OFFSET($A$11,ROW()-11,MATCH(RIGHT(H$9,2),$A$11:$G$11,0)-1))/ABS(OFFSET($A$11,ROW()-11,MATCH(LEFT(H$10,2),$A$11:$G$11,0)-1)-OFFSET($A$11,ROW()-11,MATCH(RIGHT(H$10,2),$A$11:$G$11,0)-1)))</f>
        <v>0.41251133272892121</v>
      </c>
      <c r="I61">
        <f t="shared" ca="1" si="8"/>
        <v>0.35026943802925337</v>
      </c>
      <c r="J61">
        <f t="shared" ca="1" si="8"/>
        <v>0.23809523809523817</v>
      </c>
      <c r="K61">
        <f t="shared" ca="1" si="8"/>
        <v>0.24711316397228636</v>
      </c>
      <c r="L61">
        <f t="shared" ca="1" si="8"/>
        <v>0.16797488226059654</v>
      </c>
      <c r="M61">
        <f t="shared" ca="1" si="8"/>
        <v>0.33024691358024688</v>
      </c>
      <c r="N61">
        <f t="shared" ca="1" si="8"/>
        <v>0.20265151515151514</v>
      </c>
      <c r="O61">
        <f t="shared" ca="1" si="8"/>
        <v>0.10256410256410255</v>
      </c>
      <c r="P61">
        <f t="shared" ca="1" si="8"/>
        <v>0.12373737373737372</v>
      </c>
      <c r="Q61">
        <f t="shared" ca="1" si="8"/>
        <v>0.17360496014171833</v>
      </c>
      <c r="R61">
        <f t="shared" ca="1" si="8"/>
        <v>0.50863422291993721</v>
      </c>
      <c r="S61">
        <f t="shared" ca="1" si="8"/>
        <v>0.27053898482469907</v>
      </c>
      <c r="T61">
        <f t="shared" ca="1" si="8"/>
        <v>0.32638888888888884</v>
      </c>
      <c r="U61" s="5"/>
      <c r="V61" s="4">
        <f t="shared" si="5"/>
        <v>42040</v>
      </c>
      <c r="W61" s="5">
        <f t="shared" ca="1" si="4"/>
        <v>0.33024691358024688</v>
      </c>
      <c r="Z61" s="4" t="str">
        <f ca="1">IF(OFFSET(Sheet3!$A$1,0,0,300)="","",OFFSET(Sheet3!$A$1,0,0,300))</f>
        <v/>
      </c>
      <c r="AA61" s="5" t="str">
        <f ca="1">IF(OFFSET(Sheet3!$A$1,0,MATCH(W$1,Sheet3!$1:$1,0)-1,300)="","",OFFSET(Sheet3!$A$1,0,MATCH(W$1,Sheet3!$1:$1,0)-1,300))</f>
        <v/>
      </c>
      <c r="AB61" s="5" t="str">
        <f ca="1">IF(OFFSET(Sheet3!$A$1,0,MATCH(X$1,Sheet3!$1:$1,0)-1,300)="","",OFFSET(Sheet3!$A$1,0,MATCH(X$1,Sheet3!$1:$1,0)-1,300))</f>
        <v/>
      </c>
      <c r="AC61" t="str">
        <f t="shared" ca="1" si="0"/>
        <v/>
      </c>
      <c r="AD61" t="str">
        <f t="shared" ca="1" si="1"/>
        <v/>
      </c>
    </row>
    <row r="62" spans="1:30" x14ac:dyDescent="0.25">
      <c r="A62" s="4">
        <v>42039</v>
      </c>
      <c r="B62">
        <v>0.48599999999999999</v>
      </c>
      <c r="C62" s="5">
        <v>0.80100000000000005</v>
      </c>
      <c r="D62">
        <v>1.2490000000000001</v>
      </c>
      <c r="E62">
        <v>1.5629999999999999</v>
      </c>
      <c r="F62">
        <v>1.752</v>
      </c>
      <c r="G62">
        <v>2.3490000000000002</v>
      </c>
      <c r="H62">
        <f t="shared" ca="1" si="8"/>
        <v>0.41597028783658319</v>
      </c>
      <c r="I62">
        <f t="shared" ca="1" si="8"/>
        <v>0.35387045813586104</v>
      </c>
      <c r="J62">
        <f t="shared" ca="1" si="8"/>
        <v>0.24047235641438541</v>
      </c>
      <c r="K62">
        <f t="shared" ca="1" si="8"/>
        <v>0.2480252764612953</v>
      </c>
      <c r="L62">
        <f t="shared" ca="1" si="8"/>
        <v>0.16854535695115394</v>
      </c>
      <c r="M62">
        <f t="shared" ca="1" si="8"/>
        <v>0.33017875920084105</v>
      </c>
      <c r="N62">
        <f t="shared" ca="1" si="8"/>
        <v>0.20284237726098181</v>
      </c>
      <c r="O62">
        <f t="shared" ca="1" si="8"/>
        <v>0.10144927536231886</v>
      </c>
      <c r="P62">
        <f t="shared" ca="1" si="8"/>
        <v>0.12209302325581399</v>
      </c>
      <c r="Q62">
        <f t="shared" ca="1" si="8"/>
        <v>0.17181818181818187</v>
      </c>
      <c r="R62">
        <f t="shared" ca="1" si="8"/>
        <v>0.51046698872785823</v>
      </c>
      <c r="S62">
        <f t="shared" ca="1" si="8"/>
        <v>0.26999463231347282</v>
      </c>
      <c r="T62">
        <f t="shared" ca="1" si="8"/>
        <v>0.32493540051679581</v>
      </c>
      <c r="U62" s="5"/>
      <c r="V62" s="4">
        <f t="shared" si="5"/>
        <v>42039</v>
      </c>
      <c r="W62" s="5">
        <f t="shared" ca="1" si="4"/>
        <v>0.33017875920084105</v>
      </c>
      <c r="Z62" s="4" t="str">
        <f ca="1">IF(OFFSET(Sheet3!$A$1,0,0,300)="","",OFFSET(Sheet3!$A$1,0,0,300))</f>
        <v/>
      </c>
      <c r="AA62" s="5" t="str">
        <f ca="1">IF(OFFSET(Sheet3!$A$1,0,MATCH(W$1,Sheet3!$1:$1,0)-1,300)="","",OFFSET(Sheet3!$A$1,0,MATCH(W$1,Sheet3!$1:$1,0)-1,300))</f>
        <v/>
      </c>
      <c r="AB62" s="5" t="str">
        <f ca="1">IF(OFFSET(Sheet3!$A$1,0,MATCH(X$1,Sheet3!$1:$1,0)-1,300)="","",OFFSET(Sheet3!$A$1,0,MATCH(X$1,Sheet3!$1:$1,0)-1,300))</f>
        <v/>
      </c>
      <c r="AC62" t="str">
        <f t="shared" ca="1" si="0"/>
        <v/>
      </c>
      <c r="AD62" t="str">
        <f t="shared" ca="1" si="1"/>
        <v/>
      </c>
    </row>
    <row r="63" spans="1:30" x14ac:dyDescent="0.25">
      <c r="A63" s="4">
        <v>42038</v>
      </c>
      <c r="B63">
        <v>0.51</v>
      </c>
      <c r="C63" s="5">
        <v>0.83599999999999997</v>
      </c>
      <c r="D63">
        <v>1.29</v>
      </c>
      <c r="E63">
        <v>1.6080000000000001</v>
      </c>
      <c r="F63">
        <v>1.792</v>
      </c>
      <c r="G63">
        <v>2.38</v>
      </c>
      <c r="H63">
        <f t="shared" ca="1" si="8"/>
        <v>0.41347905282331515</v>
      </c>
      <c r="I63">
        <f t="shared" ca="1" si="8"/>
        <v>0.35413416536661468</v>
      </c>
      <c r="J63">
        <f t="shared" ca="1" si="8"/>
        <v>0.24278074866310165</v>
      </c>
      <c r="K63">
        <f t="shared" ca="1" si="8"/>
        <v>0.24804992199687992</v>
      </c>
      <c r="L63">
        <f t="shared" ca="1" si="8"/>
        <v>0.17005347593582892</v>
      </c>
      <c r="M63">
        <f t="shared" ca="1" si="8"/>
        <v>0.33263598326359839</v>
      </c>
      <c r="N63">
        <f t="shared" ca="1" si="8"/>
        <v>0.20595854922279797</v>
      </c>
      <c r="O63">
        <f t="shared" ca="1" si="8"/>
        <v>9.839572192513367E-2</v>
      </c>
      <c r="P63">
        <f t="shared" ca="1" si="8"/>
        <v>0.11917098445595851</v>
      </c>
      <c r="Q63">
        <f t="shared" ca="1" si="8"/>
        <v>0.16880733944954127</v>
      </c>
      <c r="R63">
        <f t="shared" ca="1" si="8"/>
        <v>0.51122994652406428</v>
      </c>
      <c r="S63">
        <f t="shared" ca="1" si="8"/>
        <v>0.26844919786096261</v>
      </c>
      <c r="T63">
        <f t="shared" ca="1" si="8"/>
        <v>0.32512953367875647</v>
      </c>
      <c r="U63" s="5"/>
      <c r="V63" s="4">
        <f t="shared" si="5"/>
        <v>42038</v>
      </c>
      <c r="W63" s="5">
        <f t="shared" ca="1" si="4"/>
        <v>0.33263598326359839</v>
      </c>
      <c r="Z63" s="4">
        <f ca="1">IF(OFFSET(Sheet3!$A$1,0,0,300)="","",OFFSET(Sheet3!$A$1,0,0,300))</f>
        <v>42009</v>
      </c>
      <c r="AA63" s="5">
        <f ca="1">IF(OFFSET(Sheet3!$A$1,0,MATCH(W$1,Sheet3!$1:$1,0)-1,300)="","",OFFSET(Sheet3!$A$1,0,MATCH(W$1,Sheet3!$1:$1,0)-1,300))</f>
        <v>2.9630999999999998</v>
      </c>
      <c r="AB63" s="5" t="str">
        <f ca="1">IF(OFFSET(Sheet3!$A$1,0,MATCH(X$1,Sheet3!$1:$1,0)-1,300)="","",OFFSET(Sheet3!$A$1,0,MATCH(X$1,Sheet3!$1:$1,0)-1,300))</f>
        <v/>
      </c>
      <c r="AC63" t="str">
        <f t="shared" ca="1" si="0"/>
        <v/>
      </c>
      <c r="AD63" t="str">
        <f t="shared" ca="1" si="1"/>
        <v/>
      </c>
    </row>
    <row r="64" spans="1:30" x14ac:dyDescent="0.25">
      <c r="A64" s="4">
        <v>42037</v>
      </c>
      <c r="B64">
        <v>0.46100000000000002</v>
      </c>
      <c r="C64" s="5">
        <v>0.76100000000000001</v>
      </c>
      <c r="D64">
        <v>1.18</v>
      </c>
      <c r="E64">
        <v>1.4849999999999999</v>
      </c>
      <c r="F64">
        <v>1.665</v>
      </c>
      <c r="G64">
        <v>2.2509999999999999</v>
      </c>
      <c r="H64">
        <f t="shared" ca="1" si="8"/>
        <v>0.4091796875</v>
      </c>
      <c r="I64">
        <f t="shared" ca="1" si="8"/>
        <v>0.3480066445182724</v>
      </c>
      <c r="J64">
        <f t="shared" ca="1" si="8"/>
        <v>0.23407821229050277</v>
      </c>
      <c r="K64">
        <f t="shared" ca="1" si="8"/>
        <v>0.25332225913621259</v>
      </c>
      <c r="L64">
        <f t="shared" ca="1" si="8"/>
        <v>0.17039106145251395</v>
      </c>
      <c r="M64">
        <f t="shared" ca="1" si="8"/>
        <v>0.33738938053097339</v>
      </c>
      <c r="N64">
        <f t="shared" ca="1" si="8"/>
        <v>0.20469798657718119</v>
      </c>
      <c r="O64">
        <f t="shared" ca="1" si="8"/>
        <v>0.1005586592178772</v>
      </c>
      <c r="P64">
        <f t="shared" ca="1" si="8"/>
        <v>0.12080536912751691</v>
      </c>
      <c r="Q64">
        <f t="shared" ca="1" si="8"/>
        <v>0.16806722689075645</v>
      </c>
      <c r="R64">
        <f t="shared" ca="1" si="8"/>
        <v>0.50502793296089388</v>
      </c>
      <c r="S64">
        <f t="shared" ca="1" si="8"/>
        <v>0.27094972067039114</v>
      </c>
      <c r="T64">
        <f t="shared" ca="1" si="8"/>
        <v>0.32550335570469813</v>
      </c>
      <c r="U64" s="5"/>
      <c r="V64" s="4">
        <f t="shared" si="5"/>
        <v>42037</v>
      </c>
      <c r="W64" s="5">
        <f t="shared" ca="1" si="4"/>
        <v>0.33738938053097339</v>
      </c>
      <c r="Z64" s="4">
        <f ca="1">IF(OFFSET(Sheet3!$A$1,0,0,300)="","",OFFSET(Sheet3!$A$1,0,0,300))</f>
        <v>42006</v>
      </c>
      <c r="AA64" s="5">
        <f ca="1">IF(OFFSET(Sheet3!$A$1,0,MATCH(W$1,Sheet3!$1:$1,0)-1,300)="","",OFFSET(Sheet3!$A$1,0,MATCH(W$1,Sheet3!$1:$1,0)-1,300))</f>
        <v>3.0194000000000001</v>
      </c>
      <c r="AB64" s="5" t="str">
        <f ca="1">IF(OFFSET(Sheet3!$A$1,0,MATCH(X$1,Sheet3!$1:$1,0)-1,300)="","",OFFSET(Sheet3!$A$1,0,MATCH(X$1,Sheet3!$1:$1,0)-1,300))</f>
        <v/>
      </c>
      <c r="AC64" t="str">
        <f t="shared" ca="1" si="0"/>
        <v/>
      </c>
      <c r="AD64" t="str">
        <f t="shared" ca="1" si="1"/>
        <v/>
      </c>
    </row>
    <row r="65" spans="1:30" x14ac:dyDescent="0.25">
      <c r="A65" s="4">
        <v>42034</v>
      </c>
      <c r="B65">
        <v>0.45100000000000001</v>
      </c>
      <c r="C65" s="5">
        <v>0.73699999999999999</v>
      </c>
      <c r="D65">
        <v>1.1559999999999999</v>
      </c>
      <c r="E65">
        <v>1.4610000000000001</v>
      </c>
      <c r="F65">
        <v>1.6419999999999999</v>
      </c>
      <c r="G65">
        <v>2.2229999999999999</v>
      </c>
      <c r="H65">
        <f t="shared" ca="1" si="8"/>
        <v>0.41485148514851478</v>
      </c>
      <c r="I65">
        <f t="shared" ca="1" si="8"/>
        <v>0.35180520570948781</v>
      </c>
      <c r="J65">
        <f t="shared" ca="1" si="8"/>
        <v>0.23645598194130923</v>
      </c>
      <c r="K65">
        <f t="shared" ca="1" si="8"/>
        <v>0.25608732157850561</v>
      </c>
      <c r="L65">
        <f t="shared" ca="1" si="8"/>
        <v>0.17212189616252832</v>
      </c>
      <c r="M65">
        <f t="shared" ca="1" si="8"/>
        <v>0.33701657458563555</v>
      </c>
      <c r="N65">
        <f t="shared" ca="1" si="8"/>
        <v>0.205248990578735</v>
      </c>
      <c r="O65">
        <f t="shared" ca="1" si="8"/>
        <v>0.10214446952595928</v>
      </c>
      <c r="P65">
        <f t="shared" ca="1" si="8"/>
        <v>0.12180349932705239</v>
      </c>
      <c r="Q65">
        <f t="shared" ca="1" si="8"/>
        <v>0.16963448922211793</v>
      </c>
      <c r="R65">
        <f t="shared" ca="1" si="8"/>
        <v>0.51072234762979685</v>
      </c>
      <c r="S65">
        <f t="shared" ca="1" si="8"/>
        <v>0.27426636568848761</v>
      </c>
      <c r="T65">
        <f t="shared" ca="1" si="8"/>
        <v>0.32705248990578739</v>
      </c>
      <c r="U65" s="5"/>
      <c r="V65" s="4">
        <f t="shared" si="5"/>
        <v>42034</v>
      </c>
      <c r="W65" s="5">
        <f t="shared" ca="1" si="4"/>
        <v>0.33701657458563555</v>
      </c>
      <c r="Z65" s="4" t="str">
        <f ca="1">IF(OFFSET(Sheet3!$A$1,0,0,300)="","",OFFSET(Sheet3!$A$1,0,0,300))</f>
        <v/>
      </c>
      <c r="AA65" s="5" t="str">
        <f ca="1">IF(OFFSET(Sheet3!$A$1,0,MATCH(W$1,Sheet3!$1:$1,0)-1,300)="","",OFFSET(Sheet3!$A$1,0,MATCH(W$1,Sheet3!$1:$1,0)-1,300))</f>
        <v/>
      </c>
      <c r="AB65" s="5" t="str">
        <f ca="1">IF(OFFSET(Sheet3!$A$1,0,MATCH(X$1,Sheet3!$1:$1,0)-1,300)="","",OFFSET(Sheet3!$A$1,0,MATCH(X$1,Sheet3!$1:$1,0)-1,300))</f>
        <v/>
      </c>
      <c r="AC65" t="str">
        <f t="shared" ca="1" si="0"/>
        <v/>
      </c>
      <c r="AD65" t="str">
        <f t="shared" ca="1" si="1"/>
        <v/>
      </c>
    </row>
    <row r="66" spans="1:30" x14ac:dyDescent="0.25">
      <c r="A66" s="4">
        <v>42033</v>
      </c>
      <c r="B66">
        <v>0.51800000000000002</v>
      </c>
      <c r="C66" s="5">
        <v>0.82799999999999996</v>
      </c>
      <c r="D66">
        <v>1.2709999999999999</v>
      </c>
      <c r="E66">
        <v>1.5569999999999999</v>
      </c>
      <c r="F66">
        <v>1.752</v>
      </c>
      <c r="G66">
        <v>2.3149999999999999</v>
      </c>
      <c r="H66">
        <f t="shared" ca="1" si="8"/>
        <v>0.42637151106833493</v>
      </c>
      <c r="I66">
        <f t="shared" ca="1" si="8"/>
        <v>0.35899513776337111</v>
      </c>
      <c r="J66">
        <f t="shared" ca="1" si="8"/>
        <v>0.24652198107957704</v>
      </c>
      <c r="K66">
        <f t="shared" ca="1" si="8"/>
        <v>0.23176661264181525</v>
      </c>
      <c r="L66">
        <f t="shared" ca="1" si="8"/>
        <v>0.15915414579855316</v>
      </c>
      <c r="M66">
        <f t="shared" ca="1" si="8"/>
        <v>0.30952380952380953</v>
      </c>
      <c r="N66">
        <f t="shared" ca="1" si="8"/>
        <v>0.19233355749831876</v>
      </c>
      <c r="O66">
        <f t="shared" ca="1" si="8"/>
        <v>0.10851419031719536</v>
      </c>
      <c r="P66">
        <f t="shared" ca="1" si="8"/>
        <v>0.13113651647612645</v>
      </c>
      <c r="Q66">
        <f t="shared" ca="1" si="8"/>
        <v>0.18678160919540235</v>
      </c>
      <c r="R66">
        <f t="shared" ca="1" si="8"/>
        <v>0.5141903171953256</v>
      </c>
      <c r="S66">
        <f t="shared" ca="1" si="8"/>
        <v>0.26766833611574853</v>
      </c>
      <c r="T66">
        <f t="shared" ca="1" si="8"/>
        <v>0.32347007397444522</v>
      </c>
      <c r="U66" s="5"/>
      <c r="V66" s="4">
        <f t="shared" si="5"/>
        <v>42033</v>
      </c>
      <c r="W66" s="5">
        <f t="shared" ca="1" si="4"/>
        <v>0.30952380952380953</v>
      </c>
      <c r="Z66" s="4" t="str">
        <f ca="1">IF(OFFSET(Sheet3!$A$1,0,0,300)="","",OFFSET(Sheet3!$A$1,0,0,300))</f>
        <v/>
      </c>
      <c r="AA66" s="5" t="str">
        <f ca="1">IF(OFFSET(Sheet3!$A$1,0,MATCH(W$1,Sheet3!$1:$1,0)-1,300)="","",OFFSET(Sheet3!$A$1,0,MATCH(W$1,Sheet3!$1:$1,0)-1,300))</f>
        <v/>
      </c>
      <c r="AB66" s="5" t="str">
        <f ca="1">IF(OFFSET(Sheet3!$A$1,0,MATCH(X$1,Sheet3!$1:$1,0)-1,300)="","",OFFSET(Sheet3!$A$1,0,MATCH(X$1,Sheet3!$1:$1,0)-1,300))</f>
        <v/>
      </c>
      <c r="AC66" t="str">
        <f t="shared" ca="1" si="0"/>
        <v/>
      </c>
      <c r="AD66" t="str">
        <f t="shared" ca="1" si="1"/>
        <v/>
      </c>
    </row>
    <row r="67" spans="1:30" x14ac:dyDescent="0.25">
      <c r="A67" s="4">
        <v>42032</v>
      </c>
      <c r="B67">
        <v>0.46700000000000003</v>
      </c>
      <c r="C67" s="5">
        <v>0.80100000000000005</v>
      </c>
      <c r="D67">
        <v>1.24</v>
      </c>
      <c r="E67">
        <v>1.5270000000000001</v>
      </c>
      <c r="F67">
        <v>1.722</v>
      </c>
      <c r="G67">
        <v>2.2909999999999999</v>
      </c>
      <c r="H67">
        <f t="shared" ca="1" si="8"/>
        <v>0.41415094339622632</v>
      </c>
      <c r="I67">
        <f t="shared" ca="1" si="8"/>
        <v>0.349800796812749</v>
      </c>
      <c r="J67">
        <f t="shared" ca="1" si="8"/>
        <v>0.24067982456140349</v>
      </c>
      <c r="K67">
        <f t="shared" ca="1" si="8"/>
        <v>0.22868525896414357</v>
      </c>
      <c r="L67">
        <f t="shared" ca="1" si="8"/>
        <v>0.15734649122807026</v>
      </c>
      <c r="M67">
        <f t="shared" ca="1" si="8"/>
        <v>0.31161780673181344</v>
      </c>
      <c r="N67">
        <f t="shared" ca="1" si="8"/>
        <v>0.19261744966442965</v>
      </c>
      <c r="O67">
        <f t="shared" ca="1" si="8"/>
        <v>0.10690789473684202</v>
      </c>
      <c r="P67">
        <f t="shared" ca="1" si="8"/>
        <v>0.13087248322147643</v>
      </c>
      <c r="Q67">
        <f t="shared" ca="1" si="8"/>
        <v>0.18553758325404363</v>
      </c>
      <c r="R67">
        <f t="shared" ca="1" si="8"/>
        <v>0.50493421052631582</v>
      </c>
      <c r="S67">
        <f t="shared" ca="1" si="8"/>
        <v>0.2642543859649123</v>
      </c>
      <c r="T67">
        <f t="shared" ca="1" si="8"/>
        <v>0.32348993288590611</v>
      </c>
      <c r="U67" s="5"/>
      <c r="V67" s="4">
        <f t="shared" si="5"/>
        <v>42032</v>
      </c>
      <c r="W67" s="5">
        <f t="shared" ca="1" si="4"/>
        <v>0.31161780673181344</v>
      </c>
      <c r="Z67" s="4" t="str">
        <f ca="1">IF(OFFSET(Sheet3!$A$1,0,0,300)="","",OFFSET(Sheet3!$A$1,0,0,300))</f>
        <v/>
      </c>
      <c r="AA67" s="5" t="str">
        <f ca="1">IF(OFFSET(Sheet3!$A$1,0,MATCH(W$1,Sheet3!$1:$1,0)-1,300)="","",OFFSET(Sheet3!$A$1,0,MATCH(W$1,Sheet3!$1:$1,0)-1,300))</f>
        <v/>
      </c>
      <c r="AB67" s="5" t="str">
        <f ca="1">IF(OFFSET(Sheet3!$A$1,0,MATCH(X$1,Sheet3!$1:$1,0)-1,300)="","",OFFSET(Sheet3!$A$1,0,MATCH(X$1,Sheet3!$1:$1,0)-1,300))</f>
        <v/>
      </c>
      <c r="AC67" t="str">
        <f t="shared" ref="AC67:AC130" ca="1" si="9">IF(AND(AA67&lt;&gt;"",AB67&lt;&gt;""),ABS(AA67-AB67),"")</f>
        <v/>
      </c>
      <c r="AD67" t="str">
        <f t="shared" ref="AD67:AD130" ca="1" si="10">IF(ISNA(MATCH("",AC67:AC86,0)),AVERAGE(AC67:AC86),"")</f>
        <v/>
      </c>
    </row>
    <row r="68" spans="1:30" x14ac:dyDescent="0.25">
      <c r="A68" s="4">
        <v>42031</v>
      </c>
      <c r="B68">
        <v>0.51300000000000001</v>
      </c>
      <c r="C68" s="5">
        <v>0.871</v>
      </c>
      <c r="D68">
        <v>1.3360000000000001</v>
      </c>
      <c r="E68">
        <v>1.6280000000000001</v>
      </c>
      <c r="F68">
        <v>1.8239999999999998</v>
      </c>
      <c r="G68">
        <v>2.4009999999999998</v>
      </c>
      <c r="H68">
        <f t="shared" ca="1" si="8"/>
        <v>0.4170403587443946</v>
      </c>
      <c r="I68">
        <f t="shared" ca="1" si="8"/>
        <v>0.35469107551487422</v>
      </c>
      <c r="J68">
        <f t="shared" ca="1" si="8"/>
        <v>0.246292372881356</v>
      </c>
      <c r="K68">
        <f t="shared" ca="1" si="8"/>
        <v>0.22273073989321132</v>
      </c>
      <c r="L68">
        <f t="shared" ca="1" si="8"/>
        <v>0.15466101694915257</v>
      </c>
      <c r="M68">
        <f t="shared" ca="1" si="8"/>
        <v>0.30640083945435476</v>
      </c>
      <c r="N68">
        <f t="shared" ca="1" si="8"/>
        <v>0.19084967320261442</v>
      </c>
      <c r="O68">
        <f t="shared" ca="1" si="8"/>
        <v>0.10381355932203376</v>
      </c>
      <c r="P68">
        <f t="shared" ca="1" si="8"/>
        <v>0.12810457516339854</v>
      </c>
      <c r="Q68">
        <f t="shared" ca="1" si="8"/>
        <v>0.1840375586854458</v>
      </c>
      <c r="R68">
        <f t="shared" ca="1" si="8"/>
        <v>0.50476694915254228</v>
      </c>
      <c r="S68">
        <f t="shared" ca="1" si="8"/>
        <v>0.25847457627118631</v>
      </c>
      <c r="T68">
        <f t="shared" ca="1" si="8"/>
        <v>0.31895424836601294</v>
      </c>
      <c r="U68" s="5"/>
      <c r="V68" s="4">
        <f t="shared" si="5"/>
        <v>42031</v>
      </c>
      <c r="W68" s="5">
        <f t="shared" ca="1" si="4"/>
        <v>0.30640083945435476</v>
      </c>
      <c r="Z68" s="4" t="str">
        <f ca="1">IF(OFFSET(Sheet3!$A$1,0,0,300)="","",OFFSET(Sheet3!$A$1,0,0,300))</f>
        <v/>
      </c>
      <c r="AA68" s="5" t="str">
        <f ca="1">IF(OFFSET(Sheet3!$A$1,0,MATCH(W$1,Sheet3!$1:$1,0)-1,300)="","",OFFSET(Sheet3!$A$1,0,MATCH(W$1,Sheet3!$1:$1,0)-1,300))</f>
        <v/>
      </c>
      <c r="AB68" s="5" t="str">
        <f ca="1">IF(OFFSET(Sheet3!$A$1,0,MATCH(X$1,Sheet3!$1:$1,0)-1,300)="","",OFFSET(Sheet3!$A$1,0,MATCH(X$1,Sheet3!$1:$1,0)-1,300))</f>
        <v/>
      </c>
      <c r="AC68" t="str">
        <f t="shared" ca="1" si="9"/>
        <v/>
      </c>
      <c r="AD68" t="str">
        <f t="shared" ca="1" si="10"/>
        <v/>
      </c>
    </row>
    <row r="69" spans="1:30" x14ac:dyDescent="0.25">
      <c r="A69" s="4">
        <v>42030</v>
      </c>
      <c r="B69">
        <v>0.51300000000000001</v>
      </c>
      <c r="C69" s="5">
        <v>0.874</v>
      </c>
      <c r="D69">
        <v>1.3380000000000001</v>
      </c>
      <c r="E69">
        <v>1.6360000000000001</v>
      </c>
      <c r="F69">
        <v>1.825</v>
      </c>
      <c r="G69">
        <v>2.3980000000000001</v>
      </c>
      <c r="H69">
        <f t="shared" ca="1" si="8"/>
        <v>0.41317898486197685</v>
      </c>
      <c r="I69">
        <f t="shared" ca="1" si="8"/>
        <v>0.35365853658536595</v>
      </c>
      <c r="J69">
        <f t="shared" ca="1" si="8"/>
        <v>0.24615384615384617</v>
      </c>
      <c r="K69">
        <f t="shared" ca="1" si="8"/>
        <v>0.22713414634146348</v>
      </c>
      <c r="L69">
        <f t="shared" ca="1" si="8"/>
        <v>0.15809018567639258</v>
      </c>
      <c r="M69">
        <f t="shared" ca="1" si="8"/>
        <v>0.31335436382755</v>
      </c>
      <c r="N69">
        <f t="shared" ca="1" si="8"/>
        <v>0.19553805774278218</v>
      </c>
      <c r="O69">
        <f t="shared" ca="1" si="8"/>
        <v>0.10026525198938982</v>
      </c>
      <c r="P69">
        <f t="shared" ca="1" si="8"/>
        <v>0.12401574803149595</v>
      </c>
      <c r="Q69">
        <f t="shared" ca="1" si="8"/>
        <v>0.17830188679245265</v>
      </c>
      <c r="R69">
        <f t="shared" ca="1" si="8"/>
        <v>0.50450928381962856</v>
      </c>
      <c r="S69">
        <f t="shared" ca="1" si="8"/>
        <v>0.25835543766578239</v>
      </c>
      <c r="T69">
        <f t="shared" ca="1" si="8"/>
        <v>0.31955380577427811</v>
      </c>
      <c r="U69" s="5"/>
      <c r="V69" s="4">
        <f t="shared" si="5"/>
        <v>42030</v>
      </c>
      <c r="W69" s="5">
        <f t="shared" ca="1" si="4"/>
        <v>0.31335436382755</v>
      </c>
      <c r="Z69" s="4" t="str">
        <f ca="1">IF(OFFSET(Sheet3!$A$1,0,0,300)="","",OFFSET(Sheet3!$A$1,0,0,300))</f>
        <v/>
      </c>
      <c r="AA69" s="5" t="str">
        <f ca="1">IF(OFFSET(Sheet3!$A$1,0,MATCH(W$1,Sheet3!$1:$1,0)-1,300)="","",OFFSET(Sheet3!$A$1,0,MATCH(W$1,Sheet3!$1:$1,0)-1,300))</f>
        <v/>
      </c>
      <c r="AB69" s="5" t="str">
        <f ca="1">IF(OFFSET(Sheet3!$A$1,0,MATCH(X$1,Sheet3!$1:$1,0)-1,300)="","",OFFSET(Sheet3!$A$1,0,MATCH(X$1,Sheet3!$1:$1,0)-1,300))</f>
        <v/>
      </c>
      <c r="AC69" t="str">
        <f t="shared" ca="1" si="9"/>
        <v/>
      </c>
      <c r="AD69" t="str">
        <f t="shared" ca="1" si="10"/>
        <v/>
      </c>
    </row>
    <row r="70" spans="1:30" x14ac:dyDescent="0.25">
      <c r="A70" s="4">
        <v>42027</v>
      </c>
      <c r="B70">
        <v>0.48799999999999999</v>
      </c>
      <c r="C70" s="5">
        <v>0.85199999999999998</v>
      </c>
      <c r="D70">
        <v>1.3089999999999999</v>
      </c>
      <c r="E70">
        <v>1.6019999999999999</v>
      </c>
      <c r="F70">
        <v>1.798</v>
      </c>
      <c r="G70">
        <v>2.3740000000000001</v>
      </c>
      <c r="H70">
        <f t="shared" ca="1" si="8"/>
        <v>0.41023339317773788</v>
      </c>
      <c r="I70">
        <f t="shared" ca="1" si="8"/>
        <v>0.34885496183206105</v>
      </c>
      <c r="J70">
        <f t="shared" ca="1" si="8"/>
        <v>0.24231177094379636</v>
      </c>
      <c r="K70">
        <f t="shared" ca="1" si="8"/>
        <v>0.22366412213740453</v>
      </c>
      <c r="L70">
        <f t="shared" ca="1" si="8"/>
        <v>0.15535524920466592</v>
      </c>
      <c r="M70">
        <f t="shared" ca="1" si="8"/>
        <v>0.30972515856236776</v>
      </c>
      <c r="N70">
        <f t="shared" ca="1" si="8"/>
        <v>0.19250985545335078</v>
      </c>
      <c r="O70">
        <f t="shared" ca="1" si="8"/>
        <v>0.10392364793213157</v>
      </c>
      <c r="P70">
        <f t="shared" ca="1" si="8"/>
        <v>0.12877792378449418</v>
      </c>
      <c r="Q70">
        <f t="shared" ca="1" si="8"/>
        <v>0.18403755868544613</v>
      </c>
      <c r="R70">
        <f t="shared" ca="1" si="8"/>
        <v>0.50159066808059383</v>
      </c>
      <c r="S70">
        <f t="shared" ca="1" si="8"/>
        <v>0.25927889713679747</v>
      </c>
      <c r="T70">
        <f t="shared" ca="1" si="8"/>
        <v>0.32128777923784496</v>
      </c>
      <c r="U70" s="5"/>
      <c r="V70" s="4">
        <f t="shared" si="5"/>
        <v>42027</v>
      </c>
      <c r="W70" s="5">
        <f t="shared" ca="1" si="4"/>
        <v>0.30972515856236776</v>
      </c>
      <c r="Z70" s="4" t="str">
        <f ca="1">IF(OFFSET(Sheet3!$A$1,0,0,300)="","",OFFSET(Sheet3!$A$1,0,0,300))</f>
        <v/>
      </c>
      <c r="AA70" s="5" t="str">
        <f ca="1">IF(OFFSET(Sheet3!$A$1,0,MATCH(W$1,Sheet3!$1:$1,0)-1,300)="","",OFFSET(Sheet3!$A$1,0,MATCH(W$1,Sheet3!$1:$1,0)-1,300))</f>
        <v/>
      </c>
      <c r="AB70" s="5" t="str">
        <f ca="1">IF(OFFSET(Sheet3!$A$1,0,MATCH(X$1,Sheet3!$1:$1,0)-1,300)="","",OFFSET(Sheet3!$A$1,0,MATCH(X$1,Sheet3!$1:$1,0)-1,300))</f>
        <v/>
      </c>
      <c r="AC70" t="str">
        <f t="shared" ca="1" si="9"/>
        <v/>
      </c>
      <c r="AD70" t="str">
        <f t="shared" ca="1" si="10"/>
        <v/>
      </c>
    </row>
    <row r="71" spans="1:30" x14ac:dyDescent="0.25">
      <c r="A71" s="4">
        <v>42026</v>
      </c>
      <c r="B71">
        <v>0.51900000000000002</v>
      </c>
      <c r="C71" s="5">
        <v>0.89200000000000002</v>
      </c>
      <c r="D71">
        <v>1.365</v>
      </c>
      <c r="E71">
        <v>1.669</v>
      </c>
      <c r="F71">
        <v>1.8639999999999999</v>
      </c>
      <c r="G71">
        <v>2.4390000000000001</v>
      </c>
      <c r="H71">
        <f t="shared" ca="1" si="8"/>
        <v>0.41130434782608699</v>
      </c>
      <c r="I71">
        <f t="shared" ca="1" si="8"/>
        <v>0.35167286245353163</v>
      </c>
      <c r="J71">
        <f t="shared" ca="1" si="8"/>
        <v>0.24635416666666665</v>
      </c>
      <c r="K71">
        <f t="shared" ca="1" si="8"/>
        <v>0.22602230483271382</v>
      </c>
      <c r="L71">
        <f t="shared" ca="1" si="8"/>
        <v>0.15833333333333335</v>
      </c>
      <c r="M71">
        <f t="shared" ca="1" si="8"/>
        <v>0.31275720164609061</v>
      </c>
      <c r="N71">
        <f t="shared" ca="1" si="8"/>
        <v>0.19650937297996124</v>
      </c>
      <c r="O71">
        <f t="shared" ca="1" si="8"/>
        <v>0.10156249999999992</v>
      </c>
      <c r="P71">
        <f t="shared" ca="1" si="8"/>
        <v>0.12605042016806711</v>
      </c>
      <c r="Q71">
        <f t="shared" ca="1" si="8"/>
        <v>0.1815642458100557</v>
      </c>
      <c r="R71">
        <f t="shared" ca="1" si="8"/>
        <v>0.50624999999999998</v>
      </c>
      <c r="S71">
        <f t="shared" ca="1" si="8"/>
        <v>0.25989583333333327</v>
      </c>
      <c r="T71">
        <f t="shared" ca="1" si="8"/>
        <v>0.32255979314802835</v>
      </c>
      <c r="U71" s="5"/>
      <c r="V71" s="4">
        <f t="shared" si="5"/>
        <v>42026</v>
      </c>
      <c r="W71" s="5">
        <f t="shared" ca="1" si="4"/>
        <v>0.31275720164609061</v>
      </c>
      <c r="Z71" s="4" t="str">
        <f ca="1">IF(OFFSET(Sheet3!$A$1,0,0,300)="","",OFFSET(Sheet3!$A$1,0,0,300))</f>
        <v/>
      </c>
      <c r="AA71" s="5" t="str">
        <f ca="1">IF(OFFSET(Sheet3!$A$1,0,MATCH(W$1,Sheet3!$1:$1,0)-1,300)="","",OFFSET(Sheet3!$A$1,0,MATCH(W$1,Sheet3!$1:$1,0)-1,300))</f>
        <v/>
      </c>
      <c r="AB71" s="5" t="str">
        <f ca="1">IF(OFFSET(Sheet3!$A$1,0,MATCH(X$1,Sheet3!$1:$1,0)-1,300)="","",OFFSET(Sheet3!$A$1,0,MATCH(X$1,Sheet3!$1:$1,0)-1,300))</f>
        <v/>
      </c>
      <c r="AC71" t="str">
        <f t="shared" ca="1" si="9"/>
        <v/>
      </c>
      <c r="AD71" t="str">
        <f t="shared" ca="1" si="10"/>
        <v/>
      </c>
    </row>
    <row r="72" spans="1:30" x14ac:dyDescent="0.25">
      <c r="A72" s="4">
        <v>42025</v>
      </c>
      <c r="B72">
        <v>0.50900000000000001</v>
      </c>
      <c r="C72" s="5">
        <v>0.871</v>
      </c>
      <c r="D72">
        <v>1.35</v>
      </c>
      <c r="E72">
        <v>1.667</v>
      </c>
      <c r="F72">
        <v>1.873</v>
      </c>
      <c r="G72">
        <v>2.4620000000000002</v>
      </c>
      <c r="H72">
        <f t="shared" ca="1" si="8"/>
        <v>0.41364421416234898</v>
      </c>
      <c r="I72">
        <f t="shared" ca="1" si="8"/>
        <v>0.35117302052785931</v>
      </c>
      <c r="J72">
        <f t="shared" ca="1" si="8"/>
        <v>0.2452636968766001</v>
      </c>
      <c r="K72">
        <f t="shared" ca="1" si="8"/>
        <v>0.23240469208211142</v>
      </c>
      <c r="L72">
        <f t="shared" ca="1" si="8"/>
        <v>0.16231438812083968</v>
      </c>
      <c r="M72">
        <f t="shared" ca="1" si="8"/>
        <v>0.3163672654690618</v>
      </c>
      <c r="N72">
        <f t="shared" ca="1" si="8"/>
        <v>0.19924575738529221</v>
      </c>
      <c r="O72">
        <f t="shared" ca="1" si="8"/>
        <v>0.10547875064004093</v>
      </c>
      <c r="P72">
        <f t="shared" ca="1" si="8"/>
        <v>0.12947831552482711</v>
      </c>
      <c r="Q72">
        <f t="shared" ca="1" si="8"/>
        <v>0.18525179856115104</v>
      </c>
      <c r="R72">
        <f t="shared" ca="1" si="8"/>
        <v>0.51305683563748072</v>
      </c>
      <c r="S72">
        <f t="shared" ca="1" si="8"/>
        <v>0.26779313876088062</v>
      </c>
      <c r="T72">
        <f t="shared" ca="1" si="8"/>
        <v>0.32872407291011935</v>
      </c>
      <c r="U72" s="5"/>
      <c r="V72" s="4">
        <f t="shared" si="5"/>
        <v>42025</v>
      </c>
      <c r="W72" s="5">
        <f t="shared" ca="1" si="4"/>
        <v>0.3163672654690618</v>
      </c>
      <c r="Z72" s="4" t="str">
        <f ca="1">IF(OFFSET(Sheet3!$A$1,0,0,300)="","",OFFSET(Sheet3!$A$1,0,0,300))</f>
        <v/>
      </c>
      <c r="AA72" s="5" t="str">
        <f ca="1">IF(OFFSET(Sheet3!$A$1,0,MATCH(W$1,Sheet3!$1:$1,0)-1,300)="","",OFFSET(Sheet3!$A$1,0,MATCH(W$1,Sheet3!$1:$1,0)-1,300))</f>
        <v/>
      </c>
      <c r="AB72" s="5" t="str">
        <f ca="1">IF(OFFSET(Sheet3!$A$1,0,MATCH(X$1,Sheet3!$1:$1,0)-1,300)="","",OFFSET(Sheet3!$A$1,0,MATCH(X$1,Sheet3!$1:$1,0)-1,300))</f>
        <v/>
      </c>
      <c r="AC72" t="str">
        <f t="shared" ca="1" si="9"/>
        <v/>
      </c>
      <c r="AD72" t="str">
        <f t="shared" ca="1" si="10"/>
        <v/>
      </c>
    </row>
    <row r="73" spans="1:30" x14ac:dyDescent="0.25">
      <c r="A73" s="4">
        <v>42024</v>
      </c>
      <c r="B73">
        <v>0.49299999999999999</v>
      </c>
      <c r="C73" s="5">
        <v>0.83099999999999996</v>
      </c>
      <c r="D73">
        <v>1.28</v>
      </c>
      <c r="E73">
        <v>1.585</v>
      </c>
      <c r="F73">
        <v>1.7890000000000001</v>
      </c>
      <c r="G73">
        <v>2.3780000000000001</v>
      </c>
      <c r="H73">
        <f t="shared" ca="1" si="8"/>
        <v>0.41117216117216121</v>
      </c>
      <c r="I73">
        <f t="shared" ca="1" si="8"/>
        <v>0.3464506172839506</v>
      </c>
      <c r="J73">
        <f t="shared" ca="1" si="8"/>
        <v>0.23819628647214855</v>
      </c>
      <c r="K73">
        <f t="shared" ca="1" si="8"/>
        <v>0.23533950617283941</v>
      </c>
      <c r="L73">
        <f t="shared" ca="1" si="8"/>
        <v>0.16180371352785142</v>
      </c>
      <c r="M73">
        <f t="shared" ca="1" si="8"/>
        <v>0.31837160751565752</v>
      </c>
      <c r="N73">
        <f t="shared" ca="1" si="8"/>
        <v>0.19715578539107945</v>
      </c>
      <c r="O73">
        <f t="shared" ca="1" si="8"/>
        <v>0.10822281167108762</v>
      </c>
      <c r="P73">
        <f t="shared" ca="1" si="8"/>
        <v>0.13186813186813198</v>
      </c>
      <c r="Q73">
        <f t="shared" ca="1" si="8"/>
        <v>0.18579234972677611</v>
      </c>
      <c r="R73">
        <f t="shared" ca="1" si="8"/>
        <v>0.50822281167108752</v>
      </c>
      <c r="S73">
        <f t="shared" ca="1" si="8"/>
        <v>0.27002652519893905</v>
      </c>
      <c r="T73">
        <f t="shared" ca="1" si="8"/>
        <v>0.32902391725921143</v>
      </c>
      <c r="U73" s="5"/>
      <c r="V73" s="4">
        <f t="shared" si="5"/>
        <v>42024</v>
      </c>
      <c r="W73" s="5">
        <f t="shared" ca="1" si="4"/>
        <v>0.31837160751565752</v>
      </c>
      <c r="Z73" s="4" t="str">
        <f ca="1">IF(OFFSET(Sheet3!$A$1,0,0,300)="","",OFFSET(Sheet3!$A$1,0,0,300))</f>
        <v/>
      </c>
      <c r="AA73" s="5" t="str">
        <f ca="1">IF(OFFSET(Sheet3!$A$1,0,MATCH(W$1,Sheet3!$1:$1,0)-1,300)="","",OFFSET(Sheet3!$A$1,0,MATCH(W$1,Sheet3!$1:$1,0)-1,300))</f>
        <v/>
      </c>
      <c r="AB73" s="5" t="str">
        <f ca="1">IF(OFFSET(Sheet3!$A$1,0,MATCH(X$1,Sheet3!$1:$1,0)-1,300)="","",OFFSET(Sheet3!$A$1,0,MATCH(X$1,Sheet3!$1:$1,0)-1,300))</f>
        <v/>
      </c>
      <c r="AC73" t="str">
        <f t="shared" ca="1" si="9"/>
        <v/>
      </c>
      <c r="AD73" t="str">
        <f t="shared" ca="1" si="10"/>
        <v/>
      </c>
    </row>
    <row r="74" spans="1:30" x14ac:dyDescent="0.25">
      <c r="A74" s="4">
        <v>42023</v>
      </c>
      <c r="B74">
        <v>0.48599999999999999</v>
      </c>
      <c r="C74" s="5">
        <v>0.82299999999999995</v>
      </c>
      <c r="D74">
        <v>1.3029999999999999</v>
      </c>
      <c r="E74">
        <v>1.613</v>
      </c>
      <c r="F74">
        <v>1.8380000000000001</v>
      </c>
      <c r="G74">
        <v>2.4529999999999998</v>
      </c>
      <c r="H74">
        <f t="shared" ca="1" si="8"/>
        <v>0.42590949423247559</v>
      </c>
      <c r="I74">
        <f t="shared" ca="1" si="8"/>
        <v>0.35502958579881655</v>
      </c>
      <c r="J74">
        <f t="shared" ca="1" si="8"/>
        <v>0.2440264361972547</v>
      </c>
      <c r="K74">
        <f t="shared" ca="1" si="8"/>
        <v>0.2292899408284024</v>
      </c>
      <c r="L74">
        <f t="shared" ca="1" si="8"/>
        <v>0.15760040671072703</v>
      </c>
      <c r="M74">
        <f t="shared" ca="1" si="8"/>
        <v>0.30541871921182268</v>
      </c>
      <c r="N74">
        <f t="shared" ca="1" si="8"/>
        <v>0.19018404907975464</v>
      </c>
      <c r="O74">
        <f t="shared" ca="1" si="8"/>
        <v>0.1143873919674632</v>
      </c>
      <c r="P74">
        <f t="shared" ca="1" si="8"/>
        <v>0.13803680981595098</v>
      </c>
      <c r="Q74">
        <f t="shared" ca="1" si="8"/>
        <v>0.19565217391304357</v>
      </c>
      <c r="R74">
        <f t="shared" ca="1" si="8"/>
        <v>0.51601423487544495</v>
      </c>
      <c r="S74">
        <f t="shared" ca="1" si="8"/>
        <v>0.27198779867819023</v>
      </c>
      <c r="T74">
        <f t="shared" ca="1" si="8"/>
        <v>0.32822085889570563</v>
      </c>
      <c r="U74" s="5"/>
      <c r="V74" s="4">
        <f t="shared" si="5"/>
        <v>42023</v>
      </c>
      <c r="W74" s="5">
        <f t="shared" ca="1" si="4"/>
        <v>0.30541871921182268</v>
      </c>
      <c r="Z74" s="4" t="str">
        <f ca="1">IF(OFFSET(Sheet3!$A$1,0,0,300)="","",OFFSET(Sheet3!$A$1,0,0,300))</f>
        <v/>
      </c>
      <c r="AA74" s="5" t="str">
        <f ca="1">IF(OFFSET(Sheet3!$A$1,0,MATCH(W$1,Sheet3!$1:$1,0)-1,300)="","",OFFSET(Sheet3!$A$1,0,MATCH(W$1,Sheet3!$1:$1,0)-1,300))</f>
        <v/>
      </c>
      <c r="AB74" s="5" t="str">
        <f ca="1">IF(OFFSET(Sheet3!$A$1,0,MATCH(X$1,Sheet3!$1:$1,0)-1,300)="","",OFFSET(Sheet3!$A$1,0,MATCH(X$1,Sheet3!$1:$1,0)-1,300))</f>
        <v/>
      </c>
      <c r="AC74" t="str">
        <f t="shared" ca="1" si="9"/>
        <v/>
      </c>
      <c r="AD74" t="str">
        <f t="shared" ca="1" si="10"/>
        <v/>
      </c>
    </row>
    <row r="75" spans="1:30" x14ac:dyDescent="0.25">
      <c r="A75" s="4">
        <v>42020</v>
      </c>
      <c r="B75">
        <v>0.48599999999999999</v>
      </c>
      <c r="C75" s="5">
        <v>0.82299999999999995</v>
      </c>
      <c r="D75">
        <v>1.3029999999999999</v>
      </c>
      <c r="E75">
        <v>1.613</v>
      </c>
      <c r="F75">
        <v>1.8380000000000001</v>
      </c>
      <c r="G75">
        <v>2.4529999999999998</v>
      </c>
      <c r="H75">
        <f t="shared" ca="1" si="8"/>
        <v>0.42590949423247559</v>
      </c>
      <c r="I75">
        <f t="shared" ca="1" si="8"/>
        <v>0.35502958579881655</v>
      </c>
      <c r="J75">
        <f t="shared" ca="1" si="8"/>
        <v>0.2440264361972547</v>
      </c>
      <c r="K75">
        <f t="shared" ca="1" si="8"/>
        <v>0.2292899408284024</v>
      </c>
      <c r="L75">
        <f t="shared" ca="1" si="8"/>
        <v>0.15760040671072703</v>
      </c>
      <c r="M75">
        <f t="shared" ca="1" si="8"/>
        <v>0.30541871921182268</v>
      </c>
      <c r="N75">
        <f t="shared" ca="1" si="8"/>
        <v>0.19018404907975464</v>
      </c>
      <c r="O75">
        <f t="shared" ca="1" si="8"/>
        <v>0.1143873919674632</v>
      </c>
      <c r="P75">
        <f t="shared" ca="1" si="8"/>
        <v>0.13803680981595098</v>
      </c>
      <c r="Q75">
        <f t="shared" ca="1" si="8"/>
        <v>0.19565217391304357</v>
      </c>
      <c r="R75">
        <f t="shared" ca="1" si="8"/>
        <v>0.51601423487544495</v>
      </c>
      <c r="S75">
        <f t="shared" ca="1" si="8"/>
        <v>0.27198779867819023</v>
      </c>
      <c r="T75">
        <f t="shared" ca="1" si="8"/>
        <v>0.32822085889570563</v>
      </c>
      <c r="U75" s="5"/>
      <c r="V75" s="4">
        <f t="shared" si="5"/>
        <v>42020</v>
      </c>
      <c r="W75" s="5">
        <f t="shared" ca="1" si="4"/>
        <v>0.30541871921182268</v>
      </c>
      <c r="Z75" s="4" t="str">
        <f ca="1">IF(OFFSET(Sheet3!$A$1,0,0,300)="","",OFFSET(Sheet3!$A$1,0,0,300))</f>
        <v/>
      </c>
      <c r="AA75" s="5" t="str">
        <f ca="1">IF(OFFSET(Sheet3!$A$1,0,MATCH(W$1,Sheet3!$1:$1,0)-1,300)="","",OFFSET(Sheet3!$A$1,0,MATCH(W$1,Sheet3!$1:$1,0)-1,300))</f>
        <v/>
      </c>
      <c r="AB75" s="5" t="str">
        <f ca="1">IF(OFFSET(Sheet3!$A$1,0,MATCH(X$1,Sheet3!$1:$1,0)-1,300)="","",OFFSET(Sheet3!$A$1,0,MATCH(X$1,Sheet3!$1:$1,0)-1,300))</f>
        <v/>
      </c>
      <c r="AC75" t="str">
        <f t="shared" ca="1" si="9"/>
        <v/>
      </c>
      <c r="AD75" t="str">
        <f t="shared" ca="1" si="10"/>
        <v/>
      </c>
    </row>
    <row r="76" spans="1:30" x14ac:dyDescent="0.25">
      <c r="A76" s="4">
        <v>42019</v>
      </c>
      <c r="B76">
        <v>0.41399999999999998</v>
      </c>
      <c r="C76" s="5">
        <v>0.71299999999999997</v>
      </c>
      <c r="D76">
        <v>1.1619999999999999</v>
      </c>
      <c r="E76">
        <v>1.4790000000000001</v>
      </c>
      <c r="F76">
        <v>1.716</v>
      </c>
      <c r="G76">
        <v>2.3679999999999999</v>
      </c>
      <c r="H76">
        <f t="shared" ca="1" si="8"/>
        <v>0.4215962441314553</v>
      </c>
      <c r="I76">
        <f t="shared" ca="1" si="8"/>
        <v>0.34485407066052221</v>
      </c>
      <c r="J76">
        <f t="shared" ca="1" si="8"/>
        <v>0.22978505629477991</v>
      </c>
      <c r="K76">
        <f t="shared" ca="1" si="8"/>
        <v>0.24347158218125972</v>
      </c>
      <c r="L76">
        <f t="shared" ca="1" si="8"/>
        <v>0.16223132036847501</v>
      </c>
      <c r="M76">
        <f t="shared" ca="1" si="8"/>
        <v>0.31605184446660034</v>
      </c>
      <c r="N76">
        <f t="shared" ca="1" si="8"/>
        <v>0.19154078549848955</v>
      </c>
      <c r="O76">
        <f t="shared" ca="1" si="8"/>
        <v>0.1212896622313203</v>
      </c>
      <c r="P76">
        <f t="shared" ca="1" si="8"/>
        <v>0.14320241691842894</v>
      </c>
      <c r="Q76">
        <f t="shared" ca="1" si="8"/>
        <v>0.19651741293532329</v>
      </c>
      <c r="R76">
        <f t="shared" ca="1" si="8"/>
        <v>0.51330603889457527</v>
      </c>
      <c r="S76">
        <f t="shared" ca="1" si="8"/>
        <v>0.2835209825997953</v>
      </c>
      <c r="T76">
        <f t="shared" ca="1" si="8"/>
        <v>0.33474320241691852</v>
      </c>
      <c r="U76" s="5"/>
      <c r="V76" s="4">
        <f t="shared" si="5"/>
        <v>42019</v>
      </c>
      <c r="W76" s="5">
        <f t="shared" ref="W76:W139" ca="1" si="11">OFFSET($H$12,0,MATCH(select,$H$12:$T$12,0)-1,300,1)</f>
        <v>0.31605184446660034</v>
      </c>
      <c r="Z76" s="4" t="str">
        <f ca="1">IF(OFFSET(Sheet3!$A$1,0,0,300)="","",OFFSET(Sheet3!$A$1,0,0,300))</f>
        <v/>
      </c>
      <c r="AA76" s="5" t="str">
        <f ca="1">IF(OFFSET(Sheet3!$A$1,0,MATCH(W$1,Sheet3!$1:$1,0)-1,300)="","",OFFSET(Sheet3!$A$1,0,MATCH(W$1,Sheet3!$1:$1,0)-1,300))</f>
        <v/>
      </c>
      <c r="AB76" s="5" t="str">
        <f ca="1">IF(OFFSET(Sheet3!$A$1,0,MATCH(X$1,Sheet3!$1:$1,0)-1,300)="","",OFFSET(Sheet3!$A$1,0,MATCH(X$1,Sheet3!$1:$1,0)-1,300))</f>
        <v/>
      </c>
      <c r="AC76" t="str">
        <f t="shared" ca="1" si="9"/>
        <v/>
      </c>
      <c r="AD76" t="str">
        <f t="shared" ca="1" si="10"/>
        <v/>
      </c>
    </row>
    <row r="77" spans="1:30" x14ac:dyDescent="0.25">
      <c r="A77" s="4">
        <v>42018</v>
      </c>
      <c r="B77">
        <v>0.503</v>
      </c>
      <c r="C77" s="5">
        <v>0.83899999999999997</v>
      </c>
      <c r="D77">
        <v>1.32</v>
      </c>
      <c r="E77">
        <v>1.6280000000000001</v>
      </c>
      <c r="F77">
        <v>1.8559999999999999</v>
      </c>
      <c r="G77">
        <v>2.4689999999999999</v>
      </c>
      <c r="H77">
        <f t="shared" ref="H77:T92" ca="1" si="12">IF(ISERROR(ABS(OFFSET($A$11,ROW()-11,MATCH(LEFT(H$9,2),$A$11:$G$11,0)-1)-OFFSET($A$11,ROW()-11,MATCH(RIGHT(H$9,2),$A$11:$G$11,0)-1))/ABS(OFFSET($A$11,ROW()-11,MATCH(LEFT(H$10,2),$A$11:$G$11,0)-1)-OFFSET($A$11,ROW()-11,MATCH(RIGHT(H$10,2),$A$11:$G$11,0)-1))),"",ABS(OFFSET($A$11,ROW()-11,MATCH(LEFT(H$9,2),$A$11:$G$11,0)-1)-OFFSET($A$11,ROW()-11,MATCH(RIGHT(H$9,2),$A$11:$G$11,0)-1))/ABS(OFFSET($A$11,ROW()-11,MATCH(LEFT(H$10,2),$A$11:$G$11,0)-1)-OFFSET($A$11,ROW()-11,MATCH(RIGHT(H$10,2),$A$11:$G$11,0)-1)))</f>
        <v>0.42755555555555563</v>
      </c>
      <c r="I77">
        <f t="shared" ca="1" si="12"/>
        <v>0.35550628233555076</v>
      </c>
      <c r="J77">
        <f t="shared" ca="1" si="12"/>
        <v>0.24465920651068165</v>
      </c>
      <c r="K77">
        <f t="shared" ca="1" si="12"/>
        <v>0.2276422764227643</v>
      </c>
      <c r="L77">
        <f t="shared" ca="1" si="12"/>
        <v>0.15666327568667349</v>
      </c>
      <c r="M77">
        <f t="shared" ca="1" si="12"/>
        <v>0.30285152409046223</v>
      </c>
      <c r="N77">
        <f t="shared" ca="1" si="12"/>
        <v>0.18895705521472397</v>
      </c>
      <c r="O77">
        <f t="shared" ca="1" si="12"/>
        <v>0.11597151576805687</v>
      </c>
      <c r="P77">
        <f t="shared" ca="1" si="12"/>
        <v>0.13987730061349679</v>
      </c>
      <c r="Q77">
        <f t="shared" ca="1" si="12"/>
        <v>0.19843342036553507</v>
      </c>
      <c r="R77">
        <f t="shared" ca="1" si="12"/>
        <v>0.51729399796541198</v>
      </c>
      <c r="S77">
        <f t="shared" ca="1" si="12"/>
        <v>0.27263479145473035</v>
      </c>
      <c r="T77">
        <f t="shared" ca="1" si="12"/>
        <v>0.32883435582822074</v>
      </c>
      <c r="U77" s="5"/>
      <c r="V77" s="4">
        <f t="shared" si="5"/>
        <v>42018</v>
      </c>
      <c r="W77" s="5">
        <f t="shared" ca="1" si="11"/>
        <v>0.30285152409046223</v>
      </c>
      <c r="Z77" s="4" t="str">
        <f ca="1">IF(OFFSET(Sheet3!$A$1,0,0,300)="","",OFFSET(Sheet3!$A$1,0,0,300))</f>
        <v/>
      </c>
      <c r="AA77" s="5" t="str">
        <f ca="1">IF(OFFSET(Sheet3!$A$1,0,MATCH(W$1,Sheet3!$1:$1,0)-1,300)="","",OFFSET(Sheet3!$A$1,0,MATCH(W$1,Sheet3!$1:$1,0)-1,300))</f>
        <v/>
      </c>
      <c r="AB77" s="5" t="str">
        <f ca="1">IF(OFFSET(Sheet3!$A$1,0,MATCH(X$1,Sheet3!$1:$1,0)-1,300)="","",OFFSET(Sheet3!$A$1,0,MATCH(X$1,Sheet3!$1:$1,0)-1,300))</f>
        <v/>
      </c>
      <c r="AC77" t="str">
        <f t="shared" ca="1" si="9"/>
        <v/>
      </c>
      <c r="AD77" t="str">
        <f t="shared" ca="1" si="10"/>
        <v/>
      </c>
    </row>
    <row r="78" spans="1:30" x14ac:dyDescent="0.25">
      <c r="A78" s="4">
        <v>42017</v>
      </c>
      <c r="B78">
        <v>0.54100000000000004</v>
      </c>
      <c r="C78" s="5">
        <v>0.89200000000000002</v>
      </c>
      <c r="D78">
        <v>1.369</v>
      </c>
      <c r="E78">
        <v>1.673</v>
      </c>
      <c r="F78">
        <v>1.901</v>
      </c>
      <c r="G78">
        <v>2.5</v>
      </c>
      <c r="H78">
        <f t="shared" ca="1" si="12"/>
        <v>0.42137809187279146</v>
      </c>
      <c r="I78">
        <f t="shared" ca="1" si="12"/>
        <v>0.35073529411764709</v>
      </c>
      <c r="J78">
        <f t="shared" ca="1" si="12"/>
        <v>0.24349157733537516</v>
      </c>
      <c r="K78">
        <f t="shared" ca="1" si="12"/>
        <v>0.22352941176470595</v>
      </c>
      <c r="L78">
        <f t="shared" ca="1" si="12"/>
        <v>0.15518121490556408</v>
      </c>
      <c r="M78">
        <f t="shared" ca="1" si="12"/>
        <v>0.30128840436075333</v>
      </c>
      <c r="N78">
        <f t="shared" ca="1" si="12"/>
        <v>0.18905472636815923</v>
      </c>
      <c r="O78">
        <f t="shared" ca="1" si="12"/>
        <v>0.11638591117917303</v>
      </c>
      <c r="P78">
        <f t="shared" ca="1" si="12"/>
        <v>0.1417910447761194</v>
      </c>
      <c r="Q78">
        <f t="shared" ca="1" si="12"/>
        <v>0.20159151193633951</v>
      </c>
      <c r="R78">
        <f t="shared" ca="1" si="12"/>
        <v>0.51505870342011228</v>
      </c>
      <c r="S78">
        <f t="shared" ca="1" si="12"/>
        <v>0.2715671260847371</v>
      </c>
      <c r="T78">
        <f t="shared" ca="1" si="12"/>
        <v>0.3308457711442786</v>
      </c>
      <c r="U78" s="5"/>
      <c r="V78" s="4">
        <f t="shared" ref="V78:V141" si="13">IF(A78&lt;&gt;"",A78,"")</f>
        <v>42017</v>
      </c>
      <c r="W78" s="5">
        <f t="shared" ca="1" si="11"/>
        <v>0.30128840436075333</v>
      </c>
      <c r="Z78" s="4" t="str">
        <f ca="1">IF(OFFSET(Sheet3!$A$1,0,0,300)="","",OFFSET(Sheet3!$A$1,0,0,300))</f>
        <v/>
      </c>
      <c r="AA78" s="5" t="str">
        <f ca="1">IF(OFFSET(Sheet3!$A$1,0,MATCH(W$1,Sheet3!$1:$1,0)-1,300)="","",OFFSET(Sheet3!$A$1,0,MATCH(W$1,Sheet3!$1:$1,0)-1,300))</f>
        <v/>
      </c>
      <c r="AB78" s="5" t="str">
        <f ca="1">IF(OFFSET(Sheet3!$A$1,0,MATCH(X$1,Sheet3!$1:$1,0)-1,300)="","",OFFSET(Sheet3!$A$1,0,MATCH(X$1,Sheet3!$1:$1,0)-1,300))</f>
        <v/>
      </c>
      <c r="AC78" t="str">
        <f t="shared" ca="1" si="9"/>
        <v/>
      </c>
      <c r="AD78" t="str">
        <f t="shared" ca="1" si="10"/>
        <v/>
      </c>
    </row>
    <row r="79" spans="1:30" x14ac:dyDescent="0.25">
      <c r="A79" s="4">
        <v>42016</v>
      </c>
      <c r="B79">
        <v>0.54700000000000004</v>
      </c>
      <c r="C79" s="5">
        <v>0.88700000000000001</v>
      </c>
      <c r="D79">
        <v>1.381</v>
      </c>
      <c r="E79">
        <v>1.6850000000000001</v>
      </c>
      <c r="F79">
        <v>1.9079999999999999</v>
      </c>
      <c r="G79">
        <v>2.4969999999999999</v>
      </c>
      <c r="H79">
        <f t="shared" ca="1" si="12"/>
        <v>0.4340949033391916</v>
      </c>
      <c r="I79">
        <f t="shared" ca="1" si="12"/>
        <v>0.36296840558412935</v>
      </c>
      <c r="J79">
        <f t="shared" ca="1" si="12"/>
        <v>0.25333333333333335</v>
      </c>
      <c r="K79">
        <f t="shared" ca="1" si="12"/>
        <v>0.22336517266715658</v>
      </c>
      <c r="L79">
        <f t="shared" ca="1" si="12"/>
        <v>0.15589743589743593</v>
      </c>
      <c r="M79">
        <f t="shared" ca="1" si="12"/>
        <v>0.297747306562194</v>
      </c>
      <c r="N79">
        <f t="shared" ca="1" si="12"/>
        <v>0.18881987577639756</v>
      </c>
      <c r="O79">
        <f t="shared" ca="1" si="12"/>
        <v>0.11435897435897431</v>
      </c>
      <c r="P79">
        <f t="shared" ca="1" si="12"/>
        <v>0.13850931677018627</v>
      </c>
      <c r="Q79">
        <f t="shared" ca="1" si="12"/>
        <v>0.19982078853046584</v>
      </c>
      <c r="R79">
        <f t="shared" ca="1" si="12"/>
        <v>0.52358974358974364</v>
      </c>
      <c r="S79">
        <f t="shared" ca="1" si="12"/>
        <v>0.27025641025641023</v>
      </c>
      <c r="T79">
        <f t="shared" ca="1" si="12"/>
        <v>0.32732919254658382</v>
      </c>
      <c r="U79" s="5"/>
      <c r="V79" s="4">
        <f t="shared" si="13"/>
        <v>42016</v>
      </c>
      <c r="W79" s="5">
        <f t="shared" ca="1" si="11"/>
        <v>0.297747306562194</v>
      </c>
      <c r="Z79" s="4" t="str">
        <f ca="1">IF(OFFSET(Sheet3!$A$1,0,0,300)="","",OFFSET(Sheet3!$A$1,0,0,300))</f>
        <v/>
      </c>
      <c r="AA79" s="5" t="str">
        <f ca="1">IF(OFFSET(Sheet3!$A$1,0,MATCH(W$1,Sheet3!$1:$1,0)-1,300)="","",OFFSET(Sheet3!$A$1,0,MATCH(W$1,Sheet3!$1:$1,0)-1,300))</f>
        <v/>
      </c>
      <c r="AB79" s="5" t="str">
        <f ca="1">IF(OFFSET(Sheet3!$A$1,0,MATCH(X$1,Sheet3!$1:$1,0)-1,300)="","",OFFSET(Sheet3!$A$1,0,MATCH(X$1,Sheet3!$1:$1,0)-1,300))</f>
        <v/>
      </c>
      <c r="AC79" t="str">
        <f t="shared" ca="1" si="9"/>
        <v/>
      </c>
      <c r="AD79" t="str">
        <f t="shared" ca="1" si="10"/>
        <v/>
      </c>
    </row>
    <row r="80" spans="1:30" x14ac:dyDescent="0.25">
      <c r="A80" s="4">
        <v>42013</v>
      </c>
      <c r="B80">
        <v>0.56299999999999994</v>
      </c>
      <c r="C80" s="5">
        <v>0.91700000000000004</v>
      </c>
      <c r="D80">
        <v>1.42</v>
      </c>
      <c r="E80">
        <v>1.732</v>
      </c>
      <c r="F80">
        <v>1.946</v>
      </c>
      <c r="G80">
        <v>2.528</v>
      </c>
      <c r="H80">
        <f t="shared" ca="1" si="12"/>
        <v>0.43028229255774153</v>
      </c>
      <c r="I80">
        <f t="shared" ca="1" si="12"/>
        <v>0.36370209689081701</v>
      </c>
      <c r="J80">
        <f t="shared" ca="1" si="12"/>
        <v>0.25597964376590326</v>
      </c>
      <c r="K80">
        <f t="shared" ca="1" si="12"/>
        <v>0.2255965292841649</v>
      </c>
      <c r="L80">
        <f t="shared" ca="1" si="12"/>
        <v>0.1587786259541985</v>
      </c>
      <c r="M80">
        <f t="shared" ca="1" si="12"/>
        <v>0.30320699708454818</v>
      </c>
      <c r="N80">
        <f t="shared" ca="1" si="12"/>
        <v>0.19366852886405964</v>
      </c>
      <c r="O80">
        <f t="shared" ca="1" si="12"/>
        <v>0.10890585241730277</v>
      </c>
      <c r="P80">
        <f t="shared" ca="1" si="12"/>
        <v>0.132836747361887</v>
      </c>
      <c r="Q80">
        <f t="shared" ca="1" si="12"/>
        <v>0.19314079422382666</v>
      </c>
      <c r="R80">
        <f t="shared" ca="1" si="12"/>
        <v>0.52366412213740454</v>
      </c>
      <c r="S80">
        <f t="shared" ca="1" si="12"/>
        <v>0.26768447837150128</v>
      </c>
      <c r="T80">
        <f t="shared" ca="1" si="12"/>
        <v>0.32650527622594666</v>
      </c>
      <c r="U80" s="5"/>
      <c r="V80" s="4">
        <f t="shared" si="13"/>
        <v>42013</v>
      </c>
      <c r="W80" s="5">
        <f t="shared" ca="1" si="11"/>
        <v>0.30320699708454818</v>
      </c>
      <c r="Z80" s="4" t="str">
        <f ca="1">IF(OFFSET(Sheet3!$A$1,0,0,300)="","",OFFSET(Sheet3!$A$1,0,0,300))</f>
        <v/>
      </c>
      <c r="AA80" s="5" t="str">
        <f ca="1">IF(OFFSET(Sheet3!$A$1,0,MATCH(W$1,Sheet3!$1:$1,0)-1,300)="","",OFFSET(Sheet3!$A$1,0,MATCH(W$1,Sheet3!$1:$1,0)-1,300))</f>
        <v/>
      </c>
      <c r="AB80" s="5" t="str">
        <f ca="1">IF(OFFSET(Sheet3!$A$1,0,MATCH(X$1,Sheet3!$1:$1,0)-1,300)="","",OFFSET(Sheet3!$A$1,0,MATCH(X$1,Sheet3!$1:$1,0)-1,300))</f>
        <v/>
      </c>
      <c r="AC80" t="str">
        <f t="shared" ca="1" si="9"/>
        <v/>
      </c>
      <c r="AD80" t="str">
        <f t="shared" ca="1" si="10"/>
        <v/>
      </c>
    </row>
    <row r="81" spans="1:30" x14ac:dyDescent="0.25">
      <c r="A81" s="4">
        <v>42012</v>
      </c>
      <c r="B81">
        <v>0.60699999999999998</v>
      </c>
      <c r="C81" s="5">
        <v>0.97099999999999997</v>
      </c>
      <c r="D81">
        <v>1.492</v>
      </c>
      <c r="E81">
        <v>1.8080000000000001</v>
      </c>
      <c r="F81">
        <v>2.0190000000000001</v>
      </c>
      <c r="G81">
        <v>2.6</v>
      </c>
      <c r="H81">
        <f t="shared" ca="1" si="12"/>
        <v>0.43380516236469607</v>
      </c>
      <c r="I81">
        <f t="shared" ca="1" si="12"/>
        <v>0.36898016997167138</v>
      </c>
      <c r="J81">
        <f t="shared" ca="1" si="12"/>
        <v>0.26141495233316608</v>
      </c>
      <c r="K81">
        <f t="shared" ca="1" si="12"/>
        <v>0.22379603399433429</v>
      </c>
      <c r="L81">
        <f t="shared" ca="1" si="12"/>
        <v>0.15855494229804318</v>
      </c>
      <c r="M81">
        <f t="shared" ca="1" si="12"/>
        <v>0.30152671755725197</v>
      </c>
      <c r="N81">
        <f t="shared" ca="1" si="12"/>
        <v>0.19398403928790672</v>
      </c>
      <c r="O81">
        <f t="shared" ca="1" si="12"/>
        <v>0.10587054691419973</v>
      </c>
      <c r="P81">
        <f t="shared" ca="1" si="12"/>
        <v>0.1295273173726213</v>
      </c>
      <c r="Q81">
        <f t="shared" ca="1" si="12"/>
        <v>0.19043321299638993</v>
      </c>
      <c r="R81">
        <f t="shared" ca="1" si="12"/>
        <v>0.52584044154540888</v>
      </c>
      <c r="S81">
        <f t="shared" ca="1" si="12"/>
        <v>0.2644254892122429</v>
      </c>
      <c r="T81">
        <f t="shared" ca="1" si="12"/>
        <v>0.32351135666052799</v>
      </c>
      <c r="U81" s="5"/>
      <c r="V81" s="4">
        <f t="shared" si="13"/>
        <v>42012</v>
      </c>
      <c r="W81" s="5">
        <f t="shared" ca="1" si="11"/>
        <v>0.30152671755725197</v>
      </c>
      <c r="Z81" s="4" t="str">
        <f ca="1">IF(OFFSET(Sheet3!$A$1,0,0,300)="","",OFFSET(Sheet3!$A$1,0,0,300))</f>
        <v/>
      </c>
      <c r="AA81" s="5" t="str">
        <f ca="1">IF(OFFSET(Sheet3!$A$1,0,MATCH(W$1,Sheet3!$1:$1,0)-1,300)="","",OFFSET(Sheet3!$A$1,0,MATCH(W$1,Sheet3!$1:$1,0)-1,300))</f>
        <v/>
      </c>
      <c r="AB81" s="5" t="str">
        <f ca="1">IF(OFFSET(Sheet3!$A$1,0,MATCH(X$1,Sheet3!$1:$1,0)-1,300)="","",OFFSET(Sheet3!$A$1,0,MATCH(X$1,Sheet3!$1:$1,0)-1,300))</f>
        <v/>
      </c>
      <c r="AC81" t="str">
        <f t="shared" ca="1" si="9"/>
        <v/>
      </c>
      <c r="AD81" t="str">
        <f t="shared" ca="1" si="10"/>
        <v/>
      </c>
    </row>
    <row r="82" spans="1:30" x14ac:dyDescent="0.25">
      <c r="A82" s="4">
        <v>42011</v>
      </c>
      <c r="B82">
        <v>0.61099999999999999</v>
      </c>
      <c r="C82" s="5">
        <v>0.97399999999999998</v>
      </c>
      <c r="D82">
        <v>1.4790000000000001</v>
      </c>
      <c r="E82">
        <v>1.7749999999999999</v>
      </c>
      <c r="F82">
        <v>1.9689999999999999</v>
      </c>
      <c r="G82">
        <v>2.5289999999999999</v>
      </c>
      <c r="H82">
        <f t="shared" ca="1" si="12"/>
        <v>0.43384879725085923</v>
      </c>
      <c r="I82">
        <f t="shared" ca="1" si="12"/>
        <v>0.37187039764359364</v>
      </c>
      <c r="J82">
        <f t="shared" ca="1" si="12"/>
        <v>0.26329509906152249</v>
      </c>
      <c r="K82">
        <f t="shared" ca="1" si="12"/>
        <v>0.21796759941089827</v>
      </c>
      <c r="L82">
        <f t="shared" ca="1" si="12"/>
        <v>0.15432742440041702</v>
      </c>
      <c r="M82">
        <f t="shared" ca="1" si="12"/>
        <v>0.29748743718592952</v>
      </c>
      <c r="N82">
        <f t="shared" ca="1" si="12"/>
        <v>0.19035369774919603</v>
      </c>
      <c r="O82">
        <f t="shared" ca="1" si="12"/>
        <v>0.1011470281543274</v>
      </c>
      <c r="P82">
        <f t="shared" ca="1" si="12"/>
        <v>0.12475884244372988</v>
      </c>
      <c r="Q82">
        <f t="shared" ca="1" si="12"/>
        <v>0.18476190476190474</v>
      </c>
      <c r="R82">
        <f t="shared" ca="1" si="12"/>
        <v>0.51876955161626692</v>
      </c>
      <c r="S82">
        <f t="shared" ca="1" si="12"/>
        <v>0.25547445255474444</v>
      </c>
      <c r="T82">
        <f t="shared" ca="1" si="12"/>
        <v>0.31511254019292589</v>
      </c>
      <c r="U82" s="5"/>
      <c r="V82" s="4">
        <f t="shared" si="13"/>
        <v>42011</v>
      </c>
      <c r="W82" s="5">
        <f t="shared" ca="1" si="11"/>
        <v>0.29748743718592952</v>
      </c>
      <c r="Z82" s="4" t="str">
        <f ca="1">IF(OFFSET(Sheet3!$A$1,0,0,300)="","",OFFSET(Sheet3!$A$1,0,0,300))</f>
        <v/>
      </c>
      <c r="AA82" s="5" t="str">
        <f ca="1">IF(OFFSET(Sheet3!$A$1,0,MATCH(W$1,Sheet3!$1:$1,0)-1,300)="","",OFFSET(Sheet3!$A$1,0,MATCH(W$1,Sheet3!$1:$1,0)-1,300))</f>
        <v/>
      </c>
      <c r="AB82" s="5" t="str">
        <f ca="1">IF(OFFSET(Sheet3!$A$1,0,MATCH(X$1,Sheet3!$1:$1,0)-1,300)="","",OFFSET(Sheet3!$A$1,0,MATCH(X$1,Sheet3!$1:$1,0)-1,300))</f>
        <v/>
      </c>
      <c r="AC82" t="str">
        <f t="shared" ca="1" si="9"/>
        <v/>
      </c>
      <c r="AD82" t="str">
        <f t="shared" ca="1" si="10"/>
        <v/>
      </c>
    </row>
    <row r="83" spans="1:30" x14ac:dyDescent="0.25">
      <c r="A83" s="4">
        <v>42010</v>
      </c>
      <c r="B83">
        <v>0.627</v>
      </c>
      <c r="C83" s="5">
        <v>0.98499999999999999</v>
      </c>
      <c r="D83">
        <v>1.4790000000000001</v>
      </c>
      <c r="E83">
        <v>1.758</v>
      </c>
      <c r="F83">
        <v>1.9409999999999998</v>
      </c>
      <c r="G83">
        <v>2.5030000000000001</v>
      </c>
      <c r="H83">
        <f t="shared" ca="1" si="12"/>
        <v>0.43678160919540238</v>
      </c>
      <c r="I83">
        <f t="shared" ca="1" si="12"/>
        <v>0.37595129375951308</v>
      </c>
      <c r="J83">
        <f t="shared" ca="1" si="12"/>
        <v>0.26332622601279321</v>
      </c>
      <c r="K83">
        <f t="shared" ca="1" si="12"/>
        <v>0.21232876712328763</v>
      </c>
      <c r="L83">
        <f t="shared" ca="1" si="12"/>
        <v>0.1487206823027718</v>
      </c>
      <c r="M83">
        <f t="shared" ca="1" si="12"/>
        <v>0.29184100418410036</v>
      </c>
      <c r="N83">
        <f t="shared" ca="1" si="12"/>
        <v>0.18379446640316197</v>
      </c>
      <c r="O83">
        <f t="shared" ca="1" si="12"/>
        <v>9.754797441364596E-2</v>
      </c>
      <c r="P83">
        <f t="shared" ca="1" si="12"/>
        <v>0.12055335968379434</v>
      </c>
      <c r="Q83">
        <f t="shared" ca="1" si="12"/>
        <v>0.17871093749999983</v>
      </c>
      <c r="R83">
        <f t="shared" ca="1" si="12"/>
        <v>0.50959488272921094</v>
      </c>
      <c r="S83">
        <f t="shared" ca="1" si="12"/>
        <v>0.24626865671641776</v>
      </c>
      <c r="T83">
        <f t="shared" ca="1" si="12"/>
        <v>0.30434782608695632</v>
      </c>
      <c r="U83" s="5"/>
      <c r="V83" s="4">
        <f t="shared" si="13"/>
        <v>42010</v>
      </c>
      <c r="W83" s="5">
        <f t="shared" ca="1" si="11"/>
        <v>0.29184100418410036</v>
      </c>
      <c r="Z83" s="4" t="str">
        <f ca="1">IF(OFFSET(Sheet3!$A$1,0,0,300)="","",OFFSET(Sheet3!$A$1,0,0,300))</f>
        <v/>
      </c>
      <c r="AA83" s="5" t="str">
        <f ca="1">IF(OFFSET(Sheet3!$A$1,0,MATCH(W$1,Sheet3!$1:$1,0)-1,300)="","",OFFSET(Sheet3!$A$1,0,MATCH(W$1,Sheet3!$1:$1,0)-1,300))</f>
        <v/>
      </c>
      <c r="AB83" s="5" t="str">
        <f ca="1">IF(OFFSET(Sheet3!$A$1,0,MATCH(X$1,Sheet3!$1:$1,0)-1,300)="","",OFFSET(Sheet3!$A$1,0,MATCH(X$1,Sheet3!$1:$1,0)-1,300))</f>
        <v/>
      </c>
      <c r="AC83" t="str">
        <f t="shared" ca="1" si="9"/>
        <v/>
      </c>
      <c r="AD83" t="str">
        <f t="shared" ca="1" si="10"/>
        <v/>
      </c>
    </row>
    <row r="84" spans="1:30" x14ac:dyDescent="0.25">
      <c r="A84" s="4">
        <v>42009</v>
      </c>
      <c r="B84">
        <v>0.65900000000000003</v>
      </c>
      <c r="C84" s="5">
        <v>1.0389999999999999</v>
      </c>
      <c r="D84">
        <v>1.5649999999999999</v>
      </c>
      <c r="E84">
        <v>1.8460000000000001</v>
      </c>
      <c r="F84">
        <v>2.0329999999999999</v>
      </c>
      <c r="G84">
        <v>2.5990000000000002</v>
      </c>
      <c r="H84">
        <f t="shared" ca="1" si="12"/>
        <v>0.44313395113732096</v>
      </c>
      <c r="I84">
        <f t="shared" ca="1" si="12"/>
        <v>0.38282387190684136</v>
      </c>
      <c r="J84">
        <f t="shared" ca="1" si="12"/>
        <v>0.27113402061855668</v>
      </c>
      <c r="K84">
        <f t="shared" ca="1" si="12"/>
        <v>0.2045123726346435</v>
      </c>
      <c r="L84">
        <f t="shared" ca="1" si="12"/>
        <v>0.14484536082474234</v>
      </c>
      <c r="M84">
        <f t="shared" ca="1" si="12"/>
        <v>0.28269617706237438</v>
      </c>
      <c r="N84">
        <f t="shared" ca="1" si="12"/>
        <v>0.18012820512820518</v>
      </c>
      <c r="O84">
        <f t="shared" ca="1" si="12"/>
        <v>9.6391752577319495E-2</v>
      </c>
      <c r="P84">
        <f t="shared" ca="1" si="12"/>
        <v>0.11987179487179474</v>
      </c>
      <c r="Q84">
        <f t="shared" ca="1" si="12"/>
        <v>0.18085106382978702</v>
      </c>
      <c r="R84">
        <f t="shared" ca="1" si="12"/>
        <v>0.51237113402061851</v>
      </c>
      <c r="S84">
        <f t="shared" ca="1" si="12"/>
        <v>0.24123711340206183</v>
      </c>
      <c r="T84">
        <f t="shared" ca="1" si="12"/>
        <v>0.29999999999999993</v>
      </c>
      <c r="U84" s="5"/>
      <c r="V84" s="4">
        <f t="shared" si="13"/>
        <v>42009</v>
      </c>
      <c r="W84" s="5">
        <f t="shared" ca="1" si="11"/>
        <v>0.28269617706237438</v>
      </c>
      <c r="Z84" s="4" t="str">
        <f ca="1">IF(OFFSET(Sheet3!$A$1,0,0,300)="","",OFFSET(Sheet3!$A$1,0,0,300))</f>
        <v/>
      </c>
      <c r="AA84" s="5" t="str">
        <f ca="1">IF(OFFSET(Sheet3!$A$1,0,MATCH(W$1,Sheet3!$1:$1,0)-1,300)="","",OFFSET(Sheet3!$A$1,0,MATCH(W$1,Sheet3!$1:$1,0)-1,300))</f>
        <v/>
      </c>
      <c r="AB84" s="5" t="str">
        <f ca="1">IF(OFFSET(Sheet3!$A$1,0,MATCH(X$1,Sheet3!$1:$1,0)-1,300)="","",OFFSET(Sheet3!$A$1,0,MATCH(X$1,Sheet3!$1:$1,0)-1,300))</f>
        <v/>
      </c>
      <c r="AC84" t="str">
        <f t="shared" ca="1" si="9"/>
        <v/>
      </c>
      <c r="AD84" t="str">
        <f t="shared" ca="1" si="10"/>
        <v/>
      </c>
    </row>
    <row r="85" spans="1:30" x14ac:dyDescent="0.25">
      <c r="A85" s="4">
        <v>42006</v>
      </c>
      <c r="B85">
        <v>0.66700000000000004</v>
      </c>
      <c r="C85" s="5">
        <v>1.0580000000000001</v>
      </c>
      <c r="D85">
        <v>1.6080000000000001</v>
      </c>
      <c r="E85">
        <v>1.915</v>
      </c>
      <c r="F85">
        <v>2.1110000000000002</v>
      </c>
      <c r="G85">
        <v>2.6879999999999997</v>
      </c>
      <c r="H85">
        <f t="shared" ca="1" si="12"/>
        <v>0.44070512820512825</v>
      </c>
      <c r="I85">
        <f t="shared" ca="1" si="12"/>
        <v>0.38088642659279776</v>
      </c>
      <c r="J85">
        <f t="shared" ca="1" si="12"/>
        <v>0.27214250371103416</v>
      </c>
      <c r="K85">
        <f t="shared" ca="1" si="12"/>
        <v>0.21260387811634343</v>
      </c>
      <c r="L85">
        <f t="shared" ca="1" si="12"/>
        <v>0.15190499752597722</v>
      </c>
      <c r="M85">
        <f t="shared" ca="1" si="12"/>
        <v>0.29154795821462476</v>
      </c>
      <c r="N85">
        <f t="shared" ca="1" si="12"/>
        <v>0.18834355828220858</v>
      </c>
      <c r="O85">
        <f t="shared" ca="1" si="12"/>
        <v>9.698169223156862E-2</v>
      </c>
      <c r="P85">
        <f t="shared" ca="1" si="12"/>
        <v>0.12024539877300626</v>
      </c>
      <c r="Q85">
        <f t="shared" ca="1" si="12"/>
        <v>0.18148148148148172</v>
      </c>
      <c r="R85">
        <f t="shared" ca="1" si="12"/>
        <v>0.52102919346858001</v>
      </c>
      <c r="S85">
        <f t="shared" ca="1" si="12"/>
        <v>0.24888668975754583</v>
      </c>
      <c r="T85">
        <f t="shared" ca="1" si="12"/>
        <v>0.30858895705521483</v>
      </c>
      <c r="U85" s="5"/>
      <c r="V85" s="4">
        <f t="shared" si="13"/>
        <v>42006</v>
      </c>
      <c r="W85" s="5">
        <f t="shared" ca="1" si="11"/>
        <v>0.29154795821462476</v>
      </c>
      <c r="Z85" s="4" t="str">
        <f ca="1">IF(OFFSET(Sheet3!$A$1,0,0,300)="","",OFFSET(Sheet3!$A$1,0,0,300))</f>
        <v/>
      </c>
      <c r="AA85" s="5" t="str">
        <f ca="1">IF(OFFSET(Sheet3!$A$1,0,MATCH(W$1,Sheet3!$1:$1,0)-1,300)="","",OFFSET(Sheet3!$A$1,0,MATCH(W$1,Sheet3!$1:$1,0)-1,300))</f>
        <v/>
      </c>
      <c r="AB85" s="5" t="str">
        <f ca="1">IF(OFFSET(Sheet3!$A$1,0,MATCH(X$1,Sheet3!$1:$1,0)-1,300)="","",OFFSET(Sheet3!$A$1,0,MATCH(X$1,Sheet3!$1:$1,0)-1,300))</f>
        <v/>
      </c>
      <c r="AC85" t="str">
        <f t="shared" ca="1" si="9"/>
        <v/>
      </c>
      <c r="AD85" t="str">
        <f t="shared" ca="1" si="10"/>
        <v/>
      </c>
    </row>
    <row r="86" spans="1:30" x14ac:dyDescent="0.25">
      <c r="A86" s="4">
        <v>42005</v>
      </c>
      <c r="B86">
        <v>0.66600000000000004</v>
      </c>
      <c r="C86" s="5">
        <v>1.071</v>
      </c>
      <c r="D86">
        <v>1.6539999999999999</v>
      </c>
      <c r="E86">
        <v>1.972</v>
      </c>
      <c r="F86">
        <v>2.1720000000000002</v>
      </c>
      <c r="G86">
        <v>2.7519999999999998</v>
      </c>
      <c r="H86">
        <f t="shared" ca="1" si="12"/>
        <v>0.44640122511485447</v>
      </c>
      <c r="I86">
        <f t="shared" ca="1" si="12"/>
        <v>0.38711819389110219</v>
      </c>
      <c r="J86">
        <f t="shared" ca="1" si="12"/>
        <v>0.27948226270373921</v>
      </c>
      <c r="K86">
        <f t="shared" ca="1" si="12"/>
        <v>0.21115537848605578</v>
      </c>
      <c r="L86">
        <f t="shared" ca="1" si="12"/>
        <v>0.15244487056567596</v>
      </c>
      <c r="M86">
        <f t="shared" ca="1" si="12"/>
        <v>0.28882833787465939</v>
      </c>
      <c r="N86">
        <f t="shared" ca="1" si="12"/>
        <v>0.1891731112433076</v>
      </c>
      <c r="O86">
        <f t="shared" ca="1" si="12"/>
        <v>9.5877277085330864E-2</v>
      </c>
      <c r="P86">
        <f t="shared" ca="1" si="12"/>
        <v>0.11897679952409292</v>
      </c>
      <c r="Q86">
        <f t="shared" ca="1" si="12"/>
        <v>0.18214936247723151</v>
      </c>
      <c r="R86">
        <f t="shared" ca="1" si="12"/>
        <v>0.52780441035474601</v>
      </c>
      <c r="S86">
        <f t="shared" ca="1" si="12"/>
        <v>0.24832214765100685</v>
      </c>
      <c r="T86">
        <f t="shared" ca="1" si="12"/>
        <v>0.3081499107674005</v>
      </c>
      <c r="U86" s="5"/>
      <c r="V86" s="4">
        <f t="shared" si="13"/>
        <v>42005</v>
      </c>
      <c r="W86" s="5">
        <f t="shared" ca="1" si="11"/>
        <v>0.28882833787465939</v>
      </c>
      <c r="Z86" s="4" t="str">
        <f ca="1">IF(OFFSET(Sheet3!$A$1,0,0,300)="","",OFFSET(Sheet3!$A$1,0,0,300))</f>
        <v/>
      </c>
      <c r="AA86" s="5" t="str">
        <f ca="1">IF(OFFSET(Sheet3!$A$1,0,MATCH(W$1,Sheet3!$1:$1,0)-1,300)="","",OFFSET(Sheet3!$A$1,0,MATCH(W$1,Sheet3!$1:$1,0)-1,300))</f>
        <v/>
      </c>
      <c r="AB86" s="5" t="str">
        <f ca="1">IF(OFFSET(Sheet3!$A$1,0,MATCH(X$1,Sheet3!$1:$1,0)-1,300)="","",OFFSET(Sheet3!$A$1,0,MATCH(X$1,Sheet3!$1:$1,0)-1,300))</f>
        <v/>
      </c>
      <c r="AC86" t="str">
        <f t="shared" ca="1" si="9"/>
        <v/>
      </c>
      <c r="AD86" t="str">
        <f t="shared" ca="1" si="10"/>
        <v/>
      </c>
    </row>
    <row r="87" spans="1:30" x14ac:dyDescent="0.25">
      <c r="A87" s="4">
        <v>42004</v>
      </c>
      <c r="B87">
        <v>0.66600000000000004</v>
      </c>
      <c r="C87" s="5">
        <v>1.071</v>
      </c>
      <c r="D87">
        <v>1.6539999999999999</v>
      </c>
      <c r="E87">
        <v>1.972</v>
      </c>
      <c r="F87">
        <v>2.1720000000000002</v>
      </c>
      <c r="G87">
        <v>2.7519999999999998</v>
      </c>
      <c r="H87">
        <f t="shared" ca="1" si="12"/>
        <v>0.44640122511485447</v>
      </c>
      <c r="I87">
        <f t="shared" ca="1" si="12"/>
        <v>0.38711819389110219</v>
      </c>
      <c r="J87">
        <f t="shared" ca="1" si="12"/>
        <v>0.27948226270373921</v>
      </c>
      <c r="K87">
        <f t="shared" ca="1" si="12"/>
        <v>0.21115537848605578</v>
      </c>
      <c r="L87">
        <f t="shared" ca="1" si="12"/>
        <v>0.15244487056567596</v>
      </c>
      <c r="M87">
        <f t="shared" ca="1" si="12"/>
        <v>0.28882833787465939</v>
      </c>
      <c r="N87">
        <f t="shared" ca="1" si="12"/>
        <v>0.1891731112433076</v>
      </c>
      <c r="O87">
        <f t="shared" ca="1" si="12"/>
        <v>9.5877277085330864E-2</v>
      </c>
      <c r="P87">
        <f t="shared" ca="1" si="12"/>
        <v>0.11897679952409292</v>
      </c>
      <c r="Q87">
        <f t="shared" ca="1" si="12"/>
        <v>0.18214936247723151</v>
      </c>
      <c r="R87">
        <f t="shared" ca="1" si="12"/>
        <v>0.52780441035474601</v>
      </c>
      <c r="S87">
        <f t="shared" ca="1" si="12"/>
        <v>0.24832214765100685</v>
      </c>
      <c r="T87">
        <f t="shared" ca="1" si="12"/>
        <v>0.3081499107674005</v>
      </c>
      <c r="U87" s="5"/>
      <c r="V87" s="4">
        <f t="shared" si="13"/>
        <v>42004</v>
      </c>
      <c r="W87" s="5">
        <f t="shared" ca="1" si="11"/>
        <v>0.28882833787465939</v>
      </c>
      <c r="Z87" s="4" t="str">
        <f ca="1">IF(OFFSET(Sheet3!$A$1,0,0,300)="","",OFFSET(Sheet3!$A$1,0,0,300))</f>
        <v/>
      </c>
      <c r="AA87" s="5" t="str">
        <f ca="1">IF(OFFSET(Sheet3!$A$1,0,MATCH(W$1,Sheet3!$1:$1,0)-1,300)="","",OFFSET(Sheet3!$A$1,0,MATCH(W$1,Sheet3!$1:$1,0)-1,300))</f>
        <v/>
      </c>
      <c r="AB87" s="5" t="str">
        <f ca="1">IF(OFFSET(Sheet3!$A$1,0,MATCH(X$1,Sheet3!$1:$1,0)-1,300)="","",OFFSET(Sheet3!$A$1,0,MATCH(X$1,Sheet3!$1:$1,0)-1,300))</f>
        <v/>
      </c>
      <c r="AC87" t="str">
        <f t="shared" ca="1" si="9"/>
        <v/>
      </c>
      <c r="AD87" t="str">
        <f t="shared" ca="1" si="10"/>
        <v/>
      </c>
    </row>
    <row r="88" spans="1:30" x14ac:dyDescent="0.25">
      <c r="A88" s="4">
        <v>42003</v>
      </c>
      <c r="B88">
        <v>0.68600000000000005</v>
      </c>
      <c r="C88" s="5">
        <v>1.0960000000000001</v>
      </c>
      <c r="D88">
        <v>1.6800000000000002</v>
      </c>
      <c r="E88">
        <v>1.994</v>
      </c>
      <c r="F88">
        <v>2.1880000000000002</v>
      </c>
      <c r="G88">
        <v>2.7570000000000001</v>
      </c>
      <c r="H88">
        <f t="shared" ca="1" si="12"/>
        <v>0.44648318042813467</v>
      </c>
      <c r="I88">
        <f t="shared" ca="1" si="12"/>
        <v>0.38881491344873503</v>
      </c>
      <c r="J88">
        <f t="shared" ca="1" si="12"/>
        <v>0.28198937711250605</v>
      </c>
      <c r="K88">
        <f t="shared" ca="1" si="12"/>
        <v>0.20905459387483341</v>
      </c>
      <c r="L88">
        <f t="shared" ca="1" si="12"/>
        <v>0.1516175760502172</v>
      </c>
      <c r="M88">
        <f t="shared" ca="1" si="12"/>
        <v>0.28754578754578736</v>
      </c>
      <c r="N88">
        <f t="shared" ca="1" si="12"/>
        <v>0.18904274533413595</v>
      </c>
      <c r="O88">
        <f t="shared" ca="1" si="12"/>
        <v>9.3674553355866802E-2</v>
      </c>
      <c r="P88">
        <f t="shared" ca="1" si="12"/>
        <v>0.11679711017459372</v>
      </c>
      <c r="Q88">
        <f t="shared" ca="1" si="12"/>
        <v>0.18012999071494909</v>
      </c>
      <c r="R88">
        <f t="shared" ca="1" si="12"/>
        <v>0.52728150651859007</v>
      </c>
      <c r="S88">
        <f t="shared" ca="1" si="12"/>
        <v>0.245292129406084</v>
      </c>
      <c r="T88">
        <f t="shared" ca="1" si="12"/>
        <v>0.30583985550872966</v>
      </c>
      <c r="U88" s="5"/>
      <c r="V88" s="4">
        <f t="shared" si="13"/>
        <v>42003</v>
      </c>
      <c r="W88" s="5">
        <f t="shared" ca="1" si="11"/>
        <v>0.28754578754578736</v>
      </c>
      <c r="Z88" s="4" t="str">
        <f ca="1">IF(OFFSET(Sheet3!$A$1,0,0,300)="","",OFFSET(Sheet3!$A$1,0,0,300))</f>
        <v/>
      </c>
      <c r="AA88" s="5" t="str">
        <f ca="1">IF(OFFSET(Sheet3!$A$1,0,MATCH(W$1,Sheet3!$1:$1,0)-1,300)="","",OFFSET(Sheet3!$A$1,0,MATCH(W$1,Sheet3!$1:$1,0)-1,300))</f>
        <v/>
      </c>
      <c r="AB88" s="5" t="str">
        <f ca="1">IF(OFFSET(Sheet3!$A$1,0,MATCH(X$1,Sheet3!$1:$1,0)-1,300)="","",OFFSET(Sheet3!$A$1,0,MATCH(X$1,Sheet3!$1:$1,0)-1,300))</f>
        <v/>
      </c>
      <c r="AC88" t="str">
        <f t="shared" ca="1" si="9"/>
        <v/>
      </c>
      <c r="AD88" t="str">
        <f t="shared" ca="1" si="10"/>
        <v/>
      </c>
    </row>
    <row r="89" spans="1:30" x14ac:dyDescent="0.25">
      <c r="A89" s="4">
        <v>42002</v>
      </c>
      <c r="B89">
        <v>0.71</v>
      </c>
      <c r="C89" s="5">
        <v>1.1219999999999999</v>
      </c>
      <c r="D89">
        <v>1.708</v>
      </c>
      <c r="E89">
        <v>2.0179999999999998</v>
      </c>
      <c r="F89">
        <v>2.2029999999999998</v>
      </c>
      <c r="G89">
        <v>2.7730000000000001</v>
      </c>
      <c r="H89">
        <f t="shared" ca="1" si="12"/>
        <v>0.44801223241590227</v>
      </c>
      <c r="I89">
        <f t="shared" ca="1" si="12"/>
        <v>0.39249832551908914</v>
      </c>
      <c r="J89">
        <f t="shared" ca="1" si="12"/>
        <v>0.28405235094522541</v>
      </c>
      <c r="K89">
        <f t="shared" ca="1" si="12"/>
        <v>0.20763563295378423</v>
      </c>
      <c r="L89">
        <f t="shared" ca="1" si="12"/>
        <v>0.15026660203587</v>
      </c>
      <c r="M89">
        <f t="shared" ca="1" si="12"/>
        <v>0.28677150786308958</v>
      </c>
      <c r="N89">
        <f t="shared" ca="1" si="12"/>
        <v>0.18776499091459709</v>
      </c>
      <c r="O89">
        <f t="shared" ca="1" si="12"/>
        <v>8.9675230247212814E-2</v>
      </c>
      <c r="P89">
        <f t="shared" ca="1" si="12"/>
        <v>0.112053301029679</v>
      </c>
      <c r="Q89">
        <f t="shared" ca="1" si="12"/>
        <v>0.17370892018779344</v>
      </c>
      <c r="R89">
        <f t="shared" ca="1" si="12"/>
        <v>0.52399418322830826</v>
      </c>
      <c r="S89">
        <f t="shared" ca="1" si="12"/>
        <v>0.2399418322830828</v>
      </c>
      <c r="T89">
        <f t="shared" ca="1" si="12"/>
        <v>0.29981829194427606</v>
      </c>
      <c r="U89" s="5"/>
      <c r="V89" s="4">
        <f t="shared" si="13"/>
        <v>42002</v>
      </c>
      <c r="W89" s="5">
        <f t="shared" ca="1" si="11"/>
        <v>0.28677150786308958</v>
      </c>
      <c r="Z89" s="4" t="str">
        <f ca="1">IF(OFFSET(Sheet3!$A$1,0,0,300)="","",OFFSET(Sheet3!$A$1,0,0,300))</f>
        <v/>
      </c>
      <c r="AA89" s="5" t="str">
        <f ca="1">IF(OFFSET(Sheet3!$A$1,0,MATCH(W$1,Sheet3!$1:$1,0)-1,300)="","",OFFSET(Sheet3!$A$1,0,MATCH(W$1,Sheet3!$1:$1,0)-1,300))</f>
        <v/>
      </c>
      <c r="AB89" s="5" t="str">
        <f ca="1">IF(OFFSET(Sheet3!$A$1,0,MATCH(X$1,Sheet3!$1:$1,0)-1,300)="","",OFFSET(Sheet3!$A$1,0,MATCH(X$1,Sheet3!$1:$1,0)-1,300))</f>
        <v/>
      </c>
      <c r="AC89" t="str">
        <f t="shared" ca="1" si="9"/>
        <v/>
      </c>
      <c r="AD89" t="str">
        <f t="shared" ca="1" si="10"/>
        <v/>
      </c>
    </row>
    <row r="90" spans="1:30" x14ac:dyDescent="0.25">
      <c r="A90" s="4">
        <v>41999</v>
      </c>
      <c r="B90">
        <v>0.74099999999999999</v>
      </c>
      <c r="C90" s="5">
        <v>1.1679999999999999</v>
      </c>
      <c r="D90">
        <v>1.762</v>
      </c>
      <c r="E90">
        <v>2.0760000000000001</v>
      </c>
      <c r="F90">
        <v>2.2509999999999999</v>
      </c>
      <c r="G90">
        <v>2.8170000000000002</v>
      </c>
      <c r="H90">
        <f t="shared" ca="1" si="12"/>
        <v>0.44494382022471918</v>
      </c>
      <c r="I90">
        <f t="shared" ca="1" si="12"/>
        <v>0.39337748344370871</v>
      </c>
      <c r="J90">
        <f t="shared" ca="1" si="12"/>
        <v>0.28612716763005785</v>
      </c>
      <c r="K90">
        <f t="shared" ca="1" si="12"/>
        <v>0.20794701986754974</v>
      </c>
      <c r="L90">
        <f t="shared" ca="1" si="12"/>
        <v>0.15125240847784202</v>
      </c>
      <c r="M90">
        <f t="shared" ca="1" si="12"/>
        <v>0.28993536472760856</v>
      </c>
      <c r="N90">
        <f t="shared" ca="1" si="12"/>
        <v>0.19041843541540329</v>
      </c>
      <c r="O90">
        <f t="shared" ca="1" si="12"/>
        <v>8.4296724470134782E-2</v>
      </c>
      <c r="P90">
        <f t="shared" ca="1" si="12"/>
        <v>0.10612492419648259</v>
      </c>
      <c r="Q90">
        <f t="shared" ca="1" si="12"/>
        <v>0.16587677725118463</v>
      </c>
      <c r="R90">
        <f t="shared" ca="1" si="12"/>
        <v>0.5216763005780346</v>
      </c>
      <c r="S90">
        <f t="shared" ca="1" si="12"/>
        <v>0.2355491329479768</v>
      </c>
      <c r="T90">
        <f t="shared" ca="1" si="12"/>
        <v>0.29654335961188588</v>
      </c>
      <c r="U90" s="5"/>
      <c r="V90" s="4">
        <f t="shared" si="13"/>
        <v>41999</v>
      </c>
      <c r="W90" s="5">
        <f t="shared" ca="1" si="11"/>
        <v>0.28993536472760856</v>
      </c>
      <c r="Z90" s="4" t="str">
        <f ca="1">IF(OFFSET(Sheet3!$A$1,0,0,300)="","",OFFSET(Sheet3!$A$1,0,0,300))</f>
        <v/>
      </c>
      <c r="AA90" s="5" t="str">
        <f ca="1">IF(OFFSET(Sheet3!$A$1,0,MATCH(W$1,Sheet3!$1:$1,0)-1,300)="","",OFFSET(Sheet3!$A$1,0,MATCH(W$1,Sheet3!$1:$1,0)-1,300))</f>
        <v/>
      </c>
      <c r="AB90" s="5" t="str">
        <f ca="1">IF(OFFSET(Sheet3!$A$1,0,MATCH(X$1,Sheet3!$1:$1,0)-1,300)="","",OFFSET(Sheet3!$A$1,0,MATCH(X$1,Sheet3!$1:$1,0)-1,300))</f>
        <v/>
      </c>
      <c r="AC90" t="str">
        <f t="shared" ca="1" si="9"/>
        <v/>
      </c>
      <c r="AD90" t="str">
        <f t="shared" ca="1" si="10"/>
        <v/>
      </c>
    </row>
    <row r="91" spans="1:30" x14ac:dyDescent="0.25">
      <c r="A91" s="4">
        <v>41998</v>
      </c>
      <c r="B91">
        <v>0.74099999999999999</v>
      </c>
      <c r="C91" s="5">
        <v>1.1679999999999999</v>
      </c>
      <c r="D91">
        <v>1.762</v>
      </c>
      <c r="E91">
        <v>2.073</v>
      </c>
      <c r="F91">
        <v>2.2640000000000002</v>
      </c>
      <c r="G91">
        <v>2.835</v>
      </c>
      <c r="H91">
        <f t="shared" ca="1" si="12"/>
        <v>0.44594594594594605</v>
      </c>
      <c r="I91">
        <f t="shared" ca="1" si="12"/>
        <v>0.39001969796454367</v>
      </c>
      <c r="J91">
        <f t="shared" ca="1" si="12"/>
        <v>0.28366762177650434</v>
      </c>
      <c r="K91">
        <f t="shared" ca="1" si="12"/>
        <v>0.20420223243598157</v>
      </c>
      <c r="L91">
        <f t="shared" ca="1" si="12"/>
        <v>0.14851957975167143</v>
      </c>
      <c r="M91">
        <f t="shared" ca="1" si="12"/>
        <v>0.28375912408759113</v>
      </c>
      <c r="N91">
        <f t="shared" ca="1" si="12"/>
        <v>0.18656268746250745</v>
      </c>
      <c r="O91">
        <f t="shared" ca="1" si="12"/>
        <v>9.1212989493791932E-2</v>
      </c>
      <c r="P91">
        <f t="shared" ca="1" si="12"/>
        <v>0.11457708458308355</v>
      </c>
      <c r="Q91">
        <f t="shared" ca="1" si="12"/>
        <v>0.17800559179869552</v>
      </c>
      <c r="R91">
        <f t="shared" ca="1" si="12"/>
        <v>0.52340019102196766</v>
      </c>
      <c r="S91">
        <f t="shared" ca="1" si="12"/>
        <v>0.23973256924546335</v>
      </c>
      <c r="T91">
        <f t="shared" ca="1" si="12"/>
        <v>0.301139772045591</v>
      </c>
      <c r="U91" s="5"/>
      <c r="V91" s="4">
        <f t="shared" si="13"/>
        <v>41998</v>
      </c>
      <c r="W91" s="5">
        <f t="shared" ca="1" si="11"/>
        <v>0.28375912408759113</v>
      </c>
      <c r="Z91" s="4" t="str">
        <f ca="1">IF(OFFSET(Sheet3!$A$1,0,0,300)="","",OFFSET(Sheet3!$A$1,0,0,300))</f>
        <v/>
      </c>
      <c r="AA91" s="5" t="str">
        <f ca="1">IF(OFFSET(Sheet3!$A$1,0,MATCH(W$1,Sheet3!$1:$1,0)-1,300)="","",OFFSET(Sheet3!$A$1,0,MATCH(W$1,Sheet3!$1:$1,0)-1,300))</f>
        <v/>
      </c>
      <c r="AB91" s="5" t="str">
        <f ca="1">IF(OFFSET(Sheet3!$A$1,0,MATCH(X$1,Sheet3!$1:$1,0)-1,300)="","",OFFSET(Sheet3!$A$1,0,MATCH(X$1,Sheet3!$1:$1,0)-1,300))</f>
        <v/>
      </c>
      <c r="AC91" t="str">
        <f t="shared" ca="1" si="9"/>
        <v/>
      </c>
      <c r="AD91" t="str">
        <f t="shared" ca="1" si="10"/>
        <v/>
      </c>
    </row>
    <row r="92" spans="1:30" x14ac:dyDescent="0.25">
      <c r="A92" s="4">
        <v>41997</v>
      </c>
      <c r="B92">
        <v>0.74099999999999999</v>
      </c>
      <c r="C92" s="5">
        <v>1.1679999999999999</v>
      </c>
      <c r="D92">
        <v>1.762</v>
      </c>
      <c r="E92">
        <v>2.073</v>
      </c>
      <c r="F92">
        <v>2.2640000000000002</v>
      </c>
      <c r="G92">
        <v>2.835</v>
      </c>
      <c r="H92">
        <f t="shared" ca="1" si="12"/>
        <v>0.44594594594594605</v>
      </c>
      <c r="I92">
        <f t="shared" ca="1" si="12"/>
        <v>0.39001969796454367</v>
      </c>
      <c r="J92">
        <f t="shared" ca="1" si="12"/>
        <v>0.28366762177650434</v>
      </c>
      <c r="K92">
        <f t="shared" ca="1" si="12"/>
        <v>0.20420223243598157</v>
      </c>
      <c r="L92">
        <f t="shared" ca="1" si="12"/>
        <v>0.14851957975167143</v>
      </c>
      <c r="M92">
        <f t="shared" ca="1" si="12"/>
        <v>0.28375912408759113</v>
      </c>
      <c r="N92">
        <f t="shared" ca="1" si="12"/>
        <v>0.18656268746250745</v>
      </c>
      <c r="O92">
        <f t="shared" ca="1" si="12"/>
        <v>9.1212989493791932E-2</v>
      </c>
      <c r="P92">
        <f t="shared" ca="1" si="12"/>
        <v>0.11457708458308355</v>
      </c>
      <c r="Q92">
        <f t="shared" ca="1" si="12"/>
        <v>0.17800559179869552</v>
      </c>
      <c r="R92">
        <f t="shared" ca="1" si="12"/>
        <v>0.52340019102196766</v>
      </c>
      <c r="S92">
        <f t="shared" ca="1" si="12"/>
        <v>0.23973256924546335</v>
      </c>
      <c r="T92">
        <f t="shared" ca="1" si="12"/>
        <v>0.301139772045591</v>
      </c>
      <c r="U92" s="5"/>
      <c r="V92" s="4">
        <f t="shared" si="13"/>
        <v>41997</v>
      </c>
      <c r="W92" s="5">
        <f t="shared" ca="1" si="11"/>
        <v>0.28375912408759113</v>
      </c>
      <c r="Z92" s="4" t="str">
        <f ca="1">IF(OFFSET(Sheet3!$A$1,0,0,300)="","",OFFSET(Sheet3!$A$1,0,0,300))</f>
        <v/>
      </c>
      <c r="AA92" s="5" t="str">
        <f ca="1">IF(OFFSET(Sheet3!$A$1,0,MATCH(W$1,Sheet3!$1:$1,0)-1,300)="","",OFFSET(Sheet3!$A$1,0,MATCH(W$1,Sheet3!$1:$1,0)-1,300))</f>
        <v/>
      </c>
      <c r="AB92" s="5" t="str">
        <f ca="1">IF(OFFSET(Sheet3!$A$1,0,MATCH(X$1,Sheet3!$1:$1,0)-1,300)="","",OFFSET(Sheet3!$A$1,0,MATCH(X$1,Sheet3!$1:$1,0)-1,300))</f>
        <v/>
      </c>
      <c r="AC92" t="str">
        <f t="shared" ca="1" si="9"/>
        <v/>
      </c>
      <c r="AD92" t="str">
        <f t="shared" ca="1" si="10"/>
        <v/>
      </c>
    </row>
    <row r="93" spans="1:30" x14ac:dyDescent="0.25">
      <c r="A93" s="4">
        <v>41996</v>
      </c>
      <c r="B93">
        <v>0.74099999999999999</v>
      </c>
      <c r="C93" s="5">
        <v>1.1619999999999999</v>
      </c>
      <c r="D93">
        <v>1.736</v>
      </c>
      <c r="E93">
        <v>2.0630000000000002</v>
      </c>
      <c r="F93">
        <v>2.262</v>
      </c>
      <c r="G93">
        <v>2.8519999999999999</v>
      </c>
      <c r="H93">
        <f t="shared" ref="H93:T108" ca="1" si="14">IF(ISERROR(ABS(OFFSET($A$11,ROW()-11,MATCH(LEFT(H$9,2),$A$11:$G$11,0)-1)-OFFSET($A$11,ROW()-11,MATCH(RIGHT(H$9,2),$A$11:$G$11,0)-1))/ABS(OFFSET($A$11,ROW()-11,MATCH(LEFT(H$10,2),$A$11:$G$11,0)-1)-OFFSET($A$11,ROW()-11,MATCH(RIGHT(H$10,2),$A$11:$G$11,0)-1))),"",ABS(OFFSET($A$11,ROW()-11,MATCH(LEFT(H$9,2),$A$11:$G$11,0)-1)-OFFSET($A$11,ROW()-11,MATCH(RIGHT(H$9,2),$A$11:$G$11,0)-1))/ABS(OFFSET($A$11,ROW()-11,MATCH(LEFT(H$10,2),$A$11:$G$11,0)-1)-OFFSET($A$11,ROW()-11,MATCH(RIGHT(H$10,2),$A$11:$G$11,0)-1)))</f>
        <v>0.4341906202723147</v>
      </c>
      <c r="I93">
        <f t="shared" ca="1" si="14"/>
        <v>0.37738330046022361</v>
      </c>
      <c r="J93">
        <f t="shared" ca="1" si="14"/>
        <v>0.27190904784462344</v>
      </c>
      <c r="K93">
        <f t="shared" ca="1" si="14"/>
        <v>0.21499013806706127</v>
      </c>
      <c r="L93">
        <f t="shared" ca="1" si="14"/>
        <v>0.15490288962576987</v>
      </c>
      <c r="M93">
        <f t="shared" ca="1" si="14"/>
        <v>0.29727272727272741</v>
      </c>
      <c r="N93">
        <f t="shared" ca="1" si="14"/>
        <v>0.19349112426035514</v>
      </c>
      <c r="O93">
        <f t="shared" ca="1" si="14"/>
        <v>9.4268119374703863E-2</v>
      </c>
      <c r="P93">
        <f t="shared" ca="1" si="14"/>
        <v>0.11775147928994074</v>
      </c>
      <c r="Q93">
        <f t="shared" ca="1" si="14"/>
        <v>0.17831541218637981</v>
      </c>
      <c r="R93">
        <f t="shared" ca="1" si="14"/>
        <v>0.52108005684509717</v>
      </c>
      <c r="S93">
        <f t="shared" ca="1" si="14"/>
        <v>0.24917100900047376</v>
      </c>
      <c r="T93">
        <f t="shared" ca="1" si="14"/>
        <v>0.31124260355029587</v>
      </c>
      <c r="U93" s="5"/>
      <c r="V93" s="4">
        <f t="shared" si="13"/>
        <v>41996</v>
      </c>
      <c r="W93" s="5">
        <f t="shared" ca="1" si="11"/>
        <v>0.29727272727272741</v>
      </c>
      <c r="Z93" s="4" t="str">
        <f ca="1">IF(OFFSET(Sheet3!$A$1,0,0,300)="","",OFFSET(Sheet3!$A$1,0,0,300))</f>
        <v/>
      </c>
      <c r="AA93" s="5" t="str">
        <f ca="1">IF(OFFSET(Sheet3!$A$1,0,MATCH(W$1,Sheet3!$1:$1,0)-1,300)="","",OFFSET(Sheet3!$A$1,0,MATCH(W$1,Sheet3!$1:$1,0)-1,300))</f>
        <v/>
      </c>
      <c r="AB93" s="5" t="str">
        <f ca="1">IF(OFFSET(Sheet3!$A$1,0,MATCH(X$1,Sheet3!$1:$1,0)-1,300)="","",OFFSET(Sheet3!$A$1,0,MATCH(X$1,Sheet3!$1:$1,0)-1,300))</f>
        <v/>
      </c>
      <c r="AC93" t="str">
        <f t="shared" ca="1" si="9"/>
        <v/>
      </c>
      <c r="AD93" t="str">
        <f t="shared" ca="1" si="10"/>
        <v/>
      </c>
    </row>
    <row r="94" spans="1:30" x14ac:dyDescent="0.25">
      <c r="A94" s="4">
        <v>41995</v>
      </c>
      <c r="B94">
        <v>0.66100000000000003</v>
      </c>
      <c r="C94" s="5">
        <v>1.103</v>
      </c>
      <c r="D94">
        <v>1.6579999999999999</v>
      </c>
      <c r="E94">
        <v>1.9710000000000001</v>
      </c>
      <c r="F94">
        <v>2.1589999999999998</v>
      </c>
      <c r="G94">
        <v>2.7429999999999999</v>
      </c>
      <c r="H94">
        <f t="shared" ca="1" si="14"/>
        <v>0.42366412213740451</v>
      </c>
      <c r="I94">
        <f t="shared" ca="1" si="14"/>
        <v>0.37049399198931909</v>
      </c>
      <c r="J94">
        <f t="shared" ca="1" si="14"/>
        <v>0.2665706051873199</v>
      </c>
      <c r="K94">
        <f t="shared" ca="1" si="14"/>
        <v>0.20894526034712965</v>
      </c>
      <c r="L94">
        <f t="shared" ca="1" si="14"/>
        <v>0.15033621517771384</v>
      </c>
      <c r="M94">
        <f t="shared" ca="1" si="14"/>
        <v>0.29640151515151536</v>
      </c>
      <c r="N94">
        <f t="shared" ca="1" si="14"/>
        <v>0.19085365853658548</v>
      </c>
      <c r="O94">
        <f t="shared" ca="1" si="14"/>
        <v>9.0297790585974896E-2</v>
      </c>
      <c r="P94">
        <f t="shared" ca="1" si="14"/>
        <v>0.11463414634146325</v>
      </c>
      <c r="Q94">
        <f t="shared" ca="1" si="14"/>
        <v>0.17327188940092142</v>
      </c>
      <c r="R94">
        <f t="shared" ca="1" si="14"/>
        <v>0.50720461095100855</v>
      </c>
      <c r="S94">
        <f t="shared" ca="1" si="14"/>
        <v>0.24063400576368874</v>
      </c>
      <c r="T94">
        <f t="shared" ca="1" si="14"/>
        <v>0.30548780487804872</v>
      </c>
      <c r="U94" s="5"/>
      <c r="V94" s="4">
        <f t="shared" si="13"/>
        <v>41995</v>
      </c>
      <c r="W94" s="5">
        <f t="shared" ca="1" si="11"/>
        <v>0.29640151515151536</v>
      </c>
      <c r="Z94" s="4" t="str">
        <f ca="1">IF(OFFSET(Sheet3!$A$1,0,0,300)="","",OFFSET(Sheet3!$A$1,0,0,300))</f>
        <v/>
      </c>
      <c r="AA94" s="5" t="str">
        <f ca="1">IF(OFFSET(Sheet3!$A$1,0,MATCH(W$1,Sheet3!$1:$1,0)-1,300)="","",OFFSET(Sheet3!$A$1,0,MATCH(W$1,Sheet3!$1:$1,0)-1,300))</f>
        <v/>
      </c>
      <c r="AB94" s="5" t="str">
        <f ca="1">IF(OFFSET(Sheet3!$A$1,0,MATCH(X$1,Sheet3!$1:$1,0)-1,300)="","",OFFSET(Sheet3!$A$1,0,MATCH(X$1,Sheet3!$1:$1,0)-1,300))</f>
        <v/>
      </c>
      <c r="AC94" t="str">
        <f t="shared" ca="1" si="9"/>
        <v/>
      </c>
      <c r="AD94" t="str">
        <f t="shared" ca="1" si="10"/>
        <v/>
      </c>
    </row>
    <row r="95" spans="1:30" x14ac:dyDescent="0.25">
      <c r="A95" s="4">
        <v>41992</v>
      </c>
      <c r="B95">
        <v>0.64</v>
      </c>
      <c r="C95" s="5">
        <v>1.089</v>
      </c>
      <c r="D95">
        <v>1.6480000000000001</v>
      </c>
      <c r="E95">
        <v>1.9729999999999999</v>
      </c>
      <c r="F95">
        <v>2.1629999999999998</v>
      </c>
      <c r="G95">
        <v>2.7549999999999999</v>
      </c>
      <c r="H95">
        <f t="shared" ca="1" si="14"/>
        <v>0.4193548387096776</v>
      </c>
      <c r="I95">
        <f t="shared" ca="1" si="14"/>
        <v>0.36703873933026937</v>
      </c>
      <c r="J95">
        <f t="shared" ca="1" si="14"/>
        <v>0.26430260047281334</v>
      </c>
      <c r="K95">
        <f t="shared" ca="1" si="14"/>
        <v>0.21339461588969127</v>
      </c>
      <c r="L95">
        <f t="shared" ca="1" si="14"/>
        <v>0.1536643026004727</v>
      </c>
      <c r="M95">
        <f t="shared" ca="1" si="14"/>
        <v>0.30260707635009293</v>
      </c>
      <c r="N95">
        <f t="shared" ca="1" si="14"/>
        <v>0.19507803121248485</v>
      </c>
      <c r="O95">
        <f t="shared" ca="1" si="14"/>
        <v>8.9834515366430251E-2</v>
      </c>
      <c r="P95">
        <f t="shared" ca="1" si="14"/>
        <v>0.11404561824729889</v>
      </c>
      <c r="Q95">
        <f t="shared" ca="1" si="14"/>
        <v>0.17163504968383017</v>
      </c>
      <c r="R95">
        <f t="shared" ca="1" si="14"/>
        <v>0.50780141843971627</v>
      </c>
      <c r="S95">
        <f t="shared" ca="1" si="14"/>
        <v>0.24349881796690295</v>
      </c>
      <c r="T95">
        <f t="shared" ca="1" si="14"/>
        <v>0.30912364945978371</v>
      </c>
      <c r="U95" s="5"/>
      <c r="V95" s="4">
        <f t="shared" si="13"/>
        <v>41992</v>
      </c>
      <c r="W95" s="5">
        <f t="shared" ca="1" si="11"/>
        <v>0.30260707635009293</v>
      </c>
      <c r="Z95" s="4" t="str">
        <f ca="1">IF(OFFSET(Sheet3!$A$1,0,0,300)="","",OFFSET(Sheet3!$A$1,0,0,300))</f>
        <v/>
      </c>
      <c r="AA95" s="5" t="str">
        <f ca="1">IF(OFFSET(Sheet3!$A$1,0,MATCH(W$1,Sheet3!$1:$1,0)-1,300)="","",OFFSET(Sheet3!$A$1,0,MATCH(W$1,Sheet3!$1:$1,0)-1,300))</f>
        <v/>
      </c>
      <c r="AB95" s="5" t="str">
        <f ca="1">IF(OFFSET(Sheet3!$A$1,0,MATCH(X$1,Sheet3!$1:$1,0)-1,300)="","",OFFSET(Sheet3!$A$1,0,MATCH(X$1,Sheet3!$1:$1,0)-1,300))</f>
        <v/>
      </c>
      <c r="AC95" t="str">
        <f t="shared" ca="1" si="9"/>
        <v/>
      </c>
      <c r="AD95" t="str">
        <f t="shared" ca="1" si="10"/>
        <v/>
      </c>
    </row>
    <row r="96" spans="1:30" x14ac:dyDescent="0.25">
      <c r="A96" s="4">
        <v>41991</v>
      </c>
      <c r="B96">
        <v>0.63300000000000001</v>
      </c>
      <c r="C96" s="5">
        <v>1.0920000000000001</v>
      </c>
      <c r="D96">
        <v>1.663</v>
      </c>
      <c r="E96">
        <v>2.0019999999999998</v>
      </c>
      <c r="F96">
        <v>2.2080000000000002</v>
      </c>
      <c r="G96">
        <v>2.819</v>
      </c>
      <c r="H96">
        <f t="shared" ca="1" si="14"/>
        <v>0.41709276844411985</v>
      </c>
      <c r="I96">
        <f t="shared" ca="1" si="14"/>
        <v>0.3625396825396825</v>
      </c>
      <c r="J96">
        <f t="shared" ca="1" si="14"/>
        <v>0.26120768526989935</v>
      </c>
      <c r="K96">
        <f t="shared" ca="1" si="14"/>
        <v>0.21523809523809506</v>
      </c>
      <c r="L96">
        <f t="shared" ca="1" si="14"/>
        <v>0.15507776761207673</v>
      </c>
      <c r="M96">
        <f t="shared" ca="1" si="14"/>
        <v>0.30376344086021478</v>
      </c>
      <c r="N96">
        <f t="shared" ca="1" si="14"/>
        <v>0.19629415170816431</v>
      </c>
      <c r="O96">
        <f t="shared" ca="1" si="14"/>
        <v>9.4236047575480514E-2</v>
      </c>
      <c r="P96">
        <f t="shared" ca="1" si="14"/>
        <v>0.1192819918934571</v>
      </c>
      <c r="Q96">
        <f t="shared" ca="1" si="14"/>
        <v>0.17820069204152286</v>
      </c>
      <c r="R96">
        <f t="shared" ca="1" si="14"/>
        <v>0.51052150045745659</v>
      </c>
      <c r="S96">
        <f t="shared" ca="1" si="14"/>
        <v>0.24931381518755727</v>
      </c>
      <c r="T96">
        <f t="shared" ca="1" si="14"/>
        <v>0.31557614360162139</v>
      </c>
      <c r="U96" s="5"/>
      <c r="V96" s="4">
        <f t="shared" si="13"/>
        <v>41991</v>
      </c>
      <c r="W96" s="5">
        <f t="shared" ca="1" si="11"/>
        <v>0.30376344086021478</v>
      </c>
      <c r="Z96" s="4" t="str">
        <f ca="1">IF(OFFSET(Sheet3!$A$1,0,0,300)="","",OFFSET(Sheet3!$A$1,0,0,300))</f>
        <v/>
      </c>
      <c r="AA96" s="5" t="str">
        <f ca="1">IF(OFFSET(Sheet3!$A$1,0,MATCH(W$1,Sheet3!$1:$1,0)-1,300)="","",OFFSET(Sheet3!$A$1,0,MATCH(W$1,Sheet3!$1:$1,0)-1,300))</f>
        <v/>
      </c>
      <c r="AB96" s="5" t="str">
        <f ca="1">IF(OFFSET(Sheet3!$A$1,0,MATCH(X$1,Sheet3!$1:$1,0)-1,300)="","",OFFSET(Sheet3!$A$1,0,MATCH(X$1,Sheet3!$1:$1,0)-1,300))</f>
        <v/>
      </c>
      <c r="AC96" t="str">
        <f t="shared" ca="1" si="9"/>
        <v/>
      </c>
      <c r="AD96" t="str">
        <f t="shared" ca="1" si="10"/>
        <v/>
      </c>
    </row>
    <row r="97" spans="1:30" x14ac:dyDescent="0.25">
      <c r="A97" s="4">
        <v>41990</v>
      </c>
      <c r="B97">
        <v>0.61899999999999999</v>
      </c>
      <c r="C97" s="5">
        <v>1.07</v>
      </c>
      <c r="D97">
        <v>1.613</v>
      </c>
      <c r="E97">
        <v>1.9359999999999999</v>
      </c>
      <c r="F97">
        <v>2.137</v>
      </c>
      <c r="G97">
        <v>2.7279999999999998</v>
      </c>
      <c r="H97">
        <f t="shared" ca="1" si="14"/>
        <v>0.41230068337129838</v>
      </c>
      <c r="I97">
        <f t="shared" ca="1" si="14"/>
        <v>0.35770750988142286</v>
      </c>
      <c r="J97">
        <f t="shared" ca="1" si="14"/>
        <v>0.25746799431009953</v>
      </c>
      <c r="K97">
        <f t="shared" ca="1" si="14"/>
        <v>0.21277997364953882</v>
      </c>
      <c r="L97">
        <f t="shared" ca="1" si="14"/>
        <v>0.15315315315315314</v>
      </c>
      <c r="M97">
        <f t="shared" ca="1" si="14"/>
        <v>0.30271790065604498</v>
      </c>
      <c r="N97">
        <f t="shared" ca="1" si="14"/>
        <v>0.1948130277442702</v>
      </c>
      <c r="O97">
        <f t="shared" ca="1" si="14"/>
        <v>9.5305832147937447E-2</v>
      </c>
      <c r="P97">
        <f t="shared" ca="1" si="14"/>
        <v>0.12123039806996387</v>
      </c>
      <c r="Q97">
        <f t="shared" ca="1" si="14"/>
        <v>0.18026905829596424</v>
      </c>
      <c r="R97">
        <f t="shared" ca="1" si="14"/>
        <v>0.50592697961119015</v>
      </c>
      <c r="S97">
        <f t="shared" ca="1" si="14"/>
        <v>0.24845898530109056</v>
      </c>
      <c r="T97">
        <f t="shared" ca="1" si="14"/>
        <v>0.31604342581423411</v>
      </c>
      <c r="U97" s="5"/>
      <c r="V97" s="4">
        <f t="shared" si="13"/>
        <v>41990</v>
      </c>
      <c r="W97" s="5">
        <f t="shared" ca="1" si="11"/>
        <v>0.30271790065604498</v>
      </c>
      <c r="Z97" s="4" t="str">
        <f ca="1">IF(OFFSET(Sheet3!$A$1,0,0,300)="","",OFFSET(Sheet3!$A$1,0,0,300))</f>
        <v/>
      </c>
      <c r="AA97" s="5" t="str">
        <f ca="1">IF(OFFSET(Sheet3!$A$1,0,MATCH(W$1,Sheet3!$1:$1,0)-1,300)="","",OFFSET(Sheet3!$A$1,0,MATCH(W$1,Sheet3!$1:$1,0)-1,300))</f>
        <v/>
      </c>
      <c r="AB97" s="5" t="str">
        <f ca="1">IF(OFFSET(Sheet3!$A$1,0,MATCH(X$1,Sheet3!$1:$1,0)-1,300)="","",OFFSET(Sheet3!$A$1,0,MATCH(X$1,Sheet3!$1:$1,0)-1,300))</f>
        <v/>
      </c>
      <c r="AC97" t="str">
        <f t="shared" ca="1" si="9"/>
        <v/>
      </c>
      <c r="AD97" t="str">
        <f t="shared" ca="1" si="10"/>
        <v/>
      </c>
    </row>
    <row r="98" spans="1:30" x14ac:dyDescent="0.25">
      <c r="A98" s="4">
        <v>41989</v>
      </c>
      <c r="B98">
        <v>0.55400000000000005</v>
      </c>
      <c r="C98" s="5">
        <v>0.98799999999999999</v>
      </c>
      <c r="D98">
        <v>1.5169999999999999</v>
      </c>
      <c r="E98">
        <v>1.845</v>
      </c>
      <c r="F98">
        <v>2.06</v>
      </c>
      <c r="G98">
        <v>2.6909999999999998</v>
      </c>
      <c r="H98">
        <f t="shared" ca="1" si="14"/>
        <v>0.40975987606506581</v>
      </c>
      <c r="I98">
        <f t="shared" ca="1" si="14"/>
        <v>0.35126162018592294</v>
      </c>
      <c r="J98">
        <f t="shared" ca="1" si="14"/>
        <v>0.24754328497894246</v>
      </c>
      <c r="K98">
        <f t="shared" ca="1" si="14"/>
        <v>0.2177954847277557</v>
      </c>
      <c r="L98">
        <f t="shared" ca="1" si="14"/>
        <v>0.1534861956013103</v>
      </c>
      <c r="M98">
        <f t="shared" ca="1" si="14"/>
        <v>0.30597014925373139</v>
      </c>
      <c r="N98">
        <f t="shared" ca="1" si="14"/>
        <v>0.19260129183793312</v>
      </c>
      <c r="O98">
        <f t="shared" ca="1" si="14"/>
        <v>0.10060832943378574</v>
      </c>
      <c r="P98">
        <f t="shared" ca="1" si="14"/>
        <v>0.12624779800352326</v>
      </c>
      <c r="Q98">
        <f t="shared" ca="1" si="14"/>
        <v>0.18313458262350946</v>
      </c>
      <c r="R98">
        <f t="shared" ca="1" si="14"/>
        <v>0.50163781001403851</v>
      </c>
      <c r="S98">
        <f t="shared" ca="1" si="14"/>
        <v>0.25409452503509605</v>
      </c>
      <c r="T98">
        <f t="shared" ca="1" si="14"/>
        <v>0.31884908984145638</v>
      </c>
      <c r="U98" s="5"/>
      <c r="V98" s="4">
        <f t="shared" si="13"/>
        <v>41989</v>
      </c>
      <c r="W98" s="5">
        <f t="shared" ca="1" si="11"/>
        <v>0.30597014925373139</v>
      </c>
      <c r="Z98" s="4" t="str">
        <f ca="1">IF(OFFSET(Sheet3!$A$1,0,0,300)="","",OFFSET(Sheet3!$A$1,0,0,300))</f>
        <v/>
      </c>
      <c r="AA98" s="5" t="str">
        <f ca="1">IF(OFFSET(Sheet3!$A$1,0,MATCH(W$1,Sheet3!$1:$1,0)-1,300)="","",OFFSET(Sheet3!$A$1,0,MATCH(W$1,Sheet3!$1:$1,0)-1,300))</f>
        <v/>
      </c>
      <c r="AB98" s="5" t="str">
        <f ca="1">IF(OFFSET(Sheet3!$A$1,0,MATCH(X$1,Sheet3!$1:$1,0)-1,300)="","",OFFSET(Sheet3!$A$1,0,MATCH(X$1,Sheet3!$1:$1,0)-1,300))</f>
        <v/>
      </c>
      <c r="AC98" t="str">
        <f t="shared" ca="1" si="9"/>
        <v/>
      </c>
      <c r="AD98" t="str">
        <f t="shared" ca="1" si="10"/>
        <v/>
      </c>
    </row>
    <row r="99" spans="1:30" x14ac:dyDescent="0.25">
      <c r="A99" s="4">
        <v>41988</v>
      </c>
      <c r="B99">
        <v>0.57799999999999996</v>
      </c>
      <c r="C99" s="5">
        <v>1.0249999999999999</v>
      </c>
      <c r="D99">
        <v>1.571</v>
      </c>
      <c r="E99">
        <v>1.9</v>
      </c>
      <c r="F99">
        <v>2.1189999999999998</v>
      </c>
      <c r="G99">
        <v>2.7469999999999999</v>
      </c>
      <c r="H99">
        <f t="shared" ca="1" si="14"/>
        <v>0.41301059001512863</v>
      </c>
      <c r="I99">
        <f t="shared" ca="1" si="14"/>
        <v>0.35431537962362109</v>
      </c>
      <c r="J99">
        <f t="shared" ca="1" si="14"/>
        <v>0.25172890733056708</v>
      </c>
      <c r="K99">
        <f t="shared" ca="1" si="14"/>
        <v>0.21349772874756651</v>
      </c>
      <c r="L99">
        <f t="shared" ca="1" si="14"/>
        <v>0.15168280313508528</v>
      </c>
      <c r="M99">
        <f t="shared" ca="1" si="14"/>
        <v>0.30073126142595979</v>
      </c>
      <c r="N99">
        <f t="shared" ca="1" si="14"/>
        <v>0.19105691056910568</v>
      </c>
      <c r="O99">
        <f t="shared" ca="1" si="14"/>
        <v>0.1009681881051175</v>
      </c>
      <c r="P99">
        <f t="shared" ca="1" si="14"/>
        <v>0.12717770034843198</v>
      </c>
      <c r="Q99">
        <f t="shared" ca="1" si="14"/>
        <v>0.18622448979591827</v>
      </c>
      <c r="R99">
        <f t="shared" ca="1" si="14"/>
        <v>0.50437989857076981</v>
      </c>
      <c r="S99">
        <f t="shared" ca="1" si="14"/>
        <v>0.25265099124020279</v>
      </c>
      <c r="T99">
        <f t="shared" ca="1" si="14"/>
        <v>0.31823461091753763</v>
      </c>
      <c r="U99" s="5"/>
      <c r="V99" s="4">
        <f t="shared" si="13"/>
        <v>41988</v>
      </c>
      <c r="W99" s="5">
        <f t="shared" ca="1" si="11"/>
        <v>0.30073126142595979</v>
      </c>
      <c r="Z99" s="4" t="str">
        <f ca="1">IF(OFFSET(Sheet3!$A$1,0,0,300)="","",OFFSET(Sheet3!$A$1,0,0,300))</f>
        <v/>
      </c>
      <c r="AA99" s="5" t="str">
        <f ca="1">IF(OFFSET(Sheet3!$A$1,0,MATCH(W$1,Sheet3!$1:$1,0)-1,300)="","",OFFSET(Sheet3!$A$1,0,MATCH(W$1,Sheet3!$1:$1,0)-1,300))</f>
        <v/>
      </c>
      <c r="AB99" s="5" t="str">
        <f ca="1">IF(OFFSET(Sheet3!$A$1,0,MATCH(X$1,Sheet3!$1:$1,0)-1,300)="","",OFFSET(Sheet3!$A$1,0,MATCH(X$1,Sheet3!$1:$1,0)-1,300))</f>
        <v/>
      </c>
      <c r="AC99" t="str">
        <f t="shared" ca="1" si="9"/>
        <v/>
      </c>
      <c r="AD99" t="str">
        <f t="shared" ca="1" si="10"/>
        <v/>
      </c>
    </row>
    <row r="100" spans="1:30" x14ac:dyDescent="0.25">
      <c r="A100" s="4">
        <v>41985</v>
      </c>
      <c r="B100">
        <v>0.54200000000000004</v>
      </c>
      <c r="C100" s="5">
        <v>0.97499999999999998</v>
      </c>
      <c r="D100">
        <v>1.512</v>
      </c>
      <c r="E100">
        <v>1.845</v>
      </c>
      <c r="F100">
        <v>2.0830000000000002</v>
      </c>
      <c r="G100">
        <v>2.738</v>
      </c>
      <c r="H100">
        <f t="shared" ca="1" si="14"/>
        <v>0.41212586339217194</v>
      </c>
      <c r="I100">
        <f t="shared" ca="1" si="14"/>
        <v>0.34847501622323168</v>
      </c>
      <c r="J100">
        <f t="shared" ca="1" si="14"/>
        <v>0.24453551912568311</v>
      </c>
      <c r="K100">
        <f t="shared" ca="1" si="14"/>
        <v>0.21609344581440618</v>
      </c>
      <c r="L100">
        <f t="shared" ca="1" si="14"/>
        <v>0.15163934426229508</v>
      </c>
      <c r="M100">
        <f t="shared" ca="1" si="14"/>
        <v>0.30054151624548731</v>
      </c>
      <c r="N100">
        <f t="shared" ca="1" si="14"/>
        <v>0.18888258650028358</v>
      </c>
      <c r="O100">
        <f t="shared" ca="1" si="14"/>
        <v>0.10837887067395276</v>
      </c>
      <c r="P100">
        <f t="shared" ca="1" si="14"/>
        <v>0.13499716392512776</v>
      </c>
      <c r="Q100">
        <f t="shared" ca="1" si="14"/>
        <v>0.19412724306688436</v>
      </c>
      <c r="R100">
        <f t="shared" ca="1" si="14"/>
        <v>0.50455373406193094</v>
      </c>
      <c r="S100">
        <f t="shared" ca="1" si="14"/>
        <v>0.26001821493624783</v>
      </c>
      <c r="T100">
        <f t="shared" ca="1" si="14"/>
        <v>0.32387975042541134</v>
      </c>
      <c r="U100" s="5"/>
      <c r="V100" s="4">
        <f t="shared" si="13"/>
        <v>41985</v>
      </c>
      <c r="W100" s="5">
        <f t="shared" ca="1" si="11"/>
        <v>0.30054151624548731</v>
      </c>
      <c r="Z100" s="4" t="str">
        <f ca="1">IF(OFFSET(Sheet3!$A$1,0,0,300)="","",OFFSET(Sheet3!$A$1,0,0,300))</f>
        <v/>
      </c>
      <c r="AA100" s="5" t="str">
        <f ca="1">IF(OFFSET(Sheet3!$A$1,0,MATCH(W$1,Sheet3!$1:$1,0)-1,300)="","",OFFSET(Sheet3!$A$1,0,MATCH(W$1,Sheet3!$1:$1,0)-1,300))</f>
        <v/>
      </c>
      <c r="AB100" s="5" t="str">
        <f ca="1">IF(OFFSET(Sheet3!$A$1,0,MATCH(X$1,Sheet3!$1:$1,0)-1,300)="","",OFFSET(Sheet3!$A$1,0,MATCH(X$1,Sheet3!$1:$1,0)-1,300))</f>
        <v/>
      </c>
      <c r="AC100" t="str">
        <f t="shared" ca="1" si="9"/>
        <v/>
      </c>
      <c r="AD100" t="str">
        <f t="shared" ca="1" si="10"/>
        <v/>
      </c>
    </row>
    <row r="101" spans="1:30" x14ac:dyDescent="0.25">
      <c r="A101" s="4">
        <v>41984</v>
      </c>
      <c r="B101">
        <v>0.60199999999999998</v>
      </c>
      <c r="C101" s="5">
        <v>1.044</v>
      </c>
      <c r="D101">
        <v>1.5960000000000001</v>
      </c>
      <c r="E101">
        <v>1.9340000000000002</v>
      </c>
      <c r="F101">
        <v>2.1629999999999998</v>
      </c>
      <c r="G101">
        <v>2.8069999999999999</v>
      </c>
      <c r="H101">
        <f t="shared" ca="1" si="14"/>
        <v>0.41441441441441434</v>
      </c>
      <c r="I101">
        <f t="shared" ca="1" si="14"/>
        <v>0.35361947469570792</v>
      </c>
      <c r="J101">
        <f t="shared" ca="1" si="14"/>
        <v>0.25034013605442179</v>
      </c>
      <c r="K101">
        <f t="shared" ca="1" si="14"/>
        <v>0.21652786675208205</v>
      </c>
      <c r="L101">
        <f t="shared" ca="1" si="14"/>
        <v>0.15328798185941045</v>
      </c>
      <c r="M101">
        <f t="shared" ca="1" si="14"/>
        <v>0.30205540661304747</v>
      </c>
      <c r="N101">
        <f t="shared" ca="1" si="14"/>
        <v>0.1917186613726603</v>
      </c>
      <c r="O101">
        <f t="shared" ca="1" si="14"/>
        <v>0.10385487528344654</v>
      </c>
      <c r="P101">
        <f t="shared" ca="1" si="14"/>
        <v>0.12989222915484949</v>
      </c>
      <c r="Q101">
        <f t="shared" ca="1" si="14"/>
        <v>0.18909991742361656</v>
      </c>
      <c r="R101">
        <f t="shared" ca="1" si="14"/>
        <v>0.50748299319727874</v>
      </c>
      <c r="S101">
        <f t="shared" ca="1" si="14"/>
        <v>0.25714285714285701</v>
      </c>
      <c r="T101">
        <f t="shared" ca="1" si="14"/>
        <v>0.3216108905275098</v>
      </c>
      <c r="U101" s="5"/>
      <c r="V101" s="4">
        <f t="shared" si="13"/>
        <v>41984</v>
      </c>
      <c r="W101" s="5">
        <f t="shared" ca="1" si="11"/>
        <v>0.30205540661304747</v>
      </c>
      <c r="Z101" s="4" t="str">
        <f ca="1">IF(OFFSET(Sheet3!$A$1,0,0,300)="","",OFFSET(Sheet3!$A$1,0,0,300))</f>
        <v/>
      </c>
      <c r="AA101" s="5" t="str">
        <f ca="1">IF(OFFSET(Sheet3!$A$1,0,MATCH(W$1,Sheet3!$1:$1,0)-1,300)="","",OFFSET(Sheet3!$A$1,0,MATCH(W$1,Sheet3!$1:$1,0)-1,300))</f>
        <v/>
      </c>
      <c r="AB101" s="5" t="str">
        <f ca="1">IF(OFFSET(Sheet3!$A$1,0,MATCH(X$1,Sheet3!$1:$1,0)-1,300)="","",OFFSET(Sheet3!$A$1,0,MATCH(X$1,Sheet3!$1:$1,0)-1,300))</f>
        <v/>
      </c>
      <c r="AC101" t="str">
        <f t="shared" ca="1" si="9"/>
        <v/>
      </c>
      <c r="AD101" t="str">
        <f t="shared" ca="1" si="10"/>
        <v/>
      </c>
    </row>
    <row r="102" spans="1:30" x14ac:dyDescent="0.25">
      <c r="A102" s="4">
        <v>41983</v>
      </c>
      <c r="B102">
        <v>0.56999999999999995</v>
      </c>
      <c r="C102" s="5">
        <v>1.0069999999999999</v>
      </c>
      <c r="D102">
        <v>1.56</v>
      </c>
      <c r="E102">
        <v>1.9100000000000001</v>
      </c>
      <c r="F102">
        <v>2.165</v>
      </c>
      <c r="G102">
        <v>2.8319999999999999</v>
      </c>
      <c r="H102">
        <f t="shared" ca="1" si="14"/>
        <v>0.41268656716417912</v>
      </c>
      <c r="I102">
        <f t="shared" ca="1" si="14"/>
        <v>0.34670846394984334</v>
      </c>
      <c r="J102">
        <f t="shared" ca="1" si="14"/>
        <v>0.24447391688771006</v>
      </c>
      <c r="K102">
        <f t="shared" ca="1" si="14"/>
        <v>0.21943573667711602</v>
      </c>
      <c r="L102">
        <f t="shared" ca="1" si="14"/>
        <v>0.1547303271441203</v>
      </c>
      <c r="M102">
        <f t="shared" ca="1" si="14"/>
        <v>0.30224525043177897</v>
      </c>
      <c r="N102">
        <f t="shared" ca="1" si="14"/>
        <v>0.19178082191780826</v>
      </c>
      <c r="O102">
        <f t="shared" ca="1" si="14"/>
        <v>0.11273209549071614</v>
      </c>
      <c r="P102">
        <f t="shared" ca="1" si="14"/>
        <v>0.13972602739726023</v>
      </c>
      <c r="Q102">
        <f t="shared" ca="1" si="14"/>
        <v>0.2004716981132075</v>
      </c>
      <c r="R102">
        <f t="shared" ca="1" si="14"/>
        <v>0.51193633952254647</v>
      </c>
      <c r="S102">
        <f t="shared" ca="1" si="14"/>
        <v>0.26746242263483644</v>
      </c>
      <c r="T102">
        <f t="shared" ca="1" si="14"/>
        <v>0.33150684931506852</v>
      </c>
      <c r="U102" s="5"/>
      <c r="V102" s="4">
        <f t="shared" si="13"/>
        <v>41983</v>
      </c>
      <c r="W102" s="5">
        <f t="shared" ca="1" si="11"/>
        <v>0.30224525043177897</v>
      </c>
      <c r="Z102" s="4" t="str">
        <f ca="1">IF(OFFSET(Sheet3!$A$1,0,0,300)="","",OFFSET(Sheet3!$A$1,0,0,300))</f>
        <v/>
      </c>
      <c r="AA102" s="5" t="str">
        <f ca="1">IF(OFFSET(Sheet3!$A$1,0,MATCH(W$1,Sheet3!$1:$1,0)-1,300)="","",OFFSET(Sheet3!$A$1,0,MATCH(W$1,Sheet3!$1:$1,0)-1,300))</f>
        <v/>
      </c>
      <c r="AB102" s="5" t="str">
        <f ca="1">IF(OFFSET(Sheet3!$A$1,0,MATCH(X$1,Sheet3!$1:$1,0)-1,300)="","",OFFSET(Sheet3!$A$1,0,MATCH(X$1,Sheet3!$1:$1,0)-1,300))</f>
        <v/>
      </c>
      <c r="AC102" t="str">
        <f t="shared" ca="1" si="9"/>
        <v/>
      </c>
      <c r="AD102" t="str">
        <f t="shared" ca="1" si="10"/>
        <v/>
      </c>
    </row>
    <row r="103" spans="1:30" x14ac:dyDescent="0.25">
      <c r="A103" s="4">
        <v>41982</v>
      </c>
      <c r="B103">
        <v>0.61399999999999999</v>
      </c>
      <c r="C103" s="5">
        <v>1.026</v>
      </c>
      <c r="D103">
        <v>1.621</v>
      </c>
      <c r="E103">
        <v>1.968</v>
      </c>
      <c r="F103">
        <v>2.214</v>
      </c>
      <c r="G103">
        <v>2.871</v>
      </c>
      <c r="H103">
        <f t="shared" ca="1" si="14"/>
        <v>0.43943870014771041</v>
      </c>
      <c r="I103">
        <f t="shared" ca="1" si="14"/>
        <v>0.37187499999999996</v>
      </c>
      <c r="J103">
        <f t="shared" ca="1" si="14"/>
        <v>0.26362428001772259</v>
      </c>
      <c r="K103">
        <f t="shared" ca="1" si="14"/>
        <v>0.21687499999999998</v>
      </c>
      <c r="L103">
        <f t="shared" ca="1" si="14"/>
        <v>0.15374390784226849</v>
      </c>
      <c r="M103">
        <f t="shared" ca="1" si="14"/>
        <v>0.29208754208754206</v>
      </c>
      <c r="N103">
        <f t="shared" ca="1" si="14"/>
        <v>0.18807588075880757</v>
      </c>
      <c r="O103">
        <f t="shared" ca="1" si="14"/>
        <v>0.10899424014178112</v>
      </c>
      <c r="P103">
        <f t="shared" ca="1" si="14"/>
        <v>0.13333333333333333</v>
      </c>
      <c r="Q103">
        <f t="shared" ca="1" si="14"/>
        <v>0.1968</v>
      </c>
      <c r="R103">
        <f t="shared" ca="1" si="14"/>
        <v>0.52636242800177224</v>
      </c>
      <c r="S103">
        <f t="shared" ca="1" si="14"/>
        <v>0.2627381479840496</v>
      </c>
      <c r="T103">
        <f t="shared" ca="1" si="14"/>
        <v>0.3214092140921409</v>
      </c>
      <c r="U103" s="5"/>
      <c r="V103" s="4">
        <f t="shared" si="13"/>
        <v>41982</v>
      </c>
      <c r="W103" s="5">
        <f t="shared" ca="1" si="11"/>
        <v>0.29208754208754206</v>
      </c>
      <c r="Z103" s="4" t="str">
        <f ca="1">IF(OFFSET(Sheet3!$A$1,0,0,300)="","",OFFSET(Sheet3!$A$1,0,0,300))</f>
        <v/>
      </c>
      <c r="AA103" s="5" t="str">
        <f ca="1">IF(OFFSET(Sheet3!$A$1,0,MATCH(W$1,Sheet3!$1:$1,0)-1,300)="","",OFFSET(Sheet3!$A$1,0,MATCH(W$1,Sheet3!$1:$1,0)-1,300))</f>
        <v/>
      </c>
      <c r="AB103" s="5" t="str">
        <f ca="1">IF(OFFSET(Sheet3!$A$1,0,MATCH(X$1,Sheet3!$1:$1,0)-1,300)="","",OFFSET(Sheet3!$A$1,0,MATCH(X$1,Sheet3!$1:$1,0)-1,300))</f>
        <v/>
      </c>
      <c r="AC103" t="str">
        <f t="shared" ca="1" si="9"/>
        <v/>
      </c>
      <c r="AD103" t="str">
        <f t="shared" ca="1" si="10"/>
        <v/>
      </c>
    </row>
    <row r="104" spans="1:30" x14ac:dyDescent="0.25">
      <c r="A104" s="4">
        <v>41981</v>
      </c>
      <c r="B104">
        <v>0.63</v>
      </c>
      <c r="C104" s="5">
        <v>1.0629999999999999</v>
      </c>
      <c r="D104">
        <v>1.663</v>
      </c>
      <c r="E104">
        <v>2.0209999999999999</v>
      </c>
      <c r="F104">
        <v>2.258</v>
      </c>
      <c r="G104">
        <v>2.9050000000000002</v>
      </c>
      <c r="H104">
        <f t="shared" ca="1" si="14"/>
        <v>0.43134435657800152</v>
      </c>
      <c r="I104">
        <f t="shared" ca="1" si="14"/>
        <v>0.3685503685503686</v>
      </c>
      <c r="J104">
        <f t="shared" ca="1" si="14"/>
        <v>0.26373626373626374</v>
      </c>
      <c r="K104">
        <f t="shared" ca="1" si="14"/>
        <v>0.21990171990171981</v>
      </c>
      <c r="L104">
        <f t="shared" ca="1" si="14"/>
        <v>0.15736263736263728</v>
      </c>
      <c r="M104">
        <f t="shared" ca="1" si="14"/>
        <v>0.29958158995815887</v>
      </c>
      <c r="N104">
        <f t="shared" ca="1" si="14"/>
        <v>0.19435396308360467</v>
      </c>
      <c r="O104">
        <f t="shared" ca="1" si="14"/>
        <v>0.1041758241758242</v>
      </c>
      <c r="P104">
        <f t="shared" ca="1" si="14"/>
        <v>0.12866449511400654</v>
      </c>
      <c r="Q104">
        <f t="shared" ca="1" si="14"/>
        <v>0.19082125603864739</v>
      </c>
      <c r="R104">
        <f t="shared" ca="1" si="14"/>
        <v>0.52527472527472518</v>
      </c>
      <c r="S104">
        <f t="shared" ca="1" si="14"/>
        <v>0.2615384615384615</v>
      </c>
      <c r="T104">
        <f t="shared" ca="1" si="14"/>
        <v>0.32301845819761121</v>
      </c>
      <c r="U104" s="5"/>
      <c r="V104" s="4">
        <f t="shared" si="13"/>
        <v>41981</v>
      </c>
      <c r="W104" s="5">
        <f t="shared" ca="1" si="11"/>
        <v>0.29958158995815887</v>
      </c>
      <c r="Z104" s="4" t="str">
        <f ca="1">IF(OFFSET(Sheet3!$A$1,0,0,300)="","",OFFSET(Sheet3!$A$1,0,0,300))</f>
        <v/>
      </c>
      <c r="AA104" s="5" t="str">
        <f ca="1">IF(OFFSET(Sheet3!$A$1,0,MATCH(W$1,Sheet3!$1:$1,0)-1,300)="","",OFFSET(Sheet3!$A$1,0,MATCH(W$1,Sheet3!$1:$1,0)-1,300))</f>
        <v/>
      </c>
      <c r="AB104" s="5" t="str">
        <f ca="1">IF(OFFSET(Sheet3!$A$1,0,MATCH(X$1,Sheet3!$1:$1,0)-1,300)="","",OFFSET(Sheet3!$A$1,0,MATCH(X$1,Sheet3!$1:$1,0)-1,300))</f>
        <v/>
      </c>
      <c r="AC104" t="str">
        <f t="shared" ca="1" si="9"/>
        <v/>
      </c>
      <c r="AD104" t="str">
        <f t="shared" ca="1" si="10"/>
        <v/>
      </c>
    </row>
    <row r="105" spans="1:30" x14ac:dyDescent="0.25">
      <c r="A105" s="4">
        <v>41978</v>
      </c>
      <c r="B105">
        <v>0.64500000000000002</v>
      </c>
      <c r="C105" s="5">
        <v>1.0740000000000001</v>
      </c>
      <c r="D105">
        <v>1.6850000000000001</v>
      </c>
      <c r="E105">
        <v>2.06</v>
      </c>
      <c r="F105">
        <v>2.3069999999999999</v>
      </c>
      <c r="G105">
        <v>2.9670000000000001</v>
      </c>
      <c r="H105">
        <f t="shared" ca="1" si="14"/>
        <v>0.43180212014134273</v>
      </c>
      <c r="I105">
        <f t="shared" ca="1" si="14"/>
        <v>0.36762936221419978</v>
      </c>
      <c r="J105">
        <f t="shared" ca="1" si="14"/>
        <v>0.26313522825150731</v>
      </c>
      <c r="K105">
        <f t="shared" ca="1" si="14"/>
        <v>0.22563176895306861</v>
      </c>
      <c r="L105">
        <f t="shared" ca="1" si="14"/>
        <v>0.16149870801033592</v>
      </c>
      <c r="M105">
        <f t="shared" ca="1" si="14"/>
        <v>0.30413625304136255</v>
      </c>
      <c r="N105">
        <f t="shared" ca="1" si="14"/>
        <v>0.19809825673534073</v>
      </c>
      <c r="O105">
        <f t="shared" ca="1" si="14"/>
        <v>0.10637381567614121</v>
      </c>
      <c r="P105">
        <f t="shared" ca="1" si="14"/>
        <v>0.13048071843634437</v>
      </c>
      <c r="Q105">
        <f t="shared" ca="1" si="14"/>
        <v>0.19266770670826824</v>
      </c>
      <c r="R105">
        <f t="shared" ca="1" si="14"/>
        <v>0.53100775193798444</v>
      </c>
      <c r="S105">
        <f t="shared" ca="1" si="14"/>
        <v>0.26787252368647713</v>
      </c>
      <c r="T105">
        <f t="shared" ca="1" si="14"/>
        <v>0.32857897517168511</v>
      </c>
      <c r="U105" s="5"/>
      <c r="V105" s="4">
        <f t="shared" si="13"/>
        <v>41978</v>
      </c>
      <c r="W105" s="5">
        <f t="shared" ca="1" si="11"/>
        <v>0.30413625304136255</v>
      </c>
      <c r="Z105" s="4" t="str">
        <f ca="1">IF(OFFSET(Sheet3!$A$1,0,0,300)="","",OFFSET(Sheet3!$A$1,0,0,300))</f>
        <v/>
      </c>
      <c r="AA105" s="5" t="str">
        <f ca="1">IF(OFFSET(Sheet3!$A$1,0,MATCH(W$1,Sheet3!$1:$1,0)-1,300)="","",OFFSET(Sheet3!$A$1,0,MATCH(W$1,Sheet3!$1:$1,0)-1,300))</f>
        <v/>
      </c>
      <c r="AB105" s="5" t="str">
        <f ca="1">IF(OFFSET(Sheet3!$A$1,0,MATCH(X$1,Sheet3!$1:$1,0)-1,300)="","",OFFSET(Sheet3!$A$1,0,MATCH(X$1,Sheet3!$1:$1,0)-1,300))</f>
        <v/>
      </c>
      <c r="AC105" t="str">
        <f t="shared" ca="1" si="9"/>
        <v/>
      </c>
      <c r="AD105" t="str">
        <f t="shared" ca="1" si="10"/>
        <v/>
      </c>
    </row>
    <row r="106" spans="1:30" x14ac:dyDescent="0.25">
      <c r="A106" s="4">
        <v>41977</v>
      </c>
      <c r="B106">
        <v>0.54200000000000004</v>
      </c>
      <c r="C106" s="5">
        <v>0.94899999999999995</v>
      </c>
      <c r="D106">
        <v>1.573</v>
      </c>
      <c r="E106">
        <v>1.9649999999999999</v>
      </c>
      <c r="F106">
        <v>2.2349999999999999</v>
      </c>
      <c r="G106">
        <v>2.9370000000000003</v>
      </c>
      <c r="H106">
        <f t="shared" ca="1" si="14"/>
        <v>0.43851018973998601</v>
      </c>
      <c r="I106">
        <f t="shared" ca="1" si="14"/>
        <v>0.36857649143532195</v>
      </c>
      <c r="J106">
        <f t="shared" ca="1" si="14"/>
        <v>0.26054279749478076</v>
      </c>
      <c r="K106">
        <f t="shared" ca="1" si="14"/>
        <v>0.23154164205552272</v>
      </c>
      <c r="L106">
        <f t="shared" ca="1" si="14"/>
        <v>0.16367432150313146</v>
      </c>
      <c r="M106">
        <f t="shared" ca="1" si="14"/>
        <v>0.30482115085536537</v>
      </c>
      <c r="N106">
        <f t="shared" ca="1" si="14"/>
        <v>0.1971830985915492</v>
      </c>
      <c r="O106">
        <f t="shared" ca="1" si="14"/>
        <v>0.11273486430062629</v>
      </c>
      <c r="P106">
        <f t="shared" ca="1" si="14"/>
        <v>0.13581488933601607</v>
      </c>
      <c r="Q106">
        <f t="shared" ca="1" si="14"/>
        <v>0.1979472140762463</v>
      </c>
      <c r="R106">
        <f t="shared" ca="1" si="14"/>
        <v>0.53695198329853855</v>
      </c>
      <c r="S106">
        <f t="shared" ca="1" si="14"/>
        <v>0.27640918580375773</v>
      </c>
      <c r="T106">
        <f t="shared" ca="1" si="14"/>
        <v>0.3329979879275653</v>
      </c>
      <c r="U106" s="5"/>
      <c r="V106" s="4">
        <f t="shared" si="13"/>
        <v>41977</v>
      </c>
      <c r="W106" s="5">
        <f t="shared" ca="1" si="11"/>
        <v>0.30482115085536537</v>
      </c>
      <c r="Z106" s="4" t="str">
        <f ca="1">IF(OFFSET(Sheet3!$A$1,0,0,300)="","",OFFSET(Sheet3!$A$1,0,0,300))</f>
        <v/>
      </c>
      <c r="AA106" s="5" t="str">
        <f ca="1">IF(OFFSET(Sheet3!$A$1,0,MATCH(W$1,Sheet3!$1:$1,0)-1,300)="","",OFFSET(Sheet3!$A$1,0,MATCH(W$1,Sheet3!$1:$1,0)-1,300))</f>
        <v/>
      </c>
      <c r="AB106" s="5" t="str">
        <f ca="1">IF(OFFSET(Sheet3!$A$1,0,MATCH(X$1,Sheet3!$1:$1,0)-1,300)="","",OFFSET(Sheet3!$A$1,0,MATCH(X$1,Sheet3!$1:$1,0)-1,300))</f>
        <v/>
      </c>
      <c r="AC106" t="str">
        <f t="shared" ca="1" si="9"/>
        <v/>
      </c>
      <c r="AD106" t="str">
        <f t="shared" ca="1" si="10"/>
        <v/>
      </c>
    </row>
    <row r="107" spans="1:30" x14ac:dyDescent="0.25">
      <c r="A107" s="4">
        <v>41976</v>
      </c>
      <c r="B107">
        <v>0.55700000000000005</v>
      </c>
      <c r="C107" s="5">
        <v>0.96499999999999997</v>
      </c>
      <c r="D107">
        <v>1.6040000000000001</v>
      </c>
      <c r="E107">
        <v>2.0059999999999998</v>
      </c>
      <c r="F107">
        <v>2.2810000000000001</v>
      </c>
      <c r="G107">
        <v>2.9859999999999998</v>
      </c>
      <c r="H107">
        <f t="shared" ca="1" si="14"/>
        <v>0.44099378881987589</v>
      </c>
      <c r="I107">
        <f t="shared" ca="1" si="14"/>
        <v>0.37064965197215782</v>
      </c>
      <c r="J107">
        <f t="shared" ca="1" si="14"/>
        <v>0.26307122272540145</v>
      </c>
      <c r="K107">
        <f t="shared" ca="1" si="14"/>
        <v>0.23317865429234319</v>
      </c>
      <c r="L107">
        <f t="shared" ca="1" si="14"/>
        <v>0.16550020584602707</v>
      </c>
      <c r="M107">
        <f t="shared" ca="1" si="14"/>
        <v>0.30547112462006049</v>
      </c>
      <c r="N107">
        <f t="shared" ca="1" si="14"/>
        <v>0.19891142998515571</v>
      </c>
      <c r="O107">
        <f t="shared" ca="1" si="14"/>
        <v>0.11321531494442173</v>
      </c>
      <c r="P107">
        <f t="shared" ca="1" si="14"/>
        <v>0.13607125185551724</v>
      </c>
      <c r="Q107">
        <f t="shared" ca="1" si="14"/>
        <v>0.19898697539797425</v>
      </c>
      <c r="R107">
        <f t="shared" ca="1" si="14"/>
        <v>0.54178674351585032</v>
      </c>
      <c r="S107">
        <f t="shared" ca="1" si="14"/>
        <v>0.27871552079044876</v>
      </c>
      <c r="T107">
        <f t="shared" ca="1" si="14"/>
        <v>0.33498268184067298</v>
      </c>
      <c r="U107" s="5"/>
      <c r="V107" s="4">
        <f t="shared" si="13"/>
        <v>41976</v>
      </c>
      <c r="W107" s="5">
        <f t="shared" ca="1" si="11"/>
        <v>0.30547112462006049</v>
      </c>
      <c r="Z107" s="4" t="str">
        <f ca="1">IF(OFFSET(Sheet3!$A$1,0,0,300)="","",OFFSET(Sheet3!$A$1,0,0,300))</f>
        <v/>
      </c>
      <c r="AA107" s="5" t="str">
        <f ca="1">IF(OFFSET(Sheet3!$A$1,0,MATCH(W$1,Sheet3!$1:$1,0)-1,300)="","",OFFSET(Sheet3!$A$1,0,MATCH(W$1,Sheet3!$1:$1,0)-1,300))</f>
        <v/>
      </c>
      <c r="AB107" s="5" t="str">
        <f ca="1">IF(OFFSET(Sheet3!$A$1,0,MATCH(X$1,Sheet3!$1:$1,0)-1,300)="","",OFFSET(Sheet3!$A$1,0,MATCH(X$1,Sheet3!$1:$1,0)-1,300))</f>
        <v/>
      </c>
      <c r="AC107" t="str">
        <f t="shared" ca="1" si="9"/>
        <v/>
      </c>
      <c r="AD107" t="str">
        <f t="shared" ca="1" si="10"/>
        <v/>
      </c>
    </row>
    <row r="108" spans="1:30" x14ac:dyDescent="0.25">
      <c r="A108" s="4">
        <v>41975</v>
      </c>
      <c r="B108">
        <v>0.53800000000000003</v>
      </c>
      <c r="C108" s="5">
        <v>0.94399999999999995</v>
      </c>
      <c r="D108">
        <v>1.5960000000000001</v>
      </c>
      <c r="E108">
        <v>2.0089999999999999</v>
      </c>
      <c r="F108">
        <v>2.2930000000000001</v>
      </c>
      <c r="G108">
        <v>3.0129999999999999</v>
      </c>
      <c r="H108">
        <f t="shared" ca="1" si="14"/>
        <v>0.4432358939496942</v>
      </c>
      <c r="I108">
        <f t="shared" ca="1" si="14"/>
        <v>0.37150997150997156</v>
      </c>
      <c r="J108">
        <f t="shared" ca="1" si="14"/>
        <v>0.26343434343434352</v>
      </c>
      <c r="K108">
        <f t="shared" ca="1" si="14"/>
        <v>0.2353276353276352</v>
      </c>
      <c r="L108">
        <f t="shared" ca="1" si="14"/>
        <v>0.16686868686868681</v>
      </c>
      <c r="M108">
        <f t="shared" ca="1" si="14"/>
        <v>0.30615270570793163</v>
      </c>
      <c r="N108">
        <f t="shared" ca="1" si="14"/>
        <v>0.19961333977767029</v>
      </c>
      <c r="O108">
        <f t="shared" ca="1" si="14"/>
        <v>0.11474747474747486</v>
      </c>
      <c r="P108">
        <f t="shared" ca="1" si="14"/>
        <v>0.13726437892701801</v>
      </c>
      <c r="Q108">
        <f t="shared" ca="1" si="14"/>
        <v>0.20042342978122815</v>
      </c>
      <c r="R108">
        <f t="shared" ca="1" si="14"/>
        <v>0.54505050505050523</v>
      </c>
      <c r="S108">
        <f t="shared" ca="1" si="14"/>
        <v>0.28161616161616171</v>
      </c>
      <c r="T108">
        <f t="shared" ca="1" si="14"/>
        <v>0.3368777187046883</v>
      </c>
      <c r="U108" s="5"/>
      <c r="V108" s="4">
        <f t="shared" si="13"/>
        <v>41975</v>
      </c>
      <c r="W108" s="5">
        <f t="shared" ca="1" si="11"/>
        <v>0.30615270570793163</v>
      </c>
      <c r="Z108" s="4" t="str">
        <f ca="1">IF(OFFSET(Sheet3!$A$1,0,0,300)="","",OFFSET(Sheet3!$A$1,0,0,300))</f>
        <v/>
      </c>
      <c r="AA108" s="5" t="str">
        <f ca="1">IF(OFFSET(Sheet3!$A$1,0,MATCH(W$1,Sheet3!$1:$1,0)-1,300)="","",OFFSET(Sheet3!$A$1,0,MATCH(W$1,Sheet3!$1:$1,0)-1,300))</f>
        <v/>
      </c>
      <c r="AB108" s="5" t="str">
        <f ca="1">IF(OFFSET(Sheet3!$A$1,0,MATCH(X$1,Sheet3!$1:$1,0)-1,300)="","",OFFSET(Sheet3!$A$1,0,MATCH(X$1,Sheet3!$1:$1,0)-1,300))</f>
        <v/>
      </c>
      <c r="AC108" t="str">
        <f t="shared" ca="1" si="9"/>
        <v/>
      </c>
      <c r="AD108" t="str">
        <f t="shared" ca="1" si="10"/>
        <v/>
      </c>
    </row>
    <row r="109" spans="1:30" x14ac:dyDescent="0.25">
      <c r="A109" s="4">
        <v>41974</v>
      </c>
      <c r="B109">
        <v>0.498</v>
      </c>
      <c r="C109" s="5">
        <v>0.89800000000000002</v>
      </c>
      <c r="D109">
        <v>1.5369999999999999</v>
      </c>
      <c r="E109">
        <v>1.9510000000000001</v>
      </c>
      <c r="F109">
        <v>2.2359999999999998</v>
      </c>
      <c r="G109">
        <v>2.9630000000000001</v>
      </c>
      <c r="H109">
        <f t="shared" ref="H109:T124" ca="1" si="15">IF(ISERROR(ABS(OFFSET($A$11,ROW()-11,MATCH(LEFT(H$9,2),$A$11:$G$11,0)-1)-OFFSET($A$11,ROW()-11,MATCH(RIGHT(H$9,2),$A$11:$G$11,0)-1))/ABS(OFFSET($A$11,ROW()-11,MATCH(LEFT(H$10,2),$A$11:$G$11,0)-1)-OFFSET($A$11,ROW()-11,MATCH(RIGHT(H$10,2),$A$11:$G$11,0)-1))),"",ABS(OFFSET($A$11,ROW()-11,MATCH(LEFT(H$9,2),$A$11:$G$11,0)-1)-OFFSET($A$11,ROW()-11,MATCH(RIGHT(H$9,2),$A$11:$G$11,0)-1))/ABS(OFFSET($A$11,ROW()-11,MATCH(LEFT(H$10,2),$A$11:$G$11,0)-1)-OFFSET($A$11,ROW()-11,MATCH(RIGHT(H$10,2),$A$11:$G$11,0)-1)))</f>
        <v>0.43977976600137636</v>
      </c>
      <c r="I109">
        <f t="shared" ca="1" si="15"/>
        <v>0.36766398158803221</v>
      </c>
      <c r="J109">
        <f t="shared" ca="1" si="15"/>
        <v>0.25922920892494927</v>
      </c>
      <c r="K109">
        <f t="shared" ca="1" si="15"/>
        <v>0.23820483314154212</v>
      </c>
      <c r="L109">
        <f t="shared" ca="1" si="15"/>
        <v>0.16795131845841793</v>
      </c>
      <c r="M109">
        <f t="shared" ca="1" si="15"/>
        <v>0.30941704035874457</v>
      </c>
      <c r="N109">
        <f t="shared" ca="1" si="15"/>
        <v>0.20048426150121074</v>
      </c>
      <c r="O109">
        <f t="shared" ca="1" si="15"/>
        <v>0.11561866125760638</v>
      </c>
      <c r="P109">
        <f t="shared" ca="1" si="15"/>
        <v>0.13801452784503618</v>
      </c>
      <c r="Q109">
        <f t="shared" ca="1" si="15"/>
        <v>0.19985974754558181</v>
      </c>
      <c r="R109">
        <f t="shared" ca="1" si="15"/>
        <v>0.54279918864097354</v>
      </c>
      <c r="S109">
        <f t="shared" ca="1" si="15"/>
        <v>0.28356997971602427</v>
      </c>
      <c r="T109">
        <f t="shared" ca="1" si="15"/>
        <v>0.33849878934624689</v>
      </c>
      <c r="U109" s="5"/>
      <c r="V109" s="4">
        <f t="shared" si="13"/>
        <v>41974</v>
      </c>
      <c r="W109" s="5">
        <f t="shared" ca="1" si="11"/>
        <v>0.30941704035874457</v>
      </c>
      <c r="Z109" s="4" t="str">
        <f ca="1">IF(OFFSET(Sheet3!$A$1,0,0,300)="","",OFFSET(Sheet3!$A$1,0,0,300))</f>
        <v/>
      </c>
      <c r="AA109" s="5" t="str">
        <f ca="1">IF(OFFSET(Sheet3!$A$1,0,MATCH(W$1,Sheet3!$1:$1,0)-1,300)="","",OFFSET(Sheet3!$A$1,0,MATCH(W$1,Sheet3!$1:$1,0)-1,300))</f>
        <v/>
      </c>
      <c r="AB109" s="5" t="str">
        <f ca="1">IF(OFFSET(Sheet3!$A$1,0,MATCH(X$1,Sheet3!$1:$1,0)-1,300)="","",OFFSET(Sheet3!$A$1,0,MATCH(X$1,Sheet3!$1:$1,0)-1,300))</f>
        <v/>
      </c>
      <c r="AC109" t="str">
        <f t="shared" ca="1" si="9"/>
        <v/>
      </c>
      <c r="AD109" t="str">
        <f t="shared" ca="1" si="10"/>
        <v/>
      </c>
    </row>
    <row r="110" spans="1:30" x14ac:dyDescent="0.25">
      <c r="A110" s="4">
        <v>41971</v>
      </c>
      <c r="B110">
        <v>0.47</v>
      </c>
      <c r="C110" s="5">
        <v>0.84899999999999998</v>
      </c>
      <c r="D110">
        <v>1.4809999999999999</v>
      </c>
      <c r="E110">
        <v>1.881</v>
      </c>
      <c r="F110">
        <v>2.165</v>
      </c>
      <c r="G110">
        <v>2.89</v>
      </c>
      <c r="H110">
        <f t="shared" ca="1" si="15"/>
        <v>0.44790928419560588</v>
      </c>
      <c r="I110">
        <f t="shared" ca="1" si="15"/>
        <v>0.37286135693215333</v>
      </c>
      <c r="J110">
        <f t="shared" ca="1" si="15"/>
        <v>0.26115702479338837</v>
      </c>
      <c r="K110">
        <f t="shared" ca="1" si="15"/>
        <v>0.23598820058997058</v>
      </c>
      <c r="L110">
        <f t="shared" ca="1" si="15"/>
        <v>0.16528925619834717</v>
      </c>
      <c r="M110">
        <f t="shared" ca="1" si="15"/>
        <v>0.30395136778115511</v>
      </c>
      <c r="N110">
        <f t="shared" ca="1" si="15"/>
        <v>0.19598236158745716</v>
      </c>
      <c r="O110">
        <f t="shared" ca="1" si="15"/>
        <v>0.11735537190082647</v>
      </c>
      <c r="P110">
        <f t="shared" ca="1" si="15"/>
        <v>0.13914747672709454</v>
      </c>
      <c r="Q110">
        <f t="shared" ca="1" si="15"/>
        <v>0.20156139105748758</v>
      </c>
      <c r="R110">
        <f t="shared" ca="1" si="15"/>
        <v>0.54380165289256199</v>
      </c>
      <c r="S110">
        <f t="shared" ca="1" si="15"/>
        <v>0.28264462809917362</v>
      </c>
      <c r="T110">
        <f t="shared" ca="1" si="15"/>
        <v>0.33512983831455173</v>
      </c>
      <c r="U110" s="5"/>
      <c r="V110" s="4">
        <f t="shared" si="13"/>
        <v>41971</v>
      </c>
      <c r="W110" s="5">
        <f t="shared" ca="1" si="11"/>
        <v>0.30395136778115511</v>
      </c>
      <c r="Z110" s="4" t="str">
        <f ca="1">IF(OFFSET(Sheet3!$A$1,0,0,300)="","",OFFSET(Sheet3!$A$1,0,0,300))</f>
        <v/>
      </c>
      <c r="AA110" s="5" t="str">
        <f ca="1">IF(OFFSET(Sheet3!$A$1,0,MATCH(W$1,Sheet3!$1:$1,0)-1,300)="","",OFFSET(Sheet3!$A$1,0,MATCH(W$1,Sheet3!$1:$1,0)-1,300))</f>
        <v/>
      </c>
      <c r="AB110" s="5" t="str">
        <f ca="1">IF(OFFSET(Sheet3!$A$1,0,MATCH(X$1,Sheet3!$1:$1,0)-1,300)="","",OFFSET(Sheet3!$A$1,0,MATCH(X$1,Sheet3!$1:$1,0)-1,300))</f>
        <v/>
      </c>
      <c r="AC110" t="str">
        <f t="shared" ca="1" si="9"/>
        <v/>
      </c>
      <c r="AD110" t="str">
        <f t="shared" ca="1" si="10"/>
        <v/>
      </c>
    </row>
    <row r="111" spans="1:30" x14ac:dyDescent="0.25">
      <c r="A111" s="4">
        <v>41970</v>
      </c>
      <c r="B111">
        <v>0.51800000000000002</v>
      </c>
      <c r="C111" s="5">
        <v>0.91400000000000003</v>
      </c>
      <c r="D111">
        <v>1.56</v>
      </c>
      <c r="E111">
        <v>1.9630000000000001</v>
      </c>
      <c r="F111">
        <v>2.246</v>
      </c>
      <c r="G111">
        <v>2.9550000000000001</v>
      </c>
      <c r="H111">
        <f t="shared" ca="1" si="15"/>
        <v>0.44705882352941173</v>
      </c>
      <c r="I111">
        <f t="shared" ca="1" si="15"/>
        <v>0.37384259259259262</v>
      </c>
      <c r="J111">
        <f t="shared" ca="1" si="15"/>
        <v>0.26508001641362328</v>
      </c>
      <c r="K111">
        <f t="shared" ca="1" si="15"/>
        <v>0.23321759259259262</v>
      </c>
      <c r="L111">
        <f t="shared" ca="1" si="15"/>
        <v>0.16536725482150183</v>
      </c>
      <c r="M111">
        <f t="shared" ca="1" si="15"/>
        <v>0.30255255255255259</v>
      </c>
      <c r="N111">
        <f t="shared" ca="1" si="15"/>
        <v>0.19745222929936307</v>
      </c>
      <c r="O111">
        <f t="shared" ca="1" si="15"/>
        <v>0.11612638489946651</v>
      </c>
      <c r="P111">
        <f t="shared" ca="1" si="15"/>
        <v>0.13865752082312588</v>
      </c>
      <c r="Q111">
        <f t="shared" ca="1" si="15"/>
        <v>0.20286738351254474</v>
      </c>
      <c r="R111">
        <f t="shared" ca="1" si="15"/>
        <v>0.54657365613459163</v>
      </c>
      <c r="S111">
        <f t="shared" ca="1" si="15"/>
        <v>0.28149363972096836</v>
      </c>
      <c r="T111">
        <f t="shared" ca="1" si="15"/>
        <v>0.33610975012248895</v>
      </c>
      <c r="U111" s="5"/>
      <c r="V111" s="4">
        <f t="shared" si="13"/>
        <v>41970</v>
      </c>
      <c r="W111" s="5">
        <f t="shared" ca="1" si="11"/>
        <v>0.30255255255255259</v>
      </c>
      <c r="Z111" s="4" t="str">
        <f ca="1">IF(OFFSET(Sheet3!$A$1,0,0,300)="","",OFFSET(Sheet3!$A$1,0,0,300))</f>
        <v/>
      </c>
      <c r="AA111" s="5" t="str">
        <f ca="1">IF(OFFSET(Sheet3!$A$1,0,MATCH(W$1,Sheet3!$1:$1,0)-1,300)="","",OFFSET(Sheet3!$A$1,0,MATCH(W$1,Sheet3!$1:$1,0)-1,300))</f>
        <v/>
      </c>
      <c r="AB111" s="5" t="str">
        <f ca="1">IF(OFFSET(Sheet3!$A$1,0,MATCH(X$1,Sheet3!$1:$1,0)-1,300)="","",OFFSET(Sheet3!$A$1,0,MATCH(X$1,Sheet3!$1:$1,0)-1,300))</f>
        <v/>
      </c>
      <c r="AC111" t="str">
        <f t="shared" ca="1" si="9"/>
        <v/>
      </c>
      <c r="AD111" t="str">
        <f t="shared" ca="1" si="10"/>
        <v/>
      </c>
    </row>
    <row r="112" spans="1:30" x14ac:dyDescent="0.25">
      <c r="A112" s="4">
        <v>41969</v>
      </c>
      <c r="B112">
        <v>0.51800000000000002</v>
      </c>
      <c r="C112" s="5">
        <v>0.91400000000000003</v>
      </c>
      <c r="D112">
        <v>1.56</v>
      </c>
      <c r="E112">
        <v>1.95</v>
      </c>
      <c r="F112">
        <v>2.246</v>
      </c>
      <c r="G112">
        <v>2.9550000000000001</v>
      </c>
      <c r="H112">
        <f t="shared" ca="1" si="15"/>
        <v>0.4511173184357542</v>
      </c>
      <c r="I112">
        <f t="shared" ca="1" si="15"/>
        <v>0.37384259259259262</v>
      </c>
      <c r="J112">
        <f t="shared" ca="1" si="15"/>
        <v>0.26508001641362328</v>
      </c>
      <c r="K112">
        <f t="shared" ca="1" si="15"/>
        <v>0.22569444444444439</v>
      </c>
      <c r="L112">
        <f t="shared" ca="1" si="15"/>
        <v>0.16003282724661463</v>
      </c>
      <c r="M112">
        <f t="shared" ca="1" si="15"/>
        <v>0.29279279279279274</v>
      </c>
      <c r="N112">
        <f t="shared" ca="1" si="15"/>
        <v>0.19108280254777066</v>
      </c>
      <c r="O112">
        <f t="shared" ca="1" si="15"/>
        <v>0.12146081247435371</v>
      </c>
      <c r="P112">
        <f t="shared" ca="1" si="15"/>
        <v>0.14502694757471829</v>
      </c>
      <c r="Q112">
        <f t="shared" ca="1" si="15"/>
        <v>0.21218637992831543</v>
      </c>
      <c r="R112">
        <f t="shared" ca="1" si="15"/>
        <v>0.54657365613459163</v>
      </c>
      <c r="S112">
        <f t="shared" ca="1" si="15"/>
        <v>0.28149363972096836</v>
      </c>
      <c r="T112">
        <f t="shared" ca="1" si="15"/>
        <v>0.33610975012248895</v>
      </c>
      <c r="U112" s="5"/>
      <c r="V112" s="4">
        <f t="shared" si="13"/>
        <v>41969</v>
      </c>
      <c r="W112" s="5">
        <f t="shared" ca="1" si="11"/>
        <v>0.29279279279279274</v>
      </c>
      <c r="Z112" s="4" t="str">
        <f ca="1">IF(OFFSET(Sheet3!$A$1,0,0,300)="","",OFFSET(Sheet3!$A$1,0,0,300))</f>
        <v/>
      </c>
      <c r="AA112" s="5" t="str">
        <f ca="1">IF(OFFSET(Sheet3!$A$1,0,MATCH(W$1,Sheet3!$1:$1,0)-1,300)="","",OFFSET(Sheet3!$A$1,0,MATCH(W$1,Sheet3!$1:$1,0)-1,300))</f>
        <v/>
      </c>
      <c r="AB112" s="5" t="str">
        <f ca="1">IF(OFFSET(Sheet3!$A$1,0,MATCH(X$1,Sheet3!$1:$1,0)-1,300)="","",OFFSET(Sheet3!$A$1,0,MATCH(X$1,Sheet3!$1:$1,0)-1,300))</f>
        <v/>
      </c>
      <c r="AC112" t="str">
        <f t="shared" ca="1" si="9"/>
        <v/>
      </c>
      <c r="AD112" t="str">
        <f t="shared" ca="1" si="10"/>
        <v/>
      </c>
    </row>
    <row r="113" spans="1:30" x14ac:dyDescent="0.25">
      <c r="A113" s="4">
        <v>41968</v>
      </c>
      <c r="B113">
        <v>0.52200000000000002</v>
      </c>
      <c r="C113" s="5">
        <v>0.92400000000000004</v>
      </c>
      <c r="D113">
        <v>1.569</v>
      </c>
      <c r="E113">
        <v>1.97</v>
      </c>
      <c r="F113">
        <v>2.258</v>
      </c>
      <c r="G113">
        <v>2.9609999999999999</v>
      </c>
      <c r="H113">
        <f t="shared" ca="1" si="15"/>
        <v>0.4454419889502762</v>
      </c>
      <c r="I113">
        <f t="shared" ca="1" si="15"/>
        <v>0.37154377880184325</v>
      </c>
      <c r="J113">
        <f t="shared" ca="1" si="15"/>
        <v>0.26445264452644524</v>
      </c>
      <c r="K113">
        <f t="shared" ca="1" si="15"/>
        <v>0.23099078341013826</v>
      </c>
      <c r="L113">
        <f t="shared" ca="1" si="15"/>
        <v>0.16441164411644116</v>
      </c>
      <c r="M113">
        <f t="shared" ca="1" si="15"/>
        <v>0.30059970014992504</v>
      </c>
      <c r="N113">
        <f t="shared" ca="1" si="15"/>
        <v>0.19685812469317626</v>
      </c>
      <c r="O113">
        <f t="shared" ca="1" si="15"/>
        <v>0.11808118081180813</v>
      </c>
      <c r="P113">
        <f t="shared" ca="1" si="15"/>
        <v>0.14138438880706924</v>
      </c>
      <c r="Q113">
        <f t="shared" ca="1" si="15"/>
        <v>0.20689655172413796</v>
      </c>
      <c r="R113">
        <f t="shared" ca="1" si="15"/>
        <v>0.54694546945469458</v>
      </c>
      <c r="S113">
        <f t="shared" ca="1" si="15"/>
        <v>0.28249282492824929</v>
      </c>
      <c r="T113">
        <f t="shared" ca="1" si="15"/>
        <v>0.33824251350024548</v>
      </c>
      <c r="U113" s="5"/>
      <c r="V113" s="4">
        <f t="shared" si="13"/>
        <v>41968</v>
      </c>
      <c r="W113" s="5">
        <f t="shared" ca="1" si="11"/>
        <v>0.30059970014992504</v>
      </c>
      <c r="Z113" s="4" t="str">
        <f ca="1">IF(OFFSET(Sheet3!$A$1,0,0,300)="","",OFFSET(Sheet3!$A$1,0,0,300))</f>
        <v/>
      </c>
      <c r="AA113" s="5" t="str">
        <f ca="1">IF(OFFSET(Sheet3!$A$1,0,MATCH(W$1,Sheet3!$1:$1,0)-1,300)="","",OFFSET(Sheet3!$A$1,0,MATCH(W$1,Sheet3!$1:$1,0)-1,300))</f>
        <v/>
      </c>
      <c r="AB113" s="5" t="str">
        <f ca="1">IF(OFFSET(Sheet3!$A$1,0,MATCH(X$1,Sheet3!$1:$1,0)-1,300)="","",OFFSET(Sheet3!$A$1,0,MATCH(X$1,Sheet3!$1:$1,0)-1,300))</f>
        <v/>
      </c>
      <c r="AC113" t="str">
        <f t="shared" ca="1" si="9"/>
        <v/>
      </c>
      <c r="AD113" t="str">
        <f t="shared" ca="1" si="10"/>
        <v/>
      </c>
    </row>
    <row r="114" spans="1:30" x14ac:dyDescent="0.25">
      <c r="A114" s="4">
        <v>41967</v>
      </c>
      <c r="B114">
        <v>0.495</v>
      </c>
      <c r="C114" s="5">
        <v>0.93799999999999994</v>
      </c>
      <c r="D114">
        <v>1.6019999999999999</v>
      </c>
      <c r="E114">
        <v>2.0129999999999999</v>
      </c>
      <c r="F114">
        <v>2.3069999999999999</v>
      </c>
      <c r="G114">
        <v>3.02</v>
      </c>
      <c r="H114">
        <f t="shared" ca="1" si="15"/>
        <v>0.43741765480895917</v>
      </c>
      <c r="I114">
        <f t="shared" ca="1" si="15"/>
        <v>0.36644591611479027</v>
      </c>
      <c r="J114">
        <f t="shared" ca="1" si="15"/>
        <v>0.26297029702970293</v>
      </c>
      <c r="K114">
        <f t="shared" ca="1" si="15"/>
        <v>0.22682119205298018</v>
      </c>
      <c r="L114">
        <f t="shared" ca="1" si="15"/>
        <v>0.16277227722772278</v>
      </c>
      <c r="M114">
        <f t="shared" ca="1" si="15"/>
        <v>0.30021913805697592</v>
      </c>
      <c r="N114">
        <f t="shared" ca="1" si="15"/>
        <v>0.19740634005763691</v>
      </c>
      <c r="O114">
        <f t="shared" ca="1" si="15"/>
        <v>0.11643564356435646</v>
      </c>
      <c r="P114">
        <f t="shared" ca="1" si="15"/>
        <v>0.14121037463976949</v>
      </c>
      <c r="Q114">
        <f t="shared" ca="1" si="15"/>
        <v>0.20733427362482371</v>
      </c>
      <c r="R114">
        <f t="shared" ca="1" si="15"/>
        <v>0.54217821782178222</v>
      </c>
      <c r="S114">
        <f t="shared" ca="1" si="15"/>
        <v>0.27920792079207923</v>
      </c>
      <c r="T114">
        <f t="shared" ca="1" si="15"/>
        <v>0.3386167146974064</v>
      </c>
      <c r="U114" s="5"/>
      <c r="V114" s="4">
        <f t="shared" si="13"/>
        <v>41967</v>
      </c>
      <c r="W114" s="5">
        <f t="shared" ca="1" si="11"/>
        <v>0.30021913805697592</v>
      </c>
      <c r="Z114" s="4" t="str">
        <f ca="1">IF(OFFSET(Sheet3!$A$1,0,0,300)="","",OFFSET(Sheet3!$A$1,0,0,300))</f>
        <v/>
      </c>
      <c r="AA114" s="5" t="str">
        <f ca="1">IF(OFFSET(Sheet3!$A$1,0,MATCH(W$1,Sheet3!$1:$1,0)-1,300)="","",OFFSET(Sheet3!$A$1,0,MATCH(W$1,Sheet3!$1:$1,0)-1,300))</f>
        <v/>
      </c>
      <c r="AB114" s="5" t="str">
        <f ca="1">IF(OFFSET(Sheet3!$A$1,0,MATCH(X$1,Sheet3!$1:$1,0)-1,300)="","",OFFSET(Sheet3!$A$1,0,MATCH(X$1,Sheet3!$1:$1,0)-1,300))</f>
        <v/>
      </c>
      <c r="AC114" t="str">
        <f t="shared" ca="1" si="9"/>
        <v/>
      </c>
      <c r="AD114" t="str">
        <f t="shared" ca="1" si="10"/>
        <v/>
      </c>
    </row>
    <row r="115" spans="1:30" x14ac:dyDescent="0.25">
      <c r="A115" s="4">
        <v>41964</v>
      </c>
      <c r="B115">
        <v>0.503</v>
      </c>
      <c r="C115" s="5">
        <v>0.94299999999999995</v>
      </c>
      <c r="D115">
        <v>1.6080000000000001</v>
      </c>
      <c r="E115">
        <v>2.0230000000000001</v>
      </c>
      <c r="F115">
        <v>2.3109999999999999</v>
      </c>
      <c r="G115">
        <v>3.0179999999999998</v>
      </c>
      <c r="H115">
        <f t="shared" ca="1" si="15"/>
        <v>0.43750000000000011</v>
      </c>
      <c r="I115">
        <f t="shared" ca="1" si="15"/>
        <v>0.36780973451327448</v>
      </c>
      <c r="J115">
        <f t="shared" ca="1" si="15"/>
        <v>0.26441351888668002</v>
      </c>
      <c r="K115">
        <f t="shared" ca="1" si="15"/>
        <v>0.22953539823008853</v>
      </c>
      <c r="L115">
        <f t="shared" ca="1" si="15"/>
        <v>0.16500994035785291</v>
      </c>
      <c r="M115">
        <f t="shared" ca="1" si="15"/>
        <v>0.30336257309941528</v>
      </c>
      <c r="N115">
        <f t="shared" ca="1" si="15"/>
        <v>0.20000000000000004</v>
      </c>
      <c r="O115">
        <f t="shared" ca="1" si="15"/>
        <v>0.11451292246520869</v>
      </c>
      <c r="P115">
        <f t="shared" ca="1" si="15"/>
        <v>0.13879518072289149</v>
      </c>
      <c r="Q115">
        <f t="shared" ca="1" si="15"/>
        <v>0.20425531914893608</v>
      </c>
      <c r="R115">
        <f t="shared" ca="1" si="15"/>
        <v>0.54393638170974157</v>
      </c>
      <c r="S115">
        <f t="shared" ca="1" si="15"/>
        <v>0.2795228628230616</v>
      </c>
      <c r="T115">
        <f t="shared" ca="1" si="15"/>
        <v>0.33879518072289155</v>
      </c>
      <c r="U115" s="5"/>
      <c r="V115" s="4">
        <f t="shared" si="13"/>
        <v>41964</v>
      </c>
      <c r="W115" s="5">
        <f t="shared" ca="1" si="11"/>
        <v>0.30336257309941528</v>
      </c>
      <c r="Z115" s="4" t="str">
        <f ca="1">IF(OFFSET(Sheet3!$A$1,0,0,300)="","",OFFSET(Sheet3!$A$1,0,0,300))</f>
        <v/>
      </c>
      <c r="AA115" s="5" t="str">
        <f ca="1">IF(OFFSET(Sheet3!$A$1,0,MATCH(W$1,Sheet3!$1:$1,0)-1,300)="","",OFFSET(Sheet3!$A$1,0,MATCH(W$1,Sheet3!$1:$1,0)-1,300))</f>
        <v/>
      </c>
      <c r="AB115" s="5" t="str">
        <f ca="1">IF(OFFSET(Sheet3!$A$1,0,MATCH(X$1,Sheet3!$1:$1,0)-1,300)="","",OFFSET(Sheet3!$A$1,0,MATCH(X$1,Sheet3!$1:$1,0)-1,300))</f>
        <v/>
      </c>
      <c r="AC115" t="str">
        <f t="shared" ca="1" si="9"/>
        <v/>
      </c>
      <c r="AD115" t="str">
        <f t="shared" ca="1" si="10"/>
        <v/>
      </c>
    </row>
    <row r="116" spans="1:30" x14ac:dyDescent="0.25">
      <c r="A116" s="4">
        <v>41963</v>
      </c>
      <c r="B116">
        <v>0.51100000000000001</v>
      </c>
      <c r="C116" s="5">
        <v>0.95899999999999996</v>
      </c>
      <c r="D116">
        <v>1.63</v>
      </c>
      <c r="E116">
        <v>2.0449999999999999</v>
      </c>
      <c r="F116">
        <v>2.3380000000000001</v>
      </c>
      <c r="G116">
        <v>3.0550000000000002</v>
      </c>
      <c r="H116">
        <f t="shared" ca="1" si="15"/>
        <v>0.43741851368970014</v>
      </c>
      <c r="I116">
        <f t="shared" ca="1" si="15"/>
        <v>0.36726874657909137</v>
      </c>
      <c r="J116">
        <f t="shared" ca="1" si="15"/>
        <v>0.26375786163522008</v>
      </c>
      <c r="K116">
        <f t="shared" ca="1" si="15"/>
        <v>0.2271483305966065</v>
      </c>
      <c r="L116">
        <f t="shared" ca="1" si="15"/>
        <v>0.16312893081761007</v>
      </c>
      <c r="M116">
        <f t="shared" ca="1" si="15"/>
        <v>0.30094271211022483</v>
      </c>
      <c r="N116">
        <f t="shared" ca="1" si="15"/>
        <v>0.19799618320610687</v>
      </c>
      <c r="O116">
        <f t="shared" ca="1" si="15"/>
        <v>0.11517295597484282</v>
      </c>
      <c r="P116">
        <f t="shared" ca="1" si="15"/>
        <v>0.13979007633587792</v>
      </c>
      <c r="Q116">
        <f t="shared" ca="1" si="15"/>
        <v>0.20561403508771936</v>
      </c>
      <c r="R116">
        <f t="shared" ca="1" si="15"/>
        <v>0.54205974842767291</v>
      </c>
      <c r="S116">
        <f t="shared" ca="1" si="15"/>
        <v>0.27830188679245288</v>
      </c>
      <c r="T116">
        <f t="shared" ca="1" si="15"/>
        <v>0.33778625954198482</v>
      </c>
      <c r="U116" s="5"/>
      <c r="V116" s="4">
        <f t="shared" si="13"/>
        <v>41963</v>
      </c>
      <c r="W116" s="5">
        <f t="shared" ca="1" si="11"/>
        <v>0.30094271211022483</v>
      </c>
      <c r="Z116" s="4" t="str">
        <f ca="1">IF(OFFSET(Sheet3!$A$1,0,0,300)="","",OFFSET(Sheet3!$A$1,0,0,300))</f>
        <v/>
      </c>
      <c r="AA116" s="5" t="str">
        <f ca="1">IF(OFFSET(Sheet3!$A$1,0,MATCH(W$1,Sheet3!$1:$1,0)-1,300)="","",OFFSET(Sheet3!$A$1,0,MATCH(W$1,Sheet3!$1:$1,0)-1,300))</f>
        <v/>
      </c>
      <c r="AB116" s="5" t="str">
        <f ca="1">IF(OFFSET(Sheet3!$A$1,0,MATCH(X$1,Sheet3!$1:$1,0)-1,300)="","",OFFSET(Sheet3!$A$1,0,MATCH(X$1,Sheet3!$1:$1,0)-1,300))</f>
        <v/>
      </c>
      <c r="AC116" t="str">
        <f t="shared" ca="1" si="9"/>
        <v/>
      </c>
      <c r="AD116" t="str">
        <f t="shared" ca="1" si="10"/>
        <v/>
      </c>
    </row>
    <row r="117" spans="1:30" x14ac:dyDescent="0.25">
      <c r="A117" s="4">
        <v>41962</v>
      </c>
      <c r="B117">
        <v>0.52300000000000002</v>
      </c>
      <c r="C117" s="5">
        <v>0.97499999999999998</v>
      </c>
      <c r="D117">
        <v>1.6440000000000001</v>
      </c>
      <c r="E117">
        <v>2.0619999999999998</v>
      </c>
      <c r="F117">
        <v>2.36</v>
      </c>
      <c r="G117">
        <v>3.0779999999999998</v>
      </c>
      <c r="H117">
        <f t="shared" ca="1" si="15"/>
        <v>0.43469785575048753</v>
      </c>
      <c r="I117">
        <f t="shared" ca="1" si="15"/>
        <v>0.36418072945019064</v>
      </c>
      <c r="J117">
        <f t="shared" ca="1" si="15"/>
        <v>0.26183953033268109</v>
      </c>
      <c r="K117">
        <f t="shared" ca="1" si="15"/>
        <v>0.2275449101796406</v>
      </c>
      <c r="L117">
        <f t="shared" ca="1" si="15"/>
        <v>0.16360078277886486</v>
      </c>
      <c r="M117">
        <f t="shared" ca="1" si="15"/>
        <v>0.3018050541516244</v>
      </c>
      <c r="N117">
        <f t="shared" ca="1" si="15"/>
        <v>0.19876367094626712</v>
      </c>
      <c r="O117">
        <f t="shared" ca="1" si="15"/>
        <v>0.11663405088062626</v>
      </c>
      <c r="P117">
        <f t="shared" ca="1" si="15"/>
        <v>0.14170233000475516</v>
      </c>
      <c r="Q117">
        <f t="shared" ca="1" si="15"/>
        <v>0.20781032078103215</v>
      </c>
      <c r="R117">
        <f t="shared" ca="1" si="15"/>
        <v>0.54207436399217224</v>
      </c>
      <c r="S117">
        <f t="shared" ca="1" si="15"/>
        <v>0.28023483365949114</v>
      </c>
      <c r="T117">
        <f t="shared" ca="1" si="15"/>
        <v>0.34046600095102225</v>
      </c>
      <c r="U117" s="5"/>
      <c r="V117" s="4">
        <f t="shared" si="13"/>
        <v>41962</v>
      </c>
      <c r="W117" s="5">
        <f t="shared" ca="1" si="11"/>
        <v>0.3018050541516244</v>
      </c>
      <c r="Z117" s="4" t="str">
        <f ca="1">IF(OFFSET(Sheet3!$A$1,0,0,300)="","",OFFSET(Sheet3!$A$1,0,0,300))</f>
        <v/>
      </c>
      <c r="AA117" s="5" t="str">
        <f ca="1">IF(OFFSET(Sheet3!$A$1,0,MATCH(W$1,Sheet3!$1:$1,0)-1,300)="","",OFFSET(Sheet3!$A$1,0,MATCH(W$1,Sheet3!$1:$1,0)-1,300))</f>
        <v/>
      </c>
      <c r="AB117" s="5" t="str">
        <f ca="1">IF(OFFSET(Sheet3!$A$1,0,MATCH(X$1,Sheet3!$1:$1,0)-1,300)="","",OFFSET(Sheet3!$A$1,0,MATCH(X$1,Sheet3!$1:$1,0)-1,300))</f>
        <v/>
      </c>
      <c r="AC117" t="str">
        <f t="shared" ca="1" si="9"/>
        <v/>
      </c>
      <c r="AD117" t="str">
        <f t="shared" ca="1" si="10"/>
        <v/>
      </c>
    </row>
    <row r="118" spans="1:30" x14ac:dyDescent="0.25">
      <c r="A118" s="4">
        <v>41961</v>
      </c>
      <c r="B118">
        <v>0.50600000000000001</v>
      </c>
      <c r="C118" s="5">
        <v>0.95099999999999996</v>
      </c>
      <c r="D118">
        <v>1.6059999999999999</v>
      </c>
      <c r="E118">
        <v>2.0179999999999998</v>
      </c>
      <c r="F118">
        <v>2.3159999999999998</v>
      </c>
      <c r="G118">
        <v>3.0390000000000001</v>
      </c>
      <c r="H118">
        <f t="shared" ca="1" si="15"/>
        <v>0.4332010582010582</v>
      </c>
      <c r="I118">
        <f t="shared" ca="1" si="15"/>
        <v>0.361878453038674</v>
      </c>
      <c r="J118">
        <f t="shared" ca="1" si="15"/>
        <v>0.25858665613896559</v>
      </c>
      <c r="K118">
        <f t="shared" ca="1" si="15"/>
        <v>0.22762430939226516</v>
      </c>
      <c r="L118">
        <f t="shared" ca="1" si="15"/>
        <v>0.16265298065534933</v>
      </c>
      <c r="M118">
        <f t="shared" ca="1" si="15"/>
        <v>0.30183150183150181</v>
      </c>
      <c r="N118">
        <f t="shared" ca="1" si="15"/>
        <v>0.19731800766283519</v>
      </c>
      <c r="O118">
        <f t="shared" ca="1" si="15"/>
        <v>0.11764705882352941</v>
      </c>
      <c r="P118">
        <f t="shared" ca="1" si="15"/>
        <v>0.14272030651340997</v>
      </c>
      <c r="Q118">
        <f t="shared" ca="1" si="15"/>
        <v>0.2079553384508025</v>
      </c>
      <c r="R118">
        <f t="shared" ca="1" si="15"/>
        <v>0.5388866956178443</v>
      </c>
      <c r="S118">
        <f t="shared" ca="1" si="15"/>
        <v>0.28030003947887877</v>
      </c>
      <c r="T118">
        <f t="shared" ca="1" si="15"/>
        <v>0.34003831417624519</v>
      </c>
      <c r="U118" s="5"/>
      <c r="V118" s="4">
        <f t="shared" si="13"/>
        <v>41961</v>
      </c>
      <c r="W118" s="5">
        <f t="shared" ca="1" si="11"/>
        <v>0.30183150183150181</v>
      </c>
      <c r="Z118" s="4" t="str">
        <f ca="1">IF(OFFSET(Sheet3!$A$1,0,0,300)="","",OFFSET(Sheet3!$A$1,0,0,300))</f>
        <v/>
      </c>
      <c r="AA118" s="5" t="str">
        <f ca="1">IF(OFFSET(Sheet3!$A$1,0,MATCH(W$1,Sheet3!$1:$1,0)-1,300)="","",OFFSET(Sheet3!$A$1,0,MATCH(W$1,Sheet3!$1:$1,0)-1,300))</f>
        <v/>
      </c>
      <c r="AB118" s="5" t="str">
        <f ca="1">IF(OFFSET(Sheet3!$A$1,0,MATCH(X$1,Sheet3!$1:$1,0)-1,300)="","",OFFSET(Sheet3!$A$1,0,MATCH(X$1,Sheet3!$1:$1,0)-1,300))</f>
        <v/>
      </c>
      <c r="AC118" t="str">
        <f t="shared" ca="1" si="9"/>
        <v/>
      </c>
      <c r="AD118" t="str">
        <f t="shared" ca="1" si="10"/>
        <v/>
      </c>
    </row>
    <row r="119" spans="1:30" x14ac:dyDescent="0.25">
      <c r="A119" s="4">
        <v>41960</v>
      </c>
      <c r="B119">
        <v>0.51</v>
      </c>
      <c r="C119" s="5">
        <v>0.96099999999999997</v>
      </c>
      <c r="D119">
        <v>1.6259999999999999</v>
      </c>
      <c r="E119">
        <v>2.04</v>
      </c>
      <c r="F119">
        <v>2.3410000000000002</v>
      </c>
      <c r="G119">
        <v>3.0630000000000002</v>
      </c>
      <c r="H119">
        <f t="shared" ca="1" si="15"/>
        <v>0.43464052287581695</v>
      </c>
      <c r="I119">
        <f t="shared" ca="1" si="15"/>
        <v>0.36318951392681587</v>
      </c>
      <c r="J119">
        <f t="shared" ca="1" si="15"/>
        <v>0.26047786917352134</v>
      </c>
      <c r="K119">
        <f t="shared" ca="1" si="15"/>
        <v>0.2261059530311306</v>
      </c>
      <c r="L119">
        <f t="shared" ca="1" si="15"/>
        <v>0.16216216216216223</v>
      </c>
      <c r="M119">
        <f t="shared" ca="1" si="15"/>
        <v>0.30000000000000004</v>
      </c>
      <c r="N119">
        <f t="shared" ca="1" si="15"/>
        <v>0.19695528068506188</v>
      </c>
      <c r="O119">
        <f t="shared" ca="1" si="15"/>
        <v>0.11790050920485709</v>
      </c>
      <c r="P119">
        <f t="shared" ca="1" si="15"/>
        <v>0.14319695528068513</v>
      </c>
      <c r="Q119">
        <f t="shared" ca="1" si="15"/>
        <v>0.20946416144746005</v>
      </c>
      <c r="R119">
        <f t="shared" ca="1" si="15"/>
        <v>0.54054054054054068</v>
      </c>
      <c r="S119">
        <f t="shared" ca="1" si="15"/>
        <v>0.28006267136701934</v>
      </c>
      <c r="T119">
        <f t="shared" ca="1" si="15"/>
        <v>0.34015223596574701</v>
      </c>
      <c r="U119" s="5"/>
      <c r="V119" s="4">
        <f t="shared" si="13"/>
        <v>41960</v>
      </c>
      <c r="W119" s="5">
        <f t="shared" ca="1" si="11"/>
        <v>0.30000000000000004</v>
      </c>
      <c r="Z119" s="4" t="str">
        <f ca="1">IF(OFFSET(Sheet3!$A$1,0,0,300)="","",OFFSET(Sheet3!$A$1,0,0,300))</f>
        <v/>
      </c>
      <c r="AA119" s="5" t="str">
        <f ca="1">IF(OFFSET(Sheet3!$A$1,0,MATCH(W$1,Sheet3!$1:$1,0)-1,300)="","",OFFSET(Sheet3!$A$1,0,MATCH(W$1,Sheet3!$1:$1,0)-1,300))</f>
        <v/>
      </c>
      <c r="AB119" s="5" t="str">
        <f ca="1">IF(OFFSET(Sheet3!$A$1,0,MATCH(X$1,Sheet3!$1:$1,0)-1,300)="","",OFFSET(Sheet3!$A$1,0,MATCH(X$1,Sheet3!$1:$1,0)-1,300))</f>
        <v/>
      </c>
      <c r="AC119" t="str">
        <f t="shared" ca="1" si="9"/>
        <v/>
      </c>
      <c r="AD119" t="str">
        <f t="shared" ca="1" si="10"/>
        <v/>
      </c>
    </row>
    <row r="120" spans="1:30" x14ac:dyDescent="0.25">
      <c r="A120" s="4">
        <v>41957</v>
      </c>
      <c r="B120">
        <v>0.51400000000000001</v>
      </c>
      <c r="C120" s="5">
        <v>0.95599999999999996</v>
      </c>
      <c r="D120">
        <v>1.6059999999999999</v>
      </c>
      <c r="E120">
        <v>2.0179999999999998</v>
      </c>
      <c r="F120">
        <v>2.3210000000000002</v>
      </c>
      <c r="G120">
        <v>3.0489999999999999</v>
      </c>
      <c r="H120">
        <f t="shared" ca="1" si="15"/>
        <v>0.43218085106382981</v>
      </c>
      <c r="I120">
        <f t="shared" ca="1" si="15"/>
        <v>0.35971223021582727</v>
      </c>
      <c r="J120">
        <f t="shared" ca="1" si="15"/>
        <v>0.25641025641025639</v>
      </c>
      <c r="K120">
        <f t="shared" ca="1" si="15"/>
        <v>0.22800221361372433</v>
      </c>
      <c r="L120">
        <f t="shared" ca="1" si="15"/>
        <v>0.1625246548323471</v>
      </c>
      <c r="M120">
        <f t="shared" ca="1" si="15"/>
        <v>0.3018315018315017</v>
      </c>
      <c r="N120">
        <f t="shared" ca="1" si="15"/>
        <v>0.19684663162924029</v>
      </c>
      <c r="O120">
        <f t="shared" ca="1" si="15"/>
        <v>0.11952662721893506</v>
      </c>
      <c r="P120">
        <f t="shared" ca="1" si="15"/>
        <v>0.14476827520305799</v>
      </c>
      <c r="Q120">
        <f t="shared" ca="1" si="15"/>
        <v>0.20997920997921024</v>
      </c>
      <c r="R120">
        <f t="shared" ca="1" si="15"/>
        <v>0.53846153846153855</v>
      </c>
      <c r="S120">
        <f t="shared" ca="1" si="15"/>
        <v>0.28205128205128216</v>
      </c>
      <c r="T120">
        <f t="shared" ca="1" si="15"/>
        <v>0.34161490683229828</v>
      </c>
      <c r="U120" s="5"/>
      <c r="V120" s="4">
        <f t="shared" si="13"/>
        <v>41957</v>
      </c>
      <c r="W120" s="5">
        <f t="shared" ca="1" si="11"/>
        <v>0.3018315018315017</v>
      </c>
      <c r="Z120" s="4" t="str">
        <f ca="1">IF(OFFSET(Sheet3!$A$1,0,0,300)="","",OFFSET(Sheet3!$A$1,0,0,300))</f>
        <v/>
      </c>
      <c r="AA120" s="5" t="str">
        <f ca="1">IF(OFFSET(Sheet3!$A$1,0,MATCH(W$1,Sheet3!$1:$1,0)-1,300)="","",OFFSET(Sheet3!$A$1,0,MATCH(W$1,Sheet3!$1:$1,0)-1,300))</f>
        <v/>
      </c>
      <c r="AB120" s="5" t="str">
        <f ca="1">IF(OFFSET(Sheet3!$A$1,0,MATCH(X$1,Sheet3!$1:$1,0)-1,300)="","",OFFSET(Sheet3!$A$1,0,MATCH(X$1,Sheet3!$1:$1,0)-1,300))</f>
        <v/>
      </c>
      <c r="AC120" t="str">
        <f t="shared" ca="1" si="9"/>
        <v/>
      </c>
      <c r="AD120" t="str">
        <f t="shared" ca="1" si="10"/>
        <v/>
      </c>
    </row>
    <row r="121" spans="1:30" x14ac:dyDescent="0.25">
      <c r="A121" s="4">
        <v>41956</v>
      </c>
      <c r="B121">
        <v>0.51700000000000002</v>
      </c>
      <c r="C121" s="5">
        <v>0.96899999999999997</v>
      </c>
      <c r="D121">
        <v>1.621</v>
      </c>
      <c r="E121">
        <v>2.0329999999999999</v>
      </c>
      <c r="F121">
        <v>2.3410000000000002</v>
      </c>
      <c r="G121">
        <v>3.0710000000000002</v>
      </c>
      <c r="H121">
        <f t="shared" ca="1" si="15"/>
        <v>0.43007915567282323</v>
      </c>
      <c r="I121">
        <f t="shared" ca="1" si="15"/>
        <v>0.35745614035087714</v>
      </c>
      <c r="J121">
        <f t="shared" ca="1" si="15"/>
        <v>0.25528582615505091</v>
      </c>
      <c r="K121">
        <f t="shared" ca="1" si="15"/>
        <v>0.22587719298245607</v>
      </c>
      <c r="L121">
        <f t="shared" ca="1" si="15"/>
        <v>0.1613155833985904</v>
      </c>
      <c r="M121">
        <f t="shared" ca="1" si="15"/>
        <v>0.30029154518950424</v>
      </c>
      <c r="N121">
        <f t="shared" ca="1" si="15"/>
        <v>0.1960038058991436</v>
      </c>
      <c r="O121">
        <f t="shared" ca="1" si="15"/>
        <v>0.12059514487079101</v>
      </c>
      <c r="P121">
        <f t="shared" ca="1" si="15"/>
        <v>0.14652711703139878</v>
      </c>
      <c r="Q121">
        <f t="shared" ca="1" si="15"/>
        <v>0.21241379310344843</v>
      </c>
      <c r="R121">
        <f t="shared" ca="1" si="15"/>
        <v>0.53719655442443237</v>
      </c>
      <c r="S121">
        <f t="shared" ca="1" si="15"/>
        <v>0.28191072826938141</v>
      </c>
      <c r="T121">
        <f t="shared" ca="1" si="15"/>
        <v>0.34253092293054238</v>
      </c>
      <c r="U121" s="5"/>
      <c r="V121" s="4">
        <f t="shared" si="13"/>
        <v>41956</v>
      </c>
      <c r="W121" s="5">
        <f t="shared" ca="1" si="11"/>
        <v>0.30029154518950424</v>
      </c>
      <c r="Z121" s="4" t="str">
        <f ca="1">IF(OFFSET(Sheet3!$A$1,0,0,300)="","",OFFSET(Sheet3!$A$1,0,0,300))</f>
        <v/>
      </c>
      <c r="AA121" s="5" t="str">
        <f ca="1">IF(OFFSET(Sheet3!$A$1,0,MATCH(W$1,Sheet3!$1:$1,0)-1,300)="","",OFFSET(Sheet3!$A$1,0,MATCH(W$1,Sheet3!$1:$1,0)-1,300))</f>
        <v/>
      </c>
      <c r="AB121" s="5" t="str">
        <f ca="1">IF(OFFSET(Sheet3!$A$1,0,MATCH(X$1,Sheet3!$1:$1,0)-1,300)="","",OFFSET(Sheet3!$A$1,0,MATCH(X$1,Sheet3!$1:$1,0)-1,300))</f>
        <v/>
      </c>
      <c r="AC121" t="str">
        <f t="shared" ca="1" si="9"/>
        <v/>
      </c>
      <c r="AD121" t="str">
        <f t="shared" ca="1" si="10"/>
        <v/>
      </c>
    </row>
    <row r="122" spans="1:30" x14ac:dyDescent="0.25">
      <c r="A122" s="4">
        <v>41955</v>
      </c>
      <c r="B122">
        <v>0.54100000000000004</v>
      </c>
      <c r="C122" s="5">
        <v>1.004</v>
      </c>
      <c r="D122">
        <v>1.6520000000000001</v>
      </c>
      <c r="E122">
        <v>2.069</v>
      </c>
      <c r="F122">
        <v>2.3719999999999999</v>
      </c>
      <c r="G122">
        <v>3.105</v>
      </c>
      <c r="H122">
        <f t="shared" ca="1" si="15"/>
        <v>0.42408376963350791</v>
      </c>
      <c r="I122">
        <f t="shared" ca="1" si="15"/>
        <v>0.35390496996176962</v>
      </c>
      <c r="J122">
        <f t="shared" ca="1" si="15"/>
        <v>0.25273010920436823</v>
      </c>
      <c r="K122">
        <f t="shared" ca="1" si="15"/>
        <v>0.22774440196613863</v>
      </c>
      <c r="L122">
        <f t="shared" ca="1" si="15"/>
        <v>0.16263650546021832</v>
      </c>
      <c r="M122">
        <f t="shared" ca="1" si="15"/>
        <v>0.30482456140350866</v>
      </c>
      <c r="N122">
        <f t="shared" ca="1" si="15"/>
        <v>0.19847691575440257</v>
      </c>
      <c r="O122">
        <f t="shared" ca="1" si="15"/>
        <v>0.11817472698907953</v>
      </c>
      <c r="P122">
        <f t="shared" ca="1" si="15"/>
        <v>0.14421703950499759</v>
      </c>
      <c r="Q122">
        <f t="shared" ca="1" si="15"/>
        <v>0.20853406744666206</v>
      </c>
      <c r="R122">
        <f t="shared" ca="1" si="15"/>
        <v>0.53354134165366607</v>
      </c>
      <c r="S122">
        <f t="shared" ca="1" si="15"/>
        <v>0.28081123244929784</v>
      </c>
      <c r="T122">
        <f t="shared" ca="1" si="15"/>
        <v>0.34269395525940016</v>
      </c>
      <c r="U122" s="5"/>
      <c r="V122" s="4">
        <f t="shared" si="13"/>
        <v>41955</v>
      </c>
      <c r="W122" s="5">
        <f t="shared" ca="1" si="11"/>
        <v>0.30482456140350866</v>
      </c>
      <c r="Z122" s="4" t="str">
        <f ca="1">IF(OFFSET(Sheet3!$A$1,0,0,300)="","",OFFSET(Sheet3!$A$1,0,0,300))</f>
        <v/>
      </c>
      <c r="AA122" s="5" t="str">
        <f ca="1">IF(OFFSET(Sheet3!$A$1,0,MATCH(W$1,Sheet3!$1:$1,0)-1,300)="","",OFFSET(Sheet3!$A$1,0,MATCH(W$1,Sheet3!$1:$1,0)-1,300))</f>
        <v/>
      </c>
      <c r="AB122" s="5" t="str">
        <f ca="1">IF(OFFSET(Sheet3!$A$1,0,MATCH(X$1,Sheet3!$1:$1,0)-1,300)="","",OFFSET(Sheet3!$A$1,0,MATCH(X$1,Sheet3!$1:$1,0)-1,300))</f>
        <v/>
      </c>
      <c r="AC122" t="str">
        <f t="shared" ca="1" si="9"/>
        <v/>
      </c>
      <c r="AD122" t="str">
        <f t="shared" ca="1" si="10"/>
        <v/>
      </c>
    </row>
    <row r="123" spans="1:30" x14ac:dyDescent="0.25">
      <c r="A123" s="4">
        <v>41954</v>
      </c>
      <c r="B123">
        <v>0.53700000000000003</v>
      </c>
      <c r="C123" s="5">
        <v>1.0049999999999999</v>
      </c>
      <c r="D123">
        <v>1.6440000000000001</v>
      </c>
      <c r="E123">
        <v>2.0619999999999998</v>
      </c>
      <c r="F123">
        <v>2.3609999999999998</v>
      </c>
      <c r="G123">
        <v>3.093</v>
      </c>
      <c r="H123">
        <f t="shared" ca="1" si="15"/>
        <v>0.41901639344262315</v>
      </c>
      <c r="I123">
        <f t="shared" ca="1" si="15"/>
        <v>0.35032894736842118</v>
      </c>
      <c r="J123">
        <f t="shared" ca="1" si="15"/>
        <v>0.25000000000000011</v>
      </c>
      <c r="K123">
        <f t="shared" ca="1" si="15"/>
        <v>0.22916666666666652</v>
      </c>
      <c r="L123">
        <f t="shared" ca="1" si="15"/>
        <v>0.16353677621283244</v>
      </c>
      <c r="M123">
        <f t="shared" ca="1" si="15"/>
        <v>0.30825958702064876</v>
      </c>
      <c r="N123">
        <f t="shared" ca="1" si="15"/>
        <v>0.20019157088122591</v>
      </c>
      <c r="O123">
        <f t="shared" ca="1" si="15"/>
        <v>0.11697965571205005</v>
      </c>
      <c r="P123">
        <f t="shared" ca="1" si="15"/>
        <v>0.14319923371647506</v>
      </c>
      <c r="Q123">
        <f t="shared" ca="1" si="15"/>
        <v>0.20634920634920634</v>
      </c>
      <c r="R123">
        <f t="shared" ca="1" si="15"/>
        <v>0.53051643192488251</v>
      </c>
      <c r="S123">
        <f t="shared" ca="1" si="15"/>
        <v>0.28051643192488246</v>
      </c>
      <c r="T123">
        <f t="shared" ca="1" si="15"/>
        <v>0.34339080459770094</v>
      </c>
      <c r="U123" s="5"/>
      <c r="V123" s="4">
        <f t="shared" si="13"/>
        <v>41954</v>
      </c>
      <c r="W123" s="5">
        <f t="shared" ca="1" si="11"/>
        <v>0.30825958702064876</v>
      </c>
      <c r="Z123" s="4" t="str">
        <f ca="1">IF(OFFSET(Sheet3!$A$1,0,0,300)="","",OFFSET(Sheet3!$A$1,0,0,300))</f>
        <v/>
      </c>
      <c r="AA123" s="5" t="str">
        <f ca="1">IF(OFFSET(Sheet3!$A$1,0,MATCH(W$1,Sheet3!$1:$1,0)-1,300)="","",OFFSET(Sheet3!$A$1,0,MATCH(W$1,Sheet3!$1:$1,0)-1,300))</f>
        <v/>
      </c>
      <c r="AB123" s="5" t="str">
        <f ca="1">IF(OFFSET(Sheet3!$A$1,0,MATCH(X$1,Sheet3!$1:$1,0)-1,300)="","",OFFSET(Sheet3!$A$1,0,MATCH(X$1,Sheet3!$1:$1,0)-1,300))</f>
        <v/>
      </c>
      <c r="AC123" t="str">
        <f t="shared" ca="1" si="9"/>
        <v/>
      </c>
      <c r="AD123" t="str">
        <f t="shared" ca="1" si="10"/>
        <v/>
      </c>
    </row>
    <row r="124" spans="1:30" x14ac:dyDescent="0.25">
      <c r="A124" s="4">
        <v>41953</v>
      </c>
      <c r="B124">
        <v>0.53700000000000003</v>
      </c>
      <c r="C124" s="5">
        <v>0.96899999999999997</v>
      </c>
      <c r="D124">
        <v>1.6440000000000001</v>
      </c>
      <c r="E124">
        <v>2.0619999999999998</v>
      </c>
      <c r="F124">
        <v>2.3609999999999998</v>
      </c>
      <c r="G124">
        <v>3.093</v>
      </c>
      <c r="H124">
        <f t="shared" ca="1" si="15"/>
        <v>0.44262295081967223</v>
      </c>
      <c r="I124">
        <f t="shared" ca="1" si="15"/>
        <v>0.37006578947368435</v>
      </c>
      <c r="J124">
        <f t="shared" ca="1" si="15"/>
        <v>0.26408450704225356</v>
      </c>
      <c r="K124">
        <f t="shared" ca="1" si="15"/>
        <v>0.22916666666666652</v>
      </c>
      <c r="L124">
        <f t="shared" ca="1" si="15"/>
        <v>0.16353677621283244</v>
      </c>
      <c r="M124">
        <f t="shared" ca="1" si="15"/>
        <v>0.30028735632183889</v>
      </c>
      <c r="N124">
        <f t="shared" ca="1" si="15"/>
        <v>0.19679849340866276</v>
      </c>
      <c r="O124">
        <f t="shared" ca="1" si="15"/>
        <v>0.11697965571205005</v>
      </c>
      <c r="P124">
        <f t="shared" ca="1" si="15"/>
        <v>0.14077212806026362</v>
      </c>
      <c r="Q124">
        <f t="shared" ca="1" si="15"/>
        <v>0.20634920634920634</v>
      </c>
      <c r="R124">
        <f t="shared" ca="1" si="15"/>
        <v>0.54460093896713613</v>
      </c>
      <c r="S124">
        <f t="shared" ca="1" si="15"/>
        <v>0.28051643192488246</v>
      </c>
      <c r="T124">
        <f t="shared" ca="1" si="15"/>
        <v>0.33757062146892636</v>
      </c>
      <c r="U124" s="5"/>
      <c r="V124" s="4">
        <f t="shared" si="13"/>
        <v>41953</v>
      </c>
      <c r="W124" s="5">
        <f t="shared" ca="1" si="11"/>
        <v>0.30028735632183889</v>
      </c>
      <c r="Z124" s="4" t="str">
        <f ca="1">IF(OFFSET(Sheet3!$A$1,0,0,300)="","",OFFSET(Sheet3!$A$1,0,0,300))</f>
        <v/>
      </c>
      <c r="AA124" s="5" t="str">
        <f ca="1">IF(OFFSET(Sheet3!$A$1,0,MATCH(W$1,Sheet3!$1:$1,0)-1,300)="","",OFFSET(Sheet3!$A$1,0,MATCH(W$1,Sheet3!$1:$1,0)-1,300))</f>
        <v/>
      </c>
      <c r="AB124" s="5" t="str">
        <f ca="1">IF(OFFSET(Sheet3!$A$1,0,MATCH(X$1,Sheet3!$1:$1,0)-1,300)="","",OFFSET(Sheet3!$A$1,0,MATCH(X$1,Sheet3!$1:$1,0)-1,300))</f>
        <v/>
      </c>
      <c r="AC124" t="str">
        <f t="shared" ca="1" si="9"/>
        <v/>
      </c>
      <c r="AD124" t="str">
        <f t="shared" ca="1" si="10"/>
        <v/>
      </c>
    </row>
    <row r="125" spans="1:30" x14ac:dyDescent="0.25">
      <c r="A125" s="4">
        <v>41950</v>
      </c>
      <c r="B125">
        <v>0.501</v>
      </c>
      <c r="C125" s="5">
        <v>0.92500000000000004</v>
      </c>
      <c r="D125">
        <v>1.5840000000000001</v>
      </c>
      <c r="E125">
        <v>1.9990000000000001</v>
      </c>
      <c r="F125">
        <v>2.298</v>
      </c>
      <c r="G125">
        <v>3.028</v>
      </c>
      <c r="H125">
        <f t="shared" ref="H125:T140" ca="1" si="16">IF(ISERROR(ABS(OFFSET($A$11,ROW()-11,MATCH(LEFT(H$9,2),$A$11:$G$11,0)-1)-OFFSET($A$11,ROW()-11,MATCH(RIGHT(H$9,2),$A$11:$G$11,0)-1))/ABS(OFFSET($A$11,ROW()-11,MATCH(LEFT(H$10,2),$A$11:$G$11,0)-1)-OFFSET($A$11,ROW()-11,MATCH(RIGHT(H$10,2),$A$11:$G$11,0)-1))),"",ABS(OFFSET($A$11,ROW()-11,MATCH(LEFT(H$9,2),$A$11:$G$11,0)-1)-OFFSET($A$11,ROW()-11,MATCH(RIGHT(H$9,2),$A$11:$G$11,0)-1))/ABS(OFFSET($A$11,ROW()-11,MATCH(LEFT(H$10,2),$A$11:$G$11,0)-1)-OFFSET($A$11,ROW()-11,MATCH(RIGHT(H$10,2),$A$11:$G$11,0)-1)))</f>
        <v>0.43991989319092117</v>
      </c>
      <c r="I125">
        <f t="shared" ca="1" si="16"/>
        <v>0.36672231496939339</v>
      </c>
      <c r="J125">
        <f t="shared" ca="1" si="16"/>
        <v>0.26078353779184804</v>
      </c>
      <c r="K125">
        <f t="shared" ca="1" si="16"/>
        <v>0.23094045631608237</v>
      </c>
      <c r="L125">
        <f t="shared" ca="1" si="16"/>
        <v>0.16422635536208943</v>
      </c>
      <c r="M125">
        <f t="shared" ca="1" si="16"/>
        <v>0.30225782957028408</v>
      </c>
      <c r="N125">
        <f t="shared" ca="1" si="16"/>
        <v>0.19733713742272949</v>
      </c>
      <c r="O125">
        <f t="shared" ca="1" si="16"/>
        <v>0.11832212109220416</v>
      </c>
      <c r="P125">
        <f t="shared" ca="1" si="16"/>
        <v>0.14217784117926768</v>
      </c>
      <c r="Q125">
        <f t="shared" ca="1" si="16"/>
        <v>0.20706371191135731</v>
      </c>
      <c r="R125">
        <f t="shared" ca="1" si="16"/>
        <v>0.54333201424614164</v>
      </c>
      <c r="S125">
        <f t="shared" ca="1" si="16"/>
        <v>0.2825484764542936</v>
      </c>
      <c r="T125">
        <f t="shared" ca="1" si="16"/>
        <v>0.3395149786019972</v>
      </c>
      <c r="U125" s="5"/>
      <c r="V125" s="4">
        <f t="shared" si="13"/>
        <v>41950</v>
      </c>
      <c r="W125" s="5">
        <f t="shared" ca="1" si="11"/>
        <v>0.30225782957028408</v>
      </c>
      <c r="Z125" s="4" t="str">
        <f ca="1">IF(OFFSET(Sheet3!$A$1,0,0,300)="","",OFFSET(Sheet3!$A$1,0,0,300))</f>
        <v/>
      </c>
      <c r="AA125" s="5" t="str">
        <f ca="1">IF(OFFSET(Sheet3!$A$1,0,MATCH(W$1,Sheet3!$1:$1,0)-1,300)="","",OFFSET(Sheet3!$A$1,0,MATCH(W$1,Sheet3!$1:$1,0)-1,300))</f>
        <v/>
      </c>
      <c r="AB125" s="5" t="str">
        <f ca="1">IF(OFFSET(Sheet3!$A$1,0,MATCH(X$1,Sheet3!$1:$1,0)-1,300)="","",OFFSET(Sheet3!$A$1,0,MATCH(X$1,Sheet3!$1:$1,0)-1,300))</f>
        <v/>
      </c>
      <c r="AC125" t="str">
        <f t="shared" ca="1" si="9"/>
        <v/>
      </c>
      <c r="AD125" t="str">
        <f t="shared" ca="1" si="10"/>
        <v/>
      </c>
    </row>
    <row r="126" spans="1:30" x14ac:dyDescent="0.25">
      <c r="A126" s="4">
        <v>41949</v>
      </c>
      <c r="B126">
        <v>0.55200000000000005</v>
      </c>
      <c r="C126" s="5">
        <v>0.995</v>
      </c>
      <c r="D126">
        <v>1.675</v>
      </c>
      <c r="E126">
        <v>2.093</v>
      </c>
      <c r="F126">
        <v>2.387</v>
      </c>
      <c r="G126">
        <v>3.1030000000000002</v>
      </c>
      <c r="H126">
        <f t="shared" ca="1" si="16"/>
        <v>0.44127190136275152</v>
      </c>
      <c r="I126">
        <f t="shared" ca="1" si="16"/>
        <v>0.3705722070844687</v>
      </c>
      <c r="J126">
        <f t="shared" ca="1" si="16"/>
        <v>0.26656213249705996</v>
      </c>
      <c r="K126">
        <f t="shared" ca="1" si="16"/>
        <v>0.22779291553133513</v>
      </c>
      <c r="L126">
        <f t="shared" ca="1" si="16"/>
        <v>0.16385731085848682</v>
      </c>
      <c r="M126">
        <f t="shared" ca="1" si="16"/>
        <v>0.30028735632183906</v>
      </c>
      <c r="N126">
        <f t="shared" ca="1" si="16"/>
        <v>0.19829222011385195</v>
      </c>
      <c r="O126">
        <f t="shared" ca="1" si="16"/>
        <v>0.11524892199137594</v>
      </c>
      <c r="P126">
        <f t="shared" ca="1" si="16"/>
        <v>0.13946869070208731</v>
      </c>
      <c r="Q126">
        <f t="shared" ca="1" si="16"/>
        <v>0.20588235294117649</v>
      </c>
      <c r="R126">
        <f t="shared" ca="1" si="16"/>
        <v>0.54566836534692276</v>
      </c>
      <c r="S126">
        <f t="shared" ca="1" si="16"/>
        <v>0.27910623284986275</v>
      </c>
      <c r="T126">
        <f t="shared" ca="1" si="16"/>
        <v>0.33776091081593923</v>
      </c>
      <c r="U126" s="5"/>
      <c r="V126" s="4">
        <f t="shared" si="13"/>
        <v>41949</v>
      </c>
      <c r="W126" s="5">
        <f t="shared" ca="1" si="11"/>
        <v>0.30028735632183906</v>
      </c>
      <c r="Z126" s="4" t="str">
        <f ca="1">IF(OFFSET(Sheet3!$A$1,0,0,300)="","",OFFSET(Sheet3!$A$1,0,0,300))</f>
        <v/>
      </c>
      <c r="AA126" s="5" t="str">
        <f ca="1">IF(OFFSET(Sheet3!$A$1,0,MATCH(W$1,Sheet3!$1:$1,0)-1,300)="","",OFFSET(Sheet3!$A$1,0,MATCH(W$1,Sheet3!$1:$1,0)-1,300))</f>
        <v/>
      </c>
      <c r="AB126" s="5" t="str">
        <f ca="1">IF(OFFSET(Sheet3!$A$1,0,MATCH(X$1,Sheet3!$1:$1,0)-1,300)="","",OFFSET(Sheet3!$A$1,0,MATCH(X$1,Sheet3!$1:$1,0)-1,300))</f>
        <v/>
      </c>
      <c r="AC126" t="str">
        <f t="shared" ca="1" si="9"/>
        <v/>
      </c>
      <c r="AD126" t="str">
        <f t="shared" ca="1" si="10"/>
        <v/>
      </c>
    </row>
    <row r="127" spans="1:30" x14ac:dyDescent="0.25">
      <c r="A127" s="4">
        <v>41948</v>
      </c>
      <c r="B127">
        <v>0.52400000000000002</v>
      </c>
      <c r="C127" s="5">
        <v>0.95499999999999996</v>
      </c>
      <c r="D127">
        <v>1.6320000000000001</v>
      </c>
      <c r="E127">
        <v>2.0489999999999999</v>
      </c>
      <c r="F127">
        <v>2.343</v>
      </c>
      <c r="G127">
        <v>3.0590000000000002</v>
      </c>
      <c r="H127">
        <f t="shared" ca="1" si="16"/>
        <v>0.44393442622950835</v>
      </c>
      <c r="I127">
        <f t="shared" ca="1" si="16"/>
        <v>0.37218251786695994</v>
      </c>
      <c r="J127">
        <f t="shared" ca="1" si="16"/>
        <v>0.26706114398422093</v>
      </c>
      <c r="K127">
        <f t="shared" ca="1" si="16"/>
        <v>0.22924683892248479</v>
      </c>
      <c r="L127">
        <f t="shared" ca="1" si="16"/>
        <v>0.16449704142011826</v>
      </c>
      <c r="M127">
        <f t="shared" ca="1" si="16"/>
        <v>0.3004322766570604</v>
      </c>
      <c r="N127">
        <f t="shared" ca="1" si="16"/>
        <v>0.19819391634980979</v>
      </c>
      <c r="O127">
        <f t="shared" ca="1" si="16"/>
        <v>0.11597633136094676</v>
      </c>
      <c r="P127">
        <f t="shared" ca="1" si="16"/>
        <v>0.13973384030418251</v>
      </c>
      <c r="Q127">
        <f t="shared" ca="1" si="16"/>
        <v>0.20602662929222146</v>
      </c>
      <c r="R127">
        <f t="shared" ca="1" si="16"/>
        <v>0.54753451676528597</v>
      </c>
      <c r="S127">
        <f t="shared" ca="1" si="16"/>
        <v>0.28047337278106499</v>
      </c>
      <c r="T127">
        <f t="shared" ca="1" si="16"/>
        <v>0.33792775665399233</v>
      </c>
      <c r="U127" s="5"/>
      <c r="V127" s="4">
        <f t="shared" si="13"/>
        <v>41948</v>
      </c>
      <c r="W127" s="5">
        <f t="shared" ca="1" si="11"/>
        <v>0.3004322766570604</v>
      </c>
      <c r="Z127" s="4" t="str">
        <f ca="1">IF(OFFSET(Sheet3!$A$1,0,0,300)="","",OFFSET(Sheet3!$A$1,0,0,300))</f>
        <v/>
      </c>
      <c r="AA127" s="5" t="str">
        <f ca="1">IF(OFFSET(Sheet3!$A$1,0,MATCH(W$1,Sheet3!$1:$1,0)-1,300)="","",OFFSET(Sheet3!$A$1,0,MATCH(W$1,Sheet3!$1:$1,0)-1,300))</f>
        <v/>
      </c>
      <c r="AB127" s="5" t="str">
        <f ca="1">IF(OFFSET(Sheet3!$A$1,0,MATCH(X$1,Sheet3!$1:$1,0)-1,300)="","",OFFSET(Sheet3!$A$1,0,MATCH(X$1,Sheet3!$1:$1,0)-1,300))</f>
        <v/>
      </c>
      <c r="AC127" t="str">
        <f t="shared" ca="1" si="9"/>
        <v/>
      </c>
      <c r="AD127" t="str">
        <f t="shared" ca="1" si="10"/>
        <v/>
      </c>
    </row>
    <row r="128" spans="1:30" x14ac:dyDescent="0.25">
      <c r="A128" s="4">
        <v>41947</v>
      </c>
      <c r="B128">
        <v>0.51400000000000001</v>
      </c>
      <c r="C128" s="5">
        <v>0.94399999999999995</v>
      </c>
      <c r="D128">
        <v>1.625</v>
      </c>
      <c r="E128">
        <v>2.0449999999999999</v>
      </c>
      <c r="F128">
        <v>2.3340000000000001</v>
      </c>
      <c r="G128">
        <v>3.048</v>
      </c>
      <c r="H128">
        <f t="shared" ca="1" si="16"/>
        <v>0.44480731548007846</v>
      </c>
      <c r="I128">
        <f t="shared" ca="1" si="16"/>
        <v>0.37417582417582418</v>
      </c>
      <c r="J128">
        <f t="shared" ca="1" si="16"/>
        <v>0.26874506708760859</v>
      </c>
      <c r="K128">
        <f t="shared" ca="1" si="16"/>
        <v>0.23076923076923073</v>
      </c>
      <c r="L128">
        <f t="shared" ca="1" si="16"/>
        <v>0.16574585635359115</v>
      </c>
      <c r="M128">
        <f t="shared" ca="1" si="16"/>
        <v>0.30215827338129486</v>
      </c>
      <c r="N128">
        <f t="shared" ca="1" si="16"/>
        <v>0.19961977186311783</v>
      </c>
      <c r="O128">
        <f t="shared" ca="1" si="16"/>
        <v>0.1140489344909235</v>
      </c>
      <c r="P128">
        <f t="shared" ca="1" si="16"/>
        <v>0.13735741444866925</v>
      </c>
      <c r="Q128">
        <f t="shared" ca="1" si="16"/>
        <v>0.20309205903021796</v>
      </c>
      <c r="R128">
        <f t="shared" ca="1" si="16"/>
        <v>0.54853985793212323</v>
      </c>
      <c r="S128">
        <f t="shared" ca="1" si="16"/>
        <v>0.27979479084451464</v>
      </c>
      <c r="T128">
        <f t="shared" ca="1" si="16"/>
        <v>0.33697718631178708</v>
      </c>
      <c r="U128" s="5"/>
      <c r="V128" s="4">
        <f t="shared" si="13"/>
        <v>41947</v>
      </c>
      <c r="W128" s="5">
        <f t="shared" ca="1" si="11"/>
        <v>0.30215827338129486</v>
      </c>
      <c r="Z128" s="4" t="str">
        <f ca="1">IF(OFFSET(Sheet3!$A$1,0,0,300)="","",OFFSET(Sheet3!$A$1,0,0,300))</f>
        <v/>
      </c>
      <c r="AA128" s="5" t="str">
        <f ca="1">IF(OFFSET(Sheet3!$A$1,0,MATCH(W$1,Sheet3!$1:$1,0)-1,300)="","",OFFSET(Sheet3!$A$1,0,MATCH(W$1,Sheet3!$1:$1,0)-1,300))</f>
        <v/>
      </c>
      <c r="AB128" s="5" t="str">
        <f ca="1">IF(OFFSET(Sheet3!$A$1,0,MATCH(X$1,Sheet3!$1:$1,0)-1,300)="","",OFFSET(Sheet3!$A$1,0,MATCH(X$1,Sheet3!$1:$1,0)-1,300))</f>
        <v/>
      </c>
      <c r="AC128" t="str">
        <f t="shared" ca="1" si="9"/>
        <v/>
      </c>
      <c r="AD128" t="str">
        <f t="shared" ca="1" si="10"/>
        <v/>
      </c>
    </row>
    <row r="129" spans="1:30" x14ac:dyDescent="0.25">
      <c r="A129" s="4">
        <v>41946</v>
      </c>
      <c r="B129">
        <v>0.51300000000000001</v>
      </c>
      <c r="C129" s="5">
        <v>0.94099999999999995</v>
      </c>
      <c r="D129">
        <v>1.6280000000000001</v>
      </c>
      <c r="E129">
        <v>2.0489999999999999</v>
      </c>
      <c r="F129">
        <v>2.343</v>
      </c>
      <c r="G129">
        <v>3.0640000000000001</v>
      </c>
      <c r="H129">
        <f t="shared" ca="1" si="16"/>
        <v>0.44726562500000011</v>
      </c>
      <c r="I129">
        <f t="shared" ca="1" si="16"/>
        <v>0.37540983606557382</v>
      </c>
      <c r="J129">
        <f t="shared" ca="1" si="16"/>
        <v>0.26930615444923567</v>
      </c>
      <c r="K129">
        <f t="shared" ca="1" si="16"/>
        <v>0.23005464480874308</v>
      </c>
      <c r="L129">
        <f t="shared" ca="1" si="16"/>
        <v>0.16503332026656206</v>
      </c>
      <c r="M129">
        <f t="shared" ca="1" si="16"/>
        <v>0.30028530670470738</v>
      </c>
      <c r="N129">
        <f t="shared" ca="1" si="16"/>
        <v>0.19830428638718783</v>
      </c>
      <c r="O129">
        <f t="shared" ca="1" si="16"/>
        <v>0.11524892199137594</v>
      </c>
      <c r="P129">
        <f t="shared" ca="1" si="16"/>
        <v>0.13848327837965144</v>
      </c>
      <c r="Q129">
        <f t="shared" ca="1" si="16"/>
        <v>0.20473537604456829</v>
      </c>
      <c r="R129">
        <f t="shared" ca="1" si="16"/>
        <v>0.54958839670717363</v>
      </c>
      <c r="S129">
        <f t="shared" ca="1" si="16"/>
        <v>0.28028224225793796</v>
      </c>
      <c r="T129">
        <f t="shared" ca="1" si="16"/>
        <v>0.3367875647668393</v>
      </c>
      <c r="U129" s="5"/>
      <c r="V129" s="4">
        <f t="shared" si="13"/>
        <v>41946</v>
      </c>
      <c r="W129" s="5">
        <f t="shared" ca="1" si="11"/>
        <v>0.30028530670470738</v>
      </c>
      <c r="Z129" s="4" t="str">
        <f ca="1">IF(OFFSET(Sheet3!$A$1,0,0,300)="","",OFFSET(Sheet3!$A$1,0,0,300))</f>
        <v/>
      </c>
      <c r="AA129" s="5" t="str">
        <f ca="1">IF(OFFSET(Sheet3!$A$1,0,MATCH(W$1,Sheet3!$1:$1,0)-1,300)="","",OFFSET(Sheet3!$A$1,0,MATCH(W$1,Sheet3!$1:$1,0)-1,300))</f>
        <v/>
      </c>
      <c r="AB129" s="5" t="str">
        <f ca="1">IF(OFFSET(Sheet3!$A$1,0,MATCH(X$1,Sheet3!$1:$1,0)-1,300)="","",OFFSET(Sheet3!$A$1,0,MATCH(X$1,Sheet3!$1:$1,0)-1,300))</f>
        <v/>
      </c>
      <c r="AC129" t="str">
        <f t="shared" ca="1" si="9"/>
        <v/>
      </c>
      <c r="AD129" t="str">
        <f t="shared" ca="1" si="10"/>
        <v/>
      </c>
    </row>
    <row r="130" spans="1:30" x14ac:dyDescent="0.25">
      <c r="A130" s="4">
        <v>41943</v>
      </c>
      <c r="B130">
        <v>0.49299999999999999</v>
      </c>
      <c r="C130" s="5">
        <v>0.92200000000000004</v>
      </c>
      <c r="D130">
        <v>1.6099999999999999</v>
      </c>
      <c r="E130">
        <v>2.04</v>
      </c>
      <c r="F130">
        <v>2.3359999999999999</v>
      </c>
      <c r="G130">
        <v>3.0670000000000002</v>
      </c>
      <c r="H130">
        <f t="shared" ca="1" si="16"/>
        <v>0.44473173884938577</v>
      </c>
      <c r="I130">
        <f t="shared" ca="1" si="16"/>
        <v>0.37330439500813883</v>
      </c>
      <c r="J130">
        <f t="shared" ca="1" si="16"/>
        <v>0.26728826728826721</v>
      </c>
      <c r="K130">
        <f t="shared" ca="1" si="16"/>
        <v>0.2333152468800869</v>
      </c>
      <c r="L130">
        <f t="shared" ca="1" si="16"/>
        <v>0.1670551670551671</v>
      </c>
      <c r="M130">
        <f t="shared" ca="1" si="16"/>
        <v>0.30410183875530428</v>
      </c>
      <c r="N130">
        <f t="shared" ca="1" si="16"/>
        <v>0.20046620046620053</v>
      </c>
      <c r="O130">
        <f t="shared" ca="1" si="16"/>
        <v>0.11499611499611491</v>
      </c>
      <c r="P130">
        <f t="shared" ca="1" si="16"/>
        <v>0.13799533799533792</v>
      </c>
      <c r="Q130">
        <f t="shared" ca="1" si="16"/>
        <v>0.2031571722717912</v>
      </c>
      <c r="R130">
        <f t="shared" ca="1" si="16"/>
        <v>0.5493395493395492</v>
      </c>
      <c r="S130">
        <f t="shared" ca="1" si="16"/>
        <v>0.28205128205128199</v>
      </c>
      <c r="T130">
        <f t="shared" ca="1" si="16"/>
        <v>0.33846153846153842</v>
      </c>
      <c r="U130" s="5"/>
      <c r="V130" s="4">
        <f t="shared" si="13"/>
        <v>41943</v>
      </c>
      <c r="W130" s="5">
        <f t="shared" ca="1" si="11"/>
        <v>0.30410183875530428</v>
      </c>
      <c r="Z130" s="4" t="str">
        <f ca="1">IF(OFFSET(Sheet3!$A$1,0,0,300)="","",OFFSET(Sheet3!$A$1,0,0,300))</f>
        <v/>
      </c>
      <c r="AA130" s="5" t="str">
        <f ca="1">IF(OFFSET(Sheet3!$A$1,0,MATCH(W$1,Sheet3!$1:$1,0)-1,300)="","",OFFSET(Sheet3!$A$1,0,MATCH(W$1,Sheet3!$1:$1,0)-1,300))</f>
        <v/>
      </c>
      <c r="AB130" s="5" t="str">
        <f ca="1">IF(OFFSET(Sheet3!$A$1,0,MATCH(X$1,Sheet3!$1:$1,0)-1,300)="","",OFFSET(Sheet3!$A$1,0,MATCH(X$1,Sheet3!$1:$1,0)-1,300))</f>
        <v/>
      </c>
      <c r="AC130" t="str">
        <f t="shared" ca="1" si="9"/>
        <v/>
      </c>
      <c r="AD130" t="str">
        <f t="shared" ca="1" si="10"/>
        <v/>
      </c>
    </row>
    <row r="131" spans="1:30" x14ac:dyDescent="0.25">
      <c r="A131" s="4">
        <v>41942</v>
      </c>
      <c r="B131">
        <v>0.47099999999999997</v>
      </c>
      <c r="C131" s="5">
        <v>0.89</v>
      </c>
      <c r="D131">
        <v>1.573</v>
      </c>
      <c r="E131">
        <v>1.9969999999999999</v>
      </c>
      <c r="F131">
        <v>2.306</v>
      </c>
      <c r="G131">
        <v>3.0470000000000002</v>
      </c>
      <c r="H131">
        <f t="shared" ca="1" si="16"/>
        <v>0.44757536041939716</v>
      </c>
      <c r="I131">
        <f t="shared" ca="1" si="16"/>
        <v>0.37220708446866485</v>
      </c>
      <c r="J131">
        <f t="shared" ca="1" si="16"/>
        <v>0.26513975155279501</v>
      </c>
      <c r="K131">
        <f t="shared" ca="1" si="16"/>
        <v>0.23106267029972749</v>
      </c>
      <c r="L131">
        <f t="shared" ca="1" si="16"/>
        <v>0.16459627329192544</v>
      </c>
      <c r="M131">
        <f t="shared" ca="1" si="16"/>
        <v>0.29943502824858753</v>
      </c>
      <c r="N131">
        <f t="shared" ca="1" si="16"/>
        <v>0.19656930922577651</v>
      </c>
      <c r="O131">
        <f t="shared" ca="1" si="16"/>
        <v>0.11995341614906839</v>
      </c>
      <c r="P131">
        <f t="shared" ca="1" si="16"/>
        <v>0.14325452016689855</v>
      </c>
      <c r="Q131">
        <f t="shared" ca="1" si="16"/>
        <v>0.20963364993215747</v>
      </c>
      <c r="R131">
        <f t="shared" ca="1" si="16"/>
        <v>0.5496894409937888</v>
      </c>
      <c r="S131">
        <f t="shared" ca="1" si="16"/>
        <v>0.28454968944099379</v>
      </c>
      <c r="T131">
        <f t="shared" ca="1" si="16"/>
        <v>0.33982382939267503</v>
      </c>
      <c r="U131" s="5"/>
      <c r="V131" s="4">
        <f t="shared" si="13"/>
        <v>41942</v>
      </c>
      <c r="W131" s="5">
        <f t="shared" ca="1" si="11"/>
        <v>0.29943502824858753</v>
      </c>
      <c r="Z131" s="4" t="str">
        <f ca="1">IF(OFFSET(Sheet3!$A$1,0,0,300)="","",OFFSET(Sheet3!$A$1,0,0,300))</f>
        <v/>
      </c>
      <c r="AA131" s="5" t="str">
        <f ca="1">IF(OFFSET(Sheet3!$A$1,0,MATCH(W$1,Sheet3!$1:$1,0)-1,300)="","",OFFSET(Sheet3!$A$1,0,MATCH(W$1,Sheet3!$1:$1,0)-1,300))</f>
        <v/>
      </c>
      <c r="AB131" s="5" t="str">
        <f ca="1">IF(OFFSET(Sheet3!$A$1,0,MATCH(X$1,Sheet3!$1:$1,0)-1,300)="","",OFFSET(Sheet3!$A$1,0,MATCH(X$1,Sheet3!$1:$1,0)-1,300))</f>
        <v/>
      </c>
      <c r="AC131" t="str">
        <f t="shared" ref="AC131:AC194" ca="1" si="17">IF(AND(AA131&lt;&gt;"",AB131&lt;&gt;""),ABS(AA131-AB131),"")</f>
        <v/>
      </c>
      <c r="AD131" t="str">
        <f t="shared" ref="AD131:AD194" ca="1" si="18">IF(ISNA(MATCH("",AC131:AC150,0)),AVERAGE(AC131:AC150),"")</f>
        <v/>
      </c>
    </row>
    <row r="132" spans="1:30" x14ac:dyDescent="0.25">
      <c r="A132" s="4">
        <v>41941</v>
      </c>
      <c r="B132">
        <v>0.48299999999999998</v>
      </c>
      <c r="C132" s="5">
        <v>0.90300000000000002</v>
      </c>
      <c r="D132">
        <v>1.585</v>
      </c>
      <c r="E132">
        <v>2.012</v>
      </c>
      <c r="F132">
        <v>2.3180000000000001</v>
      </c>
      <c r="G132">
        <v>3.05</v>
      </c>
      <c r="H132">
        <f t="shared" ca="1" si="16"/>
        <v>0.4460431654676259</v>
      </c>
      <c r="I132">
        <f t="shared" ca="1" si="16"/>
        <v>0.37166212534059945</v>
      </c>
      <c r="J132">
        <f t="shared" ca="1" si="16"/>
        <v>0.26567978184651342</v>
      </c>
      <c r="K132">
        <f t="shared" ca="1" si="16"/>
        <v>0.23269754768392373</v>
      </c>
      <c r="L132">
        <f t="shared" ca="1" si="16"/>
        <v>0.16634203350214261</v>
      </c>
      <c r="M132">
        <f t="shared" ca="1" si="16"/>
        <v>0.30176678445229682</v>
      </c>
      <c r="N132">
        <f t="shared" ca="1" si="16"/>
        <v>0.19888216115510018</v>
      </c>
      <c r="O132">
        <f t="shared" ca="1" si="16"/>
        <v>0.11920529801324506</v>
      </c>
      <c r="P132">
        <f t="shared" ca="1" si="16"/>
        <v>0.14252445272473221</v>
      </c>
      <c r="Q132">
        <f t="shared" ca="1" si="16"/>
        <v>0.20887372013651884</v>
      </c>
      <c r="R132">
        <f t="shared" ca="1" si="16"/>
        <v>0.55122711336190111</v>
      </c>
      <c r="S132">
        <f t="shared" ca="1" si="16"/>
        <v>0.28554733151538769</v>
      </c>
      <c r="T132">
        <f t="shared" ca="1" si="16"/>
        <v>0.3414066138798324</v>
      </c>
      <c r="U132" s="5"/>
      <c r="V132" s="4">
        <f t="shared" si="13"/>
        <v>41941</v>
      </c>
      <c r="W132" s="5">
        <f t="shared" ca="1" si="11"/>
        <v>0.30176678445229682</v>
      </c>
      <c r="Z132" s="4" t="str">
        <f ca="1">IF(OFFSET(Sheet3!$A$1,0,0,300)="","",OFFSET(Sheet3!$A$1,0,0,300))</f>
        <v/>
      </c>
      <c r="AA132" s="5" t="str">
        <f ca="1">IF(OFFSET(Sheet3!$A$1,0,MATCH(W$1,Sheet3!$1:$1,0)-1,300)="","",OFFSET(Sheet3!$A$1,0,MATCH(W$1,Sheet3!$1:$1,0)-1,300))</f>
        <v/>
      </c>
      <c r="AB132" s="5" t="str">
        <f ca="1">IF(OFFSET(Sheet3!$A$1,0,MATCH(X$1,Sheet3!$1:$1,0)-1,300)="","",OFFSET(Sheet3!$A$1,0,MATCH(X$1,Sheet3!$1:$1,0)-1,300))</f>
        <v/>
      </c>
      <c r="AC132" t="str">
        <f t="shared" ca="1" si="17"/>
        <v/>
      </c>
      <c r="AD132" t="str">
        <f t="shared" ca="1" si="18"/>
        <v/>
      </c>
    </row>
    <row r="133" spans="1:30" x14ac:dyDescent="0.25">
      <c r="A133" s="4">
        <v>41940</v>
      </c>
      <c r="B133">
        <v>0.39600000000000002</v>
      </c>
      <c r="C133" s="5">
        <v>0.83099999999999996</v>
      </c>
      <c r="D133">
        <v>1.516</v>
      </c>
      <c r="E133">
        <v>1.966</v>
      </c>
      <c r="F133">
        <v>2.2970000000000002</v>
      </c>
      <c r="G133">
        <v>3.0680000000000001</v>
      </c>
      <c r="H133">
        <f t="shared" ca="1" si="16"/>
        <v>0.4363057324840765</v>
      </c>
      <c r="I133">
        <f t="shared" ca="1" si="16"/>
        <v>0.36033666491320354</v>
      </c>
      <c r="J133">
        <f t="shared" ca="1" si="16"/>
        <v>0.25636227544910178</v>
      </c>
      <c r="K133">
        <f t="shared" ca="1" si="16"/>
        <v>0.23671751709626507</v>
      </c>
      <c r="L133">
        <f t="shared" ca="1" si="16"/>
        <v>0.16841317365269459</v>
      </c>
      <c r="M133">
        <f t="shared" ca="1" si="16"/>
        <v>0.30695770804911315</v>
      </c>
      <c r="N133">
        <f t="shared" ca="1" si="16"/>
        <v>0.20116227089852479</v>
      </c>
      <c r="O133">
        <f t="shared" ca="1" si="16"/>
        <v>0.1238772455089821</v>
      </c>
      <c r="P133">
        <f t="shared" ca="1" si="16"/>
        <v>0.14796602592758165</v>
      </c>
      <c r="Q133">
        <f t="shared" ca="1" si="16"/>
        <v>0.21327319587628876</v>
      </c>
      <c r="R133">
        <f t="shared" ca="1" si="16"/>
        <v>0.54865269461077848</v>
      </c>
      <c r="S133">
        <f t="shared" ca="1" si="16"/>
        <v>0.2922904191616767</v>
      </c>
      <c r="T133">
        <f t="shared" ca="1" si="16"/>
        <v>0.34912829682610647</v>
      </c>
      <c r="U133" s="5"/>
      <c r="V133" s="4">
        <f t="shared" si="13"/>
        <v>41940</v>
      </c>
      <c r="W133" s="5">
        <f t="shared" ca="1" si="11"/>
        <v>0.30695770804911315</v>
      </c>
      <c r="Z133" s="4" t="str">
        <f ca="1">IF(OFFSET(Sheet3!$A$1,0,0,300)="","",OFFSET(Sheet3!$A$1,0,0,300))</f>
        <v/>
      </c>
      <c r="AA133" s="5" t="str">
        <f ca="1">IF(OFFSET(Sheet3!$A$1,0,MATCH(W$1,Sheet3!$1:$1,0)-1,300)="","",OFFSET(Sheet3!$A$1,0,MATCH(W$1,Sheet3!$1:$1,0)-1,300))</f>
        <v/>
      </c>
      <c r="AB133" s="5" t="str">
        <f ca="1">IF(OFFSET(Sheet3!$A$1,0,MATCH(X$1,Sheet3!$1:$1,0)-1,300)="","",OFFSET(Sheet3!$A$1,0,MATCH(X$1,Sheet3!$1:$1,0)-1,300))</f>
        <v/>
      </c>
      <c r="AC133" t="str">
        <f t="shared" ca="1" si="17"/>
        <v/>
      </c>
      <c r="AD133" t="str">
        <f t="shared" ca="1" si="18"/>
        <v/>
      </c>
    </row>
    <row r="134" spans="1:30" x14ac:dyDescent="0.25">
      <c r="A134" s="4">
        <v>41939</v>
      </c>
      <c r="B134">
        <v>0.38400000000000001</v>
      </c>
      <c r="C134" s="5">
        <v>0.80700000000000005</v>
      </c>
      <c r="D134">
        <v>1.488</v>
      </c>
      <c r="E134">
        <v>1.9319999999999999</v>
      </c>
      <c r="F134">
        <v>2.2610000000000001</v>
      </c>
      <c r="G134">
        <v>3.0379999999999998</v>
      </c>
      <c r="H134">
        <f t="shared" ca="1" si="16"/>
        <v>0.43992248062015499</v>
      </c>
      <c r="I134">
        <f t="shared" ca="1" si="16"/>
        <v>0.36281299946723489</v>
      </c>
      <c r="J134">
        <f t="shared" ca="1" si="16"/>
        <v>0.25659382064807834</v>
      </c>
      <c r="K134">
        <f t="shared" ca="1" si="16"/>
        <v>0.23654768247202979</v>
      </c>
      <c r="L134">
        <f t="shared" ca="1" si="16"/>
        <v>0.16729464958553125</v>
      </c>
      <c r="M134">
        <f t="shared" ca="1" si="16"/>
        <v>0.30536451169188439</v>
      </c>
      <c r="N134">
        <f t="shared" ca="1" si="16"/>
        <v>0.19901389511429851</v>
      </c>
      <c r="O134">
        <f t="shared" ca="1" si="16"/>
        <v>0.12396382818387347</v>
      </c>
      <c r="P134">
        <f t="shared" ca="1" si="16"/>
        <v>0.14746750336172129</v>
      </c>
      <c r="Q134">
        <f t="shared" ca="1" si="16"/>
        <v>0.21225806451612916</v>
      </c>
      <c r="R134">
        <f t="shared" ca="1" si="16"/>
        <v>0.54785229841748317</v>
      </c>
      <c r="S134">
        <f t="shared" ca="1" si="16"/>
        <v>0.29125847776940472</v>
      </c>
      <c r="T134">
        <f t="shared" ca="1" si="16"/>
        <v>0.34648139847601978</v>
      </c>
      <c r="U134" s="5"/>
      <c r="V134" s="4">
        <f t="shared" si="13"/>
        <v>41939</v>
      </c>
      <c r="W134" s="5">
        <f t="shared" ca="1" si="11"/>
        <v>0.30536451169188439</v>
      </c>
      <c r="Z134" s="4" t="str">
        <f ca="1">IF(OFFSET(Sheet3!$A$1,0,0,300)="","",OFFSET(Sheet3!$A$1,0,0,300))</f>
        <v/>
      </c>
      <c r="AA134" s="5" t="str">
        <f ca="1">IF(OFFSET(Sheet3!$A$1,0,MATCH(W$1,Sheet3!$1:$1,0)-1,300)="","",OFFSET(Sheet3!$A$1,0,MATCH(W$1,Sheet3!$1:$1,0)-1,300))</f>
        <v/>
      </c>
      <c r="AB134" s="5" t="str">
        <f ca="1">IF(OFFSET(Sheet3!$A$1,0,MATCH(X$1,Sheet3!$1:$1,0)-1,300)="","",OFFSET(Sheet3!$A$1,0,MATCH(X$1,Sheet3!$1:$1,0)-1,300))</f>
        <v/>
      </c>
      <c r="AC134" t="str">
        <f t="shared" ca="1" si="17"/>
        <v/>
      </c>
      <c r="AD134" t="str">
        <f t="shared" ca="1" si="18"/>
        <v/>
      </c>
    </row>
    <row r="135" spans="1:30" x14ac:dyDescent="0.25">
      <c r="A135" s="4">
        <v>41936</v>
      </c>
      <c r="B135">
        <v>0.38800000000000001</v>
      </c>
      <c r="C135" s="5">
        <v>0.81499999999999995</v>
      </c>
      <c r="D135">
        <v>1.496</v>
      </c>
      <c r="E135">
        <v>1.9419999999999999</v>
      </c>
      <c r="F135">
        <v>2.2690000000000001</v>
      </c>
      <c r="G135">
        <v>3.0430000000000001</v>
      </c>
      <c r="H135">
        <f t="shared" ca="1" si="16"/>
        <v>0.43822393822393829</v>
      </c>
      <c r="I135">
        <f t="shared" ca="1" si="16"/>
        <v>0.36204146730462516</v>
      </c>
      <c r="J135">
        <f t="shared" ca="1" si="16"/>
        <v>0.25649717514124293</v>
      </c>
      <c r="K135">
        <f t="shared" ca="1" si="16"/>
        <v>0.23710792131844757</v>
      </c>
      <c r="L135">
        <f t="shared" ca="1" si="16"/>
        <v>0.16798493408662896</v>
      </c>
      <c r="M135">
        <f t="shared" ca="1" si="16"/>
        <v>0.30674002751031632</v>
      </c>
      <c r="N135">
        <f t="shared" ca="1" si="16"/>
        <v>0.20017953321364448</v>
      </c>
      <c r="O135">
        <f t="shared" ca="1" si="16"/>
        <v>0.12316384180790967</v>
      </c>
      <c r="P135">
        <f t="shared" ca="1" si="16"/>
        <v>0.14676840215439863</v>
      </c>
      <c r="Q135">
        <f t="shared" ca="1" si="16"/>
        <v>0.21137685843568205</v>
      </c>
      <c r="R135">
        <f t="shared" ca="1" si="16"/>
        <v>0.54764595103578151</v>
      </c>
      <c r="S135">
        <f t="shared" ca="1" si="16"/>
        <v>0.29114877589453864</v>
      </c>
      <c r="T135">
        <f t="shared" ca="1" si="16"/>
        <v>0.34694793536804314</v>
      </c>
      <c r="U135" s="5"/>
      <c r="V135" s="4">
        <f t="shared" si="13"/>
        <v>41936</v>
      </c>
      <c r="W135" s="5">
        <f t="shared" ca="1" si="11"/>
        <v>0.30674002751031632</v>
      </c>
      <c r="Z135" s="4" t="str">
        <f ca="1">IF(OFFSET(Sheet3!$A$1,0,0,300)="","",OFFSET(Sheet3!$A$1,0,0,300))</f>
        <v/>
      </c>
      <c r="AA135" s="5" t="str">
        <f ca="1">IF(OFFSET(Sheet3!$A$1,0,MATCH(W$1,Sheet3!$1:$1,0)-1,300)="","",OFFSET(Sheet3!$A$1,0,MATCH(W$1,Sheet3!$1:$1,0)-1,300))</f>
        <v/>
      </c>
      <c r="AB135" s="5" t="str">
        <f ca="1">IF(OFFSET(Sheet3!$A$1,0,MATCH(X$1,Sheet3!$1:$1,0)-1,300)="","",OFFSET(Sheet3!$A$1,0,MATCH(X$1,Sheet3!$1:$1,0)-1,300))</f>
        <v/>
      </c>
      <c r="AC135" t="str">
        <f t="shared" ca="1" si="17"/>
        <v/>
      </c>
      <c r="AD135" t="str">
        <f t="shared" ca="1" si="18"/>
        <v/>
      </c>
    </row>
    <row r="136" spans="1:30" x14ac:dyDescent="0.25">
      <c r="A136" s="4">
        <v>41935</v>
      </c>
      <c r="B136">
        <v>0.38800000000000001</v>
      </c>
      <c r="C136" s="5">
        <v>0.82</v>
      </c>
      <c r="D136">
        <v>1.494</v>
      </c>
      <c r="E136">
        <v>1.94</v>
      </c>
      <c r="F136">
        <v>2.2720000000000002</v>
      </c>
      <c r="G136">
        <v>3.044</v>
      </c>
      <c r="H136">
        <f t="shared" ca="1" si="16"/>
        <v>0.43427835051546393</v>
      </c>
      <c r="I136">
        <f t="shared" ca="1" si="16"/>
        <v>0.35774946921443734</v>
      </c>
      <c r="J136">
        <f t="shared" ca="1" si="16"/>
        <v>0.25376506024096385</v>
      </c>
      <c r="K136">
        <f t="shared" ca="1" si="16"/>
        <v>0.23673036093418251</v>
      </c>
      <c r="L136">
        <f t="shared" ca="1" si="16"/>
        <v>0.16792168674698793</v>
      </c>
      <c r="M136">
        <f t="shared" ca="1" si="16"/>
        <v>0.30716253443526159</v>
      </c>
      <c r="N136">
        <f t="shared" ca="1" si="16"/>
        <v>0.20053956834532369</v>
      </c>
      <c r="O136">
        <f t="shared" ca="1" si="16"/>
        <v>0.12500000000000011</v>
      </c>
      <c r="P136">
        <f t="shared" ca="1" si="16"/>
        <v>0.14928057553956847</v>
      </c>
      <c r="Q136">
        <f t="shared" ca="1" si="16"/>
        <v>0.21419354838709695</v>
      </c>
      <c r="R136">
        <f t="shared" ca="1" si="16"/>
        <v>0.54668674698795194</v>
      </c>
      <c r="S136">
        <f t="shared" ca="1" si="16"/>
        <v>0.29292168674698804</v>
      </c>
      <c r="T136">
        <f t="shared" ca="1" si="16"/>
        <v>0.34982014388489219</v>
      </c>
      <c r="U136" s="5"/>
      <c r="V136" s="4">
        <f t="shared" si="13"/>
        <v>41935</v>
      </c>
      <c r="W136" s="5">
        <f t="shared" ca="1" si="11"/>
        <v>0.30716253443526159</v>
      </c>
      <c r="Z136" s="4" t="str">
        <f ca="1">IF(OFFSET(Sheet3!$A$1,0,0,300)="","",OFFSET(Sheet3!$A$1,0,0,300))</f>
        <v/>
      </c>
      <c r="AA136" s="5" t="str">
        <f ca="1">IF(OFFSET(Sheet3!$A$1,0,MATCH(W$1,Sheet3!$1:$1,0)-1,300)="","",OFFSET(Sheet3!$A$1,0,MATCH(W$1,Sheet3!$1:$1,0)-1,300))</f>
        <v/>
      </c>
      <c r="AB136" s="5" t="str">
        <f ca="1">IF(OFFSET(Sheet3!$A$1,0,MATCH(X$1,Sheet3!$1:$1,0)-1,300)="","",OFFSET(Sheet3!$A$1,0,MATCH(X$1,Sheet3!$1:$1,0)-1,300))</f>
        <v/>
      </c>
      <c r="AC136" t="str">
        <f t="shared" ca="1" si="17"/>
        <v/>
      </c>
      <c r="AD136" t="str">
        <f t="shared" ca="1" si="18"/>
        <v/>
      </c>
    </row>
    <row r="137" spans="1:30" x14ac:dyDescent="0.25">
      <c r="A137" s="4">
        <v>41934</v>
      </c>
      <c r="B137">
        <v>0.36</v>
      </c>
      <c r="C137" s="5">
        <v>0.77</v>
      </c>
      <c r="D137">
        <v>1.427</v>
      </c>
      <c r="E137">
        <v>1.8780000000000001</v>
      </c>
      <c r="F137">
        <v>2.2170000000000001</v>
      </c>
      <c r="G137">
        <v>2.9910000000000001</v>
      </c>
      <c r="H137">
        <f t="shared" ca="1" si="16"/>
        <v>0.43280632411067188</v>
      </c>
      <c r="I137">
        <f t="shared" ca="1" si="16"/>
        <v>0.35379644588045234</v>
      </c>
      <c r="J137">
        <f t="shared" ca="1" si="16"/>
        <v>0.24971493728620295</v>
      </c>
      <c r="K137">
        <f t="shared" ca="1" si="16"/>
        <v>0.24286483575659668</v>
      </c>
      <c r="L137">
        <f t="shared" ca="1" si="16"/>
        <v>0.17141771189661725</v>
      </c>
      <c r="M137">
        <f t="shared" ca="1" si="16"/>
        <v>0.31167933655839669</v>
      </c>
      <c r="N137">
        <f t="shared" ca="1" si="16"/>
        <v>0.20306168392615942</v>
      </c>
      <c r="O137">
        <f t="shared" ca="1" si="16"/>
        <v>0.12884834663625996</v>
      </c>
      <c r="P137">
        <f t="shared" ca="1" si="16"/>
        <v>0.15263394867176946</v>
      </c>
      <c r="Q137">
        <f t="shared" ca="1" si="16"/>
        <v>0.21675191815856776</v>
      </c>
      <c r="R137">
        <f t="shared" ca="1" si="16"/>
        <v>0.54998099581908022</v>
      </c>
      <c r="S137">
        <f t="shared" ca="1" si="16"/>
        <v>0.30026605853287724</v>
      </c>
      <c r="T137">
        <f t="shared" ca="1" si="16"/>
        <v>0.35569563259792886</v>
      </c>
      <c r="U137" s="5"/>
      <c r="V137" s="4">
        <f t="shared" si="13"/>
        <v>41934</v>
      </c>
      <c r="W137" s="5">
        <f t="shared" ca="1" si="11"/>
        <v>0.31167933655839669</v>
      </c>
      <c r="Z137" s="4" t="str">
        <f ca="1">IF(OFFSET(Sheet3!$A$1,0,0,300)="","",OFFSET(Sheet3!$A$1,0,0,300))</f>
        <v/>
      </c>
      <c r="AA137" s="5" t="str">
        <f ca="1">IF(OFFSET(Sheet3!$A$1,0,MATCH(W$1,Sheet3!$1:$1,0)-1,300)="","",OFFSET(Sheet3!$A$1,0,MATCH(W$1,Sheet3!$1:$1,0)-1,300))</f>
        <v/>
      </c>
      <c r="AB137" s="5" t="str">
        <f ca="1">IF(OFFSET(Sheet3!$A$1,0,MATCH(X$1,Sheet3!$1:$1,0)-1,300)="","",OFFSET(Sheet3!$A$1,0,MATCH(X$1,Sheet3!$1:$1,0)-1,300))</f>
        <v/>
      </c>
      <c r="AC137" t="str">
        <f t="shared" ca="1" si="17"/>
        <v/>
      </c>
      <c r="AD137" t="str">
        <f t="shared" ca="1" si="18"/>
        <v/>
      </c>
    </row>
    <row r="138" spans="1:30" x14ac:dyDescent="0.25">
      <c r="A138" s="4">
        <v>41933</v>
      </c>
      <c r="B138">
        <v>0.36399999999999999</v>
      </c>
      <c r="C138" s="5">
        <v>0.77500000000000002</v>
      </c>
      <c r="D138">
        <v>1.429</v>
      </c>
      <c r="E138">
        <v>1.88</v>
      </c>
      <c r="F138">
        <v>2.2229999999999999</v>
      </c>
      <c r="G138">
        <v>2.9910000000000001</v>
      </c>
      <c r="H138">
        <f t="shared" ca="1" si="16"/>
        <v>0.43139841688654357</v>
      </c>
      <c r="I138">
        <f t="shared" ca="1" si="16"/>
        <v>0.35180204410973642</v>
      </c>
      <c r="J138">
        <f t="shared" ca="1" si="16"/>
        <v>0.2489531785306433</v>
      </c>
      <c r="K138">
        <f t="shared" ca="1" si="16"/>
        <v>0.24260355029585789</v>
      </c>
      <c r="L138">
        <f t="shared" ca="1" si="16"/>
        <v>0.17167872097449555</v>
      </c>
      <c r="M138">
        <f t="shared" ca="1" si="16"/>
        <v>0.31146408839778994</v>
      </c>
      <c r="N138">
        <f t="shared" ca="1" si="16"/>
        <v>0.20351985559566779</v>
      </c>
      <c r="O138">
        <f t="shared" ca="1" si="16"/>
        <v>0.13056718690521504</v>
      </c>
      <c r="P138">
        <f t="shared" ca="1" si="16"/>
        <v>0.15478339350180503</v>
      </c>
      <c r="Q138">
        <f t="shared" ca="1" si="16"/>
        <v>0.21959026888604352</v>
      </c>
      <c r="R138">
        <f t="shared" ca="1" si="16"/>
        <v>0.55119908641035398</v>
      </c>
      <c r="S138">
        <f t="shared" ca="1" si="16"/>
        <v>0.30224590787971062</v>
      </c>
      <c r="T138">
        <f t="shared" ca="1" si="16"/>
        <v>0.3583032490974728</v>
      </c>
      <c r="U138" s="5"/>
      <c r="V138" s="4">
        <f t="shared" si="13"/>
        <v>41933</v>
      </c>
      <c r="W138" s="5">
        <f t="shared" ca="1" si="11"/>
        <v>0.31146408839778994</v>
      </c>
      <c r="Z138" s="4" t="str">
        <f ca="1">IF(OFFSET(Sheet3!$A$1,0,0,300)="","",OFFSET(Sheet3!$A$1,0,0,300))</f>
        <v/>
      </c>
      <c r="AA138" s="5" t="str">
        <f ca="1">IF(OFFSET(Sheet3!$A$1,0,MATCH(W$1,Sheet3!$1:$1,0)-1,300)="","",OFFSET(Sheet3!$A$1,0,MATCH(W$1,Sheet3!$1:$1,0)-1,300))</f>
        <v/>
      </c>
      <c r="AB138" s="5" t="str">
        <f ca="1">IF(OFFSET(Sheet3!$A$1,0,MATCH(X$1,Sheet3!$1:$1,0)-1,300)="","",OFFSET(Sheet3!$A$1,0,MATCH(X$1,Sheet3!$1:$1,0)-1,300))</f>
        <v/>
      </c>
      <c r="AC138" t="str">
        <f t="shared" ca="1" si="17"/>
        <v/>
      </c>
      <c r="AD138" t="str">
        <f t="shared" ca="1" si="18"/>
        <v/>
      </c>
    </row>
    <row r="139" spans="1:30" x14ac:dyDescent="0.25">
      <c r="A139" s="4">
        <v>41932</v>
      </c>
      <c r="B139">
        <v>0.35299999999999998</v>
      </c>
      <c r="C139" s="5">
        <v>0.77</v>
      </c>
      <c r="D139">
        <v>1.4060000000000001</v>
      </c>
      <c r="E139">
        <v>1.8540000000000001</v>
      </c>
      <c r="F139">
        <v>2.1920000000000002</v>
      </c>
      <c r="G139">
        <v>2.9660000000000002</v>
      </c>
      <c r="H139">
        <f t="shared" ca="1" si="16"/>
        <v>0.42371752165223192</v>
      </c>
      <c r="I139">
        <f t="shared" ca="1" si="16"/>
        <v>0.34584013050570966</v>
      </c>
      <c r="J139">
        <f t="shared" ca="1" si="16"/>
        <v>0.24339839265212401</v>
      </c>
      <c r="K139">
        <f t="shared" ca="1" si="16"/>
        <v>0.24361065796628598</v>
      </c>
      <c r="L139">
        <f t="shared" ca="1" si="16"/>
        <v>0.17145044010715649</v>
      </c>
      <c r="M139">
        <f t="shared" ca="1" si="16"/>
        <v>0.31504922644163141</v>
      </c>
      <c r="N139">
        <f t="shared" ca="1" si="16"/>
        <v>0.20400728597449905</v>
      </c>
      <c r="O139">
        <f t="shared" ca="1" si="16"/>
        <v>0.12935323383084579</v>
      </c>
      <c r="P139">
        <f t="shared" ca="1" si="16"/>
        <v>0.1539162112932605</v>
      </c>
      <c r="Q139">
        <f t="shared" ca="1" si="16"/>
        <v>0.2166666666666667</v>
      </c>
      <c r="R139">
        <f t="shared" ca="1" si="16"/>
        <v>0.54420206659012627</v>
      </c>
      <c r="S139">
        <f t="shared" ca="1" si="16"/>
        <v>0.30080367393800228</v>
      </c>
      <c r="T139">
        <f t="shared" ca="1" si="16"/>
        <v>0.35792349726775957</v>
      </c>
      <c r="U139" s="5"/>
      <c r="V139" s="4">
        <f t="shared" si="13"/>
        <v>41932</v>
      </c>
      <c r="W139" s="5">
        <f t="shared" ca="1" si="11"/>
        <v>0.31504922644163141</v>
      </c>
      <c r="Z139" s="4" t="str">
        <f ca="1">IF(OFFSET(Sheet3!$A$1,0,0,300)="","",OFFSET(Sheet3!$A$1,0,0,300))</f>
        <v/>
      </c>
      <c r="AA139" s="5" t="str">
        <f ca="1">IF(OFFSET(Sheet3!$A$1,0,MATCH(W$1,Sheet3!$1:$1,0)-1,300)="","",OFFSET(Sheet3!$A$1,0,MATCH(W$1,Sheet3!$1:$1,0)-1,300))</f>
        <v/>
      </c>
      <c r="AB139" s="5" t="str">
        <f ca="1">IF(OFFSET(Sheet3!$A$1,0,MATCH(X$1,Sheet3!$1:$1,0)-1,300)="","",OFFSET(Sheet3!$A$1,0,MATCH(X$1,Sheet3!$1:$1,0)-1,300))</f>
        <v/>
      </c>
      <c r="AC139" t="str">
        <f t="shared" ca="1" si="17"/>
        <v/>
      </c>
      <c r="AD139" t="str">
        <f t="shared" ca="1" si="18"/>
        <v/>
      </c>
    </row>
    <row r="140" spans="1:30" x14ac:dyDescent="0.25">
      <c r="A140" s="4">
        <v>41929</v>
      </c>
      <c r="B140">
        <v>0.373</v>
      </c>
      <c r="C140" s="5">
        <v>0.78600000000000003</v>
      </c>
      <c r="D140">
        <v>1.4159999999999999</v>
      </c>
      <c r="E140">
        <v>1.859</v>
      </c>
      <c r="F140">
        <v>2.194</v>
      </c>
      <c r="G140">
        <v>2.968</v>
      </c>
      <c r="H140">
        <f t="shared" ca="1" si="16"/>
        <v>0.42395693135935392</v>
      </c>
      <c r="I140">
        <f t="shared" ca="1" si="16"/>
        <v>0.34596375617792419</v>
      </c>
      <c r="J140">
        <f t="shared" ca="1" si="16"/>
        <v>0.24277456647398843</v>
      </c>
      <c r="K140">
        <f t="shared" ca="1" si="16"/>
        <v>0.24327292696320707</v>
      </c>
      <c r="L140">
        <f t="shared" ca="1" si="16"/>
        <v>0.17071290944123318</v>
      </c>
      <c r="M140">
        <f t="shared" ca="1" si="16"/>
        <v>0.31463068181818188</v>
      </c>
      <c r="N140">
        <f t="shared" ca="1" si="16"/>
        <v>0.20302474793767189</v>
      </c>
      <c r="O140">
        <f t="shared" ca="1" si="16"/>
        <v>0.12909441233140656</v>
      </c>
      <c r="P140">
        <f t="shared" ca="1" si="16"/>
        <v>0.15352887259395048</v>
      </c>
      <c r="Q140">
        <f t="shared" ca="1" si="16"/>
        <v>0.21585051546391751</v>
      </c>
      <c r="R140">
        <f t="shared" ca="1" si="16"/>
        <v>0.54258188824662812</v>
      </c>
      <c r="S140">
        <f t="shared" ca="1" si="16"/>
        <v>0.29980732177263975</v>
      </c>
      <c r="T140">
        <f t="shared" ca="1" si="16"/>
        <v>0.35655362053162237</v>
      </c>
      <c r="U140" s="5"/>
      <c r="V140" s="4">
        <f t="shared" si="13"/>
        <v>41929</v>
      </c>
      <c r="W140" s="5">
        <f t="shared" ref="W140:W203" ca="1" si="19">OFFSET($H$12,0,MATCH(select,$H$12:$T$12,0)-1,300,1)</f>
        <v>0.31463068181818188</v>
      </c>
      <c r="Z140" s="4" t="str">
        <f ca="1">IF(OFFSET(Sheet3!$A$1,0,0,300)="","",OFFSET(Sheet3!$A$1,0,0,300))</f>
        <v/>
      </c>
      <c r="AA140" s="5" t="str">
        <f ca="1">IF(OFFSET(Sheet3!$A$1,0,MATCH(W$1,Sheet3!$1:$1,0)-1,300)="","",OFFSET(Sheet3!$A$1,0,MATCH(W$1,Sheet3!$1:$1,0)-1,300))</f>
        <v/>
      </c>
      <c r="AB140" s="5" t="str">
        <f ca="1">IF(OFFSET(Sheet3!$A$1,0,MATCH(X$1,Sheet3!$1:$1,0)-1,300)="","",OFFSET(Sheet3!$A$1,0,MATCH(X$1,Sheet3!$1:$1,0)-1,300))</f>
        <v/>
      </c>
      <c r="AC140" t="str">
        <f t="shared" ca="1" si="17"/>
        <v/>
      </c>
      <c r="AD140" t="str">
        <f t="shared" ca="1" si="18"/>
        <v/>
      </c>
    </row>
    <row r="141" spans="1:30" x14ac:dyDescent="0.25">
      <c r="A141" s="4">
        <v>41928</v>
      </c>
      <c r="B141">
        <v>0.34499999999999997</v>
      </c>
      <c r="C141" s="5">
        <v>0.75700000000000001</v>
      </c>
      <c r="D141">
        <v>1.381</v>
      </c>
      <c r="E141">
        <v>1.821</v>
      </c>
      <c r="F141">
        <v>2.157</v>
      </c>
      <c r="G141">
        <v>2.9359999999999999</v>
      </c>
      <c r="H141">
        <f t="shared" ref="H141:T156" ca="1" si="20">IF(ISERROR(ABS(OFFSET($A$11,ROW()-11,MATCH(LEFT(H$9,2),$A$11:$G$11,0)-1)-OFFSET($A$11,ROW()-11,MATCH(RIGHT(H$9,2),$A$11:$G$11,0)-1))/ABS(OFFSET($A$11,ROW()-11,MATCH(LEFT(H$10,2),$A$11:$G$11,0)-1)-OFFSET($A$11,ROW()-11,MATCH(RIGHT(H$10,2),$A$11:$G$11,0)-1))),"",ABS(OFFSET($A$11,ROW()-11,MATCH(LEFT(H$9,2),$A$11:$G$11,0)-1)-OFFSET($A$11,ROW()-11,MATCH(RIGHT(H$9,2),$A$11:$G$11,0)-1))/ABS(OFFSET($A$11,ROW()-11,MATCH(LEFT(H$10,2),$A$11:$G$11,0)-1)-OFFSET($A$11,ROW()-11,MATCH(RIGHT(H$10,2),$A$11:$G$11,0)-1)))</f>
        <v>0.42276422764227645</v>
      </c>
      <c r="I141">
        <f t="shared" ca="1" si="20"/>
        <v>0.3443708609271523</v>
      </c>
      <c r="J141">
        <f t="shared" ca="1" si="20"/>
        <v>0.24083365495947509</v>
      </c>
      <c r="K141">
        <f t="shared" ca="1" si="20"/>
        <v>0.24282560706401762</v>
      </c>
      <c r="L141">
        <f t="shared" ca="1" si="20"/>
        <v>0.16981860285604011</v>
      </c>
      <c r="M141">
        <f t="shared" ca="1" si="20"/>
        <v>0.31428571428571428</v>
      </c>
      <c r="N141">
        <f t="shared" ca="1" si="20"/>
        <v>0.20192748967416246</v>
      </c>
      <c r="O141">
        <f t="shared" ca="1" si="20"/>
        <v>0.1296796603627943</v>
      </c>
      <c r="P141">
        <f t="shared" ca="1" si="20"/>
        <v>0.15419917393299684</v>
      </c>
      <c r="Q141">
        <f t="shared" ca="1" si="20"/>
        <v>0.21607717041800648</v>
      </c>
      <c r="R141">
        <f t="shared" ca="1" si="20"/>
        <v>0.5403319181783095</v>
      </c>
      <c r="S141">
        <f t="shared" ca="1" si="20"/>
        <v>0.29949826321883444</v>
      </c>
      <c r="T141">
        <f t="shared" ca="1" si="20"/>
        <v>0.35612666360715928</v>
      </c>
      <c r="U141" s="5"/>
      <c r="V141" s="4">
        <f t="shared" si="13"/>
        <v>41928</v>
      </c>
      <c r="W141" s="5">
        <f t="shared" ca="1" si="19"/>
        <v>0.31428571428571428</v>
      </c>
      <c r="Z141" s="4" t="str">
        <f ca="1">IF(OFFSET(Sheet3!$A$1,0,0,300)="","",OFFSET(Sheet3!$A$1,0,0,300))</f>
        <v/>
      </c>
      <c r="AA141" s="5" t="str">
        <f ca="1">IF(OFFSET(Sheet3!$A$1,0,MATCH(W$1,Sheet3!$1:$1,0)-1,300)="","",OFFSET(Sheet3!$A$1,0,MATCH(W$1,Sheet3!$1:$1,0)-1,300))</f>
        <v/>
      </c>
      <c r="AB141" s="5" t="str">
        <f ca="1">IF(OFFSET(Sheet3!$A$1,0,MATCH(X$1,Sheet3!$1:$1,0)-1,300)="","",OFFSET(Sheet3!$A$1,0,MATCH(X$1,Sheet3!$1:$1,0)-1,300))</f>
        <v/>
      </c>
      <c r="AC141" t="str">
        <f t="shared" ca="1" si="17"/>
        <v/>
      </c>
      <c r="AD141" t="str">
        <f t="shared" ca="1" si="18"/>
        <v/>
      </c>
    </row>
    <row r="142" spans="1:30" x14ac:dyDescent="0.25">
      <c r="A142" s="4">
        <v>41927</v>
      </c>
      <c r="B142">
        <v>0.31</v>
      </c>
      <c r="C142" s="5">
        <v>0.71299999999999997</v>
      </c>
      <c r="D142">
        <v>1.3439999999999999</v>
      </c>
      <c r="E142">
        <v>1.79</v>
      </c>
      <c r="F142">
        <v>2.137</v>
      </c>
      <c r="G142">
        <v>2.9180000000000001</v>
      </c>
      <c r="H142">
        <f t="shared" ca="1" si="20"/>
        <v>0.42635135135135127</v>
      </c>
      <c r="I142">
        <f t="shared" ca="1" si="20"/>
        <v>0.34537493158182808</v>
      </c>
      <c r="J142">
        <f t="shared" ca="1" si="20"/>
        <v>0.24194785276073616</v>
      </c>
      <c r="K142">
        <f t="shared" ca="1" si="20"/>
        <v>0.2441160372194856</v>
      </c>
      <c r="L142">
        <f t="shared" ca="1" si="20"/>
        <v>0.17101226993865037</v>
      </c>
      <c r="M142">
        <f t="shared" ca="1" si="20"/>
        <v>0.31320224719101136</v>
      </c>
      <c r="N142">
        <f t="shared" ca="1" si="20"/>
        <v>0.2022675736961452</v>
      </c>
      <c r="O142">
        <f t="shared" ca="1" si="20"/>
        <v>0.13305214723926378</v>
      </c>
      <c r="P142">
        <f t="shared" ca="1" si="20"/>
        <v>0.15736961451247164</v>
      </c>
      <c r="Q142">
        <f t="shared" ca="1" si="20"/>
        <v>0.22045743329097833</v>
      </c>
      <c r="R142">
        <f t="shared" ca="1" si="20"/>
        <v>0.54601226993865026</v>
      </c>
      <c r="S142">
        <f t="shared" ca="1" si="20"/>
        <v>0.30406441717791416</v>
      </c>
      <c r="T142">
        <f t="shared" ca="1" si="20"/>
        <v>0.35963718820861684</v>
      </c>
      <c r="U142" s="5"/>
      <c r="V142" s="4">
        <f t="shared" ref="V142:V205" si="21">IF(A142&lt;&gt;"",A142,"")</f>
        <v>41927</v>
      </c>
      <c r="W142" s="5">
        <f t="shared" ca="1" si="19"/>
        <v>0.31320224719101136</v>
      </c>
      <c r="Z142" s="4" t="str">
        <f ca="1">IF(OFFSET(Sheet3!$A$1,0,0,300)="","",OFFSET(Sheet3!$A$1,0,0,300))</f>
        <v/>
      </c>
      <c r="AA142" s="5" t="str">
        <f ca="1">IF(OFFSET(Sheet3!$A$1,0,MATCH(W$1,Sheet3!$1:$1,0)-1,300)="","",OFFSET(Sheet3!$A$1,0,MATCH(W$1,Sheet3!$1:$1,0)-1,300))</f>
        <v/>
      </c>
      <c r="AB142" s="5" t="str">
        <f ca="1">IF(OFFSET(Sheet3!$A$1,0,MATCH(X$1,Sheet3!$1:$1,0)-1,300)="","",OFFSET(Sheet3!$A$1,0,MATCH(X$1,Sheet3!$1:$1,0)-1,300))</f>
        <v/>
      </c>
      <c r="AC142" t="str">
        <f t="shared" ca="1" si="17"/>
        <v/>
      </c>
      <c r="AD142" t="str">
        <f t="shared" ca="1" si="18"/>
        <v/>
      </c>
    </row>
    <row r="143" spans="1:30" x14ac:dyDescent="0.25">
      <c r="A143" s="4">
        <v>41926</v>
      </c>
      <c r="B143">
        <v>0.37</v>
      </c>
      <c r="C143" s="5">
        <v>0.8</v>
      </c>
      <c r="D143">
        <v>1.4410000000000001</v>
      </c>
      <c r="E143">
        <v>1.8780000000000001</v>
      </c>
      <c r="F143">
        <v>2.198</v>
      </c>
      <c r="G143">
        <v>2.9539999999999997</v>
      </c>
      <c r="H143">
        <f t="shared" ca="1" si="20"/>
        <v>0.42506631299734748</v>
      </c>
      <c r="I143">
        <f t="shared" ca="1" si="20"/>
        <v>0.35065645514223198</v>
      </c>
      <c r="J143">
        <f t="shared" ca="1" si="20"/>
        <v>0.24806501547987619</v>
      </c>
      <c r="K143">
        <f t="shared" ca="1" si="20"/>
        <v>0.23905908096280093</v>
      </c>
      <c r="L143">
        <f t="shared" ca="1" si="20"/>
        <v>0.16911764705882357</v>
      </c>
      <c r="M143">
        <f t="shared" ca="1" si="20"/>
        <v>0.31258941344778263</v>
      </c>
      <c r="N143">
        <f t="shared" ca="1" si="20"/>
        <v>0.2028783658310121</v>
      </c>
      <c r="O143">
        <f t="shared" ca="1" si="20"/>
        <v>0.12383900928792566</v>
      </c>
      <c r="P143">
        <f t="shared" ca="1" si="20"/>
        <v>0.1485608170844939</v>
      </c>
      <c r="Q143">
        <f t="shared" ca="1" si="20"/>
        <v>0.21150033046926631</v>
      </c>
      <c r="R143">
        <f t="shared" ca="1" si="20"/>
        <v>0.54102167182662542</v>
      </c>
      <c r="S143">
        <f t="shared" ca="1" si="20"/>
        <v>0.29295665634674922</v>
      </c>
      <c r="T143">
        <f t="shared" ca="1" si="20"/>
        <v>0.35143918291550602</v>
      </c>
      <c r="U143" s="5"/>
      <c r="V143" s="4">
        <f t="shared" si="21"/>
        <v>41926</v>
      </c>
      <c r="W143" s="5">
        <f t="shared" ca="1" si="19"/>
        <v>0.31258941344778263</v>
      </c>
      <c r="Z143" s="4" t="str">
        <f ca="1">IF(OFFSET(Sheet3!$A$1,0,0,300)="","",OFFSET(Sheet3!$A$1,0,0,300))</f>
        <v/>
      </c>
      <c r="AA143" s="5" t="str">
        <f ca="1">IF(OFFSET(Sheet3!$A$1,0,MATCH(W$1,Sheet3!$1:$1,0)-1,300)="","",OFFSET(Sheet3!$A$1,0,MATCH(W$1,Sheet3!$1:$1,0)-1,300))</f>
        <v/>
      </c>
      <c r="AB143" s="5" t="str">
        <f ca="1">IF(OFFSET(Sheet3!$A$1,0,MATCH(X$1,Sheet3!$1:$1,0)-1,300)="","",OFFSET(Sheet3!$A$1,0,MATCH(X$1,Sheet3!$1:$1,0)-1,300))</f>
        <v/>
      </c>
      <c r="AC143" t="str">
        <f t="shared" ca="1" si="17"/>
        <v/>
      </c>
      <c r="AD143" t="str">
        <f t="shared" ca="1" si="18"/>
        <v/>
      </c>
    </row>
    <row r="144" spans="1:30" x14ac:dyDescent="0.25">
      <c r="A144" s="4">
        <v>41925</v>
      </c>
      <c r="B144">
        <v>0.42599999999999999</v>
      </c>
      <c r="C144" s="5">
        <v>0.879</v>
      </c>
      <c r="D144">
        <v>1.532</v>
      </c>
      <c r="E144">
        <v>1.9689999999999999</v>
      </c>
      <c r="F144">
        <v>2.2810000000000001</v>
      </c>
      <c r="G144">
        <v>3.0129999999999999</v>
      </c>
      <c r="H144">
        <f t="shared" ca="1" si="20"/>
        <v>0.42320155541153598</v>
      </c>
      <c r="I144">
        <f t="shared" ca="1" si="20"/>
        <v>0.35202156334231804</v>
      </c>
      <c r="J144">
        <f t="shared" ca="1" si="20"/>
        <v>0.25241592578276001</v>
      </c>
      <c r="K144">
        <f t="shared" ca="1" si="20"/>
        <v>0.23557951482479772</v>
      </c>
      <c r="L144">
        <f t="shared" ca="1" si="20"/>
        <v>0.16892153073057592</v>
      </c>
      <c r="M144">
        <f t="shared" ca="1" si="20"/>
        <v>0.31169757489300981</v>
      </c>
      <c r="N144">
        <f t="shared" ca="1" si="20"/>
        <v>0.204779756326148</v>
      </c>
      <c r="O144">
        <f t="shared" ca="1" si="20"/>
        <v>0.120603015075377</v>
      </c>
      <c r="P144">
        <f t="shared" ca="1" si="20"/>
        <v>0.14620431115276489</v>
      </c>
      <c r="Q144">
        <f t="shared" ca="1" si="20"/>
        <v>0.21066846725185706</v>
      </c>
      <c r="R144">
        <f t="shared" ca="1" si="20"/>
        <v>0.54194047158871295</v>
      </c>
      <c r="S144">
        <f t="shared" ca="1" si="20"/>
        <v>0.28952454580595294</v>
      </c>
      <c r="T144">
        <f t="shared" ca="1" si="20"/>
        <v>0.35098406747891292</v>
      </c>
      <c r="U144" s="5"/>
      <c r="V144" s="4">
        <f t="shared" si="21"/>
        <v>41925</v>
      </c>
      <c r="W144" s="5">
        <f t="shared" ca="1" si="19"/>
        <v>0.31169757489300981</v>
      </c>
      <c r="Z144" s="4" t="str">
        <f ca="1">IF(OFFSET(Sheet3!$A$1,0,0,300)="","",OFFSET(Sheet3!$A$1,0,0,300))</f>
        <v/>
      </c>
      <c r="AA144" s="5" t="str">
        <f ca="1">IF(OFFSET(Sheet3!$A$1,0,MATCH(W$1,Sheet3!$1:$1,0)-1,300)="","",OFFSET(Sheet3!$A$1,0,MATCH(W$1,Sheet3!$1:$1,0)-1,300))</f>
        <v/>
      </c>
      <c r="AB144" s="5" t="str">
        <f ca="1">IF(OFFSET(Sheet3!$A$1,0,MATCH(X$1,Sheet3!$1:$1,0)-1,300)="","",OFFSET(Sheet3!$A$1,0,MATCH(X$1,Sheet3!$1:$1,0)-1,300))</f>
        <v/>
      </c>
      <c r="AC144" t="str">
        <f t="shared" ca="1" si="17"/>
        <v/>
      </c>
      <c r="AD144" t="str">
        <f t="shared" ca="1" si="18"/>
        <v/>
      </c>
    </row>
    <row r="145" spans="1:30" x14ac:dyDescent="0.25">
      <c r="A145" s="4">
        <v>41922</v>
      </c>
      <c r="B145">
        <v>0.42599999999999999</v>
      </c>
      <c r="C145" s="5">
        <v>0.879</v>
      </c>
      <c r="D145">
        <v>1.532</v>
      </c>
      <c r="E145">
        <v>1.9689999999999999</v>
      </c>
      <c r="F145">
        <v>2.2810000000000001</v>
      </c>
      <c r="G145">
        <v>3.0129999999999999</v>
      </c>
      <c r="H145">
        <f t="shared" ca="1" si="20"/>
        <v>0.42320155541153598</v>
      </c>
      <c r="I145">
        <f t="shared" ca="1" si="20"/>
        <v>0.35202156334231804</v>
      </c>
      <c r="J145">
        <f t="shared" ca="1" si="20"/>
        <v>0.25241592578276001</v>
      </c>
      <c r="K145">
        <f t="shared" ca="1" si="20"/>
        <v>0.23557951482479772</v>
      </c>
      <c r="L145">
        <f t="shared" ca="1" si="20"/>
        <v>0.16892153073057592</v>
      </c>
      <c r="M145">
        <f t="shared" ca="1" si="20"/>
        <v>0.31169757489300981</v>
      </c>
      <c r="N145">
        <f t="shared" ca="1" si="20"/>
        <v>0.204779756326148</v>
      </c>
      <c r="O145">
        <f t="shared" ca="1" si="20"/>
        <v>0.120603015075377</v>
      </c>
      <c r="P145">
        <f t="shared" ca="1" si="20"/>
        <v>0.14620431115276489</v>
      </c>
      <c r="Q145">
        <f t="shared" ca="1" si="20"/>
        <v>0.21066846725185706</v>
      </c>
      <c r="R145">
        <f t="shared" ca="1" si="20"/>
        <v>0.54194047158871295</v>
      </c>
      <c r="S145">
        <f t="shared" ca="1" si="20"/>
        <v>0.28952454580595294</v>
      </c>
      <c r="T145">
        <f t="shared" ca="1" si="20"/>
        <v>0.35098406747891292</v>
      </c>
      <c r="U145" s="5"/>
      <c r="V145" s="4">
        <f t="shared" si="21"/>
        <v>41922</v>
      </c>
      <c r="W145" s="5">
        <f t="shared" ca="1" si="19"/>
        <v>0.31169757489300981</v>
      </c>
      <c r="Z145" s="4" t="str">
        <f ca="1">IF(OFFSET(Sheet3!$A$1,0,0,300)="","",OFFSET(Sheet3!$A$1,0,0,300))</f>
        <v/>
      </c>
      <c r="AA145" s="5" t="str">
        <f ca="1">IF(OFFSET(Sheet3!$A$1,0,MATCH(W$1,Sheet3!$1:$1,0)-1,300)="","",OFFSET(Sheet3!$A$1,0,MATCH(W$1,Sheet3!$1:$1,0)-1,300))</f>
        <v/>
      </c>
      <c r="AB145" s="5" t="str">
        <f ca="1">IF(OFFSET(Sheet3!$A$1,0,MATCH(X$1,Sheet3!$1:$1,0)-1,300)="","",OFFSET(Sheet3!$A$1,0,MATCH(X$1,Sheet3!$1:$1,0)-1,300))</f>
        <v/>
      </c>
      <c r="AC145" t="str">
        <f t="shared" ca="1" si="17"/>
        <v/>
      </c>
      <c r="AD145" t="str">
        <f t="shared" ca="1" si="18"/>
        <v/>
      </c>
    </row>
    <row r="146" spans="1:30" x14ac:dyDescent="0.25">
      <c r="A146" s="4">
        <v>41921</v>
      </c>
      <c r="B146">
        <v>0.442</v>
      </c>
      <c r="C146" s="5">
        <v>0.90500000000000003</v>
      </c>
      <c r="D146">
        <v>1.5609999999999999</v>
      </c>
      <c r="E146">
        <v>1.998</v>
      </c>
      <c r="F146">
        <v>2.3140000000000001</v>
      </c>
      <c r="G146">
        <v>3.05</v>
      </c>
      <c r="H146">
        <f t="shared" ca="1" si="20"/>
        <v>0.42159383033419018</v>
      </c>
      <c r="I146">
        <f t="shared" ca="1" si="20"/>
        <v>0.35042735042735035</v>
      </c>
      <c r="J146">
        <f t="shared" ca="1" si="20"/>
        <v>0.25153374233128833</v>
      </c>
      <c r="K146">
        <f t="shared" ca="1" si="20"/>
        <v>0.23344017094017094</v>
      </c>
      <c r="L146">
        <f t="shared" ca="1" si="20"/>
        <v>0.16756134969325157</v>
      </c>
      <c r="M146">
        <f t="shared" ca="1" si="20"/>
        <v>0.31014904187366932</v>
      </c>
      <c r="N146">
        <f t="shared" ca="1" si="20"/>
        <v>0.2037296037296038</v>
      </c>
      <c r="O146">
        <f t="shared" ca="1" si="20"/>
        <v>0.12116564417177918</v>
      </c>
      <c r="P146">
        <f t="shared" ca="1" si="20"/>
        <v>0.14731934731934737</v>
      </c>
      <c r="Q146">
        <f t="shared" ca="1" si="20"/>
        <v>0.21222296843519145</v>
      </c>
      <c r="R146">
        <f t="shared" ca="1" si="20"/>
        <v>0.54026073619631909</v>
      </c>
      <c r="S146">
        <f t="shared" ca="1" si="20"/>
        <v>0.28872699386503076</v>
      </c>
      <c r="T146">
        <f t="shared" ca="1" si="20"/>
        <v>0.35104895104895117</v>
      </c>
      <c r="U146" s="5"/>
      <c r="V146" s="4">
        <f t="shared" si="21"/>
        <v>41921</v>
      </c>
      <c r="W146" s="5">
        <f t="shared" ca="1" si="19"/>
        <v>0.31014904187366932</v>
      </c>
      <c r="Z146" s="4" t="str">
        <f ca="1">IF(OFFSET(Sheet3!$A$1,0,0,300)="","",OFFSET(Sheet3!$A$1,0,0,300))</f>
        <v/>
      </c>
      <c r="AA146" s="5" t="str">
        <f ca="1">IF(OFFSET(Sheet3!$A$1,0,MATCH(W$1,Sheet3!$1:$1,0)-1,300)="","",OFFSET(Sheet3!$A$1,0,MATCH(W$1,Sheet3!$1:$1,0)-1,300))</f>
        <v/>
      </c>
      <c r="AB146" s="5" t="str">
        <f ca="1">IF(OFFSET(Sheet3!$A$1,0,MATCH(X$1,Sheet3!$1:$1,0)-1,300)="","",OFFSET(Sheet3!$A$1,0,MATCH(X$1,Sheet3!$1:$1,0)-1,300))</f>
        <v/>
      </c>
      <c r="AC146" t="str">
        <f t="shared" ca="1" si="17"/>
        <v/>
      </c>
      <c r="AD146" t="str">
        <f t="shared" ca="1" si="18"/>
        <v/>
      </c>
    </row>
    <row r="147" spans="1:30" x14ac:dyDescent="0.25">
      <c r="A147" s="4">
        <v>41920</v>
      </c>
      <c r="B147">
        <v>0.45</v>
      </c>
      <c r="C147" s="5">
        <v>0.90300000000000002</v>
      </c>
      <c r="D147">
        <v>1.5510000000000002</v>
      </c>
      <c r="E147">
        <v>1.998</v>
      </c>
      <c r="F147">
        <v>2.3220000000000001</v>
      </c>
      <c r="G147">
        <v>3.06</v>
      </c>
      <c r="H147">
        <f t="shared" ca="1" si="20"/>
        <v>0.41860465116279078</v>
      </c>
      <c r="I147">
        <f t="shared" ca="1" si="20"/>
        <v>0.3461538461538462</v>
      </c>
      <c r="J147">
        <f t="shared" ca="1" si="20"/>
        <v>0.24827586206896557</v>
      </c>
      <c r="K147">
        <f t="shared" ca="1" si="20"/>
        <v>0.23878205128205118</v>
      </c>
      <c r="L147">
        <f t="shared" ca="1" si="20"/>
        <v>0.17126436781609189</v>
      </c>
      <c r="M147">
        <f t="shared" ca="1" si="20"/>
        <v>0.31501057082452422</v>
      </c>
      <c r="N147">
        <f t="shared" ca="1" si="20"/>
        <v>0.20723226703755207</v>
      </c>
      <c r="O147">
        <f t="shared" ca="1" si="20"/>
        <v>0.12413793103448278</v>
      </c>
      <c r="P147">
        <f t="shared" ca="1" si="20"/>
        <v>0.15020862308762173</v>
      </c>
      <c r="Q147">
        <f t="shared" ca="1" si="20"/>
        <v>0.21471172962226645</v>
      </c>
      <c r="R147">
        <f t="shared" ca="1" si="20"/>
        <v>0.54367816091954024</v>
      </c>
      <c r="S147">
        <f t="shared" ca="1" si="20"/>
        <v>0.29540229885057467</v>
      </c>
      <c r="T147">
        <f t="shared" ca="1" si="20"/>
        <v>0.35744089012517383</v>
      </c>
      <c r="U147" s="5"/>
      <c r="V147" s="4">
        <f t="shared" si="21"/>
        <v>41920</v>
      </c>
      <c r="W147" s="5">
        <f t="shared" ca="1" si="19"/>
        <v>0.31501057082452422</v>
      </c>
      <c r="Z147" s="4" t="str">
        <f ca="1">IF(OFFSET(Sheet3!$A$1,0,0,300)="","",OFFSET(Sheet3!$A$1,0,0,300))</f>
        <v/>
      </c>
      <c r="AA147" s="5" t="str">
        <f ca="1">IF(OFFSET(Sheet3!$A$1,0,MATCH(W$1,Sheet3!$1:$1,0)-1,300)="","",OFFSET(Sheet3!$A$1,0,MATCH(W$1,Sheet3!$1:$1,0)-1,300))</f>
        <v/>
      </c>
      <c r="AB147" s="5" t="str">
        <f ca="1">IF(OFFSET(Sheet3!$A$1,0,MATCH(X$1,Sheet3!$1:$1,0)-1,300)="","",OFFSET(Sheet3!$A$1,0,MATCH(X$1,Sheet3!$1:$1,0)-1,300))</f>
        <v/>
      </c>
      <c r="AC147" t="str">
        <f t="shared" ca="1" si="17"/>
        <v/>
      </c>
      <c r="AD147" t="str">
        <f t="shared" ca="1" si="18"/>
        <v/>
      </c>
    </row>
    <row r="148" spans="1:30" x14ac:dyDescent="0.25">
      <c r="A148" s="4">
        <v>41919</v>
      </c>
      <c r="B148">
        <v>0.50600000000000001</v>
      </c>
      <c r="C148" s="5">
        <v>0.94499999999999995</v>
      </c>
      <c r="D148">
        <v>1.623</v>
      </c>
      <c r="E148">
        <v>2.0489999999999999</v>
      </c>
      <c r="F148">
        <v>2.34</v>
      </c>
      <c r="G148">
        <v>3.0470000000000002</v>
      </c>
      <c r="H148">
        <f t="shared" ca="1" si="20"/>
        <v>0.43940375891121197</v>
      </c>
      <c r="I148">
        <f t="shared" ca="1" si="20"/>
        <v>0.36968375136314074</v>
      </c>
      <c r="J148">
        <f t="shared" ca="1" si="20"/>
        <v>0.26682408500590316</v>
      </c>
      <c r="K148">
        <f t="shared" ca="1" si="20"/>
        <v>0.2322791712104689</v>
      </c>
      <c r="L148">
        <f t="shared" ca="1" si="20"/>
        <v>0.16765053128689486</v>
      </c>
      <c r="M148">
        <f t="shared" ca="1" si="20"/>
        <v>0.30537634408602143</v>
      </c>
      <c r="N148">
        <f t="shared" ca="1" si="20"/>
        <v>0.20266412940057082</v>
      </c>
      <c r="O148">
        <f t="shared" ca="1" si="20"/>
        <v>0.11452184179456902</v>
      </c>
      <c r="P148">
        <f t="shared" ca="1" si="20"/>
        <v>0.13843958135109413</v>
      </c>
      <c r="Q148">
        <f t="shared" ca="1" si="20"/>
        <v>0.20435393258426959</v>
      </c>
      <c r="R148">
        <f t="shared" ca="1" si="20"/>
        <v>0.54899645808736708</v>
      </c>
      <c r="S148">
        <f t="shared" ca="1" si="20"/>
        <v>0.28217237308146387</v>
      </c>
      <c r="T148">
        <f t="shared" ca="1" si="20"/>
        <v>0.34110371075166496</v>
      </c>
      <c r="U148" s="5"/>
      <c r="V148" s="4">
        <f t="shared" si="21"/>
        <v>41919</v>
      </c>
      <c r="W148" s="5">
        <f t="shared" ca="1" si="19"/>
        <v>0.30537634408602143</v>
      </c>
      <c r="Z148" s="4" t="str">
        <f ca="1">IF(OFFSET(Sheet3!$A$1,0,0,300)="","",OFFSET(Sheet3!$A$1,0,0,300))</f>
        <v/>
      </c>
      <c r="AA148" s="5" t="str">
        <f ca="1">IF(OFFSET(Sheet3!$A$1,0,MATCH(W$1,Sheet3!$1:$1,0)-1,300)="","",OFFSET(Sheet3!$A$1,0,MATCH(W$1,Sheet3!$1:$1,0)-1,300))</f>
        <v/>
      </c>
      <c r="AB148" s="5" t="str">
        <f ca="1">IF(OFFSET(Sheet3!$A$1,0,MATCH(X$1,Sheet3!$1:$1,0)-1,300)="","",OFFSET(Sheet3!$A$1,0,MATCH(X$1,Sheet3!$1:$1,0)-1,300))</f>
        <v/>
      </c>
      <c r="AC148" t="str">
        <f t="shared" ca="1" si="17"/>
        <v/>
      </c>
      <c r="AD148" t="str">
        <f t="shared" ca="1" si="18"/>
        <v/>
      </c>
    </row>
    <row r="149" spans="1:30" x14ac:dyDescent="0.25">
      <c r="A149" s="4">
        <v>41918</v>
      </c>
      <c r="B149">
        <v>0.53400000000000003</v>
      </c>
      <c r="C149" s="5">
        <v>0.996</v>
      </c>
      <c r="D149">
        <v>1.6930000000000001</v>
      </c>
      <c r="E149">
        <v>2.129</v>
      </c>
      <c r="F149">
        <v>2.4209999999999998</v>
      </c>
      <c r="G149">
        <v>3.1280000000000001</v>
      </c>
      <c r="H149">
        <f t="shared" ca="1" si="20"/>
        <v>0.43699059561128534</v>
      </c>
      <c r="I149">
        <f t="shared" ca="1" si="20"/>
        <v>0.36936936936936943</v>
      </c>
      <c r="J149">
        <f t="shared" ca="1" si="20"/>
        <v>0.26869699306090977</v>
      </c>
      <c r="K149">
        <f t="shared" ca="1" si="20"/>
        <v>0.23105458399576045</v>
      </c>
      <c r="L149">
        <f t="shared" ca="1" si="20"/>
        <v>0.16808018504240552</v>
      </c>
      <c r="M149">
        <f t="shared" ca="1" si="20"/>
        <v>0.30596491228070177</v>
      </c>
      <c r="N149">
        <f t="shared" ca="1" si="20"/>
        <v>0.20450281425891179</v>
      </c>
      <c r="O149">
        <f t="shared" ca="1" si="20"/>
        <v>0.11256746337702382</v>
      </c>
      <c r="P149">
        <f t="shared" ca="1" si="20"/>
        <v>0.13696060037523441</v>
      </c>
      <c r="Q149">
        <f t="shared" ca="1" si="20"/>
        <v>0.20348432055749116</v>
      </c>
      <c r="R149">
        <f t="shared" ca="1" si="20"/>
        <v>0.54934464148033912</v>
      </c>
      <c r="S149">
        <f t="shared" ca="1" si="20"/>
        <v>0.28064764841942935</v>
      </c>
      <c r="T149">
        <f t="shared" ca="1" si="20"/>
        <v>0.3414634146341462</v>
      </c>
      <c r="U149" s="5"/>
      <c r="V149" s="4">
        <f t="shared" si="21"/>
        <v>41918</v>
      </c>
      <c r="W149" s="5">
        <f t="shared" ca="1" si="19"/>
        <v>0.30596491228070177</v>
      </c>
      <c r="Z149" s="4" t="str">
        <f ca="1">IF(OFFSET(Sheet3!$A$1,0,0,300)="","",OFFSET(Sheet3!$A$1,0,0,300))</f>
        <v/>
      </c>
      <c r="AA149" s="5" t="str">
        <f ca="1">IF(OFFSET(Sheet3!$A$1,0,MATCH(W$1,Sheet3!$1:$1,0)-1,300)="","",OFFSET(Sheet3!$A$1,0,MATCH(W$1,Sheet3!$1:$1,0)-1,300))</f>
        <v/>
      </c>
      <c r="AB149" s="5" t="str">
        <f ca="1">IF(OFFSET(Sheet3!$A$1,0,MATCH(X$1,Sheet3!$1:$1,0)-1,300)="","",OFFSET(Sheet3!$A$1,0,MATCH(X$1,Sheet3!$1:$1,0)-1,300))</f>
        <v/>
      </c>
      <c r="AC149" t="str">
        <f t="shared" ca="1" si="17"/>
        <v/>
      </c>
      <c r="AD149" t="str">
        <f t="shared" ca="1" si="18"/>
        <v/>
      </c>
    </row>
    <row r="150" spans="1:30" x14ac:dyDescent="0.25">
      <c r="A150" s="4">
        <v>41915</v>
      </c>
      <c r="B150">
        <v>0.55900000000000005</v>
      </c>
      <c r="C150" s="5">
        <v>1.0309999999999999</v>
      </c>
      <c r="D150">
        <v>1.7229999999999999</v>
      </c>
      <c r="E150">
        <v>2.153</v>
      </c>
      <c r="F150">
        <v>2.4350000000000001</v>
      </c>
      <c r="G150">
        <v>3.1240000000000001</v>
      </c>
      <c r="H150">
        <f t="shared" ca="1" si="20"/>
        <v>0.43412797992471769</v>
      </c>
      <c r="I150">
        <f t="shared" ca="1" si="20"/>
        <v>0.36886993603411511</v>
      </c>
      <c r="J150">
        <f t="shared" ca="1" si="20"/>
        <v>0.26978557504873291</v>
      </c>
      <c r="K150">
        <f t="shared" ca="1" si="20"/>
        <v>0.22921108742004273</v>
      </c>
      <c r="L150">
        <f t="shared" ca="1" si="20"/>
        <v>0.16764132553606245</v>
      </c>
      <c r="M150">
        <f t="shared" ca="1" si="20"/>
        <v>0.30626780626780636</v>
      </c>
      <c r="N150">
        <f t="shared" ca="1" si="20"/>
        <v>0.20544672718585769</v>
      </c>
      <c r="O150">
        <f t="shared" ca="1" si="20"/>
        <v>0.10994152046783627</v>
      </c>
      <c r="P150">
        <f t="shared" ca="1" si="20"/>
        <v>0.13473483038700432</v>
      </c>
      <c r="Q150">
        <f t="shared" ca="1" si="20"/>
        <v>0.2012847965738758</v>
      </c>
      <c r="R150">
        <f t="shared" ca="1" si="20"/>
        <v>0.54736842105263162</v>
      </c>
      <c r="S150">
        <f t="shared" ca="1" si="20"/>
        <v>0.27758284600389871</v>
      </c>
      <c r="T150">
        <f t="shared" ca="1" si="20"/>
        <v>0.340181557572862</v>
      </c>
      <c r="U150" s="5"/>
      <c r="V150" s="4">
        <f t="shared" si="21"/>
        <v>41915</v>
      </c>
      <c r="W150" s="5">
        <f t="shared" ca="1" si="19"/>
        <v>0.30626780626780636</v>
      </c>
      <c r="Z150" s="4" t="str">
        <f ca="1">IF(OFFSET(Sheet3!$A$1,0,0,300)="","",OFFSET(Sheet3!$A$1,0,0,300))</f>
        <v/>
      </c>
      <c r="AA150" s="5" t="str">
        <f ca="1">IF(OFFSET(Sheet3!$A$1,0,MATCH(W$1,Sheet3!$1:$1,0)-1,300)="","",OFFSET(Sheet3!$A$1,0,MATCH(W$1,Sheet3!$1:$1,0)-1,300))</f>
        <v/>
      </c>
      <c r="AB150" s="5" t="str">
        <f ca="1">IF(OFFSET(Sheet3!$A$1,0,MATCH(X$1,Sheet3!$1:$1,0)-1,300)="","",OFFSET(Sheet3!$A$1,0,MATCH(X$1,Sheet3!$1:$1,0)-1,300))</f>
        <v/>
      </c>
      <c r="AC150" t="str">
        <f t="shared" ca="1" si="17"/>
        <v/>
      </c>
      <c r="AD150" t="str">
        <f t="shared" ca="1" si="18"/>
        <v/>
      </c>
    </row>
    <row r="151" spans="1:30" x14ac:dyDescent="0.25">
      <c r="A151" s="4">
        <v>41914</v>
      </c>
      <c r="B151">
        <v>0.52600000000000002</v>
      </c>
      <c r="C151" s="5">
        <v>0.98</v>
      </c>
      <c r="D151">
        <v>1.6850000000000001</v>
      </c>
      <c r="E151">
        <v>2.1310000000000002</v>
      </c>
      <c r="F151">
        <v>2.4260000000000002</v>
      </c>
      <c r="G151">
        <v>3.1429999999999998</v>
      </c>
      <c r="H151">
        <f t="shared" ca="1" si="20"/>
        <v>0.43925233644859812</v>
      </c>
      <c r="I151">
        <f t="shared" ca="1" si="20"/>
        <v>0.37105263157894736</v>
      </c>
      <c r="J151">
        <f t="shared" ca="1" si="20"/>
        <v>0.26939243408482999</v>
      </c>
      <c r="K151">
        <f t="shared" ca="1" si="20"/>
        <v>0.23473684210526324</v>
      </c>
      <c r="L151">
        <f t="shared" ca="1" si="20"/>
        <v>0.17042414978983575</v>
      </c>
      <c r="M151">
        <f t="shared" ca="1" si="20"/>
        <v>0.30843706777316743</v>
      </c>
      <c r="N151">
        <f t="shared" ca="1" si="20"/>
        <v>0.20619509939898301</v>
      </c>
      <c r="O151">
        <f t="shared" ca="1" si="20"/>
        <v>0.11272449369507066</v>
      </c>
      <c r="P151">
        <f t="shared" ca="1" si="20"/>
        <v>0.13638465094775773</v>
      </c>
      <c r="Q151">
        <f t="shared" ca="1" si="20"/>
        <v>0.20233196159122083</v>
      </c>
      <c r="R151">
        <f t="shared" ca="1" si="20"/>
        <v>0.55254107756973636</v>
      </c>
      <c r="S151">
        <f t="shared" ca="1" si="20"/>
        <v>0.28314864348490643</v>
      </c>
      <c r="T151">
        <f t="shared" ca="1" si="20"/>
        <v>0.34257975034674071</v>
      </c>
      <c r="U151" s="5"/>
      <c r="V151" s="4">
        <f t="shared" si="21"/>
        <v>41914</v>
      </c>
      <c r="W151" s="5">
        <f t="shared" ca="1" si="19"/>
        <v>0.30843706777316743</v>
      </c>
      <c r="Z151" s="4" t="str">
        <f ca="1">IF(OFFSET(Sheet3!$A$1,0,0,300)="","",OFFSET(Sheet3!$A$1,0,0,300))</f>
        <v/>
      </c>
      <c r="AA151" s="5" t="str">
        <f ca="1">IF(OFFSET(Sheet3!$A$1,0,MATCH(W$1,Sheet3!$1:$1,0)-1,300)="","",OFFSET(Sheet3!$A$1,0,MATCH(W$1,Sheet3!$1:$1,0)-1,300))</f>
        <v/>
      </c>
      <c r="AB151" s="5" t="str">
        <f ca="1">IF(OFFSET(Sheet3!$A$1,0,MATCH(X$1,Sheet3!$1:$1,0)-1,300)="","",OFFSET(Sheet3!$A$1,0,MATCH(X$1,Sheet3!$1:$1,0)-1,300))</f>
        <v/>
      </c>
      <c r="AC151" t="str">
        <f t="shared" ca="1" si="17"/>
        <v/>
      </c>
      <c r="AD151" t="str">
        <f t="shared" ca="1" si="18"/>
        <v/>
      </c>
    </row>
    <row r="152" spans="1:30" x14ac:dyDescent="0.25">
      <c r="A152" s="4">
        <v>41913</v>
      </c>
      <c r="B152">
        <v>0.51800000000000002</v>
      </c>
      <c r="C152" s="5">
        <v>0.97199999999999998</v>
      </c>
      <c r="D152">
        <v>1.671</v>
      </c>
      <c r="E152">
        <v>2.1019999999999999</v>
      </c>
      <c r="F152">
        <v>2.3860000000000001</v>
      </c>
      <c r="G152">
        <v>3.0920000000000001</v>
      </c>
      <c r="H152">
        <f t="shared" ca="1" si="20"/>
        <v>0.4412878787878789</v>
      </c>
      <c r="I152">
        <f t="shared" ca="1" si="20"/>
        <v>0.37419700214132762</v>
      </c>
      <c r="J152">
        <f t="shared" ca="1" si="20"/>
        <v>0.27156177156177158</v>
      </c>
      <c r="K152">
        <f t="shared" ca="1" si="20"/>
        <v>0.23072805139186284</v>
      </c>
      <c r="L152">
        <f t="shared" ca="1" si="20"/>
        <v>0.1674436674436674</v>
      </c>
      <c r="M152">
        <f t="shared" ca="1" si="20"/>
        <v>0.30480905233380468</v>
      </c>
      <c r="N152">
        <f t="shared" ca="1" si="20"/>
        <v>0.20330188679245273</v>
      </c>
      <c r="O152">
        <f t="shared" ca="1" si="20"/>
        <v>0.11033411033411043</v>
      </c>
      <c r="P152">
        <f t="shared" ca="1" si="20"/>
        <v>0.13396226415094351</v>
      </c>
      <c r="Q152">
        <f t="shared" ca="1" si="20"/>
        <v>0.19985925404644633</v>
      </c>
      <c r="R152">
        <f t="shared" ca="1" si="20"/>
        <v>0.54933954933954943</v>
      </c>
      <c r="S152">
        <f t="shared" ca="1" si="20"/>
        <v>0.27777777777777785</v>
      </c>
      <c r="T152">
        <f t="shared" ca="1" si="20"/>
        <v>0.33726415094339623</v>
      </c>
      <c r="U152" s="5"/>
      <c r="V152" s="4">
        <f t="shared" si="21"/>
        <v>41913</v>
      </c>
      <c r="W152" s="5">
        <f t="shared" ca="1" si="19"/>
        <v>0.30480905233380468</v>
      </c>
      <c r="Z152" s="4" t="str">
        <f ca="1">IF(OFFSET(Sheet3!$A$1,0,0,300)="","",OFFSET(Sheet3!$A$1,0,0,300))</f>
        <v/>
      </c>
      <c r="AA152" s="5" t="str">
        <f ca="1">IF(OFFSET(Sheet3!$A$1,0,MATCH(W$1,Sheet3!$1:$1,0)-1,300)="","",OFFSET(Sheet3!$A$1,0,MATCH(W$1,Sheet3!$1:$1,0)-1,300))</f>
        <v/>
      </c>
      <c r="AB152" s="5" t="str">
        <f ca="1">IF(OFFSET(Sheet3!$A$1,0,MATCH(X$1,Sheet3!$1:$1,0)-1,300)="","",OFFSET(Sheet3!$A$1,0,MATCH(X$1,Sheet3!$1:$1,0)-1,300))</f>
        <v/>
      </c>
      <c r="AC152" t="str">
        <f t="shared" ca="1" si="17"/>
        <v/>
      </c>
      <c r="AD152" t="str">
        <f t="shared" ca="1" si="18"/>
        <v/>
      </c>
    </row>
    <row r="153" spans="1:30" x14ac:dyDescent="0.25">
      <c r="A153" s="4">
        <v>41912</v>
      </c>
      <c r="B153">
        <v>0.56899999999999995</v>
      </c>
      <c r="C153" s="5">
        <v>1.0389999999999999</v>
      </c>
      <c r="D153">
        <v>1.7570000000000001</v>
      </c>
      <c r="E153">
        <v>2.2040000000000002</v>
      </c>
      <c r="F153">
        <v>2.4900000000000002</v>
      </c>
      <c r="G153">
        <v>3.1970000000000001</v>
      </c>
      <c r="H153">
        <f t="shared" ca="1" si="20"/>
        <v>0.43914373088685021</v>
      </c>
      <c r="I153">
        <f t="shared" ca="1" si="20"/>
        <v>0.3737636647579386</v>
      </c>
      <c r="J153">
        <f t="shared" ca="1" si="20"/>
        <v>0.27321156773211575</v>
      </c>
      <c r="K153">
        <f t="shared" ca="1" si="20"/>
        <v>0.23269130661114004</v>
      </c>
      <c r="L153">
        <f t="shared" ca="1" si="20"/>
        <v>0.17009132420091325</v>
      </c>
      <c r="M153">
        <f t="shared" ca="1" si="20"/>
        <v>0.30806340454858716</v>
      </c>
      <c r="N153">
        <f t="shared" ca="1" si="20"/>
        <v>0.20713623725671917</v>
      </c>
      <c r="O153">
        <f t="shared" ca="1" si="20"/>
        <v>0.10882800608828007</v>
      </c>
      <c r="P153">
        <f t="shared" ca="1" si="20"/>
        <v>0.13253012048192769</v>
      </c>
      <c r="Q153">
        <f t="shared" ca="1" si="20"/>
        <v>0.19861111111111113</v>
      </c>
      <c r="R153">
        <f t="shared" ca="1" si="20"/>
        <v>0.5521308980213091</v>
      </c>
      <c r="S153">
        <f t="shared" ca="1" si="20"/>
        <v>0.2789193302891933</v>
      </c>
      <c r="T153">
        <f t="shared" ca="1" si="20"/>
        <v>0.3396663577386469</v>
      </c>
      <c r="U153" s="5"/>
      <c r="V153" s="4">
        <f t="shared" si="21"/>
        <v>41912</v>
      </c>
      <c r="W153" s="5">
        <f t="shared" ca="1" si="19"/>
        <v>0.30806340454858716</v>
      </c>
      <c r="Z153" s="4" t="str">
        <f ca="1">IF(OFFSET(Sheet3!$A$1,0,0,300)="","",OFFSET(Sheet3!$A$1,0,0,300))</f>
        <v/>
      </c>
      <c r="AA153" s="5" t="str">
        <f ca="1">IF(OFFSET(Sheet3!$A$1,0,MATCH(W$1,Sheet3!$1:$1,0)-1,300)="","",OFFSET(Sheet3!$A$1,0,MATCH(W$1,Sheet3!$1:$1,0)-1,300))</f>
        <v/>
      </c>
      <c r="AB153" s="5" t="str">
        <f ca="1">IF(OFFSET(Sheet3!$A$1,0,MATCH(X$1,Sheet3!$1:$1,0)-1,300)="","",OFFSET(Sheet3!$A$1,0,MATCH(X$1,Sheet3!$1:$1,0)-1,300))</f>
        <v/>
      </c>
      <c r="AC153" t="str">
        <f t="shared" ca="1" si="17"/>
        <v/>
      </c>
      <c r="AD153" t="str">
        <f t="shared" ca="1" si="18"/>
        <v/>
      </c>
    </row>
    <row r="154" spans="1:30" x14ac:dyDescent="0.25">
      <c r="A154" s="4">
        <v>41911</v>
      </c>
      <c r="B154">
        <v>0.57299999999999995</v>
      </c>
      <c r="C154" s="5">
        <v>1.034</v>
      </c>
      <c r="D154">
        <v>1.7570000000000001</v>
      </c>
      <c r="E154">
        <v>2.1989999999999998</v>
      </c>
      <c r="F154">
        <v>2.4779999999999998</v>
      </c>
      <c r="G154">
        <v>3.165</v>
      </c>
      <c r="H154">
        <f t="shared" ca="1" si="20"/>
        <v>0.44464944649446503</v>
      </c>
      <c r="I154">
        <f t="shared" ca="1" si="20"/>
        <v>0.3795275590551182</v>
      </c>
      <c r="J154">
        <f t="shared" ca="1" si="20"/>
        <v>0.27893518518518523</v>
      </c>
      <c r="K154">
        <f t="shared" ca="1" si="20"/>
        <v>0.23202099737532797</v>
      </c>
      <c r="L154">
        <f t="shared" ca="1" si="20"/>
        <v>0.17052469135802459</v>
      </c>
      <c r="M154">
        <f t="shared" ca="1" si="20"/>
        <v>0.30609418282548462</v>
      </c>
      <c r="N154">
        <f t="shared" ca="1" si="20"/>
        <v>0.20741435945565448</v>
      </c>
      <c r="O154">
        <f t="shared" ca="1" si="20"/>
        <v>0.10763888888888885</v>
      </c>
      <c r="P154">
        <f t="shared" ca="1" si="20"/>
        <v>0.13092444861567334</v>
      </c>
      <c r="Q154">
        <f t="shared" ca="1" si="20"/>
        <v>0.19815340909090903</v>
      </c>
      <c r="R154">
        <f t="shared" ca="1" si="20"/>
        <v>0.55709876543209869</v>
      </c>
      <c r="S154">
        <f t="shared" ca="1" si="20"/>
        <v>0.27816358024691346</v>
      </c>
      <c r="T154">
        <f t="shared" ca="1" si="20"/>
        <v>0.33833880807132782</v>
      </c>
      <c r="U154" s="5"/>
      <c r="V154" s="4">
        <f t="shared" si="21"/>
        <v>41911</v>
      </c>
      <c r="W154" s="5">
        <f t="shared" ca="1" si="19"/>
        <v>0.30609418282548462</v>
      </c>
      <c r="Z154" s="4" t="str">
        <f ca="1">IF(OFFSET(Sheet3!$A$1,0,0,300)="","",OFFSET(Sheet3!$A$1,0,0,300))</f>
        <v/>
      </c>
      <c r="AA154" s="5" t="str">
        <f ca="1">IF(OFFSET(Sheet3!$A$1,0,MATCH(W$1,Sheet3!$1:$1,0)-1,300)="","",OFFSET(Sheet3!$A$1,0,MATCH(W$1,Sheet3!$1:$1,0)-1,300))</f>
        <v/>
      </c>
      <c r="AB154" s="5" t="str">
        <f ca="1">IF(OFFSET(Sheet3!$A$1,0,MATCH(X$1,Sheet3!$1:$1,0)-1,300)="","",OFFSET(Sheet3!$A$1,0,MATCH(X$1,Sheet3!$1:$1,0)-1,300))</f>
        <v/>
      </c>
      <c r="AC154" t="str">
        <f t="shared" ca="1" si="17"/>
        <v/>
      </c>
      <c r="AD154" t="str">
        <f t="shared" ca="1" si="18"/>
        <v/>
      </c>
    </row>
    <row r="155" spans="1:30" x14ac:dyDescent="0.25">
      <c r="A155" s="4">
        <v>41908</v>
      </c>
      <c r="B155">
        <v>0.57699999999999996</v>
      </c>
      <c r="C155" s="5">
        <v>1.06</v>
      </c>
      <c r="D155">
        <v>1.7970000000000002</v>
      </c>
      <c r="E155">
        <v>2.2429999999999999</v>
      </c>
      <c r="F155">
        <v>2.5289999999999999</v>
      </c>
      <c r="G155">
        <v>3.214</v>
      </c>
      <c r="H155">
        <f t="shared" ca="1" si="20"/>
        <v>0.44237695078031219</v>
      </c>
      <c r="I155">
        <f t="shared" ca="1" si="20"/>
        <v>0.37756147540983614</v>
      </c>
      <c r="J155">
        <f t="shared" ca="1" si="20"/>
        <v>0.27948426241941604</v>
      </c>
      <c r="K155">
        <f t="shared" ca="1" si="20"/>
        <v>0.22848360655737693</v>
      </c>
      <c r="L155">
        <f t="shared" ca="1" si="20"/>
        <v>0.16913158892681066</v>
      </c>
      <c r="M155">
        <f t="shared" ca="1" si="20"/>
        <v>0.30360789652825038</v>
      </c>
      <c r="N155">
        <f t="shared" ca="1" si="20"/>
        <v>0.20705663881151334</v>
      </c>
      <c r="O155">
        <f t="shared" ca="1" si="20"/>
        <v>0.10845657944634055</v>
      </c>
      <c r="P155">
        <f t="shared" ca="1" si="20"/>
        <v>0.13277623026926649</v>
      </c>
      <c r="Q155">
        <f t="shared" ca="1" si="20"/>
        <v>0.20183486238532114</v>
      </c>
      <c r="R155">
        <f t="shared" ca="1" si="20"/>
        <v>0.5570724307925673</v>
      </c>
      <c r="S155">
        <f t="shared" ca="1" si="20"/>
        <v>0.2775881683731512</v>
      </c>
      <c r="T155">
        <f t="shared" ca="1" si="20"/>
        <v>0.33983286908077986</v>
      </c>
      <c r="U155" s="5"/>
      <c r="V155" s="4">
        <f t="shared" si="21"/>
        <v>41908</v>
      </c>
      <c r="W155" s="5">
        <f t="shared" ca="1" si="19"/>
        <v>0.30360789652825038</v>
      </c>
      <c r="Z155" s="4" t="str">
        <f ca="1">IF(OFFSET(Sheet3!$A$1,0,0,300)="","",OFFSET(Sheet3!$A$1,0,0,300))</f>
        <v/>
      </c>
      <c r="AA155" s="5" t="str">
        <f ca="1">IF(OFFSET(Sheet3!$A$1,0,MATCH(W$1,Sheet3!$1:$1,0)-1,300)="","",OFFSET(Sheet3!$A$1,0,MATCH(W$1,Sheet3!$1:$1,0)-1,300))</f>
        <v/>
      </c>
      <c r="AB155" s="5" t="str">
        <f ca="1">IF(OFFSET(Sheet3!$A$1,0,MATCH(X$1,Sheet3!$1:$1,0)-1,300)="","",OFFSET(Sheet3!$A$1,0,MATCH(X$1,Sheet3!$1:$1,0)-1,300))</f>
        <v/>
      </c>
      <c r="AC155" t="str">
        <f t="shared" ca="1" si="17"/>
        <v/>
      </c>
      <c r="AD155" t="str">
        <f t="shared" ca="1" si="18"/>
        <v/>
      </c>
    </row>
    <row r="156" spans="1:30" x14ac:dyDescent="0.25">
      <c r="A156" s="4">
        <v>41907</v>
      </c>
      <c r="B156">
        <v>0.55300000000000005</v>
      </c>
      <c r="C156" s="5">
        <v>1.0169999999999999</v>
      </c>
      <c r="D156">
        <v>1.752</v>
      </c>
      <c r="E156">
        <v>2.1920000000000002</v>
      </c>
      <c r="F156">
        <v>2.5030000000000001</v>
      </c>
      <c r="G156">
        <v>3.2120000000000002</v>
      </c>
      <c r="H156">
        <f t="shared" ca="1" si="20"/>
        <v>0.44844417327638803</v>
      </c>
      <c r="I156">
        <f t="shared" ca="1" si="20"/>
        <v>0.37692307692307692</v>
      </c>
      <c r="J156">
        <f t="shared" ca="1" si="20"/>
        <v>0.27641970665663784</v>
      </c>
      <c r="K156">
        <f t="shared" ca="1" si="20"/>
        <v>0.2256410256410257</v>
      </c>
      <c r="L156">
        <f t="shared" ca="1" si="20"/>
        <v>0.16547574276043631</v>
      </c>
      <c r="M156">
        <f t="shared" ca="1" si="20"/>
        <v>0.29609690444145365</v>
      </c>
      <c r="N156">
        <f t="shared" ca="1" si="20"/>
        <v>0.20045558086560369</v>
      </c>
      <c r="O156">
        <f t="shared" ca="1" si="20"/>
        <v>0.11696126363294468</v>
      </c>
      <c r="P156">
        <f t="shared" ca="1" si="20"/>
        <v>0.14168564920273344</v>
      </c>
      <c r="Q156">
        <f t="shared" ca="1" si="20"/>
        <v>0.21301369863013692</v>
      </c>
      <c r="R156">
        <f t="shared" ca="1" si="20"/>
        <v>0.55885671305001883</v>
      </c>
      <c r="S156">
        <f t="shared" ca="1" si="20"/>
        <v>0.28243700639338098</v>
      </c>
      <c r="T156">
        <f t="shared" ca="1" si="20"/>
        <v>0.34214123006833713</v>
      </c>
      <c r="U156" s="5"/>
      <c r="V156" s="4">
        <f t="shared" si="21"/>
        <v>41907</v>
      </c>
      <c r="W156" s="5">
        <f t="shared" ca="1" si="19"/>
        <v>0.29609690444145365</v>
      </c>
      <c r="Z156" s="4" t="str">
        <f ca="1">IF(OFFSET(Sheet3!$A$1,0,0,300)="","",OFFSET(Sheet3!$A$1,0,0,300))</f>
        <v/>
      </c>
      <c r="AA156" s="5" t="str">
        <f ca="1">IF(OFFSET(Sheet3!$A$1,0,MATCH(W$1,Sheet3!$1:$1,0)-1,300)="","",OFFSET(Sheet3!$A$1,0,MATCH(W$1,Sheet3!$1:$1,0)-1,300))</f>
        <v/>
      </c>
      <c r="AB156" s="5" t="str">
        <f ca="1">IF(OFFSET(Sheet3!$A$1,0,MATCH(X$1,Sheet3!$1:$1,0)-1,300)="","",OFFSET(Sheet3!$A$1,0,MATCH(X$1,Sheet3!$1:$1,0)-1,300))</f>
        <v/>
      </c>
      <c r="AC156" t="str">
        <f t="shared" ca="1" si="17"/>
        <v/>
      </c>
      <c r="AD156" t="str">
        <f t="shared" ca="1" si="18"/>
        <v/>
      </c>
    </row>
    <row r="157" spans="1:30" x14ac:dyDescent="0.25">
      <c r="A157" s="4">
        <v>41906</v>
      </c>
      <c r="B157">
        <v>0.58899999999999997</v>
      </c>
      <c r="C157" s="5">
        <v>1.0660000000000001</v>
      </c>
      <c r="D157">
        <v>1.7949999999999999</v>
      </c>
      <c r="E157">
        <v>2.2560000000000002</v>
      </c>
      <c r="F157">
        <v>2.5649999999999999</v>
      </c>
      <c r="G157">
        <v>3.2789999999999999</v>
      </c>
      <c r="H157">
        <f t="shared" ref="H157:T172" ca="1" si="22">IF(ISERROR(ABS(OFFSET($A$11,ROW()-11,MATCH(LEFT(H$9,2),$A$11:$G$11,0)-1)-OFFSET($A$11,ROW()-11,MATCH(RIGHT(H$9,2),$A$11:$G$11,0)-1))/ABS(OFFSET($A$11,ROW()-11,MATCH(LEFT(H$10,2),$A$11:$G$11,0)-1)-OFFSET($A$11,ROW()-11,MATCH(RIGHT(H$10,2),$A$11:$G$11,0)-1))),"",ABS(OFFSET($A$11,ROW()-11,MATCH(LEFT(H$9,2),$A$11:$G$11,0)-1)-OFFSET($A$11,ROW()-11,MATCH(RIGHT(H$9,2),$A$11:$G$11,0)-1))/ABS(OFFSET($A$11,ROW()-11,MATCH(LEFT(H$10,2),$A$11:$G$11,0)-1)-OFFSET($A$11,ROW()-11,MATCH(RIGHT(H$10,2),$A$11:$G$11,0)-1)))</f>
        <v>0.43731253749250137</v>
      </c>
      <c r="I157">
        <f t="shared" ca="1" si="22"/>
        <v>0.36892712550607282</v>
      </c>
      <c r="J157">
        <f t="shared" ca="1" si="22"/>
        <v>0.27100371747211893</v>
      </c>
      <c r="K157">
        <f t="shared" ca="1" si="22"/>
        <v>0.23329959514170057</v>
      </c>
      <c r="L157">
        <f t="shared" ca="1" si="22"/>
        <v>0.17137546468401499</v>
      </c>
      <c r="M157">
        <f t="shared" ca="1" si="22"/>
        <v>0.3075383589059375</v>
      </c>
      <c r="N157">
        <f t="shared" ca="1" si="22"/>
        <v>0.20831450519656589</v>
      </c>
      <c r="O157">
        <f t="shared" ca="1" si="22"/>
        <v>0.11486988847583633</v>
      </c>
      <c r="P157">
        <f t="shared" ca="1" si="22"/>
        <v>0.13962946226841377</v>
      </c>
      <c r="Q157">
        <f t="shared" ca="1" si="22"/>
        <v>0.20822102425875991</v>
      </c>
      <c r="R157">
        <f t="shared" ca="1" si="22"/>
        <v>0.55724907063197027</v>
      </c>
      <c r="S157">
        <f t="shared" ca="1" si="22"/>
        <v>0.28624535315985133</v>
      </c>
      <c r="T157">
        <f t="shared" ca="1" si="22"/>
        <v>0.34794396746497969</v>
      </c>
      <c r="U157" s="5"/>
      <c r="V157" s="4">
        <f t="shared" si="21"/>
        <v>41906</v>
      </c>
      <c r="W157" s="5">
        <f t="shared" ca="1" si="19"/>
        <v>0.3075383589059375</v>
      </c>
      <c r="Z157" s="4" t="str">
        <f ca="1">IF(OFFSET(Sheet3!$A$1,0,0,300)="","",OFFSET(Sheet3!$A$1,0,0,300))</f>
        <v/>
      </c>
      <c r="AA157" s="5" t="str">
        <f ca="1">IF(OFFSET(Sheet3!$A$1,0,MATCH(W$1,Sheet3!$1:$1,0)-1,300)="","",OFFSET(Sheet3!$A$1,0,MATCH(W$1,Sheet3!$1:$1,0)-1,300))</f>
        <v/>
      </c>
      <c r="AB157" s="5" t="str">
        <f ca="1">IF(OFFSET(Sheet3!$A$1,0,MATCH(X$1,Sheet3!$1:$1,0)-1,300)="","",OFFSET(Sheet3!$A$1,0,MATCH(X$1,Sheet3!$1:$1,0)-1,300))</f>
        <v/>
      </c>
      <c r="AC157" t="str">
        <f t="shared" ca="1" si="17"/>
        <v/>
      </c>
      <c r="AD157" t="str">
        <f t="shared" ca="1" si="18"/>
        <v/>
      </c>
    </row>
    <row r="158" spans="1:30" x14ac:dyDescent="0.25">
      <c r="A158" s="4">
        <v>41905</v>
      </c>
      <c r="B158">
        <v>0.53900000000000003</v>
      </c>
      <c r="C158" s="5">
        <v>1.044</v>
      </c>
      <c r="D158">
        <v>1.7589999999999999</v>
      </c>
      <c r="E158">
        <v>2.2160000000000002</v>
      </c>
      <c r="F158">
        <v>2.528</v>
      </c>
      <c r="G158">
        <v>3.2469999999999999</v>
      </c>
      <c r="H158">
        <f t="shared" ca="1" si="22"/>
        <v>0.42635658914728675</v>
      </c>
      <c r="I158">
        <f t="shared" ca="1" si="22"/>
        <v>0.35947712418300648</v>
      </c>
      <c r="J158">
        <f t="shared" ca="1" si="22"/>
        <v>0.2640324963072378</v>
      </c>
      <c r="K158">
        <f t="shared" ca="1" si="22"/>
        <v>0.2297637003519358</v>
      </c>
      <c r="L158">
        <f t="shared" ca="1" si="22"/>
        <v>0.16875923190546541</v>
      </c>
      <c r="M158">
        <f t="shared" ca="1" si="22"/>
        <v>0.30795148247978454</v>
      </c>
      <c r="N158">
        <f t="shared" ca="1" si="22"/>
        <v>0.20744439400817083</v>
      </c>
      <c r="O158">
        <f t="shared" ca="1" si="22"/>
        <v>0.11521418020679464</v>
      </c>
      <c r="P158">
        <f t="shared" ca="1" si="22"/>
        <v>0.14162505674080791</v>
      </c>
      <c r="Q158">
        <f t="shared" ca="1" si="22"/>
        <v>0.20967741935483861</v>
      </c>
      <c r="R158">
        <f t="shared" ca="1" si="22"/>
        <v>0.54800590841949781</v>
      </c>
      <c r="S158">
        <f t="shared" ca="1" si="22"/>
        <v>0.28397341211226007</v>
      </c>
      <c r="T158">
        <f t="shared" ca="1" si="22"/>
        <v>0.34906945074897877</v>
      </c>
      <c r="U158" s="5"/>
      <c r="V158" s="4">
        <f t="shared" si="21"/>
        <v>41905</v>
      </c>
      <c r="W158" s="5">
        <f t="shared" ca="1" si="19"/>
        <v>0.30795148247978454</v>
      </c>
      <c r="Z158" s="4" t="str">
        <f ca="1">IF(OFFSET(Sheet3!$A$1,0,0,300)="","",OFFSET(Sheet3!$A$1,0,0,300))</f>
        <v/>
      </c>
      <c r="AA158" s="5" t="str">
        <f ca="1">IF(OFFSET(Sheet3!$A$1,0,MATCH(W$1,Sheet3!$1:$1,0)-1,300)="","",OFFSET(Sheet3!$A$1,0,MATCH(W$1,Sheet3!$1:$1,0)-1,300))</f>
        <v/>
      </c>
      <c r="AB158" s="5" t="str">
        <f ca="1">IF(OFFSET(Sheet3!$A$1,0,MATCH(X$1,Sheet3!$1:$1,0)-1,300)="","",OFFSET(Sheet3!$A$1,0,MATCH(X$1,Sheet3!$1:$1,0)-1,300))</f>
        <v/>
      </c>
      <c r="AC158" t="str">
        <f t="shared" ca="1" si="17"/>
        <v/>
      </c>
      <c r="AD158" t="str">
        <f t="shared" ca="1" si="18"/>
        <v/>
      </c>
    </row>
    <row r="159" spans="1:30" x14ac:dyDescent="0.25">
      <c r="A159" s="4">
        <v>41904</v>
      </c>
      <c r="B159">
        <v>0.55100000000000005</v>
      </c>
      <c r="C159" s="5">
        <v>1.06</v>
      </c>
      <c r="D159">
        <v>1.782</v>
      </c>
      <c r="E159">
        <v>2.2509999999999999</v>
      </c>
      <c r="F159">
        <v>2.5649999999999999</v>
      </c>
      <c r="G159">
        <v>3.2890000000000001</v>
      </c>
      <c r="H159">
        <f t="shared" ca="1" si="22"/>
        <v>0.42470588235294121</v>
      </c>
      <c r="I159">
        <f t="shared" ca="1" si="22"/>
        <v>0.35849056603773588</v>
      </c>
      <c r="J159">
        <f t="shared" ca="1" si="22"/>
        <v>0.26369612856099339</v>
      </c>
      <c r="K159">
        <f t="shared" ca="1" si="22"/>
        <v>0.23286991062562062</v>
      </c>
      <c r="L159">
        <f t="shared" ca="1" si="22"/>
        <v>0.17129291453615772</v>
      </c>
      <c r="M159">
        <f t="shared" ca="1" si="22"/>
        <v>0.31162790697674414</v>
      </c>
      <c r="N159">
        <f t="shared" ca="1" si="22"/>
        <v>0.21040825482279041</v>
      </c>
      <c r="O159">
        <f t="shared" ca="1" si="22"/>
        <v>0.11468224981738498</v>
      </c>
      <c r="P159">
        <f t="shared" ca="1" si="22"/>
        <v>0.14087034544638855</v>
      </c>
      <c r="Q159">
        <f t="shared" ca="1" si="22"/>
        <v>0.20836098208360984</v>
      </c>
      <c r="R159">
        <f t="shared" ca="1" si="22"/>
        <v>0.54967129291453609</v>
      </c>
      <c r="S159">
        <f t="shared" ca="1" si="22"/>
        <v>0.2859751643535427</v>
      </c>
      <c r="T159">
        <f t="shared" ca="1" si="22"/>
        <v>0.35127860026917895</v>
      </c>
      <c r="U159" s="5"/>
      <c r="V159" s="4">
        <f t="shared" si="21"/>
        <v>41904</v>
      </c>
      <c r="W159" s="5">
        <f t="shared" ca="1" si="19"/>
        <v>0.31162790697674414</v>
      </c>
      <c r="Z159" s="4" t="str">
        <f ca="1">IF(OFFSET(Sheet3!$A$1,0,0,300)="","",OFFSET(Sheet3!$A$1,0,0,300))</f>
        <v/>
      </c>
      <c r="AA159" s="5" t="str">
        <f ca="1">IF(OFFSET(Sheet3!$A$1,0,MATCH(W$1,Sheet3!$1:$1,0)-1,300)="","",OFFSET(Sheet3!$A$1,0,MATCH(W$1,Sheet3!$1:$1,0)-1,300))</f>
        <v/>
      </c>
      <c r="AB159" s="5" t="str">
        <f ca="1">IF(OFFSET(Sheet3!$A$1,0,MATCH(X$1,Sheet3!$1:$1,0)-1,300)="","",OFFSET(Sheet3!$A$1,0,MATCH(X$1,Sheet3!$1:$1,0)-1,300))</f>
        <v/>
      </c>
      <c r="AC159" t="str">
        <f t="shared" ca="1" si="17"/>
        <v/>
      </c>
      <c r="AD159" t="str">
        <f t="shared" ca="1" si="18"/>
        <v/>
      </c>
    </row>
    <row r="160" spans="1:30" x14ac:dyDescent="0.25">
      <c r="A160" s="4">
        <v>41901</v>
      </c>
      <c r="B160">
        <v>0.56699999999999995</v>
      </c>
      <c r="C160" s="5">
        <v>1.087</v>
      </c>
      <c r="D160">
        <v>1.8120000000000001</v>
      </c>
      <c r="E160">
        <v>2.2749999999999999</v>
      </c>
      <c r="F160">
        <v>2.5750000000000002</v>
      </c>
      <c r="G160">
        <v>3.2839999999999998</v>
      </c>
      <c r="H160">
        <f t="shared" ca="1" si="22"/>
        <v>0.42447306791569095</v>
      </c>
      <c r="I160">
        <f t="shared" ca="1" si="22"/>
        <v>0.36105577689243035</v>
      </c>
      <c r="J160">
        <f t="shared" ca="1" si="22"/>
        <v>0.26683842473316166</v>
      </c>
      <c r="K160">
        <f t="shared" ca="1" si="22"/>
        <v>0.23057768924302782</v>
      </c>
      <c r="L160">
        <f t="shared" ca="1" si="22"/>
        <v>0.17040853882959142</v>
      </c>
      <c r="M160">
        <f t="shared" ca="1" si="22"/>
        <v>0.31115591397849446</v>
      </c>
      <c r="N160">
        <f t="shared" ca="1" si="22"/>
        <v>0.21074192080109233</v>
      </c>
      <c r="O160">
        <f t="shared" ca="1" si="22"/>
        <v>0.11041589988958421</v>
      </c>
      <c r="P160">
        <f t="shared" ca="1" si="22"/>
        <v>0.13654984069185264</v>
      </c>
      <c r="Q160">
        <f t="shared" ca="1" si="22"/>
        <v>0.20380434782608717</v>
      </c>
      <c r="R160">
        <f t="shared" ca="1" si="22"/>
        <v>0.54766286345233728</v>
      </c>
      <c r="S160">
        <f t="shared" ca="1" si="22"/>
        <v>0.28082443871917562</v>
      </c>
      <c r="T160">
        <f t="shared" ca="1" si="22"/>
        <v>0.34729176149294499</v>
      </c>
      <c r="U160" s="5"/>
      <c r="V160" s="4">
        <f t="shared" si="21"/>
        <v>41901</v>
      </c>
      <c r="W160" s="5">
        <f t="shared" ca="1" si="19"/>
        <v>0.31115591397849446</v>
      </c>
      <c r="Z160" s="4" t="str">
        <f ca="1">IF(OFFSET(Sheet3!$A$1,0,0,300)="","",OFFSET(Sheet3!$A$1,0,0,300))</f>
        <v/>
      </c>
      <c r="AA160" s="5" t="str">
        <f ca="1">IF(OFFSET(Sheet3!$A$1,0,MATCH(W$1,Sheet3!$1:$1,0)-1,300)="","",OFFSET(Sheet3!$A$1,0,MATCH(W$1,Sheet3!$1:$1,0)-1,300))</f>
        <v/>
      </c>
      <c r="AB160" s="5" t="str">
        <f ca="1">IF(OFFSET(Sheet3!$A$1,0,MATCH(X$1,Sheet3!$1:$1,0)-1,300)="","",OFFSET(Sheet3!$A$1,0,MATCH(X$1,Sheet3!$1:$1,0)-1,300))</f>
        <v/>
      </c>
      <c r="AC160" t="str">
        <f t="shared" ca="1" si="17"/>
        <v/>
      </c>
      <c r="AD160" t="str">
        <f t="shared" ca="1" si="18"/>
        <v/>
      </c>
    </row>
    <row r="161" spans="1:30" x14ac:dyDescent="0.25">
      <c r="A161" s="4">
        <v>41900</v>
      </c>
      <c r="B161">
        <v>0.56299999999999994</v>
      </c>
      <c r="C161" s="5">
        <v>1.095</v>
      </c>
      <c r="D161">
        <v>1.831</v>
      </c>
      <c r="E161">
        <v>2.3050000000000002</v>
      </c>
      <c r="F161">
        <v>2.6150000000000002</v>
      </c>
      <c r="G161">
        <v>3.3479999999999999</v>
      </c>
      <c r="H161">
        <f t="shared" ca="1" si="22"/>
        <v>0.42250287026406425</v>
      </c>
      <c r="I161">
        <f t="shared" ca="1" si="22"/>
        <v>0.35867446393762176</v>
      </c>
      <c r="J161">
        <f t="shared" ca="1" si="22"/>
        <v>0.26427289048473968</v>
      </c>
      <c r="K161">
        <f t="shared" ca="1" si="22"/>
        <v>0.23099415204678367</v>
      </c>
      <c r="L161">
        <f t="shared" ca="1" si="22"/>
        <v>0.17019748653500905</v>
      </c>
      <c r="M161">
        <f t="shared" ca="1" si="22"/>
        <v>0.31184210526315798</v>
      </c>
      <c r="N161">
        <f t="shared" ca="1" si="22"/>
        <v>0.21038615179760328</v>
      </c>
      <c r="O161">
        <f t="shared" ca="1" si="22"/>
        <v>0.11131059245960503</v>
      </c>
      <c r="P161">
        <f t="shared" ca="1" si="22"/>
        <v>0.1375943186861962</v>
      </c>
      <c r="Q161">
        <f t="shared" ca="1" si="22"/>
        <v>0.20435069215557025</v>
      </c>
      <c r="R161">
        <f t="shared" ca="1" si="22"/>
        <v>0.54578096947935373</v>
      </c>
      <c r="S161">
        <f t="shared" ca="1" si="22"/>
        <v>0.28150807899461405</v>
      </c>
      <c r="T161">
        <f t="shared" ca="1" si="22"/>
        <v>0.34798047048379949</v>
      </c>
      <c r="U161" s="5"/>
      <c r="V161" s="4">
        <f t="shared" si="21"/>
        <v>41900</v>
      </c>
      <c r="W161" s="5">
        <f t="shared" ca="1" si="19"/>
        <v>0.31184210526315798</v>
      </c>
      <c r="Z161" s="4" t="str">
        <f ca="1">IF(OFFSET(Sheet3!$A$1,0,0,300)="","",OFFSET(Sheet3!$A$1,0,0,300))</f>
        <v/>
      </c>
      <c r="AA161" s="5" t="str">
        <f ca="1">IF(OFFSET(Sheet3!$A$1,0,MATCH(W$1,Sheet3!$1:$1,0)-1,300)="","",OFFSET(Sheet3!$A$1,0,MATCH(W$1,Sheet3!$1:$1,0)-1,300))</f>
        <v/>
      </c>
      <c r="AB161" s="5" t="str">
        <f ca="1">IF(OFFSET(Sheet3!$A$1,0,MATCH(X$1,Sheet3!$1:$1,0)-1,300)="","",OFFSET(Sheet3!$A$1,0,MATCH(X$1,Sheet3!$1:$1,0)-1,300))</f>
        <v/>
      </c>
      <c r="AC161" t="str">
        <f t="shared" ca="1" si="17"/>
        <v/>
      </c>
      <c r="AD161" t="str">
        <f t="shared" ca="1" si="18"/>
        <v/>
      </c>
    </row>
    <row r="162" spans="1:30" x14ac:dyDescent="0.25">
      <c r="A162" s="4">
        <v>41899</v>
      </c>
      <c r="B162">
        <v>0.57099999999999995</v>
      </c>
      <c r="C162" s="5">
        <v>1.1000000000000001</v>
      </c>
      <c r="D162">
        <v>1.831</v>
      </c>
      <c r="E162">
        <v>2.302</v>
      </c>
      <c r="F162">
        <v>2.621</v>
      </c>
      <c r="G162">
        <v>3.3689999999999998</v>
      </c>
      <c r="H162">
        <f t="shared" ca="1" si="22"/>
        <v>0.4222992489890236</v>
      </c>
      <c r="I162">
        <f t="shared" ca="1" si="22"/>
        <v>0.35658536585365852</v>
      </c>
      <c r="J162">
        <f t="shared" ca="1" si="22"/>
        <v>0.26125804145818438</v>
      </c>
      <c r="K162">
        <f t="shared" ca="1" si="22"/>
        <v>0.22975609756097568</v>
      </c>
      <c r="L162">
        <f t="shared" ca="1" si="22"/>
        <v>0.1683345246604718</v>
      </c>
      <c r="M162">
        <f t="shared" ca="1" si="22"/>
        <v>0.30966469428007898</v>
      </c>
      <c r="N162">
        <f t="shared" ca="1" si="22"/>
        <v>0.20758043190832973</v>
      </c>
      <c r="O162">
        <f t="shared" ca="1" si="22"/>
        <v>0.11401000714796281</v>
      </c>
      <c r="P162">
        <f t="shared" ca="1" si="22"/>
        <v>0.14059056853239313</v>
      </c>
      <c r="Q162">
        <f t="shared" ca="1" si="22"/>
        <v>0.20741222366710013</v>
      </c>
      <c r="R162">
        <f t="shared" ca="1" si="22"/>
        <v>0.54360257326661898</v>
      </c>
      <c r="S162">
        <f t="shared" ca="1" si="22"/>
        <v>0.28234453180843461</v>
      </c>
      <c r="T162">
        <f t="shared" ca="1" si="22"/>
        <v>0.34817100044072286</v>
      </c>
      <c r="U162" s="5"/>
      <c r="V162" s="4">
        <f t="shared" si="21"/>
        <v>41899</v>
      </c>
      <c r="W162" s="5">
        <f t="shared" ca="1" si="19"/>
        <v>0.30966469428007898</v>
      </c>
      <c r="Z162" s="4" t="str">
        <f ca="1">IF(OFFSET(Sheet3!$A$1,0,0,300)="","",OFFSET(Sheet3!$A$1,0,0,300))</f>
        <v/>
      </c>
      <c r="AA162" s="5" t="str">
        <f ca="1">IF(OFFSET(Sheet3!$A$1,0,MATCH(W$1,Sheet3!$1:$1,0)-1,300)="","",OFFSET(Sheet3!$A$1,0,MATCH(W$1,Sheet3!$1:$1,0)-1,300))</f>
        <v/>
      </c>
      <c r="AB162" s="5" t="str">
        <f ca="1">IF(OFFSET(Sheet3!$A$1,0,MATCH(X$1,Sheet3!$1:$1,0)-1,300)="","",OFFSET(Sheet3!$A$1,0,MATCH(X$1,Sheet3!$1:$1,0)-1,300))</f>
        <v/>
      </c>
      <c r="AC162" t="str">
        <f t="shared" ca="1" si="17"/>
        <v/>
      </c>
      <c r="AD162" t="str">
        <f t="shared" ca="1" si="18"/>
        <v/>
      </c>
    </row>
    <row r="163" spans="1:30" x14ac:dyDescent="0.25">
      <c r="A163" s="4">
        <v>41898</v>
      </c>
      <c r="B163">
        <v>0.53800000000000003</v>
      </c>
      <c r="C163" s="5">
        <v>1.046</v>
      </c>
      <c r="D163">
        <v>1.7749999999999999</v>
      </c>
      <c r="E163">
        <v>2.2549999999999999</v>
      </c>
      <c r="F163">
        <v>2.593</v>
      </c>
      <c r="G163">
        <v>3.3609999999999998</v>
      </c>
      <c r="H163">
        <f t="shared" ca="1" si="22"/>
        <v>0.42457775189283631</v>
      </c>
      <c r="I163">
        <f t="shared" ca="1" si="22"/>
        <v>0.35474452554744523</v>
      </c>
      <c r="J163">
        <f t="shared" ca="1" si="22"/>
        <v>0.25823591923485656</v>
      </c>
      <c r="K163">
        <f t="shared" ca="1" si="22"/>
        <v>0.23357664233576644</v>
      </c>
      <c r="L163">
        <f t="shared" ca="1" si="22"/>
        <v>0.17003188097768335</v>
      </c>
      <c r="M163">
        <f t="shared" ca="1" si="22"/>
        <v>0.31027795733678087</v>
      </c>
      <c r="N163">
        <f t="shared" ca="1" si="22"/>
        <v>0.20734341252699787</v>
      </c>
      <c r="O163">
        <f t="shared" ca="1" si="22"/>
        <v>0.11973078285511872</v>
      </c>
      <c r="P163">
        <f t="shared" ca="1" si="22"/>
        <v>0.1460043196544277</v>
      </c>
      <c r="Q163">
        <f t="shared" ca="1" si="22"/>
        <v>0.21311475409836073</v>
      </c>
      <c r="R163">
        <f t="shared" ca="1" si="22"/>
        <v>0.54799858306765858</v>
      </c>
      <c r="S163">
        <f t="shared" ca="1" si="22"/>
        <v>0.28976266383280208</v>
      </c>
      <c r="T163">
        <f t="shared" ca="1" si="22"/>
        <v>0.35334773218142557</v>
      </c>
      <c r="U163" s="5"/>
      <c r="V163" s="4">
        <f t="shared" si="21"/>
        <v>41898</v>
      </c>
      <c r="W163" s="5">
        <f t="shared" ca="1" si="19"/>
        <v>0.31027795733678087</v>
      </c>
      <c r="Z163" s="4" t="str">
        <f ca="1">IF(OFFSET(Sheet3!$A$1,0,0,300)="","",OFFSET(Sheet3!$A$1,0,0,300))</f>
        <v/>
      </c>
      <c r="AA163" s="5" t="str">
        <f ca="1">IF(OFFSET(Sheet3!$A$1,0,MATCH(W$1,Sheet3!$1:$1,0)-1,300)="","",OFFSET(Sheet3!$A$1,0,MATCH(W$1,Sheet3!$1:$1,0)-1,300))</f>
        <v/>
      </c>
      <c r="AB163" s="5" t="str">
        <f ca="1">IF(OFFSET(Sheet3!$A$1,0,MATCH(X$1,Sheet3!$1:$1,0)-1,300)="","",OFFSET(Sheet3!$A$1,0,MATCH(X$1,Sheet3!$1:$1,0)-1,300))</f>
        <v/>
      </c>
      <c r="AC163" t="str">
        <f t="shared" ca="1" si="17"/>
        <v/>
      </c>
      <c r="AD163" t="str">
        <f t="shared" ca="1" si="18"/>
        <v/>
      </c>
    </row>
    <row r="164" spans="1:30" x14ac:dyDescent="0.25">
      <c r="A164" s="4">
        <v>41897</v>
      </c>
      <c r="B164">
        <v>0.54200000000000004</v>
      </c>
      <c r="C164" s="5">
        <v>1.054</v>
      </c>
      <c r="D164">
        <v>1.788</v>
      </c>
      <c r="E164">
        <v>2.2570000000000001</v>
      </c>
      <c r="F164">
        <v>2.59</v>
      </c>
      <c r="G164">
        <v>3.3439999999999999</v>
      </c>
      <c r="H164">
        <f t="shared" ca="1" si="22"/>
        <v>0.42798833819241977</v>
      </c>
      <c r="I164">
        <f t="shared" ca="1" si="22"/>
        <v>0.3583984375</v>
      </c>
      <c r="J164">
        <f t="shared" ca="1" si="22"/>
        <v>0.26195574589578874</v>
      </c>
      <c r="K164">
        <f t="shared" ca="1" si="22"/>
        <v>0.22900390625000003</v>
      </c>
      <c r="L164">
        <f t="shared" ca="1" si="22"/>
        <v>0.16738044254104217</v>
      </c>
      <c r="M164">
        <f t="shared" ca="1" si="22"/>
        <v>0.30533854166666674</v>
      </c>
      <c r="N164">
        <f t="shared" ca="1" si="22"/>
        <v>0.20480349344978169</v>
      </c>
      <c r="O164">
        <f t="shared" ca="1" si="22"/>
        <v>0.1188436830835117</v>
      </c>
      <c r="P164">
        <f t="shared" ca="1" si="22"/>
        <v>0.14541484716157194</v>
      </c>
      <c r="Q164">
        <f t="shared" ca="1" si="22"/>
        <v>0.21401028277634948</v>
      </c>
      <c r="R164">
        <f t="shared" ca="1" si="22"/>
        <v>0.54817987152034264</v>
      </c>
      <c r="S164">
        <f t="shared" ca="1" si="22"/>
        <v>0.28622412562455385</v>
      </c>
      <c r="T164">
        <f t="shared" ca="1" si="22"/>
        <v>0.35021834061135365</v>
      </c>
      <c r="U164" s="5"/>
      <c r="V164" s="4">
        <f t="shared" si="21"/>
        <v>41897</v>
      </c>
      <c r="W164" s="5">
        <f t="shared" ca="1" si="19"/>
        <v>0.30533854166666674</v>
      </c>
      <c r="Z164" s="4" t="str">
        <f ca="1">IF(OFFSET(Sheet3!$A$1,0,0,300)="","",OFFSET(Sheet3!$A$1,0,0,300))</f>
        <v/>
      </c>
      <c r="AA164" s="5" t="str">
        <f ca="1">IF(OFFSET(Sheet3!$A$1,0,MATCH(W$1,Sheet3!$1:$1,0)-1,300)="","",OFFSET(Sheet3!$A$1,0,MATCH(W$1,Sheet3!$1:$1,0)-1,300))</f>
        <v/>
      </c>
      <c r="AB164" s="5" t="str">
        <f ca="1">IF(OFFSET(Sheet3!$A$1,0,MATCH(X$1,Sheet3!$1:$1,0)-1,300)="","",OFFSET(Sheet3!$A$1,0,MATCH(X$1,Sheet3!$1:$1,0)-1,300))</f>
        <v/>
      </c>
      <c r="AC164" t="str">
        <f t="shared" ca="1" si="17"/>
        <v/>
      </c>
      <c r="AD164" t="str">
        <f t="shared" ca="1" si="18"/>
        <v/>
      </c>
    </row>
    <row r="165" spans="1:30" x14ac:dyDescent="0.25">
      <c r="A165" s="4">
        <v>41894</v>
      </c>
      <c r="B165">
        <v>0.56200000000000006</v>
      </c>
      <c r="C165" s="5">
        <v>1.081</v>
      </c>
      <c r="D165">
        <v>1.8180000000000001</v>
      </c>
      <c r="E165">
        <v>2.282</v>
      </c>
      <c r="F165">
        <v>2.6109999999999998</v>
      </c>
      <c r="G165">
        <v>3.3449999999999998</v>
      </c>
      <c r="H165">
        <f t="shared" ca="1" si="22"/>
        <v>0.42848837209302332</v>
      </c>
      <c r="I165">
        <f t="shared" ca="1" si="22"/>
        <v>0.35968765251342133</v>
      </c>
      <c r="J165">
        <f t="shared" ca="1" si="22"/>
        <v>0.26482213438735186</v>
      </c>
      <c r="K165">
        <f t="shared" ca="1" si="22"/>
        <v>0.22645192776964376</v>
      </c>
      <c r="L165">
        <f t="shared" ca="1" si="22"/>
        <v>0.16672655407833276</v>
      </c>
      <c r="M165">
        <f t="shared" ca="1" si="22"/>
        <v>0.30326797385620918</v>
      </c>
      <c r="N165">
        <f t="shared" ca="1" si="22"/>
        <v>0.20494699646643111</v>
      </c>
      <c r="O165">
        <f t="shared" ca="1" si="22"/>
        <v>0.11821775062881774</v>
      </c>
      <c r="P165">
        <f t="shared" ca="1" si="22"/>
        <v>0.14531802120141332</v>
      </c>
      <c r="Q165">
        <f t="shared" ca="1" si="22"/>
        <v>0.21545514079895206</v>
      </c>
      <c r="R165">
        <f t="shared" ca="1" si="22"/>
        <v>0.5497664390945024</v>
      </c>
      <c r="S165">
        <f t="shared" ca="1" si="22"/>
        <v>0.28494430470715049</v>
      </c>
      <c r="T165">
        <f t="shared" ca="1" si="22"/>
        <v>0.3502650176678444</v>
      </c>
      <c r="U165" s="5"/>
      <c r="V165" s="4">
        <f t="shared" si="21"/>
        <v>41894</v>
      </c>
      <c r="W165" s="5">
        <f t="shared" ca="1" si="19"/>
        <v>0.30326797385620918</v>
      </c>
      <c r="Z165" s="4" t="str">
        <f ca="1">IF(OFFSET(Sheet3!$A$1,0,0,300)="","",OFFSET(Sheet3!$A$1,0,0,300))</f>
        <v/>
      </c>
      <c r="AA165" s="5" t="str">
        <f ca="1">IF(OFFSET(Sheet3!$A$1,0,MATCH(W$1,Sheet3!$1:$1,0)-1,300)="","",OFFSET(Sheet3!$A$1,0,MATCH(W$1,Sheet3!$1:$1,0)-1,300))</f>
        <v/>
      </c>
      <c r="AB165" s="5" t="str">
        <f ca="1">IF(OFFSET(Sheet3!$A$1,0,MATCH(X$1,Sheet3!$1:$1,0)-1,300)="","",OFFSET(Sheet3!$A$1,0,MATCH(X$1,Sheet3!$1:$1,0)-1,300))</f>
        <v/>
      </c>
      <c r="AC165" t="str">
        <f t="shared" ca="1" si="17"/>
        <v/>
      </c>
      <c r="AD165" t="str">
        <f t="shared" ca="1" si="18"/>
        <v/>
      </c>
    </row>
    <row r="166" spans="1:30" x14ac:dyDescent="0.25">
      <c r="A166" s="4">
        <v>41893</v>
      </c>
      <c r="B166">
        <v>0.56200000000000006</v>
      </c>
      <c r="C166" s="5">
        <v>1.0760000000000001</v>
      </c>
      <c r="D166">
        <v>1.7890000000000001</v>
      </c>
      <c r="E166">
        <v>2.2280000000000002</v>
      </c>
      <c r="F166">
        <v>2.5510000000000002</v>
      </c>
      <c r="G166">
        <v>3.278</v>
      </c>
      <c r="H166">
        <f t="shared" ca="1" si="22"/>
        <v>0.42797118847539017</v>
      </c>
      <c r="I166">
        <f t="shared" ca="1" si="22"/>
        <v>0.35847159376571142</v>
      </c>
      <c r="J166">
        <f t="shared" ca="1" si="22"/>
        <v>0.26251840942562593</v>
      </c>
      <c r="K166">
        <f t="shared" ca="1" si="22"/>
        <v>0.22071392659627956</v>
      </c>
      <c r="L166">
        <f t="shared" ca="1" si="22"/>
        <v>0.16163475699558175</v>
      </c>
      <c r="M166">
        <f t="shared" ca="1" si="22"/>
        <v>0.29762711864406782</v>
      </c>
      <c r="N166">
        <f t="shared" ca="1" si="22"/>
        <v>0.1993642143505904</v>
      </c>
      <c r="O166">
        <f t="shared" ca="1" si="22"/>
        <v>0.11892488954344622</v>
      </c>
      <c r="P166">
        <f t="shared" ca="1" si="22"/>
        <v>0.14668483197093549</v>
      </c>
      <c r="Q166">
        <f t="shared" ca="1" si="22"/>
        <v>0.21692411014103424</v>
      </c>
      <c r="R166">
        <f t="shared" ca="1" si="22"/>
        <v>0.54307805596465386</v>
      </c>
      <c r="S166">
        <f t="shared" ca="1" si="22"/>
        <v>0.28055964653902798</v>
      </c>
      <c r="T166">
        <f t="shared" ca="1" si="22"/>
        <v>0.34604904632152589</v>
      </c>
      <c r="U166" s="5"/>
      <c r="V166" s="4">
        <f t="shared" si="21"/>
        <v>41893</v>
      </c>
      <c r="W166" s="5">
        <f t="shared" ca="1" si="19"/>
        <v>0.29762711864406782</v>
      </c>
      <c r="Z166" s="4" t="str">
        <f ca="1">IF(OFFSET(Sheet3!$A$1,0,0,300)="","",OFFSET(Sheet3!$A$1,0,0,300))</f>
        <v/>
      </c>
      <c r="AA166" s="5" t="str">
        <f ca="1">IF(OFFSET(Sheet3!$A$1,0,MATCH(W$1,Sheet3!$1:$1,0)-1,300)="","",OFFSET(Sheet3!$A$1,0,MATCH(W$1,Sheet3!$1:$1,0)-1,300))</f>
        <v/>
      </c>
      <c r="AB166" s="5" t="str">
        <f ca="1">IF(OFFSET(Sheet3!$A$1,0,MATCH(X$1,Sheet3!$1:$1,0)-1,300)="","",OFFSET(Sheet3!$A$1,0,MATCH(X$1,Sheet3!$1:$1,0)-1,300))</f>
        <v/>
      </c>
      <c r="AC166" t="str">
        <f t="shared" ca="1" si="17"/>
        <v/>
      </c>
      <c r="AD166" t="str">
        <f t="shared" ca="1" si="18"/>
        <v/>
      </c>
    </row>
    <row r="167" spans="1:30" x14ac:dyDescent="0.25">
      <c r="A167" s="4">
        <v>41892</v>
      </c>
      <c r="B167">
        <v>0.56999999999999995</v>
      </c>
      <c r="C167" s="5">
        <v>1.0840000000000001</v>
      </c>
      <c r="D167">
        <v>1.7890000000000001</v>
      </c>
      <c r="E167">
        <v>2.2250000000000001</v>
      </c>
      <c r="F167">
        <v>2.5419999999999998</v>
      </c>
      <c r="G167">
        <v>3.2730000000000001</v>
      </c>
      <c r="H167">
        <f t="shared" ca="1" si="22"/>
        <v>0.42598187311178248</v>
      </c>
      <c r="I167">
        <f t="shared" ca="1" si="22"/>
        <v>0.35750507099391488</v>
      </c>
      <c r="J167">
        <f t="shared" ca="1" si="22"/>
        <v>0.26082130965593786</v>
      </c>
      <c r="K167">
        <f t="shared" ca="1" si="22"/>
        <v>0.22109533468559836</v>
      </c>
      <c r="L167">
        <f t="shared" ca="1" si="22"/>
        <v>0.16130225675175727</v>
      </c>
      <c r="M167">
        <f t="shared" ca="1" si="22"/>
        <v>0.29903978052126201</v>
      </c>
      <c r="N167">
        <f t="shared" ca="1" si="22"/>
        <v>0.19917770671539511</v>
      </c>
      <c r="O167">
        <f t="shared" ca="1" si="22"/>
        <v>0.1172770995190528</v>
      </c>
      <c r="P167">
        <f t="shared" ca="1" si="22"/>
        <v>0.14481498401096379</v>
      </c>
      <c r="Q167">
        <f t="shared" ca="1" si="22"/>
        <v>0.21361185983827474</v>
      </c>
      <c r="R167">
        <f t="shared" ca="1" si="22"/>
        <v>0.53940066592674796</v>
      </c>
      <c r="S167">
        <f t="shared" ca="1" si="22"/>
        <v>0.27857935627081004</v>
      </c>
      <c r="T167">
        <f t="shared" ca="1" si="22"/>
        <v>0.34399269072635891</v>
      </c>
      <c r="U167" s="5"/>
      <c r="V167" s="4">
        <f t="shared" si="21"/>
        <v>41892</v>
      </c>
      <c r="W167" s="5">
        <f t="shared" ca="1" si="19"/>
        <v>0.29903978052126201</v>
      </c>
      <c r="Z167" s="4" t="str">
        <f ca="1">IF(OFFSET(Sheet3!$A$1,0,0,300)="","",OFFSET(Sheet3!$A$1,0,0,300))</f>
        <v/>
      </c>
      <c r="AA167" s="5" t="str">
        <f ca="1">IF(OFFSET(Sheet3!$A$1,0,MATCH(W$1,Sheet3!$1:$1,0)-1,300)="","",OFFSET(Sheet3!$A$1,0,MATCH(W$1,Sheet3!$1:$1,0)-1,300))</f>
        <v/>
      </c>
      <c r="AB167" s="5" t="str">
        <f ca="1">IF(OFFSET(Sheet3!$A$1,0,MATCH(X$1,Sheet3!$1:$1,0)-1,300)="","",OFFSET(Sheet3!$A$1,0,MATCH(X$1,Sheet3!$1:$1,0)-1,300))</f>
        <v/>
      </c>
      <c r="AC167" t="str">
        <f t="shared" ca="1" si="17"/>
        <v/>
      </c>
      <c r="AD167" t="str">
        <f t="shared" ca="1" si="18"/>
        <v/>
      </c>
    </row>
    <row r="168" spans="1:30" x14ac:dyDescent="0.25">
      <c r="A168" s="4">
        <v>41891</v>
      </c>
      <c r="B168">
        <v>0.55800000000000005</v>
      </c>
      <c r="C168" s="5">
        <v>1.036</v>
      </c>
      <c r="D168">
        <v>1.7629999999999999</v>
      </c>
      <c r="E168">
        <v>2.1930000000000001</v>
      </c>
      <c r="F168">
        <v>2.504</v>
      </c>
      <c r="G168">
        <v>3.234</v>
      </c>
      <c r="H168">
        <f t="shared" ca="1" si="22"/>
        <v>0.44464831804281335</v>
      </c>
      <c r="I168">
        <f t="shared" ca="1" si="22"/>
        <v>0.37358684480986631</v>
      </c>
      <c r="J168">
        <f t="shared" ca="1" si="22"/>
        <v>0.27167414050822114</v>
      </c>
      <c r="K168">
        <f t="shared" ca="1" si="22"/>
        <v>0.22096608427543687</v>
      </c>
      <c r="L168">
        <f t="shared" ca="1" si="22"/>
        <v>0.16068759342301947</v>
      </c>
      <c r="M168">
        <f t="shared" ca="1" si="22"/>
        <v>0.29291553133514997</v>
      </c>
      <c r="N168">
        <f t="shared" ca="1" si="22"/>
        <v>0.19563239308462246</v>
      </c>
      <c r="O168">
        <f t="shared" ca="1" si="22"/>
        <v>0.11621823617339309</v>
      </c>
      <c r="P168">
        <f t="shared" ca="1" si="22"/>
        <v>0.14149226569608733</v>
      </c>
      <c r="Q168">
        <f t="shared" ca="1" si="22"/>
        <v>0.21142080217539083</v>
      </c>
      <c r="R168">
        <f t="shared" ca="1" si="22"/>
        <v>0.54857997010463377</v>
      </c>
      <c r="S168">
        <f t="shared" ca="1" si="22"/>
        <v>0.27690582959641258</v>
      </c>
      <c r="T168">
        <f t="shared" ca="1" si="22"/>
        <v>0.3371246587807098</v>
      </c>
      <c r="U168" s="5"/>
      <c r="V168" s="4">
        <f t="shared" si="21"/>
        <v>41891</v>
      </c>
      <c r="W168" s="5">
        <f t="shared" ca="1" si="19"/>
        <v>0.29291553133514997</v>
      </c>
      <c r="Z168" s="4" t="str">
        <f ca="1">IF(OFFSET(Sheet3!$A$1,0,0,300)="","",OFFSET(Sheet3!$A$1,0,0,300))</f>
        <v/>
      </c>
      <c r="AA168" s="5" t="str">
        <f ca="1">IF(OFFSET(Sheet3!$A$1,0,MATCH(W$1,Sheet3!$1:$1,0)-1,300)="","",OFFSET(Sheet3!$A$1,0,MATCH(W$1,Sheet3!$1:$1,0)-1,300))</f>
        <v/>
      </c>
      <c r="AB168" s="5" t="str">
        <f ca="1">IF(OFFSET(Sheet3!$A$1,0,MATCH(X$1,Sheet3!$1:$1,0)-1,300)="","",OFFSET(Sheet3!$A$1,0,MATCH(X$1,Sheet3!$1:$1,0)-1,300))</f>
        <v/>
      </c>
      <c r="AC168" t="str">
        <f t="shared" ca="1" si="17"/>
        <v/>
      </c>
      <c r="AD168" t="str">
        <f t="shared" ca="1" si="18"/>
        <v/>
      </c>
    </row>
    <row r="169" spans="1:30" x14ac:dyDescent="0.25">
      <c r="A169" s="4">
        <v>41890</v>
      </c>
      <c r="B169">
        <v>0.53</v>
      </c>
      <c r="C169" s="5">
        <v>0.996</v>
      </c>
      <c r="D169">
        <v>1.72</v>
      </c>
      <c r="E169">
        <v>2.1560000000000001</v>
      </c>
      <c r="F169">
        <v>2.472</v>
      </c>
      <c r="G169">
        <v>3.2250000000000001</v>
      </c>
      <c r="H169">
        <f t="shared" ca="1" si="22"/>
        <v>0.44526445264452641</v>
      </c>
      <c r="I169">
        <f t="shared" ca="1" si="22"/>
        <v>0.37281153450051491</v>
      </c>
      <c r="J169">
        <f t="shared" ca="1" si="22"/>
        <v>0.26864564007421149</v>
      </c>
      <c r="K169">
        <f t="shared" ca="1" si="22"/>
        <v>0.22451081359423283</v>
      </c>
      <c r="L169">
        <f t="shared" ca="1" si="22"/>
        <v>0.1617810760667904</v>
      </c>
      <c r="M169">
        <f t="shared" ca="1" si="22"/>
        <v>0.2953929539295394</v>
      </c>
      <c r="N169">
        <f t="shared" ca="1" si="22"/>
        <v>0.19560340960071787</v>
      </c>
      <c r="O169">
        <f t="shared" ca="1" si="22"/>
        <v>0.11725417439703147</v>
      </c>
      <c r="P169">
        <f t="shared" ca="1" si="22"/>
        <v>0.14176760879318073</v>
      </c>
      <c r="Q169">
        <f t="shared" ca="1" si="22"/>
        <v>0.20996677740863776</v>
      </c>
      <c r="R169">
        <f t="shared" ca="1" si="22"/>
        <v>0.54768089053803337</v>
      </c>
      <c r="S169">
        <f t="shared" ca="1" si="22"/>
        <v>0.27903525046382188</v>
      </c>
      <c r="T169">
        <f t="shared" ca="1" si="22"/>
        <v>0.3373710183938986</v>
      </c>
      <c r="U169" s="5"/>
      <c r="V169" s="4">
        <f t="shared" si="21"/>
        <v>41890</v>
      </c>
      <c r="W169" s="5">
        <f t="shared" ca="1" si="19"/>
        <v>0.2953929539295394</v>
      </c>
      <c r="Z169" s="4" t="str">
        <f ca="1">IF(OFFSET(Sheet3!$A$1,0,0,300)="","",OFFSET(Sheet3!$A$1,0,0,300))</f>
        <v/>
      </c>
      <c r="AA169" s="5" t="str">
        <f ca="1">IF(OFFSET(Sheet3!$A$1,0,MATCH(W$1,Sheet3!$1:$1,0)-1,300)="","",OFFSET(Sheet3!$A$1,0,MATCH(W$1,Sheet3!$1:$1,0)-1,300))</f>
        <v/>
      </c>
      <c r="AB169" s="5" t="str">
        <f ca="1">IF(OFFSET(Sheet3!$A$1,0,MATCH(X$1,Sheet3!$1:$1,0)-1,300)="","",OFFSET(Sheet3!$A$1,0,MATCH(X$1,Sheet3!$1:$1,0)-1,300))</f>
        <v/>
      </c>
      <c r="AC169" t="str">
        <f t="shared" ca="1" si="17"/>
        <v/>
      </c>
      <c r="AD169" t="str">
        <f t="shared" ca="1" si="18"/>
        <v/>
      </c>
    </row>
    <row r="170" spans="1:30" x14ac:dyDescent="0.25">
      <c r="A170" s="4">
        <v>41887</v>
      </c>
      <c r="B170">
        <v>0.51</v>
      </c>
      <c r="C170" s="5">
        <v>0.96299999999999997</v>
      </c>
      <c r="D170">
        <v>1.6930000000000001</v>
      </c>
      <c r="E170">
        <v>2.1390000000000002</v>
      </c>
      <c r="F170">
        <v>2.46</v>
      </c>
      <c r="G170">
        <v>3.2269999999999999</v>
      </c>
      <c r="H170">
        <f t="shared" ca="1" si="22"/>
        <v>0.44812768569674649</v>
      </c>
      <c r="I170">
        <f t="shared" ca="1" si="22"/>
        <v>0.37435897435897442</v>
      </c>
      <c r="J170">
        <f t="shared" ca="1" si="22"/>
        <v>0.26867868973132136</v>
      </c>
      <c r="K170">
        <f t="shared" ca="1" si="22"/>
        <v>0.22871794871794882</v>
      </c>
      <c r="L170">
        <f t="shared" ca="1" si="22"/>
        <v>0.16415163783584844</v>
      </c>
      <c r="M170">
        <f t="shared" ca="1" si="22"/>
        <v>0.29792919171676702</v>
      </c>
      <c r="N170">
        <f t="shared" ca="1" si="22"/>
        <v>0.1969964664310955</v>
      </c>
      <c r="O170">
        <f t="shared" ca="1" si="22"/>
        <v>0.1181450128818549</v>
      </c>
      <c r="P170">
        <f t="shared" ca="1" si="22"/>
        <v>0.14178445229681969</v>
      </c>
      <c r="Q170">
        <f t="shared" ca="1" si="22"/>
        <v>0.20925684485006504</v>
      </c>
      <c r="R170">
        <f t="shared" ca="1" si="22"/>
        <v>0.55097534044902474</v>
      </c>
      <c r="S170">
        <f t="shared" ca="1" si="22"/>
        <v>0.28229665071770338</v>
      </c>
      <c r="T170">
        <f t="shared" ca="1" si="22"/>
        <v>0.33878091872791516</v>
      </c>
      <c r="U170" s="5"/>
      <c r="V170" s="4">
        <f t="shared" si="21"/>
        <v>41887</v>
      </c>
      <c r="W170" s="5">
        <f t="shared" ca="1" si="19"/>
        <v>0.29792919171676702</v>
      </c>
      <c r="Z170" s="4" t="str">
        <f ca="1">IF(OFFSET(Sheet3!$A$1,0,0,300)="","",OFFSET(Sheet3!$A$1,0,0,300))</f>
        <v/>
      </c>
      <c r="AA170" s="5" t="str">
        <f ca="1">IF(OFFSET(Sheet3!$A$1,0,MATCH(W$1,Sheet3!$1:$1,0)-1,300)="","",OFFSET(Sheet3!$A$1,0,MATCH(W$1,Sheet3!$1:$1,0)-1,300))</f>
        <v/>
      </c>
      <c r="AB170" s="5" t="str">
        <f ca="1">IF(OFFSET(Sheet3!$A$1,0,MATCH(X$1,Sheet3!$1:$1,0)-1,300)="","",OFFSET(Sheet3!$A$1,0,MATCH(X$1,Sheet3!$1:$1,0)-1,300))</f>
        <v/>
      </c>
      <c r="AC170" t="str">
        <f t="shared" ca="1" si="17"/>
        <v/>
      </c>
      <c r="AD170" t="str">
        <f t="shared" ca="1" si="18"/>
        <v/>
      </c>
    </row>
    <row r="171" spans="1:30" x14ac:dyDescent="0.25">
      <c r="A171" s="4">
        <v>41886</v>
      </c>
      <c r="B171">
        <v>0.53400000000000003</v>
      </c>
      <c r="C171" s="5">
        <v>0.98399999999999999</v>
      </c>
      <c r="D171">
        <v>1.7130000000000001</v>
      </c>
      <c r="E171">
        <v>2.1459999999999999</v>
      </c>
      <c r="F171">
        <v>2.4510000000000001</v>
      </c>
      <c r="G171">
        <v>3.2090000000000001</v>
      </c>
      <c r="H171">
        <f t="shared" ca="1" si="22"/>
        <v>0.45223325062034747</v>
      </c>
      <c r="I171">
        <f t="shared" ca="1" si="22"/>
        <v>0.38028169014084512</v>
      </c>
      <c r="J171">
        <f t="shared" ca="1" si="22"/>
        <v>0.27252336448598136</v>
      </c>
      <c r="K171">
        <f t="shared" ca="1" si="22"/>
        <v>0.2258737610850286</v>
      </c>
      <c r="L171">
        <f t="shared" ca="1" si="22"/>
        <v>0.16186915887850462</v>
      </c>
      <c r="M171">
        <f t="shared" ca="1" si="22"/>
        <v>0.29516019086571221</v>
      </c>
      <c r="N171">
        <f t="shared" ca="1" si="22"/>
        <v>0.19460674157303362</v>
      </c>
      <c r="O171">
        <f t="shared" ca="1" si="22"/>
        <v>0.11401869158878511</v>
      </c>
      <c r="P171">
        <f t="shared" ca="1" si="22"/>
        <v>0.13707865168539332</v>
      </c>
      <c r="Q171">
        <f t="shared" ca="1" si="22"/>
        <v>0.2038770053475937</v>
      </c>
      <c r="R171">
        <f t="shared" ca="1" si="22"/>
        <v>0.54841121495327105</v>
      </c>
      <c r="S171">
        <f t="shared" ca="1" si="22"/>
        <v>0.27588785046728975</v>
      </c>
      <c r="T171">
        <f t="shared" ca="1" si="22"/>
        <v>0.33168539325842694</v>
      </c>
      <c r="U171" s="5"/>
      <c r="V171" s="4">
        <f t="shared" si="21"/>
        <v>41886</v>
      </c>
      <c r="W171" s="5">
        <f t="shared" ca="1" si="19"/>
        <v>0.29516019086571221</v>
      </c>
      <c r="Z171" s="4" t="str">
        <f ca="1">IF(OFFSET(Sheet3!$A$1,0,0,300)="","",OFFSET(Sheet3!$A$1,0,0,300))</f>
        <v/>
      </c>
      <c r="AA171" s="5" t="str">
        <f ca="1">IF(OFFSET(Sheet3!$A$1,0,MATCH(W$1,Sheet3!$1:$1,0)-1,300)="","",OFFSET(Sheet3!$A$1,0,MATCH(W$1,Sheet3!$1:$1,0)-1,300))</f>
        <v/>
      </c>
      <c r="AB171" s="5" t="str">
        <f ca="1">IF(OFFSET(Sheet3!$A$1,0,MATCH(X$1,Sheet3!$1:$1,0)-1,300)="","",OFFSET(Sheet3!$A$1,0,MATCH(X$1,Sheet3!$1:$1,0)-1,300))</f>
        <v/>
      </c>
      <c r="AC171" t="str">
        <f t="shared" ca="1" si="17"/>
        <v/>
      </c>
      <c r="AD171" t="str">
        <f t="shared" ca="1" si="18"/>
        <v/>
      </c>
    </row>
    <row r="172" spans="1:30" x14ac:dyDescent="0.25">
      <c r="A172" s="4">
        <v>41885</v>
      </c>
      <c r="B172">
        <v>0.51800000000000002</v>
      </c>
      <c r="C172" s="5">
        <v>0.96</v>
      </c>
      <c r="D172">
        <v>1.673</v>
      </c>
      <c r="E172">
        <v>2.0979999999999999</v>
      </c>
      <c r="F172">
        <v>2.3970000000000002</v>
      </c>
      <c r="G172">
        <v>3.1419999999999999</v>
      </c>
      <c r="H172">
        <f t="shared" ca="1" si="22"/>
        <v>0.4512658227848102</v>
      </c>
      <c r="I172">
        <f t="shared" ca="1" si="22"/>
        <v>0.37945715806279934</v>
      </c>
      <c r="J172">
        <f t="shared" ca="1" si="22"/>
        <v>0.27172256097560982</v>
      </c>
      <c r="K172">
        <f t="shared" ca="1" si="22"/>
        <v>0.22618414050026597</v>
      </c>
      <c r="L172">
        <f t="shared" ca="1" si="22"/>
        <v>0.16196646341463411</v>
      </c>
      <c r="M172">
        <f t="shared" ca="1" si="22"/>
        <v>0.2957550452331244</v>
      </c>
      <c r="N172">
        <f t="shared" ca="1" si="22"/>
        <v>0.19477543538038489</v>
      </c>
      <c r="O172">
        <f t="shared" ca="1" si="22"/>
        <v>0.11394817073170747</v>
      </c>
      <c r="P172">
        <f t="shared" ca="1" si="22"/>
        <v>0.13703024747937689</v>
      </c>
      <c r="Q172">
        <f t="shared" ca="1" si="22"/>
        <v>0.20353982300884985</v>
      </c>
      <c r="R172">
        <f t="shared" ca="1" si="22"/>
        <v>0.54763719512195141</v>
      </c>
      <c r="S172">
        <f t="shared" ca="1" si="22"/>
        <v>0.2759146341463416</v>
      </c>
      <c r="T172">
        <f t="shared" ca="1" si="22"/>
        <v>0.33180568285976181</v>
      </c>
      <c r="U172" s="5"/>
      <c r="V172" s="4">
        <f t="shared" si="21"/>
        <v>41885</v>
      </c>
      <c r="W172" s="5">
        <f t="shared" ca="1" si="19"/>
        <v>0.2957550452331244</v>
      </c>
      <c r="Z172" s="4" t="str">
        <f ca="1">IF(OFFSET(Sheet3!$A$1,0,0,300)="","",OFFSET(Sheet3!$A$1,0,0,300))</f>
        <v/>
      </c>
      <c r="AA172" s="5" t="str">
        <f ca="1">IF(OFFSET(Sheet3!$A$1,0,MATCH(W$1,Sheet3!$1:$1,0)-1,300)="","",OFFSET(Sheet3!$A$1,0,MATCH(W$1,Sheet3!$1:$1,0)-1,300))</f>
        <v/>
      </c>
      <c r="AB172" s="5" t="str">
        <f ca="1">IF(OFFSET(Sheet3!$A$1,0,MATCH(X$1,Sheet3!$1:$1,0)-1,300)="","",OFFSET(Sheet3!$A$1,0,MATCH(X$1,Sheet3!$1:$1,0)-1,300))</f>
        <v/>
      </c>
      <c r="AC172" t="str">
        <f t="shared" ca="1" si="17"/>
        <v/>
      </c>
      <c r="AD172" t="str">
        <f t="shared" ca="1" si="18"/>
        <v/>
      </c>
    </row>
    <row r="173" spans="1:30" x14ac:dyDescent="0.25">
      <c r="A173" s="4">
        <v>41884</v>
      </c>
      <c r="B173">
        <v>0.52600000000000002</v>
      </c>
      <c r="C173" s="5">
        <v>0.97099999999999997</v>
      </c>
      <c r="D173">
        <v>1.6850000000000001</v>
      </c>
      <c r="E173">
        <v>2.1120000000000001</v>
      </c>
      <c r="F173">
        <v>2.4220000000000002</v>
      </c>
      <c r="G173">
        <v>3.1760000000000002</v>
      </c>
      <c r="H173">
        <f t="shared" ref="H173:T188" ca="1" si="23">IF(ISERROR(ABS(OFFSET($A$11,ROW()-11,MATCH(LEFT(H$9,2),$A$11:$G$11,0)-1)-OFFSET($A$11,ROW()-11,MATCH(RIGHT(H$9,2),$A$11:$G$11,0)-1))/ABS(OFFSET($A$11,ROW()-11,MATCH(LEFT(H$10,2),$A$11:$G$11,0)-1)-OFFSET($A$11,ROW()-11,MATCH(RIGHT(H$10,2),$A$11:$G$11,0)-1))),"",ABS(OFFSET($A$11,ROW()-11,MATCH(LEFT(H$9,2),$A$11:$G$11,0)-1)-OFFSET($A$11,ROW()-11,MATCH(RIGHT(H$9,2),$A$11:$G$11,0)-1))/ABS(OFFSET($A$11,ROW()-11,MATCH(LEFT(H$10,2),$A$11:$G$11,0)-1)-OFFSET($A$11,ROW()-11,MATCH(RIGHT(H$10,2),$A$11:$G$11,0)-1)))</f>
        <v>0.45018915510718793</v>
      </c>
      <c r="I173">
        <f t="shared" ca="1" si="23"/>
        <v>0.37658227848101267</v>
      </c>
      <c r="J173">
        <f t="shared" ca="1" si="23"/>
        <v>0.26943396226415095</v>
      </c>
      <c r="K173">
        <f t="shared" ca="1" si="23"/>
        <v>0.22521097046413502</v>
      </c>
      <c r="L173">
        <f t="shared" ca="1" si="23"/>
        <v>0.16113207547169811</v>
      </c>
      <c r="M173">
        <f t="shared" ca="1" si="23"/>
        <v>0.29427980702963474</v>
      </c>
      <c r="N173">
        <f t="shared" ca="1" si="23"/>
        <v>0.19365079365079366</v>
      </c>
      <c r="O173">
        <f t="shared" ca="1" si="23"/>
        <v>0.1169811320754717</v>
      </c>
      <c r="P173">
        <f t="shared" ca="1" si="23"/>
        <v>0.14058956916099774</v>
      </c>
      <c r="Q173">
        <f t="shared" ca="1" si="23"/>
        <v>0.20791415157612342</v>
      </c>
      <c r="R173">
        <f t="shared" ca="1" si="23"/>
        <v>0.54754716981132068</v>
      </c>
      <c r="S173">
        <f t="shared" ca="1" si="23"/>
        <v>0.27811320754716984</v>
      </c>
      <c r="T173">
        <f t="shared" ca="1" si="23"/>
        <v>0.33424036281179142</v>
      </c>
      <c r="U173" s="5"/>
      <c r="V173" s="4">
        <f t="shared" si="21"/>
        <v>41884</v>
      </c>
      <c r="W173" s="5">
        <f t="shared" ca="1" si="19"/>
        <v>0.29427980702963474</v>
      </c>
      <c r="Z173" s="4" t="str">
        <f ca="1">IF(OFFSET(Sheet3!$A$1,0,0,300)="","",OFFSET(Sheet3!$A$1,0,0,300))</f>
        <v/>
      </c>
      <c r="AA173" s="5" t="str">
        <f ca="1">IF(OFFSET(Sheet3!$A$1,0,MATCH(W$1,Sheet3!$1:$1,0)-1,300)="","",OFFSET(Sheet3!$A$1,0,MATCH(W$1,Sheet3!$1:$1,0)-1,300))</f>
        <v/>
      </c>
      <c r="AB173" s="5" t="str">
        <f ca="1">IF(OFFSET(Sheet3!$A$1,0,MATCH(X$1,Sheet3!$1:$1,0)-1,300)="","",OFFSET(Sheet3!$A$1,0,MATCH(X$1,Sheet3!$1:$1,0)-1,300))</f>
        <v/>
      </c>
      <c r="AC173" t="str">
        <f t="shared" ca="1" si="17"/>
        <v/>
      </c>
      <c r="AD173" t="str">
        <f t="shared" ca="1" si="18"/>
        <v/>
      </c>
    </row>
    <row r="174" spans="1:30" x14ac:dyDescent="0.25">
      <c r="A174" s="4">
        <v>41883</v>
      </c>
      <c r="B174">
        <v>0.49</v>
      </c>
      <c r="C174" s="5">
        <v>0.93</v>
      </c>
      <c r="D174">
        <v>1.6259999999999999</v>
      </c>
      <c r="E174">
        <v>2.0419999999999998</v>
      </c>
      <c r="F174">
        <v>2.3439999999999999</v>
      </c>
      <c r="G174">
        <v>3.08</v>
      </c>
      <c r="H174">
        <f t="shared" ca="1" si="23"/>
        <v>0.44845360824742264</v>
      </c>
      <c r="I174">
        <f t="shared" ca="1" si="23"/>
        <v>0.3754045307443365</v>
      </c>
      <c r="J174">
        <f t="shared" ca="1" si="23"/>
        <v>0.26872586872586868</v>
      </c>
      <c r="K174">
        <f t="shared" ca="1" si="23"/>
        <v>0.22437971952535057</v>
      </c>
      <c r="L174">
        <f t="shared" ca="1" si="23"/>
        <v>0.16061776061776059</v>
      </c>
      <c r="M174">
        <f t="shared" ca="1" si="23"/>
        <v>0.2942008486562942</v>
      </c>
      <c r="N174">
        <f t="shared" ca="1" si="23"/>
        <v>0.19348837209302322</v>
      </c>
      <c r="O174">
        <f t="shared" ca="1" si="23"/>
        <v>0.11660231660231662</v>
      </c>
      <c r="P174">
        <f t="shared" ca="1" si="23"/>
        <v>0.1404651162790698</v>
      </c>
      <c r="Q174">
        <f t="shared" ca="1" si="23"/>
        <v>0.20770288858321873</v>
      </c>
      <c r="R174">
        <f t="shared" ca="1" si="23"/>
        <v>0.54594594594594581</v>
      </c>
      <c r="S174">
        <f t="shared" ca="1" si="23"/>
        <v>0.27722007722007724</v>
      </c>
      <c r="T174">
        <f t="shared" ca="1" si="23"/>
        <v>0.33395348837209304</v>
      </c>
      <c r="U174" s="5"/>
      <c r="V174" s="4">
        <f t="shared" si="21"/>
        <v>41883</v>
      </c>
      <c r="W174" s="5">
        <f t="shared" ca="1" si="19"/>
        <v>0.2942008486562942</v>
      </c>
      <c r="Z174" s="4" t="str">
        <f ca="1">IF(OFFSET(Sheet3!$A$1,0,0,300)="","",OFFSET(Sheet3!$A$1,0,0,300))</f>
        <v/>
      </c>
      <c r="AA174" s="5" t="str">
        <f ca="1">IF(OFFSET(Sheet3!$A$1,0,MATCH(W$1,Sheet3!$1:$1,0)-1,300)="","",OFFSET(Sheet3!$A$1,0,MATCH(W$1,Sheet3!$1:$1,0)-1,300))</f>
        <v/>
      </c>
      <c r="AB174" s="5" t="str">
        <f ca="1">IF(OFFSET(Sheet3!$A$1,0,MATCH(X$1,Sheet3!$1:$1,0)-1,300)="","",OFFSET(Sheet3!$A$1,0,MATCH(X$1,Sheet3!$1:$1,0)-1,300))</f>
        <v/>
      </c>
      <c r="AC174" t="str">
        <f t="shared" ca="1" si="17"/>
        <v/>
      </c>
      <c r="AD174" t="str">
        <f t="shared" ca="1" si="18"/>
        <v/>
      </c>
    </row>
    <row r="175" spans="1:30" x14ac:dyDescent="0.25">
      <c r="A175" s="4">
        <v>41880</v>
      </c>
      <c r="B175">
        <v>0.49</v>
      </c>
      <c r="C175" s="5">
        <v>0.93</v>
      </c>
      <c r="D175">
        <v>1.6259999999999999</v>
      </c>
      <c r="E175">
        <v>2.0419999999999998</v>
      </c>
      <c r="F175">
        <v>2.3439999999999999</v>
      </c>
      <c r="G175">
        <v>3.08</v>
      </c>
      <c r="H175">
        <f t="shared" ca="1" si="23"/>
        <v>0.44845360824742264</v>
      </c>
      <c r="I175">
        <f t="shared" ca="1" si="23"/>
        <v>0.3754045307443365</v>
      </c>
      <c r="J175">
        <f t="shared" ca="1" si="23"/>
        <v>0.26872586872586868</v>
      </c>
      <c r="K175">
        <f t="shared" ca="1" si="23"/>
        <v>0.22437971952535057</v>
      </c>
      <c r="L175">
        <f t="shared" ca="1" si="23"/>
        <v>0.16061776061776059</v>
      </c>
      <c r="M175">
        <f t="shared" ca="1" si="23"/>
        <v>0.2942008486562942</v>
      </c>
      <c r="N175">
        <f t="shared" ca="1" si="23"/>
        <v>0.19348837209302322</v>
      </c>
      <c r="O175">
        <f t="shared" ca="1" si="23"/>
        <v>0.11660231660231662</v>
      </c>
      <c r="P175">
        <f t="shared" ca="1" si="23"/>
        <v>0.1404651162790698</v>
      </c>
      <c r="Q175">
        <f t="shared" ca="1" si="23"/>
        <v>0.20770288858321873</v>
      </c>
      <c r="R175">
        <f t="shared" ca="1" si="23"/>
        <v>0.54594594594594581</v>
      </c>
      <c r="S175">
        <f t="shared" ca="1" si="23"/>
        <v>0.27722007722007724</v>
      </c>
      <c r="T175">
        <f t="shared" ca="1" si="23"/>
        <v>0.33395348837209304</v>
      </c>
      <c r="U175" s="5"/>
      <c r="V175" s="4">
        <f t="shared" si="21"/>
        <v>41880</v>
      </c>
      <c r="W175" s="5">
        <f t="shared" ca="1" si="19"/>
        <v>0.2942008486562942</v>
      </c>
      <c r="Z175" s="4" t="str">
        <f ca="1">IF(OFFSET(Sheet3!$A$1,0,0,300)="","",OFFSET(Sheet3!$A$1,0,0,300))</f>
        <v/>
      </c>
      <c r="AA175" s="5" t="str">
        <f ca="1">IF(OFFSET(Sheet3!$A$1,0,MATCH(W$1,Sheet3!$1:$1,0)-1,300)="","",OFFSET(Sheet3!$A$1,0,MATCH(W$1,Sheet3!$1:$1,0)-1,300))</f>
        <v/>
      </c>
      <c r="AB175" s="5" t="str">
        <f ca="1">IF(OFFSET(Sheet3!$A$1,0,MATCH(X$1,Sheet3!$1:$1,0)-1,300)="","",OFFSET(Sheet3!$A$1,0,MATCH(X$1,Sheet3!$1:$1,0)-1,300))</f>
        <v/>
      </c>
      <c r="AC175" t="str">
        <f t="shared" ca="1" si="17"/>
        <v/>
      </c>
      <c r="AD175" t="str">
        <f t="shared" ca="1" si="18"/>
        <v/>
      </c>
    </row>
    <row r="176" spans="1:30" x14ac:dyDescent="0.25">
      <c r="A176" s="4">
        <v>41879</v>
      </c>
      <c r="B176">
        <v>0.502</v>
      </c>
      <c r="C176" s="5">
        <v>0.93799999999999994</v>
      </c>
      <c r="D176">
        <v>1.6320000000000001</v>
      </c>
      <c r="E176">
        <v>2.02</v>
      </c>
      <c r="F176">
        <v>2.3370000000000002</v>
      </c>
      <c r="G176">
        <v>3.0750000000000002</v>
      </c>
      <c r="H176">
        <f t="shared" ca="1" si="23"/>
        <v>0.45718050065876165</v>
      </c>
      <c r="I176">
        <f t="shared" ca="1" si="23"/>
        <v>0.37820163487738423</v>
      </c>
      <c r="J176">
        <f t="shared" ca="1" si="23"/>
        <v>0.26972405752040424</v>
      </c>
      <c r="K176">
        <f t="shared" ca="1" si="23"/>
        <v>0.21144414168937323</v>
      </c>
      <c r="L176">
        <f t="shared" ca="1" si="23"/>
        <v>0.15079673532841034</v>
      </c>
      <c r="M176">
        <f t="shared" ca="1" si="23"/>
        <v>0.27734095782701917</v>
      </c>
      <c r="N176">
        <f t="shared" ca="1" si="23"/>
        <v>0.18156293869911083</v>
      </c>
      <c r="O176">
        <f t="shared" ca="1" si="23"/>
        <v>0.1232024873688302</v>
      </c>
      <c r="P176">
        <f t="shared" ca="1" si="23"/>
        <v>0.14833879270004685</v>
      </c>
      <c r="Q176">
        <f t="shared" ca="1" si="23"/>
        <v>0.21968121968121979</v>
      </c>
      <c r="R176">
        <f t="shared" ca="1" si="23"/>
        <v>0.54372328021764482</v>
      </c>
      <c r="S176">
        <f t="shared" ca="1" si="23"/>
        <v>0.27399922269724059</v>
      </c>
      <c r="T176">
        <f t="shared" ca="1" si="23"/>
        <v>0.32990173139915768</v>
      </c>
      <c r="U176" s="5"/>
      <c r="V176" s="4">
        <f t="shared" si="21"/>
        <v>41879</v>
      </c>
      <c r="W176" s="5">
        <f t="shared" ca="1" si="19"/>
        <v>0.27734095782701917</v>
      </c>
      <c r="Z176" s="4" t="str">
        <f ca="1">IF(OFFSET(Sheet3!$A$1,0,0,300)="","",OFFSET(Sheet3!$A$1,0,0,300))</f>
        <v/>
      </c>
      <c r="AA176" s="5" t="str">
        <f ca="1">IF(OFFSET(Sheet3!$A$1,0,MATCH(W$1,Sheet3!$1:$1,0)-1,300)="","",OFFSET(Sheet3!$A$1,0,MATCH(W$1,Sheet3!$1:$1,0)-1,300))</f>
        <v/>
      </c>
      <c r="AB176" s="5" t="str">
        <f ca="1">IF(OFFSET(Sheet3!$A$1,0,MATCH(X$1,Sheet3!$1:$1,0)-1,300)="","",OFFSET(Sheet3!$A$1,0,MATCH(X$1,Sheet3!$1:$1,0)-1,300))</f>
        <v/>
      </c>
      <c r="AC176" t="str">
        <f t="shared" ca="1" si="17"/>
        <v/>
      </c>
      <c r="AD176" t="str">
        <f t="shared" ca="1" si="18"/>
        <v/>
      </c>
    </row>
    <row r="177" spans="1:30" x14ac:dyDescent="0.25">
      <c r="A177" s="4">
        <v>41878</v>
      </c>
      <c r="B177">
        <v>0.51400000000000001</v>
      </c>
      <c r="C177" s="5">
        <v>0.95399999999999996</v>
      </c>
      <c r="D177">
        <v>1.639</v>
      </c>
      <c r="E177">
        <v>2.044</v>
      </c>
      <c r="F177">
        <v>2.3580000000000001</v>
      </c>
      <c r="G177">
        <v>3.1030000000000002</v>
      </c>
      <c r="H177">
        <f t="shared" ca="1" si="23"/>
        <v>0.44771241830065361</v>
      </c>
      <c r="I177">
        <f t="shared" ca="1" si="23"/>
        <v>0.37147505422993493</v>
      </c>
      <c r="J177">
        <f t="shared" ca="1" si="23"/>
        <v>0.26458091927385091</v>
      </c>
      <c r="K177">
        <f t="shared" ca="1" si="23"/>
        <v>0.21963123644251628</v>
      </c>
      <c r="L177">
        <f t="shared" ca="1" si="23"/>
        <v>0.15643105446118191</v>
      </c>
      <c r="M177">
        <f t="shared" ca="1" si="23"/>
        <v>0.28846153846153844</v>
      </c>
      <c r="N177">
        <f t="shared" ca="1" si="23"/>
        <v>0.18845974872033505</v>
      </c>
      <c r="O177">
        <f t="shared" ca="1" si="23"/>
        <v>0.1212823483970645</v>
      </c>
      <c r="P177">
        <f t="shared" ca="1" si="23"/>
        <v>0.14611447184737089</v>
      </c>
      <c r="Q177">
        <f t="shared" ca="1" si="23"/>
        <v>0.21448087431693991</v>
      </c>
      <c r="R177">
        <f t="shared" ca="1" si="23"/>
        <v>0.54229432213209727</v>
      </c>
      <c r="S177">
        <f t="shared" ca="1" si="23"/>
        <v>0.27771340285824642</v>
      </c>
      <c r="T177">
        <f t="shared" ca="1" si="23"/>
        <v>0.33457422056770597</v>
      </c>
      <c r="U177" s="5"/>
      <c r="V177" s="4">
        <f t="shared" si="21"/>
        <v>41878</v>
      </c>
      <c r="W177" s="5">
        <f t="shared" ca="1" si="19"/>
        <v>0.28846153846153844</v>
      </c>
      <c r="Z177" s="4" t="str">
        <f ca="1">IF(OFFSET(Sheet3!$A$1,0,0,300)="","",OFFSET(Sheet3!$A$1,0,0,300))</f>
        <v/>
      </c>
      <c r="AA177" s="5" t="str">
        <f ca="1">IF(OFFSET(Sheet3!$A$1,0,MATCH(W$1,Sheet3!$1:$1,0)-1,300)="","",OFFSET(Sheet3!$A$1,0,MATCH(W$1,Sheet3!$1:$1,0)-1,300))</f>
        <v/>
      </c>
      <c r="AB177" s="5" t="str">
        <f ca="1">IF(OFFSET(Sheet3!$A$1,0,MATCH(X$1,Sheet3!$1:$1,0)-1,300)="","",OFFSET(Sheet3!$A$1,0,MATCH(X$1,Sheet3!$1:$1,0)-1,300))</f>
        <v/>
      </c>
      <c r="AC177" t="str">
        <f t="shared" ca="1" si="17"/>
        <v/>
      </c>
      <c r="AD177" t="str">
        <f t="shared" ca="1" si="18"/>
        <v/>
      </c>
    </row>
    <row r="178" spans="1:30" x14ac:dyDescent="0.25">
      <c r="A178" s="4">
        <v>41877</v>
      </c>
      <c r="B178">
        <v>0.49399999999999999</v>
      </c>
      <c r="C178" s="5">
        <v>0.96499999999999997</v>
      </c>
      <c r="D178">
        <v>1.661</v>
      </c>
      <c r="E178">
        <v>2.0760000000000001</v>
      </c>
      <c r="F178">
        <v>2.3970000000000002</v>
      </c>
      <c r="G178">
        <v>3.1629999999999998</v>
      </c>
      <c r="H178">
        <f t="shared" ca="1" si="23"/>
        <v>0.43994943109987361</v>
      </c>
      <c r="I178">
        <f t="shared" ca="1" si="23"/>
        <v>0.36573830793483969</v>
      </c>
      <c r="J178">
        <f t="shared" ca="1" si="23"/>
        <v>0.2607718246534283</v>
      </c>
      <c r="K178">
        <f t="shared" ca="1" si="23"/>
        <v>0.21807672096689437</v>
      </c>
      <c r="L178">
        <f t="shared" ca="1" si="23"/>
        <v>0.15548894717122522</v>
      </c>
      <c r="M178">
        <f t="shared" ca="1" si="23"/>
        <v>0.28980446927374298</v>
      </c>
      <c r="N178">
        <f t="shared" ca="1" si="23"/>
        <v>0.18880800727934488</v>
      </c>
      <c r="O178">
        <f t="shared" ca="1" si="23"/>
        <v>0.12026976395653811</v>
      </c>
      <c r="P178">
        <f t="shared" ca="1" si="23"/>
        <v>0.14604185623293911</v>
      </c>
      <c r="Q178">
        <f t="shared" ca="1" si="23"/>
        <v>0.21371504660452745</v>
      </c>
      <c r="R178">
        <f t="shared" ca="1" si="23"/>
        <v>0.5365305357811917</v>
      </c>
      <c r="S178">
        <f t="shared" ca="1" si="23"/>
        <v>0.27575871112776335</v>
      </c>
      <c r="T178">
        <f t="shared" ca="1" si="23"/>
        <v>0.33484986351228402</v>
      </c>
      <c r="U178" s="5"/>
      <c r="V178" s="4">
        <f t="shared" si="21"/>
        <v>41877</v>
      </c>
      <c r="W178" s="5">
        <f t="shared" ca="1" si="19"/>
        <v>0.28980446927374298</v>
      </c>
      <c r="Z178" s="4" t="str">
        <f ca="1">IF(OFFSET(Sheet3!$A$1,0,0,300)="","",OFFSET(Sheet3!$A$1,0,0,300))</f>
        <v/>
      </c>
      <c r="AA178" s="5" t="str">
        <f ca="1">IF(OFFSET(Sheet3!$A$1,0,MATCH(W$1,Sheet3!$1:$1,0)-1,300)="","",OFFSET(Sheet3!$A$1,0,MATCH(W$1,Sheet3!$1:$1,0)-1,300))</f>
        <v/>
      </c>
      <c r="AB178" s="5" t="str">
        <f ca="1">IF(OFFSET(Sheet3!$A$1,0,MATCH(X$1,Sheet3!$1:$1,0)-1,300)="","",OFFSET(Sheet3!$A$1,0,MATCH(X$1,Sheet3!$1:$1,0)-1,300))</f>
        <v/>
      </c>
      <c r="AC178" t="str">
        <f t="shared" ca="1" si="17"/>
        <v/>
      </c>
      <c r="AD178" t="str">
        <f t="shared" ca="1" si="18"/>
        <v/>
      </c>
    </row>
    <row r="179" spans="1:30" x14ac:dyDescent="0.25">
      <c r="A179" s="4">
        <v>41876</v>
      </c>
      <c r="B179">
        <v>0.502</v>
      </c>
      <c r="C179" s="5">
        <v>0.97799999999999998</v>
      </c>
      <c r="D179">
        <v>1.6659999999999999</v>
      </c>
      <c r="E179">
        <v>2.0739999999999998</v>
      </c>
      <c r="F179">
        <v>2.383</v>
      </c>
      <c r="G179">
        <v>3.1320000000000001</v>
      </c>
      <c r="H179">
        <f t="shared" ca="1" si="23"/>
        <v>0.43765903307888043</v>
      </c>
      <c r="I179">
        <f t="shared" ca="1" si="23"/>
        <v>0.36576289207868151</v>
      </c>
      <c r="J179">
        <f t="shared" ca="1" si="23"/>
        <v>0.26159695817490491</v>
      </c>
      <c r="K179">
        <f t="shared" ca="1" si="23"/>
        <v>0.21690590111642738</v>
      </c>
      <c r="L179">
        <f t="shared" ca="1" si="23"/>
        <v>0.15513307984790872</v>
      </c>
      <c r="M179">
        <f t="shared" ca="1" si="23"/>
        <v>0.29039145907473302</v>
      </c>
      <c r="N179">
        <f t="shared" ca="1" si="23"/>
        <v>0.18941504178272978</v>
      </c>
      <c r="O179">
        <f t="shared" ca="1" si="23"/>
        <v>0.11749049429657801</v>
      </c>
      <c r="P179">
        <f t="shared" ca="1" si="23"/>
        <v>0.14345403899721457</v>
      </c>
      <c r="Q179">
        <f t="shared" ca="1" si="23"/>
        <v>0.2107776261937245</v>
      </c>
      <c r="R179">
        <f t="shared" ca="1" si="23"/>
        <v>0.53422053231939171</v>
      </c>
      <c r="S179">
        <f t="shared" ca="1" si="23"/>
        <v>0.27262357414448674</v>
      </c>
      <c r="T179">
        <f t="shared" ca="1" si="23"/>
        <v>0.33286908077994432</v>
      </c>
      <c r="U179" s="5"/>
      <c r="V179" s="4">
        <f t="shared" si="21"/>
        <v>41876</v>
      </c>
      <c r="W179" s="5">
        <f t="shared" ca="1" si="19"/>
        <v>0.29039145907473302</v>
      </c>
      <c r="Z179" s="4" t="str">
        <f ca="1">IF(OFFSET(Sheet3!$A$1,0,0,300)="","",OFFSET(Sheet3!$A$1,0,0,300))</f>
        <v/>
      </c>
      <c r="AA179" s="5" t="str">
        <f ca="1">IF(OFFSET(Sheet3!$A$1,0,MATCH(W$1,Sheet3!$1:$1,0)-1,300)="","",OFFSET(Sheet3!$A$1,0,MATCH(W$1,Sheet3!$1:$1,0)-1,300))</f>
        <v/>
      </c>
      <c r="AB179" s="5" t="str">
        <f ca="1">IF(OFFSET(Sheet3!$A$1,0,MATCH(X$1,Sheet3!$1:$1,0)-1,300)="","",OFFSET(Sheet3!$A$1,0,MATCH(X$1,Sheet3!$1:$1,0)-1,300))</f>
        <v/>
      </c>
      <c r="AC179" t="str">
        <f t="shared" ca="1" si="17"/>
        <v/>
      </c>
      <c r="AD179" t="str">
        <f t="shared" ca="1" si="18"/>
        <v/>
      </c>
    </row>
    <row r="180" spans="1:30" x14ac:dyDescent="0.25">
      <c r="A180" s="4">
        <v>41873</v>
      </c>
      <c r="B180">
        <v>0.49399999999999999</v>
      </c>
      <c r="C180" s="5">
        <v>0.96699999999999997</v>
      </c>
      <c r="D180">
        <v>1.661</v>
      </c>
      <c r="E180">
        <v>2.0880000000000001</v>
      </c>
      <c r="F180">
        <v>2.403</v>
      </c>
      <c r="G180">
        <v>3.157</v>
      </c>
      <c r="H180">
        <f t="shared" ca="1" si="23"/>
        <v>0.43538268506900879</v>
      </c>
      <c r="I180">
        <f t="shared" ca="1" si="23"/>
        <v>0.36354112100576219</v>
      </c>
      <c r="J180">
        <f t="shared" ca="1" si="23"/>
        <v>0.26060833646263615</v>
      </c>
      <c r="K180">
        <f t="shared" ca="1" si="23"/>
        <v>0.22367731796752227</v>
      </c>
      <c r="L180">
        <f t="shared" ca="1" si="23"/>
        <v>0.16034547502816374</v>
      </c>
      <c r="M180">
        <f t="shared" ca="1" si="23"/>
        <v>0.29735376044568251</v>
      </c>
      <c r="N180">
        <f t="shared" ca="1" si="23"/>
        <v>0.19497716894977171</v>
      </c>
      <c r="O180">
        <f t="shared" ca="1" si="23"/>
        <v>0.11828764551257977</v>
      </c>
      <c r="P180">
        <f t="shared" ca="1" si="23"/>
        <v>0.14383561643835616</v>
      </c>
      <c r="Q180">
        <f t="shared" ca="1" si="23"/>
        <v>0.21056149732620316</v>
      </c>
      <c r="R180">
        <f t="shared" ca="1" si="23"/>
        <v>0.53924145700337955</v>
      </c>
      <c r="S180">
        <f t="shared" ca="1" si="23"/>
        <v>0.27863312054074352</v>
      </c>
      <c r="T180">
        <f t="shared" ca="1" si="23"/>
        <v>0.33881278538812787</v>
      </c>
      <c r="U180" s="5"/>
      <c r="V180" s="4">
        <f t="shared" si="21"/>
        <v>41873</v>
      </c>
      <c r="W180" s="5">
        <f t="shared" ca="1" si="19"/>
        <v>0.29735376044568251</v>
      </c>
      <c r="Z180" s="4" t="str">
        <f ca="1">IF(OFFSET(Sheet3!$A$1,0,0,300)="","",OFFSET(Sheet3!$A$1,0,0,300))</f>
        <v/>
      </c>
      <c r="AA180" s="5" t="str">
        <f ca="1">IF(OFFSET(Sheet3!$A$1,0,MATCH(W$1,Sheet3!$1:$1,0)-1,300)="","",OFFSET(Sheet3!$A$1,0,MATCH(W$1,Sheet3!$1:$1,0)-1,300))</f>
        <v/>
      </c>
      <c r="AB180" s="5" t="str">
        <f ca="1">IF(OFFSET(Sheet3!$A$1,0,MATCH(X$1,Sheet3!$1:$1,0)-1,300)="","",OFFSET(Sheet3!$A$1,0,MATCH(X$1,Sheet3!$1:$1,0)-1,300))</f>
        <v/>
      </c>
      <c r="AC180" t="str">
        <f t="shared" ca="1" si="17"/>
        <v/>
      </c>
      <c r="AD180" t="str">
        <f t="shared" ca="1" si="18"/>
        <v/>
      </c>
    </row>
    <row r="181" spans="1:30" x14ac:dyDescent="0.25">
      <c r="A181" s="4">
        <v>41872</v>
      </c>
      <c r="B181">
        <v>0.47</v>
      </c>
      <c r="C181" s="5">
        <v>0.93799999999999994</v>
      </c>
      <c r="D181">
        <v>1.631</v>
      </c>
      <c r="E181">
        <v>2.0739999999999998</v>
      </c>
      <c r="F181">
        <v>2.4079999999999999</v>
      </c>
      <c r="G181">
        <v>3.1890000000000001</v>
      </c>
      <c r="H181">
        <f t="shared" ca="1" si="23"/>
        <v>0.43204488778054873</v>
      </c>
      <c r="I181">
        <f t="shared" ca="1" si="23"/>
        <v>0.35758513931888547</v>
      </c>
      <c r="J181">
        <f t="shared" ca="1" si="23"/>
        <v>0.25487311511585142</v>
      </c>
      <c r="K181">
        <f t="shared" ca="1" si="23"/>
        <v>0.22858617131062944</v>
      </c>
      <c r="L181">
        <f t="shared" ca="1" si="23"/>
        <v>0.16292754689223971</v>
      </c>
      <c r="M181">
        <f t="shared" ca="1" si="23"/>
        <v>0.30136054421768699</v>
      </c>
      <c r="N181">
        <f t="shared" ca="1" si="23"/>
        <v>0.19680142159040417</v>
      </c>
      <c r="O181">
        <f t="shared" ca="1" si="23"/>
        <v>0.12283927914674514</v>
      </c>
      <c r="P181">
        <f t="shared" ca="1" si="23"/>
        <v>0.14837849844513551</v>
      </c>
      <c r="Q181">
        <f t="shared" ca="1" si="23"/>
        <v>0.21437740693196411</v>
      </c>
      <c r="R181">
        <f t="shared" ca="1" si="23"/>
        <v>0.54063994115483627</v>
      </c>
      <c r="S181">
        <f t="shared" ca="1" si="23"/>
        <v>0.28576682603898484</v>
      </c>
      <c r="T181">
        <f t="shared" ca="1" si="23"/>
        <v>0.34517992003553966</v>
      </c>
      <c r="U181" s="5"/>
      <c r="V181" s="4">
        <f t="shared" si="21"/>
        <v>41872</v>
      </c>
      <c r="W181" s="5">
        <f t="shared" ca="1" si="19"/>
        <v>0.30136054421768699</v>
      </c>
      <c r="Z181" s="4" t="str">
        <f ca="1">IF(OFFSET(Sheet3!$A$1,0,0,300)="","",OFFSET(Sheet3!$A$1,0,0,300))</f>
        <v/>
      </c>
      <c r="AA181" s="5" t="str">
        <f ca="1">IF(OFFSET(Sheet3!$A$1,0,MATCH(W$1,Sheet3!$1:$1,0)-1,300)="","",OFFSET(Sheet3!$A$1,0,MATCH(W$1,Sheet3!$1:$1,0)-1,300))</f>
        <v/>
      </c>
      <c r="AB181" s="5" t="str">
        <f ca="1">IF(OFFSET(Sheet3!$A$1,0,MATCH(X$1,Sheet3!$1:$1,0)-1,300)="","",OFFSET(Sheet3!$A$1,0,MATCH(X$1,Sheet3!$1:$1,0)-1,300))</f>
        <v/>
      </c>
      <c r="AC181" t="str">
        <f t="shared" ca="1" si="17"/>
        <v/>
      </c>
      <c r="AD181" t="str">
        <f t="shared" ca="1" si="18"/>
        <v/>
      </c>
    </row>
    <row r="182" spans="1:30" x14ac:dyDescent="0.25">
      <c r="A182" s="4">
        <v>41871</v>
      </c>
      <c r="B182">
        <v>0.47399999999999998</v>
      </c>
      <c r="C182" s="5">
        <v>0.94299999999999995</v>
      </c>
      <c r="D182">
        <v>1.631</v>
      </c>
      <c r="E182">
        <v>2.0840000000000001</v>
      </c>
      <c r="F182">
        <v>2.427</v>
      </c>
      <c r="G182">
        <v>3.2210000000000001</v>
      </c>
      <c r="H182">
        <f t="shared" ca="1" si="23"/>
        <v>0.42732919254658386</v>
      </c>
      <c r="I182">
        <f t="shared" ca="1" si="23"/>
        <v>0.35227854582693297</v>
      </c>
      <c r="J182">
        <f t="shared" ca="1" si="23"/>
        <v>0.25045504186385148</v>
      </c>
      <c r="K182">
        <f t="shared" ca="1" si="23"/>
        <v>0.23195084485407069</v>
      </c>
      <c r="L182">
        <f t="shared" ca="1" si="23"/>
        <v>0.16490717145977432</v>
      </c>
      <c r="M182">
        <f t="shared" ca="1" si="23"/>
        <v>0.30525606469002703</v>
      </c>
      <c r="N182">
        <f t="shared" ca="1" si="23"/>
        <v>0.19885864793678668</v>
      </c>
      <c r="O182">
        <f t="shared" ca="1" si="23"/>
        <v>0.12486348744084455</v>
      </c>
      <c r="P182">
        <f t="shared" ca="1" si="23"/>
        <v>0.15057067603160665</v>
      </c>
      <c r="Q182">
        <f t="shared" ca="1" si="23"/>
        <v>0.21572327044025155</v>
      </c>
      <c r="R182">
        <f t="shared" ca="1" si="23"/>
        <v>0.5402257007644703</v>
      </c>
      <c r="S182">
        <f t="shared" ca="1" si="23"/>
        <v>0.28977065890061887</v>
      </c>
      <c r="T182">
        <f t="shared" ca="1" si="23"/>
        <v>0.34942932396839332</v>
      </c>
      <c r="U182" s="5"/>
      <c r="V182" s="4">
        <f t="shared" si="21"/>
        <v>41871</v>
      </c>
      <c r="W182" s="5">
        <f t="shared" ca="1" si="19"/>
        <v>0.30525606469002703</v>
      </c>
      <c r="Z182" s="4" t="str">
        <f ca="1">IF(OFFSET(Sheet3!$A$1,0,0,300)="","",OFFSET(Sheet3!$A$1,0,0,300))</f>
        <v/>
      </c>
      <c r="AA182" s="5" t="str">
        <f ca="1">IF(OFFSET(Sheet3!$A$1,0,MATCH(W$1,Sheet3!$1:$1,0)-1,300)="","",OFFSET(Sheet3!$A$1,0,MATCH(W$1,Sheet3!$1:$1,0)-1,300))</f>
        <v/>
      </c>
      <c r="AB182" s="5" t="str">
        <f ca="1">IF(OFFSET(Sheet3!$A$1,0,MATCH(X$1,Sheet3!$1:$1,0)-1,300)="","",OFFSET(Sheet3!$A$1,0,MATCH(X$1,Sheet3!$1:$1,0)-1,300))</f>
        <v/>
      </c>
      <c r="AC182" t="str">
        <f t="shared" ca="1" si="17"/>
        <v/>
      </c>
      <c r="AD182" t="str">
        <f t="shared" ca="1" si="18"/>
        <v/>
      </c>
    </row>
    <row r="183" spans="1:30" x14ac:dyDescent="0.25">
      <c r="A183" s="4">
        <v>41870</v>
      </c>
      <c r="B183">
        <v>0.42899999999999999</v>
      </c>
      <c r="C183" s="5">
        <v>0.89200000000000002</v>
      </c>
      <c r="D183">
        <v>1.5760000000000001</v>
      </c>
      <c r="E183">
        <v>2.04</v>
      </c>
      <c r="F183">
        <v>2.4009999999999998</v>
      </c>
      <c r="G183">
        <v>3.2130000000000001</v>
      </c>
      <c r="H183">
        <f t="shared" ca="1" si="23"/>
        <v>0.42458100558659223</v>
      </c>
      <c r="I183">
        <f t="shared" ca="1" si="23"/>
        <v>0.34685598377281956</v>
      </c>
      <c r="J183">
        <f t="shared" ca="1" si="23"/>
        <v>0.24568965517241378</v>
      </c>
      <c r="K183">
        <f t="shared" ca="1" si="23"/>
        <v>0.23529411764705885</v>
      </c>
      <c r="L183">
        <f t="shared" ca="1" si="23"/>
        <v>0.16666666666666663</v>
      </c>
      <c r="M183">
        <f t="shared" ca="1" si="23"/>
        <v>0.30748840291583829</v>
      </c>
      <c r="N183">
        <f t="shared" ca="1" si="23"/>
        <v>0.19991383024558376</v>
      </c>
      <c r="O183">
        <f t="shared" ca="1" si="23"/>
        <v>0.12966954022988497</v>
      </c>
      <c r="P183">
        <f t="shared" ca="1" si="23"/>
        <v>0.15553640672124072</v>
      </c>
      <c r="Q183">
        <f t="shared" ca="1" si="23"/>
        <v>0.22052535125229064</v>
      </c>
      <c r="R183">
        <f t="shared" ca="1" si="23"/>
        <v>0.54202586206896541</v>
      </c>
      <c r="S183">
        <f t="shared" ca="1" si="23"/>
        <v>0.2963362068965516</v>
      </c>
      <c r="T183">
        <f t="shared" ca="1" si="23"/>
        <v>0.35545023696682448</v>
      </c>
      <c r="U183" s="5"/>
      <c r="V183" s="4">
        <f t="shared" si="21"/>
        <v>41870</v>
      </c>
      <c r="W183" s="5">
        <f t="shared" ca="1" si="19"/>
        <v>0.30748840291583829</v>
      </c>
      <c r="Z183" s="4" t="str">
        <f ca="1">IF(OFFSET(Sheet3!$A$1,0,0,300)="","",OFFSET(Sheet3!$A$1,0,0,300))</f>
        <v/>
      </c>
      <c r="AA183" s="5" t="str">
        <f ca="1">IF(OFFSET(Sheet3!$A$1,0,MATCH(W$1,Sheet3!$1:$1,0)-1,300)="","",OFFSET(Sheet3!$A$1,0,MATCH(W$1,Sheet3!$1:$1,0)-1,300))</f>
        <v/>
      </c>
      <c r="AB183" s="5" t="str">
        <f ca="1">IF(OFFSET(Sheet3!$A$1,0,MATCH(X$1,Sheet3!$1:$1,0)-1,300)="","",OFFSET(Sheet3!$A$1,0,MATCH(X$1,Sheet3!$1:$1,0)-1,300))</f>
        <v/>
      </c>
      <c r="AC183" t="str">
        <f t="shared" ca="1" si="17"/>
        <v/>
      </c>
      <c r="AD183" t="str">
        <f t="shared" ca="1" si="18"/>
        <v/>
      </c>
    </row>
    <row r="184" spans="1:30" x14ac:dyDescent="0.25">
      <c r="A184" s="4">
        <v>41869</v>
      </c>
      <c r="B184">
        <v>0.41699999999999998</v>
      </c>
      <c r="C184" s="5">
        <v>0.88700000000000001</v>
      </c>
      <c r="D184">
        <v>1.575</v>
      </c>
      <c r="E184">
        <v>2.04</v>
      </c>
      <c r="F184">
        <v>2.3940000000000001</v>
      </c>
      <c r="G184">
        <v>3.1989999999999998</v>
      </c>
      <c r="H184">
        <f t="shared" ca="1" si="23"/>
        <v>0.42390634627233514</v>
      </c>
      <c r="I184">
        <f t="shared" ca="1" si="23"/>
        <v>0.34800202326757712</v>
      </c>
      <c r="J184">
        <f t="shared" ca="1" si="23"/>
        <v>0.24730409777138748</v>
      </c>
      <c r="K184">
        <f t="shared" ca="1" si="23"/>
        <v>0.23520485584218515</v>
      </c>
      <c r="L184">
        <f t="shared" ca="1" si="23"/>
        <v>0.16714593817397558</v>
      </c>
      <c r="M184">
        <f t="shared" ca="1" si="23"/>
        <v>0.30856005308560058</v>
      </c>
      <c r="N184">
        <f t="shared" ca="1" si="23"/>
        <v>0.2011245674740485</v>
      </c>
      <c r="O184">
        <f t="shared" ca="1" si="23"/>
        <v>0.12724658519051046</v>
      </c>
      <c r="P184">
        <f t="shared" ca="1" si="23"/>
        <v>0.15311418685121111</v>
      </c>
      <c r="Q184">
        <f t="shared" ca="1" si="23"/>
        <v>0.21798029556650253</v>
      </c>
      <c r="R184">
        <f t="shared" ca="1" si="23"/>
        <v>0.54169662113587347</v>
      </c>
      <c r="S184">
        <f t="shared" ca="1" si="23"/>
        <v>0.29439252336448601</v>
      </c>
      <c r="T184">
        <f t="shared" ca="1" si="23"/>
        <v>0.35423875432525964</v>
      </c>
      <c r="U184" s="5"/>
      <c r="V184" s="4">
        <f t="shared" si="21"/>
        <v>41869</v>
      </c>
      <c r="W184" s="5">
        <f t="shared" ca="1" si="19"/>
        <v>0.30856005308560058</v>
      </c>
      <c r="Z184" s="4" t="str">
        <f ca="1">IF(OFFSET(Sheet3!$A$1,0,0,300)="","",OFFSET(Sheet3!$A$1,0,0,300))</f>
        <v/>
      </c>
      <c r="AA184" s="5" t="str">
        <f ca="1">IF(OFFSET(Sheet3!$A$1,0,MATCH(W$1,Sheet3!$1:$1,0)-1,300)="","",OFFSET(Sheet3!$A$1,0,MATCH(W$1,Sheet3!$1:$1,0)-1,300))</f>
        <v/>
      </c>
      <c r="AB184" s="5" t="str">
        <f ca="1">IF(OFFSET(Sheet3!$A$1,0,MATCH(X$1,Sheet3!$1:$1,0)-1,300)="","",OFFSET(Sheet3!$A$1,0,MATCH(X$1,Sheet3!$1:$1,0)-1,300))</f>
        <v/>
      </c>
      <c r="AC184" t="str">
        <f t="shared" ca="1" si="17"/>
        <v/>
      </c>
      <c r="AD184" t="str">
        <f t="shared" ca="1" si="18"/>
        <v/>
      </c>
    </row>
    <row r="185" spans="1:30" x14ac:dyDescent="0.25">
      <c r="A185" s="4">
        <v>41866</v>
      </c>
      <c r="B185">
        <v>0.40899999999999997</v>
      </c>
      <c r="C185" s="5">
        <v>0.86</v>
      </c>
      <c r="D185">
        <v>1.5369999999999999</v>
      </c>
      <c r="E185">
        <v>1.99</v>
      </c>
      <c r="F185">
        <v>2.3410000000000002</v>
      </c>
      <c r="G185">
        <v>3.133</v>
      </c>
      <c r="H185">
        <f t="shared" ca="1" si="23"/>
        <v>0.42820999367488927</v>
      </c>
      <c r="I185">
        <f t="shared" ca="1" si="23"/>
        <v>0.35041407867494817</v>
      </c>
      <c r="J185">
        <f t="shared" ca="1" si="23"/>
        <v>0.24853157121879585</v>
      </c>
      <c r="K185">
        <f t="shared" ca="1" si="23"/>
        <v>0.23447204968944102</v>
      </c>
      <c r="L185">
        <f t="shared" ca="1" si="23"/>
        <v>0.16629955947136565</v>
      </c>
      <c r="M185">
        <f t="shared" ca="1" si="23"/>
        <v>0.30587440918298447</v>
      </c>
      <c r="N185">
        <f t="shared" ca="1" si="23"/>
        <v>0.19929608446986363</v>
      </c>
      <c r="O185">
        <f t="shared" ca="1" si="23"/>
        <v>0.12885462555066085</v>
      </c>
      <c r="P185">
        <f t="shared" ca="1" si="23"/>
        <v>0.15442146942366924</v>
      </c>
      <c r="Q185">
        <f t="shared" ca="1" si="23"/>
        <v>0.2199248120300753</v>
      </c>
      <c r="R185">
        <f t="shared" ca="1" si="23"/>
        <v>0.54368575624082238</v>
      </c>
      <c r="S185">
        <f t="shared" ca="1" si="23"/>
        <v>0.29515418502202651</v>
      </c>
      <c r="T185">
        <f t="shared" ca="1" si="23"/>
        <v>0.35371755389353288</v>
      </c>
      <c r="U185" s="5"/>
      <c r="V185" s="4">
        <f t="shared" si="21"/>
        <v>41866</v>
      </c>
      <c r="W185" s="5">
        <f t="shared" ca="1" si="19"/>
        <v>0.30587440918298447</v>
      </c>
      <c r="Z185" s="4" t="str">
        <f ca="1">IF(OFFSET(Sheet3!$A$1,0,0,300)="","",OFFSET(Sheet3!$A$1,0,0,300))</f>
        <v/>
      </c>
      <c r="AA185" s="5" t="str">
        <f ca="1">IF(OFFSET(Sheet3!$A$1,0,MATCH(W$1,Sheet3!$1:$1,0)-1,300)="","",OFFSET(Sheet3!$A$1,0,MATCH(W$1,Sheet3!$1:$1,0)-1,300))</f>
        <v/>
      </c>
      <c r="AB185" s="5" t="str">
        <f ca="1">IF(OFFSET(Sheet3!$A$1,0,MATCH(X$1,Sheet3!$1:$1,0)-1,300)="","",OFFSET(Sheet3!$A$1,0,MATCH(X$1,Sheet3!$1:$1,0)-1,300))</f>
        <v/>
      </c>
      <c r="AC185" t="str">
        <f t="shared" ca="1" si="17"/>
        <v/>
      </c>
      <c r="AD185" t="str">
        <f t="shared" ca="1" si="18"/>
        <v/>
      </c>
    </row>
    <row r="186" spans="1:30" x14ac:dyDescent="0.25">
      <c r="A186" s="4">
        <v>41865</v>
      </c>
      <c r="B186">
        <v>0.41799999999999998</v>
      </c>
      <c r="C186" s="5">
        <v>0.88700000000000001</v>
      </c>
      <c r="D186">
        <v>1.575</v>
      </c>
      <c r="E186">
        <v>2.0430000000000001</v>
      </c>
      <c r="F186">
        <v>2.4020000000000001</v>
      </c>
      <c r="G186">
        <v>3.1920000000000002</v>
      </c>
      <c r="H186">
        <f t="shared" ca="1" si="23"/>
        <v>0.4233846153846153</v>
      </c>
      <c r="I186">
        <f t="shared" ca="1" si="23"/>
        <v>0.34677419354838701</v>
      </c>
      <c r="J186">
        <f t="shared" ca="1" si="23"/>
        <v>0.2480173035328046</v>
      </c>
      <c r="K186">
        <f t="shared" ca="1" si="23"/>
        <v>0.23588709677419362</v>
      </c>
      <c r="L186">
        <f t="shared" ca="1" si="23"/>
        <v>0.16870944484498926</v>
      </c>
      <c r="M186">
        <f t="shared" ca="1" si="23"/>
        <v>0.30891089108910902</v>
      </c>
      <c r="N186">
        <f t="shared" ca="1" si="23"/>
        <v>0.20303687635574844</v>
      </c>
      <c r="O186">
        <f t="shared" ca="1" si="23"/>
        <v>0.12941600576784426</v>
      </c>
      <c r="P186">
        <f t="shared" ca="1" si="23"/>
        <v>0.15574837310195225</v>
      </c>
      <c r="Q186">
        <f t="shared" ca="1" si="23"/>
        <v>0.22201607915893626</v>
      </c>
      <c r="R186">
        <f t="shared" ca="1" si="23"/>
        <v>0.54614275414563807</v>
      </c>
      <c r="S186">
        <f t="shared" ca="1" si="23"/>
        <v>0.29812545061283352</v>
      </c>
      <c r="T186">
        <f t="shared" ca="1" si="23"/>
        <v>0.35878524945770068</v>
      </c>
      <c r="U186" s="5"/>
      <c r="V186" s="4">
        <f t="shared" si="21"/>
        <v>41865</v>
      </c>
      <c r="W186" s="5">
        <f t="shared" ca="1" si="19"/>
        <v>0.30891089108910902</v>
      </c>
      <c r="Z186" s="4" t="str">
        <f ca="1">IF(OFFSET(Sheet3!$A$1,0,0,300)="","",OFFSET(Sheet3!$A$1,0,0,300))</f>
        <v/>
      </c>
      <c r="AA186" s="5" t="str">
        <f ca="1">IF(OFFSET(Sheet3!$A$1,0,MATCH(W$1,Sheet3!$1:$1,0)-1,300)="","",OFFSET(Sheet3!$A$1,0,MATCH(W$1,Sheet3!$1:$1,0)-1,300))</f>
        <v/>
      </c>
      <c r="AB186" s="5" t="str">
        <f ca="1">IF(OFFSET(Sheet3!$A$1,0,MATCH(X$1,Sheet3!$1:$1,0)-1,300)="","",OFFSET(Sheet3!$A$1,0,MATCH(X$1,Sheet3!$1:$1,0)-1,300))</f>
        <v/>
      </c>
      <c r="AC186" t="str">
        <f t="shared" ca="1" si="17"/>
        <v/>
      </c>
      <c r="AD186" t="str">
        <f t="shared" ca="1" si="18"/>
        <v/>
      </c>
    </row>
    <row r="187" spans="1:30" x14ac:dyDescent="0.25">
      <c r="A187" s="4">
        <v>41864</v>
      </c>
      <c r="B187">
        <v>0.41399999999999998</v>
      </c>
      <c r="C187" s="5">
        <v>0.88200000000000001</v>
      </c>
      <c r="D187">
        <v>1.5779999999999998</v>
      </c>
      <c r="E187">
        <v>2.0550000000000002</v>
      </c>
      <c r="F187">
        <v>2.4180000000000001</v>
      </c>
      <c r="G187">
        <v>3.2439999999999998</v>
      </c>
      <c r="H187">
        <f t="shared" ca="1" si="23"/>
        <v>0.42413162705667262</v>
      </c>
      <c r="I187">
        <f t="shared" ca="1" si="23"/>
        <v>0.34730538922155679</v>
      </c>
      <c r="J187">
        <f t="shared" ca="1" si="23"/>
        <v>0.24593639575971729</v>
      </c>
      <c r="K187">
        <f t="shared" ca="1" si="23"/>
        <v>0.23802395209580854</v>
      </c>
      <c r="L187">
        <f t="shared" ca="1" si="23"/>
        <v>0.16855123674911673</v>
      </c>
      <c r="M187">
        <f t="shared" ca="1" si="23"/>
        <v>0.31054687500000022</v>
      </c>
      <c r="N187">
        <f t="shared" ca="1" si="23"/>
        <v>0.20194750211685028</v>
      </c>
      <c r="O187">
        <f t="shared" ca="1" si="23"/>
        <v>0.12826855123674913</v>
      </c>
      <c r="P187">
        <f t="shared" ca="1" si="23"/>
        <v>0.15368331922099918</v>
      </c>
      <c r="Q187">
        <f t="shared" ca="1" si="23"/>
        <v>0.21788715486194479</v>
      </c>
      <c r="R187">
        <f t="shared" ca="1" si="23"/>
        <v>0.5427561837455831</v>
      </c>
      <c r="S187">
        <f t="shared" ca="1" si="23"/>
        <v>0.29681978798586589</v>
      </c>
      <c r="T187">
        <f t="shared" ca="1" si="23"/>
        <v>0.35563082133784946</v>
      </c>
      <c r="U187" s="5"/>
      <c r="V187" s="4">
        <f t="shared" si="21"/>
        <v>41864</v>
      </c>
      <c r="W187" s="5">
        <f t="shared" ca="1" si="19"/>
        <v>0.31054687500000022</v>
      </c>
      <c r="Z187" s="4" t="str">
        <f ca="1">IF(OFFSET(Sheet3!$A$1,0,0,300)="","",OFFSET(Sheet3!$A$1,0,0,300))</f>
        <v/>
      </c>
      <c r="AA187" s="5" t="str">
        <f ca="1">IF(OFFSET(Sheet3!$A$1,0,MATCH(W$1,Sheet3!$1:$1,0)-1,300)="","",OFFSET(Sheet3!$A$1,0,MATCH(W$1,Sheet3!$1:$1,0)-1,300))</f>
        <v/>
      </c>
      <c r="AB187" s="5" t="str">
        <f ca="1">IF(OFFSET(Sheet3!$A$1,0,MATCH(X$1,Sheet3!$1:$1,0)-1,300)="","",OFFSET(Sheet3!$A$1,0,MATCH(X$1,Sheet3!$1:$1,0)-1,300))</f>
        <v/>
      </c>
      <c r="AC187" t="str">
        <f t="shared" ca="1" si="17"/>
        <v/>
      </c>
      <c r="AD187" t="str">
        <f t="shared" ca="1" si="18"/>
        <v/>
      </c>
    </row>
    <row r="188" spans="1:30" x14ac:dyDescent="0.25">
      <c r="A188" s="4">
        <v>41863</v>
      </c>
      <c r="B188">
        <v>0.434</v>
      </c>
      <c r="C188" s="5">
        <v>0.89300000000000002</v>
      </c>
      <c r="D188">
        <v>1.621</v>
      </c>
      <c r="E188">
        <v>2.0979999999999999</v>
      </c>
      <c r="F188">
        <v>2.4500000000000002</v>
      </c>
      <c r="G188">
        <v>3.2770000000000001</v>
      </c>
      <c r="H188">
        <f t="shared" ca="1" si="23"/>
        <v>0.4375</v>
      </c>
      <c r="I188">
        <f t="shared" ca="1" si="23"/>
        <v>0.3611111111111111</v>
      </c>
      <c r="J188">
        <f t="shared" ca="1" si="23"/>
        <v>0.25606753429475904</v>
      </c>
      <c r="K188">
        <f t="shared" ca="1" si="23"/>
        <v>0.23660714285714279</v>
      </c>
      <c r="L188">
        <f t="shared" ca="1" si="23"/>
        <v>0.16778051354203302</v>
      </c>
      <c r="M188">
        <f t="shared" ca="1" si="23"/>
        <v>0.30635838150289008</v>
      </c>
      <c r="N188">
        <f t="shared" ca="1" si="23"/>
        <v>0.20008389261744958</v>
      </c>
      <c r="O188">
        <f t="shared" ca="1" si="23"/>
        <v>0.12381287372493856</v>
      </c>
      <c r="P188">
        <f t="shared" ca="1" si="23"/>
        <v>0.14765100671140952</v>
      </c>
      <c r="Q188">
        <f t="shared" ca="1" si="23"/>
        <v>0.21256038647343012</v>
      </c>
      <c r="R188">
        <f t="shared" ca="1" si="23"/>
        <v>0.54766092156173063</v>
      </c>
      <c r="S188">
        <f t="shared" ca="1" si="23"/>
        <v>0.29159338726697159</v>
      </c>
      <c r="T188">
        <f t="shared" ca="1" si="23"/>
        <v>0.34773489932885909</v>
      </c>
      <c r="U188" s="5"/>
      <c r="V188" s="4">
        <f t="shared" si="21"/>
        <v>41863</v>
      </c>
      <c r="W188" s="5">
        <f t="shared" ca="1" si="19"/>
        <v>0.30635838150289008</v>
      </c>
      <c r="Z188" s="4" t="str">
        <f ca="1">IF(OFFSET(Sheet3!$A$1,0,0,300)="","",OFFSET(Sheet3!$A$1,0,0,300))</f>
        <v/>
      </c>
      <c r="AA188" s="5" t="str">
        <f ca="1">IF(OFFSET(Sheet3!$A$1,0,MATCH(W$1,Sheet3!$1:$1,0)-1,300)="","",OFFSET(Sheet3!$A$1,0,MATCH(W$1,Sheet3!$1:$1,0)-1,300))</f>
        <v/>
      </c>
      <c r="AB188" s="5" t="str">
        <f ca="1">IF(OFFSET(Sheet3!$A$1,0,MATCH(X$1,Sheet3!$1:$1,0)-1,300)="","",OFFSET(Sheet3!$A$1,0,MATCH(X$1,Sheet3!$1:$1,0)-1,300))</f>
        <v/>
      </c>
      <c r="AC188" t="str">
        <f t="shared" ca="1" si="17"/>
        <v/>
      </c>
      <c r="AD188" t="str">
        <f t="shared" ca="1" si="18"/>
        <v/>
      </c>
    </row>
    <row r="189" spans="1:30" x14ac:dyDescent="0.25">
      <c r="A189" s="4">
        <v>41862</v>
      </c>
      <c r="B189">
        <v>0.442</v>
      </c>
      <c r="C189" s="5">
        <v>0.89300000000000002</v>
      </c>
      <c r="D189">
        <v>1.6160000000000001</v>
      </c>
      <c r="E189">
        <v>2.089</v>
      </c>
      <c r="F189">
        <v>2.4279999999999999</v>
      </c>
      <c r="G189">
        <v>3.2439999999999998</v>
      </c>
      <c r="H189">
        <f t="shared" ref="H189:T204" ca="1" si="24">IF(ISERROR(ABS(OFFSET($A$11,ROW()-11,MATCH(LEFT(H$9,2),$A$11:$G$11,0)-1)-OFFSET($A$11,ROW()-11,MATCH(RIGHT(H$9,2),$A$11:$G$11,0)-1))/ABS(OFFSET($A$11,ROW()-11,MATCH(LEFT(H$10,2),$A$11:$G$11,0)-1)-OFFSET($A$11,ROW()-11,MATCH(RIGHT(H$10,2),$A$11:$G$11,0)-1))),"",ABS(OFFSET($A$11,ROW()-11,MATCH(LEFT(H$9,2),$A$11:$G$11,0)-1)-OFFSET($A$11,ROW()-11,MATCH(RIGHT(H$9,2),$A$11:$G$11,0)-1))/ABS(OFFSET($A$11,ROW()-11,MATCH(LEFT(H$10,2),$A$11:$G$11,0)-1)-OFFSET($A$11,ROW()-11,MATCH(RIGHT(H$10,2),$A$11:$G$11,0)-1)))</f>
        <v>0.43897996357012753</v>
      </c>
      <c r="I189">
        <f t="shared" ca="1" si="24"/>
        <v>0.36404833836858008</v>
      </c>
      <c r="J189">
        <f t="shared" ca="1" si="24"/>
        <v>0.25802997858672383</v>
      </c>
      <c r="K189">
        <f t="shared" ca="1" si="24"/>
        <v>0.23816717019133932</v>
      </c>
      <c r="L189">
        <f t="shared" ca="1" si="24"/>
        <v>0.16880799428979298</v>
      </c>
      <c r="M189">
        <f t="shared" ca="1" si="24"/>
        <v>0.30814332247556997</v>
      </c>
      <c r="N189">
        <f t="shared" ca="1" si="24"/>
        <v>0.20119098256061246</v>
      </c>
      <c r="O189">
        <f t="shared" ca="1" si="24"/>
        <v>0.12098501070663813</v>
      </c>
      <c r="P189">
        <f t="shared" ca="1" si="24"/>
        <v>0.14419396001701401</v>
      </c>
      <c r="Q189">
        <f t="shared" ca="1" si="24"/>
        <v>0.20823095823095825</v>
      </c>
      <c r="R189">
        <f t="shared" ca="1" si="24"/>
        <v>0.54782298358315495</v>
      </c>
      <c r="S189">
        <f t="shared" ca="1" si="24"/>
        <v>0.28979300499643112</v>
      </c>
      <c r="T189">
        <f t="shared" ca="1" si="24"/>
        <v>0.34538494257762647</v>
      </c>
      <c r="U189" s="5"/>
      <c r="V189" s="4">
        <f t="shared" si="21"/>
        <v>41862</v>
      </c>
      <c r="W189" s="5">
        <f t="shared" ca="1" si="19"/>
        <v>0.30814332247556997</v>
      </c>
      <c r="Z189" s="4" t="str">
        <f ca="1">IF(OFFSET(Sheet3!$A$1,0,0,300)="","",OFFSET(Sheet3!$A$1,0,0,300))</f>
        <v/>
      </c>
      <c r="AA189" s="5" t="str">
        <f ca="1">IF(OFFSET(Sheet3!$A$1,0,MATCH(W$1,Sheet3!$1:$1,0)-1,300)="","",OFFSET(Sheet3!$A$1,0,MATCH(W$1,Sheet3!$1:$1,0)-1,300))</f>
        <v/>
      </c>
      <c r="AB189" s="5" t="str">
        <f ca="1">IF(OFFSET(Sheet3!$A$1,0,MATCH(X$1,Sheet3!$1:$1,0)-1,300)="","",OFFSET(Sheet3!$A$1,0,MATCH(X$1,Sheet3!$1:$1,0)-1,300))</f>
        <v/>
      </c>
      <c r="AC189" t="str">
        <f t="shared" ca="1" si="17"/>
        <v/>
      </c>
      <c r="AD189" t="str">
        <f t="shared" ca="1" si="18"/>
        <v/>
      </c>
    </row>
    <row r="190" spans="1:30" x14ac:dyDescent="0.25">
      <c r="A190" s="4">
        <v>41859</v>
      </c>
      <c r="B190">
        <v>0.44600000000000001</v>
      </c>
      <c r="C190" s="5">
        <v>0.89500000000000002</v>
      </c>
      <c r="D190">
        <v>1.6240000000000001</v>
      </c>
      <c r="E190">
        <v>2.0870000000000002</v>
      </c>
      <c r="F190">
        <v>2.4209999999999998</v>
      </c>
      <c r="G190">
        <v>3.2309999999999999</v>
      </c>
      <c r="H190">
        <f t="shared" ca="1" si="24"/>
        <v>0.44424131627056673</v>
      </c>
      <c r="I190">
        <f t="shared" ca="1" si="24"/>
        <v>0.36911392405063298</v>
      </c>
      <c r="J190">
        <f t="shared" ca="1" si="24"/>
        <v>0.26175942549371639</v>
      </c>
      <c r="K190">
        <f t="shared" ca="1" si="24"/>
        <v>0.2344303797468355</v>
      </c>
      <c r="L190">
        <f t="shared" ca="1" si="24"/>
        <v>0.16624775583482948</v>
      </c>
      <c r="M190">
        <f t="shared" ca="1" si="24"/>
        <v>0.30340760157273927</v>
      </c>
      <c r="N190">
        <f t="shared" ca="1" si="24"/>
        <v>0.1982020547945206</v>
      </c>
      <c r="O190">
        <f t="shared" ca="1" si="24"/>
        <v>0.11992818671454207</v>
      </c>
      <c r="P190">
        <f t="shared" ca="1" si="24"/>
        <v>0.14297945205479437</v>
      </c>
      <c r="Q190">
        <f t="shared" ca="1" si="24"/>
        <v>0.20784069695083987</v>
      </c>
      <c r="R190">
        <f t="shared" ca="1" si="24"/>
        <v>0.54793536804308796</v>
      </c>
      <c r="S190">
        <f t="shared" ca="1" si="24"/>
        <v>0.28617594254937156</v>
      </c>
      <c r="T190">
        <f t="shared" ca="1" si="24"/>
        <v>0.34118150684931497</v>
      </c>
      <c r="U190" s="5"/>
      <c r="V190" s="4">
        <f t="shared" si="21"/>
        <v>41859</v>
      </c>
      <c r="W190" s="5">
        <f t="shared" ca="1" si="19"/>
        <v>0.30340760157273927</v>
      </c>
      <c r="Z190" s="4" t="str">
        <f ca="1">IF(OFFSET(Sheet3!$A$1,0,0,300)="","",OFFSET(Sheet3!$A$1,0,0,300))</f>
        <v/>
      </c>
      <c r="AA190" s="5" t="str">
        <f ca="1">IF(OFFSET(Sheet3!$A$1,0,MATCH(W$1,Sheet3!$1:$1,0)-1,300)="","",OFFSET(Sheet3!$A$1,0,MATCH(W$1,Sheet3!$1:$1,0)-1,300))</f>
        <v/>
      </c>
      <c r="AB190" s="5" t="str">
        <f ca="1">IF(OFFSET(Sheet3!$A$1,0,MATCH(X$1,Sheet3!$1:$1,0)-1,300)="","",OFFSET(Sheet3!$A$1,0,MATCH(X$1,Sheet3!$1:$1,0)-1,300))</f>
        <v/>
      </c>
      <c r="AC190" t="str">
        <f t="shared" ca="1" si="17"/>
        <v/>
      </c>
      <c r="AD190" t="str">
        <f t="shared" ca="1" si="18"/>
        <v/>
      </c>
    </row>
    <row r="191" spans="1:30" x14ac:dyDescent="0.25">
      <c r="A191" s="4">
        <v>41858</v>
      </c>
      <c r="B191">
        <v>0.43099999999999999</v>
      </c>
      <c r="C191" s="5">
        <v>0.86799999999999999</v>
      </c>
      <c r="D191">
        <v>1.5979999999999999</v>
      </c>
      <c r="E191">
        <v>2.0699999999999998</v>
      </c>
      <c r="F191">
        <v>2.4119999999999999</v>
      </c>
      <c r="G191">
        <v>3.2240000000000002</v>
      </c>
      <c r="H191">
        <f t="shared" ca="1" si="24"/>
        <v>0.44539353264185477</v>
      </c>
      <c r="I191">
        <f t="shared" ca="1" si="24"/>
        <v>0.36850075719333664</v>
      </c>
      <c r="J191">
        <f t="shared" ca="1" si="24"/>
        <v>0.26136770497672746</v>
      </c>
      <c r="K191">
        <f t="shared" ca="1" si="24"/>
        <v>0.23826350328117113</v>
      </c>
      <c r="L191">
        <f t="shared" ca="1" si="24"/>
        <v>0.16899391335481559</v>
      </c>
      <c r="M191">
        <f t="shared" ca="1" si="24"/>
        <v>0.30569948186528495</v>
      </c>
      <c r="N191">
        <f t="shared" ca="1" si="24"/>
        <v>0.20033955857385397</v>
      </c>
      <c r="O191">
        <f t="shared" ca="1" si="24"/>
        <v>0.12244897959183676</v>
      </c>
      <c r="P191">
        <f t="shared" ca="1" si="24"/>
        <v>0.14516129032258066</v>
      </c>
      <c r="Q191">
        <f t="shared" ca="1" si="24"/>
        <v>0.21033210332103322</v>
      </c>
      <c r="R191">
        <f t="shared" ca="1" si="24"/>
        <v>0.55281059792337983</v>
      </c>
      <c r="S191">
        <f t="shared" ca="1" si="24"/>
        <v>0.29144289294665238</v>
      </c>
      <c r="T191">
        <f t="shared" ca="1" si="24"/>
        <v>0.34550084889643462</v>
      </c>
      <c r="U191" s="5"/>
      <c r="V191" s="4">
        <f t="shared" si="21"/>
        <v>41858</v>
      </c>
      <c r="W191" s="5">
        <f t="shared" ca="1" si="19"/>
        <v>0.30569948186528495</v>
      </c>
      <c r="Z191" s="4" t="str">
        <f ca="1">IF(OFFSET(Sheet3!$A$1,0,0,300)="","",OFFSET(Sheet3!$A$1,0,0,300))</f>
        <v/>
      </c>
      <c r="AA191" s="5" t="str">
        <f ca="1">IF(OFFSET(Sheet3!$A$1,0,MATCH(W$1,Sheet3!$1:$1,0)-1,300)="","",OFFSET(Sheet3!$A$1,0,MATCH(W$1,Sheet3!$1:$1,0)-1,300))</f>
        <v/>
      </c>
      <c r="AB191" s="5" t="str">
        <f ca="1">IF(OFFSET(Sheet3!$A$1,0,MATCH(X$1,Sheet3!$1:$1,0)-1,300)="","",OFFSET(Sheet3!$A$1,0,MATCH(X$1,Sheet3!$1:$1,0)-1,300))</f>
        <v/>
      </c>
      <c r="AC191" t="str">
        <f t="shared" ca="1" si="17"/>
        <v/>
      </c>
      <c r="AD191" t="str">
        <f t="shared" ca="1" si="18"/>
        <v/>
      </c>
    </row>
    <row r="192" spans="1:30" x14ac:dyDescent="0.25">
      <c r="A192" s="4">
        <v>41857</v>
      </c>
      <c r="B192">
        <v>0.45800000000000002</v>
      </c>
      <c r="C192" s="5">
        <v>0.90300000000000002</v>
      </c>
      <c r="D192">
        <v>1.649</v>
      </c>
      <c r="E192">
        <v>2.1280000000000001</v>
      </c>
      <c r="F192">
        <v>2.472</v>
      </c>
      <c r="G192">
        <v>3.2709999999999999</v>
      </c>
      <c r="H192">
        <f t="shared" ca="1" si="24"/>
        <v>0.44670658682634728</v>
      </c>
      <c r="I192">
        <f t="shared" ca="1" si="24"/>
        <v>0.37040714995034763</v>
      </c>
      <c r="J192">
        <f t="shared" ca="1" si="24"/>
        <v>0.26519729825808747</v>
      </c>
      <c r="K192">
        <f t="shared" ca="1" si="24"/>
        <v>0.23783515392254229</v>
      </c>
      <c r="L192">
        <f t="shared" ca="1" si="24"/>
        <v>0.17028083896196236</v>
      </c>
      <c r="M192">
        <f t="shared" ca="1" si="24"/>
        <v>0.30528999362651377</v>
      </c>
      <c r="N192">
        <f t="shared" ca="1" si="24"/>
        <v>0.20228040540540546</v>
      </c>
      <c r="O192">
        <f t="shared" ca="1" si="24"/>
        <v>0.12228937077852822</v>
      </c>
      <c r="P192">
        <f t="shared" ca="1" si="24"/>
        <v>0.14527027027027023</v>
      </c>
      <c r="Q192">
        <f t="shared" ca="1" si="24"/>
        <v>0.21208384710234271</v>
      </c>
      <c r="R192">
        <f t="shared" ca="1" si="24"/>
        <v>0.5577675079985781</v>
      </c>
      <c r="S192">
        <f t="shared" ca="1" si="24"/>
        <v>0.29257020974049058</v>
      </c>
      <c r="T192">
        <f t="shared" ca="1" si="24"/>
        <v>0.34755067567567566</v>
      </c>
      <c r="U192" s="5"/>
      <c r="V192" s="4">
        <f t="shared" si="21"/>
        <v>41857</v>
      </c>
      <c r="W192" s="5">
        <f t="shared" ca="1" si="19"/>
        <v>0.30528999362651377</v>
      </c>
      <c r="Z192" s="4" t="str">
        <f ca="1">IF(OFFSET(Sheet3!$A$1,0,0,300)="","",OFFSET(Sheet3!$A$1,0,0,300))</f>
        <v/>
      </c>
      <c r="AA192" s="5" t="str">
        <f ca="1">IF(OFFSET(Sheet3!$A$1,0,MATCH(W$1,Sheet3!$1:$1,0)-1,300)="","",OFFSET(Sheet3!$A$1,0,MATCH(W$1,Sheet3!$1:$1,0)-1,300))</f>
        <v/>
      </c>
      <c r="AB192" s="5" t="str">
        <f ca="1">IF(OFFSET(Sheet3!$A$1,0,MATCH(X$1,Sheet3!$1:$1,0)-1,300)="","",OFFSET(Sheet3!$A$1,0,MATCH(X$1,Sheet3!$1:$1,0)-1,300))</f>
        <v/>
      </c>
      <c r="AC192" t="str">
        <f t="shared" ca="1" si="17"/>
        <v/>
      </c>
      <c r="AD192" t="str">
        <f t="shared" ca="1" si="18"/>
        <v/>
      </c>
    </row>
    <row r="193" spans="1:30" x14ac:dyDescent="0.25">
      <c r="A193" s="4">
        <v>41856</v>
      </c>
      <c r="B193">
        <v>0.46400000000000002</v>
      </c>
      <c r="C193" s="5">
        <v>0.90300000000000002</v>
      </c>
      <c r="D193">
        <v>1.6640000000000001</v>
      </c>
      <c r="E193">
        <v>2.145</v>
      </c>
      <c r="F193">
        <v>2.4849999999999999</v>
      </c>
      <c r="G193">
        <v>3.2829999999999999</v>
      </c>
      <c r="H193">
        <f t="shared" ca="1" si="24"/>
        <v>0.45270672218917318</v>
      </c>
      <c r="I193">
        <f t="shared" ca="1" si="24"/>
        <v>0.37654626422563098</v>
      </c>
      <c r="J193">
        <f t="shared" ca="1" si="24"/>
        <v>0.26995388435615469</v>
      </c>
      <c r="K193">
        <f t="shared" ca="1" si="24"/>
        <v>0.23800098960910435</v>
      </c>
      <c r="L193">
        <f t="shared" ca="1" si="24"/>
        <v>0.17062788222774028</v>
      </c>
      <c r="M193">
        <f t="shared" ca="1" si="24"/>
        <v>0.30404551201011371</v>
      </c>
      <c r="N193">
        <f t="shared" ca="1" si="24"/>
        <v>0.2021008403361344</v>
      </c>
      <c r="O193">
        <f t="shared" ca="1" si="24"/>
        <v>0.12061014544164593</v>
      </c>
      <c r="P193">
        <f t="shared" ca="1" si="24"/>
        <v>0.14285714285714279</v>
      </c>
      <c r="Q193">
        <f t="shared" ca="1" si="24"/>
        <v>0.21000617665225441</v>
      </c>
      <c r="R193">
        <f t="shared" ca="1" si="24"/>
        <v>0.56119191202554097</v>
      </c>
      <c r="S193">
        <f t="shared" ca="1" si="24"/>
        <v>0.29123802766938622</v>
      </c>
      <c r="T193">
        <f t="shared" ca="1" si="24"/>
        <v>0.3449579831932772</v>
      </c>
      <c r="U193" s="5"/>
      <c r="V193" s="4">
        <f t="shared" si="21"/>
        <v>41856</v>
      </c>
      <c r="W193" s="5">
        <f t="shared" ca="1" si="19"/>
        <v>0.30404551201011371</v>
      </c>
      <c r="Z193" s="4" t="str">
        <f ca="1">IF(OFFSET(Sheet3!$A$1,0,0,300)="","",OFFSET(Sheet3!$A$1,0,0,300))</f>
        <v/>
      </c>
      <c r="AA193" s="5" t="str">
        <f ca="1">IF(OFFSET(Sheet3!$A$1,0,MATCH(W$1,Sheet3!$1:$1,0)-1,300)="","",OFFSET(Sheet3!$A$1,0,MATCH(W$1,Sheet3!$1:$1,0)-1,300))</f>
        <v/>
      </c>
      <c r="AB193" s="5" t="str">
        <f ca="1">IF(OFFSET(Sheet3!$A$1,0,MATCH(X$1,Sheet3!$1:$1,0)-1,300)="","",OFFSET(Sheet3!$A$1,0,MATCH(X$1,Sheet3!$1:$1,0)-1,300))</f>
        <v/>
      </c>
      <c r="AC193" t="str">
        <f t="shared" ca="1" si="17"/>
        <v/>
      </c>
      <c r="AD193" t="str">
        <f t="shared" ca="1" si="18"/>
        <v/>
      </c>
    </row>
    <row r="194" spans="1:30" x14ac:dyDescent="0.25">
      <c r="A194" s="4">
        <v>41855</v>
      </c>
      <c r="B194">
        <v>0.46600000000000003</v>
      </c>
      <c r="C194" s="5">
        <v>0.89500000000000002</v>
      </c>
      <c r="D194">
        <v>1.649</v>
      </c>
      <c r="E194">
        <v>2.1349999999999998</v>
      </c>
      <c r="F194">
        <v>2.4830000000000001</v>
      </c>
      <c r="G194">
        <v>3.2890000000000001</v>
      </c>
      <c r="H194">
        <f t="shared" ca="1" si="24"/>
        <v>0.45176752546434995</v>
      </c>
      <c r="I194">
        <f t="shared" ca="1" si="24"/>
        <v>0.37382250867625189</v>
      </c>
      <c r="J194">
        <f t="shared" ca="1" si="24"/>
        <v>0.26709174636911087</v>
      </c>
      <c r="K194">
        <f t="shared" ca="1" si="24"/>
        <v>0.24095190877540892</v>
      </c>
      <c r="L194">
        <f t="shared" ca="1" si="24"/>
        <v>0.17215727948990428</v>
      </c>
      <c r="M194">
        <f t="shared" ca="1" si="24"/>
        <v>0.30604534005037765</v>
      </c>
      <c r="N194">
        <f t="shared" ca="1" si="24"/>
        <v>0.20300751879699236</v>
      </c>
      <c r="O194">
        <f t="shared" ca="1" si="24"/>
        <v>0.12327311370882052</v>
      </c>
      <c r="P194">
        <f t="shared" ca="1" si="24"/>
        <v>0.14536340852130339</v>
      </c>
      <c r="Q194">
        <f t="shared" ca="1" si="24"/>
        <v>0.21219512195121967</v>
      </c>
      <c r="R194">
        <f t="shared" ca="1" si="24"/>
        <v>0.5625221395678357</v>
      </c>
      <c r="S194">
        <f t="shared" ca="1" si="24"/>
        <v>0.29543039319872477</v>
      </c>
      <c r="T194">
        <f t="shared" ca="1" si="24"/>
        <v>0.34837092731829578</v>
      </c>
      <c r="U194" s="5"/>
      <c r="V194" s="4">
        <f t="shared" si="21"/>
        <v>41855</v>
      </c>
      <c r="W194" s="5">
        <f t="shared" ca="1" si="19"/>
        <v>0.30604534005037765</v>
      </c>
      <c r="Z194" s="4" t="str">
        <f ca="1">IF(OFFSET(Sheet3!$A$1,0,0,300)="","",OFFSET(Sheet3!$A$1,0,0,300))</f>
        <v/>
      </c>
      <c r="AA194" s="5" t="str">
        <f ca="1">IF(OFFSET(Sheet3!$A$1,0,MATCH(W$1,Sheet3!$1:$1,0)-1,300)="","",OFFSET(Sheet3!$A$1,0,MATCH(W$1,Sheet3!$1:$1,0)-1,300))</f>
        <v/>
      </c>
      <c r="AB194" s="5" t="str">
        <f ca="1">IF(OFFSET(Sheet3!$A$1,0,MATCH(X$1,Sheet3!$1:$1,0)-1,300)="","",OFFSET(Sheet3!$A$1,0,MATCH(X$1,Sheet3!$1:$1,0)-1,300))</f>
        <v/>
      </c>
      <c r="AC194" t="str">
        <f t="shared" ca="1" si="17"/>
        <v/>
      </c>
      <c r="AD194" t="str">
        <f t="shared" ca="1" si="18"/>
        <v/>
      </c>
    </row>
    <row r="195" spans="1:30" x14ac:dyDescent="0.25">
      <c r="A195" s="4">
        <v>41852</v>
      </c>
      <c r="B195">
        <v>0.47399999999999998</v>
      </c>
      <c r="C195" s="5">
        <v>0.91700000000000004</v>
      </c>
      <c r="D195">
        <v>1.663</v>
      </c>
      <c r="E195">
        <v>2.15</v>
      </c>
      <c r="F195">
        <v>2.4929999999999999</v>
      </c>
      <c r="G195">
        <v>3.2810000000000001</v>
      </c>
      <c r="H195">
        <f t="shared" ca="1" si="24"/>
        <v>0.44510739856801912</v>
      </c>
      <c r="I195">
        <f t="shared" ca="1" si="24"/>
        <v>0.36948984645864286</v>
      </c>
      <c r="J195">
        <f t="shared" ca="1" si="24"/>
        <v>0.26576416102600636</v>
      </c>
      <c r="K195">
        <f t="shared" ca="1" si="24"/>
        <v>0.24120851906884588</v>
      </c>
      <c r="L195">
        <f t="shared" ca="1" si="24"/>
        <v>0.17349483434271457</v>
      </c>
      <c r="M195">
        <f t="shared" ca="1" si="24"/>
        <v>0.30901015228426393</v>
      </c>
      <c r="N195">
        <f t="shared" ca="1" si="24"/>
        <v>0.20600676818950928</v>
      </c>
      <c r="O195">
        <f t="shared" ca="1" si="24"/>
        <v>0.12219451371571069</v>
      </c>
      <c r="P195">
        <f t="shared" ca="1" si="24"/>
        <v>0.14509306260575294</v>
      </c>
      <c r="Q195">
        <f t="shared" ca="1" si="24"/>
        <v>0.21199011124845485</v>
      </c>
      <c r="R195">
        <f t="shared" ca="1" si="24"/>
        <v>0.5614535090844317</v>
      </c>
      <c r="S195">
        <f t="shared" ca="1" si="24"/>
        <v>0.29568934805842528</v>
      </c>
      <c r="T195">
        <f t="shared" ca="1" si="24"/>
        <v>0.35109983079526225</v>
      </c>
      <c r="U195" s="5"/>
      <c r="V195" s="4">
        <f t="shared" si="21"/>
        <v>41852</v>
      </c>
      <c r="W195" s="5">
        <f t="shared" ca="1" si="19"/>
        <v>0.30901015228426393</v>
      </c>
      <c r="Z195" s="4" t="str">
        <f ca="1">IF(OFFSET(Sheet3!$A$1,0,0,300)="","",OFFSET(Sheet3!$A$1,0,0,300))</f>
        <v/>
      </c>
      <c r="AA195" s="5" t="str">
        <f ca="1">IF(OFFSET(Sheet3!$A$1,0,MATCH(W$1,Sheet3!$1:$1,0)-1,300)="","",OFFSET(Sheet3!$A$1,0,MATCH(W$1,Sheet3!$1:$1,0)-1,300))</f>
        <v/>
      </c>
      <c r="AB195" s="5" t="str">
        <f ca="1">IF(OFFSET(Sheet3!$A$1,0,MATCH(X$1,Sheet3!$1:$1,0)-1,300)="","",OFFSET(Sheet3!$A$1,0,MATCH(X$1,Sheet3!$1:$1,0)-1,300))</f>
        <v/>
      </c>
      <c r="AC195" t="str">
        <f t="shared" ref="AC195:AC258" ca="1" si="25">IF(AND(AA195&lt;&gt;"",AB195&lt;&gt;""),ABS(AA195-AB195),"")</f>
        <v/>
      </c>
      <c r="AD195" t="str">
        <f t="shared" ref="AD195:AD258" ca="1" si="26">IF(ISNA(MATCH("",AC195:AC214,0)),AVERAGE(AC195:AC214),"")</f>
        <v/>
      </c>
    </row>
    <row r="196" spans="1:30" x14ac:dyDescent="0.25">
      <c r="A196" s="4">
        <v>41851</v>
      </c>
      <c r="B196">
        <v>0.53</v>
      </c>
      <c r="C196" s="5">
        <v>0.99199999999999999</v>
      </c>
      <c r="D196">
        <v>1.754</v>
      </c>
      <c r="E196">
        <v>2.234</v>
      </c>
      <c r="F196">
        <v>2.5590000000000002</v>
      </c>
      <c r="G196">
        <v>3.3170000000000002</v>
      </c>
      <c r="H196">
        <f t="shared" ca="1" si="24"/>
        <v>0.44718309859154931</v>
      </c>
      <c r="I196">
        <f t="shared" ca="1" si="24"/>
        <v>0.37555446032528339</v>
      </c>
      <c r="J196">
        <f t="shared" ca="1" si="24"/>
        <v>0.27341227125941875</v>
      </c>
      <c r="K196">
        <f t="shared" ca="1" si="24"/>
        <v>0.23656973878758009</v>
      </c>
      <c r="L196">
        <f t="shared" ca="1" si="24"/>
        <v>0.17222820236813777</v>
      </c>
      <c r="M196">
        <f t="shared" ca="1" si="24"/>
        <v>0.30631780472239944</v>
      </c>
      <c r="N196">
        <f t="shared" ca="1" si="24"/>
        <v>0.20645161290322578</v>
      </c>
      <c r="O196">
        <f t="shared" ca="1" si="24"/>
        <v>0.1166128453534267</v>
      </c>
      <c r="P196">
        <f t="shared" ca="1" si="24"/>
        <v>0.13978494623655921</v>
      </c>
      <c r="Q196">
        <f t="shared" ca="1" si="24"/>
        <v>0.20793346129238652</v>
      </c>
      <c r="R196">
        <f t="shared" ca="1" si="24"/>
        <v>0.56225331898098319</v>
      </c>
      <c r="S196">
        <f t="shared" ca="1" si="24"/>
        <v>0.28884104772156449</v>
      </c>
      <c r="T196">
        <f t="shared" ca="1" si="24"/>
        <v>0.34623655913978502</v>
      </c>
      <c r="U196" s="5"/>
      <c r="V196" s="4">
        <f t="shared" si="21"/>
        <v>41851</v>
      </c>
      <c r="W196" s="5">
        <f t="shared" ca="1" si="19"/>
        <v>0.30631780472239944</v>
      </c>
      <c r="Z196" s="4" t="str">
        <f ca="1">IF(OFFSET(Sheet3!$A$1,0,0,300)="","",OFFSET(Sheet3!$A$1,0,0,300))</f>
        <v/>
      </c>
      <c r="AA196" s="5" t="str">
        <f ca="1">IF(OFFSET(Sheet3!$A$1,0,MATCH(W$1,Sheet3!$1:$1,0)-1,300)="","",OFFSET(Sheet3!$A$1,0,MATCH(W$1,Sheet3!$1:$1,0)-1,300))</f>
        <v/>
      </c>
      <c r="AB196" s="5" t="str">
        <f ca="1">IF(OFFSET(Sheet3!$A$1,0,MATCH(X$1,Sheet3!$1:$1,0)-1,300)="","",OFFSET(Sheet3!$A$1,0,MATCH(X$1,Sheet3!$1:$1,0)-1,300))</f>
        <v/>
      </c>
      <c r="AC196" t="str">
        <f t="shared" ca="1" si="25"/>
        <v/>
      </c>
      <c r="AD196" t="str">
        <f t="shared" ca="1" si="26"/>
        <v/>
      </c>
    </row>
    <row r="197" spans="1:30" x14ac:dyDescent="0.25">
      <c r="A197" s="4">
        <v>41850</v>
      </c>
      <c r="B197">
        <v>0.55700000000000005</v>
      </c>
      <c r="C197" s="5">
        <v>1.0189999999999999</v>
      </c>
      <c r="D197">
        <v>1.768</v>
      </c>
      <c r="E197">
        <v>2.222</v>
      </c>
      <c r="F197">
        <v>2.5579999999999998</v>
      </c>
      <c r="G197">
        <v>3.3130000000000002</v>
      </c>
      <c r="H197">
        <f t="shared" ca="1" si="24"/>
        <v>0.44984984984984988</v>
      </c>
      <c r="I197">
        <f t="shared" ca="1" si="24"/>
        <v>0.37431284357821099</v>
      </c>
      <c r="J197">
        <f t="shared" ca="1" si="24"/>
        <v>0.27177068214804068</v>
      </c>
      <c r="K197">
        <f t="shared" ca="1" si="24"/>
        <v>0.22688655672163918</v>
      </c>
      <c r="L197">
        <f t="shared" ca="1" si="24"/>
        <v>0.16473149492017414</v>
      </c>
      <c r="M197">
        <f t="shared" ca="1" si="24"/>
        <v>0.294996751137102</v>
      </c>
      <c r="N197">
        <f t="shared" ca="1" si="24"/>
        <v>0.19790758500435915</v>
      </c>
      <c r="O197">
        <f t="shared" ca="1" si="24"/>
        <v>0.12191582002902751</v>
      </c>
      <c r="P197">
        <f t="shared" ca="1" si="24"/>
        <v>0.14646904969485605</v>
      </c>
      <c r="Q197">
        <f t="shared" ca="1" si="24"/>
        <v>0.21747572815533969</v>
      </c>
      <c r="R197">
        <f t="shared" ca="1" si="24"/>
        <v>0.55841799709724227</v>
      </c>
      <c r="S197">
        <f t="shared" ca="1" si="24"/>
        <v>0.28664731494920165</v>
      </c>
      <c r="T197">
        <f t="shared" ca="1" si="24"/>
        <v>0.3443766346992152</v>
      </c>
      <c r="U197" s="5"/>
      <c r="V197" s="4">
        <f t="shared" si="21"/>
        <v>41850</v>
      </c>
      <c r="W197" s="5">
        <f t="shared" ca="1" si="19"/>
        <v>0.294996751137102</v>
      </c>
      <c r="Z197" s="4" t="str">
        <f ca="1">IF(OFFSET(Sheet3!$A$1,0,0,300)="","",OFFSET(Sheet3!$A$1,0,0,300))</f>
        <v/>
      </c>
      <c r="AA197" s="5" t="str">
        <f ca="1">IF(OFFSET(Sheet3!$A$1,0,MATCH(W$1,Sheet3!$1:$1,0)-1,300)="","",OFFSET(Sheet3!$A$1,0,MATCH(W$1,Sheet3!$1:$1,0)-1,300))</f>
        <v/>
      </c>
      <c r="AB197" s="5" t="str">
        <f ca="1">IF(OFFSET(Sheet3!$A$1,0,MATCH(X$1,Sheet3!$1:$1,0)-1,300)="","",OFFSET(Sheet3!$A$1,0,MATCH(X$1,Sheet3!$1:$1,0)-1,300))</f>
        <v/>
      </c>
      <c r="AC197" t="str">
        <f t="shared" ca="1" si="25"/>
        <v/>
      </c>
      <c r="AD197" t="str">
        <f t="shared" ca="1" si="26"/>
        <v/>
      </c>
    </row>
    <row r="198" spans="1:30" x14ac:dyDescent="0.25">
      <c r="A198" s="4">
        <v>41849</v>
      </c>
      <c r="B198">
        <v>0.54100000000000004</v>
      </c>
      <c r="C198" s="5">
        <v>0.98399999999999999</v>
      </c>
      <c r="D198">
        <v>1.6890000000000001</v>
      </c>
      <c r="E198">
        <v>2.129</v>
      </c>
      <c r="F198">
        <v>2.4609999999999999</v>
      </c>
      <c r="G198">
        <v>3.2250000000000001</v>
      </c>
      <c r="H198">
        <f t="shared" ca="1" si="24"/>
        <v>0.44395465994962219</v>
      </c>
      <c r="I198">
        <f t="shared" ca="1" si="24"/>
        <v>0.36718750000000006</v>
      </c>
      <c r="J198">
        <f t="shared" ca="1" si="24"/>
        <v>0.26266766020864385</v>
      </c>
      <c r="K198">
        <f t="shared" ca="1" si="24"/>
        <v>0.22916666666666666</v>
      </c>
      <c r="L198">
        <f t="shared" ca="1" si="24"/>
        <v>0.16393442622950816</v>
      </c>
      <c r="M198">
        <f t="shared" ca="1" si="24"/>
        <v>0.29790115098171971</v>
      </c>
      <c r="N198">
        <f t="shared" ca="1" si="24"/>
        <v>0.19634091923248548</v>
      </c>
      <c r="O198">
        <f t="shared" ca="1" si="24"/>
        <v>0.12369597615499249</v>
      </c>
      <c r="P198">
        <f t="shared" ca="1" si="24"/>
        <v>0.14814814814814808</v>
      </c>
      <c r="Q198">
        <f t="shared" ca="1" si="24"/>
        <v>0.21614583333333323</v>
      </c>
      <c r="R198">
        <f t="shared" ca="1" si="24"/>
        <v>0.55029806259314451</v>
      </c>
      <c r="S198">
        <f t="shared" ca="1" si="24"/>
        <v>0.28763040238450066</v>
      </c>
      <c r="T198">
        <f t="shared" ca="1" si="24"/>
        <v>0.34448906738063356</v>
      </c>
      <c r="U198" s="5"/>
      <c r="V198" s="4">
        <f t="shared" si="21"/>
        <v>41849</v>
      </c>
      <c r="W198" s="5">
        <f t="shared" ca="1" si="19"/>
        <v>0.29790115098171971</v>
      </c>
      <c r="Z198" s="4" t="str">
        <f ca="1">IF(OFFSET(Sheet3!$A$1,0,0,300)="","",OFFSET(Sheet3!$A$1,0,0,300))</f>
        <v/>
      </c>
      <c r="AA198" s="5" t="str">
        <f ca="1">IF(OFFSET(Sheet3!$A$1,0,MATCH(W$1,Sheet3!$1:$1,0)-1,300)="","",OFFSET(Sheet3!$A$1,0,MATCH(W$1,Sheet3!$1:$1,0)-1,300))</f>
        <v/>
      </c>
      <c r="AB198" s="5" t="str">
        <f ca="1">IF(OFFSET(Sheet3!$A$1,0,MATCH(X$1,Sheet3!$1:$1,0)-1,300)="","",OFFSET(Sheet3!$A$1,0,MATCH(X$1,Sheet3!$1:$1,0)-1,300))</f>
        <v/>
      </c>
      <c r="AC198" t="str">
        <f t="shared" ca="1" si="25"/>
        <v/>
      </c>
      <c r="AD198" t="str">
        <f t="shared" ca="1" si="26"/>
        <v/>
      </c>
    </row>
    <row r="199" spans="1:30" x14ac:dyDescent="0.25">
      <c r="A199" s="4">
        <v>41848</v>
      </c>
      <c r="B199">
        <v>0.502</v>
      </c>
      <c r="C199" s="5">
        <v>0.99199999999999999</v>
      </c>
      <c r="D199">
        <v>1.704</v>
      </c>
      <c r="E199">
        <v>2.1549999999999998</v>
      </c>
      <c r="F199">
        <v>2.4859999999999998</v>
      </c>
      <c r="G199">
        <v>3.2549999999999999</v>
      </c>
      <c r="H199">
        <f t="shared" ca="1" si="24"/>
        <v>0.43073200241984272</v>
      </c>
      <c r="I199">
        <f t="shared" ca="1" si="24"/>
        <v>0.3588709677419355</v>
      </c>
      <c r="J199">
        <f t="shared" ca="1" si="24"/>
        <v>0.25862695241554667</v>
      </c>
      <c r="K199">
        <f t="shared" ca="1" si="24"/>
        <v>0.22731854838709672</v>
      </c>
      <c r="L199">
        <f t="shared" ca="1" si="24"/>
        <v>0.16382128586995998</v>
      </c>
      <c r="M199">
        <f t="shared" ca="1" si="24"/>
        <v>0.30187416331994638</v>
      </c>
      <c r="N199">
        <f t="shared" ca="1" si="24"/>
        <v>0.19929297392841355</v>
      </c>
      <c r="O199">
        <f t="shared" ca="1" si="24"/>
        <v>0.12023247366509261</v>
      </c>
      <c r="P199">
        <f t="shared" ca="1" si="24"/>
        <v>0.14626601855943436</v>
      </c>
      <c r="Q199">
        <f t="shared" ca="1" si="24"/>
        <v>0.2134107027724049</v>
      </c>
      <c r="R199">
        <f t="shared" ca="1" si="24"/>
        <v>0.54268071195059919</v>
      </c>
      <c r="S199">
        <f t="shared" ca="1" si="24"/>
        <v>0.28405375953505257</v>
      </c>
      <c r="T199">
        <f t="shared" ca="1" si="24"/>
        <v>0.34555899248784794</v>
      </c>
      <c r="U199" s="5"/>
      <c r="V199" s="4">
        <f t="shared" si="21"/>
        <v>41848</v>
      </c>
      <c r="W199" s="5">
        <f t="shared" ca="1" si="19"/>
        <v>0.30187416331994638</v>
      </c>
      <c r="Z199" s="4" t="str">
        <f ca="1">IF(OFFSET(Sheet3!$A$1,0,0,300)="","",OFFSET(Sheet3!$A$1,0,0,300))</f>
        <v/>
      </c>
      <c r="AA199" s="5" t="str">
        <f ca="1">IF(OFFSET(Sheet3!$A$1,0,MATCH(W$1,Sheet3!$1:$1,0)-1,300)="","",OFFSET(Sheet3!$A$1,0,MATCH(W$1,Sheet3!$1:$1,0)-1,300))</f>
        <v/>
      </c>
      <c r="AB199" s="5" t="str">
        <f ca="1">IF(OFFSET(Sheet3!$A$1,0,MATCH(X$1,Sheet3!$1:$1,0)-1,300)="","",OFFSET(Sheet3!$A$1,0,MATCH(X$1,Sheet3!$1:$1,0)-1,300))</f>
        <v/>
      </c>
      <c r="AC199" t="str">
        <f t="shared" ca="1" si="25"/>
        <v/>
      </c>
      <c r="AD199" t="str">
        <f t="shared" ca="1" si="26"/>
        <v/>
      </c>
    </row>
    <row r="200" spans="1:30" x14ac:dyDescent="0.25">
      <c r="A200" s="4">
        <v>41845</v>
      </c>
      <c r="B200">
        <v>0.49</v>
      </c>
      <c r="C200" s="5">
        <v>0.96699999999999997</v>
      </c>
      <c r="D200">
        <v>1.6720000000000002</v>
      </c>
      <c r="E200">
        <v>2.129</v>
      </c>
      <c r="F200">
        <v>2.4660000000000002</v>
      </c>
      <c r="G200">
        <v>3.2389999999999999</v>
      </c>
      <c r="H200">
        <f t="shared" ca="1" si="24"/>
        <v>0.43014032946918862</v>
      </c>
      <c r="I200">
        <f t="shared" ca="1" si="24"/>
        <v>0.35678137651821867</v>
      </c>
      <c r="J200">
        <f t="shared" ca="1" si="24"/>
        <v>0.25645689341578765</v>
      </c>
      <c r="K200">
        <f t="shared" ca="1" si="24"/>
        <v>0.23127530364372459</v>
      </c>
      <c r="L200">
        <f t="shared" ca="1" si="24"/>
        <v>0.16624226991633317</v>
      </c>
      <c r="M200">
        <f t="shared" ca="1" si="24"/>
        <v>0.30486991327551688</v>
      </c>
      <c r="N200">
        <f t="shared" ca="1" si="24"/>
        <v>0.20114436619718304</v>
      </c>
      <c r="O200">
        <f t="shared" ca="1" si="24"/>
        <v>0.12259003273917797</v>
      </c>
      <c r="P200">
        <f t="shared" ca="1" si="24"/>
        <v>0.14832746478873249</v>
      </c>
      <c r="Q200">
        <f t="shared" ca="1" si="24"/>
        <v>0.21506062539885146</v>
      </c>
      <c r="R200">
        <f t="shared" ca="1" si="24"/>
        <v>0.54528919607129878</v>
      </c>
      <c r="S200">
        <f t="shared" ca="1" si="24"/>
        <v>0.28883230265551113</v>
      </c>
      <c r="T200">
        <f t="shared" ca="1" si="24"/>
        <v>0.34947183098591555</v>
      </c>
      <c r="U200" s="5"/>
      <c r="V200" s="4">
        <f t="shared" si="21"/>
        <v>41845</v>
      </c>
      <c r="W200" s="5">
        <f t="shared" ca="1" si="19"/>
        <v>0.30486991327551688</v>
      </c>
      <c r="Z200" s="4" t="str">
        <f ca="1">IF(OFFSET(Sheet3!$A$1,0,0,300)="","",OFFSET(Sheet3!$A$1,0,0,300))</f>
        <v/>
      </c>
      <c r="AA200" s="5" t="str">
        <f ca="1">IF(OFFSET(Sheet3!$A$1,0,MATCH(W$1,Sheet3!$1:$1,0)-1,300)="","",OFFSET(Sheet3!$A$1,0,MATCH(W$1,Sheet3!$1:$1,0)-1,300))</f>
        <v/>
      </c>
      <c r="AB200" s="5" t="str">
        <f ca="1">IF(OFFSET(Sheet3!$A$1,0,MATCH(X$1,Sheet3!$1:$1,0)-1,300)="","",OFFSET(Sheet3!$A$1,0,MATCH(X$1,Sheet3!$1:$1,0)-1,300))</f>
        <v/>
      </c>
      <c r="AC200" t="str">
        <f t="shared" ca="1" si="25"/>
        <v/>
      </c>
      <c r="AD200" t="str">
        <f t="shared" ca="1" si="26"/>
        <v/>
      </c>
    </row>
    <row r="201" spans="1:30" x14ac:dyDescent="0.25">
      <c r="A201" s="4">
        <v>41844</v>
      </c>
      <c r="B201">
        <v>0.49399999999999999</v>
      </c>
      <c r="C201" s="5">
        <v>0.98299999999999998</v>
      </c>
      <c r="D201">
        <v>1.6949999999999998</v>
      </c>
      <c r="E201">
        <v>2.16</v>
      </c>
      <c r="F201">
        <v>2.5030000000000001</v>
      </c>
      <c r="G201">
        <v>3.2959999999999998</v>
      </c>
      <c r="H201">
        <f t="shared" ca="1" si="24"/>
        <v>0.42737094837935163</v>
      </c>
      <c r="I201">
        <f t="shared" ca="1" si="24"/>
        <v>0.35440517670482813</v>
      </c>
      <c r="J201">
        <f t="shared" ca="1" si="24"/>
        <v>0.25410421127765881</v>
      </c>
      <c r="K201">
        <f t="shared" ca="1" si="24"/>
        <v>0.23145843703335003</v>
      </c>
      <c r="L201">
        <f t="shared" ca="1" si="24"/>
        <v>0.16595289079229136</v>
      </c>
      <c r="M201">
        <f t="shared" ca="1" si="24"/>
        <v>0.30592105263157915</v>
      </c>
      <c r="N201">
        <f t="shared" ca="1" si="24"/>
        <v>0.2010376134889755</v>
      </c>
      <c r="O201">
        <f t="shared" ca="1" si="24"/>
        <v>0.12241256245538902</v>
      </c>
      <c r="P201">
        <f t="shared" ca="1" si="24"/>
        <v>0.14829226113272806</v>
      </c>
      <c r="Q201">
        <f t="shared" ca="1" si="24"/>
        <v>0.2142410993129294</v>
      </c>
      <c r="R201">
        <f t="shared" ca="1" si="24"/>
        <v>0.54246966452533918</v>
      </c>
      <c r="S201">
        <f t="shared" ca="1" si="24"/>
        <v>0.28836545324768037</v>
      </c>
      <c r="T201">
        <f t="shared" ca="1" si="24"/>
        <v>0.34932987462170356</v>
      </c>
      <c r="U201" s="5"/>
      <c r="V201" s="4">
        <f t="shared" si="21"/>
        <v>41844</v>
      </c>
      <c r="W201" s="5">
        <f t="shared" ca="1" si="19"/>
        <v>0.30592105263157915</v>
      </c>
      <c r="Z201" s="4" t="str">
        <f ca="1">IF(OFFSET(Sheet3!$A$1,0,0,300)="","",OFFSET(Sheet3!$A$1,0,0,300))</f>
        <v/>
      </c>
      <c r="AA201" s="5" t="str">
        <f ca="1">IF(OFFSET(Sheet3!$A$1,0,MATCH(W$1,Sheet3!$1:$1,0)-1,300)="","",OFFSET(Sheet3!$A$1,0,MATCH(W$1,Sheet3!$1:$1,0)-1,300))</f>
        <v/>
      </c>
      <c r="AB201" s="5" t="str">
        <f ca="1">IF(OFFSET(Sheet3!$A$1,0,MATCH(X$1,Sheet3!$1:$1,0)-1,300)="","",OFFSET(Sheet3!$A$1,0,MATCH(X$1,Sheet3!$1:$1,0)-1,300))</f>
        <v/>
      </c>
      <c r="AC201" t="str">
        <f t="shared" ca="1" si="25"/>
        <v/>
      </c>
      <c r="AD201" t="str">
        <f t="shared" ca="1" si="26"/>
        <v/>
      </c>
    </row>
    <row r="202" spans="1:30" x14ac:dyDescent="0.25">
      <c r="A202" s="4">
        <v>41843</v>
      </c>
      <c r="B202">
        <v>0.47</v>
      </c>
      <c r="C202" s="5">
        <v>0.94799999999999995</v>
      </c>
      <c r="D202">
        <v>1.649</v>
      </c>
      <c r="E202">
        <v>2.1139999999999999</v>
      </c>
      <c r="F202">
        <v>2.4660000000000002</v>
      </c>
      <c r="G202">
        <v>3.2640000000000002</v>
      </c>
      <c r="H202">
        <f t="shared" ca="1" si="24"/>
        <v>0.42639902676399033</v>
      </c>
      <c r="I202">
        <f t="shared" ca="1" si="24"/>
        <v>0.35120240480961923</v>
      </c>
      <c r="J202">
        <f t="shared" ca="1" si="24"/>
        <v>0.25089477451682174</v>
      </c>
      <c r="K202">
        <f t="shared" ca="1" si="24"/>
        <v>0.23296593186372735</v>
      </c>
      <c r="L202">
        <f t="shared" ca="1" si="24"/>
        <v>0.16642806012884745</v>
      </c>
      <c r="M202">
        <f t="shared" ca="1" si="24"/>
        <v>0.3063241106719366</v>
      </c>
      <c r="N202">
        <f t="shared" ca="1" si="24"/>
        <v>0.20077720207253877</v>
      </c>
      <c r="O202">
        <f t="shared" ca="1" si="24"/>
        <v>0.12598425196850402</v>
      </c>
      <c r="P202">
        <f t="shared" ca="1" si="24"/>
        <v>0.15198618307426609</v>
      </c>
      <c r="Q202">
        <f t="shared" ca="1" si="24"/>
        <v>0.21795665634674938</v>
      </c>
      <c r="R202">
        <f t="shared" ca="1" si="24"/>
        <v>0.54330708661417326</v>
      </c>
      <c r="S202">
        <f t="shared" ca="1" si="24"/>
        <v>0.29241231209735147</v>
      </c>
      <c r="T202">
        <f t="shared" ca="1" si="24"/>
        <v>0.35276338514680489</v>
      </c>
      <c r="U202" s="5"/>
      <c r="V202" s="4">
        <f t="shared" si="21"/>
        <v>41843</v>
      </c>
      <c r="W202" s="5">
        <f t="shared" ca="1" si="19"/>
        <v>0.3063241106719366</v>
      </c>
      <c r="Z202" s="4" t="str">
        <f ca="1">IF(OFFSET(Sheet3!$A$1,0,0,300)="","",OFFSET(Sheet3!$A$1,0,0,300))</f>
        <v/>
      </c>
      <c r="AA202" s="5" t="str">
        <f ca="1">IF(OFFSET(Sheet3!$A$1,0,MATCH(W$1,Sheet3!$1:$1,0)-1,300)="","",OFFSET(Sheet3!$A$1,0,MATCH(W$1,Sheet3!$1:$1,0)-1,300))</f>
        <v/>
      </c>
      <c r="AB202" s="5" t="str">
        <f ca="1">IF(OFFSET(Sheet3!$A$1,0,MATCH(X$1,Sheet3!$1:$1,0)-1,300)="","",OFFSET(Sheet3!$A$1,0,MATCH(X$1,Sheet3!$1:$1,0)-1,300))</f>
        <v/>
      </c>
      <c r="AC202" t="str">
        <f t="shared" ca="1" si="25"/>
        <v/>
      </c>
      <c r="AD202" t="str">
        <f t="shared" ca="1" si="26"/>
        <v/>
      </c>
    </row>
    <row r="203" spans="1:30" x14ac:dyDescent="0.25">
      <c r="A203" s="4">
        <v>41842</v>
      </c>
      <c r="B203">
        <v>0.47399999999999998</v>
      </c>
      <c r="C203" s="5">
        <v>0.95599999999999996</v>
      </c>
      <c r="D203">
        <v>1.6539999999999999</v>
      </c>
      <c r="E203">
        <v>2.1139999999999999</v>
      </c>
      <c r="F203">
        <v>2.4609999999999999</v>
      </c>
      <c r="G203">
        <v>3.25</v>
      </c>
      <c r="H203">
        <f t="shared" ca="1" si="24"/>
        <v>0.42560975609756097</v>
      </c>
      <c r="I203">
        <f t="shared" ca="1" si="24"/>
        <v>0.35128334172118769</v>
      </c>
      <c r="J203">
        <f t="shared" ca="1" si="24"/>
        <v>0.25144092219020175</v>
      </c>
      <c r="K203">
        <f t="shared" ca="1" si="24"/>
        <v>0.23150478107700051</v>
      </c>
      <c r="L203">
        <f t="shared" ca="1" si="24"/>
        <v>0.16570605187319884</v>
      </c>
      <c r="M203">
        <f t="shared" ca="1" si="24"/>
        <v>0.30564784053156147</v>
      </c>
      <c r="N203">
        <f t="shared" ca="1" si="24"/>
        <v>0.20052310374891019</v>
      </c>
      <c r="O203">
        <f t="shared" ca="1" si="24"/>
        <v>0.125</v>
      </c>
      <c r="P203">
        <f t="shared" ca="1" si="24"/>
        <v>0.15126416739319964</v>
      </c>
      <c r="Q203">
        <f t="shared" ca="1" si="24"/>
        <v>0.21741854636591476</v>
      </c>
      <c r="R203">
        <f t="shared" ca="1" si="24"/>
        <v>0.54214697406340062</v>
      </c>
      <c r="S203">
        <f t="shared" ca="1" si="24"/>
        <v>0.29070605187319887</v>
      </c>
      <c r="T203">
        <f t="shared" ca="1" si="24"/>
        <v>0.35178727114210984</v>
      </c>
      <c r="U203" s="5"/>
      <c r="V203" s="4">
        <f t="shared" si="21"/>
        <v>41842</v>
      </c>
      <c r="W203" s="5">
        <f t="shared" ca="1" si="19"/>
        <v>0.30564784053156147</v>
      </c>
      <c r="Z203" s="4" t="str">
        <f ca="1">IF(OFFSET(Sheet3!$A$1,0,0,300)="","",OFFSET(Sheet3!$A$1,0,0,300))</f>
        <v/>
      </c>
      <c r="AA203" s="5" t="str">
        <f ca="1">IF(OFFSET(Sheet3!$A$1,0,MATCH(W$1,Sheet3!$1:$1,0)-1,300)="","",OFFSET(Sheet3!$A$1,0,MATCH(W$1,Sheet3!$1:$1,0)-1,300))</f>
        <v/>
      </c>
      <c r="AB203" s="5" t="str">
        <f ca="1">IF(OFFSET(Sheet3!$A$1,0,MATCH(X$1,Sheet3!$1:$1,0)-1,300)="","",OFFSET(Sheet3!$A$1,0,MATCH(X$1,Sheet3!$1:$1,0)-1,300))</f>
        <v/>
      </c>
      <c r="AC203" t="str">
        <f t="shared" ca="1" si="25"/>
        <v/>
      </c>
      <c r="AD203" t="str">
        <f t="shared" ca="1" si="26"/>
        <v/>
      </c>
    </row>
    <row r="204" spans="1:30" x14ac:dyDescent="0.25">
      <c r="A204" s="4">
        <v>41841</v>
      </c>
      <c r="B204">
        <v>0.49199999999999999</v>
      </c>
      <c r="C204" s="5">
        <v>0.98299999999999998</v>
      </c>
      <c r="D204">
        <v>1.677</v>
      </c>
      <c r="E204">
        <v>2.129</v>
      </c>
      <c r="F204">
        <v>2.468</v>
      </c>
      <c r="G204">
        <v>3.2570000000000001</v>
      </c>
      <c r="H204">
        <f t="shared" ca="1" si="24"/>
        <v>0.4239462431276726</v>
      </c>
      <c r="I204">
        <f t="shared" ca="1" si="24"/>
        <v>0.35121457489878544</v>
      </c>
      <c r="J204">
        <f t="shared" ca="1" si="24"/>
        <v>0.25099457504520795</v>
      </c>
      <c r="K204">
        <f t="shared" ca="1" si="24"/>
        <v>0.22874493927125505</v>
      </c>
      <c r="L204">
        <f t="shared" ca="1" si="24"/>
        <v>0.16347197106690775</v>
      </c>
      <c r="M204">
        <f t="shared" ca="1" si="24"/>
        <v>0.30437710437710436</v>
      </c>
      <c r="N204">
        <f t="shared" ca="1" si="24"/>
        <v>0.19876868953386101</v>
      </c>
      <c r="O204">
        <f t="shared" ca="1" si="24"/>
        <v>0.12260397830018081</v>
      </c>
      <c r="P204">
        <f t="shared" ca="1" si="24"/>
        <v>0.14907651715039577</v>
      </c>
      <c r="Q204">
        <f t="shared" ca="1" si="24"/>
        <v>0.21455696202531643</v>
      </c>
      <c r="R204">
        <f t="shared" ca="1" si="24"/>
        <v>0.53707052441229652</v>
      </c>
      <c r="S204">
        <f t="shared" ca="1" si="24"/>
        <v>0.28607594936708858</v>
      </c>
      <c r="T204">
        <f t="shared" ca="1" si="24"/>
        <v>0.34784520668425678</v>
      </c>
      <c r="U204" s="5"/>
      <c r="V204" s="4">
        <f t="shared" si="21"/>
        <v>41841</v>
      </c>
      <c r="W204" s="5">
        <f t="shared" ref="W204:W267" ca="1" si="27">OFFSET($H$12,0,MATCH(select,$H$12:$T$12,0)-1,300,1)</f>
        <v>0.30437710437710436</v>
      </c>
      <c r="Z204" s="4" t="str">
        <f ca="1">IF(OFFSET(Sheet3!$A$1,0,0,300)="","",OFFSET(Sheet3!$A$1,0,0,300))</f>
        <v/>
      </c>
      <c r="AA204" s="5" t="str">
        <f ca="1">IF(OFFSET(Sheet3!$A$1,0,MATCH(W$1,Sheet3!$1:$1,0)-1,300)="","",OFFSET(Sheet3!$A$1,0,MATCH(W$1,Sheet3!$1:$1,0)-1,300))</f>
        <v/>
      </c>
      <c r="AB204" s="5" t="str">
        <f ca="1">IF(OFFSET(Sheet3!$A$1,0,MATCH(X$1,Sheet3!$1:$1,0)-1,300)="","",OFFSET(Sheet3!$A$1,0,MATCH(X$1,Sheet3!$1:$1,0)-1,300))</f>
        <v/>
      </c>
      <c r="AC204" t="str">
        <f t="shared" ca="1" si="25"/>
        <v/>
      </c>
      <c r="AD204" t="str">
        <f t="shared" ca="1" si="26"/>
        <v/>
      </c>
    </row>
    <row r="205" spans="1:30" x14ac:dyDescent="0.25">
      <c r="A205" s="4">
        <v>41838</v>
      </c>
      <c r="B205">
        <v>0.48</v>
      </c>
      <c r="C205" s="5">
        <v>0.97</v>
      </c>
      <c r="D205">
        <v>1.669</v>
      </c>
      <c r="E205">
        <v>2.133</v>
      </c>
      <c r="F205">
        <v>2.4820000000000002</v>
      </c>
      <c r="G205">
        <v>3.2890000000000001</v>
      </c>
      <c r="H205">
        <f t="shared" ref="H205:T220" ca="1" si="28">IF(ISERROR(ABS(OFFSET($A$11,ROW()-11,MATCH(LEFT(H$9,2),$A$11:$G$11,0)-1)-OFFSET($A$11,ROW()-11,MATCH(RIGHT(H$9,2),$A$11:$G$11,0)-1))/ABS(OFFSET($A$11,ROW()-11,MATCH(LEFT(H$10,2),$A$11:$G$11,0)-1)-OFFSET($A$11,ROW()-11,MATCH(RIGHT(H$10,2),$A$11:$G$11,0)-1))),"",ABS(OFFSET($A$11,ROW()-11,MATCH(LEFT(H$9,2),$A$11:$G$11,0)-1)-OFFSET($A$11,ROW()-11,MATCH(RIGHT(H$9,2),$A$11:$G$11,0)-1))/ABS(OFFSET($A$11,ROW()-11,MATCH(LEFT(H$10,2),$A$11:$G$11,0)-1)-OFFSET($A$11,ROW()-11,MATCH(RIGHT(H$10,2),$A$11:$G$11,0)-1)))</f>
        <v>0.42286751361161529</v>
      </c>
      <c r="I205">
        <f t="shared" ca="1" si="28"/>
        <v>0.34915084915084915</v>
      </c>
      <c r="J205">
        <f t="shared" ca="1" si="28"/>
        <v>0.24884300462798151</v>
      </c>
      <c r="K205">
        <f t="shared" ca="1" si="28"/>
        <v>0.23176823176823172</v>
      </c>
      <c r="L205">
        <f t="shared" ca="1" si="28"/>
        <v>0.16518333926664291</v>
      </c>
      <c r="M205">
        <f t="shared" ca="1" si="28"/>
        <v>0.30687830687830681</v>
      </c>
      <c r="N205">
        <f t="shared" ca="1" si="28"/>
        <v>0.20008624407072012</v>
      </c>
      <c r="O205">
        <f t="shared" ca="1" si="28"/>
        <v>0.12424350302598795</v>
      </c>
      <c r="P205">
        <f t="shared" ca="1" si="28"/>
        <v>0.15049590340664087</v>
      </c>
      <c r="Q205">
        <f t="shared" ca="1" si="28"/>
        <v>0.21543209876543221</v>
      </c>
      <c r="R205">
        <f t="shared" ca="1" si="28"/>
        <v>0.53826984692061242</v>
      </c>
      <c r="S205">
        <f t="shared" ca="1" si="28"/>
        <v>0.28942684229263088</v>
      </c>
      <c r="T205">
        <f t="shared" ca="1" si="28"/>
        <v>0.35058214747736099</v>
      </c>
      <c r="U205" s="5"/>
      <c r="V205" s="4">
        <f t="shared" si="21"/>
        <v>41838</v>
      </c>
      <c r="W205" s="5">
        <f t="shared" ca="1" si="27"/>
        <v>0.30687830687830681</v>
      </c>
      <c r="Z205" s="4" t="str">
        <f ca="1">IF(OFFSET(Sheet3!$A$1,0,0,300)="","",OFFSET(Sheet3!$A$1,0,0,300))</f>
        <v/>
      </c>
      <c r="AA205" s="5" t="str">
        <f ca="1">IF(OFFSET(Sheet3!$A$1,0,MATCH(W$1,Sheet3!$1:$1,0)-1,300)="","",OFFSET(Sheet3!$A$1,0,MATCH(W$1,Sheet3!$1:$1,0)-1,300))</f>
        <v/>
      </c>
      <c r="AB205" s="5" t="str">
        <f ca="1">IF(OFFSET(Sheet3!$A$1,0,MATCH(X$1,Sheet3!$1:$1,0)-1,300)="","",OFFSET(Sheet3!$A$1,0,MATCH(X$1,Sheet3!$1:$1,0)-1,300))</f>
        <v/>
      </c>
      <c r="AC205" t="str">
        <f t="shared" ca="1" si="25"/>
        <v/>
      </c>
      <c r="AD205" t="str">
        <f t="shared" ca="1" si="26"/>
        <v/>
      </c>
    </row>
    <row r="206" spans="1:30" x14ac:dyDescent="0.25">
      <c r="A206" s="4">
        <v>41837</v>
      </c>
      <c r="B206">
        <v>0.44600000000000001</v>
      </c>
      <c r="C206" s="5">
        <v>0.92100000000000004</v>
      </c>
      <c r="D206">
        <v>1.6179999999999999</v>
      </c>
      <c r="E206">
        <v>2.085</v>
      </c>
      <c r="F206">
        <v>2.4470000000000001</v>
      </c>
      <c r="G206">
        <v>3.2669999999999999</v>
      </c>
      <c r="H206">
        <f t="shared" ca="1" si="28"/>
        <v>0.42525930445393523</v>
      </c>
      <c r="I206">
        <f t="shared" ca="1" si="28"/>
        <v>0.3483258370814592</v>
      </c>
      <c r="J206">
        <f t="shared" ca="1" si="28"/>
        <v>0.24707550514002125</v>
      </c>
      <c r="K206">
        <f t="shared" ca="1" si="28"/>
        <v>0.23338330834582713</v>
      </c>
      <c r="L206">
        <f t="shared" ca="1" si="28"/>
        <v>0.16554413328606882</v>
      </c>
      <c r="M206">
        <f t="shared" ca="1" si="28"/>
        <v>0.30602883355176941</v>
      </c>
      <c r="N206">
        <f t="shared" ca="1" si="28"/>
        <v>0.19906223358908784</v>
      </c>
      <c r="O206">
        <f t="shared" ca="1" si="28"/>
        <v>0.12832328961361225</v>
      </c>
      <c r="P206">
        <f t="shared" ca="1" si="28"/>
        <v>0.154305200341006</v>
      </c>
      <c r="Q206">
        <f t="shared" ca="1" si="28"/>
        <v>0.21952698605215287</v>
      </c>
      <c r="R206">
        <f t="shared" ca="1" si="28"/>
        <v>0.54094292803970234</v>
      </c>
      <c r="S206">
        <f t="shared" ca="1" si="28"/>
        <v>0.29386742289968104</v>
      </c>
      <c r="T206">
        <f t="shared" ca="1" si="28"/>
        <v>0.35336743393009384</v>
      </c>
      <c r="U206" s="5"/>
      <c r="V206" s="4">
        <f t="shared" ref="V206:V269" si="29">IF(A206&lt;&gt;"",A206,"")</f>
        <v>41837</v>
      </c>
      <c r="W206" s="5">
        <f t="shared" ca="1" si="27"/>
        <v>0.30602883355176941</v>
      </c>
      <c r="Z206" s="4" t="str">
        <f ca="1">IF(OFFSET(Sheet3!$A$1,0,0,300)="","",OFFSET(Sheet3!$A$1,0,0,300))</f>
        <v/>
      </c>
      <c r="AA206" s="5" t="str">
        <f ca="1">IF(OFFSET(Sheet3!$A$1,0,MATCH(W$1,Sheet3!$1:$1,0)-1,300)="","",OFFSET(Sheet3!$A$1,0,MATCH(W$1,Sheet3!$1:$1,0)-1,300))</f>
        <v/>
      </c>
      <c r="AB206" s="5" t="str">
        <f ca="1">IF(OFFSET(Sheet3!$A$1,0,MATCH(X$1,Sheet3!$1:$1,0)-1,300)="","",OFFSET(Sheet3!$A$1,0,MATCH(X$1,Sheet3!$1:$1,0)-1,300))</f>
        <v/>
      </c>
      <c r="AC206" t="str">
        <f t="shared" ca="1" si="25"/>
        <v/>
      </c>
      <c r="AD206" t="str">
        <f t="shared" ca="1" si="26"/>
        <v/>
      </c>
    </row>
    <row r="207" spans="1:30" x14ac:dyDescent="0.25">
      <c r="A207" s="4">
        <v>41836</v>
      </c>
      <c r="B207">
        <v>0.48599999999999999</v>
      </c>
      <c r="C207" s="5">
        <v>0.98199999999999998</v>
      </c>
      <c r="D207">
        <v>1.69</v>
      </c>
      <c r="E207">
        <v>2.1629999999999998</v>
      </c>
      <c r="F207">
        <v>2.5270000000000001</v>
      </c>
      <c r="G207">
        <v>3.3380000000000001</v>
      </c>
      <c r="H207">
        <f t="shared" ca="1" si="28"/>
        <v>0.42218246869409665</v>
      </c>
      <c r="I207">
        <f t="shared" ca="1" si="28"/>
        <v>0.34688878000979906</v>
      </c>
      <c r="J207">
        <f t="shared" ca="1" si="28"/>
        <v>0.24824684431977556</v>
      </c>
      <c r="K207">
        <f t="shared" ca="1" si="28"/>
        <v>0.23174914257716794</v>
      </c>
      <c r="L207">
        <f t="shared" ca="1" si="28"/>
        <v>0.16584852734922856</v>
      </c>
      <c r="M207">
        <f t="shared" ca="1" si="28"/>
        <v>0.30614886731391572</v>
      </c>
      <c r="N207">
        <f t="shared" ca="1" si="28"/>
        <v>0.20076400679117143</v>
      </c>
      <c r="O207">
        <f t="shared" ca="1" si="28"/>
        <v>0.12762973352033671</v>
      </c>
      <c r="P207">
        <f t="shared" ca="1" si="28"/>
        <v>0.15449915110356552</v>
      </c>
      <c r="Q207">
        <f t="shared" ca="1" si="28"/>
        <v>0.22087378640776717</v>
      </c>
      <c r="R207">
        <f t="shared" ca="1" si="28"/>
        <v>0.54172510518934081</v>
      </c>
      <c r="S207">
        <f t="shared" ca="1" si="28"/>
        <v>0.29347826086956524</v>
      </c>
      <c r="T207">
        <f t="shared" ca="1" si="28"/>
        <v>0.35526315789473695</v>
      </c>
      <c r="U207" s="5"/>
      <c r="V207" s="4">
        <f t="shared" si="29"/>
        <v>41836</v>
      </c>
      <c r="W207" s="5">
        <f t="shared" ca="1" si="27"/>
        <v>0.30614886731391572</v>
      </c>
      <c r="Z207" s="4" t="str">
        <f ca="1">IF(OFFSET(Sheet3!$A$1,0,0,300)="","",OFFSET(Sheet3!$A$1,0,0,300))</f>
        <v/>
      </c>
      <c r="AA207" s="5" t="str">
        <f ca="1">IF(OFFSET(Sheet3!$A$1,0,MATCH(W$1,Sheet3!$1:$1,0)-1,300)="","",OFFSET(Sheet3!$A$1,0,MATCH(W$1,Sheet3!$1:$1,0)-1,300))</f>
        <v/>
      </c>
      <c r="AB207" s="5" t="str">
        <f ca="1">IF(OFFSET(Sheet3!$A$1,0,MATCH(X$1,Sheet3!$1:$1,0)-1,300)="","",OFFSET(Sheet3!$A$1,0,MATCH(X$1,Sheet3!$1:$1,0)-1,300))</f>
        <v/>
      </c>
      <c r="AC207" t="str">
        <f t="shared" ca="1" si="25"/>
        <v/>
      </c>
      <c r="AD207" t="str">
        <f t="shared" ca="1" si="26"/>
        <v/>
      </c>
    </row>
    <row r="208" spans="1:30" x14ac:dyDescent="0.25">
      <c r="A208" s="4">
        <v>41835</v>
      </c>
      <c r="B208">
        <v>0.47799999999999998</v>
      </c>
      <c r="C208" s="5">
        <v>0.97199999999999998</v>
      </c>
      <c r="D208">
        <v>1.6879999999999999</v>
      </c>
      <c r="E208">
        <v>2.1720000000000002</v>
      </c>
      <c r="F208">
        <v>2.548</v>
      </c>
      <c r="G208">
        <v>3.3679999999999999</v>
      </c>
      <c r="H208">
        <f t="shared" ca="1" si="28"/>
        <v>0.422668240850059</v>
      </c>
      <c r="I208">
        <f t="shared" ca="1" si="28"/>
        <v>0.3458937198067632</v>
      </c>
      <c r="J208">
        <f t="shared" ca="1" si="28"/>
        <v>0.24775086505190314</v>
      </c>
      <c r="K208">
        <f t="shared" ca="1" si="28"/>
        <v>0.23381642512077302</v>
      </c>
      <c r="L208">
        <f t="shared" ca="1" si="28"/>
        <v>0.16747404844290667</v>
      </c>
      <c r="M208">
        <f t="shared" ca="1" si="28"/>
        <v>0.30710659898477172</v>
      </c>
      <c r="N208">
        <f t="shared" ca="1" si="28"/>
        <v>0.20200333889816369</v>
      </c>
      <c r="O208">
        <f t="shared" ca="1" si="28"/>
        <v>0.13010380622837367</v>
      </c>
      <c r="P208">
        <f t="shared" ca="1" si="28"/>
        <v>0.15692821368948243</v>
      </c>
      <c r="Q208">
        <f t="shared" ca="1" si="28"/>
        <v>0.22380952380952376</v>
      </c>
      <c r="R208">
        <f t="shared" ca="1" si="28"/>
        <v>0.54532871972318342</v>
      </c>
      <c r="S208">
        <f t="shared" ca="1" si="28"/>
        <v>0.29757785467128034</v>
      </c>
      <c r="T208">
        <f t="shared" ca="1" si="28"/>
        <v>0.35893155258764614</v>
      </c>
      <c r="U208" s="5"/>
      <c r="V208" s="4">
        <f t="shared" si="29"/>
        <v>41835</v>
      </c>
      <c r="W208" s="5">
        <f t="shared" ca="1" si="27"/>
        <v>0.30710659898477172</v>
      </c>
      <c r="Z208" s="4" t="str">
        <f ca="1">IF(OFFSET(Sheet3!$A$1,0,0,300)="","",OFFSET(Sheet3!$A$1,0,0,300))</f>
        <v/>
      </c>
      <c r="AA208" s="5" t="str">
        <f ca="1">IF(OFFSET(Sheet3!$A$1,0,MATCH(W$1,Sheet3!$1:$1,0)-1,300)="","",OFFSET(Sheet3!$A$1,0,MATCH(W$1,Sheet3!$1:$1,0)-1,300))</f>
        <v/>
      </c>
      <c r="AB208" s="5" t="str">
        <f ca="1">IF(OFFSET(Sheet3!$A$1,0,MATCH(X$1,Sheet3!$1:$1,0)-1,300)="","",OFFSET(Sheet3!$A$1,0,MATCH(X$1,Sheet3!$1:$1,0)-1,300))</f>
        <v/>
      </c>
      <c r="AC208" t="str">
        <f t="shared" ca="1" si="25"/>
        <v/>
      </c>
      <c r="AD208" t="str">
        <f t="shared" ca="1" si="26"/>
        <v/>
      </c>
    </row>
    <row r="209" spans="1:30" x14ac:dyDescent="0.25">
      <c r="A209" s="4">
        <v>41834</v>
      </c>
      <c r="B209">
        <v>0.46200000000000002</v>
      </c>
      <c r="C209" s="5">
        <v>0.94799999999999995</v>
      </c>
      <c r="D209">
        <v>1.6720000000000002</v>
      </c>
      <c r="E209">
        <v>2.16</v>
      </c>
      <c r="F209">
        <v>2.548</v>
      </c>
      <c r="G209">
        <v>3.3719999999999999</v>
      </c>
      <c r="H209">
        <f t="shared" ca="1" si="28"/>
        <v>0.42638398115429926</v>
      </c>
      <c r="I209">
        <f t="shared" ca="1" si="28"/>
        <v>0.34707574304889754</v>
      </c>
      <c r="J209">
        <f t="shared" ca="1" si="28"/>
        <v>0.24879725085910662</v>
      </c>
      <c r="K209">
        <f t="shared" ca="1" si="28"/>
        <v>0.2339405560882071</v>
      </c>
      <c r="L209">
        <f t="shared" ca="1" si="28"/>
        <v>0.16769759450171823</v>
      </c>
      <c r="M209">
        <f t="shared" ca="1" si="28"/>
        <v>0.30499999999999999</v>
      </c>
      <c r="N209">
        <f t="shared" ca="1" si="28"/>
        <v>0.20132013201320131</v>
      </c>
      <c r="O209">
        <f t="shared" ca="1" si="28"/>
        <v>0.1333333333333333</v>
      </c>
      <c r="P209">
        <f t="shared" ca="1" si="28"/>
        <v>0.16006600660066003</v>
      </c>
      <c r="Q209">
        <f t="shared" ca="1" si="28"/>
        <v>0.22823529411764704</v>
      </c>
      <c r="R209">
        <f t="shared" ca="1" si="28"/>
        <v>0.54982817869415812</v>
      </c>
      <c r="S209">
        <f t="shared" ca="1" si="28"/>
        <v>0.30103092783505153</v>
      </c>
      <c r="T209">
        <f t="shared" ca="1" si="28"/>
        <v>0.36138613861386137</v>
      </c>
      <c r="U209" s="5"/>
      <c r="V209" s="4">
        <f t="shared" si="29"/>
        <v>41834</v>
      </c>
      <c r="W209" s="5">
        <f t="shared" ca="1" si="27"/>
        <v>0.30499999999999999</v>
      </c>
      <c r="Z209" s="4" t="str">
        <f ca="1">IF(OFFSET(Sheet3!$A$1,0,0,300)="","",OFFSET(Sheet3!$A$1,0,0,300))</f>
        <v/>
      </c>
      <c r="AA209" s="5" t="str">
        <f ca="1">IF(OFFSET(Sheet3!$A$1,0,MATCH(W$1,Sheet3!$1:$1,0)-1,300)="","",OFFSET(Sheet3!$A$1,0,MATCH(W$1,Sheet3!$1:$1,0)-1,300))</f>
        <v/>
      </c>
      <c r="AB209" s="5" t="str">
        <f ca="1">IF(OFFSET(Sheet3!$A$1,0,MATCH(X$1,Sheet3!$1:$1,0)-1,300)="","",OFFSET(Sheet3!$A$1,0,MATCH(X$1,Sheet3!$1:$1,0)-1,300))</f>
        <v/>
      </c>
      <c r="AC209" t="str">
        <f t="shared" ca="1" si="25"/>
        <v/>
      </c>
      <c r="AD209" t="str">
        <f t="shared" ca="1" si="26"/>
        <v/>
      </c>
    </row>
    <row r="210" spans="1:30" x14ac:dyDescent="0.25">
      <c r="A210" s="4">
        <v>41831</v>
      </c>
      <c r="B210">
        <v>0.45</v>
      </c>
      <c r="C210" s="5">
        <v>0.92700000000000005</v>
      </c>
      <c r="D210">
        <v>1.641</v>
      </c>
      <c r="E210">
        <v>2.129</v>
      </c>
      <c r="F210">
        <v>2.5169999999999999</v>
      </c>
      <c r="G210">
        <v>3.3370000000000002</v>
      </c>
      <c r="H210">
        <f t="shared" ca="1" si="28"/>
        <v>0.4252531268612269</v>
      </c>
      <c r="I210">
        <f t="shared" ca="1" si="28"/>
        <v>0.34542815674891147</v>
      </c>
      <c r="J210">
        <f t="shared" ca="1" si="28"/>
        <v>0.24731555247661932</v>
      </c>
      <c r="K210">
        <f t="shared" ca="1" si="28"/>
        <v>0.23609095307208516</v>
      </c>
      <c r="L210">
        <f t="shared" ca="1" si="28"/>
        <v>0.16903359889158295</v>
      </c>
      <c r="M210">
        <f t="shared" ca="1" si="28"/>
        <v>0.30691823899371073</v>
      </c>
      <c r="N210">
        <f t="shared" ca="1" si="28"/>
        <v>0.20248962655601657</v>
      </c>
      <c r="O210">
        <f t="shared" ca="1" si="28"/>
        <v>0.13439556633183231</v>
      </c>
      <c r="P210">
        <f t="shared" ca="1" si="28"/>
        <v>0.16099585062240659</v>
      </c>
      <c r="Q210">
        <f t="shared" ca="1" si="28"/>
        <v>0.2287735849056603</v>
      </c>
      <c r="R210">
        <f t="shared" ca="1" si="28"/>
        <v>0.55074471770003464</v>
      </c>
      <c r="S210">
        <f t="shared" ca="1" si="28"/>
        <v>0.30342916522341529</v>
      </c>
      <c r="T210">
        <f t="shared" ca="1" si="28"/>
        <v>0.36348547717842317</v>
      </c>
      <c r="U210" s="5"/>
      <c r="V210" s="4">
        <f t="shared" si="29"/>
        <v>41831</v>
      </c>
      <c r="W210" s="5">
        <f t="shared" ca="1" si="27"/>
        <v>0.30691823899371073</v>
      </c>
      <c r="Z210" s="4" t="str">
        <f ca="1">IF(OFFSET(Sheet3!$A$1,0,0,300)="","",OFFSET(Sheet3!$A$1,0,0,300))</f>
        <v/>
      </c>
      <c r="AA210" s="5" t="str">
        <f ca="1">IF(OFFSET(Sheet3!$A$1,0,MATCH(W$1,Sheet3!$1:$1,0)-1,300)="","",OFFSET(Sheet3!$A$1,0,MATCH(W$1,Sheet3!$1:$1,0)-1,300))</f>
        <v/>
      </c>
      <c r="AB210" s="5" t="str">
        <f ca="1">IF(OFFSET(Sheet3!$A$1,0,MATCH(X$1,Sheet3!$1:$1,0)-1,300)="","",OFFSET(Sheet3!$A$1,0,MATCH(X$1,Sheet3!$1:$1,0)-1,300))</f>
        <v/>
      </c>
      <c r="AC210" t="str">
        <f t="shared" ca="1" si="25"/>
        <v/>
      </c>
      <c r="AD210" t="str">
        <f t="shared" ca="1" si="26"/>
        <v/>
      </c>
    </row>
    <row r="211" spans="1:30" x14ac:dyDescent="0.25">
      <c r="A211" s="4">
        <v>41830</v>
      </c>
      <c r="B211">
        <v>0.45600000000000002</v>
      </c>
      <c r="C211" s="5">
        <v>0.94</v>
      </c>
      <c r="D211">
        <v>1.65</v>
      </c>
      <c r="E211">
        <v>2.1429999999999998</v>
      </c>
      <c r="F211">
        <v>2.5369999999999999</v>
      </c>
      <c r="G211">
        <v>3.37</v>
      </c>
      <c r="H211">
        <f t="shared" ca="1" si="28"/>
        <v>0.42086544161232958</v>
      </c>
      <c r="I211">
        <f t="shared" ca="1" si="28"/>
        <v>0.34118212397885633</v>
      </c>
      <c r="J211">
        <f t="shared" ca="1" si="28"/>
        <v>0.24365133836650649</v>
      </c>
      <c r="K211">
        <f t="shared" ca="1" si="28"/>
        <v>0.23690533397405089</v>
      </c>
      <c r="L211">
        <f t="shared" ca="1" si="28"/>
        <v>0.16918325326012348</v>
      </c>
      <c r="M211">
        <f t="shared" ca="1" si="28"/>
        <v>0.30870381966186594</v>
      </c>
      <c r="N211">
        <f t="shared" ca="1" si="28"/>
        <v>0.20288065843621392</v>
      </c>
      <c r="O211">
        <f t="shared" ca="1" si="28"/>
        <v>0.13520933424845577</v>
      </c>
      <c r="P211">
        <f t="shared" ca="1" si="28"/>
        <v>0.16213991769547328</v>
      </c>
      <c r="Q211">
        <f t="shared" ca="1" si="28"/>
        <v>0.2290697674418605</v>
      </c>
      <c r="R211">
        <f t="shared" ca="1" si="28"/>
        <v>0.54804392587508577</v>
      </c>
      <c r="S211">
        <f t="shared" ca="1" si="28"/>
        <v>0.30439258750857928</v>
      </c>
      <c r="T211">
        <f t="shared" ca="1" si="28"/>
        <v>0.3650205761316872</v>
      </c>
      <c r="U211" s="5"/>
      <c r="V211" s="4">
        <f t="shared" si="29"/>
        <v>41830</v>
      </c>
      <c r="W211" s="5">
        <f t="shared" ca="1" si="27"/>
        <v>0.30870381966186594</v>
      </c>
      <c r="Z211" s="4" t="str">
        <f ca="1">IF(OFFSET(Sheet3!$A$1,0,0,300)="","",OFFSET(Sheet3!$A$1,0,0,300))</f>
        <v/>
      </c>
      <c r="AA211" s="5" t="str">
        <f ca="1">IF(OFFSET(Sheet3!$A$1,0,MATCH(W$1,Sheet3!$1:$1,0)-1,300)="","",OFFSET(Sheet3!$A$1,0,MATCH(W$1,Sheet3!$1:$1,0)-1,300))</f>
        <v/>
      </c>
      <c r="AB211" s="5" t="str">
        <f ca="1">IF(OFFSET(Sheet3!$A$1,0,MATCH(X$1,Sheet3!$1:$1,0)-1,300)="","",OFFSET(Sheet3!$A$1,0,MATCH(X$1,Sheet3!$1:$1,0)-1,300))</f>
        <v/>
      </c>
      <c r="AC211" t="str">
        <f t="shared" ca="1" si="25"/>
        <v/>
      </c>
      <c r="AD211" t="str">
        <f t="shared" ca="1" si="26"/>
        <v/>
      </c>
    </row>
    <row r="212" spans="1:30" x14ac:dyDescent="0.25">
      <c r="A212" s="4">
        <v>41829</v>
      </c>
      <c r="B212">
        <v>0.47799999999999998</v>
      </c>
      <c r="C212" s="5">
        <v>0.95799999999999996</v>
      </c>
      <c r="D212">
        <v>1.669</v>
      </c>
      <c r="E212">
        <v>2.1629999999999998</v>
      </c>
      <c r="F212">
        <v>2.5510000000000002</v>
      </c>
      <c r="G212">
        <v>3.3740000000000001</v>
      </c>
      <c r="H212">
        <f t="shared" ca="1" si="28"/>
        <v>0.42195845697329387</v>
      </c>
      <c r="I212">
        <f t="shared" ca="1" si="28"/>
        <v>0.34298118668596234</v>
      </c>
      <c r="J212">
        <f t="shared" ca="1" si="28"/>
        <v>0.24551104972375695</v>
      </c>
      <c r="K212">
        <f t="shared" ca="1" si="28"/>
        <v>0.23830197780993714</v>
      </c>
      <c r="L212">
        <f t="shared" ca="1" si="28"/>
        <v>0.17058011049723751</v>
      </c>
      <c r="M212">
        <f t="shared" ca="1" si="28"/>
        <v>0.3101067168863777</v>
      </c>
      <c r="N212">
        <f t="shared" ca="1" si="28"/>
        <v>0.20447019867549657</v>
      </c>
      <c r="O212">
        <f t="shared" ca="1" si="28"/>
        <v>0.13397790055248632</v>
      </c>
      <c r="P212">
        <f t="shared" ca="1" si="28"/>
        <v>0.16059602649006635</v>
      </c>
      <c r="Q212">
        <f t="shared" ca="1" si="28"/>
        <v>0.22756598240469228</v>
      </c>
      <c r="R212">
        <f t="shared" ca="1" si="28"/>
        <v>0.55006906077348072</v>
      </c>
      <c r="S212">
        <f t="shared" ca="1" si="28"/>
        <v>0.3045580110497238</v>
      </c>
      <c r="T212">
        <f t="shared" ca="1" si="28"/>
        <v>0.36506622516556292</v>
      </c>
      <c r="U212" s="5"/>
      <c r="V212" s="4">
        <f t="shared" si="29"/>
        <v>41829</v>
      </c>
      <c r="W212" s="5">
        <f t="shared" ca="1" si="27"/>
        <v>0.3101067168863777</v>
      </c>
      <c r="Z212" s="4" t="str">
        <f ca="1">IF(OFFSET(Sheet3!$A$1,0,0,300)="","",OFFSET(Sheet3!$A$1,0,0,300))</f>
        <v/>
      </c>
      <c r="AA212" s="5" t="str">
        <f ca="1">IF(OFFSET(Sheet3!$A$1,0,MATCH(W$1,Sheet3!$1:$1,0)-1,300)="","",OFFSET(Sheet3!$A$1,0,MATCH(W$1,Sheet3!$1:$1,0)-1,300))</f>
        <v/>
      </c>
      <c r="AB212" s="5" t="str">
        <f ca="1">IF(OFFSET(Sheet3!$A$1,0,MATCH(X$1,Sheet3!$1:$1,0)-1,300)="","",OFFSET(Sheet3!$A$1,0,MATCH(X$1,Sheet3!$1:$1,0)-1,300))</f>
        <v/>
      </c>
      <c r="AC212" t="str">
        <f t="shared" ca="1" si="25"/>
        <v/>
      </c>
      <c r="AD212" t="str">
        <f t="shared" ca="1" si="26"/>
        <v/>
      </c>
    </row>
    <row r="213" spans="1:30" x14ac:dyDescent="0.25">
      <c r="A213" s="4">
        <v>41828</v>
      </c>
      <c r="B213">
        <v>0.50600000000000001</v>
      </c>
      <c r="C213" s="5">
        <v>0.94399999999999995</v>
      </c>
      <c r="D213">
        <v>1.69</v>
      </c>
      <c r="E213">
        <v>2.1800000000000002</v>
      </c>
      <c r="F213">
        <v>2.5569999999999999</v>
      </c>
      <c r="G213">
        <v>3.3730000000000002</v>
      </c>
      <c r="H213">
        <f t="shared" ca="1" si="28"/>
        <v>0.44563918757467141</v>
      </c>
      <c r="I213">
        <f t="shared" ca="1" si="28"/>
        <v>0.36372501218917597</v>
      </c>
      <c r="J213">
        <f t="shared" ca="1" si="28"/>
        <v>0.26020230205790024</v>
      </c>
      <c r="K213">
        <f t="shared" ca="1" si="28"/>
        <v>0.23890784982935162</v>
      </c>
      <c r="L213">
        <f t="shared" ca="1" si="28"/>
        <v>0.17091035926055118</v>
      </c>
      <c r="M213">
        <f t="shared" ca="1" si="28"/>
        <v>0.30378177309361454</v>
      </c>
      <c r="N213">
        <f t="shared" ca="1" si="28"/>
        <v>0.20172910662824214</v>
      </c>
      <c r="O213">
        <f t="shared" ca="1" si="28"/>
        <v>0.13149633763515864</v>
      </c>
      <c r="P213">
        <f t="shared" ca="1" si="28"/>
        <v>0.15520790448744329</v>
      </c>
      <c r="Q213">
        <f t="shared" ca="1" si="28"/>
        <v>0.22400475341651796</v>
      </c>
      <c r="R213">
        <f t="shared" ca="1" si="28"/>
        <v>0.56260899895361005</v>
      </c>
      <c r="S213">
        <f t="shared" ca="1" si="28"/>
        <v>0.30240669689570981</v>
      </c>
      <c r="T213">
        <f t="shared" ca="1" si="28"/>
        <v>0.35693701111568543</v>
      </c>
      <c r="U213" s="5"/>
      <c r="V213" s="4">
        <f t="shared" si="29"/>
        <v>41828</v>
      </c>
      <c r="W213" s="5">
        <f t="shared" ca="1" si="27"/>
        <v>0.30378177309361454</v>
      </c>
      <c r="Z213" s="4" t="str">
        <f ca="1">IF(OFFSET(Sheet3!$A$1,0,0,300)="","",OFFSET(Sheet3!$A$1,0,0,300))</f>
        <v/>
      </c>
      <c r="AA213" s="5" t="str">
        <f ca="1">IF(OFFSET(Sheet3!$A$1,0,MATCH(W$1,Sheet3!$1:$1,0)-1,300)="","",OFFSET(Sheet3!$A$1,0,MATCH(W$1,Sheet3!$1:$1,0)-1,300))</f>
        <v/>
      </c>
      <c r="AB213" s="5" t="str">
        <f ca="1">IF(OFFSET(Sheet3!$A$1,0,MATCH(X$1,Sheet3!$1:$1,0)-1,300)="","",OFFSET(Sheet3!$A$1,0,MATCH(X$1,Sheet3!$1:$1,0)-1,300))</f>
        <v/>
      </c>
      <c r="AC213" t="str">
        <f t="shared" ca="1" si="25"/>
        <v/>
      </c>
      <c r="AD213" t="str">
        <f t="shared" ca="1" si="26"/>
        <v/>
      </c>
    </row>
    <row r="214" spans="1:30" x14ac:dyDescent="0.25">
      <c r="A214" s="4">
        <v>41827</v>
      </c>
      <c r="B214">
        <v>0.51400000000000001</v>
      </c>
      <c r="C214" s="5">
        <v>0.96799999999999997</v>
      </c>
      <c r="D214">
        <v>1.7309999999999999</v>
      </c>
      <c r="E214">
        <v>2.226</v>
      </c>
      <c r="F214">
        <v>2.6120000000000001</v>
      </c>
      <c r="G214">
        <v>3.4369999999999998</v>
      </c>
      <c r="H214">
        <f t="shared" ca="1" si="28"/>
        <v>0.44567757009345788</v>
      </c>
      <c r="I214">
        <f t="shared" ca="1" si="28"/>
        <v>0.36367969494756908</v>
      </c>
      <c r="J214">
        <f t="shared" ca="1" si="28"/>
        <v>0.26103318508381795</v>
      </c>
      <c r="K214">
        <f t="shared" ca="1" si="28"/>
        <v>0.23593898951382275</v>
      </c>
      <c r="L214">
        <f t="shared" ca="1" si="28"/>
        <v>0.16934656175162507</v>
      </c>
      <c r="M214">
        <f t="shared" ca="1" si="28"/>
        <v>0.30109489051094895</v>
      </c>
      <c r="N214">
        <f t="shared" ca="1" si="28"/>
        <v>0.20048602673147028</v>
      </c>
      <c r="O214">
        <f t="shared" ca="1" si="28"/>
        <v>0.13205610673965107</v>
      </c>
      <c r="P214">
        <f t="shared" ca="1" si="28"/>
        <v>0.15633859862292432</v>
      </c>
      <c r="Q214">
        <f t="shared" ca="1" si="28"/>
        <v>0.22626025791324744</v>
      </c>
      <c r="R214">
        <f t="shared" ca="1" si="28"/>
        <v>0.56243585357509407</v>
      </c>
      <c r="S214">
        <f t="shared" ca="1" si="28"/>
        <v>0.30140266849127617</v>
      </c>
      <c r="T214">
        <f t="shared" ca="1" si="28"/>
        <v>0.35682462535439463</v>
      </c>
      <c r="U214" s="5"/>
      <c r="V214" s="4">
        <f t="shared" si="29"/>
        <v>41827</v>
      </c>
      <c r="W214" s="5">
        <f t="shared" ca="1" si="27"/>
        <v>0.30109489051094895</v>
      </c>
      <c r="Z214" s="4" t="str">
        <f ca="1">IF(OFFSET(Sheet3!$A$1,0,0,300)="","",OFFSET(Sheet3!$A$1,0,0,300))</f>
        <v/>
      </c>
      <c r="AA214" s="5" t="str">
        <f ca="1">IF(OFFSET(Sheet3!$A$1,0,MATCH(W$1,Sheet3!$1:$1,0)-1,300)="","",OFFSET(Sheet3!$A$1,0,MATCH(W$1,Sheet3!$1:$1,0)-1,300))</f>
        <v/>
      </c>
      <c r="AB214" s="5" t="str">
        <f ca="1">IF(OFFSET(Sheet3!$A$1,0,MATCH(X$1,Sheet3!$1:$1,0)-1,300)="","",OFFSET(Sheet3!$A$1,0,MATCH(X$1,Sheet3!$1:$1,0)-1,300))</f>
        <v/>
      </c>
      <c r="AC214" t="str">
        <f t="shared" ca="1" si="25"/>
        <v/>
      </c>
      <c r="AD214" t="str">
        <f t="shared" ca="1" si="26"/>
        <v/>
      </c>
    </row>
    <row r="215" spans="1:30" x14ac:dyDescent="0.25">
      <c r="A215" s="4">
        <v>41824</v>
      </c>
      <c r="B215">
        <v>0.50800000000000001</v>
      </c>
      <c r="C215" s="5">
        <v>0.95499999999999996</v>
      </c>
      <c r="D215">
        <v>1.736</v>
      </c>
      <c r="E215">
        <v>2.2429999999999999</v>
      </c>
      <c r="F215">
        <v>2.6390000000000002</v>
      </c>
      <c r="G215">
        <v>3.4699999999999998</v>
      </c>
      <c r="H215">
        <f t="shared" ca="1" si="28"/>
        <v>0.45014409221902024</v>
      </c>
      <c r="I215">
        <f t="shared" ca="1" si="28"/>
        <v>0.36649460347254809</v>
      </c>
      <c r="J215">
        <f t="shared" ca="1" si="28"/>
        <v>0.26367319378798115</v>
      </c>
      <c r="K215">
        <f t="shared" ca="1" si="28"/>
        <v>0.23791647114030964</v>
      </c>
      <c r="L215">
        <f t="shared" ca="1" si="28"/>
        <v>0.17116812964213368</v>
      </c>
      <c r="M215">
        <f t="shared" ca="1" si="28"/>
        <v>0.3010688836104512</v>
      </c>
      <c r="N215">
        <f t="shared" ca="1" si="28"/>
        <v>0.20159045725646121</v>
      </c>
      <c r="O215">
        <f t="shared" ca="1" si="28"/>
        <v>0.13369345037137081</v>
      </c>
      <c r="P215">
        <f t="shared" ca="1" si="28"/>
        <v>0.1574552683896622</v>
      </c>
      <c r="Q215">
        <f t="shared" ca="1" si="28"/>
        <v>0.22837370242214555</v>
      </c>
      <c r="R215">
        <f t="shared" ca="1" si="28"/>
        <v>0.56853477380148554</v>
      </c>
      <c r="S215">
        <f t="shared" ca="1" si="28"/>
        <v>0.3048615800135045</v>
      </c>
      <c r="T215">
        <f t="shared" ca="1" si="28"/>
        <v>0.35904572564612341</v>
      </c>
      <c r="U215" s="5"/>
      <c r="V215" s="4">
        <f t="shared" si="29"/>
        <v>41824</v>
      </c>
      <c r="W215" s="5">
        <f t="shared" ca="1" si="27"/>
        <v>0.3010688836104512</v>
      </c>
      <c r="Z215" s="4" t="str">
        <f ca="1">IF(OFFSET(Sheet3!$A$1,0,0,300)="","",OFFSET(Sheet3!$A$1,0,0,300))</f>
        <v/>
      </c>
      <c r="AA215" s="5" t="str">
        <f ca="1">IF(OFFSET(Sheet3!$A$1,0,MATCH(W$1,Sheet3!$1:$1,0)-1,300)="","",OFFSET(Sheet3!$A$1,0,MATCH(W$1,Sheet3!$1:$1,0)-1,300))</f>
        <v/>
      </c>
      <c r="AB215" s="5" t="str">
        <f ca="1">IF(OFFSET(Sheet3!$A$1,0,MATCH(X$1,Sheet3!$1:$1,0)-1,300)="","",OFFSET(Sheet3!$A$1,0,MATCH(X$1,Sheet3!$1:$1,0)-1,300))</f>
        <v/>
      </c>
      <c r="AC215" t="str">
        <f t="shared" ca="1" si="25"/>
        <v/>
      </c>
      <c r="AD215" t="str">
        <f t="shared" ca="1" si="26"/>
        <v/>
      </c>
    </row>
    <row r="216" spans="1:30" x14ac:dyDescent="0.25">
      <c r="A216" s="4">
        <v>41823</v>
      </c>
      <c r="B216">
        <v>0.50800000000000001</v>
      </c>
      <c r="C216" s="5">
        <v>0.95499999999999996</v>
      </c>
      <c r="D216">
        <v>1.736</v>
      </c>
      <c r="E216">
        <v>2.2429999999999999</v>
      </c>
      <c r="F216">
        <v>2.6390000000000002</v>
      </c>
      <c r="G216">
        <v>3.4699999999999998</v>
      </c>
      <c r="H216">
        <f t="shared" ca="1" si="28"/>
        <v>0.45014409221902024</v>
      </c>
      <c r="I216">
        <f t="shared" ca="1" si="28"/>
        <v>0.36649460347254809</v>
      </c>
      <c r="J216">
        <f t="shared" ca="1" si="28"/>
        <v>0.26367319378798115</v>
      </c>
      <c r="K216">
        <f t="shared" ca="1" si="28"/>
        <v>0.23791647114030964</v>
      </c>
      <c r="L216">
        <f t="shared" ca="1" si="28"/>
        <v>0.17116812964213368</v>
      </c>
      <c r="M216">
        <f t="shared" ca="1" si="28"/>
        <v>0.3010688836104512</v>
      </c>
      <c r="N216">
        <f t="shared" ca="1" si="28"/>
        <v>0.20159045725646121</v>
      </c>
      <c r="O216">
        <f t="shared" ca="1" si="28"/>
        <v>0.13369345037137081</v>
      </c>
      <c r="P216">
        <f t="shared" ca="1" si="28"/>
        <v>0.1574552683896622</v>
      </c>
      <c r="Q216">
        <f t="shared" ca="1" si="28"/>
        <v>0.22837370242214555</v>
      </c>
      <c r="R216">
        <f t="shared" ca="1" si="28"/>
        <v>0.56853477380148554</v>
      </c>
      <c r="S216">
        <f t="shared" ca="1" si="28"/>
        <v>0.3048615800135045</v>
      </c>
      <c r="T216">
        <f t="shared" ca="1" si="28"/>
        <v>0.35904572564612341</v>
      </c>
      <c r="U216" s="5"/>
      <c r="V216" s="4">
        <f t="shared" si="29"/>
        <v>41823</v>
      </c>
      <c r="W216" s="5">
        <f t="shared" ca="1" si="27"/>
        <v>0.3010688836104512</v>
      </c>
      <c r="Z216" s="4" t="str">
        <f ca="1">IF(OFFSET(Sheet3!$A$1,0,0,300)="","",OFFSET(Sheet3!$A$1,0,0,300))</f>
        <v/>
      </c>
      <c r="AA216" s="5" t="str">
        <f ca="1">IF(OFFSET(Sheet3!$A$1,0,MATCH(W$1,Sheet3!$1:$1,0)-1,300)="","",OFFSET(Sheet3!$A$1,0,MATCH(W$1,Sheet3!$1:$1,0)-1,300))</f>
        <v/>
      </c>
      <c r="AB216" s="5" t="str">
        <f ca="1">IF(OFFSET(Sheet3!$A$1,0,MATCH(X$1,Sheet3!$1:$1,0)-1,300)="","",OFFSET(Sheet3!$A$1,0,MATCH(X$1,Sheet3!$1:$1,0)-1,300))</f>
        <v/>
      </c>
      <c r="AC216" t="str">
        <f t="shared" ca="1" si="25"/>
        <v/>
      </c>
      <c r="AD216" t="str">
        <f t="shared" ca="1" si="26"/>
        <v/>
      </c>
    </row>
    <row r="217" spans="1:30" x14ac:dyDescent="0.25">
      <c r="A217" s="4">
        <v>41822</v>
      </c>
      <c r="B217">
        <v>0.48199999999999998</v>
      </c>
      <c r="C217" s="5">
        <v>0.91900000000000004</v>
      </c>
      <c r="D217">
        <v>1.7090000000000001</v>
      </c>
      <c r="E217">
        <v>2.226</v>
      </c>
      <c r="F217">
        <v>2.6269999999999998</v>
      </c>
      <c r="G217">
        <v>3.4609999999999999</v>
      </c>
      <c r="H217">
        <f t="shared" ca="1" si="28"/>
        <v>0.45298165137614682</v>
      </c>
      <c r="I217">
        <f t="shared" ca="1" si="28"/>
        <v>0.36829836829836837</v>
      </c>
      <c r="J217">
        <f t="shared" ca="1" si="28"/>
        <v>0.2651896609600537</v>
      </c>
      <c r="K217">
        <f t="shared" ca="1" si="28"/>
        <v>0.24102564102564103</v>
      </c>
      <c r="L217">
        <f t="shared" ca="1" si="28"/>
        <v>0.17354817052702246</v>
      </c>
      <c r="M217">
        <f t="shared" ca="1" si="28"/>
        <v>0.30269320843091335</v>
      </c>
      <c r="N217">
        <f t="shared" ca="1" si="28"/>
        <v>0.20338316286388669</v>
      </c>
      <c r="O217">
        <f t="shared" ca="1" si="28"/>
        <v>0.13460892917086265</v>
      </c>
      <c r="P217">
        <f t="shared" ca="1" si="28"/>
        <v>0.1577498033044846</v>
      </c>
      <c r="Q217">
        <f t="shared" ca="1" si="28"/>
        <v>0.22888127853881271</v>
      </c>
      <c r="R217">
        <f t="shared" ca="1" si="28"/>
        <v>0.57334676065793877</v>
      </c>
      <c r="S217">
        <f t="shared" ca="1" si="28"/>
        <v>0.30815709969788507</v>
      </c>
      <c r="T217">
        <f t="shared" ca="1" si="28"/>
        <v>0.36113296616837126</v>
      </c>
      <c r="U217" s="5"/>
      <c r="V217" s="4">
        <f t="shared" si="29"/>
        <v>41822</v>
      </c>
      <c r="W217" s="5">
        <f t="shared" ca="1" si="27"/>
        <v>0.30269320843091335</v>
      </c>
      <c r="Z217" s="4" t="str">
        <f ca="1">IF(OFFSET(Sheet3!$A$1,0,0,300)="","",OFFSET(Sheet3!$A$1,0,0,300))</f>
        <v/>
      </c>
      <c r="AA217" s="5" t="str">
        <f ca="1">IF(OFFSET(Sheet3!$A$1,0,MATCH(W$1,Sheet3!$1:$1,0)-1,300)="","",OFFSET(Sheet3!$A$1,0,MATCH(W$1,Sheet3!$1:$1,0)-1,300))</f>
        <v/>
      </c>
      <c r="AB217" s="5" t="str">
        <f ca="1">IF(OFFSET(Sheet3!$A$1,0,MATCH(X$1,Sheet3!$1:$1,0)-1,300)="","",OFFSET(Sheet3!$A$1,0,MATCH(X$1,Sheet3!$1:$1,0)-1,300))</f>
        <v/>
      </c>
      <c r="AC217" t="str">
        <f t="shared" ca="1" si="25"/>
        <v/>
      </c>
      <c r="AD217" t="str">
        <f t="shared" ca="1" si="26"/>
        <v/>
      </c>
    </row>
    <row r="218" spans="1:30" x14ac:dyDescent="0.25">
      <c r="A218" s="4">
        <v>41821</v>
      </c>
      <c r="B218">
        <v>0.46700000000000003</v>
      </c>
      <c r="C218" s="5">
        <v>0.88200000000000001</v>
      </c>
      <c r="D218">
        <v>1.659</v>
      </c>
      <c r="E218">
        <v>2.1669999999999998</v>
      </c>
      <c r="F218">
        <v>2.5659999999999998</v>
      </c>
      <c r="G218">
        <v>3.399</v>
      </c>
      <c r="H218">
        <f t="shared" ca="1" si="28"/>
        <v>0.45705882352941185</v>
      </c>
      <c r="I218">
        <f t="shared" ca="1" si="28"/>
        <v>0.37017627441638878</v>
      </c>
      <c r="J218">
        <f t="shared" ca="1" si="28"/>
        <v>0.26500682128240111</v>
      </c>
      <c r="K218">
        <f t="shared" ca="1" si="28"/>
        <v>0.24202000952834676</v>
      </c>
      <c r="L218">
        <f t="shared" ca="1" si="28"/>
        <v>0.17326057298772163</v>
      </c>
      <c r="M218">
        <f t="shared" ca="1" si="28"/>
        <v>0.30166270783847976</v>
      </c>
      <c r="N218">
        <f t="shared" ca="1" si="28"/>
        <v>0.20182757250695266</v>
      </c>
      <c r="O218">
        <f t="shared" ca="1" si="28"/>
        <v>0.13608458390177355</v>
      </c>
      <c r="P218">
        <f t="shared" ca="1" si="28"/>
        <v>0.15852205005959477</v>
      </c>
      <c r="Q218">
        <f t="shared" ca="1" si="28"/>
        <v>0.22931034482758622</v>
      </c>
      <c r="R218">
        <f t="shared" ca="1" si="28"/>
        <v>0.5743519781718962</v>
      </c>
      <c r="S218">
        <f t="shared" ca="1" si="28"/>
        <v>0.30934515688949515</v>
      </c>
      <c r="T218">
        <f t="shared" ca="1" si="28"/>
        <v>0.3603496225665474</v>
      </c>
      <c r="U218" s="5"/>
      <c r="V218" s="4">
        <f t="shared" si="29"/>
        <v>41821</v>
      </c>
      <c r="W218" s="5">
        <f t="shared" ca="1" si="27"/>
        <v>0.30166270783847976</v>
      </c>
      <c r="Z218" s="4" t="str">
        <f ca="1">IF(OFFSET(Sheet3!$A$1,0,0,300)="","",OFFSET(Sheet3!$A$1,0,0,300))</f>
        <v/>
      </c>
      <c r="AA218" s="5" t="str">
        <f ca="1">IF(OFFSET(Sheet3!$A$1,0,MATCH(W$1,Sheet3!$1:$1,0)-1,300)="","",OFFSET(Sheet3!$A$1,0,MATCH(W$1,Sheet3!$1:$1,0)-1,300))</f>
        <v/>
      </c>
      <c r="AB218" s="5" t="str">
        <f ca="1">IF(OFFSET(Sheet3!$A$1,0,MATCH(X$1,Sheet3!$1:$1,0)-1,300)="","",OFFSET(Sheet3!$A$1,0,MATCH(X$1,Sheet3!$1:$1,0)-1,300))</f>
        <v/>
      </c>
      <c r="AC218" t="str">
        <f t="shared" ca="1" si="25"/>
        <v/>
      </c>
      <c r="AD218" t="str">
        <f t="shared" ca="1" si="26"/>
        <v/>
      </c>
    </row>
    <row r="219" spans="1:30" x14ac:dyDescent="0.25">
      <c r="A219" s="4">
        <v>41820</v>
      </c>
      <c r="B219">
        <v>0.45900000000000002</v>
      </c>
      <c r="C219" s="5">
        <v>0.86799999999999999</v>
      </c>
      <c r="D219">
        <v>1.631</v>
      </c>
      <c r="E219">
        <v>2.1360000000000001</v>
      </c>
      <c r="F219">
        <v>2.5310000000000001</v>
      </c>
      <c r="G219">
        <v>3.36</v>
      </c>
      <c r="H219">
        <f t="shared" ca="1" si="28"/>
        <v>0.45497912939773405</v>
      </c>
      <c r="I219">
        <f t="shared" ca="1" si="28"/>
        <v>0.36824324324324326</v>
      </c>
      <c r="J219">
        <f t="shared" ca="1" si="28"/>
        <v>0.26301275422268183</v>
      </c>
      <c r="K219">
        <f t="shared" ca="1" si="28"/>
        <v>0.24372586872586877</v>
      </c>
      <c r="L219">
        <f t="shared" ca="1" si="28"/>
        <v>0.17407790417097557</v>
      </c>
      <c r="M219">
        <f t="shared" ca="1" si="28"/>
        <v>0.30366806975345761</v>
      </c>
      <c r="N219">
        <f t="shared" ca="1" si="28"/>
        <v>0.20264847512038528</v>
      </c>
      <c r="O219">
        <f t="shared" ca="1" si="28"/>
        <v>0.13615994484660462</v>
      </c>
      <c r="P219">
        <f t="shared" ca="1" si="28"/>
        <v>0.1585072231139647</v>
      </c>
      <c r="Q219">
        <f t="shared" ca="1" si="28"/>
        <v>0.22845575477154428</v>
      </c>
      <c r="R219">
        <f t="shared" ca="1" si="28"/>
        <v>0.57325060324026211</v>
      </c>
      <c r="S219">
        <f t="shared" ca="1" si="28"/>
        <v>0.31023784901758023</v>
      </c>
      <c r="T219">
        <f t="shared" ca="1" si="28"/>
        <v>0.36115569823434995</v>
      </c>
      <c r="U219" s="5"/>
      <c r="V219" s="4">
        <f t="shared" si="29"/>
        <v>41820</v>
      </c>
      <c r="W219" s="5">
        <f t="shared" ca="1" si="27"/>
        <v>0.30366806975345761</v>
      </c>
      <c r="Z219" s="4" t="str">
        <f ca="1">IF(OFFSET(Sheet3!$A$1,0,0,300)="","",OFFSET(Sheet3!$A$1,0,0,300))</f>
        <v/>
      </c>
      <c r="AA219" s="5" t="str">
        <f ca="1">IF(OFFSET(Sheet3!$A$1,0,MATCH(W$1,Sheet3!$1:$1,0)-1,300)="","",OFFSET(Sheet3!$A$1,0,MATCH(W$1,Sheet3!$1:$1,0)-1,300))</f>
        <v/>
      </c>
      <c r="AB219" s="5" t="str">
        <f ca="1">IF(OFFSET(Sheet3!$A$1,0,MATCH(X$1,Sheet3!$1:$1,0)-1,300)="","",OFFSET(Sheet3!$A$1,0,MATCH(X$1,Sheet3!$1:$1,0)-1,300))</f>
        <v/>
      </c>
      <c r="AC219" t="str">
        <f t="shared" ca="1" si="25"/>
        <v/>
      </c>
      <c r="AD219" t="str">
        <f t="shared" ca="1" si="26"/>
        <v/>
      </c>
    </row>
    <row r="220" spans="1:30" x14ac:dyDescent="0.25">
      <c r="A220" s="4">
        <v>41817</v>
      </c>
      <c r="B220">
        <v>0.46300000000000002</v>
      </c>
      <c r="C220" s="5">
        <v>0.876</v>
      </c>
      <c r="D220">
        <v>1.639</v>
      </c>
      <c r="E220">
        <v>2.141</v>
      </c>
      <c r="F220">
        <v>2.5350000000000001</v>
      </c>
      <c r="G220">
        <v>3.367</v>
      </c>
      <c r="H220">
        <f t="shared" ca="1" si="28"/>
        <v>0.45470798569725868</v>
      </c>
      <c r="I220">
        <f t="shared" ca="1" si="28"/>
        <v>0.36824324324324326</v>
      </c>
      <c r="J220">
        <f t="shared" ca="1" si="28"/>
        <v>0.26274104683195593</v>
      </c>
      <c r="K220">
        <f t="shared" ca="1" si="28"/>
        <v>0.24227799227799227</v>
      </c>
      <c r="L220">
        <f t="shared" ca="1" si="28"/>
        <v>0.17286501377410468</v>
      </c>
      <c r="M220">
        <f t="shared" ca="1" si="28"/>
        <v>0.30259192284508735</v>
      </c>
      <c r="N220">
        <f t="shared" ca="1" si="28"/>
        <v>0.20152549177037335</v>
      </c>
      <c r="O220">
        <f t="shared" ca="1" si="28"/>
        <v>0.13567493112947662</v>
      </c>
      <c r="P220">
        <f t="shared" ca="1" si="28"/>
        <v>0.15816940987555203</v>
      </c>
      <c r="Q220">
        <f t="shared" ca="1" si="28"/>
        <v>0.22800925925925933</v>
      </c>
      <c r="R220">
        <f t="shared" ca="1" si="28"/>
        <v>0.57128099173553726</v>
      </c>
      <c r="S220">
        <f t="shared" ca="1" si="28"/>
        <v>0.30853994490358133</v>
      </c>
      <c r="T220">
        <f t="shared" ca="1" si="28"/>
        <v>0.35969490164592538</v>
      </c>
      <c r="U220" s="5"/>
      <c r="V220" s="4">
        <f t="shared" si="29"/>
        <v>41817</v>
      </c>
      <c r="W220" s="5">
        <f t="shared" ca="1" si="27"/>
        <v>0.30259192284508735</v>
      </c>
      <c r="Z220" s="4" t="str">
        <f ca="1">IF(OFFSET(Sheet3!$A$1,0,0,300)="","",OFFSET(Sheet3!$A$1,0,0,300))</f>
        <v/>
      </c>
      <c r="AA220" s="5" t="str">
        <f ca="1">IF(OFFSET(Sheet3!$A$1,0,MATCH(W$1,Sheet3!$1:$1,0)-1,300)="","",OFFSET(Sheet3!$A$1,0,MATCH(W$1,Sheet3!$1:$1,0)-1,300))</f>
        <v/>
      </c>
      <c r="AB220" s="5" t="str">
        <f ca="1">IF(OFFSET(Sheet3!$A$1,0,MATCH(X$1,Sheet3!$1:$1,0)-1,300)="","",OFFSET(Sheet3!$A$1,0,MATCH(X$1,Sheet3!$1:$1,0)-1,300))</f>
        <v/>
      </c>
      <c r="AC220" t="str">
        <f t="shared" ca="1" si="25"/>
        <v/>
      </c>
      <c r="AD220" t="str">
        <f t="shared" ca="1" si="26"/>
        <v/>
      </c>
    </row>
    <row r="221" spans="1:30" x14ac:dyDescent="0.25">
      <c r="A221" s="4">
        <v>41816</v>
      </c>
      <c r="B221">
        <v>0.46500000000000002</v>
      </c>
      <c r="C221" s="5">
        <v>0.88200000000000001</v>
      </c>
      <c r="D221">
        <v>1.649</v>
      </c>
      <c r="E221">
        <v>2.1280000000000001</v>
      </c>
      <c r="F221">
        <v>2.5289999999999999</v>
      </c>
      <c r="G221">
        <v>3.3559999999999999</v>
      </c>
      <c r="H221">
        <f t="shared" ref="H221:T236" ca="1" si="30">IF(ISERROR(ABS(OFFSET($A$11,ROW()-11,MATCH(LEFT(H$9,2),$A$11:$G$11,0)-1)-OFFSET($A$11,ROW()-11,MATCH(RIGHT(H$9,2),$A$11:$G$11,0)-1))/ABS(OFFSET($A$11,ROW()-11,MATCH(LEFT(H$10,2),$A$11:$G$11,0)-1)-OFFSET($A$11,ROW()-11,MATCH(RIGHT(H$10,2),$A$11:$G$11,0)-1))),"",ABS(OFFSET($A$11,ROW()-11,MATCH(LEFT(H$9,2),$A$11:$G$11,0)-1)-OFFSET($A$11,ROW()-11,MATCH(RIGHT(H$9,2),$A$11:$G$11,0)-1))/ABS(OFFSET($A$11,ROW()-11,MATCH(LEFT(H$10,2),$A$11:$G$11,0)-1)-OFFSET($A$11,ROW()-11,MATCH(RIGHT(H$10,2),$A$11:$G$11,0)-1)))</f>
        <v>0.4612146722790138</v>
      </c>
      <c r="I221">
        <f t="shared" ca="1" si="30"/>
        <v>0.37160852713178294</v>
      </c>
      <c r="J221">
        <f t="shared" ca="1" si="30"/>
        <v>0.26530612244897961</v>
      </c>
      <c r="K221">
        <f t="shared" ca="1" si="30"/>
        <v>0.23207364341085276</v>
      </c>
      <c r="L221">
        <f t="shared" ca="1" si="30"/>
        <v>0.16568661362850229</v>
      </c>
      <c r="M221">
        <f t="shared" ca="1" si="30"/>
        <v>0.29083181542197944</v>
      </c>
      <c r="N221">
        <f t="shared" ca="1" si="30"/>
        <v>0.19361358124494751</v>
      </c>
      <c r="O221">
        <f t="shared" ca="1" si="30"/>
        <v>0.1387063299896229</v>
      </c>
      <c r="P221">
        <f t="shared" ca="1" si="30"/>
        <v>0.16208569118835886</v>
      </c>
      <c r="Q221">
        <f t="shared" ca="1" si="30"/>
        <v>0.23491505565319265</v>
      </c>
      <c r="R221">
        <f t="shared" ca="1" si="30"/>
        <v>0.56969906606710474</v>
      </c>
      <c r="S221">
        <f t="shared" ca="1" si="30"/>
        <v>0.30439294361812519</v>
      </c>
      <c r="T221">
        <f t="shared" ca="1" si="30"/>
        <v>0.3556992724333064</v>
      </c>
      <c r="U221" s="5"/>
      <c r="V221" s="4">
        <f t="shared" si="29"/>
        <v>41816</v>
      </c>
      <c r="W221" s="5">
        <f t="shared" ca="1" si="27"/>
        <v>0.29083181542197944</v>
      </c>
      <c r="Z221" s="4" t="str">
        <f ca="1">IF(OFFSET(Sheet3!$A$1,0,0,300)="","",OFFSET(Sheet3!$A$1,0,0,300))</f>
        <v/>
      </c>
      <c r="AA221" s="5" t="str">
        <f ca="1">IF(OFFSET(Sheet3!$A$1,0,MATCH(W$1,Sheet3!$1:$1,0)-1,300)="","",OFFSET(Sheet3!$A$1,0,MATCH(W$1,Sheet3!$1:$1,0)-1,300))</f>
        <v/>
      </c>
      <c r="AB221" s="5" t="str">
        <f ca="1">IF(OFFSET(Sheet3!$A$1,0,MATCH(X$1,Sheet3!$1:$1,0)-1,300)="","",OFFSET(Sheet3!$A$1,0,MATCH(X$1,Sheet3!$1:$1,0)-1,300))</f>
        <v/>
      </c>
      <c r="AC221" t="str">
        <f t="shared" ca="1" si="25"/>
        <v/>
      </c>
      <c r="AD221" t="str">
        <f t="shared" ca="1" si="26"/>
        <v/>
      </c>
    </row>
    <row r="222" spans="1:30" x14ac:dyDescent="0.25">
      <c r="A222" s="4">
        <v>41815</v>
      </c>
      <c r="B222">
        <v>0.48199999999999998</v>
      </c>
      <c r="C222" s="5">
        <v>0.91400000000000003</v>
      </c>
      <c r="D222">
        <v>1.655</v>
      </c>
      <c r="E222">
        <v>2.157</v>
      </c>
      <c r="F222">
        <v>2.56</v>
      </c>
      <c r="G222">
        <v>3.3820000000000001</v>
      </c>
      <c r="H222">
        <f t="shared" ca="1" si="30"/>
        <v>0.44238805970149253</v>
      </c>
      <c r="I222">
        <f t="shared" ca="1" si="30"/>
        <v>0.3565928777670837</v>
      </c>
      <c r="J222">
        <f t="shared" ca="1" si="30"/>
        <v>0.25551724137931031</v>
      </c>
      <c r="K222">
        <f t="shared" ca="1" si="30"/>
        <v>0.24157844080846966</v>
      </c>
      <c r="L222">
        <f t="shared" ca="1" si="30"/>
        <v>0.17310344827586205</v>
      </c>
      <c r="M222">
        <f t="shared" ca="1" si="30"/>
        <v>0.30498177399756987</v>
      </c>
      <c r="N222">
        <f t="shared" ca="1" si="30"/>
        <v>0.20340356564019449</v>
      </c>
      <c r="O222">
        <f t="shared" ca="1" si="30"/>
        <v>0.13896551724137929</v>
      </c>
      <c r="P222">
        <f t="shared" ca="1" si="30"/>
        <v>0.16329011345218802</v>
      </c>
      <c r="Q222">
        <f t="shared" ca="1" si="30"/>
        <v>0.23335263462651998</v>
      </c>
      <c r="R222">
        <f t="shared" ca="1" si="30"/>
        <v>0.56758620689655159</v>
      </c>
      <c r="S222">
        <f t="shared" ca="1" si="30"/>
        <v>0.31206896551724134</v>
      </c>
      <c r="T222">
        <f t="shared" ca="1" si="30"/>
        <v>0.36669367909238249</v>
      </c>
      <c r="U222" s="5"/>
      <c r="V222" s="4">
        <f t="shared" si="29"/>
        <v>41815</v>
      </c>
      <c r="W222" s="5">
        <f t="shared" ca="1" si="27"/>
        <v>0.30498177399756987</v>
      </c>
      <c r="Z222" s="4" t="str">
        <f ca="1">IF(OFFSET(Sheet3!$A$1,0,0,300)="","",OFFSET(Sheet3!$A$1,0,0,300))</f>
        <v/>
      </c>
      <c r="AA222" s="5" t="str">
        <f ca="1">IF(OFFSET(Sheet3!$A$1,0,MATCH(W$1,Sheet3!$1:$1,0)-1,300)="","",OFFSET(Sheet3!$A$1,0,MATCH(W$1,Sheet3!$1:$1,0)-1,300))</f>
        <v/>
      </c>
      <c r="AB222" s="5" t="str">
        <f ca="1">IF(OFFSET(Sheet3!$A$1,0,MATCH(X$1,Sheet3!$1:$1,0)-1,300)="","",OFFSET(Sheet3!$A$1,0,MATCH(X$1,Sheet3!$1:$1,0)-1,300))</f>
        <v/>
      </c>
      <c r="AC222" t="str">
        <f t="shared" ca="1" si="25"/>
        <v/>
      </c>
      <c r="AD222" t="str">
        <f t="shared" ca="1" si="26"/>
        <v/>
      </c>
    </row>
    <row r="223" spans="1:30" x14ac:dyDescent="0.25">
      <c r="A223" s="4">
        <v>41814</v>
      </c>
      <c r="B223">
        <v>0.45800000000000002</v>
      </c>
      <c r="C223" s="5">
        <v>0.93200000000000005</v>
      </c>
      <c r="D223">
        <v>1.67</v>
      </c>
      <c r="E223">
        <v>2.1739999999999999</v>
      </c>
      <c r="F223">
        <v>2.5789999999999997</v>
      </c>
      <c r="G223">
        <v>3.4</v>
      </c>
      <c r="H223">
        <f t="shared" ca="1" si="30"/>
        <v>0.43006993006993</v>
      </c>
      <c r="I223">
        <f t="shared" ca="1" si="30"/>
        <v>0.34794908062234797</v>
      </c>
      <c r="J223">
        <f t="shared" ca="1" si="30"/>
        <v>0.25084976206662135</v>
      </c>
      <c r="K223">
        <f t="shared" ca="1" si="30"/>
        <v>0.23762376237623767</v>
      </c>
      <c r="L223">
        <f t="shared" ca="1" si="30"/>
        <v>0.17131203263086336</v>
      </c>
      <c r="M223">
        <f t="shared" ca="1" si="30"/>
        <v>0.3060109289617487</v>
      </c>
      <c r="N223">
        <f t="shared" ca="1" si="30"/>
        <v>0.20421393841166938</v>
      </c>
      <c r="O223">
        <f t="shared" ca="1" si="30"/>
        <v>0.13766145479265801</v>
      </c>
      <c r="P223">
        <f t="shared" ca="1" si="30"/>
        <v>0.1641004862236628</v>
      </c>
      <c r="Q223">
        <f t="shared" ca="1" si="30"/>
        <v>0.23410404624277445</v>
      </c>
      <c r="R223">
        <f t="shared" ca="1" si="30"/>
        <v>0.55982324949014273</v>
      </c>
      <c r="S223">
        <f t="shared" ca="1" si="30"/>
        <v>0.30897348742352138</v>
      </c>
      <c r="T223">
        <f t="shared" ca="1" si="30"/>
        <v>0.3683144246353322</v>
      </c>
      <c r="U223" s="5"/>
      <c r="V223" s="4">
        <f t="shared" si="29"/>
        <v>41814</v>
      </c>
      <c r="W223" s="5">
        <f t="shared" ca="1" si="27"/>
        <v>0.3060109289617487</v>
      </c>
      <c r="Z223" s="4" t="str">
        <f ca="1">IF(OFFSET(Sheet3!$A$1,0,0,300)="","",OFFSET(Sheet3!$A$1,0,0,300))</f>
        <v/>
      </c>
      <c r="AA223" s="5" t="str">
        <f ca="1">IF(OFFSET(Sheet3!$A$1,0,MATCH(W$1,Sheet3!$1:$1,0)-1,300)="","",OFFSET(Sheet3!$A$1,0,MATCH(W$1,Sheet3!$1:$1,0)-1,300))</f>
        <v/>
      </c>
      <c r="AB223" s="5" t="str">
        <f ca="1">IF(OFFSET(Sheet3!$A$1,0,MATCH(X$1,Sheet3!$1:$1,0)-1,300)="","",OFFSET(Sheet3!$A$1,0,MATCH(X$1,Sheet3!$1:$1,0)-1,300))</f>
        <v/>
      </c>
      <c r="AC223" t="str">
        <f t="shared" ca="1" si="25"/>
        <v/>
      </c>
      <c r="AD223" t="str">
        <f t="shared" ca="1" si="26"/>
        <v/>
      </c>
    </row>
    <row r="224" spans="1:30" x14ac:dyDescent="0.25">
      <c r="A224" s="4">
        <v>41813</v>
      </c>
      <c r="B224">
        <v>0.46600000000000003</v>
      </c>
      <c r="C224" s="5">
        <v>0.94799999999999995</v>
      </c>
      <c r="D224">
        <v>1.7029999999999998</v>
      </c>
      <c r="E224">
        <v>2.2210000000000001</v>
      </c>
      <c r="F224">
        <v>2.6269999999999998</v>
      </c>
      <c r="G224">
        <v>3.4550000000000001</v>
      </c>
      <c r="H224">
        <f t="shared" ca="1" si="30"/>
        <v>0.43019943019943013</v>
      </c>
      <c r="I224">
        <f t="shared" ca="1" si="30"/>
        <v>0.34937528921795469</v>
      </c>
      <c r="J224">
        <f t="shared" ca="1" si="30"/>
        <v>0.25259284041485441</v>
      </c>
      <c r="K224">
        <f t="shared" ca="1" si="30"/>
        <v>0.23970384081443791</v>
      </c>
      <c r="L224">
        <f t="shared" ca="1" si="30"/>
        <v>0.17330210772833732</v>
      </c>
      <c r="M224">
        <f t="shared" ca="1" si="30"/>
        <v>0.30851697438951775</v>
      </c>
      <c r="N224">
        <f t="shared" ca="1" si="30"/>
        <v>0.20662145991224579</v>
      </c>
      <c r="O224">
        <f t="shared" ca="1" si="30"/>
        <v>0.13583138173302098</v>
      </c>
      <c r="P224">
        <f t="shared" ca="1" si="30"/>
        <v>0.16194654966094921</v>
      </c>
      <c r="Q224">
        <f t="shared" ca="1" si="30"/>
        <v>0.2317351598173514</v>
      </c>
      <c r="R224">
        <f t="shared" ca="1" si="30"/>
        <v>0.56172632987621274</v>
      </c>
      <c r="S224">
        <f t="shared" ca="1" si="30"/>
        <v>0.30913348946135832</v>
      </c>
      <c r="T224">
        <f t="shared" ca="1" si="30"/>
        <v>0.36856800957319502</v>
      </c>
      <c r="U224" s="5"/>
      <c r="V224" s="4">
        <f t="shared" si="29"/>
        <v>41813</v>
      </c>
      <c r="W224" s="5">
        <f t="shared" ca="1" si="27"/>
        <v>0.30851697438951775</v>
      </c>
      <c r="Z224" s="4" t="str">
        <f ca="1">IF(OFFSET(Sheet3!$A$1,0,0,300)="","",OFFSET(Sheet3!$A$1,0,0,300))</f>
        <v/>
      </c>
      <c r="AA224" s="5" t="str">
        <f ca="1">IF(OFFSET(Sheet3!$A$1,0,MATCH(W$1,Sheet3!$1:$1,0)-1,300)="","",OFFSET(Sheet3!$A$1,0,MATCH(W$1,Sheet3!$1:$1,0)-1,300))</f>
        <v/>
      </c>
      <c r="AB224" s="5" t="str">
        <f ca="1">IF(OFFSET(Sheet3!$A$1,0,MATCH(X$1,Sheet3!$1:$1,0)-1,300)="","",OFFSET(Sheet3!$A$1,0,MATCH(X$1,Sheet3!$1:$1,0)-1,300))</f>
        <v/>
      </c>
      <c r="AC224" t="str">
        <f t="shared" ca="1" si="25"/>
        <v/>
      </c>
      <c r="AD224" t="str">
        <f t="shared" ca="1" si="26"/>
        <v/>
      </c>
    </row>
    <row r="225" spans="1:30" x14ac:dyDescent="0.25">
      <c r="A225" s="4">
        <v>41810</v>
      </c>
      <c r="B225">
        <v>0.45800000000000002</v>
      </c>
      <c r="C225" s="5">
        <v>0.92700000000000005</v>
      </c>
      <c r="D225">
        <v>1.681</v>
      </c>
      <c r="E225">
        <v>2.1989999999999998</v>
      </c>
      <c r="F225">
        <v>2.6059999999999999</v>
      </c>
      <c r="G225">
        <v>3.4350000000000001</v>
      </c>
      <c r="H225">
        <f t="shared" ca="1" si="30"/>
        <v>0.43308443423319937</v>
      </c>
      <c r="I225">
        <f t="shared" ca="1" si="30"/>
        <v>0.35102420856610805</v>
      </c>
      <c r="J225">
        <f t="shared" ca="1" si="30"/>
        <v>0.25327510917030571</v>
      </c>
      <c r="K225">
        <f t="shared" ca="1" si="30"/>
        <v>0.2411545623836126</v>
      </c>
      <c r="L225">
        <f t="shared" ca="1" si="30"/>
        <v>0.17400067181726564</v>
      </c>
      <c r="M225">
        <f t="shared" ca="1" si="30"/>
        <v>0.30851697438951747</v>
      </c>
      <c r="N225">
        <f t="shared" ca="1" si="30"/>
        <v>0.20653907496012752</v>
      </c>
      <c r="O225">
        <f t="shared" ca="1" si="30"/>
        <v>0.13671481357070878</v>
      </c>
      <c r="P225">
        <f t="shared" ca="1" si="30"/>
        <v>0.16228070175438597</v>
      </c>
      <c r="Q225">
        <f t="shared" ca="1" si="30"/>
        <v>0.23204104903078679</v>
      </c>
      <c r="R225">
        <f t="shared" ca="1" si="30"/>
        <v>0.56399059455828016</v>
      </c>
      <c r="S225">
        <f t="shared" ca="1" si="30"/>
        <v>0.31071548538797444</v>
      </c>
      <c r="T225">
        <f t="shared" ca="1" si="30"/>
        <v>0.36881977671451349</v>
      </c>
      <c r="U225" s="5"/>
      <c r="V225" s="4">
        <f t="shared" si="29"/>
        <v>41810</v>
      </c>
      <c r="W225" s="5">
        <f t="shared" ca="1" si="27"/>
        <v>0.30851697438951747</v>
      </c>
      <c r="Z225" s="4" t="str">
        <f ca="1">IF(OFFSET(Sheet3!$A$1,0,0,300)="","",OFFSET(Sheet3!$A$1,0,0,300))</f>
        <v/>
      </c>
      <c r="AA225" s="5" t="str">
        <f ca="1">IF(OFFSET(Sheet3!$A$1,0,MATCH(W$1,Sheet3!$1:$1,0)-1,300)="","",OFFSET(Sheet3!$A$1,0,MATCH(W$1,Sheet3!$1:$1,0)-1,300))</f>
        <v/>
      </c>
      <c r="AB225" s="5" t="str">
        <f ca="1">IF(OFFSET(Sheet3!$A$1,0,MATCH(X$1,Sheet3!$1:$1,0)-1,300)="","",OFFSET(Sheet3!$A$1,0,MATCH(X$1,Sheet3!$1:$1,0)-1,300))</f>
        <v/>
      </c>
      <c r="AC225" t="str">
        <f t="shared" ca="1" si="25"/>
        <v/>
      </c>
      <c r="AD225" t="str">
        <f t="shared" ca="1" si="26"/>
        <v/>
      </c>
    </row>
    <row r="226" spans="1:30" x14ac:dyDescent="0.25">
      <c r="A226" s="4">
        <v>41809</v>
      </c>
      <c r="B226">
        <v>0.45</v>
      </c>
      <c r="C226" s="5">
        <v>0.92700000000000005</v>
      </c>
      <c r="D226">
        <v>1.6760000000000002</v>
      </c>
      <c r="E226">
        <v>2.2040000000000002</v>
      </c>
      <c r="F226">
        <v>2.621</v>
      </c>
      <c r="G226">
        <v>3.4670000000000001</v>
      </c>
      <c r="H226">
        <f t="shared" ca="1" si="30"/>
        <v>0.42702394526795895</v>
      </c>
      <c r="I226">
        <f t="shared" ca="1" si="30"/>
        <v>0.3450023030861355</v>
      </c>
      <c r="J226">
        <f t="shared" ca="1" si="30"/>
        <v>0.24825986078886314</v>
      </c>
      <c r="K226">
        <f t="shared" ca="1" si="30"/>
        <v>0.2432058959005067</v>
      </c>
      <c r="L226">
        <f t="shared" ca="1" si="30"/>
        <v>0.1750082863771959</v>
      </c>
      <c r="M226">
        <f t="shared" ca="1" si="30"/>
        <v>0.31168831168831174</v>
      </c>
      <c r="N226">
        <f t="shared" ca="1" si="30"/>
        <v>0.20787401574803149</v>
      </c>
      <c r="O226">
        <f t="shared" ca="1" si="30"/>
        <v>0.13821677162744442</v>
      </c>
      <c r="P226">
        <f t="shared" ca="1" si="30"/>
        <v>0.16417322834645662</v>
      </c>
      <c r="Q226">
        <f t="shared" ca="1" si="30"/>
        <v>0.23283082077051917</v>
      </c>
      <c r="R226">
        <f t="shared" ca="1" si="30"/>
        <v>0.56148491879350348</v>
      </c>
      <c r="S226">
        <f t="shared" ca="1" si="30"/>
        <v>0.31322505800464034</v>
      </c>
      <c r="T226">
        <f t="shared" ca="1" si="30"/>
        <v>0.37204724409448814</v>
      </c>
      <c r="U226" s="5"/>
      <c r="V226" s="4">
        <f t="shared" si="29"/>
        <v>41809</v>
      </c>
      <c r="W226" s="5">
        <f t="shared" ca="1" si="27"/>
        <v>0.31168831168831174</v>
      </c>
      <c r="Z226" s="4" t="str">
        <f ca="1">IF(OFFSET(Sheet3!$A$1,0,0,300)="","",OFFSET(Sheet3!$A$1,0,0,300))</f>
        <v/>
      </c>
      <c r="AA226" s="5" t="str">
        <f ca="1">IF(OFFSET(Sheet3!$A$1,0,MATCH(W$1,Sheet3!$1:$1,0)-1,300)="","",OFFSET(Sheet3!$A$1,0,MATCH(W$1,Sheet3!$1:$1,0)-1,300))</f>
        <v/>
      </c>
      <c r="AB226" s="5" t="str">
        <f ca="1">IF(OFFSET(Sheet3!$A$1,0,MATCH(X$1,Sheet3!$1:$1,0)-1,300)="","",OFFSET(Sheet3!$A$1,0,MATCH(X$1,Sheet3!$1:$1,0)-1,300))</f>
        <v/>
      </c>
      <c r="AC226" t="str">
        <f t="shared" ca="1" si="25"/>
        <v/>
      </c>
      <c r="AD226" t="str">
        <f t="shared" ca="1" si="26"/>
        <v/>
      </c>
    </row>
    <row r="227" spans="1:30" x14ac:dyDescent="0.25">
      <c r="A227" s="4">
        <v>41808</v>
      </c>
      <c r="B227">
        <v>0.44600000000000001</v>
      </c>
      <c r="C227" s="5">
        <v>0.93500000000000005</v>
      </c>
      <c r="D227">
        <v>1.673</v>
      </c>
      <c r="E227">
        <v>2.1859999999999999</v>
      </c>
      <c r="F227">
        <v>2.585</v>
      </c>
      <c r="G227">
        <v>3.4020000000000001</v>
      </c>
      <c r="H227">
        <f t="shared" ca="1" si="30"/>
        <v>0.42413793103448277</v>
      </c>
      <c r="I227">
        <f t="shared" ca="1" si="30"/>
        <v>0.34502103786816274</v>
      </c>
      <c r="J227">
        <f t="shared" ca="1" si="30"/>
        <v>0.2496617050067659</v>
      </c>
      <c r="K227">
        <f t="shared" ca="1" si="30"/>
        <v>0.23983169705469842</v>
      </c>
      <c r="L227">
        <f t="shared" ca="1" si="30"/>
        <v>0.17354533152909335</v>
      </c>
      <c r="M227">
        <f t="shared" ca="1" si="30"/>
        <v>0.31090909090909086</v>
      </c>
      <c r="N227">
        <f t="shared" ca="1" si="30"/>
        <v>0.20794487231455205</v>
      </c>
      <c r="O227">
        <f t="shared" ca="1" si="30"/>
        <v>0.13497970230040596</v>
      </c>
      <c r="P227">
        <f t="shared" ca="1" si="30"/>
        <v>0.16173490068909607</v>
      </c>
      <c r="Q227">
        <f t="shared" ca="1" si="30"/>
        <v>0.23076923076923078</v>
      </c>
      <c r="R227">
        <f t="shared" ca="1" si="30"/>
        <v>0.55818673883626524</v>
      </c>
      <c r="S227">
        <f t="shared" ca="1" si="30"/>
        <v>0.30852503382949931</v>
      </c>
      <c r="T227">
        <f t="shared" ca="1" si="30"/>
        <v>0.36967977300364813</v>
      </c>
      <c r="U227" s="5"/>
      <c r="V227" s="4">
        <f t="shared" si="29"/>
        <v>41808</v>
      </c>
      <c r="W227" s="5">
        <f t="shared" ca="1" si="27"/>
        <v>0.31090909090909086</v>
      </c>
      <c r="Z227" s="4" t="str">
        <f ca="1">IF(OFFSET(Sheet3!$A$1,0,0,300)="","",OFFSET(Sheet3!$A$1,0,0,300))</f>
        <v/>
      </c>
      <c r="AA227" s="5" t="str">
        <f ca="1">IF(OFFSET(Sheet3!$A$1,0,MATCH(W$1,Sheet3!$1:$1,0)-1,300)="","",OFFSET(Sheet3!$A$1,0,MATCH(W$1,Sheet3!$1:$1,0)-1,300))</f>
        <v/>
      </c>
      <c r="AB227" s="5" t="str">
        <f ca="1">IF(OFFSET(Sheet3!$A$1,0,MATCH(X$1,Sheet3!$1:$1,0)-1,300)="","",OFFSET(Sheet3!$A$1,0,MATCH(X$1,Sheet3!$1:$1,0)-1,300))</f>
        <v/>
      </c>
      <c r="AC227" t="str">
        <f t="shared" ca="1" si="25"/>
        <v/>
      </c>
      <c r="AD227" t="str">
        <f t="shared" ca="1" si="26"/>
        <v/>
      </c>
    </row>
    <row r="228" spans="1:30" x14ac:dyDescent="0.25">
      <c r="A228" s="4">
        <v>41807</v>
      </c>
      <c r="B228">
        <v>0.48199999999999998</v>
      </c>
      <c r="C228" s="5">
        <v>0.98799999999999999</v>
      </c>
      <c r="D228">
        <v>1.7509999999999999</v>
      </c>
      <c r="E228">
        <v>2.2599999999999998</v>
      </c>
      <c r="F228">
        <v>2.653</v>
      </c>
      <c r="G228">
        <v>3.4430000000000001</v>
      </c>
      <c r="H228">
        <f t="shared" ca="1" si="30"/>
        <v>0.42913385826771655</v>
      </c>
      <c r="I228">
        <f t="shared" ca="1" si="30"/>
        <v>0.35145094426531542</v>
      </c>
      <c r="J228">
        <f t="shared" ca="1" si="30"/>
        <v>0.25768321513002357</v>
      </c>
      <c r="K228">
        <f t="shared" ca="1" si="30"/>
        <v>0.23445416858590504</v>
      </c>
      <c r="L228">
        <f t="shared" ca="1" si="30"/>
        <v>0.17190138466734206</v>
      </c>
      <c r="M228">
        <f t="shared" ca="1" si="30"/>
        <v>0.30570570570570565</v>
      </c>
      <c r="N228">
        <f t="shared" ca="1" si="30"/>
        <v>0.20733197556008143</v>
      </c>
      <c r="O228">
        <f t="shared" ca="1" si="30"/>
        <v>0.13272543059777109</v>
      </c>
      <c r="P228">
        <f t="shared" ca="1" si="30"/>
        <v>0.16008146639511212</v>
      </c>
      <c r="Q228">
        <f t="shared" ca="1" si="30"/>
        <v>0.2322695035460994</v>
      </c>
      <c r="R228">
        <f t="shared" ca="1" si="30"/>
        <v>0.56231003039513672</v>
      </c>
      <c r="S228">
        <f t="shared" ca="1" si="30"/>
        <v>0.30462681526511315</v>
      </c>
      <c r="T228">
        <f t="shared" ca="1" si="30"/>
        <v>0.36741344195519354</v>
      </c>
      <c r="U228" s="5"/>
      <c r="V228" s="4">
        <f t="shared" si="29"/>
        <v>41807</v>
      </c>
      <c r="W228" s="5">
        <f t="shared" ca="1" si="27"/>
        <v>0.30570570570570565</v>
      </c>
      <c r="Z228" s="4" t="str">
        <f ca="1">IF(OFFSET(Sheet3!$A$1,0,0,300)="","",OFFSET(Sheet3!$A$1,0,0,300))</f>
        <v/>
      </c>
      <c r="AA228" s="5" t="str">
        <f ca="1">IF(OFFSET(Sheet3!$A$1,0,MATCH(W$1,Sheet3!$1:$1,0)-1,300)="","",OFFSET(Sheet3!$A$1,0,MATCH(W$1,Sheet3!$1:$1,0)-1,300))</f>
        <v/>
      </c>
      <c r="AB228" s="5" t="str">
        <f ca="1">IF(OFFSET(Sheet3!$A$1,0,MATCH(X$1,Sheet3!$1:$1,0)-1,300)="","",OFFSET(Sheet3!$A$1,0,MATCH(X$1,Sheet3!$1:$1,0)-1,300))</f>
        <v/>
      </c>
      <c r="AC228" t="str">
        <f t="shared" ca="1" si="25"/>
        <v/>
      </c>
      <c r="AD228" t="str">
        <f t="shared" ca="1" si="26"/>
        <v/>
      </c>
    </row>
    <row r="229" spans="1:30" x14ac:dyDescent="0.25">
      <c r="A229" s="4">
        <v>41806</v>
      </c>
      <c r="B229">
        <v>0.47</v>
      </c>
      <c r="C229" s="5">
        <v>0.95099999999999996</v>
      </c>
      <c r="D229">
        <v>1.6970000000000001</v>
      </c>
      <c r="E229">
        <v>2.2010000000000001</v>
      </c>
      <c r="F229">
        <v>2.5979999999999999</v>
      </c>
      <c r="G229">
        <v>3.3959999999999999</v>
      </c>
      <c r="H229">
        <f t="shared" ca="1" si="30"/>
        <v>0.43096476025418839</v>
      </c>
      <c r="I229">
        <f t="shared" ca="1" si="30"/>
        <v>0.35056390977443613</v>
      </c>
      <c r="J229">
        <f t="shared" ca="1" si="30"/>
        <v>0.25495557074504444</v>
      </c>
      <c r="K229">
        <f t="shared" ca="1" si="30"/>
        <v>0.23684210526315788</v>
      </c>
      <c r="L229">
        <f t="shared" ca="1" si="30"/>
        <v>0.17224880382775118</v>
      </c>
      <c r="M229">
        <f t="shared" ca="1" si="30"/>
        <v>0.3060109289617487</v>
      </c>
      <c r="N229">
        <f t="shared" ca="1" si="30"/>
        <v>0.20613496932515338</v>
      </c>
      <c r="O229">
        <f t="shared" ca="1" si="30"/>
        <v>0.13568010936431982</v>
      </c>
      <c r="P229">
        <f t="shared" ca="1" si="30"/>
        <v>0.16237218813905924</v>
      </c>
      <c r="Q229">
        <f t="shared" ca="1" si="30"/>
        <v>0.23366686286050609</v>
      </c>
      <c r="R229">
        <f t="shared" ca="1" si="30"/>
        <v>0.56288448393711543</v>
      </c>
      <c r="S229">
        <f t="shared" ca="1" si="30"/>
        <v>0.307928913192071</v>
      </c>
      <c r="T229">
        <f t="shared" ca="1" si="30"/>
        <v>0.36850715746421264</v>
      </c>
      <c r="U229" s="5"/>
      <c r="V229" s="4">
        <f t="shared" si="29"/>
        <v>41806</v>
      </c>
      <c r="W229" s="5">
        <f t="shared" ca="1" si="27"/>
        <v>0.3060109289617487</v>
      </c>
      <c r="Z229" s="4" t="str">
        <f ca="1">IF(OFFSET(Sheet3!$A$1,0,0,300)="","",OFFSET(Sheet3!$A$1,0,0,300))</f>
        <v/>
      </c>
      <c r="AA229" s="5" t="str">
        <f ca="1">IF(OFFSET(Sheet3!$A$1,0,MATCH(W$1,Sheet3!$1:$1,0)-1,300)="","",OFFSET(Sheet3!$A$1,0,MATCH(W$1,Sheet3!$1:$1,0)-1,300))</f>
        <v/>
      </c>
      <c r="AB229" s="5" t="str">
        <f ca="1">IF(OFFSET(Sheet3!$A$1,0,MATCH(X$1,Sheet3!$1:$1,0)-1,300)="","",OFFSET(Sheet3!$A$1,0,MATCH(X$1,Sheet3!$1:$1,0)-1,300))</f>
        <v/>
      </c>
      <c r="AC229" t="str">
        <f t="shared" ca="1" si="25"/>
        <v/>
      </c>
      <c r="AD229" t="str">
        <f t="shared" ca="1" si="26"/>
        <v/>
      </c>
    </row>
    <row r="230" spans="1:30" x14ac:dyDescent="0.25">
      <c r="A230" s="4">
        <v>41803</v>
      </c>
      <c r="B230">
        <v>0.45100000000000001</v>
      </c>
      <c r="C230" s="5">
        <v>0.92900000000000005</v>
      </c>
      <c r="D230">
        <v>1.694</v>
      </c>
      <c r="E230">
        <v>2.206</v>
      </c>
      <c r="F230">
        <v>2.6040000000000001</v>
      </c>
      <c r="G230">
        <v>3.4140000000000001</v>
      </c>
      <c r="H230">
        <f t="shared" ca="1" si="30"/>
        <v>0.43589743589743585</v>
      </c>
      <c r="I230">
        <f t="shared" ca="1" si="30"/>
        <v>0.35531816070599159</v>
      </c>
      <c r="J230">
        <f t="shared" ca="1" si="30"/>
        <v>0.25818427269659128</v>
      </c>
      <c r="K230">
        <f t="shared" ca="1" si="30"/>
        <v>0.23780771017185323</v>
      </c>
      <c r="L230">
        <f t="shared" ca="1" si="30"/>
        <v>0.17279784002699966</v>
      </c>
      <c r="M230">
        <f t="shared" ca="1" si="30"/>
        <v>0.30567164179104478</v>
      </c>
      <c r="N230">
        <f t="shared" ca="1" si="30"/>
        <v>0.20603621730382291</v>
      </c>
      <c r="O230">
        <f t="shared" ca="1" si="30"/>
        <v>0.13432332095848806</v>
      </c>
      <c r="P230">
        <f t="shared" ca="1" si="30"/>
        <v>0.16016096579476866</v>
      </c>
      <c r="Q230">
        <f t="shared" ca="1" si="30"/>
        <v>0.23139534883720936</v>
      </c>
      <c r="R230">
        <f t="shared" ca="1" si="30"/>
        <v>0.56530543368207897</v>
      </c>
      <c r="S230">
        <f t="shared" ca="1" si="30"/>
        <v>0.3071211609854877</v>
      </c>
      <c r="T230">
        <f t="shared" ca="1" si="30"/>
        <v>0.36619718309859156</v>
      </c>
      <c r="U230" s="5"/>
      <c r="V230" s="4">
        <f t="shared" si="29"/>
        <v>41803</v>
      </c>
      <c r="W230" s="5">
        <f t="shared" ca="1" si="27"/>
        <v>0.30567164179104478</v>
      </c>
      <c r="Z230" s="4" t="str">
        <f ca="1">IF(OFFSET(Sheet3!$A$1,0,0,300)="","",OFFSET(Sheet3!$A$1,0,0,300))</f>
        <v/>
      </c>
      <c r="AA230" s="5" t="str">
        <f ca="1">IF(OFFSET(Sheet3!$A$1,0,MATCH(W$1,Sheet3!$1:$1,0)-1,300)="","",OFFSET(Sheet3!$A$1,0,MATCH(W$1,Sheet3!$1:$1,0)-1,300))</f>
        <v/>
      </c>
      <c r="AB230" s="5" t="str">
        <f ca="1">IF(OFFSET(Sheet3!$A$1,0,MATCH(X$1,Sheet3!$1:$1,0)-1,300)="","",OFFSET(Sheet3!$A$1,0,MATCH(X$1,Sheet3!$1:$1,0)-1,300))</f>
        <v/>
      </c>
      <c r="AC230" t="str">
        <f t="shared" ca="1" si="25"/>
        <v/>
      </c>
      <c r="AD230" t="str">
        <f t="shared" ca="1" si="26"/>
        <v/>
      </c>
    </row>
    <row r="231" spans="1:30" x14ac:dyDescent="0.25">
      <c r="A231" s="4">
        <v>41802</v>
      </c>
      <c r="B231">
        <v>0.439</v>
      </c>
      <c r="C231" s="5">
        <v>0.92100000000000004</v>
      </c>
      <c r="D231">
        <v>1.6840000000000002</v>
      </c>
      <c r="E231">
        <v>2.1930000000000001</v>
      </c>
      <c r="F231">
        <v>2.5960000000000001</v>
      </c>
      <c r="G231">
        <v>3.411</v>
      </c>
      <c r="H231">
        <f t="shared" ca="1" si="30"/>
        <v>0.43500570125427601</v>
      </c>
      <c r="I231">
        <f t="shared" ca="1" si="30"/>
        <v>0.3537320352341215</v>
      </c>
      <c r="J231">
        <f t="shared" ca="1" si="30"/>
        <v>0.25672947510094218</v>
      </c>
      <c r="K231">
        <f t="shared" ca="1" si="30"/>
        <v>0.2359758924432081</v>
      </c>
      <c r="L231">
        <f t="shared" ca="1" si="30"/>
        <v>0.17126514131897708</v>
      </c>
      <c r="M231">
        <f t="shared" ca="1" si="30"/>
        <v>0.30388059701492531</v>
      </c>
      <c r="N231">
        <f t="shared" ca="1" si="30"/>
        <v>0.20441767068273087</v>
      </c>
      <c r="O231">
        <f t="shared" ca="1" si="30"/>
        <v>0.13559892328398385</v>
      </c>
      <c r="P231">
        <f t="shared" ca="1" si="30"/>
        <v>0.16184738955823294</v>
      </c>
      <c r="Q231">
        <f t="shared" ca="1" si="30"/>
        <v>0.23335263462652001</v>
      </c>
      <c r="R231">
        <f t="shared" ca="1" si="30"/>
        <v>0.56359353970390313</v>
      </c>
      <c r="S231">
        <f t="shared" ca="1" si="30"/>
        <v>0.30686406460296095</v>
      </c>
      <c r="T231">
        <f t="shared" ca="1" si="30"/>
        <v>0.36626506024096378</v>
      </c>
      <c r="U231" s="5"/>
      <c r="V231" s="4">
        <f t="shared" si="29"/>
        <v>41802</v>
      </c>
      <c r="W231" s="5">
        <f t="shared" ca="1" si="27"/>
        <v>0.30388059701492531</v>
      </c>
      <c r="Z231" s="4" t="str">
        <f ca="1">IF(OFFSET(Sheet3!$A$1,0,0,300)="","",OFFSET(Sheet3!$A$1,0,0,300))</f>
        <v/>
      </c>
      <c r="AA231" s="5" t="str">
        <f ca="1">IF(OFFSET(Sheet3!$A$1,0,MATCH(W$1,Sheet3!$1:$1,0)-1,300)="","",OFFSET(Sheet3!$A$1,0,MATCH(W$1,Sheet3!$1:$1,0)-1,300))</f>
        <v/>
      </c>
      <c r="AB231" s="5" t="str">
        <f ca="1">IF(OFFSET(Sheet3!$A$1,0,MATCH(X$1,Sheet3!$1:$1,0)-1,300)="","",OFFSET(Sheet3!$A$1,0,MATCH(X$1,Sheet3!$1:$1,0)-1,300))</f>
        <v/>
      </c>
      <c r="AC231" t="str">
        <f t="shared" ca="1" si="25"/>
        <v/>
      </c>
      <c r="AD231" t="str">
        <f t="shared" ca="1" si="26"/>
        <v/>
      </c>
    </row>
    <row r="232" spans="1:30" x14ac:dyDescent="0.25">
      <c r="A232" s="4">
        <v>41801</v>
      </c>
      <c r="B232">
        <v>0.433</v>
      </c>
      <c r="C232" s="5">
        <v>0.92700000000000005</v>
      </c>
      <c r="D232">
        <v>1.702</v>
      </c>
      <c r="E232">
        <v>2.2320000000000002</v>
      </c>
      <c r="F232">
        <v>2.64</v>
      </c>
      <c r="G232">
        <v>3.4660000000000002</v>
      </c>
      <c r="H232">
        <f t="shared" ca="1" si="30"/>
        <v>0.43079488604780425</v>
      </c>
      <c r="I232">
        <f t="shared" ca="1" si="30"/>
        <v>0.35115541458994098</v>
      </c>
      <c r="J232">
        <f t="shared" ca="1" si="30"/>
        <v>0.25552258489943946</v>
      </c>
      <c r="K232">
        <f t="shared" ca="1" si="30"/>
        <v>0.24014499320344368</v>
      </c>
      <c r="L232">
        <f t="shared" ca="1" si="30"/>
        <v>0.17474447741510063</v>
      </c>
      <c r="M232">
        <f t="shared" ca="1" si="30"/>
        <v>0.3093987157034444</v>
      </c>
      <c r="N232">
        <f t="shared" ca="1" si="30"/>
        <v>0.20874359984245774</v>
      </c>
      <c r="O232">
        <f t="shared" ca="1" si="30"/>
        <v>0.13452027695351132</v>
      </c>
      <c r="P232">
        <f t="shared" ca="1" si="30"/>
        <v>0.16069318629381643</v>
      </c>
      <c r="Q232">
        <f t="shared" ca="1" si="30"/>
        <v>0.23129251700680264</v>
      </c>
      <c r="R232">
        <f t="shared" ca="1" si="30"/>
        <v>0.56478733926805136</v>
      </c>
      <c r="S232">
        <f t="shared" ca="1" si="30"/>
        <v>0.30926475436861195</v>
      </c>
      <c r="T232">
        <f t="shared" ca="1" si="30"/>
        <v>0.36943678613627418</v>
      </c>
      <c r="U232" s="5"/>
      <c r="V232" s="4">
        <f t="shared" si="29"/>
        <v>41801</v>
      </c>
      <c r="W232" s="5">
        <f t="shared" ca="1" si="27"/>
        <v>0.3093987157034444</v>
      </c>
      <c r="Z232" s="4" t="str">
        <f ca="1">IF(OFFSET(Sheet3!$A$1,0,0,300)="","",OFFSET(Sheet3!$A$1,0,0,300))</f>
        <v/>
      </c>
      <c r="AA232" s="5" t="str">
        <f ca="1">IF(OFFSET(Sheet3!$A$1,0,MATCH(W$1,Sheet3!$1:$1,0)-1,300)="","",OFFSET(Sheet3!$A$1,0,MATCH(W$1,Sheet3!$1:$1,0)-1,300))</f>
        <v/>
      </c>
      <c r="AB232" s="5" t="str">
        <f ca="1">IF(OFFSET(Sheet3!$A$1,0,MATCH(X$1,Sheet3!$1:$1,0)-1,300)="","",OFFSET(Sheet3!$A$1,0,MATCH(X$1,Sheet3!$1:$1,0)-1,300))</f>
        <v/>
      </c>
      <c r="AC232" t="str">
        <f t="shared" ca="1" si="25"/>
        <v/>
      </c>
      <c r="AD232" t="str">
        <f t="shared" ca="1" si="26"/>
        <v/>
      </c>
    </row>
    <row r="233" spans="1:30" x14ac:dyDescent="0.25">
      <c r="A233" s="4">
        <v>41800</v>
      </c>
      <c r="B233">
        <v>0.441</v>
      </c>
      <c r="C233" s="5">
        <v>0.89</v>
      </c>
      <c r="D233">
        <v>1.7130000000000001</v>
      </c>
      <c r="E233">
        <v>2.242</v>
      </c>
      <c r="F233">
        <v>2.645</v>
      </c>
      <c r="G233">
        <v>3.4790000000000001</v>
      </c>
      <c r="H233">
        <f t="shared" ca="1" si="30"/>
        <v>0.45696835091615773</v>
      </c>
      <c r="I233">
        <f t="shared" ca="1" si="30"/>
        <v>0.37341197822141559</v>
      </c>
      <c r="J233">
        <f t="shared" ca="1" si="30"/>
        <v>0.27090190915075707</v>
      </c>
      <c r="K233">
        <f t="shared" ca="1" si="30"/>
        <v>0.24001814882032663</v>
      </c>
      <c r="L233">
        <f t="shared" ca="1" si="30"/>
        <v>0.17412771560236995</v>
      </c>
      <c r="M233">
        <f t="shared" ca="1" si="30"/>
        <v>0.30142450142450139</v>
      </c>
      <c r="N233">
        <f t="shared" ca="1" si="30"/>
        <v>0.20432599459250672</v>
      </c>
      <c r="O233">
        <f t="shared" ca="1" si="30"/>
        <v>0.1326530612244898</v>
      </c>
      <c r="P233">
        <f t="shared" ca="1" si="30"/>
        <v>0.15565855542680573</v>
      </c>
      <c r="Q233">
        <f t="shared" ca="1" si="30"/>
        <v>0.22819932049830124</v>
      </c>
      <c r="R233">
        <f t="shared" ca="1" si="30"/>
        <v>0.57768268597761674</v>
      </c>
      <c r="S233">
        <f t="shared" ca="1" si="30"/>
        <v>0.30678077682685972</v>
      </c>
      <c r="T233">
        <f t="shared" ca="1" si="30"/>
        <v>0.35998455001931245</v>
      </c>
      <c r="U233" s="5"/>
      <c r="V233" s="4">
        <f t="shared" si="29"/>
        <v>41800</v>
      </c>
      <c r="W233" s="5">
        <f t="shared" ca="1" si="27"/>
        <v>0.30142450142450139</v>
      </c>
      <c r="Z233" s="4" t="str">
        <f ca="1">IF(OFFSET(Sheet3!$A$1,0,0,300)="","",OFFSET(Sheet3!$A$1,0,0,300))</f>
        <v/>
      </c>
      <c r="AA233" s="5" t="str">
        <f ca="1">IF(OFFSET(Sheet3!$A$1,0,MATCH(W$1,Sheet3!$1:$1,0)-1,300)="","",OFFSET(Sheet3!$A$1,0,MATCH(W$1,Sheet3!$1:$1,0)-1,300))</f>
        <v/>
      </c>
      <c r="AB233" s="5" t="str">
        <f ca="1">IF(OFFSET(Sheet3!$A$1,0,MATCH(X$1,Sheet3!$1:$1,0)-1,300)="","",OFFSET(Sheet3!$A$1,0,MATCH(X$1,Sheet3!$1:$1,0)-1,300))</f>
        <v/>
      </c>
      <c r="AC233" t="str">
        <f t="shared" ca="1" si="25"/>
        <v/>
      </c>
      <c r="AD233" t="str">
        <f t="shared" ca="1" si="26"/>
        <v/>
      </c>
    </row>
    <row r="234" spans="1:30" x14ac:dyDescent="0.25">
      <c r="A234" s="4">
        <v>41799</v>
      </c>
      <c r="B234">
        <v>0.42099999999999999</v>
      </c>
      <c r="C234" s="5">
        <v>0.86</v>
      </c>
      <c r="D234">
        <v>1.677</v>
      </c>
      <c r="E234">
        <v>2.2050000000000001</v>
      </c>
      <c r="F234">
        <v>2.6040000000000001</v>
      </c>
      <c r="G234">
        <v>3.44</v>
      </c>
      <c r="H234">
        <f t="shared" ca="1" si="30"/>
        <v>0.4579596412556054</v>
      </c>
      <c r="I234">
        <f t="shared" ca="1" si="30"/>
        <v>0.37425561154374709</v>
      </c>
      <c r="J234">
        <f t="shared" ca="1" si="30"/>
        <v>0.27061941040079496</v>
      </c>
      <c r="K234">
        <f t="shared" ca="1" si="30"/>
        <v>0.24186898763169948</v>
      </c>
      <c r="L234">
        <f t="shared" ca="1" si="30"/>
        <v>0.17489234845975488</v>
      </c>
      <c r="M234">
        <f t="shared" ca="1" si="30"/>
        <v>0.30275229357798161</v>
      </c>
      <c r="N234">
        <f t="shared" ca="1" si="30"/>
        <v>0.20465116279069767</v>
      </c>
      <c r="O234">
        <f t="shared" ca="1" si="30"/>
        <v>0.13216296787015569</v>
      </c>
      <c r="P234">
        <f t="shared" ca="1" si="30"/>
        <v>0.15465116279069768</v>
      </c>
      <c r="Q234">
        <f t="shared" ca="1" si="30"/>
        <v>0.22631877481565515</v>
      </c>
      <c r="R234">
        <f t="shared" ca="1" si="30"/>
        <v>0.57767472673070563</v>
      </c>
      <c r="S234">
        <f t="shared" ca="1" si="30"/>
        <v>0.30705531632991057</v>
      </c>
      <c r="T234">
        <f t="shared" ca="1" si="30"/>
        <v>0.35930232558139535</v>
      </c>
      <c r="U234" s="5"/>
      <c r="V234" s="4">
        <f t="shared" si="29"/>
        <v>41799</v>
      </c>
      <c r="W234" s="5">
        <f t="shared" ca="1" si="27"/>
        <v>0.30275229357798161</v>
      </c>
      <c r="Z234" s="4" t="str">
        <f ca="1">IF(OFFSET(Sheet3!$A$1,0,0,300)="","",OFFSET(Sheet3!$A$1,0,0,300))</f>
        <v/>
      </c>
      <c r="AA234" s="5" t="str">
        <f ca="1">IF(OFFSET(Sheet3!$A$1,0,MATCH(W$1,Sheet3!$1:$1,0)-1,300)="","",OFFSET(Sheet3!$A$1,0,MATCH(W$1,Sheet3!$1:$1,0)-1,300))</f>
        <v/>
      </c>
      <c r="AB234" s="5" t="str">
        <f ca="1">IF(OFFSET(Sheet3!$A$1,0,MATCH(X$1,Sheet3!$1:$1,0)-1,300)="","",OFFSET(Sheet3!$A$1,0,MATCH(X$1,Sheet3!$1:$1,0)-1,300))</f>
        <v/>
      </c>
      <c r="AC234" t="str">
        <f t="shared" ca="1" si="25"/>
        <v/>
      </c>
      <c r="AD234" t="str">
        <f t="shared" ca="1" si="26"/>
        <v/>
      </c>
    </row>
    <row r="235" spans="1:30" x14ac:dyDescent="0.25">
      <c r="A235" s="4">
        <v>41796</v>
      </c>
      <c r="B235">
        <v>0.40100000000000002</v>
      </c>
      <c r="C235" s="5">
        <v>0.82799999999999996</v>
      </c>
      <c r="D235">
        <v>1.6440000000000001</v>
      </c>
      <c r="E235">
        <v>2.1840000000000002</v>
      </c>
      <c r="F235">
        <v>2.5880000000000001</v>
      </c>
      <c r="G235">
        <v>3.4329999999999998</v>
      </c>
      <c r="H235">
        <f t="shared" ca="1" si="30"/>
        <v>0.45765563656758279</v>
      </c>
      <c r="I235">
        <f t="shared" ca="1" si="30"/>
        <v>0.37311385459533608</v>
      </c>
      <c r="J235">
        <f t="shared" ca="1" si="30"/>
        <v>0.26912928759894467</v>
      </c>
      <c r="K235">
        <f t="shared" ca="1" si="30"/>
        <v>0.24691358024691357</v>
      </c>
      <c r="L235">
        <f t="shared" ca="1" si="30"/>
        <v>0.17810026385224276</v>
      </c>
      <c r="M235">
        <f t="shared" ca="1" si="30"/>
        <v>0.30681818181818182</v>
      </c>
      <c r="N235">
        <f t="shared" ca="1" si="30"/>
        <v>0.20729366602687141</v>
      </c>
      <c r="O235">
        <f t="shared" ca="1" si="30"/>
        <v>0.13324538258575194</v>
      </c>
      <c r="P235">
        <f t="shared" ca="1" si="30"/>
        <v>0.15508637236084449</v>
      </c>
      <c r="Q235">
        <f t="shared" ca="1" si="30"/>
        <v>0.22582448295136948</v>
      </c>
      <c r="R235">
        <f t="shared" ca="1" si="30"/>
        <v>0.58047493403693939</v>
      </c>
      <c r="S235">
        <f t="shared" ca="1" si="30"/>
        <v>0.31134564643799473</v>
      </c>
      <c r="T235">
        <f t="shared" ca="1" si="30"/>
        <v>0.36238003838771593</v>
      </c>
      <c r="U235" s="5"/>
      <c r="V235" s="4">
        <f t="shared" si="29"/>
        <v>41796</v>
      </c>
      <c r="W235" s="5">
        <f t="shared" ca="1" si="27"/>
        <v>0.30681818181818182</v>
      </c>
      <c r="Z235" s="4" t="str">
        <f ca="1">IF(OFFSET(Sheet3!$A$1,0,0,300)="","",OFFSET(Sheet3!$A$1,0,0,300))</f>
        <v/>
      </c>
      <c r="AA235" s="5" t="str">
        <f ca="1">IF(OFFSET(Sheet3!$A$1,0,MATCH(W$1,Sheet3!$1:$1,0)-1,300)="","",OFFSET(Sheet3!$A$1,0,MATCH(W$1,Sheet3!$1:$1,0)-1,300))</f>
        <v/>
      </c>
      <c r="AB235" s="5" t="str">
        <f ca="1">IF(OFFSET(Sheet3!$A$1,0,MATCH(X$1,Sheet3!$1:$1,0)-1,300)="","",OFFSET(Sheet3!$A$1,0,MATCH(X$1,Sheet3!$1:$1,0)-1,300))</f>
        <v/>
      </c>
      <c r="AC235" t="str">
        <f t="shared" ca="1" si="25"/>
        <v/>
      </c>
      <c r="AD235" t="str">
        <f t="shared" ca="1" si="26"/>
        <v/>
      </c>
    </row>
    <row r="236" spans="1:30" x14ac:dyDescent="0.25">
      <c r="A236" s="4">
        <v>41795</v>
      </c>
      <c r="B236">
        <v>0.38100000000000001</v>
      </c>
      <c r="C236" s="5">
        <v>0.80100000000000005</v>
      </c>
      <c r="D236">
        <v>1.625</v>
      </c>
      <c r="E236">
        <v>2.1680000000000001</v>
      </c>
      <c r="F236">
        <v>2.5830000000000002</v>
      </c>
      <c r="G236">
        <v>3.4369999999999998</v>
      </c>
      <c r="H236">
        <f t="shared" ca="1" si="30"/>
        <v>0.46110800223838827</v>
      </c>
      <c r="I236">
        <f t="shared" ca="1" si="30"/>
        <v>0.37420526793823794</v>
      </c>
      <c r="J236">
        <f t="shared" ca="1" si="30"/>
        <v>0.26963350785340312</v>
      </c>
      <c r="K236">
        <f t="shared" ca="1" si="30"/>
        <v>0.24659400544959134</v>
      </c>
      <c r="L236">
        <f t="shared" ca="1" si="30"/>
        <v>0.17768324607329847</v>
      </c>
      <c r="M236">
        <f t="shared" ca="1" si="30"/>
        <v>0.30471380471380477</v>
      </c>
      <c r="N236">
        <f t="shared" ca="1" si="30"/>
        <v>0.20599393019726867</v>
      </c>
      <c r="O236">
        <f t="shared" ca="1" si="30"/>
        <v>0.13579842931937175</v>
      </c>
      <c r="P236">
        <f t="shared" ca="1" si="30"/>
        <v>0.15743550834597878</v>
      </c>
      <c r="Q236">
        <f t="shared" ca="1" si="30"/>
        <v>0.22902869757174396</v>
      </c>
      <c r="R236">
        <f t="shared" ca="1" si="30"/>
        <v>0.58311518324607325</v>
      </c>
      <c r="S236">
        <f t="shared" ca="1" si="30"/>
        <v>0.31348167539267019</v>
      </c>
      <c r="T236">
        <f t="shared" ca="1" si="30"/>
        <v>0.36342943854324744</v>
      </c>
      <c r="U236" s="5"/>
      <c r="V236" s="4">
        <f t="shared" si="29"/>
        <v>41795</v>
      </c>
      <c r="W236" s="5">
        <f t="shared" ca="1" si="27"/>
        <v>0.30471380471380477</v>
      </c>
      <c r="Z236" s="4" t="str">
        <f ca="1">IF(OFFSET(Sheet3!$A$1,0,0,300)="","",OFFSET(Sheet3!$A$1,0,0,300))</f>
        <v/>
      </c>
      <c r="AA236" s="5" t="str">
        <f ca="1">IF(OFFSET(Sheet3!$A$1,0,MATCH(W$1,Sheet3!$1:$1,0)-1,300)="","",OFFSET(Sheet3!$A$1,0,MATCH(W$1,Sheet3!$1:$1,0)-1,300))</f>
        <v/>
      </c>
      <c r="AB236" s="5" t="str">
        <f ca="1">IF(OFFSET(Sheet3!$A$1,0,MATCH(X$1,Sheet3!$1:$1,0)-1,300)="","",OFFSET(Sheet3!$A$1,0,MATCH(X$1,Sheet3!$1:$1,0)-1,300))</f>
        <v/>
      </c>
      <c r="AC236" t="str">
        <f t="shared" ca="1" si="25"/>
        <v/>
      </c>
      <c r="AD236" t="str">
        <f t="shared" ca="1" si="26"/>
        <v/>
      </c>
    </row>
    <row r="237" spans="1:30" x14ac:dyDescent="0.25">
      <c r="A237" s="4">
        <v>41794</v>
      </c>
      <c r="B237">
        <v>0.39300000000000002</v>
      </c>
      <c r="C237" s="5">
        <v>0.82199999999999995</v>
      </c>
      <c r="D237">
        <v>1.6400000000000001</v>
      </c>
      <c r="E237">
        <v>2.19</v>
      </c>
      <c r="F237">
        <v>2.6029999999999998</v>
      </c>
      <c r="G237">
        <v>3.44</v>
      </c>
      <c r="H237">
        <f t="shared" ref="H237:T252" ca="1" si="31">IF(ISERROR(ABS(OFFSET($A$11,ROW()-11,MATCH(LEFT(H$9,2),$A$11:$G$11,0)-1)-OFFSET($A$11,ROW()-11,MATCH(RIGHT(H$9,2),$A$11:$G$11,0)-1))/ABS(OFFSET($A$11,ROW()-11,MATCH(LEFT(H$10,2),$A$11:$G$11,0)-1)-OFFSET($A$11,ROW()-11,MATCH(RIGHT(H$10,2),$A$11:$G$11,0)-1))),"",ABS(OFFSET($A$11,ROW()-11,MATCH(LEFT(H$9,2),$A$11:$G$11,0)-1)-OFFSET($A$11,ROW()-11,MATCH(RIGHT(H$9,2),$A$11:$G$11,0)-1))/ABS(OFFSET($A$11,ROW()-11,MATCH(LEFT(H$10,2),$A$11:$G$11,0)-1)-OFFSET($A$11,ROW()-11,MATCH(RIGHT(H$10,2),$A$11:$G$11,0)-1)))</f>
        <v>0.4552031163049528</v>
      </c>
      <c r="I237">
        <f t="shared" ca="1" si="31"/>
        <v>0.37013574660633491</v>
      </c>
      <c r="J237">
        <f t="shared" ca="1" si="31"/>
        <v>0.26846078109616023</v>
      </c>
      <c r="K237">
        <f t="shared" ca="1" si="31"/>
        <v>0.24886877828054291</v>
      </c>
      <c r="L237">
        <f t="shared" ca="1" si="31"/>
        <v>0.18050541516245483</v>
      </c>
      <c r="M237">
        <f t="shared" ca="1" si="31"/>
        <v>0.30881527231892192</v>
      </c>
      <c r="N237">
        <f t="shared" ca="1" si="31"/>
        <v>0.21008403361344533</v>
      </c>
      <c r="O237">
        <f t="shared" ca="1" si="31"/>
        <v>0.13554315720380697</v>
      </c>
      <c r="P237">
        <f t="shared" ca="1" si="31"/>
        <v>0.1577540106951871</v>
      </c>
      <c r="Q237">
        <f t="shared" ca="1" si="31"/>
        <v>0.22944444444444437</v>
      </c>
      <c r="R237">
        <f t="shared" ca="1" si="31"/>
        <v>0.58450935346242205</v>
      </c>
      <c r="S237">
        <f t="shared" ca="1" si="31"/>
        <v>0.31604857236626183</v>
      </c>
      <c r="T237">
        <f t="shared" ca="1" si="31"/>
        <v>0.36783804430863243</v>
      </c>
      <c r="U237" s="5"/>
      <c r="V237" s="4">
        <f t="shared" si="29"/>
        <v>41794</v>
      </c>
      <c r="W237" s="5">
        <f t="shared" ca="1" si="27"/>
        <v>0.30881527231892192</v>
      </c>
      <c r="Z237" s="4" t="str">
        <f ca="1">IF(OFFSET(Sheet3!$A$1,0,0,300)="","",OFFSET(Sheet3!$A$1,0,0,300))</f>
        <v/>
      </c>
      <c r="AA237" s="5" t="str">
        <f ca="1">IF(OFFSET(Sheet3!$A$1,0,MATCH(W$1,Sheet3!$1:$1,0)-1,300)="","",OFFSET(Sheet3!$A$1,0,MATCH(W$1,Sheet3!$1:$1,0)-1,300))</f>
        <v/>
      </c>
      <c r="AB237" s="5" t="str">
        <f ca="1">IF(OFFSET(Sheet3!$A$1,0,MATCH(X$1,Sheet3!$1:$1,0)-1,300)="","",OFFSET(Sheet3!$A$1,0,MATCH(X$1,Sheet3!$1:$1,0)-1,300))</f>
        <v/>
      </c>
      <c r="AC237" t="str">
        <f t="shared" ca="1" si="25"/>
        <v/>
      </c>
      <c r="AD237" t="str">
        <f t="shared" ca="1" si="26"/>
        <v/>
      </c>
    </row>
    <row r="238" spans="1:30" x14ac:dyDescent="0.25">
      <c r="A238" s="4">
        <v>41793</v>
      </c>
      <c r="B238">
        <v>0.40100000000000002</v>
      </c>
      <c r="C238" s="5">
        <v>0.83099999999999996</v>
      </c>
      <c r="D238">
        <v>1.643</v>
      </c>
      <c r="E238">
        <v>2.1850000000000001</v>
      </c>
      <c r="F238">
        <v>2.5990000000000002</v>
      </c>
      <c r="G238">
        <v>3.4390000000000001</v>
      </c>
      <c r="H238">
        <f t="shared" ca="1" si="31"/>
        <v>0.45515695067264578</v>
      </c>
      <c r="I238">
        <f t="shared" ca="1" si="31"/>
        <v>0.36942675159235666</v>
      </c>
      <c r="J238">
        <f t="shared" ca="1" si="31"/>
        <v>0.26728110599078342</v>
      </c>
      <c r="K238">
        <f t="shared" ca="1" si="31"/>
        <v>0.24658780709736122</v>
      </c>
      <c r="L238">
        <f t="shared" ca="1" si="31"/>
        <v>0.17840684660961159</v>
      </c>
      <c r="M238">
        <f t="shared" ca="1" si="31"/>
        <v>0.30656108597285064</v>
      </c>
      <c r="N238">
        <f t="shared" ca="1" si="31"/>
        <v>0.20782208588957055</v>
      </c>
      <c r="O238">
        <f t="shared" ca="1" si="31"/>
        <v>0.13627386438446351</v>
      </c>
      <c r="P238">
        <f t="shared" ca="1" si="31"/>
        <v>0.15874233128834361</v>
      </c>
      <c r="Q238">
        <f t="shared" ca="1" si="31"/>
        <v>0.2305122494432072</v>
      </c>
      <c r="R238">
        <f t="shared" ca="1" si="31"/>
        <v>0.58196181698485849</v>
      </c>
      <c r="S238">
        <f t="shared" ca="1" si="31"/>
        <v>0.31468071099407507</v>
      </c>
      <c r="T238">
        <f t="shared" ca="1" si="31"/>
        <v>0.36656441717791416</v>
      </c>
      <c r="U238" s="5"/>
      <c r="V238" s="4">
        <f t="shared" si="29"/>
        <v>41793</v>
      </c>
      <c r="W238" s="5">
        <f t="shared" ca="1" si="27"/>
        <v>0.30656108597285064</v>
      </c>
      <c r="Z238" s="4" t="str">
        <f ca="1">IF(OFFSET(Sheet3!$A$1,0,0,300)="","",OFFSET(Sheet3!$A$1,0,0,300))</f>
        <v/>
      </c>
      <c r="AA238" s="5" t="str">
        <f ca="1">IF(OFFSET(Sheet3!$A$1,0,MATCH(W$1,Sheet3!$1:$1,0)-1,300)="","",OFFSET(Sheet3!$A$1,0,MATCH(W$1,Sheet3!$1:$1,0)-1,300))</f>
        <v/>
      </c>
      <c r="AB238" s="5" t="str">
        <f ca="1">IF(OFFSET(Sheet3!$A$1,0,MATCH(X$1,Sheet3!$1:$1,0)-1,300)="","",OFFSET(Sheet3!$A$1,0,MATCH(X$1,Sheet3!$1:$1,0)-1,300))</f>
        <v/>
      </c>
      <c r="AC238" t="str">
        <f t="shared" ca="1" si="25"/>
        <v/>
      </c>
      <c r="AD238" t="str">
        <f t="shared" ca="1" si="26"/>
        <v/>
      </c>
    </row>
    <row r="239" spans="1:30" x14ac:dyDescent="0.25">
      <c r="A239" s="4">
        <v>41792</v>
      </c>
      <c r="B239">
        <v>0.38900000000000001</v>
      </c>
      <c r="C239" s="5">
        <v>0.80600000000000005</v>
      </c>
      <c r="D239">
        <v>1.591</v>
      </c>
      <c r="E239">
        <v>2.1150000000000002</v>
      </c>
      <c r="F239">
        <v>2.528</v>
      </c>
      <c r="G239">
        <v>3.37</v>
      </c>
      <c r="H239">
        <f t="shared" ca="1" si="31"/>
        <v>0.4548088064889918</v>
      </c>
      <c r="I239">
        <f t="shared" ca="1" si="31"/>
        <v>0.36699392239364181</v>
      </c>
      <c r="J239">
        <f t="shared" ca="1" si="31"/>
        <v>0.26333445152633345</v>
      </c>
      <c r="K239">
        <f t="shared" ca="1" si="31"/>
        <v>0.24497428705002347</v>
      </c>
      <c r="L239">
        <f t="shared" ca="1" si="31"/>
        <v>0.1757799396175781</v>
      </c>
      <c r="M239">
        <f t="shared" ca="1" si="31"/>
        <v>0.30429732868757275</v>
      </c>
      <c r="N239">
        <f t="shared" ca="1" si="31"/>
        <v>0.20436817472698918</v>
      </c>
      <c r="O239">
        <f t="shared" ca="1" si="31"/>
        <v>0.13854411271385436</v>
      </c>
      <c r="P239">
        <f t="shared" ca="1" si="31"/>
        <v>0.16107644305772223</v>
      </c>
      <c r="Q239">
        <f t="shared" ca="1" si="31"/>
        <v>0.23215289488476659</v>
      </c>
      <c r="R239">
        <f t="shared" ca="1" si="31"/>
        <v>0.57765850385776585</v>
      </c>
      <c r="S239">
        <f t="shared" ca="1" si="31"/>
        <v>0.31432405233143246</v>
      </c>
      <c r="T239">
        <f t="shared" ca="1" si="31"/>
        <v>0.36544461778471138</v>
      </c>
      <c r="U239" s="5"/>
      <c r="V239" s="4">
        <f t="shared" si="29"/>
        <v>41792</v>
      </c>
      <c r="W239" s="5">
        <f t="shared" ca="1" si="27"/>
        <v>0.30429732868757275</v>
      </c>
      <c r="Z239" s="4" t="str">
        <f ca="1">IF(OFFSET(Sheet3!$A$1,0,0,300)="","",OFFSET(Sheet3!$A$1,0,0,300))</f>
        <v/>
      </c>
      <c r="AA239" s="5" t="str">
        <f ca="1">IF(OFFSET(Sheet3!$A$1,0,MATCH(W$1,Sheet3!$1:$1,0)-1,300)="","",OFFSET(Sheet3!$A$1,0,MATCH(W$1,Sheet3!$1:$1,0)-1,300))</f>
        <v/>
      </c>
      <c r="AB239" s="5" t="str">
        <f ca="1">IF(OFFSET(Sheet3!$A$1,0,MATCH(X$1,Sheet3!$1:$1,0)-1,300)="","",OFFSET(Sheet3!$A$1,0,MATCH(X$1,Sheet3!$1:$1,0)-1,300))</f>
        <v/>
      </c>
      <c r="AC239" t="str">
        <f t="shared" ca="1" si="25"/>
        <v/>
      </c>
      <c r="AD239" t="str">
        <f t="shared" ca="1" si="26"/>
        <v/>
      </c>
    </row>
    <row r="240" spans="1:30" x14ac:dyDescent="0.25">
      <c r="A240" s="4">
        <v>41789</v>
      </c>
      <c r="B240">
        <v>0.375</v>
      </c>
      <c r="C240" s="5">
        <v>0.77400000000000002</v>
      </c>
      <c r="D240">
        <v>1.54</v>
      </c>
      <c r="E240">
        <v>2.0590000000000002</v>
      </c>
      <c r="F240">
        <v>2.4769999999999999</v>
      </c>
      <c r="G240">
        <v>3.3279999999999998</v>
      </c>
      <c r="H240">
        <f t="shared" ca="1" si="31"/>
        <v>0.45486935866983369</v>
      </c>
      <c r="I240">
        <f t="shared" ca="1" si="31"/>
        <v>0.36441484300666033</v>
      </c>
      <c r="J240">
        <f t="shared" ca="1" si="31"/>
        <v>0.25939722316288522</v>
      </c>
      <c r="K240">
        <f t="shared" ca="1" si="31"/>
        <v>0.24690770694576603</v>
      </c>
      <c r="L240">
        <f t="shared" ca="1" si="31"/>
        <v>0.17575347104639355</v>
      </c>
      <c r="M240">
        <f t="shared" ca="1" si="31"/>
        <v>0.30475631238990025</v>
      </c>
      <c r="N240">
        <f t="shared" ca="1" si="31"/>
        <v>0.20321064996084579</v>
      </c>
      <c r="O240">
        <f t="shared" ca="1" si="31"/>
        <v>0.14155096512021664</v>
      </c>
      <c r="P240">
        <f t="shared" ca="1" si="31"/>
        <v>0.16366483946750185</v>
      </c>
      <c r="Q240">
        <f t="shared" ca="1" si="31"/>
        <v>0.23378076062639808</v>
      </c>
      <c r="R240">
        <f t="shared" ca="1" si="31"/>
        <v>0.57670165932949535</v>
      </c>
      <c r="S240">
        <f t="shared" ca="1" si="31"/>
        <v>0.31730443616661019</v>
      </c>
      <c r="T240">
        <f t="shared" ca="1" si="31"/>
        <v>0.36687548942834763</v>
      </c>
      <c r="U240" s="5"/>
      <c r="V240" s="4">
        <f t="shared" si="29"/>
        <v>41789</v>
      </c>
      <c r="W240" s="5">
        <f t="shared" ca="1" si="27"/>
        <v>0.30475631238990025</v>
      </c>
      <c r="Z240" s="4" t="str">
        <f ca="1">IF(OFFSET(Sheet3!$A$1,0,0,300)="","",OFFSET(Sheet3!$A$1,0,0,300))</f>
        <v/>
      </c>
      <c r="AA240" s="5" t="str">
        <f ca="1">IF(OFFSET(Sheet3!$A$1,0,MATCH(W$1,Sheet3!$1:$1,0)-1,300)="","",OFFSET(Sheet3!$A$1,0,MATCH(W$1,Sheet3!$1:$1,0)-1,300))</f>
        <v/>
      </c>
      <c r="AB240" s="5" t="str">
        <f ca="1">IF(OFFSET(Sheet3!$A$1,0,MATCH(X$1,Sheet3!$1:$1,0)-1,300)="","",OFFSET(Sheet3!$A$1,0,MATCH(X$1,Sheet3!$1:$1,0)-1,300))</f>
        <v/>
      </c>
      <c r="AC240" t="str">
        <f t="shared" ca="1" si="25"/>
        <v/>
      </c>
      <c r="AD240" t="str">
        <f t="shared" ca="1" si="26"/>
        <v/>
      </c>
    </row>
    <row r="241" spans="1:30" x14ac:dyDescent="0.25">
      <c r="A241" s="4">
        <v>41788</v>
      </c>
      <c r="B241">
        <v>0.377</v>
      </c>
      <c r="C241" s="5">
        <v>0.76700000000000002</v>
      </c>
      <c r="D241">
        <v>1.53</v>
      </c>
      <c r="E241">
        <v>2.0249999999999999</v>
      </c>
      <c r="F241">
        <v>2.4649999999999999</v>
      </c>
      <c r="G241">
        <v>3.3239999999999998</v>
      </c>
      <c r="H241">
        <f t="shared" ca="1" si="31"/>
        <v>0.46298543689320393</v>
      </c>
      <c r="I241">
        <f t="shared" ca="1" si="31"/>
        <v>0.36542145593869729</v>
      </c>
      <c r="J241">
        <f t="shared" ca="1" si="31"/>
        <v>0.25890736342042753</v>
      </c>
      <c r="K241">
        <f t="shared" ca="1" si="31"/>
        <v>0.23706896551724133</v>
      </c>
      <c r="L241">
        <f t="shared" ca="1" si="31"/>
        <v>0.16796742449949095</v>
      </c>
      <c r="M241">
        <f t="shared" ca="1" si="31"/>
        <v>0.29151943462897523</v>
      </c>
      <c r="N241">
        <f t="shared" ca="1" si="31"/>
        <v>0.19358623386781382</v>
      </c>
      <c r="O241">
        <f t="shared" ca="1" si="31"/>
        <v>0.14930437733288088</v>
      </c>
      <c r="P241">
        <f t="shared" ca="1" si="31"/>
        <v>0.17207665232694563</v>
      </c>
      <c r="Q241">
        <f t="shared" ca="1" si="31"/>
        <v>0.24526198439241917</v>
      </c>
      <c r="R241">
        <f t="shared" ca="1" si="31"/>
        <v>0.57617916525279944</v>
      </c>
      <c r="S241">
        <f t="shared" ca="1" si="31"/>
        <v>0.31727180183237186</v>
      </c>
      <c r="T241">
        <f t="shared" ca="1" si="31"/>
        <v>0.36566288619475945</v>
      </c>
      <c r="U241" s="5"/>
      <c r="V241" s="4">
        <f t="shared" si="29"/>
        <v>41788</v>
      </c>
      <c r="W241" s="5">
        <f t="shared" ca="1" si="27"/>
        <v>0.29151943462897523</v>
      </c>
      <c r="Z241" s="4" t="str">
        <f ca="1">IF(OFFSET(Sheet3!$A$1,0,0,300)="","",OFFSET(Sheet3!$A$1,0,0,300))</f>
        <v/>
      </c>
      <c r="AA241" s="5" t="str">
        <f ca="1">IF(OFFSET(Sheet3!$A$1,0,MATCH(W$1,Sheet3!$1:$1,0)-1,300)="","",OFFSET(Sheet3!$A$1,0,MATCH(W$1,Sheet3!$1:$1,0)-1,300))</f>
        <v/>
      </c>
      <c r="AB241" s="5" t="str">
        <f ca="1">IF(OFFSET(Sheet3!$A$1,0,MATCH(X$1,Sheet3!$1:$1,0)-1,300)="","",OFFSET(Sheet3!$A$1,0,MATCH(X$1,Sheet3!$1:$1,0)-1,300))</f>
        <v/>
      </c>
      <c r="AC241" t="str">
        <f t="shared" ca="1" si="25"/>
        <v/>
      </c>
      <c r="AD241" t="str">
        <f t="shared" ca="1" si="26"/>
        <v/>
      </c>
    </row>
    <row r="242" spans="1:30" x14ac:dyDescent="0.25">
      <c r="A242" s="4">
        <v>41787</v>
      </c>
      <c r="B242">
        <v>0.36699999999999999</v>
      </c>
      <c r="C242" s="5">
        <v>0.745</v>
      </c>
      <c r="D242">
        <v>1.48</v>
      </c>
      <c r="E242">
        <v>1.996</v>
      </c>
      <c r="F242">
        <v>2.444</v>
      </c>
      <c r="G242">
        <v>3.2949999999999999</v>
      </c>
      <c r="H242">
        <f t="shared" ca="1" si="31"/>
        <v>0.45119705340699817</v>
      </c>
      <c r="I242">
        <f t="shared" ca="1" si="31"/>
        <v>0.35387578237843043</v>
      </c>
      <c r="J242">
        <f t="shared" ca="1" si="31"/>
        <v>0.25102459016393441</v>
      </c>
      <c r="K242">
        <f t="shared" ca="1" si="31"/>
        <v>0.248435243139143</v>
      </c>
      <c r="L242">
        <f t="shared" ca="1" si="31"/>
        <v>0.17622950819672131</v>
      </c>
      <c r="M242">
        <f t="shared" ca="1" si="31"/>
        <v>0.30370806356680402</v>
      </c>
      <c r="N242">
        <f t="shared" ca="1" si="31"/>
        <v>0.2023529411764706</v>
      </c>
      <c r="O242">
        <f t="shared" ca="1" si="31"/>
        <v>0.15300546448087429</v>
      </c>
      <c r="P242">
        <f t="shared" ca="1" si="31"/>
        <v>0.17568627450980392</v>
      </c>
      <c r="Q242">
        <f t="shared" ca="1" si="31"/>
        <v>0.246831955922865</v>
      </c>
      <c r="R242">
        <f t="shared" ca="1" si="31"/>
        <v>0.58025956284153002</v>
      </c>
      <c r="S242">
        <f t="shared" ca="1" si="31"/>
        <v>0.32923497267759561</v>
      </c>
      <c r="T242">
        <f t="shared" ca="1" si="31"/>
        <v>0.37803921568627452</v>
      </c>
      <c r="U242" s="5"/>
      <c r="V242" s="4">
        <f t="shared" si="29"/>
        <v>41787</v>
      </c>
      <c r="W242" s="5">
        <f t="shared" ca="1" si="27"/>
        <v>0.30370806356680402</v>
      </c>
      <c r="Z242" s="4" t="str">
        <f ca="1">IF(OFFSET(Sheet3!$A$1,0,0,300)="","",OFFSET(Sheet3!$A$1,0,0,300))</f>
        <v/>
      </c>
      <c r="AA242" s="5" t="str">
        <f ca="1">IF(OFFSET(Sheet3!$A$1,0,MATCH(W$1,Sheet3!$1:$1,0)-1,300)="","",OFFSET(Sheet3!$A$1,0,MATCH(W$1,Sheet3!$1:$1,0)-1,300))</f>
        <v/>
      </c>
      <c r="AB242" s="5" t="str">
        <f ca="1">IF(OFFSET(Sheet3!$A$1,0,MATCH(X$1,Sheet3!$1:$1,0)-1,300)="","",OFFSET(Sheet3!$A$1,0,MATCH(X$1,Sheet3!$1:$1,0)-1,300))</f>
        <v/>
      </c>
      <c r="AC242" t="str">
        <f t="shared" ca="1" si="25"/>
        <v/>
      </c>
      <c r="AD242" t="str">
        <f t="shared" ca="1" si="26"/>
        <v/>
      </c>
    </row>
    <row r="243" spans="1:30" x14ac:dyDescent="0.25">
      <c r="A243" s="4">
        <v>41786</v>
      </c>
      <c r="B243">
        <v>0.34599999999999997</v>
      </c>
      <c r="C243" s="5">
        <v>0.77700000000000002</v>
      </c>
      <c r="D243">
        <v>1.5270000000000001</v>
      </c>
      <c r="E243">
        <v>2.0609999999999999</v>
      </c>
      <c r="F243">
        <v>2.5150000000000001</v>
      </c>
      <c r="G243">
        <v>3.3609999999999998</v>
      </c>
      <c r="H243">
        <f t="shared" ca="1" si="31"/>
        <v>0.43731778425655987</v>
      </c>
      <c r="I243">
        <f t="shared" ca="1" si="31"/>
        <v>0.34578146611341637</v>
      </c>
      <c r="J243">
        <f t="shared" ca="1" si="31"/>
        <v>0.2487562189054727</v>
      </c>
      <c r="K243">
        <f t="shared" ca="1" si="31"/>
        <v>0.24619640387275232</v>
      </c>
      <c r="L243">
        <f t="shared" ca="1" si="31"/>
        <v>0.17711442786069648</v>
      </c>
      <c r="M243">
        <f t="shared" ca="1" si="31"/>
        <v>0.30724971231300335</v>
      </c>
      <c r="N243">
        <f t="shared" ca="1" si="31"/>
        <v>0.20665634674922595</v>
      </c>
      <c r="O243">
        <f t="shared" ca="1" si="31"/>
        <v>0.15058043117744618</v>
      </c>
      <c r="P243">
        <f t="shared" ca="1" si="31"/>
        <v>0.17569659442724467</v>
      </c>
      <c r="Q243">
        <f t="shared" ca="1" si="31"/>
        <v>0.24754634678298815</v>
      </c>
      <c r="R243">
        <f t="shared" ca="1" si="31"/>
        <v>0.57645107794361528</v>
      </c>
      <c r="S243">
        <f t="shared" ca="1" si="31"/>
        <v>0.32769485903814266</v>
      </c>
      <c r="T243">
        <f t="shared" ca="1" si="31"/>
        <v>0.38235294117647062</v>
      </c>
      <c r="U243" s="5"/>
      <c r="V243" s="4">
        <f t="shared" si="29"/>
        <v>41786</v>
      </c>
      <c r="W243" s="5">
        <f t="shared" ca="1" si="27"/>
        <v>0.30724971231300335</v>
      </c>
      <c r="Z243" s="4" t="str">
        <f ca="1">IF(OFFSET(Sheet3!$A$1,0,0,300)="","",OFFSET(Sheet3!$A$1,0,0,300))</f>
        <v/>
      </c>
      <c r="AA243" s="5" t="str">
        <f ca="1">IF(OFFSET(Sheet3!$A$1,0,MATCH(W$1,Sheet3!$1:$1,0)-1,300)="","",OFFSET(Sheet3!$A$1,0,MATCH(W$1,Sheet3!$1:$1,0)-1,300))</f>
        <v/>
      </c>
      <c r="AB243" s="5" t="str">
        <f ca="1">IF(OFFSET(Sheet3!$A$1,0,MATCH(X$1,Sheet3!$1:$1,0)-1,300)="","",OFFSET(Sheet3!$A$1,0,MATCH(X$1,Sheet3!$1:$1,0)-1,300))</f>
        <v/>
      </c>
      <c r="AC243" t="str">
        <f t="shared" ca="1" si="25"/>
        <v/>
      </c>
      <c r="AD243" t="str">
        <f t="shared" ca="1" si="26"/>
        <v/>
      </c>
    </row>
    <row r="244" spans="1:30" x14ac:dyDescent="0.25">
      <c r="A244" s="4">
        <v>41785</v>
      </c>
      <c r="B244">
        <v>0.34399999999999997</v>
      </c>
      <c r="C244" s="5">
        <v>0.77500000000000002</v>
      </c>
      <c r="D244">
        <v>1.5249999999999999</v>
      </c>
      <c r="E244">
        <v>2.069</v>
      </c>
      <c r="F244">
        <v>2.5329999999999999</v>
      </c>
      <c r="G244">
        <v>3.3940000000000001</v>
      </c>
      <c r="H244">
        <f t="shared" ca="1" si="31"/>
        <v>0.43478260869565211</v>
      </c>
      <c r="I244">
        <f t="shared" ca="1" si="31"/>
        <v>0.34262220191868425</v>
      </c>
      <c r="J244">
        <f t="shared" ca="1" si="31"/>
        <v>0.24590163934426224</v>
      </c>
      <c r="K244">
        <f t="shared" ca="1" si="31"/>
        <v>0.24851530379168571</v>
      </c>
      <c r="L244">
        <f t="shared" ca="1" si="31"/>
        <v>0.1783606557377049</v>
      </c>
      <c r="M244">
        <f t="shared" ca="1" si="31"/>
        <v>0.30944254835039819</v>
      </c>
      <c r="N244">
        <f t="shared" ca="1" si="31"/>
        <v>0.20771286750668194</v>
      </c>
      <c r="O244">
        <f t="shared" ca="1" si="31"/>
        <v>0.15213114754098359</v>
      </c>
      <c r="P244">
        <f t="shared" ca="1" si="31"/>
        <v>0.17716685757922868</v>
      </c>
      <c r="Q244">
        <f t="shared" ca="1" si="31"/>
        <v>0.24826110219368641</v>
      </c>
      <c r="R244">
        <f t="shared" ca="1" si="31"/>
        <v>0.57639344262295078</v>
      </c>
      <c r="S244">
        <f t="shared" ca="1" si="31"/>
        <v>0.33049180327868849</v>
      </c>
      <c r="T244">
        <f t="shared" ca="1" si="31"/>
        <v>0.38487972508591062</v>
      </c>
      <c r="U244" s="5"/>
      <c r="V244" s="4">
        <f t="shared" si="29"/>
        <v>41785</v>
      </c>
      <c r="W244" s="5">
        <f t="shared" ca="1" si="27"/>
        <v>0.30944254835039819</v>
      </c>
      <c r="Z244" s="4" t="str">
        <f ca="1">IF(OFFSET(Sheet3!$A$1,0,0,300)="","",OFFSET(Sheet3!$A$1,0,0,300))</f>
        <v/>
      </c>
      <c r="AA244" s="5" t="str">
        <f ca="1">IF(OFFSET(Sheet3!$A$1,0,MATCH(W$1,Sheet3!$1:$1,0)-1,300)="","",OFFSET(Sheet3!$A$1,0,MATCH(W$1,Sheet3!$1:$1,0)-1,300))</f>
        <v/>
      </c>
      <c r="AB244" s="5" t="str">
        <f ca="1">IF(OFFSET(Sheet3!$A$1,0,MATCH(X$1,Sheet3!$1:$1,0)-1,300)="","",OFFSET(Sheet3!$A$1,0,MATCH(X$1,Sheet3!$1:$1,0)-1,300))</f>
        <v/>
      </c>
      <c r="AC244" t="str">
        <f t="shared" ca="1" si="25"/>
        <v/>
      </c>
      <c r="AD244" t="str">
        <f t="shared" ca="1" si="26"/>
        <v/>
      </c>
    </row>
    <row r="245" spans="1:30" x14ac:dyDescent="0.25">
      <c r="A245" s="4">
        <v>41782</v>
      </c>
      <c r="B245">
        <v>0.34399999999999997</v>
      </c>
      <c r="C245" s="5">
        <v>0.77500000000000002</v>
      </c>
      <c r="D245">
        <v>1.5249999999999999</v>
      </c>
      <c r="E245">
        <v>2.069</v>
      </c>
      <c r="F245">
        <v>2.5329999999999999</v>
      </c>
      <c r="G245">
        <v>3.3940000000000001</v>
      </c>
      <c r="H245">
        <f t="shared" ca="1" si="31"/>
        <v>0.43478260869565211</v>
      </c>
      <c r="I245">
        <f t="shared" ca="1" si="31"/>
        <v>0.34262220191868425</v>
      </c>
      <c r="J245">
        <f t="shared" ca="1" si="31"/>
        <v>0.24590163934426224</v>
      </c>
      <c r="K245">
        <f t="shared" ca="1" si="31"/>
        <v>0.24851530379168571</v>
      </c>
      <c r="L245">
        <f t="shared" ca="1" si="31"/>
        <v>0.1783606557377049</v>
      </c>
      <c r="M245">
        <f t="shared" ca="1" si="31"/>
        <v>0.30944254835039819</v>
      </c>
      <c r="N245">
        <f t="shared" ca="1" si="31"/>
        <v>0.20771286750668194</v>
      </c>
      <c r="O245">
        <f t="shared" ca="1" si="31"/>
        <v>0.15213114754098359</v>
      </c>
      <c r="P245">
        <f t="shared" ca="1" si="31"/>
        <v>0.17716685757922868</v>
      </c>
      <c r="Q245">
        <f t="shared" ca="1" si="31"/>
        <v>0.24826110219368641</v>
      </c>
      <c r="R245">
        <f t="shared" ca="1" si="31"/>
        <v>0.57639344262295078</v>
      </c>
      <c r="S245">
        <f t="shared" ca="1" si="31"/>
        <v>0.33049180327868849</v>
      </c>
      <c r="T245">
        <f t="shared" ca="1" si="31"/>
        <v>0.38487972508591062</v>
      </c>
      <c r="U245" s="5"/>
      <c r="V245" s="4">
        <f t="shared" si="29"/>
        <v>41782</v>
      </c>
      <c r="W245" s="5">
        <f t="shared" ca="1" si="27"/>
        <v>0.30944254835039819</v>
      </c>
      <c r="Z245" s="4" t="str">
        <f ca="1">IF(OFFSET(Sheet3!$A$1,0,0,300)="","",OFFSET(Sheet3!$A$1,0,0,300))</f>
        <v/>
      </c>
      <c r="AA245" s="5" t="str">
        <f ca="1">IF(OFFSET(Sheet3!$A$1,0,MATCH(W$1,Sheet3!$1:$1,0)-1,300)="","",OFFSET(Sheet3!$A$1,0,MATCH(W$1,Sheet3!$1:$1,0)-1,300))</f>
        <v/>
      </c>
      <c r="AB245" s="5" t="str">
        <f ca="1">IF(OFFSET(Sheet3!$A$1,0,MATCH(X$1,Sheet3!$1:$1,0)-1,300)="","",OFFSET(Sheet3!$A$1,0,MATCH(X$1,Sheet3!$1:$1,0)-1,300))</f>
        <v/>
      </c>
      <c r="AC245" t="str">
        <f t="shared" ca="1" si="25"/>
        <v/>
      </c>
      <c r="AD245" t="str">
        <f t="shared" ca="1" si="26"/>
        <v/>
      </c>
    </row>
    <row r="246" spans="1:30" x14ac:dyDescent="0.25">
      <c r="A246" s="4">
        <v>41781</v>
      </c>
      <c r="B246">
        <v>0.34499999999999997</v>
      </c>
      <c r="C246" s="5">
        <v>0.78300000000000003</v>
      </c>
      <c r="D246">
        <v>1.5430000000000001</v>
      </c>
      <c r="E246">
        <v>2.0859999999999999</v>
      </c>
      <c r="F246">
        <v>2.5510000000000002</v>
      </c>
      <c r="G246">
        <v>3.427</v>
      </c>
      <c r="H246">
        <f t="shared" ca="1" si="31"/>
        <v>0.43653072946582433</v>
      </c>
      <c r="I246">
        <f t="shared" ca="1" si="31"/>
        <v>0.3445149592021759</v>
      </c>
      <c r="J246">
        <f t="shared" ca="1" si="31"/>
        <v>0.24659312134977293</v>
      </c>
      <c r="K246">
        <f t="shared" ca="1" si="31"/>
        <v>0.2461468721668176</v>
      </c>
      <c r="L246">
        <f t="shared" ca="1" si="31"/>
        <v>0.17618429591174553</v>
      </c>
      <c r="M246">
        <f t="shared" ca="1" si="31"/>
        <v>0.30712669683257898</v>
      </c>
      <c r="N246">
        <f t="shared" ca="1" si="31"/>
        <v>0.20537065052950063</v>
      </c>
      <c r="O246">
        <f t="shared" ca="1" si="31"/>
        <v>0.1508760545100585</v>
      </c>
      <c r="P246">
        <f t="shared" ca="1" si="31"/>
        <v>0.17586989409984882</v>
      </c>
      <c r="Q246">
        <f t="shared" ca="1" si="31"/>
        <v>0.24681528662420399</v>
      </c>
      <c r="R246">
        <f t="shared" ca="1" si="31"/>
        <v>0.57365347177157699</v>
      </c>
      <c r="S246">
        <f t="shared" ca="1" si="31"/>
        <v>0.32706035042180404</v>
      </c>
      <c r="T246">
        <f t="shared" ca="1" si="31"/>
        <v>0.38124054462934948</v>
      </c>
      <c r="U246" s="5"/>
      <c r="V246" s="4">
        <f t="shared" si="29"/>
        <v>41781</v>
      </c>
      <c r="W246" s="5">
        <f t="shared" ca="1" si="27"/>
        <v>0.30712669683257898</v>
      </c>
      <c r="Z246" s="4" t="str">
        <f ca="1">IF(OFFSET(Sheet3!$A$1,0,0,300)="","",OFFSET(Sheet3!$A$1,0,0,300))</f>
        <v/>
      </c>
      <c r="AA246" s="5" t="str">
        <f ca="1">IF(OFFSET(Sheet3!$A$1,0,MATCH(W$1,Sheet3!$1:$1,0)-1,300)="","",OFFSET(Sheet3!$A$1,0,MATCH(W$1,Sheet3!$1:$1,0)-1,300))</f>
        <v/>
      </c>
      <c r="AB246" s="5" t="str">
        <f ca="1">IF(OFFSET(Sheet3!$A$1,0,MATCH(X$1,Sheet3!$1:$1,0)-1,300)="","",OFFSET(Sheet3!$A$1,0,MATCH(X$1,Sheet3!$1:$1,0)-1,300))</f>
        <v/>
      </c>
      <c r="AC246" t="str">
        <f t="shared" ca="1" si="25"/>
        <v/>
      </c>
      <c r="AD246" t="str">
        <f t="shared" ca="1" si="26"/>
        <v/>
      </c>
    </row>
    <row r="247" spans="1:30" x14ac:dyDescent="0.25">
      <c r="A247" s="4">
        <v>41780</v>
      </c>
      <c r="B247">
        <v>0.34100000000000003</v>
      </c>
      <c r="C247" s="5">
        <v>0.77300000000000002</v>
      </c>
      <c r="D247">
        <v>1.524</v>
      </c>
      <c r="E247">
        <v>2.069</v>
      </c>
      <c r="F247">
        <v>2.5329999999999999</v>
      </c>
      <c r="G247">
        <v>3.4129999999999998</v>
      </c>
      <c r="H247">
        <f t="shared" ca="1" si="31"/>
        <v>0.43460648148148151</v>
      </c>
      <c r="I247">
        <f t="shared" ca="1" si="31"/>
        <v>0.34260948905109495</v>
      </c>
      <c r="J247">
        <f t="shared" ca="1" si="31"/>
        <v>0.24446614583333337</v>
      </c>
      <c r="K247">
        <f t="shared" ca="1" si="31"/>
        <v>0.24863138686131386</v>
      </c>
      <c r="L247">
        <f t="shared" ca="1" si="31"/>
        <v>0.17740885416666666</v>
      </c>
      <c r="M247">
        <f t="shared" ca="1" si="31"/>
        <v>0.30965909090909088</v>
      </c>
      <c r="N247">
        <f t="shared" ca="1" si="31"/>
        <v>0.20643939393939395</v>
      </c>
      <c r="O247">
        <f t="shared" ca="1" si="31"/>
        <v>0.15104166666666669</v>
      </c>
      <c r="P247">
        <f t="shared" ca="1" si="31"/>
        <v>0.17575757575757578</v>
      </c>
      <c r="Q247">
        <f t="shared" ca="1" si="31"/>
        <v>0.24563260984647964</v>
      </c>
      <c r="R247">
        <f t="shared" ca="1" si="31"/>
        <v>0.57291666666666663</v>
      </c>
      <c r="S247">
        <f t="shared" ca="1" si="31"/>
        <v>0.32845052083333331</v>
      </c>
      <c r="T247">
        <f t="shared" ca="1" si="31"/>
        <v>0.3821969696969697</v>
      </c>
      <c r="U247" s="5"/>
      <c r="V247" s="4">
        <f t="shared" si="29"/>
        <v>41780</v>
      </c>
      <c r="W247" s="5">
        <f t="shared" ca="1" si="27"/>
        <v>0.30965909090909088</v>
      </c>
      <c r="Z247" s="4" t="str">
        <f ca="1">IF(OFFSET(Sheet3!$A$1,0,0,300)="","",OFFSET(Sheet3!$A$1,0,0,300))</f>
        <v/>
      </c>
      <c r="AA247" s="5" t="str">
        <f ca="1">IF(OFFSET(Sheet3!$A$1,0,MATCH(W$1,Sheet3!$1:$1,0)-1,300)="","",OFFSET(Sheet3!$A$1,0,MATCH(W$1,Sheet3!$1:$1,0)-1,300))</f>
        <v/>
      </c>
      <c r="AB247" s="5" t="str">
        <f ca="1">IF(OFFSET(Sheet3!$A$1,0,MATCH(X$1,Sheet3!$1:$1,0)-1,300)="","",OFFSET(Sheet3!$A$1,0,MATCH(X$1,Sheet3!$1:$1,0)-1,300))</f>
        <v/>
      </c>
      <c r="AC247" t="str">
        <f t="shared" ca="1" si="25"/>
        <v/>
      </c>
      <c r="AD247" t="str">
        <f t="shared" ca="1" si="26"/>
        <v/>
      </c>
    </row>
    <row r="248" spans="1:30" x14ac:dyDescent="0.25">
      <c r="A248" s="4">
        <v>41779</v>
      </c>
      <c r="B248">
        <v>0.33700000000000002</v>
      </c>
      <c r="C248" s="5">
        <v>0.76800000000000002</v>
      </c>
      <c r="D248">
        <v>1.5089999999999999</v>
      </c>
      <c r="E248">
        <v>2.0449999999999999</v>
      </c>
      <c r="F248">
        <v>2.512</v>
      </c>
      <c r="G248">
        <v>3.3839999999999999</v>
      </c>
      <c r="H248">
        <f t="shared" ca="1" si="31"/>
        <v>0.43384074941451983</v>
      </c>
      <c r="I248">
        <f t="shared" ca="1" si="31"/>
        <v>0.34068965517241379</v>
      </c>
      <c r="J248">
        <f t="shared" ca="1" si="31"/>
        <v>0.24319002297341646</v>
      </c>
      <c r="K248">
        <f t="shared" ca="1" si="31"/>
        <v>0.24643678160919544</v>
      </c>
      <c r="L248">
        <f t="shared" ca="1" si="31"/>
        <v>0.1759107318674106</v>
      </c>
      <c r="M248">
        <f t="shared" ca="1" si="31"/>
        <v>0.30733944954128445</v>
      </c>
      <c r="N248">
        <f t="shared" ca="1" si="31"/>
        <v>0.2048929663608563</v>
      </c>
      <c r="O248">
        <f t="shared" ca="1" si="31"/>
        <v>0.15326550705612083</v>
      </c>
      <c r="P248">
        <f t="shared" ca="1" si="31"/>
        <v>0.17851681957186549</v>
      </c>
      <c r="Q248">
        <f t="shared" ca="1" si="31"/>
        <v>0.24906666666666671</v>
      </c>
      <c r="R248">
        <f t="shared" ca="1" si="31"/>
        <v>0.57236626189694784</v>
      </c>
      <c r="S248">
        <f t="shared" ca="1" si="31"/>
        <v>0.32917623892353143</v>
      </c>
      <c r="T248">
        <f t="shared" ca="1" si="31"/>
        <v>0.38340978593272179</v>
      </c>
      <c r="U248" s="5"/>
      <c r="V248" s="4">
        <f t="shared" si="29"/>
        <v>41779</v>
      </c>
      <c r="W248" s="5">
        <f t="shared" ca="1" si="27"/>
        <v>0.30733944954128445</v>
      </c>
      <c r="Z248" s="4" t="str">
        <f ca="1">IF(OFFSET(Sheet3!$A$1,0,0,300)="","",OFFSET(Sheet3!$A$1,0,0,300))</f>
        <v/>
      </c>
      <c r="AA248" s="5" t="str">
        <f ca="1">IF(OFFSET(Sheet3!$A$1,0,MATCH(W$1,Sheet3!$1:$1,0)-1,300)="","",OFFSET(Sheet3!$A$1,0,MATCH(W$1,Sheet3!$1:$1,0)-1,300))</f>
        <v/>
      </c>
      <c r="AB248" s="5" t="str">
        <f ca="1">IF(OFFSET(Sheet3!$A$1,0,MATCH(X$1,Sheet3!$1:$1,0)-1,300)="","",OFFSET(Sheet3!$A$1,0,MATCH(X$1,Sheet3!$1:$1,0)-1,300))</f>
        <v/>
      </c>
      <c r="AC248" t="str">
        <f t="shared" ca="1" si="25"/>
        <v/>
      </c>
      <c r="AD248" t="str">
        <f t="shared" ca="1" si="26"/>
        <v/>
      </c>
    </row>
    <row r="249" spans="1:30" x14ac:dyDescent="0.25">
      <c r="A249" s="4">
        <v>41778</v>
      </c>
      <c r="B249">
        <v>0.34499999999999997</v>
      </c>
      <c r="C249" s="5">
        <v>0.78900000000000003</v>
      </c>
      <c r="D249">
        <v>1.5470000000000002</v>
      </c>
      <c r="E249">
        <v>2.0840000000000001</v>
      </c>
      <c r="F249">
        <v>2.5449999999999999</v>
      </c>
      <c r="G249">
        <v>3.387</v>
      </c>
      <c r="H249">
        <f t="shared" ca="1" si="31"/>
        <v>0.4358826912018402</v>
      </c>
      <c r="I249">
        <f t="shared" ca="1" si="31"/>
        <v>0.34454545454545454</v>
      </c>
      <c r="J249">
        <f t="shared" ca="1" si="31"/>
        <v>0.24917817225509539</v>
      </c>
      <c r="K249">
        <f t="shared" ca="1" si="31"/>
        <v>0.24409090909090903</v>
      </c>
      <c r="L249">
        <f t="shared" ca="1" si="31"/>
        <v>0.17652859960552267</v>
      </c>
      <c r="M249">
        <f t="shared" ca="1" si="31"/>
        <v>0.30580865603644647</v>
      </c>
      <c r="N249">
        <f t="shared" ca="1" si="31"/>
        <v>0.20669745958429558</v>
      </c>
      <c r="O249">
        <f t="shared" ca="1" si="31"/>
        <v>0.15154503616042073</v>
      </c>
      <c r="P249">
        <f t="shared" ca="1" si="31"/>
        <v>0.1774441878367975</v>
      </c>
      <c r="Q249">
        <f t="shared" ca="1" si="31"/>
        <v>0.25054347826086948</v>
      </c>
      <c r="R249">
        <f t="shared" ca="1" si="31"/>
        <v>0.5772518080210387</v>
      </c>
      <c r="S249">
        <f t="shared" ca="1" si="31"/>
        <v>0.32807363576594339</v>
      </c>
      <c r="T249">
        <f t="shared" ca="1" si="31"/>
        <v>0.38414164742109308</v>
      </c>
      <c r="U249" s="5"/>
      <c r="V249" s="4">
        <f t="shared" si="29"/>
        <v>41778</v>
      </c>
      <c r="W249" s="5">
        <f t="shared" ca="1" si="27"/>
        <v>0.30580865603644647</v>
      </c>
      <c r="Z249" s="4" t="str">
        <f ca="1">IF(OFFSET(Sheet3!$A$1,0,0,300)="","",OFFSET(Sheet3!$A$1,0,0,300))</f>
        <v/>
      </c>
      <c r="AA249" s="5" t="str">
        <f ca="1">IF(OFFSET(Sheet3!$A$1,0,MATCH(W$1,Sheet3!$1:$1,0)-1,300)="","",OFFSET(Sheet3!$A$1,0,MATCH(W$1,Sheet3!$1:$1,0)-1,300))</f>
        <v/>
      </c>
      <c r="AB249" s="5" t="str">
        <f ca="1">IF(OFFSET(Sheet3!$A$1,0,MATCH(X$1,Sheet3!$1:$1,0)-1,300)="","",OFFSET(Sheet3!$A$1,0,MATCH(X$1,Sheet3!$1:$1,0)-1,300))</f>
        <v/>
      </c>
      <c r="AC249" t="str">
        <f t="shared" ca="1" si="25"/>
        <v/>
      </c>
      <c r="AD249" t="str">
        <f t="shared" ca="1" si="26"/>
        <v/>
      </c>
    </row>
    <row r="250" spans="1:30" x14ac:dyDescent="0.25">
      <c r="A250" s="4">
        <v>41775</v>
      </c>
      <c r="B250">
        <v>0.36099999999999999</v>
      </c>
      <c r="C250" s="5">
        <v>0.80700000000000005</v>
      </c>
      <c r="D250">
        <v>1.5550000000000002</v>
      </c>
      <c r="E250">
        <v>2.0790000000000002</v>
      </c>
      <c r="F250">
        <v>2.524</v>
      </c>
      <c r="G250">
        <v>3.3460000000000001</v>
      </c>
      <c r="H250">
        <f t="shared" ca="1" si="31"/>
        <v>0.43538998835855647</v>
      </c>
      <c r="I250">
        <f t="shared" ca="1" si="31"/>
        <v>0.34581599630143323</v>
      </c>
      <c r="J250">
        <f t="shared" ca="1" si="31"/>
        <v>0.25058626465661643</v>
      </c>
      <c r="K250">
        <f t="shared" ca="1" si="31"/>
        <v>0.24225612575127137</v>
      </c>
      <c r="L250">
        <f t="shared" ca="1" si="31"/>
        <v>0.17554438860971522</v>
      </c>
      <c r="M250">
        <f t="shared" ca="1" si="31"/>
        <v>0.30518345952242282</v>
      </c>
      <c r="N250">
        <f t="shared" ca="1" si="31"/>
        <v>0.20638046474990154</v>
      </c>
      <c r="O250">
        <f t="shared" ca="1" si="31"/>
        <v>0.14907872696817415</v>
      </c>
      <c r="P250">
        <f t="shared" ca="1" si="31"/>
        <v>0.17526585269791248</v>
      </c>
      <c r="Q250">
        <f t="shared" ca="1" si="31"/>
        <v>0.24846454494695694</v>
      </c>
      <c r="R250">
        <f t="shared" ca="1" si="31"/>
        <v>0.57520938023450585</v>
      </c>
      <c r="S250">
        <f t="shared" ca="1" si="31"/>
        <v>0.32462311557788937</v>
      </c>
      <c r="T250">
        <f t="shared" ca="1" si="31"/>
        <v>0.38164631744781402</v>
      </c>
      <c r="U250" s="5"/>
      <c r="V250" s="4">
        <f t="shared" si="29"/>
        <v>41775</v>
      </c>
      <c r="W250" s="5">
        <f t="shared" ca="1" si="27"/>
        <v>0.30518345952242282</v>
      </c>
      <c r="Z250" s="4" t="str">
        <f ca="1">IF(OFFSET(Sheet3!$A$1,0,0,300)="","",OFFSET(Sheet3!$A$1,0,0,300))</f>
        <v/>
      </c>
      <c r="AA250" s="5" t="str">
        <f ca="1">IF(OFFSET(Sheet3!$A$1,0,MATCH(W$1,Sheet3!$1:$1,0)-1,300)="","",OFFSET(Sheet3!$A$1,0,MATCH(W$1,Sheet3!$1:$1,0)-1,300))</f>
        <v/>
      </c>
      <c r="AB250" s="5" t="str">
        <f ca="1">IF(OFFSET(Sheet3!$A$1,0,MATCH(X$1,Sheet3!$1:$1,0)-1,300)="","",OFFSET(Sheet3!$A$1,0,MATCH(X$1,Sheet3!$1:$1,0)-1,300))</f>
        <v/>
      </c>
      <c r="AC250" t="str">
        <f t="shared" ca="1" si="25"/>
        <v/>
      </c>
      <c r="AD250" t="str">
        <f t="shared" ca="1" si="26"/>
        <v/>
      </c>
    </row>
    <row r="251" spans="1:30" x14ac:dyDescent="0.25">
      <c r="A251" s="4">
        <v>41774</v>
      </c>
      <c r="B251">
        <v>0.35299999999999998</v>
      </c>
      <c r="C251" s="5">
        <v>0.79400000000000004</v>
      </c>
      <c r="D251">
        <v>1.524</v>
      </c>
      <c r="E251">
        <v>2.0409999999999999</v>
      </c>
      <c r="F251">
        <v>2.4900000000000002</v>
      </c>
      <c r="G251">
        <v>3.3250000000000002</v>
      </c>
      <c r="H251">
        <f t="shared" ca="1" si="31"/>
        <v>0.43246445497630331</v>
      </c>
      <c r="I251">
        <f t="shared" ca="1" si="31"/>
        <v>0.34160037435657453</v>
      </c>
      <c r="J251">
        <f t="shared" ca="1" si="31"/>
        <v>0.24562584118438757</v>
      </c>
      <c r="K251">
        <f t="shared" ca="1" si="31"/>
        <v>0.24192793635938223</v>
      </c>
      <c r="L251">
        <f t="shared" ca="1" si="31"/>
        <v>0.17395693135935392</v>
      </c>
      <c r="M251">
        <f t="shared" ca="1" si="31"/>
        <v>0.3048349056603773</v>
      </c>
      <c r="N251">
        <f t="shared" ca="1" si="31"/>
        <v>0.20426708810746735</v>
      </c>
      <c r="O251">
        <f t="shared" ca="1" si="31"/>
        <v>0.1510767160161508</v>
      </c>
      <c r="P251">
        <f t="shared" ca="1" si="31"/>
        <v>0.17740023706045052</v>
      </c>
      <c r="Q251">
        <f t="shared" ca="1" si="31"/>
        <v>0.24930594114380913</v>
      </c>
      <c r="R251">
        <f t="shared" ca="1" si="31"/>
        <v>0.57065948855989235</v>
      </c>
      <c r="S251">
        <f t="shared" ca="1" si="31"/>
        <v>0.32503364737550472</v>
      </c>
      <c r="T251">
        <f t="shared" ca="1" si="31"/>
        <v>0.38166732516791785</v>
      </c>
      <c r="U251" s="5"/>
      <c r="V251" s="4">
        <f t="shared" si="29"/>
        <v>41774</v>
      </c>
      <c r="W251" s="5">
        <f t="shared" ca="1" si="27"/>
        <v>0.3048349056603773</v>
      </c>
      <c r="Z251" s="4" t="str">
        <f ca="1">IF(OFFSET(Sheet3!$A$1,0,0,300)="","",OFFSET(Sheet3!$A$1,0,0,300))</f>
        <v/>
      </c>
      <c r="AA251" s="5" t="str">
        <f ca="1">IF(OFFSET(Sheet3!$A$1,0,MATCH(W$1,Sheet3!$1:$1,0)-1,300)="","",OFFSET(Sheet3!$A$1,0,MATCH(W$1,Sheet3!$1:$1,0)-1,300))</f>
        <v/>
      </c>
      <c r="AB251" s="5" t="str">
        <f ca="1">IF(OFFSET(Sheet3!$A$1,0,MATCH(X$1,Sheet3!$1:$1,0)-1,300)="","",OFFSET(Sheet3!$A$1,0,MATCH(X$1,Sheet3!$1:$1,0)-1,300))</f>
        <v/>
      </c>
      <c r="AC251" t="str">
        <f t="shared" ca="1" si="25"/>
        <v/>
      </c>
      <c r="AD251" t="str">
        <f t="shared" ca="1" si="26"/>
        <v/>
      </c>
    </row>
    <row r="252" spans="1:30" x14ac:dyDescent="0.25">
      <c r="A252" s="4">
        <v>41773</v>
      </c>
      <c r="B252">
        <v>0.36899999999999999</v>
      </c>
      <c r="C252" s="5">
        <v>0.81299999999999994</v>
      </c>
      <c r="D252">
        <v>1.5649999999999999</v>
      </c>
      <c r="E252">
        <v>2.0910000000000002</v>
      </c>
      <c r="F252">
        <v>2.544</v>
      </c>
      <c r="G252">
        <v>3.3769999999999998</v>
      </c>
      <c r="H252">
        <f t="shared" ca="1" si="31"/>
        <v>0.43670150987224154</v>
      </c>
      <c r="I252">
        <f t="shared" ca="1" si="31"/>
        <v>0.34574712643678163</v>
      </c>
      <c r="J252">
        <f t="shared" ca="1" si="31"/>
        <v>0.25</v>
      </c>
      <c r="K252">
        <f t="shared" ca="1" si="31"/>
        <v>0.24183908045977023</v>
      </c>
      <c r="L252">
        <f t="shared" ca="1" si="31"/>
        <v>0.17486702127659581</v>
      </c>
      <c r="M252">
        <f t="shared" ca="1" si="31"/>
        <v>0.30387059503177366</v>
      </c>
      <c r="N252">
        <f t="shared" ca="1" si="31"/>
        <v>0.20514820592823721</v>
      </c>
      <c r="O252">
        <f t="shared" ca="1" si="31"/>
        <v>0.15059840425531909</v>
      </c>
      <c r="P252">
        <f t="shared" ca="1" si="31"/>
        <v>0.17667706708268324</v>
      </c>
      <c r="Q252">
        <f t="shared" ca="1" si="31"/>
        <v>0.24999999999999994</v>
      </c>
      <c r="R252">
        <f t="shared" ca="1" si="31"/>
        <v>0.57546542553191493</v>
      </c>
      <c r="S252">
        <f t="shared" ca="1" si="31"/>
        <v>0.32546542553191493</v>
      </c>
      <c r="T252">
        <f t="shared" ca="1" si="31"/>
        <v>0.38182527301092045</v>
      </c>
      <c r="U252" s="5"/>
      <c r="V252" s="4">
        <f t="shared" si="29"/>
        <v>41773</v>
      </c>
      <c r="W252" s="5">
        <f t="shared" ca="1" si="27"/>
        <v>0.30387059503177366</v>
      </c>
      <c r="Z252" s="4" t="str">
        <f ca="1">IF(OFFSET(Sheet3!$A$1,0,0,300)="","",OFFSET(Sheet3!$A$1,0,0,300))</f>
        <v/>
      </c>
      <c r="AA252" s="5" t="str">
        <f ca="1">IF(OFFSET(Sheet3!$A$1,0,MATCH(W$1,Sheet3!$1:$1,0)-1,300)="","",OFFSET(Sheet3!$A$1,0,MATCH(W$1,Sheet3!$1:$1,0)-1,300))</f>
        <v/>
      </c>
      <c r="AB252" s="5" t="str">
        <f ca="1">IF(OFFSET(Sheet3!$A$1,0,MATCH(X$1,Sheet3!$1:$1,0)-1,300)="","",OFFSET(Sheet3!$A$1,0,MATCH(X$1,Sheet3!$1:$1,0)-1,300))</f>
        <v/>
      </c>
      <c r="AC252" t="str">
        <f t="shared" ca="1" si="25"/>
        <v/>
      </c>
      <c r="AD252" t="str">
        <f t="shared" ca="1" si="26"/>
        <v/>
      </c>
    </row>
    <row r="253" spans="1:30" x14ac:dyDescent="0.25">
      <c r="A253" s="4">
        <v>41772</v>
      </c>
      <c r="B253">
        <v>0.38100000000000001</v>
      </c>
      <c r="C253" s="5">
        <v>0.84499999999999997</v>
      </c>
      <c r="D253">
        <v>1.6139999999999999</v>
      </c>
      <c r="E253">
        <v>2.1539999999999999</v>
      </c>
      <c r="F253">
        <v>2.61</v>
      </c>
      <c r="G253">
        <v>3.4470000000000001</v>
      </c>
      <c r="H253">
        <f t="shared" ref="H253:T268" ca="1" si="32">IF(ISERROR(ABS(OFFSET($A$11,ROW()-11,MATCH(LEFT(H$9,2),$A$11:$G$11,0)-1)-OFFSET($A$11,ROW()-11,MATCH(RIGHT(H$9,2),$A$11:$G$11,0)-1))/ABS(OFFSET($A$11,ROW()-11,MATCH(LEFT(H$10,2),$A$11:$G$11,0)-1)-OFFSET($A$11,ROW()-11,MATCH(RIGHT(H$10,2),$A$11:$G$11,0)-1))),"",ABS(OFFSET($A$11,ROW()-11,MATCH(LEFT(H$9,2),$A$11:$G$11,0)-1)-OFFSET($A$11,ROW()-11,MATCH(RIGHT(H$9,2),$A$11:$G$11,0)-1))/ABS(OFFSET($A$11,ROW()-11,MATCH(LEFT(H$10,2),$A$11:$G$11,0)-1)-OFFSET($A$11,ROW()-11,MATCH(RIGHT(H$10,2),$A$11:$G$11,0)-1)))</f>
        <v>0.43372814438804286</v>
      </c>
      <c r="I253">
        <f t="shared" ca="1" si="32"/>
        <v>0.34499775684163297</v>
      </c>
      <c r="J253">
        <f t="shared" ca="1" si="32"/>
        <v>0.25081539465101105</v>
      </c>
      <c r="K253">
        <f t="shared" ca="1" si="32"/>
        <v>0.24226110363391656</v>
      </c>
      <c r="L253">
        <f t="shared" ca="1" si="32"/>
        <v>0.17612524461839532</v>
      </c>
      <c r="M253">
        <f t="shared" ca="1" si="32"/>
        <v>0.30594900849858359</v>
      </c>
      <c r="N253">
        <f t="shared" ca="1" si="32"/>
        <v>0.20753266717909299</v>
      </c>
      <c r="O253">
        <f t="shared" ca="1" si="32"/>
        <v>0.14872798434442269</v>
      </c>
      <c r="P253">
        <f t="shared" ca="1" si="32"/>
        <v>0.17524980784012295</v>
      </c>
      <c r="Q253">
        <f t="shared" ca="1" si="32"/>
        <v>0.24877250409165297</v>
      </c>
      <c r="R253">
        <f t="shared" ca="1" si="32"/>
        <v>0.57566862361382909</v>
      </c>
      <c r="S253">
        <f t="shared" ca="1" si="32"/>
        <v>0.32485322896281804</v>
      </c>
      <c r="T253">
        <f t="shared" ca="1" si="32"/>
        <v>0.38278247501921592</v>
      </c>
      <c r="U253" s="5"/>
      <c r="V253" s="4">
        <f t="shared" si="29"/>
        <v>41772</v>
      </c>
      <c r="W253" s="5">
        <f t="shared" ca="1" si="27"/>
        <v>0.30594900849858359</v>
      </c>
      <c r="Z253" s="4" t="str">
        <f ca="1">IF(OFFSET(Sheet3!$A$1,0,0,300)="","",OFFSET(Sheet3!$A$1,0,0,300))</f>
        <v/>
      </c>
      <c r="AA253" s="5" t="str">
        <f ca="1">IF(OFFSET(Sheet3!$A$1,0,MATCH(W$1,Sheet3!$1:$1,0)-1,300)="","",OFFSET(Sheet3!$A$1,0,MATCH(W$1,Sheet3!$1:$1,0)-1,300))</f>
        <v/>
      </c>
      <c r="AB253" s="5" t="str">
        <f ca="1">IF(OFFSET(Sheet3!$A$1,0,MATCH(X$1,Sheet3!$1:$1,0)-1,300)="","",OFFSET(Sheet3!$A$1,0,MATCH(X$1,Sheet3!$1:$1,0)-1,300))</f>
        <v/>
      </c>
      <c r="AC253" t="str">
        <f t="shared" ca="1" si="25"/>
        <v/>
      </c>
      <c r="AD253" t="str">
        <f t="shared" ca="1" si="26"/>
        <v/>
      </c>
    </row>
    <row r="254" spans="1:30" x14ac:dyDescent="0.25">
      <c r="A254" s="4">
        <v>41771</v>
      </c>
      <c r="B254">
        <v>0.39700000000000002</v>
      </c>
      <c r="C254" s="5">
        <v>0.88200000000000001</v>
      </c>
      <c r="D254">
        <v>1.6640000000000001</v>
      </c>
      <c r="E254">
        <v>2.2069999999999999</v>
      </c>
      <c r="F254">
        <v>2.6619999999999999</v>
      </c>
      <c r="G254">
        <v>3.4980000000000002</v>
      </c>
      <c r="H254">
        <f t="shared" ca="1" si="32"/>
        <v>0.43204419889502776</v>
      </c>
      <c r="I254">
        <f t="shared" ca="1" si="32"/>
        <v>0.34525386313465795</v>
      </c>
      <c r="J254">
        <f t="shared" ca="1" si="32"/>
        <v>0.25217671718800394</v>
      </c>
      <c r="K254">
        <f t="shared" ca="1" si="32"/>
        <v>0.23973509933774825</v>
      </c>
      <c r="L254">
        <f t="shared" ca="1" si="32"/>
        <v>0.17510480490164454</v>
      </c>
      <c r="M254">
        <f t="shared" ca="1" si="32"/>
        <v>0.30505617977528077</v>
      </c>
      <c r="N254">
        <f t="shared" ca="1" si="32"/>
        <v>0.20756880733944941</v>
      </c>
      <c r="O254">
        <f t="shared" ca="1" si="32"/>
        <v>0.14672686230248311</v>
      </c>
      <c r="P254">
        <f t="shared" ca="1" si="32"/>
        <v>0.17392966360856271</v>
      </c>
      <c r="Q254">
        <f t="shared" ca="1" si="32"/>
        <v>0.24809160305343514</v>
      </c>
      <c r="R254">
        <f t="shared" ca="1" si="32"/>
        <v>0.57400838439213153</v>
      </c>
      <c r="S254">
        <f t="shared" ca="1" si="32"/>
        <v>0.32183166720412765</v>
      </c>
      <c r="T254">
        <f t="shared" ca="1" si="32"/>
        <v>0.38149847094801215</v>
      </c>
      <c r="U254" s="5"/>
      <c r="V254" s="4">
        <f t="shared" si="29"/>
        <v>41771</v>
      </c>
      <c r="W254" s="5">
        <f t="shared" ca="1" si="27"/>
        <v>0.30505617977528077</v>
      </c>
      <c r="Z254" s="4" t="str">
        <f ca="1">IF(OFFSET(Sheet3!$A$1,0,0,300)="","",OFFSET(Sheet3!$A$1,0,0,300))</f>
        <v/>
      </c>
      <c r="AA254" s="5" t="str">
        <f ca="1">IF(OFFSET(Sheet3!$A$1,0,MATCH(W$1,Sheet3!$1:$1,0)-1,300)="","",OFFSET(Sheet3!$A$1,0,MATCH(W$1,Sheet3!$1:$1,0)-1,300))</f>
        <v/>
      </c>
      <c r="AB254" s="5" t="str">
        <f ca="1">IF(OFFSET(Sheet3!$A$1,0,MATCH(X$1,Sheet3!$1:$1,0)-1,300)="","",OFFSET(Sheet3!$A$1,0,MATCH(X$1,Sheet3!$1:$1,0)-1,300))</f>
        <v/>
      </c>
      <c r="AC254" t="str">
        <f t="shared" ca="1" si="25"/>
        <v/>
      </c>
      <c r="AD254" t="str">
        <f t="shared" ca="1" si="26"/>
        <v/>
      </c>
    </row>
    <row r="255" spans="1:30" x14ac:dyDescent="0.25">
      <c r="A255" s="4">
        <v>41768</v>
      </c>
      <c r="B255">
        <v>0.38500000000000001</v>
      </c>
      <c r="C255" s="5">
        <v>0.86299999999999999</v>
      </c>
      <c r="D255">
        <v>1.629</v>
      </c>
      <c r="E255">
        <v>2.1659999999999999</v>
      </c>
      <c r="F255">
        <v>2.6240000000000001</v>
      </c>
      <c r="G255">
        <v>3.464</v>
      </c>
      <c r="H255">
        <f t="shared" ca="1" si="32"/>
        <v>0.43009545199326227</v>
      </c>
      <c r="I255">
        <f t="shared" ca="1" si="32"/>
        <v>0.34211701652523452</v>
      </c>
      <c r="J255">
        <f t="shared" ca="1" si="32"/>
        <v>0.24878207210133163</v>
      </c>
      <c r="K255">
        <f t="shared" ca="1" si="32"/>
        <v>0.23983921393479229</v>
      </c>
      <c r="L255">
        <f t="shared" ca="1" si="32"/>
        <v>0.1744072750893147</v>
      </c>
      <c r="M255">
        <f t="shared" ca="1" si="32"/>
        <v>0.30494037478705277</v>
      </c>
      <c r="N255">
        <f t="shared" ca="1" si="32"/>
        <v>0.20645905420991922</v>
      </c>
      <c r="O255">
        <f t="shared" ca="1" si="32"/>
        <v>0.14874959402403384</v>
      </c>
      <c r="P255">
        <f t="shared" ca="1" si="32"/>
        <v>0.176086120722799</v>
      </c>
      <c r="Q255">
        <f t="shared" ca="1" si="32"/>
        <v>0.24959128065395106</v>
      </c>
      <c r="R255">
        <f t="shared" ca="1" si="32"/>
        <v>0.57193894121468014</v>
      </c>
      <c r="S255">
        <f t="shared" ca="1" si="32"/>
        <v>0.32315686911334857</v>
      </c>
      <c r="T255">
        <f t="shared" ca="1" si="32"/>
        <v>0.38254517493271822</v>
      </c>
      <c r="U255" s="5"/>
      <c r="V255" s="4">
        <f t="shared" si="29"/>
        <v>41768</v>
      </c>
      <c r="W255" s="5">
        <f t="shared" ca="1" si="27"/>
        <v>0.30494037478705277</v>
      </c>
      <c r="Z255" s="4" t="str">
        <f ca="1">IF(OFFSET(Sheet3!$A$1,0,0,300)="","",OFFSET(Sheet3!$A$1,0,0,300))</f>
        <v/>
      </c>
      <c r="AA255" s="5" t="str">
        <f ca="1">IF(OFFSET(Sheet3!$A$1,0,MATCH(W$1,Sheet3!$1:$1,0)-1,300)="","",OFFSET(Sheet3!$A$1,0,MATCH(W$1,Sheet3!$1:$1,0)-1,300))</f>
        <v/>
      </c>
      <c r="AB255" s="5" t="str">
        <f ca="1">IF(OFFSET(Sheet3!$A$1,0,MATCH(X$1,Sheet3!$1:$1,0)-1,300)="","",OFFSET(Sheet3!$A$1,0,MATCH(X$1,Sheet3!$1:$1,0)-1,300))</f>
        <v/>
      </c>
      <c r="AC255" t="str">
        <f t="shared" ca="1" si="25"/>
        <v/>
      </c>
      <c r="AD255" t="str">
        <f t="shared" ca="1" si="26"/>
        <v/>
      </c>
    </row>
    <row r="256" spans="1:30" x14ac:dyDescent="0.25">
      <c r="A256" s="4">
        <v>41767</v>
      </c>
      <c r="B256">
        <v>0.38900000000000001</v>
      </c>
      <c r="C256" s="5">
        <v>0.86599999999999999</v>
      </c>
      <c r="D256">
        <v>1.6259999999999999</v>
      </c>
      <c r="E256">
        <v>2.1640000000000001</v>
      </c>
      <c r="F256">
        <v>2.617</v>
      </c>
      <c r="G256">
        <v>3.4350000000000001</v>
      </c>
      <c r="H256">
        <f t="shared" ca="1" si="32"/>
        <v>0.42816901408450697</v>
      </c>
      <c r="I256">
        <f t="shared" ca="1" si="32"/>
        <v>0.34111310592459604</v>
      </c>
      <c r="J256">
        <f t="shared" ca="1" si="32"/>
        <v>0.24950755088640836</v>
      </c>
      <c r="K256">
        <f t="shared" ca="1" si="32"/>
        <v>0.24147217235188523</v>
      </c>
      <c r="L256">
        <f t="shared" ca="1" si="32"/>
        <v>0.17662508207485234</v>
      </c>
      <c r="M256">
        <f t="shared" ca="1" si="32"/>
        <v>0.3072529982866935</v>
      </c>
      <c r="N256">
        <f t="shared" ca="1" si="32"/>
        <v>0.20942000778513051</v>
      </c>
      <c r="O256">
        <f t="shared" ca="1" si="32"/>
        <v>0.14871963230466179</v>
      </c>
      <c r="P256">
        <f t="shared" ca="1" si="32"/>
        <v>0.17633320358115992</v>
      </c>
      <c r="Q256">
        <f t="shared" ca="1" si="32"/>
        <v>0.2504145936981757</v>
      </c>
      <c r="R256">
        <f t="shared" ca="1" si="32"/>
        <v>0.57485226526592248</v>
      </c>
      <c r="S256">
        <f t="shared" ca="1" si="32"/>
        <v>0.32534471437951412</v>
      </c>
      <c r="T256">
        <f t="shared" ca="1" si="32"/>
        <v>0.38575321136629043</v>
      </c>
      <c r="U256" s="5"/>
      <c r="V256" s="4">
        <f t="shared" si="29"/>
        <v>41767</v>
      </c>
      <c r="W256" s="5">
        <f t="shared" ca="1" si="27"/>
        <v>0.3072529982866935</v>
      </c>
      <c r="Z256" s="4" t="str">
        <f ca="1">IF(OFFSET(Sheet3!$A$1,0,0,300)="","",OFFSET(Sheet3!$A$1,0,0,300))</f>
        <v/>
      </c>
      <c r="AA256" s="5" t="str">
        <f ca="1">IF(OFFSET(Sheet3!$A$1,0,MATCH(W$1,Sheet3!$1:$1,0)-1,300)="","",OFFSET(Sheet3!$A$1,0,MATCH(W$1,Sheet3!$1:$1,0)-1,300))</f>
        <v/>
      </c>
      <c r="AB256" s="5" t="str">
        <f ca="1">IF(OFFSET(Sheet3!$A$1,0,MATCH(X$1,Sheet3!$1:$1,0)-1,300)="","",OFFSET(Sheet3!$A$1,0,MATCH(X$1,Sheet3!$1:$1,0)-1,300))</f>
        <v/>
      </c>
      <c r="AC256" t="str">
        <f t="shared" ca="1" si="25"/>
        <v/>
      </c>
      <c r="AD256" t="str">
        <f t="shared" ca="1" si="26"/>
        <v/>
      </c>
    </row>
    <row r="257" spans="1:30" x14ac:dyDescent="0.25">
      <c r="A257" s="4">
        <v>41766</v>
      </c>
      <c r="B257">
        <v>0.40100000000000002</v>
      </c>
      <c r="C257" s="5">
        <v>0.89500000000000002</v>
      </c>
      <c r="D257">
        <v>1.6520000000000001</v>
      </c>
      <c r="E257">
        <v>2.1829999999999998</v>
      </c>
      <c r="F257">
        <v>2.589</v>
      </c>
      <c r="G257">
        <v>3.403</v>
      </c>
      <c r="H257">
        <f t="shared" ca="1" si="32"/>
        <v>0.42480359147025826</v>
      </c>
      <c r="I257">
        <f t="shared" ca="1" si="32"/>
        <v>0.34597806215722132</v>
      </c>
      <c r="J257">
        <f t="shared" ca="1" si="32"/>
        <v>0.25216522318454371</v>
      </c>
      <c r="K257">
        <f t="shared" ca="1" si="32"/>
        <v>0.24268738574040208</v>
      </c>
      <c r="L257">
        <f t="shared" ca="1" si="32"/>
        <v>0.17688207861425706</v>
      </c>
      <c r="M257">
        <f t="shared" ca="1" si="32"/>
        <v>0.3134592680047224</v>
      </c>
      <c r="N257">
        <f t="shared" ca="1" si="32"/>
        <v>0.2117224880382774</v>
      </c>
      <c r="O257">
        <f t="shared" ca="1" si="32"/>
        <v>0.13524317121918727</v>
      </c>
      <c r="P257">
        <f t="shared" ca="1" si="32"/>
        <v>0.1618819776714514</v>
      </c>
      <c r="Q257">
        <f t="shared" ca="1" si="32"/>
        <v>0.2318675042832668</v>
      </c>
      <c r="R257">
        <f t="shared" ca="1" si="32"/>
        <v>0.56429047301798807</v>
      </c>
      <c r="S257">
        <f t="shared" ca="1" si="32"/>
        <v>0.31212524983344436</v>
      </c>
      <c r="T257">
        <f t="shared" ca="1" si="32"/>
        <v>0.37360446570972877</v>
      </c>
      <c r="U257" s="5"/>
      <c r="V257" s="4">
        <f t="shared" si="29"/>
        <v>41766</v>
      </c>
      <c r="W257" s="5">
        <f t="shared" ca="1" si="27"/>
        <v>0.3134592680047224</v>
      </c>
      <c r="Z257" s="4" t="str">
        <f ca="1">IF(OFFSET(Sheet3!$A$1,0,0,300)="","",OFFSET(Sheet3!$A$1,0,0,300))</f>
        <v/>
      </c>
      <c r="AA257" s="5" t="str">
        <f ca="1">IF(OFFSET(Sheet3!$A$1,0,MATCH(W$1,Sheet3!$1:$1,0)-1,300)="","",OFFSET(Sheet3!$A$1,0,MATCH(W$1,Sheet3!$1:$1,0)-1,300))</f>
        <v/>
      </c>
      <c r="AB257" s="5" t="str">
        <f ca="1">IF(OFFSET(Sheet3!$A$1,0,MATCH(X$1,Sheet3!$1:$1,0)-1,300)="","",OFFSET(Sheet3!$A$1,0,MATCH(X$1,Sheet3!$1:$1,0)-1,300))</f>
        <v/>
      </c>
      <c r="AC257" t="str">
        <f t="shared" ca="1" si="25"/>
        <v/>
      </c>
      <c r="AD257" t="str">
        <f t="shared" ca="1" si="26"/>
        <v/>
      </c>
    </row>
    <row r="258" spans="1:30" x14ac:dyDescent="0.25">
      <c r="A258" s="4">
        <v>41765</v>
      </c>
      <c r="B258">
        <v>0.42499999999999999</v>
      </c>
      <c r="C258" s="5">
        <v>0.88200000000000001</v>
      </c>
      <c r="D258">
        <v>1.6779999999999999</v>
      </c>
      <c r="E258">
        <v>2.2029999999999998</v>
      </c>
      <c r="F258">
        <v>2.5920000000000001</v>
      </c>
      <c r="G258">
        <v>3.3839999999999999</v>
      </c>
      <c r="H258">
        <f t="shared" ca="1" si="32"/>
        <v>0.44769403824521936</v>
      </c>
      <c r="I258">
        <f t="shared" ca="1" si="32"/>
        <v>0.36732810336871241</v>
      </c>
      <c r="J258">
        <f t="shared" ca="1" si="32"/>
        <v>0.26900980060831359</v>
      </c>
      <c r="K258">
        <f t="shared" ca="1" si="32"/>
        <v>0.24227041993539447</v>
      </c>
      <c r="L258">
        <f t="shared" ca="1" si="32"/>
        <v>0.17742480567759375</v>
      </c>
      <c r="M258">
        <f t="shared" ca="1" si="32"/>
        <v>0.30701754385964908</v>
      </c>
      <c r="N258">
        <f t="shared" ca="1" si="32"/>
        <v>0.20983213429256592</v>
      </c>
      <c r="O258">
        <f t="shared" ca="1" si="32"/>
        <v>0.13146333220682671</v>
      </c>
      <c r="P258">
        <f t="shared" ca="1" si="32"/>
        <v>0.15547561950439659</v>
      </c>
      <c r="Q258">
        <f t="shared" ca="1" si="32"/>
        <v>0.22801875732708105</v>
      </c>
      <c r="R258">
        <f t="shared" ca="1" si="32"/>
        <v>0.57789793849273396</v>
      </c>
      <c r="S258">
        <f t="shared" ca="1" si="32"/>
        <v>0.30888813788442043</v>
      </c>
      <c r="T258">
        <f t="shared" ca="1" si="32"/>
        <v>0.36530775379696251</v>
      </c>
      <c r="U258" s="5"/>
      <c r="V258" s="4">
        <f t="shared" si="29"/>
        <v>41765</v>
      </c>
      <c r="W258" s="5">
        <f t="shared" ca="1" si="27"/>
        <v>0.30701754385964908</v>
      </c>
      <c r="Z258" s="4" t="str">
        <f ca="1">IF(OFFSET(Sheet3!$A$1,0,0,300)="","",OFFSET(Sheet3!$A$1,0,0,300))</f>
        <v/>
      </c>
      <c r="AA258" s="5" t="str">
        <f ca="1">IF(OFFSET(Sheet3!$A$1,0,MATCH(W$1,Sheet3!$1:$1,0)-1,300)="","",OFFSET(Sheet3!$A$1,0,MATCH(W$1,Sheet3!$1:$1,0)-1,300))</f>
        <v/>
      </c>
      <c r="AB258" s="5" t="str">
        <f ca="1">IF(OFFSET(Sheet3!$A$1,0,MATCH(X$1,Sheet3!$1:$1,0)-1,300)="","",OFFSET(Sheet3!$A$1,0,MATCH(X$1,Sheet3!$1:$1,0)-1,300))</f>
        <v/>
      </c>
      <c r="AC258" t="str">
        <f t="shared" ca="1" si="25"/>
        <v/>
      </c>
      <c r="AD258" t="str">
        <f t="shared" ca="1" si="26"/>
        <v/>
      </c>
    </row>
    <row r="259" spans="1:30" x14ac:dyDescent="0.25">
      <c r="A259" s="4">
        <v>41764</v>
      </c>
      <c r="B259">
        <v>0.42099999999999999</v>
      </c>
      <c r="C259" s="5">
        <v>0.876</v>
      </c>
      <c r="D259">
        <v>1.6800000000000002</v>
      </c>
      <c r="E259">
        <v>2.2149999999999999</v>
      </c>
      <c r="F259">
        <v>2.6080000000000001</v>
      </c>
      <c r="G259">
        <v>3.4079999999999999</v>
      </c>
      <c r="H259">
        <f t="shared" ca="1" si="32"/>
        <v>0.448160535117057</v>
      </c>
      <c r="I259">
        <f t="shared" ca="1" si="32"/>
        <v>0.36762688614540467</v>
      </c>
      <c r="J259">
        <f t="shared" ca="1" si="32"/>
        <v>0.26916638767994649</v>
      </c>
      <c r="K259">
        <f t="shared" ca="1" si="32"/>
        <v>0.24462734339277531</v>
      </c>
      <c r="L259">
        <f t="shared" ca="1" si="32"/>
        <v>0.17910947438901897</v>
      </c>
      <c r="M259">
        <f t="shared" ca="1" si="32"/>
        <v>0.30889145496535775</v>
      </c>
      <c r="N259">
        <f t="shared" ca="1" si="32"/>
        <v>0.21129541864139009</v>
      </c>
      <c r="O259">
        <f t="shared" ca="1" si="32"/>
        <v>0.13157013726146644</v>
      </c>
      <c r="P259">
        <f t="shared" ca="1" si="32"/>
        <v>0.1552132701421802</v>
      </c>
      <c r="Q259">
        <f t="shared" ca="1" si="32"/>
        <v>0.22743055555555572</v>
      </c>
      <c r="R259">
        <f t="shared" ca="1" si="32"/>
        <v>0.5798459993304319</v>
      </c>
      <c r="S259">
        <f t="shared" ca="1" si="32"/>
        <v>0.31067961165048541</v>
      </c>
      <c r="T259">
        <f t="shared" ca="1" si="32"/>
        <v>0.36650868878357029</v>
      </c>
      <c r="U259" s="5"/>
      <c r="V259" s="4">
        <f t="shared" si="29"/>
        <v>41764</v>
      </c>
      <c r="W259" s="5">
        <f t="shared" ca="1" si="27"/>
        <v>0.30889145496535775</v>
      </c>
      <c r="Z259" s="4" t="str">
        <f ca="1">IF(OFFSET(Sheet3!$A$1,0,0,300)="","",OFFSET(Sheet3!$A$1,0,0,300))</f>
        <v/>
      </c>
      <c r="AA259" s="5" t="str">
        <f ca="1">IF(OFFSET(Sheet3!$A$1,0,MATCH(W$1,Sheet3!$1:$1,0)-1,300)="","",OFFSET(Sheet3!$A$1,0,MATCH(W$1,Sheet3!$1:$1,0)-1,300))</f>
        <v/>
      </c>
      <c r="AB259" s="5" t="str">
        <f ca="1">IF(OFFSET(Sheet3!$A$1,0,MATCH(X$1,Sheet3!$1:$1,0)-1,300)="","",OFFSET(Sheet3!$A$1,0,MATCH(X$1,Sheet3!$1:$1,0)-1,300))</f>
        <v/>
      </c>
      <c r="AC259" t="str">
        <f t="shared" ref="AC259:AC300" ca="1" si="33">IF(AND(AA259&lt;&gt;"",AB259&lt;&gt;""),ABS(AA259-AB259),"")</f>
        <v/>
      </c>
      <c r="AD259" t="str">
        <f t="shared" ref="AD259:AD300" ca="1" si="34">IF(ISNA(MATCH("",AC259:AC278,0)),AVERAGE(AC259:AC278),"")</f>
        <v/>
      </c>
    </row>
    <row r="260" spans="1:30" x14ac:dyDescent="0.25">
      <c r="A260" s="4">
        <v>41761</v>
      </c>
      <c r="B260">
        <v>0.42399999999999999</v>
      </c>
      <c r="C260" s="5">
        <v>0.86599999999999999</v>
      </c>
      <c r="D260">
        <v>1.663</v>
      </c>
      <c r="E260">
        <v>2.1930000000000001</v>
      </c>
      <c r="F260">
        <v>2.585</v>
      </c>
      <c r="G260">
        <v>3.367</v>
      </c>
      <c r="H260">
        <f t="shared" ca="1" si="32"/>
        <v>0.45053702656868289</v>
      </c>
      <c r="I260">
        <f t="shared" ca="1" si="32"/>
        <v>0.36881073577047663</v>
      </c>
      <c r="J260">
        <f t="shared" ca="1" si="32"/>
        <v>0.27081209650016991</v>
      </c>
      <c r="K260">
        <f t="shared" ca="1" si="32"/>
        <v>0.24525682554372977</v>
      </c>
      <c r="L260">
        <f t="shared" ca="1" si="32"/>
        <v>0.1800883452259599</v>
      </c>
      <c r="M260">
        <f t="shared" ca="1" si="32"/>
        <v>0.30831878999418272</v>
      </c>
      <c r="N260">
        <f t="shared" ca="1" si="32"/>
        <v>0.21191523390643743</v>
      </c>
      <c r="O260">
        <f t="shared" ca="1" si="32"/>
        <v>0.1331974176010873</v>
      </c>
      <c r="P260">
        <f t="shared" ca="1" si="32"/>
        <v>0.15673730507796879</v>
      </c>
      <c r="Q260">
        <f t="shared" ca="1" si="32"/>
        <v>0.23004694835680747</v>
      </c>
      <c r="R260">
        <f t="shared" ca="1" si="32"/>
        <v>0.58409785932721703</v>
      </c>
      <c r="S260">
        <f t="shared" ca="1" si="32"/>
        <v>0.31328576282704718</v>
      </c>
      <c r="T260">
        <f t="shared" ca="1" si="32"/>
        <v>0.36865253898440625</v>
      </c>
      <c r="U260" s="5"/>
      <c r="V260" s="4">
        <f t="shared" si="29"/>
        <v>41761</v>
      </c>
      <c r="W260" s="5">
        <f t="shared" ca="1" si="27"/>
        <v>0.30831878999418272</v>
      </c>
      <c r="Z260" s="4" t="str">
        <f ca="1">IF(OFFSET(Sheet3!$A$1,0,0,300)="","",OFFSET(Sheet3!$A$1,0,0,300))</f>
        <v/>
      </c>
      <c r="AA260" s="5" t="str">
        <f ca="1">IF(OFFSET(Sheet3!$A$1,0,MATCH(W$1,Sheet3!$1:$1,0)-1,300)="","",OFFSET(Sheet3!$A$1,0,MATCH(W$1,Sheet3!$1:$1,0)-1,300))</f>
        <v/>
      </c>
      <c r="AB260" s="5" t="str">
        <f ca="1">IF(OFFSET(Sheet3!$A$1,0,MATCH(X$1,Sheet3!$1:$1,0)-1,300)="","",OFFSET(Sheet3!$A$1,0,MATCH(X$1,Sheet3!$1:$1,0)-1,300))</f>
        <v/>
      </c>
      <c r="AC260" t="str">
        <f t="shared" ca="1" si="33"/>
        <v/>
      </c>
      <c r="AD260" t="str">
        <f t="shared" ca="1" si="34"/>
        <v/>
      </c>
    </row>
    <row r="261" spans="1:30" x14ac:dyDescent="0.25">
      <c r="A261" s="4">
        <v>41760</v>
      </c>
      <c r="B261">
        <v>0.40799999999999997</v>
      </c>
      <c r="C261" s="5">
        <v>0.84099999999999997</v>
      </c>
      <c r="D261">
        <v>1.659</v>
      </c>
      <c r="E261">
        <v>2.21</v>
      </c>
      <c r="F261">
        <v>2.6139999999999999</v>
      </c>
      <c r="G261">
        <v>3.4140000000000001</v>
      </c>
      <c r="H261">
        <f t="shared" ca="1" si="32"/>
        <v>0.45394006659267483</v>
      </c>
      <c r="I261">
        <f t="shared" ca="1" si="32"/>
        <v>0.37080689029918407</v>
      </c>
      <c r="J261">
        <f t="shared" ca="1" si="32"/>
        <v>0.2721224218230206</v>
      </c>
      <c r="K261">
        <f t="shared" ca="1" si="32"/>
        <v>0.2497733454215775</v>
      </c>
      <c r="L261">
        <f t="shared" ca="1" si="32"/>
        <v>0.18330006653359943</v>
      </c>
      <c r="M261">
        <f t="shared" ca="1" si="32"/>
        <v>0.3107727016356458</v>
      </c>
      <c r="N261">
        <f t="shared" ca="1" si="32"/>
        <v>0.21414691022153123</v>
      </c>
      <c r="O261">
        <f t="shared" ca="1" si="32"/>
        <v>0.134397870924817</v>
      </c>
      <c r="P261">
        <f t="shared" ca="1" si="32"/>
        <v>0.15701515740380872</v>
      </c>
      <c r="Q261">
        <f t="shared" ca="1" si="32"/>
        <v>0.23019943019943015</v>
      </c>
      <c r="R261">
        <f t="shared" ca="1" si="32"/>
        <v>0.58982035928143706</v>
      </c>
      <c r="S261">
        <f t="shared" ca="1" si="32"/>
        <v>0.3176979374584164</v>
      </c>
      <c r="T261">
        <f t="shared" ca="1" si="32"/>
        <v>0.37116206762533993</v>
      </c>
      <c r="U261" s="5"/>
      <c r="V261" s="4">
        <f t="shared" si="29"/>
        <v>41760</v>
      </c>
      <c r="W261" s="5">
        <f t="shared" ca="1" si="27"/>
        <v>0.3107727016356458</v>
      </c>
      <c r="Z261" s="4" t="str">
        <f ca="1">IF(OFFSET(Sheet3!$A$1,0,0,300)="","",OFFSET(Sheet3!$A$1,0,0,300))</f>
        <v/>
      </c>
      <c r="AA261" s="5" t="str">
        <f ca="1">IF(OFFSET(Sheet3!$A$1,0,MATCH(W$1,Sheet3!$1:$1,0)-1,300)="","",OFFSET(Sheet3!$A$1,0,MATCH(W$1,Sheet3!$1:$1,0)-1,300))</f>
        <v/>
      </c>
      <c r="AB261" s="5" t="str">
        <f ca="1">IF(OFFSET(Sheet3!$A$1,0,MATCH(X$1,Sheet3!$1:$1,0)-1,300)="","",OFFSET(Sheet3!$A$1,0,MATCH(X$1,Sheet3!$1:$1,0)-1,300))</f>
        <v/>
      </c>
      <c r="AC261" t="str">
        <f t="shared" ca="1" si="33"/>
        <v/>
      </c>
      <c r="AD261" t="str">
        <f t="shared" ca="1" si="34"/>
        <v/>
      </c>
    </row>
    <row r="262" spans="1:30" x14ac:dyDescent="0.25">
      <c r="A262" s="4">
        <v>41759</v>
      </c>
      <c r="B262">
        <v>0.41199999999999998</v>
      </c>
      <c r="C262" s="5">
        <v>0.85199999999999998</v>
      </c>
      <c r="D262">
        <v>1.677</v>
      </c>
      <c r="E262">
        <v>2.2320000000000002</v>
      </c>
      <c r="F262">
        <v>2.6470000000000002</v>
      </c>
      <c r="G262">
        <v>3.46</v>
      </c>
      <c r="H262">
        <f t="shared" ca="1" si="32"/>
        <v>0.45329670329670324</v>
      </c>
      <c r="I262">
        <f t="shared" ca="1" si="32"/>
        <v>0.36912751677852346</v>
      </c>
      <c r="J262">
        <f t="shared" ca="1" si="32"/>
        <v>0.2706692913385827</v>
      </c>
      <c r="K262">
        <f t="shared" ca="1" si="32"/>
        <v>0.24832214765100674</v>
      </c>
      <c r="L262">
        <f t="shared" ca="1" si="32"/>
        <v>0.18208661417322838</v>
      </c>
      <c r="M262">
        <f t="shared" ca="1" si="32"/>
        <v>0.30919220055710311</v>
      </c>
      <c r="N262">
        <f t="shared" ca="1" si="32"/>
        <v>0.21280674846625772</v>
      </c>
      <c r="O262">
        <f t="shared" ca="1" si="32"/>
        <v>0.13615485564304464</v>
      </c>
      <c r="P262">
        <f t="shared" ca="1" si="32"/>
        <v>0.15912576687116564</v>
      </c>
      <c r="Q262">
        <f t="shared" ca="1" si="32"/>
        <v>0.23275378575434663</v>
      </c>
      <c r="R262">
        <f t="shared" ca="1" si="32"/>
        <v>0.58891076115485574</v>
      </c>
      <c r="S262">
        <f t="shared" ca="1" si="32"/>
        <v>0.31824146981627305</v>
      </c>
      <c r="T262">
        <f t="shared" ca="1" si="32"/>
        <v>0.37193251533742339</v>
      </c>
      <c r="U262" s="5"/>
      <c r="V262" s="4">
        <f t="shared" si="29"/>
        <v>41759</v>
      </c>
      <c r="W262" s="5">
        <f t="shared" ca="1" si="27"/>
        <v>0.30919220055710311</v>
      </c>
      <c r="Z262" s="4" t="str">
        <f ca="1">IF(OFFSET(Sheet3!$A$1,0,0,300)="","",OFFSET(Sheet3!$A$1,0,0,300))</f>
        <v/>
      </c>
      <c r="AA262" s="5" t="str">
        <f ca="1">IF(OFFSET(Sheet3!$A$1,0,MATCH(W$1,Sheet3!$1:$1,0)-1,300)="","",OFFSET(Sheet3!$A$1,0,MATCH(W$1,Sheet3!$1:$1,0)-1,300))</f>
        <v/>
      </c>
      <c r="AB262" s="5" t="str">
        <f ca="1">IF(OFFSET(Sheet3!$A$1,0,MATCH(X$1,Sheet3!$1:$1,0)-1,300)="","",OFFSET(Sheet3!$A$1,0,MATCH(X$1,Sheet3!$1:$1,0)-1,300))</f>
        <v/>
      </c>
      <c r="AC262" t="str">
        <f t="shared" ca="1" si="33"/>
        <v/>
      </c>
      <c r="AD262" t="str">
        <f t="shared" ca="1" si="34"/>
        <v/>
      </c>
    </row>
    <row r="263" spans="1:30" x14ac:dyDescent="0.25">
      <c r="A263" s="4">
        <v>41758</v>
      </c>
      <c r="B263">
        <v>0.44</v>
      </c>
      <c r="C263" s="5">
        <v>0.89200000000000002</v>
      </c>
      <c r="D263">
        <v>1.736</v>
      </c>
      <c r="E263">
        <v>2.29</v>
      </c>
      <c r="F263">
        <v>2.6920000000000002</v>
      </c>
      <c r="G263">
        <v>3.488</v>
      </c>
      <c r="H263">
        <f t="shared" ca="1" si="32"/>
        <v>0.45621621621621616</v>
      </c>
      <c r="I263">
        <f t="shared" ca="1" si="32"/>
        <v>0.37477797513321487</v>
      </c>
      <c r="J263">
        <f t="shared" ca="1" si="32"/>
        <v>0.2769028871391076</v>
      </c>
      <c r="K263">
        <f t="shared" ca="1" si="32"/>
        <v>0.24600355239786856</v>
      </c>
      <c r="L263">
        <f t="shared" ca="1" si="32"/>
        <v>0.18175853018372704</v>
      </c>
      <c r="M263">
        <f t="shared" ca="1" si="32"/>
        <v>0.30777777777777776</v>
      </c>
      <c r="N263">
        <f t="shared" ca="1" si="32"/>
        <v>0.21340523882896764</v>
      </c>
      <c r="O263">
        <f t="shared" ca="1" si="32"/>
        <v>0.1318897637795276</v>
      </c>
      <c r="P263">
        <f t="shared" ca="1" si="32"/>
        <v>0.15485362095531591</v>
      </c>
      <c r="Q263">
        <f t="shared" ca="1" si="32"/>
        <v>0.22945205479452063</v>
      </c>
      <c r="R263">
        <f t="shared" ca="1" si="32"/>
        <v>0.59055118110236227</v>
      </c>
      <c r="S263">
        <f t="shared" ca="1" si="32"/>
        <v>0.31364829396325467</v>
      </c>
      <c r="T263">
        <f t="shared" ca="1" si="32"/>
        <v>0.36825885978428358</v>
      </c>
      <c r="U263" s="5"/>
      <c r="V263" s="4">
        <f t="shared" si="29"/>
        <v>41758</v>
      </c>
      <c r="W263" s="5">
        <f t="shared" ca="1" si="27"/>
        <v>0.30777777777777776</v>
      </c>
      <c r="Z263" s="4" t="str">
        <f ca="1">IF(OFFSET(Sheet3!$A$1,0,0,300)="","",OFFSET(Sheet3!$A$1,0,0,300))</f>
        <v/>
      </c>
      <c r="AA263" s="5" t="str">
        <f ca="1">IF(OFFSET(Sheet3!$A$1,0,MATCH(W$1,Sheet3!$1:$1,0)-1,300)="","",OFFSET(Sheet3!$A$1,0,MATCH(W$1,Sheet3!$1:$1,0)-1,300))</f>
        <v/>
      </c>
      <c r="AB263" s="5" t="str">
        <f ca="1">IF(OFFSET(Sheet3!$A$1,0,MATCH(X$1,Sheet3!$1:$1,0)-1,300)="","",OFFSET(Sheet3!$A$1,0,MATCH(X$1,Sheet3!$1:$1,0)-1,300))</f>
        <v/>
      </c>
      <c r="AC263" t="str">
        <f t="shared" ca="1" si="33"/>
        <v/>
      </c>
      <c r="AD263" t="str">
        <f t="shared" ca="1" si="34"/>
        <v/>
      </c>
    </row>
    <row r="264" spans="1:30" x14ac:dyDescent="0.25">
      <c r="A264" s="4">
        <v>41757</v>
      </c>
      <c r="B264">
        <v>0.434</v>
      </c>
      <c r="C264" s="5">
        <v>0.89</v>
      </c>
      <c r="D264">
        <v>1.74</v>
      </c>
      <c r="E264">
        <v>2.2999999999999998</v>
      </c>
      <c r="F264">
        <v>2.7010000000000001</v>
      </c>
      <c r="G264">
        <v>3.4859999999999998</v>
      </c>
      <c r="H264">
        <f t="shared" ca="1" si="32"/>
        <v>0.45551982851018225</v>
      </c>
      <c r="I264">
        <f t="shared" ca="1" si="32"/>
        <v>0.37494486104984559</v>
      </c>
      <c r="J264">
        <f t="shared" ca="1" si="32"/>
        <v>0.27850589777195284</v>
      </c>
      <c r="K264">
        <f t="shared" ca="1" si="32"/>
        <v>0.24702249669166293</v>
      </c>
      <c r="L264">
        <f t="shared" ca="1" si="32"/>
        <v>0.18348623853211007</v>
      </c>
      <c r="M264">
        <f t="shared" ca="1" si="32"/>
        <v>0.30922142462727764</v>
      </c>
      <c r="N264">
        <f t="shared" ca="1" si="32"/>
        <v>0.21571648690292755</v>
      </c>
      <c r="O264">
        <f t="shared" ca="1" si="32"/>
        <v>0.13138925294888606</v>
      </c>
      <c r="P264">
        <f t="shared" ca="1" si="32"/>
        <v>0.15446841294298932</v>
      </c>
      <c r="Q264">
        <f t="shared" ca="1" si="32"/>
        <v>0.22966781214203913</v>
      </c>
      <c r="R264">
        <f t="shared" ca="1" si="32"/>
        <v>0.59338138925294892</v>
      </c>
      <c r="S264">
        <f t="shared" ca="1" si="32"/>
        <v>0.31487549148099614</v>
      </c>
      <c r="T264">
        <f t="shared" ca="1" si="32"/>
        <v>0.37018489984591685</v>
      </c>
      <c r="U264" s="5"/>
      <c r="V264" s="4">
        <f t="shared" si="29"/>
        <v>41757</v>
      </c>
      <c r="W264" s="5">
        <f t="shared" ca="1" si="27"/>
        <v>0.30922142462727764</v>
      </c>
      <c r="Z264" s="4" t="str">
        <f ca="1">IF(OFFSET(Sheet3!$A$1,0,0,300)="","",OFFSET(Sheet3!$A$1,0,0,300))</f>
        <v/>
      </c>
      <c r="AA264" s="5" t="str">
        <f ca="1">IF(OFFSET(Sheet3!$A$1,0,MATCH(W$1,Sheet3!$1:$1,0)-1,300)="","",OFFSET(Sheet3!$A$1,0,MATCH(W$1,Sheet3!$1:$1,0)-1,300))</f>
        <v/>
      </c>
      <c r="AB264" s="5" t="str">
        <f ca="1">IF(OFFSET(Sheet3!$A$1,0,MATCH(X$1,Sheet3!$1:$1,0)-1,300)="","",OFFSET(Sheet3!$A$1,0,MATCH(X$1,Sheet3!$1:$1,0)-1,300))</f>
        <v/>
      </c>
      <c r="AC264" t="str">
        <f t="shared" ca="1" si="33"/>
        <v/>
      </c>
      <c r="AD264" t="str">
        <f t="shared" ca="1" si="34"/>
        <v/>
      </c>
    </row>
    <row r="265" spans="1:30" x14ac:dyDescent="0.25">
      <c r="A265" s="4">
        <v>41754</v>
      </c>
      <c r="B265">
        <v>0.432</v>
      </c>
      <c r="C265" s="5">
        <v>0.88400000000000001</v>
      </c>
      <c r="D265">
        <v>1.726</v>
      </c>
      <c r="E265">
        <v>2.2749999999999999</v>
      </c>
      <c r="F265">
        <v>2.6630000000000003</v>
      </c>
      <c r="G265">
        <v>3.4430000000000001</v>
      </c>
      <c r="H265">
        <f t="shared" ca="1" si="32"/>
        <v>0.4568638090070537</v>
      </c>
      <c r="I265">
        <f t="shared" ca="1" si="32"/>
        <v>0.37740923352756606</v>
      </c>
      <c r="J265">
        <f t="shared" ca="1" si="32"/>
        <v>0.27964131517768182</v>
      </c>
      <c r="K265">
        <f t="shared" ca="1" si="32"/>
        <v>0.24607799193186905</v>
      </c>
      <c r="L265">
        <f t="shared" ca="1" si="32"/>
        <v>0.18233145134506806</v>
      </c>
      <c r="M265">
        <f t="shared" ca="1" si="32"/>
        <v>0.30860033726812808</v>
      </c>
      <c r="N265">
        <f t="shared" ca="1" si="32"/>
        <v>0.21453692848769046</v>
      </c>
      <c r="O265">
        <f t="shared" ca="1" si="32"/>
        <v>0.1288608435735637</v>
      </c>
      <c r="P265">
        <f t="shared" ca="1" si="32"/>
        <v>0.15162172723720216</v>
      </c>
      <c r="Q265">
        <f t="shared" ca="1" si="32"/>
        <v>0.22597553873034382</v>
      </c>
      <c r="R265">
        <f t="shared" ca="1" si="32"/>
        <v>0.59083361009631363</v>
      </c>
      <c r="S265">
        <f t="shared" ca="1" si="32"/>
        <v>0.31119229491863176</v>
      </c>
      <c r="T265">
        <f t="shared" ca="1" si="32"/>
        <v>0.36615865572489265</v>
      </c>
      <c r="U265" s="5"/>
      <c r="V265" s="4">
        <f t="shared" si="29"/>
        <v>41754</v>
      </c>
      <c r="W265" s="5">
        <f t="shared" ca="1" si="27"/>
        <v>0.30860033726812808</v>
      </c>
      <c r="Z265" s="4" t="str">
        <f ca="1">IF(OFFSET(Sheet3!$A$1,0,0,300)="","",OFFSET(Sheet3!$A$1,0,0,300))</f>
        <v/>
      </c>
      <c r="AA265" s="5" t="str">
        <f ca="1">IF(OFFSET(Sheet3!$A$1,0,MATCH(W$1,Sheet3!$1:$1,0)-1,300)="","",OFFSET(Sheet3!$A$1,0,MATCH(W$1,Sheet3!$1:$1,0)-1,300))</f>
        <v/>
      </c>
      <c r="AB265" s="5" t="str">
        <f ca="1">IF(OFFSET(Sheet3!$A$1,0,MATCH(X$1,Sheet3!$1:$1,0)-1,300)="","",OFFSET(Sheet3!$A$1,0,MATCH(X$1,Sheet3!$1:$1,0)-1,300))</f>
        <v/>
      </c>
      <c r="AC265" t="str">
        <f t="shared" ca="1" si="33"/>
        <v/>
      </c>
      <c r="AD265" t="str">
        <f t="shared" ca="1" si="34"/>
        <v/>
      </c>
    </row>
    <row r="266" spans="1:30" x14ac:dyDescent="0.25">
      <c r="A266" s="4">
        <v>41753</v>
      </c>
      <c r="B266">
        <v>0.44</v>
      </c>
      <c r="C266" s="5">
        <v>0.89200000000000002</v>
      </c>
      <c r="D266">
        <v>1.7370000000000001</v>
      </c>
      <c r="E266">
        <v>2.2709999999999999</v>
      </c>
      <c r="F266">
        <v>2.681</v>
      </c>
      <c r="G266">
        <v>3.4529999999999998</v>
      </c>
      <c r="H266">
        <f t="shared" ca="1" si="32"/>
        <v>0.46149645002730755</v>
      </c>
      <c r="I266">
        <f t="shared" ca="1" si="32"/>
        <v>0.37706381079875056</v>
      </c>
      <c r="J266">
        <f t="shared" ca="1" si="32"/>
        <v>0.28045137736475279</v>
      </c>
      <c r="K266">
        <f t="shared" ca="1" si="32"/>
        <v>0.23828647925033458</v>
      </c>
      <c r="L266">
        <f t="shared" ca="1" si="32"/>
        <v>0.17723199468967801</v>
      </c>
      <c r="M266">
        <f t="shared" ca="1" si="32"/>
        <v>0.29849077697037441</v>
      </c>
      <c r="N266">
        <f t="shared" ca="1" si="32"/>
        <v>0.20851229988285819</v>
      </c>
      <c r="O266">
        <f t="shared" ca="1" si="32"/>
        <v>0.13607699966810494</v>
      </c>
      <c r="P266">
        <f t="shared" ca="1" si="32"/>
        <v>0.16009371339320583</v>
      </c>
      <c r="Q266">
        <f t="shared" ca="1" si="32"/>
        <v>0.23892773892773905</v>
      </c>
      <c r="R266">
        <f t="shared" ca="1" si="32"/>
        <v>0.59376037172253571</v>
      </c>
      <c r="S266">
        <f t="shared" ca="1" si="32"/>
        <v>0.31330899435778292</v>
      </c>
      <c r="T266">
        <f t="shared" ca="1" si="32"/>
        <v>0.36860601327606402</v>
      </c>
      <c r="U266" s="5"/>
      <c r="V266" s="4">
        <f t="shared" si="29"/>
        <v>41753</v>
      </c>
      <c r="W266" s="5">
        <f t="shared" ca="1" si="27"/>
        <v>0.29849077697037441</v>
      </c>
      <c r="Z266" s="4" t="str">
        <f ca="1">IF(OFFSET(Sheet3!$A$1,0,0,300)="","",OFFSET(Sheet3!$A$1,0,0,300))</f>
        <v/>
      </c>
      <c r="AA266" s="5" t="str">
        <f ca="1">IF(OFFSET(Sheet3!$A$1,0,MATCH(W$1,Sheet3!$1:$1,0)-1,300)="","",OFFSET(Sheet3!$A$1,0,MATCH(W$1,Sheet3!$1:$1,0)-1,300))</f>
        <v/>
      </c>
      <c r="AB266" s="5" t="str">
        <f ca="1">IF(OFFSET(Sheet3!$A$1,0,MATCH(X$1,Sheet3!$1:$1,0)-1,300)="","",OFFSET(Sheet3!$A$1,0,MATCH(X$1,Sheet3!$1:$1,0)-1,300))</f>
        <v/>
      </c>
      <c r="AC266" t="str">
        <f t="shared" ca="1" si="33"/>
        <v/>
      </c>
      <c r="AD266" t="str">
        <f t="shared" ca="1" si="34"/>
        <v/>
      </c>
    </row>
    <row r="267" spans="1:30" x14ac:dyDescent="0.25">
      <c r="A267" s="4">
        <v>41752</v>
      </c>
      <c r="B267">
        <v>0.44400000000000001</v>
      </c>
      <c r="C267" s="5">
        <v>0.90300000000000002</v>
      </c>
      <c r="D267">
        <v>1.7250000000000001</v>
      </c>
      <c r="E267">
        <v>2.2879999999999998</v>
      </c>
      <c r="F267">
        <v>2.7</v>
      </c>
      <c r="G267">
        <v>3.4790000000000001</v>
      </c>
      <c r="H267">
        <f t="shared" ca="1" si="32"/>
        <v>0.44577006507592198</v>
      </c>
      <c r="I267">
        <f t="shared" ca="1" si="32"/>
        <v>0.36436170212765956</v>
      </c>
      <c r="J267">
        <f t="shared" ca="1" si="32"/>
        <v>0.27084019769357498</v>
      </c>
      <c r="K267">
        <f t="shared" ca="1" si="32"/>
        <v>0.24955673758865232</v>
      </c>
      <c r="L267">
        <f t="shared" ca="1" si="32"/>
        <v>0.18550247116968688</v>
      </c>
      <c r="M267">
        <f t="shared" ca="1" si="32"/>
        <v>0.31329994435169711</v>
      </c>
      <c r="N267">
        <f t="shared" ca="1" si="32"/>
        <v>0.2185559006211179</v>
      </c>
      <c r="O267">
        <f t="shared" ca="1" si="32"/>
        <v>0.13574958813838561</v>
      </c>
      <c r="P267">
        <f t="shared" ca="1" si="32"/>
        <v>0.1599378881987579</v>
      </c>
      <c r="Q267">
        <f t="shared" ca="1" si="32"/>
        <v>0.23489167616875734</v>
      </c>
      <c r="R267">
        <f t="shared" ca="1" si="32"/>
        <v>0.59209225700164747</v>
      </c>
      <c r="S267">
        <f t="shared" ca="1" si="32"/>
        <v>0.32125205930807249</v>
      </c>
      <c r="T267">
        <f t="shared" ca="1" si="32"/>
        <v>0.37849378881987578</v>
      </c>
      <c r="U267" s="5"/>
      <c r="V267" s="4">
        <f t="shared" si="29"/>
        <v>41752</v>
      </c>
      <c r="W267" s="5">
        <f t="shared" ca="1" si="27"/>
        <v>0.31329994435169711</v>
      </c>
      <c r="Z267" s="4" t="str">
        <f ca="1">IF(OFFSET(Sheet3!$A$1,0,0,300)="","",OFFSET(Sheet3!$A$1,0,0,300))</f>
        <v/>
      </c>
      <c r="AA267" s="5" t="str">
        <f ca="1">IF(OFFSET(Sheet3!$A$1,0,MATCH(W$1,Sheet3!$1:$1,0)-1,300)="","",OFFSET(Sheet3!$A$1,0,MATCH(W$1,Sheet3!$1:$1,0)-1,300))</f>
        <v/>
      </c>
      <c r="AB267" s="5" t="str">
        <f ca="1">IF(OFFSET(Sheet3!$A$1,0,MATCH(X$1,Sheet3!$1:$1,0)-1,300)="","",OFFSET(Sheet3!$A$1,0,MATCH(X$1,Sheet3!$1:$1,0)-1,300))</f>
        <v/>
      </c>
      <c r="AC267" t="str">
        <f t="shared" ca="1" si="33"/>
        <v/>
      </c>
      <c r="AD267" t="str">
        <f t="shared" ca="1" si="34"/>
        <v/>
      </c>
    </row>
    <row r="268" spans="1:30" x14ac:dyDescent="0.25">
      <c r="A268" s="4">
        <v>41751</v>
      </c>
      <c r="B268">
        <v>0.40100000000000002</v>
      </c>
      <c r="C268" s="5">
        <v>0.90800000000000003</v>
      </c>
      <c r="D268">
        <v>1.734</v>
      </c>
      <c r="E268">
        <v>2.2949999999999999</v>
      </c>
      <c r="F268">
        <v>2.7109999999999999</v>
      </c>
      <c r="G268">
        <v>3.4950000000000001</v>
      </c>
      <c r="H268">
        <f t="shared" ca="1" si="32"/>
        <v>0.43611404435058077</v>
      </c>
      <c r="I268">
        <f t="shared" ca="1" si="32"/>
        <v>0.3575757575757576</v>
      </c>
      <c r="J268">
        <f t="shared" ca="1" si="32"/>
        <v>0.26696832579185514</v>
      </c>
      <c r="K268">
        <f t="shared" ca="1" si="32"/>
        <v>0.24285714285714288</v>
      </c>
      <c r="L268">
        <f t="shared" ca="1" si="32"/>
        <v>0.18131868131868129</v>
      </c>
      <c r="M268">
        <f t="shared" ca="1" si="32"/>
        <v>0.31114808652246256</v>
      </c>
      <c r="N268">
        <f t="shared" ca="1" si="32"/>
        <v>0.21685349826053341</v>
      </c>
      <c r="O268">
        <f t="shared" ca="1" si="32"/>
        <v>0.13445378151260501</v>
      </c>
      <c r="P268">
        <f t="shared" ca="1" si="32"/>
        <v>0.16080402010050246</v>
      </c>
      <c r="Q268">
        <f t="shared" ca="1" si="32"/>
        <v>0.23622941510505388</v>
      </c>
      <c r="R268">
        <f t="shared" ca="1" si="32"/>
        <v>0.58274078862314149</v>
      </c>
      <c r="S268">
        <f t="shared" ca="1" si="32"/>
        <v>0.31577246283128629</v>
      </c>
      <c r="T268">
        <f t="shared" ca="1" si="32"/>
        <v>0.37765751836103589</v>
      </c>
      <c r="U268" s="5"/>
      <c r="V268" s="4">
        <f t="shared" si="29"/>
        <v>41751</v>
      </c>
      <c r="W268" s="5">
        <f t="shared" ref="W268:W274" ca="1" si="35">OFFSET($H$12,0,MATCH(select,$H$12:$T$12,0)-1,300,1)</f>
        <v>0.31114808652246256</v>
      </c>
      <c r="Z268" s="4" t="str">
        <f ca="1">IF(OFFSET(Sheet3!$A$1,0,0,300)="","",OFFSET(Sheet3!$A$1,0,0,300))</f>
        <v/>
      </c>
      <c r="AA268" s="5" t="str">
        <f ca="1">IF(OFFSET(Sheet3!$A$1,0,MATCH(W$1,Sheet3!$1:$1,0)-1,300)="","",OFFSET(Sheet3!$A$1,0,MATCH(W$1,Sheet3!$1:$1,0)-1,300))</f>
        <v/>
      </c>
      <c r="AB268" s="5" t="str">
        <f ca="1">IF(OFFSET(Sheet3!$A$1,0,MATCH(X$1,Sheet3!$1:$1,0)-1,300)="","",OFFSET(Sheet3!$A$1,0,MATCH(X$1,Sheet3!$1:$1,0)-1,300))</f>
        <v/>
      </c>
      <c r="AC268" t="str">
        <f t="shared" ca="1" si="33"/>
        <v/>
      </c>
      <c r="AD268" t="str">
        <f t="shared" ca="1" si="34"/>
        <v/>
      </c>
    </row>
    <row r="269" spans="1:30" x14ac:dyDescent="0.25">
      <c r="A269" s="4">
        <v>41750</v>
      </c>
      <c r="B269">
        <v>0.39300000000000002</v>
      </c>
      <c r="C269" s="5">
        <v>0.89800000000000002</v>
      </c>
      <c r="D269">
        <v>1.722</v>
      </c>
      <c r="E269">
        <v>2.2930000000000001</v>
      </c>
      <c r="F269">
        <v>2.7160000000000002</v>
      </c>
      <c r="G269">
        <v>3.5230000000000001</v>
      </c>
      <c r="H269">
        <f t="shared" ref="H269:T274" ca="1" si="36">IF(ISERROR(ABS(OFFSET($A$11,ROW()-11,MATCH(LEFT(H$9,2),$A$11:$G$11,0)-1)-OFFSET($A$11,ROW()-11,MATCH(RIGHT(H$9,2),$A$11:$G$11,0)-1))/ABS(OFFSET($A$11,ROW()-11,MATCH(LEFT(H$10,2),$A$11:$G$11,0)-1)-OFFSET($A$11,ROW()-11,MATCH(RIGHT(H$10,2),$A$11:$G$11,0)-1))),"",ABS(OFFSET($A$11,ROW()-11,MATCH(LEFT(H$9,2),$A$11:$G$11,0)-1)-OFFSET($A$11,ROW()-11,MATCH(RIGHT(H$9,2),$A$11:$G$11,0)-1))/ABS(OFFSET($A$11,ROW()-11,MATCH(LEFT(H$10,2),$A$11:$G$11,0)-1)-OFFSET($A$11,ROW()-11,MATCH(RIGHT(H$10,2),$A$11:$G$11,0)-1)))</f>
        <v>0.43368421052631573</v>
      </c>
      <c r="I269">
        <f t="shared" ca="1" si="36"/>
        <v>0.3547137322427894</v>
      </c>
      <c r="J269">
        <f t="shared" ca="1" si="36"/>
        <v>0.26325878594249202</v>
      </c>
      <c r="K269">
        <f t="shared" ca="1" si="36"/>
        <v>0.24580284115368062</v>
      </c>
      <c r="L269">
        <f t="shared" ca="1" si="36"/>
        <v>0.1824281150159745</v>
      </c>
      <c r="M269">
        <f t="shared" ca="1" si="36"/>
        <v>0.31408140814081414</v>
      </c>
      <c r="N269">
        <f t="shared" ca="1" si="36"/>
        <v>0.21752380952380959</v>
      </c>
      <c r="O269">
        <f t="shared" ca="1" si="36"/>
        <v>0.13514376996805114</v>
      </c>
      <c r="P269">
        <f t="shared" ca="1" si="36"/>
        <v>0.16114285714285717</v>
      </c>
      <c r="Q269">
        <f t="shared" ca="1" si="36"/>
        <v>0.2348695169350361</v>
      </c>
      <c r="R269">
        <f t="shared" ca="1" si="36"/>
        <v>0.58083067092651763</v>
      </c>
      <c r="S269">
        <f t="shared" ca="1" si="36"/>
        <v>0.31757188498402567</v>
      </c>
      <c r="T269">
        <f t="shared" ca="1" si="36"/>
        <v>0.37866666666666676</v>
      </c>
      <c r="U269" s="5"/>
      <c r="V269" s="4">
        <f t="shared" si="29"/>
        <v>41750</v>
      </c>
      <c r="W269" s="5">
        <f t="shared" ca="1" si="35"/>
        <v>0.31408140814081414</v>
      </c>
      <c r="Z269" s="4" t="str">
        <f ca="1">IF(OFFSET(Sheet3!$A$1,0,0,300)="","",OFFSET(Sheet3!$A$1,0,0,300))</f>
        <v/>
      </c>
      <c r="AA269" s="5" t="str">
        <f ca="1">IF(OFFSET(Sheet3!$A$1,0,MATCH(W$1,Sheet3!$1:$1,0)-1,300)="","",OFFSET(Sheet3!$A$1,0,MATCH(W$1,Sheet3!$1:$1,0)-1,300))</f>
        <v/>
      </c>
      <c r="AB269" s="5" t="str">
        <f ca="1">IF(OFFSET(Sheet3!$A$1,0,MATCH(X$1,Sheet3!$1:$1,0)-1,300)="","",OFFSET(Sheet3!$A$1,0,MATCH(X$1,Sheet3!$1:$1,0)-1,300))</f>
        <v/>
      </c>
      <c r="AC269" t="str">
        <f t="shared" ca="1" si="33"/>
        <v/>
      </c>
      <c r="AD269" t="str">
        <f t="shared" ca="1" si="34"/>
        <v/>
      </c>
    </row>
    <row r="270" spans="1:30" x14ac:dyDescent="0.25">
      <c r="A270" s="4">
        <v>41747</v>
      </c>
      <c r="B270">
        <v>0.39700000000000002</v>
      </c>
      <c r="C270" s="5">
        <v>0.91100000000000003</v>
      </c>
      <c r="D270">
        <v>1.7349999999999999</v>
      </c>
      <c r="E270">
        <v>2.3029999999999999</v>
      </c>
      <c r="F270">
        <v>2.722</v>
      </c>
      <c r="G270">
        <v>3.5230000000000001</v>
      </c>
      <c r="H270">
        <f t="shared" ca="1" si="36"/>
        <v>0.43231899265477436</v>
      </c>
      <c r="I270">
        <f t="shared" ca="1" si="36"/>
        <v>0.35440860215053754</v>
      </c>
      <c r="J270">
        <f t="shared" ca="1" si="36"/>
        <v>0.26359564939219443</v>
      </c>
      <c r="K270">
        <f t="shared" ca="1" si="36"/>
        <v>0.24430107526881722</v>
      </c>
      <c r="L270">
        <f t="shared" ca="1" si="36"/>
        <v>0.18170185540626999</v>
      </c>
      <c r="M270">
        <f t="shared" ca="1" si="36"/>
        <v>0.31363887355052461</v>
      </c>
      <c r="N270">
        <f t="shared" ca="1" si="36"/>
        <v>0.21745788667687596</v>
      </c>
      <c r="O270">
        <f t="shared" ca="1" si="36"/>
        <v>0.13403710812539987</v>
      </c>
      <c r="P270">
        <f t="shared" ca="1" si="36"/>
        <v>0.16041347626339969</v>
      </c>
      <c r="Q270">
        <f t="shared" ca="1" si="36"/>
        <v>0.23434004474272929</v>
      </c>
      <c r="R270">
        <f t="shared" ca="1" si="36"/>
        <v>0.57933461292386423</v>
      </c>
      <c r="S270">
        <f t="shared" ca="1" si="36"/>
        <v>0.31573896353166986</v>
      </c>
      <c r="T270">
        <f t="shared" ca="1" si="36"/>
        <v>0.37787136294027568</v>
      </c>
      <c r="U270" s="5"/>
      <c r="V270" s="4">
        <f>IF(A270&lt;&gt;"",A270,"")</f>
        <v>41747</v>
      </c>
      <c r="W270" s="5">
        <f t="shared" ca="1" si="35"/>
        <v>0.31363887355052461</v>
      </c>
      <c r="Z270" s="4" t="str">
        <f ca="1">IF(OFFSET(Sheet3!$A$1,0,0,300)="","",OFFSET(Sheet3!$A$1,0,0,300))</f>
        <v/>
      </c>
      <c r="AA270" s="5" t="str">
        <f ca="1">IF(OFFSET(Sheet3!$A$1,0,MATCH(W$1,Sheet3!$1:$1,0)-1,300)="","",OFFSET(Sheet3!$A$1,0,MATCH(W$1,Sheet3!$1:$1,0)-1,300))</f>
        <v/>
      </c>
      <c r="AB270" s="5" t="str">
        <f ca="1">IF(OFFSET(Sheet3!$A$1,0,MATCH(X$1,Sheet3!$1:$1,0)-1,300)="","",OFFSET(Sheet3!$A$1,0,MATCH(X$1,Sheet3!$1:$1,0)-1,300))</f>
        <v/>
      </c>
      <c r="AC270" t="str">
        <f t="shared" ca="1" si="33"/>
        <v/>
      </c>
      <c r="AD270" t="str">
        <f t="shared" ca="1" si="34"/>
        <v/>
      </c>
    </row>
    <row r="271" spans="1:30" x14ac:dyDescent="0.25">
      <c r="A271" s="4">
        <v>41746</v>
      </c>
      <c r="B271">
        <v>0.39700000000000002</v>
      </c>
      <c r="C271" s="5">
        <v>0.91100000000000003</v>
      </c>
      <c r="D271">
        <v>1.7349999999999999</v>
      </c>
      <c r="E271">
        <v>2.3029999999999999</v>
      </c>
      <c r="F271">
        <v>2.722</v>
      </c>
      <c r="G271">
        <v>3.5230000000000001</v>
      </c>
      <c r="H271">
        <f t="shared" ca="1" si="36"/>
        <v>0.43231899265477436</v>
      </c>
      <c r="I271">
        <f t="shared" ca="1" si="36"/>
        <v>0.35440860215053754</v>
      </c>
      <c r="J271">
        <f t="shared" ca="1" si="36"/>
        <v>0.26359564939219443</v>
      </c>
      <c r="K271">
        <f t="shared" ca="1" si="36"/>
        <v>0.24430107526881722</v>
      </c>
      <c r="L271">
        <f t="shared" ca="1" si="36"/>
        <v>0.18170185540626999</v>
      </c>
      <c r="M271">
        <f t="shared" ca="1" si="36"/>
        <v>0.31363887355052461</v>
      </c>
      <c r="N271">
        <f t="shared" ca="1" si="36"/>
        <v>0.21745788667687596</v>
      </c>
      <c r="O271">
        <f t="shared" ca="1" si="36"/>
        <v>0.13403710812539987</v>
      </c>
      <c r="P271">
        <f t="shared" ca="1" si="36"/>
        <v>0.16041347626339969</v>
      </c>
      <c r="Q271">
        <f t="shared" ca="1" si="36"/>
        <v>0.23434004474272929</v>
      </c>
      <c r="R271">
        <f t="shared" ca="1" si="36"/>
        <v>0.57933461292386423</v>
      </c>
      <c r="S271">
        <f t="shared" ca="1" si="36"/>
        <v>0.31573896353166986</v>
      </c>
      <c r="T271">
        <f t="shared" ca="1" si="36"/>
        <v>0.37787136294027568</v>
      </c>
      <c r="U271" s="5"/>
      <c r="V271" s="4">
        <f>IF(A271&lt;&gt;"",A271,"")</f>
        <v>41746</v>
      </c>
      <c r="W271" s="5">
        <f t="shared" ca="1" si="35"/>
        <v>0.31363887355052461</v>
      </c>
      <c r="Z271" s="4" t="str">
        <f ca="1">IF(OFFSET(Sheet3!$A$1,0,0,300)="","",OFFSET(Sheet3!$A$1,0,0,300))</f>
        <v/>
      </c>
      <c r="AA271" s="5" t="str">
        <f ca="1">IF(OFFSET(Sheet3!$A$1,0,MATCH(W$1,Sheet3!$1:$1,0)-1,300)="","",OFFSET(Sheet3!$A$1,0,MATCH(W$1,Sheet3!$1:$1,0)-1,300))</f>
        <v/>
      </c>
      <c r="AB271" s="5" t="str">
        <f ca="1">IF(OFFSET(Sheet3!$A$1,0,MATCH(X$1,Sheet3!$1:$1,0)-1,300)="","",OFFSET(Sheet3!$A$1,0,MATCH(X$1,Sheet3!$1:$1,0)-1,300))</f>
        <v/>
      </c>
      <c r="AC271" t="str">
        <f t="shared" ca="1" si="33"/>
        <v/>
      </c>
      <c r="AD271" t="str">
        <f t="shared" ca="1" si="34"/>
        <v/>
      </c>
    </row>
    <row r="272" spans="1:30" x14ac:dyDescent="0.25">
      <c r="A272" s="4">
        <v>41745</v>
      </c>
      <c r="B272">
        <v>0.36899999999999999</v>
      </c>
      <c r="C272" s="5">
        <v>0.86</v>
      </c>
      <c r="D272">
        <v>1.647</v>
      </c>
      <c r="E272">
        <v>2.2000000000000002</v>
      </c>
      <c r="F272">
        <v>2.629</v>
      </c>
      <c r="G272">
        <v>3.4449999999999998</v>
      </c>
      <c r="H272">
        <f t="shared" ca="1" si="36"/>
        <v>0.4298197706171491</v>
      </c>
      <c r="I272">
        <f t="shared" ca="1" si="36"/>
        <v>0.3482300884955753</v>
      </c>
      <c r="J272">
        <f t="shared" ca="1" si="36"/>
        <v>0.25585175552665806</v>
      </c>
      <c r="K272">
        <f t="shared" ca="1" si="36"/>
        <v>0.24469026548672576</v>
      </c>
      <c r="L272">
        <f t="shared" ca="1" si="36"/>
        <v>0.17977893368010411</v>
      </c>
      <c r="M272">
        <f t="shared" ca="1" si="36"/>
        <v>0.31260599208592432</v>
      </c>
      <c r="N272">
        <f t="shared" ca="1" si="36"/>
        <v>0.21392649903288208</v>
      </c>
      <c r="O272">
        <f t="shared" ca="1" si="36"/>
        <v>0.13946684005201557</v>
      </c>
      <c r="P272">
        <f t="shared" ca="1" si="36"/>
        <v>0.16595744680851057</v>
      </c>
      <c r="Q272">
        <f t="shared" ca="1" si="36"/>
        <v>0.23859844271412672</v>
      </c>
      <c r="R272">
        <f t="shared" ca="1" si="36"/>
        <v>0.57509752925877777</v>
      </c>
      <c r="S272">
        <f t="shared" ca="1" si="36"/>
        <v>0.31924577373211965</v>
      </c>
      <c r="T272">
        <f t="shared" ca="1" si="36"/>
        <v>0.37988394584139262</v>
      </c>
      <c r="U272" s="5"/>
      <c r="V272" s="4">
        <f>IF(A272&lt;&gt;"",A272,"")</f>
        <v>41745</v>
      </c>
      <c r="W272" s="5">
        <f t="shared" ca="1" si="35"/>
        <v>0.31260599208592432</v>
      </c>
      <c r="Z272" s="4" t="str">
        <f ca="1">IF(OFFSET(Sheet3!$A$1,0,0,300)="","",OFFSET(Sheet3!$A$1,0,0,300))</f>
        <v/>
      </c>
      <c r="AA272" s="5" t="str">
        <f ca="1">IF(OFFSET(Sheet3!$A$1,0,MATCH(W$1,Sheet3!$1:$1,0)-1,300)="","",OFFSET(Sheet3!$A$1,0,MATCH(W$1,Sheet3!$1:$1,0)-1,300))</f>
        <v/>
      </c>
      <c r="AB272" s="5" t="str">
        <f ca="1">IF(OFFSET(Sheet3!$A$1,0,MATCH(X$1,Sheet3!$1:$1,0)-1,300)="","",OFFSET(Sheet3!$A$1,0,MATCH(X$1,Sheet3!$1:$1,0)-1,300))</f>
        <v/>
      </c>
      <c r="AC272" t="str">
        <f t="shared" ca="1" si="33"/>
        <v/>
      </c>
      <c r="AD272" t="str">
        <f t="shared" ca="1" si="34"/>
        <v/>
      </c>
    </row>
    <row r="273" spans="1:30" x14ac:dyDescent="0.25">
      <c r="A273" s="4">
        <v>41744</v>
      </c>
      <c r="B273">
        <v>0.36899999999999999</v>
      </c>
      <c r="C273" s="5">
        <v>0.84199999999999997</v>
      </c>
      <c r="D273">
        <v>1.621</v>
      </c>
      <c r="E273">
        <v>2.181</v>
      </c>
      <c r="F273">
        <v>2.629</v>
      </c>
      <c r="G273">
        <v>3.4609999999999999</v>
      </c>
      <c r="H273">
        <f t="shared" ca="1" si="36"/>
        <v>0.42991169977924942</v>
      </c>
      <c r="I273">
        <f t="shared" ca="1" si="36"/>
        <v>0.34469026548672571</v>
      </c>
      <c r="J273">
        <f t="shared" ca="1" si="36"/>
        <v>0.25194049159120313</v>
      </c>
      <c r="K273">
        <f t="shared" ca="1" si="36"/>
        <v>0.24778761061946908</v>
      </c>
      <c r="L273">
        <f t="shared" ca="1" si="36"/>
        <v>0.18111254851228981</v>
      </c>
      <c r="M273">
        <f t="shared" ca="1" si="36"/>
        <v>0.31337437045327371</v>
      </c>
      <c r="N273">
        <f t="shared" ca="1" si="36"/>
        <v>0.21382206949217261</v>
      </c>
      <c r="O273">
        <f t="shared" ca="1" si="36"/>
        <v>0.14489003880983184</v>
      </c>
      <c r="P273">
        <f t="shared" ca="1" si="36"/>
        <v>0.17105765559373806</v>
      </c>
      <c r="Q273">
        <f t="shared" ca="1" si="36"/>
        <v>0.2434782608695652</v>
      </c>
      <c r="R273">
        <f t="shared" ca="1" si="36"/>
        <v>0.57794307891332475</v>
      </c>
      <c r="S273">
        <f t="shared" ca="1" si="36"/>
        <v>0.32600258732212162</v>
      </c>
      <c r="T273">
        <f t="shared" ca="1" si="36"/>
        <v>0.38487972508591067</v>
      </c>
      <c r="U273" s="5"/>
      <c r="V273" s="4">
        <f>IF(A273&lt;&gt;"",A273,"")</f>
        <v>41744</v>
      </c>
      <c r="W273" s="5">
        <f t="shared" ca="1" si="35"/>
        <v>0.31337437045327371</v>
      </c>
      <c r="Z273" s="4" t="str">
        <f ca="1">IF(OFFSET(Sheet3!$A$1,0,0,300)="","",OFFSET(Sheet3!$A$1,0,0,300))</f>
        <v/>
      </c>
      <c r="AA273" s="5" t="str">
        <f ca="1">IF(OFFSET(Sheet3!$A$1,0,MATCH(W$1,Sheet3!$1:$1,0)-1,300)="","",OFFSET(Sheet3!$A$1,0,MATCH(W$1,Sheet3!$1:$1,0)-1,300))</f>
        <v/>
      </c>
      <c r="AB273" s="5" t="str">
        <f ca="1">IF(OFFSET(Sheet3!$A$1,0,MATCH(X$1,Sheet3!$1:$1,0)-1,300)="","",OFFSET(Sheet3!$A$1,0,MATCH(X$1,Sheet3!$1:$1,0)-1,300))</f>
        <v/>
      </c>
      <c r="AC273" t="str">
        <f t="shared" ca="1" si="33"/>
        <v/>
      </c>
      <c r="AD273" t="str">
        <f t="shared" ca="1" si="34"/>
        <v/>
      </c>
    </row>
    <row r="274" spans="1:30" x14ac:dyDescent="0.25">
      <c r="A274" s="4">
        <v>41743</v>
      </c>
      <c r="B274">
        <v>0.36899999999999999</v>
      </c>
      <c r="C274" s="5">
        <v>0.83099999999999996</v>
      </c>
      <c r="D274">
        <v>1.6139999999999999</v>
      </c>
      <c r="E274">
        <v>2.19</v>
      </c>
      <c r="F274">
        <v>2.6480000000000001</v>
      </c>
      <c r="G274">
        <v>3.488</v>
      </c>
      <c r="H274">
        <f t="shared" ca="1" si="36"/>
        <v>0.42998352553542007</v>
      </c>
      <c r="I274">
        <f t="shared" ca="1" si="36"/>
        <v>0.34357174199210178</v>
      </c>
      <c r="J274">
        <f t="shared" ca="1" si="36"/>
        <v>0.25104200064123117</v>
      </c>
      <c r="K274">
        <f t="shared" ca="1" si="36"/>
        <v>0.25274243089074161</v>
      </c>
      <c r="L274">
        <f t="shared" ca="1" si="36"/>
        <v>0.18467457518435398</v>
      </c>
      <c r="M274">
        <f t="shared" ca="1" si="36"/>
        <v>0.31700605393505782</v>
      </c>
      <c r="N274">
        <f t="shared" ca="1" si="36"/>
        <v>0.2167858487015431</v>
      </c>
      <c r="O274">
        <f t="shared" ca="1" si="36"/>
        <v>0.14684193651811486</v>
      </c>
      <c r="P274">
        <f t="shared" ca="1" si="36"/>
        <v>0.17237485886337983</v>
      </c>
      <c r="Q274">
        <f t="shared" ca="1" si="36"/>
        <v>0.24439701173959452</v>
      </c>
      <c r="R274">
        <f t="shared" ca="1" si="36"/>
        <v>0.58255851234370004</v>
      </c>
      <c r="S274">
        <f t="shared" ca="1" si="36"/>
        <v>0.33151651170246882</v>
      </c>
      <c r="T274">
        <f t="shared" ca="1" si="36"/>
        <v>0.38916070756492294</v>
      </c>
      <c r="U274" s="5"/>
      <c r="V274" s="4">
        <f>IF(A274&lt;&gt;"",A274,"")</f>
        <v>41743</v>
      </c>
      <c r="W274" s="5">
        <f t="shared" ca="1" si="35"/>
        <v>0.31700605393505782</v>
      </c>
      <c r="Z274" s="4" t="str">
        <f ca="1">IF(OFFSET(Sheet3!$A$1,0,0,300)="","",OFFSET(Sheet3!$A$1,0,0,300))</f>
        <v/>
      </c>
      <c r="AA274" s="5" t="str">
        <f ca="1">IF(OFFSET(Sheet3!$A$1,0,MATCH(W$1,Sheet3!$1:$1,0)-1,300)="","",OFFSET(Sheet3!$A$1,0,MATCH(W$1,Sheet3!$1:$1,0)-1,300))</f>
        <v/>
      </c>
      <c r="AB274" s="5" t="str">
        <f ca="1">IF(OFFSET(Sheet3!$A$1,0,MATCH(X$1,Sheet3!$1:$1,0)-1,300)="","",OFFSET(Sheet3!$A$1,0,MATCH(X$1,Sheet3!$1:$1,0)-1,300))</f>
        <v/>
      </c>
      <c r="AC274" t="str">
        <f t="shared" ca="1" si="33"/>
        <v/>
      </c>
      <c r="AD274" t="str">
        <f t="shared" ca="1" si="34"/>
        <v/>
      </c>
    </row>
    <row r="275" spans="1:30" x14ac:dyDescent="0.25">
      <c r="A275" s="4">
        <v>41740</v>
      </c>
      <c r="B275">
        <v>0.35699999999999998</v>
      </c>
      <c r="C275" s="5">
        <v>0.8</v>
      </c>
      <c r="D275">
        <v>1.5760000000000001</v>
      </c>
      <c r="E275">
        <v>2.1589999999999998</v>
      </c>
      <c r="F275">
        <v>2.6259999999999999</v>
      </c>
      <c r="G275">
        <v>3.4830000000000001</v>
      </c>
      <c r="Z275" s="4" t="str">
        <f ca="1">IF(OFFSET(Sheet3!$A$1,0,0,300)="","",OFFSET(Sheet3!$A$1,0,0,300))</f>
        <v/>
      </c>
      <c r="AA275" s="5" t="str">
        <f ca="1">IF(OFFSET(Sheet3!$A$1,0,MATCH(W$1,Sheet3!$1:$1,0)-1,300)="","",OFFSET(Sheet3!$A$1,0,MATCH(W$1,Sheet3!$1:$1,0)-1,300))</f>
        <v/>
      </c>
      <c r="AB275" s="5" t="str">
        <f ca="1">IF(OFFSET(Sheet3!$A$1,0,MATCH(X$1,Sheet3!$1:$1,0)-1,300)="","",OFFSET(Sheet3!$A$1,0,MATCH(X$1,Sheet3!$1:$1,0)-1,300))</f>
        <v/>
      </c>
      <c r="AC275" t="str">
        <f t="shared" ca="1" si="33"/>
        <v/>
      </c>
      <c r="AD275" t="str">
        <f t="shared" ca="1" si="34"/>
        <v/>
      </c>
    </row>
    <row r="276" spans="1:30" x14ac:dyDescent="0.25">
      <c r="A276" s="4">
        <v>41739</v>
      </c>
      <c r="B276">
        <v>0.35299999999999998</v>
      </c>
      <c r="C276" s="5">
        <v>0.81299999999999994</v>
      </c>
      <c r="D276">
        <v>1.591</v>
      </c>
      <c r="E276">
        <v>2.181</v>
      </c>
      <c r="F276">
        <v>2.6480000000000001</v>
      </c>
      <c r="G276">
        <v>3.52</v>
      </c>
      <c r="Z276" s="4" t="str">
        <f ca="1">IF(OFFSET(Sheet3!$A$1,0,0,300)="","",OFFSET(Sheet3!$A$1,0,0,300))</f>
        <v/>
      </c>
      <c r="AA276" s="5" t="str">
        <f ca="1">IF(OFFSET(Sheet3!$A$1,0,MATCH(W$1,Sheet3!$1:$1,0)-1,300)="","",OFFSET(Sheet3!$A$1,0,MATCH(W$1,Sheet3!$1:$1,0)-1,300))</f>
        <v/>
      </c>
      <c r="AB276" s="5" t="str">
        <f ca="1">IF(OFFSET(Sheet3!$A$1,0,MATCH(X$1,Sheet3!$1:$1,0)-1,300)="","",OFFSET(Sheet3!$A$1,0,MATCH(X$1,Sheet3!$1:$1,0)-1,300))</f>
        <v/>
      </c>
      <c r="AC276" t="str">
        <f t="shared" ca="1" si="33"/>
        <v/>
      </c>
      <c r="AD276" t="str">
        <f t="shared" ca="1" si="34"/>
        <v/>
      </c>
    </row>
    <row r="277" spans="1:30" x14ac:dyDescent="0.25">
      <c r="A277" s="4">
        <v>41738</v>
      </c>
      <c r="B277">
        <v>0.36499999999999999</v>
      </c>
      <c r="C277" s="5">
        <v>0.83099999999999996</v>
      </c>
      <c r="D277">
        <v>1.6240000000000001</v>
      </c>
      <c r="E277">
        <v>2.222</v>
      </c>
      <c r="F277">
        <v>2.6909999999999998</v>
      </c>
      <c r="G277">
        <v>3.573</v>
      </c>
      <c r="Z277" s="4" t="str">
        <f ca="1">IF(OFFSET(Sheet3!$A$1,0,0,300)="","",OFFSET(Sheet3!$A$1,0,0,300))</f>
        <v/>
      </c>
      <c r="AA277" s="5" t="str">
        <f ca="1">IF(OFFSET(Sheet3!$A$1,0,MATCH(W$1,Sheet3!$1:$1,0)-1,300)="","",OFFSET(Sheet3!$A$1,0,MATCH(W$1,Sheet3!$1:$1,0)-1,300))</f>
        <v/>
      </c>
      <c r="AB277" s="5" t="str">
        <f ca="1">IF(OFFSET(Sheet3!$A$1,0,MATCH(X$1,Sheet3!$1:$1,0)-1,300)="","",OFFSET(Sheet3!$A$1,0,MATCH(X$1,Sheet3!$1:$1,0)-1,300))</f>
        <v/>
      </c>
      <c r="AC277" t="str">
        <f t="shared" ca="1" si="33"/>
        <v/>
      </c>
      <c r="AD277" t="str">
        <f t="shared" ca="1" si="34"/>
        <v/>
      </c>
    </row>
    <row r="278" spans="1:30" x14ac:dyDescent="0.25">
      <c r="A278" s="4">
        <v>41737</v>
      </c>
      <c r="B278">
        <v>0.39700000000000002</v>
      </c>
      <c r="C278" s="5">
        <v>0.84899999999999998</v>
      </c>
      <c r="D278">
        <v>1.667</v>
      </c>
      <c r="E278">
        <v>2.2439999999999998</v>
      </c>
      <c r="F278">
        <v>2.6819999999999999</v>
      </c>
      <c r="G278">
        <v>3.5390000000000001</v>
      </c>
      <c r="Z278" s="4" t="str">
        <f ca="1">IF(OFFSET(Sheet3!$A$1,0,0,300)="","",OFFSET(Sheet3!$A$1,0,0,300))</f>
        <v/>
      </c>
      <c r="AA278" s="5" t="str">
        <f ca="1">IF(OFFSET(Sheet3!$A$1,0,MATCH(W$1,Sheet3!$1:$1,0)-1,300)="","",OFFSET(Sheet3!$A$1,0,MATCH(W$1,Sheet3!$1:$1,0)-1,300))</f>
        <v/>
      </c>
      <c r="AB278" s="5" t="str">
        <f ca="1">IF(OFFSET(Sheet3!$A$1,0,MATCH(X$1,Sheet3!$1:$1,0)-1,300)="","",OFFSET(Sheet3!$A$1,0,MATCH(X$1,Sheet3!$1:$1,0)-1,300))</f>
        <v/>
      </c>
      <c r="AC278" t="str">
        <f t="shared" ca="1" si="33"/>
        <v/>
      </c>
      <c r="AD278" t="str">
        <f t="shared" ca="1" si="34"/>
        <v/>
      </c>
    </row>
    <row r="279" spans="1:30" x14ac:dyDescent="0.25">
      <c r="A279" s="4">
        <v>41736</v>
      </c>
      <c r="B279">
        <v>0.39700000000000002</v>
      </c>
      <c r="C279" s="5">
        <v>0.84899999999999998</v>
      </c>
      <c r="D279">
        <v>1.6779999999999999</v>
      </c>
      <c r="E279">
        <v>2.2679999999999998</v>
      </c>
      <c r="F279">
        <v>2.7010000000000001</v>
      </c>
      <c r="G279">
        <v>3.5579999999999998</v>
      </c>
      <c r="Z279" s="4" t="str">
        <f ca="1">IF(OFFSET(Sheet3!$A$1,0,0,300)="","",OFFSET(Sheet3!$A$1,0,0,300))</f>
        <v/>
      </c>
      <c r="AA279" s="5" t="str">
        <f ca="1">IF(OFFSET(Sheet3!$A$1,0,MATCH(W$1,Sheet3!$1:$1,0)-1,300)="","",OFFSET(Sheet3!$A$1,0,MATCH(W$1,Sheet3!$1:$1,0)-1,300))</f>
        <v/>
      </c>
      <c r="AB279" s="5" t="str">
        <f ca="1">IF(OFFSET(Sheet3!$A$1,0,MATCH(X$1,Sheet3!$1:$1,0)-1,300)="","",OFFSET(Sheet3!$A$1,0,MATCH(X$1,Sheet3!$1:$1,0)-1,300))</f>
        <v/>
      </c>
      <c r="AC279" t="str">
        <f t="shared" ca="1" si="33"/>
        <v/>
      </c>
      <c r="AD279" t="str">
        <f t="shared" ca="1" si="34"/>
        <v/>
      </c>
    </row>
    <row r="280" spans="1:30" x14ac:dyDescent="0.25">
      <c r="A280" s="4">
        <v>41733</v>
      </c>
      <c r="B280">
        <v>0.41299999999999998</v>
      </c>
      <c r="C280" s="5">
        <v>0.86499999999999999</v>
      </c>
      <c r="D280">
        <v>1.698</v>
      </c>
      <c r="E280">
        <v>2.2829999999999999</v>
      </c>
      <c r="F280">
        <v>2.722</v>
      </c>
      <c r="G280">
        <v>3.5840000000000001</v>
      </c>
      <c r="Z280" s="4" t="str">
        <f ca="1">IF(OFFSET(Sheet3!$A$1,0,0,300)="","",OFFSET(Sheet3!$A$1,0,0,300))</f>
        <v/>
      </c>
      <c r="AA280" s="5" t="str">
        <f ca="1">IF(OFFSET(Sheet3!$A$1,0,MATCH(W$1,Sheet3!$1:$1,0)-1,300)="","",OFFSET(Sheet3!$A$1,0,MATCH(W$1,Sheet3!$1:$1,0)-1,300))</f>
        <v/>
      </c>
      <c r="AB280" s="5" t="str">
        <f ca="1">IF(OFFSET(Sheet3!$A$1,0,MATCH(X$1,Sheet3!$1:$1,0)-1,300)="","",OFFSET(Sheet3!$A$1,0,MATCH(X$1,Sheet3!$1:$1,0)-1,300))</f>
        <v/>
      </c>
      <c r="AC280" t="str">
        <f t="shared" ca="1" si="33"/>
        <v/>
      </c>
      <c r="AD280" t="str">
        <f t="shared" ca="1" si="34"/>
        <v/>
      </c>
    </row>
    <row r="281" spans="1:30" x14ac:dyDescent="0.25">
      <c r="A281" s="4">
        <v>41732</v>
      </c>
      <c r="B281">
        <v>0.45600000000000002</v>
      </c>
      <c r="C281" s="5">
        <v>0.92900000000000005</v>
      </c>
      <c r="D281">
        <v>1.7970000000000002</v>
      </c>
      <c r="E281">
        <v>2.39</v>
      </c>
      <c r="F281">
        <v>2.798</v>
      </c>
      <c r="G281">
        <v>3.63</v>
      </c>
      <c r="Z281" s="4" t="str">
        <f ca="1">IF(OFFSET(Sheet3!$A$1,0,0,300)="","",OFFSET(Sheet3!$A$1,0,0,300))</f>
        <v/>
      </c>
      <c r="AA281" s="5" t="str">
        <f ca="1">IF(OFFSET(Sheet3!$A$1,0,MATCH(W$1,Sheet3!$1:$1,0)-1,300)="","",OFFSET(Sheet3!$A$1,0,MATCH(W$1,Sheet3!$1:$1,0)-1,300))</f>
        <v/>
      </c>
      <c r="AB281" s="5" t="str">
        <f ca="1">IF(OFFSET(Sheet3!$A$1,0,MATCH(X$1,Sheet3!$1:$1,0)-1,300)="","",OFFSET(Sheet3!$A$1,0,MATCH(X$1,Sheet3!$1:$1,0)-1,300))</f>
        <v/>
      </c>
      <c r="AC281" t="str">
        <f t="shared" ca="1" si="33"/>
        <v/>
      </c>
      <c r="AD281" t="str">
        <f t="shared" ca="1" si="34"/>
        <v/>
      </c>
    </row>
    <row r="282" spans="1:30" x14ac:dyDescent="0.25">
      <c r="A282" s="4">
        <v>41731</v>
      </c>
      <c r="B282">
        <v>0.45600000000000002</v>
      </c>
      <c r="C282" s="5">
        <v>0.92400000000000004</v>
      </c>
      <c r="D282">
        <v>1.7930000000000001</v>
      </c>
      <c r="E282">
        <v>2.3849999999999998</v>
      </c>
      <c r="F282">
        <v>2.8050000000000002</v>
      </c>
      <c r="G282">
        <v>3.6480000000000001</v>
      </c>
      <c r="Z282" s="4" t="str">
        <f ca="1">IF(OFFSET(Sheet3!$A$1,0,0,300)="","",OFFSET(Sheet3!$A$1,0,0,300))</f>
        <v/>
      </c>
      <c r="AA282" s="5" t="str">
        <f ca="1">IF(OFFSET(Sheet3!$A$1,0,MATCH(W$1,Sheet3!$1:$1,0)-1,300)="","",OFFSET(Sheet3!$A$1,0,MATCH(W$1,Sheet3!$1:$1,0)-1,300))</f>
        <v/>
      </c>
      <c r="AB282" s="5" t="str">
        <f ca="1">IF(OFFSET(Sheet3!$A$1,0,MATCH(X$1,Sheet3!$1:$1,0)-1,300)="","",OFFSET(Sheet3!$A$1,0,MATCH(X$1,Sheet3!$1:$1,0)-1,300))</f>
        <v/>
      </c>
      <c r="AC282" t="str">
        <f t="shared" ca="1" si="33"/>
        <v/>
      </c>
      <c r="AD282" t="str">
        <f t="shared" ca="1" si="34"/>
        <v/>
      </c>
    </row>
    <row r="283" spans="1:30" x14ac:dyDescent="0.25">
      <c r="A283" s="4">
        <v>41730</v>
      </c>
      <c r="B283">
        <v>0.432</v>
      </c>
      <c r="C283" s="5">
        <v>0.88300000000000001</v>
      </c>
      <c r="D283">
        <v>1.732</v>
      </c>
      <c r="E283">
        <v>2.3170000000000002</v>
      </c>
      <c r="F283">
        <v>2.7530000000000001</v>
      </c>
      <c r="G283">
        <v>3.6059999999999999</v>
      </c>
      <c r="Z283" s="4" t="str">
        <f ca="1">IF(OFFSET(Sheet3!$A$1,0,0,300)="","",OFFSET(Sheet3!$A$1,0,0,300))</f>
        <v/>
      </c>
      <c r="AA283" s="5" t="str">
        <f ca="1">IF(OFFSET(Sheet3!$A$1,0,MATCH(W$1,Sheet3!$1:$1,0)-1,300)="","",OFFSET(Sheet3!$A$1,0,MATCH(W$1,Sheet3!$1:$1,0)-1,300))</f>
        <v/>
      </c>
      <c r="AB283" s="5" t="str">
        <f ca="1">IF(OFFSET(Sheet3!$A$1,0,MATCH(X$1,Sheet3!$1:$1,0)-1,300)="","",OFFSET(Sheet3!$A$1,0,MATCH(X$1,Sheet3!$1:$1,0)-1,300))</f>
        <v/>
      </c>
      <c r="AC283" t="str">
        <f t="shared" ca="1" si="33"/>
        <v/>
      </c>
      <c r="AD283" t="str">
        <f t="shared" ca="1" si="34"/>
        <v/>
      </c>
    </row>
    <row r="284" spans="1:30" x14ac:dyDescent="0.25">
      <c r="A284" s="4">
        <v>41729</v>
      </c>
      <c r="B284">
        <v>0.42</v>
      </c>
      <c r="C284" s="5">
        <v>0.86899999999999999</v>
      </c>
      <c r="D284">
        <v>1.7189999999999999</v>
      </c>
      <c r="E284">
        <v>2.2999999999999998</v>
      </c>
      <c r="F284">
        <v>2.7189999999999999</v>
      </c>
      <c r="G284">
        <v>3.5590000000000002</v>
      </c>
      <c r="Z284" s="4" t="str">
        <f ca="1">IF(OFFSET(Sheet3!$A$1,0,0,300)="","",OFFSET(Sheet3!$A$1,0,0,300))</f>
        <v/>
      </c>
      <c r="AA284" s="5" t="str">
        <f ca="1">IF(OFFSET(Sheet3!$A$1,0,MATCH(W$1,Sheet3!$1:$1,0)-1,300)="","",OFFSET(Sheet3!$A$1,0,MATCH(W$1,Sheet3!$1:$1,0)-1,300))</f>
        <v/>
      </c>
      <c r="AB284" s="5" t="str">
        <f ca="1">IF(OFFSET(Sheet3!$A$1,0,MATCH(X$1,Sheet3!$1:$1,0)-1,300)="","",OFFSET(Sheet3!$A$1,0,MATCH(X$1,Sheet3!$1:$1,0)-1,300))</f>
        <v/>
      </c>
      <c r="AC284" t="str">
        <f t="shared" ca="1" si="33"/>
        <v/>
      </c>
      <c r="AD284" t="str">
        <f t="shared" ca="1" si="34"/>
        <v/>
      </c>
    </row>
    <row r="285" spans="1:30" x14ac:dyDescent="0.25">
      <c r="A285" s="4">
        <v>41726</v>
      </c>
      <c r="B285">
        <v>0.45200000000000001</v>
      </c>
      <c r="C285" s="5">
        <v>0.91</v>
      </c>
      <c r="D285">
        <v>1.7490000000000001</v>
      </c>
      <c r="E285">
        <v>2.3170000000000002</v>
      </c>
      <c r="F285">
        <v>2.722</v>
      </c>
      <c r="G285">
        <v>3.548</v>
      </c>
      <c r="Z285" s="4" t="str">
        <f ca="1">IF(OFFSET(Sheet3!$A$1,0,0,300)="","",OFFSET(Sheet3!$A$1,0,0,300))</f>
        <v/>
      </c>
      <c r="AA285" s="5" t="str">
        <f ca="1">IF(OFFSET(Sheet3!$A$1,0,MATCH(W$1,Sheet3!$1:$1,0)-1,300)="","",OFFSET(Sheet3!$A$1,0,MATCH(W$1,Sheet3!$1:$1,0)-1,300))</f>
        <v/>
      </c>
      <c r="AB285" s="5" t="str">
        <f ca="1">IF(OFFSET(Sheet3!$A$1,0,MATCH(X$1,Sheet3!$1:$1,0)-1,300)="","",OFFSET(Sheet3!$A$1,0,MATCH(X$1,Sheet3!$1:$1,0)-1,300))</f>
        <v/>
      </c>
      <c r="AC285" t="str">
        <f t="shared" ca="1" si="33"/>
        <v/>
      </c>
      <c r="AD285" t="str">
        <f t="shared" ca="1" si="34"/>
        <v/>
      </c>
    </row>
    <row r="286" spans="1:30" x14ac:dyDescent="0.25">
      <c r="A286" s="4">
        <v>41725</v>
      </c>
      <c r="B286">
        <v>0.44800000000000001</v>
      </c>
      <c r="C286" s="5">
        <v>0.89300000000000002</v>
      </c>
      <c r="D286">
        <v>1.716</v>
      </c>
      <c r="E286">
        <v>2.2560000000000002</v>
      </c>
      <c r="F286">
        <v>2.6819999999999999</v>
      </c>
      <c r="G286">
        <v>3.528</v>
      </c>
      <c r="Z286" s="4" t="str">
        <f ca="1">IF(OFFSET(Sheet3!$A$1,0,0,300)="","",OFFSET(Sheet3!$A$1,0,0,300))</f>
        <v/>
      </c>
      <c r="AA286" s="5" t="str">
        <f ca="1">IF(OFFSET(Sheet3!$A$1,0,MATCH(W$1,Sheet3!$1:$1,0)-1,300)="","",OFFSET(Sheet3!$A$1,0,MATCH(W$1,Sheet3!$1:$1,0)-1,300))</f>
        <v/>
      </c>
      <c r="AB286" s="5" t="str">
        <f ca="1">IF(OFFSET(Sheet3!$A$1,0,MATCH(X$1,Sheet3!$1:$1,0)-1,300)="","",OFFSET(Sheet3!$A$1,0,MATCH(X$1,Sheet3!$1:$1,0)-1,300))</f>
        <v/>
      </c>
      <c r="AC286" t="str">
        <f t="shared" ca="1" si="33"/>
        <v/>
      </c>
      <c r="AD286" t="str">
        <f t="shared" ca="1" si="34"/>
        <v/>
      </c>
    </row>
    <row r="287" spans="1:30" x14ac:dyDescent="0.25">
      <c r="A287" s="4">
        <v>41724</v>
      </c>
      <c r="B287">
        <v>0.44400000000000001</v>
      </c>
      <c r="C287" s="5">
        <v>0.874</v>
      </c>
      <c r="D287">
        <v>1.673</v>
      </c>
      <c r="E287">
        <v>2.2480000000000002</v>
      </c>
      <c r="F287">
        <v>2.6930000000000001</v>
      </c>
      <c r="G287">
        <v>3.5430000000000001</v>
      </c>
      <c r="Z287" s="4" t="str">
        <f ca="1">IF(OFFSET(Sheet3!$A$1,0,0,300)="","",OFFSET(Sheet3!$A$1,0,0,300))</f>
        <v/>
      </c>
      <c r="AA287" s="5" t="str">
        <f ca="1">IF(OFFSET(Sheet3!$A$1,0,MATCH(W$1,Sheet3!$1:$1,0)-1,300)="","",OFFSET(Sheet3!$A$1,0,MATCH(W$1,Sheet3!$1:$1,0)-1,300))</f>
        <v/>
      </c>
      <c r="AB287" s="5" t="str">
        <f ca="1">IF(OFFSET(Sheet3!$A$1,0,MATCH(X$1,Sheet3!$1:$1,0)-1,300)="","",OFFSET(Sheet3!$A$1,0,MATCH(X$1,Sheet3!$1:$1,0)-1,300))</f>
        <v/>
      </c>
      <c r="AC287" t="str">
        <f t="shared" ca="1" si="33"/>
        <v/>
      </c>
      <c r="AD287" t="str">
        <f t="shared" ca="1" si="34"/>
        <v/>
      </c>
    </row>
    <row r="288" spans="1:30" x14ac:dyDescent="0.25">
      <c r="A288" s="4">
        <v>41723</v>
      </c>
      <c r="B288">
        <v>0.42699999999999999</v>
      </c>
      <c r="C288" s="5">
        <v>0.91400000000000003</v>
      </c>
      <c r="D288">
        <v>1.73</v>
      </c>
      <c r="E288">
        <v>2.3050000000000002</v>
      </c>
      <c r="F288">
        <v>2.7490000000000001</v>
      </c>
      <c r="G288">
        <v>3.5920000000000001</v>
      </c>
      <c r="Z288" s="4" t="str">
        <f ca="1">IF(OFFSET(Sheet3!$A$1,0,0,300)="","",OFFSET(Sheet3!$A$1,0,0,300))</f>
        <v/>
      </c>
      <c r="AA288" s="5" t="str">
        <f ca="1">IF(OFFSET(Sheet3!$A$1,0,MATCH(W$1,Sheet3!$1:$1,0)-1,300)="","",OFFSET(Sheet3!$A$1,0,MATCH(W$1,Sheet3!$1:$1,0)-1,300))</f>
        <v/>
      </c>
      <c r="AB288" s="5" t="str">
        <f ca="1">IF(OFFSET(Sheet3!$A$1,0,MATCH(X$1,Sheet3!$1:$1,0)-1,300)="","",OFFSET(Sheet3!$A$1,0,MATCH(X$1,Sheet3!$1:$1,0)-1,300))</f>
        <v/>
      </c>
      <c r="AC288" t="str">
        <f t="shared" ca="1" si="33"/>
        <v/>
      </c>
      <c r="AD288" t="str">
        <f t="shared" ca="1" si="34"/>
        <v/>
      </c>
    </row>
    <row r="289" spans="1:30" x14ac:dyDescent="0.25">
      <c r="A289" s="4">
        <v>41722</v>
      </c>
      <c r="B289">
        <v>0.435</v>
      </c>
      <c r="C289" s="5">
        <v>0.92500000000000004</v>
      </c>
      <c r="D289">
        <v>1.7309999999999999</v>
      </c>
      <c r="E289">
        <v>2.2930000000000001</v>
      </c>
      <c r="F289">
        <v>2.7290000000000001</v>
      </c>
      <c r="G289">
        <v>3.5620000000000003</v>
      </c>
      <c r="Z289" s="4" t="str">
        <f ca="1">IF(OFFSET(Sheet3!$A$1,0,0,300)="","",OFFSET(Sheet3!$A$1,0,0,300))</f>
        <v/>
      </c>
      <c r="AA289" s="5" t="str">
        <f ca="1">IF(OFFSET(Sheet3!$A$1,0,MATCH(W$1,Sheet3!$1:$1,0)-1,300)="","",OFFSET(Sheet3!$A$1,0,MATCH(W$1,Sheet3!$1:$1,0)-1,300))</f>
        <v/>
      </c>
      <c r="AB289" s="5" t="str">
        <f ca="1">IF(OFFSET(Sheet3!$A$1,0,MATCH(X$1,Sheet3!$1:$1,0)-1,300)="","",OFFSET(Sheet3!$A$1,0,MATCH(X$1,Sheet3!$1:$1,0)-1,300))</f>
        <v/>
      </c>
      <c r="AC289" t="str">
        <f t="shared" ca="1" si="33"/>
        <v/>
      </c>
      <c r="AD289" t="str">
        <f t="shared" ca="1" si="34"/>
        <v/>
      </c>
    </row>
    <row r="290" spans="1:30" x14ac:dyDescent="0.25">
      <c r="A290" s="4">
        <v>41719</v>
      </c>
      <c r="B290">
        <v>0.42699999999999999</v>
      </c>
      <c r="C290" s="5">
        <v>0.89500000000000002</v>
      </c>
      <c r="D290">
        <v>1.708</v>
      </c>
      <c r="E290">
        <v>2.2850000000000001</v>
      </c>
      <c r="F290">
        <v>2.7429999999999999</v>
      </c>
      <c r="G290">
        <v>3.6080000000000001</v>
      </c>
      <c r="Z290" s="4" t="str">
        <f ca="1">IF(OFFSET(Sheet3!$A$1,0,0,300)="","",OFFSET(Sheet3!$A$1,0,0,300))</f>
        <v/>
      </c>
      <c r="AA290" s="5" t="str">
        <f ca="1">IF(OFFSET(Sheet3!$A$1,0,MATCH(W$1,Sheet3!$1:$1,0)-1,300)="","",OFFSET(Sheet3!$A$1,0,MATCH(W$1,Sheet3!$1:$1,0)-1,300))</f>
        <v/>
      </c>
      <c r="AB290" s="5" t="str">
        <f ca="1">IF(OFFSET(Sheet3!$A$1,0,MATCH(X$1,Sheet3!$1:$1,0)-1,300)="","",OFFSET(Sheet3!$A$1,0,MATCH(X$1,Sheet3!$1:$1,0)-1,300))</f>
        <v/>
      </c>
      <c r="AC290" t="str">
        <f t="shared" ca="1" si="33"/>
        <v/>
      </c>
      <c r="AD290" t="str">
        <f t="shared" ca="1" si="34"/>
        <v/>
      </c>
    </row>
    <row r="291" spans="1:30" x14ac:dyDescent="0.25">
      <c r="A291" s="4">
        <v>41718</v>
      </c>
      <c r="B291">
        <v>0.42199999999999999</v>
      </c>
      <c r="C291" s="5">
        <v>0.88400000000000001</v>
      </c>
      <c r="D291">
        <v>1.7010000000000001</v>
      </c>
      <c r="E291">
        <v>2.2919999999999998</v>
      </c>
      <c r="F291">
        <v>2.7730000000000001</v>
      </c>
      <c r="G291">
        <v>3.6640000000000001</v>
      </c>
      <c r="Z291" s="4" t="str">
        <f ca="1">IF(OFFSET(Sheet3!$A$1,0,0,300)="","",OFFSET(Sheet3!$A$1,0,0,300))</f>
        <v/>
      </c>
      <c r="AA291" s="5" t="str">
        <f ca="1">IF(OFFSET(Sheet3!$A$1,0,MATCH(W$1,Sheet3!$1:$1,0)-1,300)="","",OFFSET(Sheet3!$A$1,0,MATCH(W$1,Sheet3!$1:$1,0)-1,300))</f>
        <v/>
      </c>
      <c r="AB291" s="5" t="str">
        <f ca="1">IF(OFFSET(Sheet3!$A$1,0,MATCH(X$1,Sheet3!$1:$1,0)-1,300)="","",OFFSET(Sheet3!$A$1,0,MATCH(X$1,Sheet3!$1:$1,0)-1,300))</f>
        <v/>
      </c>
      <c r="AC291" t="str">
        <f t="shared" ca="1" si="33"/>
        <v/>
      </c>
      <c r="AD291" t="str">
        <f t="shared" ca="1" si="34"/>
        <v/>
      </c>
    </row>
    <row r="292" spans="1:30" x14ac:dyDescent="0.25">
      <c r="A292" s="4">
        <v>41717</v>
      </c>
      <c r="B292">
        <v>0.42199999999999999</v>
      </c>
      <c r="C292" s="5">
        <v>0.88400000000000001</v>
      </c>
      <c r="D292">
        <v>1.708</v>
      </c>
      <c r="E292">
        <v>2.2919999999999998</v>
      </c>
      <c r="F292">
        <v>2.7730000000000001</v>
      </c>
      <c r="G292">
        <v>3.6579999999999999</v>
      </c>
      <c r="Z292" s="4" t="str">
        <f ca="1">IF(OFFSET(Sheet3!$A$1,0,0,300)="","",OFFSET(Sheet3!$A$1,0,0,300))</f>
        <v/>
      </c>
      <c r="AA292" s="5" t="str">
        <f ca="1">IF(OFFSET(Sheet3!$A$1,0,MATCH(W$1,Sheet3!$1:$1,0)-1,300)="","",OFFSET(Sheet3!$A$1,0,MATCH(W$1,Sheet3!$1:$1,0)-1,300))</f>
        <v/>
      </c>
      <c r="AB292" s="5" t="str">
        <f ca="1">IF(OFFSET(Sheet3!$A$1,0,MATCH(X$1,Sheet3!$1:$1,0)-1,300)="","",OFFSET(Sheet3!$A$1,0,MATCH(X$1,Sheet3!$1:$1,0)-1,300))</f>
        <v/>
      </c>
      <c r="AC292" t="str">
        <f t="shared" ca="1" si="33"/>
        <v/>
      </c>
      <c r="AD292" t="str">
        <f t="shared" ca="1" si="34"/>
        <v/>
      </c>
    </row>
    <row r="293" spans="1:30" x14ac:dyDescent="0.25">
      <c r="A293" s="4">
        <v>41716</v>
      </c>
      <c r="B293">
        <v>0.34899999999999998</v>
      </c>
      <c r="C293" s="5">
        <v>0.751</v>
      </c>
      <c r="D293">
        <v>1.5470000000000002</v>
      </c>
      <c r="E293">
        <v>2.1539999999999999</v>
      </c>
      <c r="F293">
        <v>2.673</v>
      </c>
      <c r="G293">
        <v>3.6139999999999999</v>
      </c>
      <c r="Z293" s="4" t="str">
        <f ca="1">IF(OFFSET(Sheet3!$A$1,0,0,300)="","",OFFSET(Sheet3!$A$1,0,0,300))</f>
        <v/>
      </c>
      <c r="AA293" s="5" t="str">
        <f ca="1">IF(OFFSET(Sheet3!$A$1,0,MATCH(W$1,Sheet3!$1:$1,0)-1,300)="","",OFFSET(Sheet3!$A$1,0,MATCH(W$1,Sheet3!$1:$1,0)-1,300))</f>
        <v/>
      </c>
      <c r="AB293" s="5" t="str">
        <f ca="1">IF(OFFSET(Sheet3!$A$1,0,MATCH(X$1,Sheet3!$1:$1,0)-1,300)="","",OFFSET(Sheet3!$A$1,0,MATCH(X$1,Sheet3!$1:$1,0)-1,300))</f>
        <v/>
      </c>
      <c r="AC293" t="str">
        <f t="shared" ca="1" si="33"/>
        <v/>
      </c>
      <c r="AD293" t="str">
        <f t="shared" ca="1" si="34"/>
        <v/>
      </c>
    </row>
    <row r="294" spans="1:30" x14ac:dyDescent="0.25">
      <c r="A294" s="4">
        <v>41715</v>
      </c>
      <c r="B294">
        <v>0.36099999999999999</v>
      </c>
      <c r="C294" s="5">
        <v>0.77</v>
      </c>
      <c r="D294">
        <v>1.5680000000000001</v>
      </c>
      <c r="E294">
        <v>2.1760000000000002</v>
      </c>
      <c r="F294">
        <v>2.6930000000000001</v>
      </c>
      <c r="G294">
        <v>3.629</v>
      </c>
      <c r="Z294" s="4" t="str">
        <f ca="1">IF(OFFSET(Sheet3!$A$1,0,0,300)="","",OFFSET(Sheet3!$A$1,0,0,300))</f>
        <v/>
      </c>
      <c r="AA294" s="5" t="str">
        <f ca="1">IF(OFFSET(Sheet3!$A$1,0,MATCH(W$1,Sheet3!$1:$1,0)-1,300)="","",OFFSET(Sheet3!$A$1,0,MATCH(W$1,Sheet3!$1:$1,0)-1,300))</f>
        <v/>
      </c>
      <c r="AB294" s="5" t="str">
        <f ca="1">IF(OFFSET(Sheet3!$A$1,0,MATCH(X$1,Sheet3!$1:$1,0)-1,300)="","",OFFSET(Sheet3!$A$1,0,MATCH(X$1,Sheet3!$1:$1,0)-1,300))</f>
        <v/>
      </c>
      <c r="AC294" t="str">
        <f t="shared" ca="1" si="33"/>
        <v/>
      </c>
      <c r="AD294" t="str">
        <f t="shared" ca="1" si="34"/>
        <v/>
      </c>
    </row>
    <row r="295" spans="1:30" x14ac:dyDescent="0.25">
      <c r="A295" s="4">
        <v>41712</v>
      </c>
      <c r="B295">
        <v>0.34399999999999997</v>
      </c>
      <c r="C295" s="5">
        <v>0.74099999999999999</v>
      </c>
      <c r="D295">
        <v>1.5350000000000001</v>
      </c>
      <c r="E295">
        <v>2.14</v>
      </c>
      <c r="F295">
        <v>2.6550000000000002</v>
      </c>
      <c r="G295">
        <v>3.6</v>
      </c>
      <c r="Z295" s="4" t="str">
        <f ca="1">IF(OFFSET(Sheet3!$A$1,0,0,300)="","",OFFSET(Sheet3!$A$1,0,0,300))</f>
        <v/>
      </c>
      <c r="AA295" s="5" t="str">
        <f ca="1">IF(OFFSET(Sheet3!$A$1,0,MATCH(W$1,Sheet3!$1:$1,0)-1,300)="","",OFFSET(Sheet3!$A$1,0,MATCH(W$1,Sheet3!$1:$1,0)-1,300))</f>
        <v/>
      </c>
      <c r="AB295" s="5" t="str">
        <f ca="1">IF(OFFSET(Sheet3!$A$1,0,MATCH(X$1,Sheet3!$1:$1,0)-1,300)="","",OFFSET(Sheet3!$A$1,0,MATCH(X$1,Sheet3!$1:$1,0)-1,300))</f>
        <v/>
      </c>
      <c r="AC295" t="str">
        <f t="shared" ca="1" si="33"/>
        <v/>
      </c>
      <c r="AD295" t="str">
        <f t="shared" ca="1" si="34"/>
        <v/>
      </c>
    </row>
    <row r="296" spans="1:30" x14ac:dyDescent="0.25">
      <c r="A296" s="4">
        <v>41711</v>
      </c>
      <c r="B296">
        <v>0.34</v>
      </c>
      <c r="C296" s="5">
        <v>0.73799999999999999</v>
      </c>
      <c r="D296">
        <v>1.52</v>
      </c>
      <c r="E296">
        <v>2.1269999999999998</v>
      </c>
      <c r="F296">
        <v>2.645</v>
      </c>
      <c r="G296">
        <v>3.5910000000000002</v>
      </c>
      <c r="Z296" s="4" t="str">
        <f ca="1">IF(OFFSET(Sheet3!$A$1,0,0,300)="","",OFFSET(Sheet3!$A$1,0,0,300))</f>
        <v/>
      </c>
      <c r="AA296" s="5" t="str">
        <f ca="1">IF(OFFSET(Sheet3!$A$1,0,MATCH(W$1,Sheet3!$1:$1,0)-1,300)="","",OFFSET(Sheet3!$A$1,0,MATCH(W$1,Sheet3!$1:$1,0)-1,300))</f>
        <v/>
      </c>
      <c r="AB296" s="5" t="str">
        <f ca="1">IF(OFFSET(Sheet3!$A$1,0,MATCH(X$1,Sheet3!$1:$1,0)-1,300)="","",OFFSET(Sheet3!$A$1,0,MATCH(X$1,Sheet3!$1:$1,0)-1,300))</f>
        <v/>
      </c>
      <c r="AC296" t="str">
        <f t="shared" ca="1" si="33"/>
        <v/>
      </c>
      <c r="AD296" t="str">
        <f t="shared" ca="1" si="34"/>
        <v/>
      </c>
    </row>
    <row r="297" spans="1:30" x14ac:dyDescent="0.25">
      <c r="A297" s="4">
        <v>41710</v>
      </c>
      <c r="B297">
        <v>0.36399999999999999</v>
      </c>
      <c r="C297" s="5">
        <v>0.78600000000000003</v>
      </c>
      <c r="D297">
        <v>1.589</v>
      </c>
      <c r="E297">
        <v>2.21</v>
      </c>
      <c r="F297">
        <v>2.7309999999999999</v>
      </c>
      <c r="G297">
        <v>3.6739999999999999</v>
      </c>
      <c r="Z297" s="4" t="str">
        <f ca="1">IF(OFFSET(Sheet3!$A$1,0,0,300)="","",OFFSET(Sheet3!$A$1,0,0,300))</f>
        <v/>
      </c>
      <c r="AA297" s="5" t="str">
        <f ca="1">IF(OFFSET(Sheet3!$A$1,0,MATCH(W$1,Sheet3!$1:$1,0)-1,300)="","",OFFSET(Sheet3!$A$1,0,MATCH(W$1,Sheet3!$1:$1,0)-1,300))</f>
        <v/>
      </c>
      <c r="AB297" s="5" t="str">
        <f ca="1">IF(OFFSET(Sheet3!$A$1,0,MATCH(X$1,Sheet3!$1:$1,0)-1,300)="","",OFFSET(Sheet3!$A$1,0,MATCH(X$1,Sheet3!$1:$1,0)-1,300))</f>
        <v/>
      </c>
      <c r="AC297" t="str">
        <f t="shared" ca="1" si="33"/>
        <v/>
      </c>
      <c r="AD297" t="str">
        <f t="shared" ca="1" si="34"/>
        <v/>
      </c>
    </row>
    <row r="298" spans="1:30" x14ac:dyDescent="0.25">
      <c r="A298" s="4">
        <v>41709</v>
      </c>
      <c r="B298">
        <v>0.372</v>
      </c>
      <c r="C298" s="5">
        <v>0.76100000000000001</v>
      </c>
      <c r="D298">
        <v>1.6160000000000001</v>
      </c>
      <c r="E298">
        <v>2.242</v>
      </c>
      <c r="F298">
        <v>2.7690000000000001</v>
      </c>
      <c r="G298">
        <v>3.71</v>
      </c>
      <c r="Z298" s="4" t="str">
        <f ca="1">IF(OFFSET(Sheet3!$A$1,0,0,300)="","",OFFSET(Sheet3!$A$1,0,0,300))</f>
        <v/>
      </c>
      <c r="AA298" s="5" t="str">
        <f ca="1">IF(OFFSET(Sheet3!$A$1,0,MATCH(W$1,Sheet3!$1:$1,0)-1,300)="","",OFFSET(Sheet3!$A$1,0,MATCH(W$1,Sheet3!$1:$1,0)-1,300))</f>
        <v/>
      </c>
      <c r="AB298" s="5" t="str">
        <f ca="1">IF(OFFSET(Sheet3!$A$1,0,MATCH(X$1,Sheet3!$1:$1,0)-1,300)="","",OFFSET(Sheet3!$A$1,0,MATCH(X$1,Sheet3!$1:$1,0)-1,300))</f>
        <v/>
      </c>
      <c r="AC298" t="str">
        <f t="shared" ca="1" si="33"/>
        <v/>
      </c>
      <c r="AD298" t="str">
        <f t="shared" ca="1" si="34"/>
        <v/>
      </c>
    </row>
    <row r="299" spans="1:30" x14ac:dyDescent="0.25">
      <c r="A299" s="4">
        <v>41708</v>
      </c>
      <c r="B299">
        <v>0.36799999999999999</v>
      </c>
      <c r="C299" s="5">
        <v>0.76400000000000001</v>
      </c>
      <c r="D299">
        <v>1.6219999999999999</v>
      </c>
      <c r="E299">
        <v>2.2519999999999998</v>
      </c>
      <c r="F299">
        <v>2.778</v>
      </c>
      <c r="G299">
        <v>3.722</v>
      </c>
      <c r="Z299" s="4" t="str">
        <f ca="1">IF(OFFSET(Sheet3!$A$1,0,0,300)="","",OFFSET(Sheet3!$A$1,0,0,300))</f>
        <v/>
      </c>
      <c r="AA299" s="5" t="str">
        <f ca="1">IF(OFFSET(Sheet3!$A$1,0,MATCH(W$1,Sheet3!$1:$1,0)-1,300)="","",OFFSET(Sheet3!$A$1,0,MATCH(W$1,Sheet3!$1:$1,0)-1,300))</f>
        <v/>
      </c>
      <c r="AB299" s="5" t="str">
        <f ca="1">IF(OFFSET(Sheet3!$A$1,0,MATCH(X$1,Sheet3!$1:$1,0)-1,300)="","",OFFSET(Sheet3!$A$1,0,MATCH(X$1,Sheet3!$1:$1,0)-1,300))</f>
        <v/>
      </c>
      <c r="AC299" t="str">
        <f t="shared" ca="1" si="33"/>
        <v/>
      </c>
      <c r="AD299" t="str">
        <f t="shared" ca="1" si="34"/>
        <v/>
      </c>
    </row>
    <row r="300" spans="1:30" x14ac:dyDescent="0.25">
      <c r="A300" s="4">
        <v>41705</v>
      </c>
      <c r="B300">
        <v>0.371</v>
      </c>
      <c r="C300" s="5">
        <v>0.76900000000000002</v>
      </c>
      <c r="D300">
        <v>1.637</v>
      </c>
      <c r="E300">
        <v>2.2640000000000002</v>
      </c>
      <c r="F300">
        <v>2.7890000000000001</v>
      </c>
      <c r="G300">
        <v>3.7210000000000001</v>
      </c>
      <c r="Z300" s="4" t="str">
        <f ca="1">IF(OFFSET(Sheet3!$A$1,0,0,300)="","",OFFSET(Sheet3!$A$1,0,0,300))</f>
        <v/>
      </c>
      <c r="AA300" s="5" t="str">
        <f ca="1">IF(OFFSET(Sheet3!$A$1,0,MATCH(W$1,Sheet3!$1:$1,0)-1,300)="","",OFFSET(Sheet3!$A$1,0,MATCH(W$1,Sheet3!$1:$1,0)-1,300))</f>
        <v/>
      </c>
      <c r="AB300" s="5" t="str">
        <f ca="1">IF(OFFSET(Sheet3!$A$1,0,MATCH(X$1,Sheet3!$1:$1,0)-1,300)="","",OFFSET(Sheet3!$A$1,0,MATCH(X$1,Sheet3!$1:$1,0)-1,300))</f>
        <v/>
      </c>
      <c r="AC300" t="str">
        <f t="shared" ca="1" si="33"/>
        <v/>
      </c>
      <c r="AD300" t="str">
        <f t="shared" ca="1" si="34"/>
        <v/>
      </c>
    </row>
    <row r="301" spans="1:30" x14ac:dyDescent="0.25">
      <c r="A301" s="4">
        <v>41704</v>
      </c>
      <c r="B301">
        <v>0.34300000000000003</v>
      </c>
      <c r="C301" s="5">
        <v>0.71499999999999997</v>
      </c>
      <c r="D301">
        <v>1.5699999999999998</v>
      </c>
      <c r="E301">
        <v>2.2029999999999998</v>
      </c>
      <c r="F301">
        <v>2.738</v>
      </c>
      <c r="G301">
        <v>3.69</v>
      </c>
    </row>
    <row r="302" spans="1:30" x14ac:dyDescent="0.25">
      <c r="A302" s="4">
        <v>41703</v>
      </c>
      <c r="B302">
        <v>0.33500000000000002</v>
      </c>
      <c r="C302" s="5">
        <v>0.69599999999999995</v>
      </c>
      <c r="D302">
        <v>1.5430000000000001</v>
      </c>
      <c r="E302">
        <v>2.173</v>
      </c>
      <c r="F302">
        <v>2.706</v>
      </c>
      <c r="G302">
        <v>3.6480000000000001</v>
      </c>
    </row>
    <row r="303" spans="1:30" x14ac:dyDescent="0.25">
      <c r="A303" s="4">
        <v>41702</v>
      </c>
      <c r="B303">
        <v>0.33500000000000002</v>
      </c>
      <c r="C303" s="5">
        <v>0.69299999999999995</v>
      </c>
      <c r="D303">
        <v>1.5369999999999999</v>
      </c>
      <c r="E303">
        <v>2.1709999999999998</v>
      </c>
      <c r="F303">
        <v>2.6989999999999998</v>
      </c>
      <c r="G303">
        <v>3.6480000000000001</v>
      </c>
    </row>
    <row r="304" spans="1:30" x14ac:dyDescent="0.25">
      <c r="A304" s="4">
        <v>41701</v>
      </c>
      <c r="B304">
        <v>0.30299999999999999</v>
      </c>
      <c r="C304" s="5">
        <v>0.64500000000000002</v>
      </c>
      <c r="D304">
        <v>1.458</v>
      </c>
      <c r="E304">
        <v>2.0760000000000001</v>
      </c>
      <c r="F304">
        <v>2.6019999999999999</v>
      </c>
      <c r="G304">
        <v>3.5550000000000002</v>
      </c>
    </row>
    <row r="305" spans="1:7" x14ac:dyDescent="0.25">
      <c r="A305" s="4">
        <v>41698</v>
      </c>
      <c r="B305">
        <v>0.31900000000000001</v>
      </c>
      <c r="C305" s="5">
        <v>0.66900000000000004</v>
      </c>
      <c r="D305">
        <v>1.502</v>
      </c>
      <c r="E305">
        <v>2.1219999999999999</v>
      </c>
      <c r="F305">
        <v>2.6480000000000001</v>
      </c>
      <c r="G305">
        <v>3.5830000000000002</v>
      </c>
    </row>
    <row r="306" spans="1:7" x14ac:dyDescent="0.25">
      <c r="A306" s="4">
        <v>41697</v>
      </c>
      <c r="B306">
        <v>0.32300000000000001</v>
      </c>
      <c r="C306" s="5">
        <v>0.66100000000000003</v>
      </c>
      <c r="D306">
        <v>1.4830000000000001</v>
      </c>
      <c r="E306">
        <v>2.0819999999999999</v>
      </c>
      <c r="F306">
        <v>2.64</v>
      </c>
      <c r="G306">
        <v>3.5920000000000001</v>
      </c>
    </row>
    <row r="307" spans="1:7" x14ac:dyDescent="0.25">
      <c r="A307" s="4">
        <v>41696</v>
      </c>
      <c r="B307">
        <v>0.32600000000000001</v>
      </c>
      <c r="C307" s="5">
        <v>0.66900000000000004</v>
      </c>
      <c r="D307">
        <v>1.476</v>
      </c>
      <c r="E307">
        <v>2.1070000000000002</v>
      </c>
      <c r="F307">
        <v>2.6659999999999999</v>
      </c>
      <c r="G307">
        <v>3.625</v>
      </c>
    </row>
    <row r="308" spans="1:7" x14ac:dyDescent="0.25">
      <c r="A308" s="4">
        <v>41695</v>
      </c>
      <c r="B308">
        <v>0.316</v>
      </c>
      <c r="C308" s="5">
        <v>0.69299999999999995</v>
      </c>
      <c r="D308">
        <v>1.512</v>
      </c>
      <c r="E308">
        <v>2.1480000000000001</v>
      </c>
      <c r="F308">
        <v>2.7029999999999998</v>
      </c>
      <c r="G308">
        <v>3.6589999999999998</v>
      </c>
    </row>
    <row r="309" spans="1:7" x14ac:dyDescent="0.25">
      <c r="A309" s="4">
        <v>41694</v>
      </c>
      <c r="B309">
        <v>0.32</v>
      </c>
      <c r="C309" s="5">
        <v>0.71099999999999997</v>
      </c>
      <c r="D309">
        <v>1.5449999999999999</v>
      </c>
      <c r="E309">
        <v>2.1819999999999999</v>
      </c>
      <c r="F309">
        <v>2.7389999999999999</v>
      </c>
      <c r="G309">
        <v>3.6989999999999998</v>
      </c>
    </row>
    <row r="310" spans="1:7" x14ac:dyDescent="0.25">
      <c r="A310" s="4">
        <v>41691</v>
      </c>
      <c r="B310">
        <v>0.316</v>
      </c>
      <c r="C310" s="5">
        <v>0.70299999999999996</v>
      </c>
      <c r="D310">
        <v>1.534</v>
      </c>
      <c r="E310">
        <v>2.1720000000000002</v>
      </c>
      <c r="F310">
        <v>2.7320000000000002</v>
      </c>
      <c r="G310">
        <v>3.694</v>
      </c>
    </row>
    <row r="311" spans="1:7" x14ac:dyDescent="0.25">
      <c r="A311" s="4">
        <v>41690</v>
      </c>
      <c r="B311">
        <v>0.32</v>
      </c>
      <c r="C311" s="5">
        <v>0.70899999999999996</v>
      </c>
      <c r="D311">
        <v>1.5390000000000001</v>
      </c>
      <c r="E311">
        <v>2.1850000000000001</v>
      </c>
      <c r="F311">
        <v>2.7519999999999998</v>
      </c>
      <c r="G311">
        <v>3.7240000000000002</v>
      </c>
    </row>
    <row r="312" spans="1:7" x14ac:dyDescent="0.25">
      <c r="A312" s="4">
        <v>41689</v>
      </c>
      <c r="B312">
        <v>0.317</v>
      </c>
      <c r="C312" s="5">
        <v>0.69799999999999995</v>
      </c>
      <c r="D312">
        <v>1.5169999999999999</v>
      </c>
      <c r="E312">
        <v>2.165</v>
      </c>
      <c r="F312">
        <v>2.74</v>
      </c>
      <c r="G312">
        <v>3.714</v>
      </c>
    </row>
    <row r="313" spans="1:7" x14ac:dyDescent="0.25">
      <c r="A313" s="4">
        <v>41688</v>
      </c>
      <c r="B313">
        <v>0.30099999999999999</v>
      </c>
      <c r="C313" s="5">
        <v>0.66900000000000004</v>
      </c>
      <c r="D313">
        <v>1.4790000000000001</v>
      </c>
      <c r="E313">
        <v>2.1259999999999999</v>
      </c>
      <c r="F313">
        <v>2.7080000000000002</v>
      </c>
      <c r="G313">
        <v>3.6779999999999999</v>
      </c>
    </row>
    <row r="314" spans="1:7" x14ac:dyDescent="0.25">
      <c r="A314" s="4">
        <v>41687</v>
      </c>
      <c r="B314">
        <v>0.313</v>
      </c>
      <c r="C314" s="5">
        <v>0.70599999999999996</v>
      </c>
      <c r="D314">
        <v>1.5249999999999999</v>
      </c>
      <c r="E314">
        <v>2.1680000000000001</v>
      </c>
      <c r="F314">
        <v>2.7439999999999998</v>
      </c>
      <c r="G314">
        <v>3.6970000000000001</v>
      </c>
    </row>
    <row r="315" spans="1:7" x14ac:dyDescent="0.25">
      <c r="A315" s="4">
        <v>41684</v>
      </c>
      <c r="B315">
        <v>0.313</v>
      </c>
      <c r="C315" s="5">
        <v>0.70599999999999996</v>
      </c>
      <c r="D315">
        <v>1.5249999999999999</v>
      </c>
      <c r="E315">
        <v>2.1680000000000001</v>
      </c>
      <c r="F315">
        <v>2.7439999999999998</v>
      </c>
      <c r="G315">
        <v>3.6970000000000001</v>
      </c>
    </row>
    <row r="316" spans="1:7" x14ac:dyDescent="0.25">
      <c r="A316" s="4">
        <v>41683</v>
      </c>
      <c r="B316">
        <v>0.313</v>
      </c>
      <c r="C316" s="5">
        <v>0.69499999999999995</v>
      </c>
      <c r="D316">
        <v>1.502</v>
      </c>
      <c r="E316">
        <v>2.1480000000000001</v>
      </c>
      <c r="F316">
        <v>2.7330000000000001</v>
      </c>
      <c r="G316">
        <v>3.6829999999999998</v>
      </c>
    </row>
    <row r="317" spans="1:7" x14ac:dyDescent="0.25">
      <c r="A317" s="4">
        <v>41682</v>
      </c>
      <c r="B317">
        <v>0.34100000000000003</v>
      </c>
      <c r="C317" s="5">
        <v>0.74</v>
      </c>
      <c r="D317">
        <v>1.5629999999999999</v>
      </c>
      <c r="E317">
        <v>2.214</v>
      </c>
      <c r="F317">
        <v>2.762</v>
      </c>
      <c r="G317">
        <v>3.7210000000000001</v>
      </c>
    </row>
    <row r="318" spans="1:7" x14ac:dyDescent="0.25">
      <c r="A318" s="4">
        <v>41681</v>
      </c>
      <c r="B318">
        <v>0.33300000000000002</v>
      </c>
      <c r="C318" s="5">
        <v>0.68100000000000005</v>
      </c>
      <c r="D318">
        <v>1.534</v>
      </c>
      <c r="E318">
        <v>2.1819999999999999</v>
      </c>
      <c r="F318">
        <v>2.726</v>
      </c>
      <c r="G318">
        <v>3.6879999999999997</v>
      </c>
    </row>
    <row r="319" spans="1:7" x14ac:dyDescent="0.25">
      <c r="A319" s="4">
        <v>41680</v>
      </c>
      <c r="B319">
        <v>0.309</v>
      </c>
      <c r="C319" s="5">
        <v>0.63500000000000001</v>
      </c>
      <c r="D319">
        <v>1.4710000000000001</v>
      </c>
      <c r="E319">
        <v>2.1189999999999998</v>
      </c>
      <c r="F319">
        <v>2.6680000000000001</v>
      </c>
      <c r="G319">
        <v>3.6509999999999998</v>
      </c>
    </row>
    <row r="320" spans="1:7" x14ac:dyDescent="0.25">
      <c r="A320" s="4">
        <v>41677</v>
      </c>
      <c r="B320">
        <v>0.30499999999999999</v>
      </c>
      <c r="C320" s="5">
        <v>0.63300000000000001</v>
      </c>
      <c r="D320">
        <v>1.47</v>
      </c>
      <c r="E320">
        <v>2.1259999999999999</v>
      </c>
      <c r="F320">
        <v>2.6840000000000002</v>
      </c>
      <c r="G320">
        <v>3.673</v>
      </c>
    </row>
    <row r="321" spans="1:7" x14ac:dyDescent="0.25">
      <c r="A321" s="4">
        <v>41676</v>
      </c>
      <c r="B321">
        <v>0.32200000000000001</v>
      </c>
      <c r="C321" s="5">
        <v>0.66300000000000003</v>
      </c>
      <c r="D321">
        <v>1.52</v>
      </c>
      <c r="E321">
        <v>2.17</v>
      </c>
      <c r="F321">
        <v>2.7010000000000001</v>
      </c>
      <c r="G321">
        <v>3.669</v>
      </c>
    </row>
    <row r="322" spans="1:7" x14ac:dyDescent="0.25">
      <c r="A322" s="4">
        <v>41675</v>
      </c>
      <c r="B322">
        <v>0.314</v>
      </c>
      <c r="C322" s="5">
        <v>0.64400000000000002</v>
      </c>
      <c r="D322">
        <v>1.4910000000000001</v>
      </c>
      <c r="E322">
        <v>2.133</v>
      </c>
      <c r="F322">
        <v>2.6680000000000001</v>
      </c>
      <c r="G322">
        <v>3.6480000000000001</v>
      </c>
    </row>
    <row r="323" spans="1:7" x14ac:dyDescent="0.25">
      <c r="A323" s="4">
        <v>41674</v>
      </c>
      <c r="B323">
        <v>0.314</v>
      </c>
      <c r="C323" s="5">
        <v>0.63900000000000001</v>
      </c>
      <c r="D323">
        <v>1.468</v>
      </c>
      <c r="E323">
        <v>2.1</v>
      </c>
      <c r="F323">
        <v>2.63</v>
      </c>
      <c r="G323">
        <v>3.601</v>
      </c>
    </row>
    <row r="324" spans="1:7" x14ac:dyDescent="0.25">
      <c r="A324" s="4">
        <v>41673</v>
      </c>
      <c r="B324">
        <v>0.29599999999999999</v>
      </c>
      <c r="C324" s="5">
        <v>0.61699999999999999</v>
      </c>
      <c r="D324">
        <v>1.4370000000000001</v>
      </c>
      <c r="E324">
        <v>2.0590000000000002</v>
      </c>
      <c r="F324">
        <v>2.577</v>
      </c>
      <c r="G324">
        <v>3.5310000000000001</v>
      </c>
    </row>
    <row r="325" spans="1:7" x14ac:dyDescent="0.25">
      <c r="A325" s="4">
        <v>41670</v>
      </c>
      <c r="B325">
        <v>0.33</v>
      </c>
      <c r="C325" s="5">
        <v>0.66600000000000004</v>
      </c>
      <c r="D325">
        <v>1.4910000000000001</v>
      </c>
      <c r="E325">
        <v>2.1240000000000001</v>
      </c>
      <c r="F325">
        <v>2.645</v>
      </c>
      <c r="G325">
        <v>3.5990000000000002</v>
      </c>
    </row>
    <row r="326" spans="1:7" x14ac:dyDescent="0.25">
      <c r="A326" s="4">
        <v>41669</v>
      </c>
      <c r="B326">
        <v>0.34599999999999997</v>
      </c>
      <c r="C326" s="5">
        <v>0.7</v>
      </c>
      <c r="D326">
        <v>1.5110000000000001</v>
      </c>
      <c r="E326">
        <v>2.1509999999999998</v>
      </c>
      <c r="F326">
        <v>2.6959999999999997</v>
      </c>
      <c r="G326">
        <v>3.6349999999999998</v>
      </c>
    </row>
    <row r="327" spans="1:7" x14ac:dyDescent="0.25">
      <c r="A327" s="4">
        <v>41668</v>
      </c>
      <c r="B327">
        <v>0.35299999999999998</v>
      </c>
      <c r="C327" s="5">
        <v>0.70099999999999996</v>
      </c>
      <c r="D327">
        <v>1.4969999999999999</v>
      </c>
      <c r="E327">
        <v>2.13</v>
      </c>
      <c r="F327">
        <v>2.6779999999999999</v>
      </c>
      <c r="G327">
        <v>3.617</v>
      </c>
    </row>
    <row r="328" spans="1:7" x14ac:dyDescent="0.25">
      <c r="A328" s="4">
        <v>41667</v>
      </c>
      <c r="B328">
        <v>0.34200000000000003</v>
      </c>
      <c r="C328" s="5">
        <v>0.73299999999999998</v>
      </c>
      <c r="D328">
        <v>1.5569999999999999</v>
      </c>
      <c r="E328">
        <v>2.198</v>
      </c>
      <c r="F328">
        <v>2.75</v>
      </c>
      <c r="G328">
        <v>3.6739999999999999</v>
      </c>
    </row>
    <row r="329" spans="1:7" x14ac:dyDescent="0.25">
      <c r="A329" s="4">
        <v>41666</v>
      </c>
      <c r="B329">
        <v>0.34200000000000003</v>
      </c>
      <c r="C329" s="5">
        <v>0.746</v>
      </c>
      <c r="D329">
        <v>1.569</v>
      </c>
      <c r="E329">
        <v>2.202</v>
      </c>
      <c r="F329">
        <v>2.7490000000000001</v>
      </c>
      <c r="G329">
        <v>3.665</v>
      </c>
    </row>
    <row r="330" spans="1:7" x14ac:dyDescent="0.25">
      <c r="A330" s="4">
        <v>41663</v>
      </c>
      <c r="B330">
        <v>0.33800000000000002</v>
      </c>
      <c r="C330" s="5">
        <v>0.72499999999999998</v>
      </c>
      <c r="D330">
        <v>1.542</v>
      </c>
      <c r="E330">
        <v>2.169</v>
      </c>
      <c r="F330">
        <v>2.7160000000000002</v>
      </c>
      <c r="G330">
        <v>3.633</v>
      </c>
    </row>
    <row r="331" spans="1:7" x14ac:dyDescent="0.25">
      <c r="A331" s="4">
        <v>41662</v>
      </c>
      <c r="B331">
        <v>0.36199999999999999</v>
      </c>
      <c r="C331" s="5">
        <v>0.76700000000000002</v>
      </c>
      <c r="D331">
        <v>1.6019999999999999</v>
      </c>
      <c r="E331">
        <v>2.234</v>
      </c>
      <c r="F331">
        <v>2.778</v>
      </c>
      <c r="G331">
        <v>3.6829999999999998</v>
      </c>
    </row>
    <row r="332" spans="1:7" x14ac:dyDescent="0.25">
      <c r="A332" s="4">
        <v>41661</v>
      </c>
      <c r="B332">
        <v>0.40200000000000002</v>
      </c>
      <c r="C332" s="5">
        <v>0.84399999999999997</v>
      </c>
      <c r="D332">
        <v>1.7010000000000001</v>
      </c>
      <c r="E332">
        <v>2.3340000000000001</v>
      </c>
      <c r="F332">
        <v>2.8660000000000001</v>
      </c>
      <c r="G332">
        <v>3.76</v>
      </c>
    </row>
    <row r="333" spans="1:7" x14ac:dyDescent="0.25">
      <c r="A333" s="4">
        <v>41660</v>
      </c>
      <c r="B333">
        <v>0.377</v>
      </c>
      <c r="C333" s="5">
        <v>0.80400000000000005</v>
      </c>
      <c r="D333">
        <v>1.6459999999999999</v>
      </c>
      <c r="E333">
        <v>2.2829999999999999</v>
      </c>
      <c r="F333">
        <v>2.83</v>
      </c>
      <c r="G333">
        <v>3.7480000000000002</v>
      </c>
    </row>
    <row r="334" spans="1:7" x14ac:dyDescent="0.25">
      <c r="A334" s="4">
        <v>41659</v>
      </c>
      <c r="B334">
        <v>0.373</v>
      </c>
      <c r="C334" s="5">
        <v>0.78600000000000003</v>
      </c>
      <c r="D334">
        <v>1.6259999999999999</v>
      </c>
      <c r="E334">
        <v>2.2610000000000001</v>
      </c>
      <c r="F334">
        <v>2.82</v>
      </c>
      <c r="G334">
        <v>3.7480000000000002</v>
      </c>
    </row>
    <row r="335" spans="1:7" x14ac:dyDescent="0.25">
      <c r="A335" s="4">
        <v>41656</v>
      </c>
      <c r="B335">
        <v>0.373</v>
      </c>
      <c r="C335" s="5">
        <v>0.78600000000000003</v>
      </c>
      <c r="D335">
        <v>1.6259999999999999</v>
      </c>
      <c r="E335">
        <v>2.2610000000000001</v>
      </c>
      <c r="F335">
        <v>2.82</v>
      </c>
      <c r="G335">
        <v>3.7480000000000002</v>
      </c>
    </row>
    <row r="336" spans="1:7" x14ac:dyDescent="0.25">
      <c r="A336" s="4">
        <v>41655</v>
      </c>
      <c r="B336">
        <v>0.38500000000000001</v>
      </c>
      <c r="C336" s="5">
        <v>0.79400000000000004</v>
      </c>
      <c r="D336">
        <v>1.641</v>
      </c>
      <c r="E336">
        <v>2.2829999999999999</v>
      </c>
      <c r="F336">
        <v>2.8420000000000001</v>
      </c>
      <c r="G336">
        <v>3.7730000000000001</v>
      </c>
    </row>
    <row r="337" spans="1:7" x14ac:dyDescent="0.25">
      <c r="A337" s="4">
        <v>41654</v>
      </c>
      <c r="B337">
        <v>0.39200000000000002</v>
      </c>
      <c r="C337" s="5">
        <v>0.81499999999999995</v>
      </c>
      <c r="D337">
        <v>1.6720000000000002</v>
      </c>
      <c r="E337">
        <v>2.33</v>
      </c>
      <c r="F337">
        <v>2.8919999999999999</v>
      </c>
      <c r="G337">
        <v>3.823</v>
      </c>
    </row>
    <row r="338" spans="1:7" x14ac:dyDescent="0.25">
      <c r="A338" s="4">
        <v>41653</v>
      </c>
      <c r="B338">
        <v>0.38</v>
      </c>
      <c r="C338" s="5">
        <v>0.78600000000000003</v>
      </c>
      <c r="D338">
        <v>1.647</v>
      </c>
      <c r="E338">
        <v>2.2999999999999998</v>
      </c>
      <c r="F338">
        <v>2.8719999999999999</v>
      </c>
      <c r="G338">
        <v>3.8029999999999999</v>
      </c>
    </row>
    <row r="339" spans="1:7" x14ac:dyDescent="0.25">
      <c r="A339" s="4">
        <v>41652</v>
      </c>
      <c r="B339">
        <v>0.35799999999999998</v>
      </c>
      <c r="C339" s="5">
        <v>0.749</v>
      </c>
      <c r="D339">
        <v>1.591</v>
      </c>
      <c r="E339">
        <v>2.2450000000000001</v>
      </c>
      <c r="F339">
        <v>2.827</v>
      </c>
      <c r="G339">
        <v>3.7730000000000001</v>
      </c>
    </row>
    <row r="340" spans="1:7" x14ac:dyDescent="0.25">
      <c r="A340" s="4">
        <v>41649</v>
      </c>
      <c r="B340">
        <v>0.372</v>
      </c>
      <c r="C340" s="5">
        <v>0.77500000000000002</v>
      </c>
      <c r="D340">
        <v>1.621</v>
      </c>
      <c r="E340">
        <v>2.2789999999999999</v>
      </c>
      <c r="F340">
        <v>2.859</v>
      </c>
      <c r="G340">
        <v>3.8010000000000002</v>
      </c>
    </row>
    <row r="341" spans="1:7" x14ac:dyDescent="0.25">
      <c r="A341" s="4">
        <v>41648</v>
      </c>
      <c r="B341">
        <v>0.43099999999999999</v>
      </c>
      <c r="C341" s="5">
        <v>0.878</v>
      </c>
      <c r="D341">
        <v>1.75</v>
      </c>
      <c r="E341">
        <v>2.4060000000000001</v>
      </c>
      <c r="F341">
        <v>2.9660000000000002</v>
      </c>
      <c r="G341">
        <v>3.88</v>
      </c>
    </row>
    <row r="342" spans="1:7" x14ac:dyDescent="0.25">
      <c r="A342" s="4">
        <v>41647</v>
      </c>
      <c r="B342">
        <v>0.42699999999999999</v>
      </c>
      <c r="C342" s="5">
        <v>0.878</v>
      </c>
      <c r="D342">
        <v>1.7629999999999999</v>
      </c>
      <c r="E342">
        <v>2.4300000000000002</v>
      </c>
      <c r="F342">
        <v>2.99</v>
      </c>
      <c r="G342">
        <v>3.8929999999999998</v>
      </c>
    </row>
    <row r="343" spans="1:7" x14ac:dyDescent="0.25">
      <c r="A343" s="4">
        <v>41646</v>
      </c>
      <c r="B343">
        <v>0.39300000000000002</v>
      </c>
      <c r="C343" s="5">
        <v>0.753</v>
      </c>
      <c r="D343">
        <v>1.6800000000000002</v>
      </c>
      <c r="E343">
        <v>2.359</v>
      </c>
      <c r="F343">
        <v>2.94</v>
      </c>
      <c r="G343">
        <v>3.8849999999999998</v>
      </c>
    </row>
    <row r="344" spans="1:7" x14ac:dyDescent="0.25">
      <c r="A344" s="4">
        <v>41645</v>
      </c>
      <c r="B344">
        <v>0.39500000000000002</v>
      </c>
      <c r="C344" s="5">
        <v>0.753</v>
      </c>
      <c r="D344">
        <v>1.6909999999999998</v>
      </c>
      <c r="E344">
        <v>2.3759999999999999</v>
      </c>
      <c r="F344">
        <v>2.9590000000000001</v>
      </c>
      <c r="G344">
        <v>3.9009999999999998</v>
      </c>
    </row>
    <row r="345" spans="1:7" x14ac:dyDescent="0.25">
      <c r="A345" s="4">
        <v>41642</v>
      </c>
      <c r="B345">
        <v>0.39800000000000002</v>
      </c>
      <c r="C345" s="5">
        <v>0.77700000000000002</v>
      </c>
      <c r="D345">
        <v>1.734</v>
      </c>
      <c r="E345">
        <v>2.423</v>
      </c>
      <c r="F345">
        <v>2.996</v>
      </c>
      <c r="G345">
        <v>3.9249999999999998</v>
      </c>
    </row>
    <row r="346" spans="1:7" x14ac:dyDescent="0.25">
      <c r="A346" s="4">
        <v>41641</v>
      </c>
      <c r="B346">
        <v>0.38200000000000001</v>
      </c>
      <c r="C346" s="5">
        <v>0.75</v>
      </c>
      <c r="D346">
        <v>1.7189999999999999</v>
      </c>
      <c r="E346">
        <v>2.415</v>
      </c>
      <c r="F346">
        <v>2.99</v>
      </c>
      <c r="G346">
        <v>3.923</v>
      </c>
    </row>
    <row r="347" spans="1:7" x14ac:dyDescent="0.25">
      <c r="A347" s="4">
        <v>41640</v>
      </c>
      <c r="B347">
        <v>0.38200000000000001</v>
      </c>
      <c r="C347" s="5">
        <v>0.76600000000000001</v>
      </c>
      <c r="D347">
        <v>1.7429999999999999</v>
      </c>
      <c r="E347">
        <v>2.452</v>
      </c>
      <c r="F347">
        <v>3.0289999999999999</v>
      </c>
      <c r="G347">
        <v>3.9689999999999999</v>
      </c>
    </row>
    <row r="348" spans="1:7" x14ac:dyDescent="0.25">
      <c r="A348" s="4">
        <v>41639</v>
      </c>
      <c r="B348">
        <v>0.38200000000000001</v>
      </c>
      <c r="C348" s="5">
        <v>0.76600000000000001</v>
      </c>
      <c r="D348">
        <v>1.7429999999999999</v>
      </c>
      <c r="E348">
        <v>2.452</v>
      </c>
      <c r="F348">
        <v>3.0289999999999999</v>
      </c>
      <c r="G348">
        <v>3.9689999999999999</v>
      </c>
    </row>
    <row r="349" spans="1:7" x14ac:dyDescent="0.25">
      <c r="A349" s="4">
        <v>41638</v>
      </c>
      <c r="B349">
        <v>0.38100000000000001</v>
      </c>
      <c r="C349" s="5">
        <v>0.755</v>
      </c>
      <c r="D349">
        <v>1.7050000000000001</v>
      </c>
      <c r="E349">
        <v>2.4050000000000002</v>
      </c>
      <c r="F349">
        <v>2.9710000000000001</v>
      </c>
      <c r="G349">
        <v>3.9020000000000001</v>
      </c>
    </row>
    <row r="350" spans="1:7" x14ac:dyDescent="0.25">
      <c r="A350" s="4">
        <v>41635</v>
      </c>
      <c r="B350">
        <v>0.38900000000000001</v>
      </c>
      <c r="C350" s="5">
        <v>0.77300000000000002</v>
      </c>
      <c r="D350">
        <v>1.736</v>
      </c>
      <c r="E350">
        <v>2.44</v>
      </c>
      <c r="F350">
        <v>3.0009999999999999</v>
      </c>
      <c r="G350">
        <v>3.9379999999999997</v>
      </c>
    </row>
    <row r="351" spans="1:7" x14ac:dyDescent="0.25">
      <c r="A351" s="4">
        <v>41634</v>
      </c>
      <c r="B351">
        <v>0.40899999999999997</v>
      </c>
      <c r="C351" s="5">
        <v>0.78900000000000003</v>
      </c>
      <c r="D351">
        <v>1.7429999999999999</v>
      </c>
      <c r="E351">
        <v>2.44</v>
      </c>
      <c r="F351">
        <v>2.9910000000000001</v>
      </c>
      <c r="G351">
        <v>3.9239999999999999</v>
      </c>
    </row>
    <row r="352" spans="1:7" x14ac:dyDescent="0.25">
      <c r="A352" s="4">
        <v>41633</v>
      </c>
      <c r="B352">
        <v>0.39700000000000002</v>
      </c>
      <c r="C352" s="5">
        <v>0.78600000000000003</v>
      </c>
      <c r="D352">
        <v>1.7330000000000001</v>
      </c>
      <c r="E352">
        <v>2.427</v>
      </c>
      <c r="F352">
        <v>2.9790000000000001</v>
      </c>
      <c r="G352">
        <v>3.8940000000000001</v>
      </c>
    </row>
    <row r="353" spans="1:7" x14ac:dyDescent="0.25">
      <c r="A353" s="4">
        <v>41632</v>
      </c>
      <c r="B353">
        <v>0.39700000000000002</v>
      </c>
      <c r="C353" s="5">
        <v>0.78600000000000003</v>
      </c>
      <c r="D353">
        <v>1.7330000000000001</v>
      </c>
      <c r="E353">
        <v>2.427</v>
      </c>
      <c r="F353">
        <v>2.9790000000000001</v>
      </c>
      <c r="G353">
        <v>3.8940000000000001</v>
      </c>
    </row>
    <row r="354" spans="1:7" x14ac:dyDescent="0.25">
      <c r="A354" s="4">
        <v>41631</v>
      </c>
      <c r="B354">
        <v>0.38500000000000001</v>
      </c>
      <c r="C354" s="5">
        <v>0.75900000000000001</v>
      </c>
      <c r="D354">
        <v>1.6970000000000001</v>
      </c>
      <c r="E354">
        <v>2.3860000000000001</v>
      </c>
      <c r="F354">
        <v>2.9279999999999999</v>
      </c>
      <c r="G354">
        <v>3.85</v>
      </c>
    </row>
    <row r="355" spans="1:7" x14ac:dyDescent="0.25">
      <c r="A355" s="4">
        <v>41628</v>
      </c>
      <c r="B355">
        <v>0.378</v>
      </c>
      <c r="C355" s="5">
        <v>0.72699999999999998</v>
      </c>
      <c r="D355">
        <v>1.6760000000000002</v>
      </c>
      <c r="E355">
        <v>2.3449999999999998</v>
      </c>
      <c r="F355">
        <v>2.89</v>
      </c>
      <c r="G355">
        <v>3.8239999999999998</v>
      </c>
    </row>
    <row r="356" spans="1:7" x14ac:dyDescent="0.25">
      <c r="A356" s="4">
        <v>41627</v>
      </c>
      <c r="B356">
        <v>0.36599999999999999</v>
      </c>
      <c r="C356" s="5">
        <v>0.7</v>
      </c>
      <c r="D356">
        <v>1.6379999999999999</v>
      </c>
      <c r="E356">
        <v>2.3239999999999998</v>
      </c>
      <c r="F356">
        <v>2.93</v>
      </c>
      <c r="G356">
        <v>3.91</v>
      </c>
    </row>
    <row r="357" spans="1:7" x14ac:dyDescent="0.25">
      <c r="A357" s="4">
        <v>41626</v>
      </c>
      <c r="B357">
        <v>0.33400000000000002</v>
      </c>
      <c r="C357" s="5">
        <v>0.64500000000000002</v>
      </c>
      <c r="D357">
        <v>1.542</v>
      </c>
      <c r="E357">
        <v>2.2669999999999999</v>
      </c>
      <c r="F357">
        <v>2.8940000000000001</v>
      </c>
      <c r="G357">
        <v>3.907</v>
      </c>
    </row>
    <row r="358" spans="1:7" x14ac:dyDescent="0.25">
      <c r="A358" s="4">
        <v>41625</v>
      </c>
      <c r="B358">
        <v>0.32</v>
      </c>
      <c r="C358" s="5">
        <v>0.64500000000000002</v>
      </c>
      <c r="D358">
        <v>1.496</v>
      </c>
      <c r="E358">
        <v>2.2010000000000001</v>
      </c>
      <c r="F358">
        <v>2.8359999999999999</v>
      </c>
      <c r="G358">
        <v>3.8660000000000001</v>
      </c>
    </row>
    <row r="359" spans="1:7" x14ac:dyDescent="0.25">
      <c r="A359" s="4">
        <v>41624</v>
      </c>
      <c r="B359">
        <v>0.33200000000000002</v>
      </c>
      <c r="C359" s="5">
        <v>0.67400000000000004</v>
      </c>
      <c r="D359">
        <v>1.534</v>
      </c>
      <c r="E359">
        <v>2.2480000000000002</v>
      </c>
      <c r="F359">
        <v>2.879</v>
      </c>
      <c r="G359">
        <v>3.8940000000000001</v>
      </c>
    </row>
    <row r="360" spans="1:7" x14ac:dyDescent="0.25">
      <c r="A360" s="4">
        <v>41621</v>
      </c>
      <c r="B360">
        <v>0.32600000000000001</v>
      </c>
      <c r="C360" s="5">
        <v>0.67400000000000004</v>
      </c>
      <c r="D360">
        <v>1.53</v>
      </c>
      <c r="E360">
        <v>2.2400000000000002</v>
      </c>
      <c r="F360">
        <v>2.8660000000000001</v>
      </c>
      <c r="G360">
        <v>3.8740000000000001</v>
      </c>
    </row>
    <row r="361" spans="1:7" x14ac:dyDescent="0.25">
      <c r="A361" s="4">
        <v>41620</v>
      </c>
      <c r="B361">
        <v>0.32400000000000001</v>
      </c>
      <c r="C361" s="5">
        <v>0.67400000000000004</v>
      </c>
      <c r="D361">
        <v>1.5350000000000001</v>
      </c>
      <c r="E361">
        <v>2.242</v>
      </c>
      <c r="F361">
        <v>2.8780000000000001</v>
      </c>
      <c r="G361">
        <v>3.8940000000000001</v>
      </c>
    </row>
    <row r="362" spans="1:7" x14ac:dyDescent="0.25">
      <c r="A362" s="4">
        <v>41619</v>
      </c>
      <c r="B362">
        <v>0.308</v>
      </c>
      <c r="C362" s="5">
        <v>0.64700000000000002</v>
      </c>
      <c r="D362">
        <v>1.5009999999999999</v>
      </c>
      <c r="E362">
        <v>2.218</v>
      </c>
      <c r="F362">
        <v>2.8540000000000001</v>
      </c>
      <c r="G362">
        <v>3.8860000000000001</v>
      </c>
    </row>
    <row r="363" spans="1:7" x14ac:dyDescent="0.25">
      <c r="A363" s="4">
        <v>41618</v>
      </c>
      <c r="B363">
        <v>0.3</v>
      </c>
      <c r="C363" s="5">
        <v>0.59099999999999997</v>
      </c>
      <c r="D363">
        <v>1.454</v>
      </c>
      <c r="E363">
        <v>2.1659999999999999</v>
      </c>
      <c r="F363">
        <v>2.802</v>
      </c>
      <c r="G363">
        <v>3.839</v>
      </c>
    </row>
    <row r="364" spans="1:7" x14ac:dyDescent="0.25">
      <c r="A364" s="4">
        <v>41617</v>
      </c>
      <c r="B364">
        <v>0.3</v>
      </c>
      <c r="C364" s="5">
        <v>0.61</v>
      </c>
      <c r="D364">
        <v>1.4830000000000001</v>
      </c>
      <c r="E364">
        <v>2.2050000000000001</v>
      </c>
      <c r="F364">
        <v>2.84</v>
      </c>
      <c r="G364">
        <v>3.8719999999999999</v>
      </c>
    </row>
    <row r="365" spans="1:7" x14ac:dyDescent="0.25">
      <c r="A365" s="4">
        <v>41614</v>
      </c>
      <c r="B365">
        <v>0.30399999999999999</v>
      </c>
      <c r="C365" s="5">
        <v>0.61</v>
      </c>
      <c r="D365">
        <v>1.488</v>
      </c>
      <c r="E365">
        <v>2.2200000000000002</v>
      </c>
      <c r="F365">
        <v>2.8559999999999999</v>
      </c>
      <c r="G365">
        <v>3.89</v>
      </c>
    </row>
    <row r="366" spans="1:7" x14ac:dyDescent="0.25">
      <c r="A366" s="4">
        <v>41613</v>
      </c>
      <c r="B366">
        <v>0.30299999999999999</v>
      </c>
      <c r="C366" s="5">
        <v>0.59699999999999998</v>
      </c>
      <c r="D366">
        <v>1.486</v>
      </c>
      <c r="E366">
        <v>2.2290000000000001</v>
      </c>
      <c r="F366">
        <v>2.8730000000000002</v>
      </c>
      <c r="G366">
        <v>3.915</v>
      </c>
    </row>
    <row r="367" spans="1:7" x14ac:dyDescent="0.25">
      <c r="A367" s="4">
        <v>41612</v>
      </c>
      <c r="B367">
        <v>0.29099999999999998</v>
      </c>
      <c r="C367" s="5">
        <v>0.57299999999999995</v>
      </c>
      <c r="D367">
        <v>1.4410000000000001</v>
      </c>
      <c r="E367">
        <v>2.1850000000000001</v>
      </c>
      <c r="F367">
        <v>2.835</v>
      </c>
      <c r="G367">
        <v>3.9020000000000001</v>
      </c>
    </row>
    <row r="368" spans="1:7" x14ac:dyDescent="0.25">
      <c r="A368" s="4">
        <v>41611</v>
      </c>
      <c r="B368">
        <v>0.28699999999999998</v>
      </c>
      <c r="C368" s="5">
        <v>0.55400000000000005</v>
      </c>
      <c r="D368">
        <v>1.3959999999999999</v>
      </c>
      <c r="E368">
        <v>2.129</v>
      </c>
      <c r="F368">
        <v>2.7829999999999999</v>
      </c>
      <c r="G368">
        <v>3.8449999999999998</v>
      </c>
    </row>
    <row r="369" spans="1:7" x14ac:dyDescent="0.25">
      <c r="A369" s="4">
        <v>41610</v>
      </c>
      <c r="B369">
        <v>0.28699999999999998</v>
      </c>
      <c r="C369" s="5">
        <v>0.55900000000000005</v>
      </c>
      <c r="D369">
        <v>1.413</v>
      </c>
      <c r="E369">
        <v>2.1459999999999999</v>
      </c>
      <c r="F369">
        <v>2.7960000000000003</v>
      </c>
      <c r="G369">
        <v>3.8559999999999999</v>
      </c>
    </row>
    <row r="370" spans="1:7" x14ac:dyDescent="0.25">
      <c r="A370" s="4">
        <v>41607</v>
      </c>
      <c r="B370">
        <v>0.28299999999999997</v>
      </c>
      <c r="C370" s="5">
        <v>0.54600000000000004</v>
      </c>
      <c r="D370">
        <v>1.371</v>
      </c>
      <c r="E370">
        <v>2.0939999999999999</v>
      </c>
      <c r="F370">
        <v>2.7450000000000001</v>
      </c>
      <c r="G370">
        <v>3.8109999999999999</v>
      </c>
    </row>
    <row r="371" spans="1:7" x14ac:dyDescent="0.25">
      <c r="A371" s="4">
        <v>41606</v>
      </c>
      <c r="B371">
        <v>0.28699999999999998</v>
      </c>
      <c r="C371" s="5">
        <v>0.54600000000000004</v>
      </c>
      <c r="D371">
        <v>1.365</v>
      </c>
      <c r="E371">
        <v>2.0680000000000001</v>
      </c>
      <c r="F371">
        <v>2.738</v>
      </c>
      <c r="G371">
        <v>3.8159999999999998</v>
      </c>
    </row>
    <row r="372" spans="1:7" x14ac:dyDescent="0.25">
      <c r="A372" s="4">
        <v>41605</v>
      </c>
      <c r="B372">
        <v>0.28699999999999998</v>
      </c>
      <c r="C372" s="5">
        <v>0.54600000000000004</v>
      </c>
      <c r="D372">
        <v>1.365</v>
      </c>
      <c r="E372">
        <v>2.0680000000000001</v>
      </c>
      <c r="F372">
        <v>2.738</v>
      </c>
      <c r="G372">
        <v>3.8159999999999998</v>
      </c>
    </row>
    <row r="373" spans="1:7" x14ac:dyDescent="0.25">
      <c r="A373" s="4">
        <v>41604</v>
      </c>
      <c r="B373">
        <v>0.29099999999999998</v>
      </c>
      <c r="C373" s="5">
        <v>0.54100000000000004</v>
      </c>
      <c r="D373">
        <v>1.31</v>
      </c>
      <c r="E373">
        <v>2.0350000000000001</v>
      </c>
      <c r="F373">
        <v>2.7090000000000001</v>
      </c>
      <c r="G373">
        <v>3.7989999999999999</v>
      </c>
    </row>
    <row r="374" spans="1:7" x14ac:dyDescent="0.25">
      <c r="A374" s="4">
        <v>41603</v>
      </c>
      <c r="B374">
        <v>0.28000000000000003</v>
      </c>
      <c r="C374" s="5">
        <v>0.55700000000000005</v>
      </c>
      <c r="D374">
        <v>1.335</v>
      </c>
      <c r="E374">
        <v>2.0550000000000002</v>
      </c>
      <c r="F374">
        <v>2.7290000000000001</v>
      </c>
      <c r="G374">
        <v>3.819</v>
      </c>
    </row>
    <row r="375" spans="1:7" x14ac:dyDescent="0.25">
      <c r="A375" s="4">
        <v>41600</v>
      </c>
      <c r="B375">
        <v>0.28000000000000003</v>
      </c>
      <c r="C375" s="5">
        <v>0.55500000000000005</v>
      </c>
      <c r="D375">
        <v>1.3479999999999999</v>
      </c>
      <c r="E375">
        <v>2.0699999999999998</v>
      </c>
      <c r="F375">
        <v>2.7439999999999998</v>
      </c>
      <c r="G375">
        <v>3.83</v>
      </c>
    </row>
    <row r="376" spans="1:7" x14ac:dyDescent="0.25">
      <c r="A376" s="4">
        <v>41599</v>
      </c>
      <c r="B376">
        <v>0.27200000000000002</v>
      </c>
      <c r="C376" s="5">
        <v>0.55200000000000005</v>
      </c>
      <c r="D376">
        <v>1.3639999999999999</v>
      </c>
      <c r="E376">
        <v>2.0990000000000002</v>
      </c>
      <c r="F376">
        <v>2.7850000000000001</v>
      </c>
      <c r="G376">
        <v>3.8879999999999999</v>
      </c>
    </row>
    <row r="377" spans="1:7" x14ac:dyDescent="0.25">
      <c r="A377" s="4">
        <v>41598</v>
      </c>
      <c r="B377">
        <v>0.27600000000000002</v>
      </c>
      <c r="C377" s="5">
        <v>0.56499999999999995</v>
      </c>
      <c r="D377">
        <v>1.3740000000000001</v>
      </c>
      <c r="E377">
        <v>2.1110000000000002</v>
      </c>
      <c r="F377">
        <v>2.8</v>
      </c>
      <c r="G377">
        <v>3.9119999999999999</v>
      </c>
    </row>
    <row r="378" spans="1:7" x14ac:dyDescent="0.25">
      <c r="A378" s="4">
        <v>41597</v>
      </c>
      <c r="B378">
        <v>0.28799999999999998</v>
      </c>
      <c r="C378" s="5">
        <v>0.57299999999999995</v>
      </c>
      <c r="D378">
        <v>1.3540000000000001</v>
      </c>
      <c r="E378">
        <v>2.0489999999999999</v>
      </c>
      <c r="F378">
        <v>2.7080000000000002</v>
      </c>
      <c r="G378">
        <v>3.8</v>
      </c>
    </row>
    <row r="379" spans="1:7" x14ac:dyDescent="0.25">
      <c r="A379" s="4">
        <v>41596</v>
      </c>
      <c r="B379">
        <v>0.28000000000000003</v>
      </c>
      <c r="C379" s="5">
        <v>0.55500000000000005</v>
      </c>
      <c r="D379">
        <v>1.3129999999999999</v>
      </c>
      <c r="E379">
        <v>2.0049999999999999</v>
      </c>
      <c r="F379">
        <v>2.6669999999999998</v>
      </c>
      <c r="G379">
        <v>3.7560000000000002</v>
      </c>
    </row>
    <row r="380" spans="1:7" x14ac:dyDescent="0.25">
      <c r="A380" s="4">
        <v>41593</v>
      </c>
      <c r="B380">
        <v>0.29199999999999998</v>
      </c>
      <c r="C380" s="5">
        <v>0.57599999999999996</v>
      </c>
      <c r="D380">
        <v>1.3439999999999999</v>
      </c>
      <c r="E380">
        <v>2.0419999999999998</v>
      </c>
      <c r="F380">
        <v>2.7039999999999997</v>
      </c>
      <c r="G380">
        <v>3.7949999999999999</v>
      </c>
    </row>
    <row r="381" spans="1:7" x14ac:dyDescent="0.25">
      <c r="A381" s="4">
        <v>41592</v>
      </c>
      <c r="B381">
        <v>0.29199999999999998</v>
      </c>
      <c r="C381" s="5">
        <v>0.56799999999999995</v>
      </c>
      <c r="D381">
        <v>1.329</v>
      </c>
      <c r="E381">
        <v>2.024</v>
      </c>
      <c r="F381">
        <v>2.6909999999999998</v>
      </c>
      <c r="G381">
        <v>3.7880000000000003</v>
      </c>
    </row>
    <row r="382" spans="1:7" x14ac:dyDescent="0.25">
      <c r="A382" s="4">
        <v>41591</v>
      </c>
      <c r="B382">
        <v>0.3</v>
      </c>
      <c r="C382" s="5">
        <v>0.58699999999999997</v>
      </c>
      <c r="D382">
        <v>1.355</v>
      </c>
      <c r="E382">
        <v>2.052</v>
      </c>
      <c r="F382">
        <v>2.7</v>
      </c>
      <c r="G382">
        <v>3.82</v>
      </c>
    </row>
    <row r="383" spans="1:7" x14ac:dyDescent="0.25">
      <c r="A383" s="4">
        <v>41590</v>
      </c>
      <c r="B383">
        <v>0.32800000000000001</v>
      </c>
      <c r="C383" s="5">
        <v>0.621</v>
      </c>
      <c r="D383">
        <v>1.454</v>
      </c>
      <c r="E383">
        <v>2.1539999999999999</v>
      </c>
      <c r="F383">
        <v>2.774</v>
      </c>
      <c r="G383">
        <v>3.8580000000000001</v>
      </c>
    </row>
    <row r="384" spans="1:7" x14ac:dyDescent="0.25">
      <c r="A384" s="4">
        <v>41589</v>
      </c>
      <c r="B384">
        <v>0.312</v>
      </c>
      <c r="C384" s="5">
        <v>0.59099999999999997</v>
      </c>
      <c r="D384">
        <v>1.413</v>
      </c>
      <c r="E384">
        <v>2.12</v>
      </c>
      <c r="F384">
        <v>2.7490000000000001</v>
      </c>
      <c r="G384">
        <v>3.8460000000000001</v>
      </c>
    </row>
    <row r="385" spans="1:7" x14ac:dyDescent="0.25">
      <c r="A385" s="4">
        <v>41586</v>
      </c>
      <c r="B385">
        <v>0.312</v>
      </c>
      <c r="C385" s="5">
        <v>0.59099999999999997</v>
      </c>
      <c r="D385">
        <v>1.413</v>
      </c>
      <c r="E385">
        <v>2.12</v>
      </c>
      <c r="F385">
        <v>2.7490000000000001</v>
      </c>
      <c r="G385">
        <v>3.8460000000000001</v>
      </c>
    </row>
    <row r="386" spans="1:7" x14ac:dyDescent="0.25">
      <c r="A386" s="4">
        <v>41585</v>
      </c>
      <c r="B386">
        <v>0.28399999999999997</v>
      </c>
      <c r="C386" s="5">
        <v>0.53800000000000003</v>
      </c>
      <c r="D386">
        <v>1.3080000000000001</v>
      </c>
      <c r="E386">
        <v>1.978</v>
      </c>
      <c r="F386">
        <v>2.601</v>
      </c>
      <c r="G386">
        <v>3.7090000000000001</v>
      </c>
    </row>
    <row r="387" spans="1:7" x14ac:dyDescent="0.25">
      <c r="A387" s="4">
        <v>41584</v>
      </c>
      <c r="B387">
        <v>0.29199999999999998</v>
      </c>
      <c r="C387" s="5">
        <v>0.54800000000000004</v>
      </c>
      <c r="D387">
        <v>1.337</v>
      </c>
      <c r="E387">
        <v>2.0139999999999998</v>
      </c>
      <c r="F387">
        <v>2.6429999999999998</v>
      </c>
      <c r="G387">
        <v>3.774</v>
      </c>
    </row>
    <row r="388" spans="1:7" x14ac:dyDescent="0.25">
      <c r="A388" s="4">
        <v>41583</v>
      </c>
      <c r="B388">
        <v>0.30299999999999999</v>
      </c>
      <c r="C388" s="5">
        <v>0.58299999999999996</v>
      </c>
      <c r="D388">
        <v>1.383</v>
      </c>
      <c r="E388">
        <v>2.0579999999999998</v>
      </c>
      <c r="F388">
        <v>2.6710000000000003</v>
      </c>
      <c r="G388">
        <v>3.7720000000000002</v>
      </c>
    </row>
    <row r="389" spans="1:7" x14ac:dyDescent="0.25">
      <c r="A389" s="4">
        <v>41582</v>
      </c>
      <c r="B389">
        <v>0.30299999999999999</v>
      </c>
      <c r="C389" s="5">
        <v>0.58099999999999996</v>
      </c>
      <c r="D389">
        <v>1.353</v>
      </c>
      <c r="E389">
        <v>2.0059999999999998</v>
      </c>
      <c r="F389">
        <v>2.6040000000000001</v>
      </c>
      <c r="G389">
        <v>3.6930000000000001</v>
      </c>
    </row>
    <row r="390" spans="1:7" x14ac:dyDescent="0.25">
      <c r="A390" s="4">
        <v>41579</v>
      </c>
      <c r="B390">
        <v>0.311</v>
      </c>
      <c r="C390" s="5">
        <v>0.58899999999999997</v>
      </c>
      <c r="D390">
        <v>1.373</v>
      </c>
      <c r="E390">
        <v>2.028</v>
      </c>
      <c r="F390">
        <v>2.6230000000000002</v>
      </c>
      <c r="G390">
        <v>3.6970000000000001</v>
      </c>
    </row>
    <row r="391" spans="1:7" x14ac:dyDescent="0.25">
      <c r="A391" s="4">
        <v>41578</v>
      </c>
      <c r="B391">
        <v>0.307</v>
      </c>
      <c r="C391" s="5">
        <v>0.56999999999999995</v>
      </c>
      <c r="D391">
        <v>1.33</v>
      </c>
      <c r="E391">
        <v>1.9670000000000001</v>
      </c>
      <c r="F391">
        <v>2.5550000000000002</v>
      </c>
      <c r="G391">
        <v>3.6390000000000002</v>
      </c>
    </row>
    <row r="392" spans="1:7" x14ac:dyDescent="0.25">
      <c r="A392" s="4">
        <v>41577</v>
      </c>
      <c r="B392">
        <v>0.315</v>
      </c>
      <c r="C392" s="5">
        <v>0.58099999999999996</v>
      </c>
      <c r="D392">
        <v>1.3169999999999999</v>
      </c>
      <c r="E392">
        <v>1.9140000000000001</v>
      </c>
      <c r="F392">
        <v>2.5390000000000001</v>
      </c>
      <c r="G392">
        <v>3.6419999999999999</v>
      </c>
    </row>
    <row r="393" spans="1:7" x14ac:dyDescent="0.25">
      <c r="A393" s="4">
        <v>41576</v>
      </c>
      <c r="B393">
        <v>0.315</v>
      </c>
      <c r="C393" s="5">
        <v>0.57299999999999995</v>
      </c>
      <c r="D393">
        <v>1.264</v>
      </c>
      <c r="E393">
        <v>1.8780000000000001</v>
      </c>
      <c r="F393">
        <v>2.504</v>
      </c>
      <c r="G393">
        <v>3.613</v>
      </c>
    </row>
    <row r="394" spans="1:7" x14ac:dyDescent="0.25">
      <c r="A394" s="4">
        <v>41575</v>
      </c>
      <c r="B394">
        <v>0.30499999999999999</v>
      </c>
      <c r="C394" s="5">
        <v>0.58399999999999996</v>
      </c>
      <c r="D394">
        <v>1.2889999999999999</v>
      </c>
      <c r="E394">
        <v>1.9020000000000001</v>
      </c>
      <c r="F394">
        <v>2.524</v>
      </c>
      <c r="G394">
        <v>3.6189999999999998</v>
      </c>
    </row>
    <row r="395" spans="1:7" x14ac:dyDescent="0.25">
      <c r="A395" s="4">
        <v>41572</v>
      </c>
      <c r="B395">
        <v>0.30099999999999999</v>
      </c>
      <c r="C395" s="5">
        <v>0.58099999999999996</v>
      </c>
      <c r="D395">
        <v>1.282</v>
      </c>
      <c r="E395">
        <v>1.8919999999999999</v>
      </c>
      <c r="F395">
        <v>2.5099999999999998</v>
      </c>
      <c r="G395">
        <v>3.601</v>
      </c>
    </row>
    <row r="396" spans="1:7" x14ac:dyDescent="0.25">
      <c r="A396" s="4">
        <v>41571</v>
      </c>
      <c r="B396">
        <v>0.30499999999999999</v>
      </c>
      <c r="C396" s="5">
        <v>0.58599999999999997</v>
      </c>
      <c r="D396">
        <v>1.302</v>
      </c>
      <c r="E396">
        <v>1.909</v>
      </c>
      <c r="F396">
        <v>2.5209999999999999</v>
      </c>
      <c r="G396">
        <v>3.6120000000000001</v>
      </c>
    </row>
    <row r="397" spans="1:7" x14ac:dyDescent="0.25">
      <c r="A397" s="4">
        <v>41570</v>
      </c>
      <c r="B397">
        <v>0.309</v>
      </c>
      <c r="C397" s="5">
        <v>0.58899999999999997</v>
      </c>
      <c r="D397">
        <v>1.286</v>
      </c>
      <c r="E397">
        <v>1.8900000000000001</v>
      </c>
      <c r="F397">
        <v>2.5019999999999998</v>
      </c>
      <c r="G397">
        <v>3.5960000000000001</v>
      </c>
    </row>
    <row r="398" spans="1:7" x14ac:dyDescent="0.25">
      <c r="A398" s="4">
        <v>41569</v>
      </c>
      <c r="B398">
        <v>0.29299999999999998</v>
      </c>
      <c r="C398" s="5">
        <v>0.57599999999999996</v>
      </c>
      <c r="D398">
        <v>1.2810000000000001</v>
      </c>
      <c r="E398">
        <v>1.897</v>
      </c>
      <c r="F398">
        <v>2.5129999999999999</v>
      </c>
      <c r="G398">
        <v>3.609</v>
      </c>
    </row>
    <row r="399" spans="1:7" x14ac:dyDescent="0.25">
      <c r="A399" s="4">
        <v>41568</v>
      </c>
      <c r="B399">
        <v>0.313</v>
      </c>
      <c r="C399" s="5">
        <v>0.61799999999999999</v>
      </c>
      <c r="D399">
        <v>1.351</v>
      </c>
      <c r="E399">
        <v>1.9849999999999999</v>
      </c>
      <c r="F399">
        <v>2.6019999999999999</v>
      </c>
      <c r="G399">
        <v>3.6710000000000003</v>
      </c>
    </row>
    <row r="400" spans="1:7" x14ac:dyDescent="0.25">
      <c r="A400" s="4">
        <v>41565</v>
      </c>
      <c r="B400">
        <v>0.313</v>
      </c>
      <c r="C400" s="5">
        <v>0.61299999999999999</v>
      </c>
      <c r="D400">
        <v>1.3320000000000001</v>
      </c>
      <c r="E400">
        <v>1.962</v>
      </c>
      <c r="F400">
        <v>2.5789999999999997</v>
      </c>
      <c r="G400">
        <v>3.6419999999999999</v>
      </c>
    </row>
    <row r="401" spans="1:7" x14ac:dyDescent="0.25">
      <c r="A401" s="4">
        <v>41564</v>
      </c>
      <c r="B401">
        <v>0.312</v>
      </c>
      <c r="C401" s="5">
        <v>0.60499999999999998</v>
      </c>
      <c r="D401">
        <v>1.33</v>
      </c>
      <c r="E401">
        <v>1.9670000000000001</v>
      </c>
      <c r="F401">
        <v>2.59</v>
      </c>
      <c r="G401">
        <v>3.6589999999999998</v>
      </c>
    </row>
    <row r="402" spans="1:7" x14ac:dyDescent="0.25">
      <c r="A402" s="4">
        <v>41563</v>
      </c>
      <c r="B402">
        <v>0.33200000000000002</v>
      </c>
      <c r="C402" s="5">
        <v>0.63700000000000001</v>
      </c>
      <c r="D402">
        <v>1.389</v>
      </c>
      <c r="E402">
        <v>2.0419999999999998</v>
      </c>
      <c r="F402">
        <v>2.6640000000000001</v>
      </c>
      <c r="G402">
        <v>3.722</v>
      </c>
    </row>
    <row r="403" spans="1:7" x14ac:dyDescent="0.25">
      <c r="A403" s="4">
        <v>41562</v>
      </c>
      <c r="B403">
        <v>0.35599999999999998</v>
      </c>
      <c r="C403" s="5">
        <v>0.67100000000000004</v>
      </c>
      <c r="D403">
        <v>1.4330000000000001</v>
      </c>
      <c r="E403">
        <v>2.1030000000000002</v>
      </c>
      <c r="F403">
        <v>2.7290000000000001</v>
      </c>
      <c r="G403">
        <v>3.79</v>
      </c>
    </row>
    <row r="404" spans="1:7" x14ac:dyDescent="0.25">
      <c r="A404" s="4">
        <v>41561</v>
      </c>
      <c r="B404">
        <v>0.35199999999999998</v>
      </c>
      <c r="C404" s="5">
        <v>0.67400000000000004</v>
      </c>
      <c r="D404">
        <v>1.4179999999999999</v>
      </c>
      <c r="E404">
        <v>2.069</v>
      </c>
      <c r="F404">
        <v>2.6879999999999997</v>
      </c>
      <c r="G404">
        <v>3.7480000000000002</v>
      </c>
    </row>
    <row r="405" spans="1:7" x14ac:dyDescent="0.25">
      <c r="A405" s="4">
        <v>41558</v>
      </c>
      <c r="B405">
        <v>0.35199999999999998</v>
      </c>
      <c r="C405" s="5">
        <v>0.67400000000000004</v>
      </c>
      <c r="D405">
        <v>1.4179999999999999</v>
      </c>
      <c r="E405">
        <v>2.069</v>
      </c>
      <c r="F405">
        <v>2.6879999999999997</v>
      </c>
      <c r="G405">
        <v>3.7480000000000002</v>
      </c>
    </row>
    <row r="406" spans="1:7" x14ac:dyDescent="0.25">
      <c r="A406" s="4">
        <v>41557</v>
      </c>
      <c r="B406">
        <v>0.34399999999999997</v>
      </c>
      <c r="C406" s="5">
        <v>0.68200000000000005</v>
      </c>
      <c r="D406">
        <v>1.425</v>
      </c>
      <c r="E406">
        <v>2.069</v>
      </c>
      <c r="F406">
        <v>2.6819999999999999</v>
      </c>
      <c r="G406">
        <v>3.7349999999999999</v>
      </c>
    </row>
    <row r="407" spans="1:7" x14ac:dyDescent="0.25">
      <c r="A407" s="4">
        <v>41556</v>
      </c>
      <c r="B407">
        <v>0.35899999999999999</v>
      </c>
      <c r="C407" s="5">
        <v>0.69</v>
      </c>
      <c r="D407">
        <v>1.423</v>
      </c>
      <c r="E407">
        <v>2.0539999999999998</v>
      </c>
      <c r="F407">
        <v>2.6640000000000001</v>
      </c>
      <c r="G407">
        <v>3.738</v>
      </c>
    </row>
    <row r="408" spans="1:7" x14ac:dyDescent="0.25">
      <c r="A408" s="4">
        <v>41555</v>
      </c>
      <c r="B408">
        <v>0.38300000000000001</v>
      </c>
      <c r="C408" s="5">
        <v>0.67400000000000004</v>
      </c>
      <c r="D408">
        <v>1.423</v>
      </c>
      <c r="E408">
        <v>2.0369999999999999</v>
      </c>
      <c r="F408">
        <v>2.633</v>
      </c>
      <c r="G408">
        <v>3.69</v>
      </c>
    </row>
    <row r="409" spans="1:7" x14ac:dyDescent="0.25">
      <c r="A409" s="4">
        <v>41554</v>
      </c>
      <c r="B409">
        <v>0.34300000000000003</v>
      </c>
      <c r="C409" s="5">
        <v>0.64</v>
      </c>
      <c r="D409">
        <v>1.4020000000000001</v>
      </c>
      <c r="E409">
        <v>2.0249999999999999</v>
      </c>
      <c r="F409">
        <v>2.6269999999999998</v>
      </c>
      <c r="G409">
        <v>3.6920000000000002</v>
      </c>
    </row>
    <row r="410" spans="1:7" x14ac:dyDescent="0.25">
      <c r="A410" s="4">
        <v>41551</v>
      </c>
      <c r="B410">
        <v>0.33100000000000002</v>
      </c>
      <c r="C410" s="5">
        <v>0.626</v>
      </c>
      <c r="D410">
        <v>1.41</v>
      </c>
      <c r="E410">
        <v>2.0419999999999998</v>
      </c>
      <c r="F410">
        <v>2.6459999999999999</v>
      </c>
      <c r="G410">
        <v>3.7199999999999998</v>
      </c>
    </row>
    <row r="411" spans="1:7" x14ac:dyDescent="0.25">
      <c r="A411" s="4">
        <v>41550</v>
      </c>
      <c r="B411">
        <v>0.311</v>
      </c>
      <c r="C411" s="5">
        <v>0.59499999999999997</v>
      </c>
      <c r="D411">
        <v>1.3559999999999999</v>
      </c>
      <c r="E411">
        <v>1.9870000000000001</v>
      </c>
      <c r="F411">
        <v>2.605</v>
      </c>
      <c r="G411">
        <v>3.7080000000000002</v>
      </c>
    </row>
    <row r="412" spans="1:7" x14ac:dyDescent="0.25">
      <c r="A412" s="4">
        <v>41549</v>
      </c>
      <c r="B412">
        <v>0.31900000000000001</v>
      </c>
      <c r="C412" s="5">
        <v>0.60899999999999999</v>
      </c>
      <c r="D412">
        <v>1.381</v>
      </c>
      <c r="E412">
        <v>2.008</v>
      </c>
      <c r="F412">
        <v>2.6179999999999999</v>
      </c>
      <c r="G412">
        <v>3.702</v>
      </c>
    </row>
    <row r="413" spans="1:7" x14ac:dyDescent="0.25">
      <c r="A413" s="4">
        <v>41548</v>
      </c>
      <c r="B413">
        <v>0.33100000000000002</v>
      </c>
      <c r="C413" s="5">
        <v>0.64100000000000001</v>
      </c>
      <c r="D413">
        <v>1.4279999999999999</v>
      </c>
      <c r="E413">
        <v>2.0539999999999998</v>
      </c>
      <c r="F413">
        <v>2.6509999999999998</v>
      </c>
      <c r="G413">
        <v>3.718</v>
      </c>
    </row>
    <row r="414" spans="1:7" x14ac:dyDescent="0.25">
      <c r="A414" s="4">
        <v>41547</v>
      </c>
      <c r="B414">
        <v>0.31900000000000001</v>
      </c>
      <c r="C414" s="5">
        <v>0.61199999999999999</v>
      </c>
      <c r="D414">
        <v>1.3820000000000001</v>
      </c>
      <c r="E414">
        <v>2.0059999999999998</v>
      </c>
      <c r="F414">
        <v>2.6109999999999998</v>
      </c>
      <c r="G414">
        <v>3.6859999999999999</v>
      </c>
    </row>
    <row r="415" spans="1:7" x14ac:dyDescent="0.25">
      <c r="A415" s="4">
        <v>41544</v>
      </c>
      <c r="B415">
        <v>0.33400000000000002</v>
      </c>
      <c r="C415" s="5">
        <v>0.63300000000000001</v>
      </c>
      <c r="D415">
        <v>1.4020000000000001</v>
      </c>
      <c r="E415">
        <v>2.0249999999999999</v>
      </c>
      <c r="F415">
        <v>2.625</v>
      </c>
      <c r="G415">
        <v>3.6870000000000003</v>
      </c>
    </row>
    <row r="416" spans="1:7" x14ac:dyDescent="0.25">
      <c r="A416" s="4">
        <v>41543</v>
      </c>
      <c r="B416">
        <v>0.34200000000000003</v>
      </c>
      <c r="C416" s="5">
        <v>0.65800000000000003</v>
      </c>
      <c r="D416">
        <v>1.4359999999999999</v>
      </c>
      <c r="E416">
        <v>2.0259999999999998</v>
      </c>
      <c r="F416">
        <v>2.6509999999999998</v>
      </c>
      <c r="G416">
        <v>3.6959999999999997</v>
      </c>
    </row>
    <row r="417" spans="1:7" x14ac:dyDescent="0.25">
      <c r="A417" s="4">
        <v>41542</v>
      </c>
      <c r="B417">
        <v>0.34200000000000003</v>
      </c>
      <c r="C417" s="5">
        <v>0.64800000000000002</v>
      </c>
      <c r="D417">
        <v>1.3919999999999999</v>
      </c>
      <c r="E417">
        <v>2.0049999999999999</v>
      </c>
      <c r="F417">
        <v>2.629</v>
      </c>
      <c r="G417">
        <v>3.67</v>
      </c>
    </row>
    <row r="418" spans="1:7" x14ac:dyDescent="0.25">
      <c r="A418" s="4">
        <v>41541</v>
      </c>
      <c r="B418">
        <v>0.32800000000000001</v>
      </c>
      <c r="C418" s="5">
        <v>0.66600000000000004</v>
      </c>
      <c r="D418">
        <v>1.427</v>
      </c>
      <c r="E418">
        <v>2.0390000000000001</v>
      </c>
      <c r="F418">
        <v>2.6560000000000001</v>
      </c>
      <c r="G418">
        <v>3.67</v>
      </c>
    </row>
    <row r="419" spans="1:7" x14ac:dyDescent="0.25">
      <c r="A419" s="4">
        <v>41540</v>
      </c>
      <c r="B419">
        <v>0.33200000000000002</v>
      </c>
      <c r="C419" s="5">
        <v>0.67700000000000005</v>
      </c>
      <c r="D419">
        <v>1.45</v>
      </c>
      <c r="E419">
        <v>2.077</v>
      </c>
      <c r="F419">
        <v>2.7010000000000001</v>
      </c>
      <c r="G419">
        <v>3.7250000000000001</v>
      </c>
    </row>
    <row r="420" spans="1:7" x14ac:dyDescent="0.25">
      <c r="A420" s="4">
        <v>41537</v>
      </c>
      <c r="B420">
        <v>0.33200000000000002</v>
      </c>
      <c r="C420" s="5">
        <v>0.68799999999999994</v>
      </c>
      <c r="D420">
        <v>1.478</v>
      </c>
      <c r="E420">
        <v>2.109</v>
      </c>
      <c r="F420">
        <v>2.7349999999999999</v>
      </c>
      <c r="G420">
        <v>3.762</v>
      </c>
    </row>
    <row r="421" spans="1:7" x14ac:dyDescent="0.25">
      <c r="A421" s="4">
        <v>41536</v>
      </c>
      <c r="B421">
        <v>0.33700000000000002</v>
      </c>
      <c r="C421" s="5">
        <v>0.69899999999999995</v>
      </c>
      <c r="D421">
        <v>1.4889999999999999</v>
      </c>
      <c r="E421">
        <v>2.1240000000000001</v>
      </c>
      <c r="F421">
        <v>2.7530000000000001</v>
      </c>
      <c r="G421">
        <v>3.8029999999999999</v>
      </c>
    </row>
    <row r="422" spans="1:7" x14ac:dyDescent="0.25">
      <c r="A422" s="4">
        <v>41535</v>
      </c>
      <c r="B422">
        <v>0.32300000000000001</v>
      </c>
      <c r="C422" s="5">
        <v>0.66700000000000004</v>
      </c>
      <c r="D422">
        <v>1.425</v>
      </c>
      <c r="E422">
        <v>2.0510000000000002</v>
      </c>
      <c r="F422">
        <v>2.6890000000000001</v>
      </c>
      <c r="G422">
        <v>3.7480000000000002</v>
      </c>
    </row>
    <row r="423" spans="1:7" x14ac:dyDescent="0.25">
      <c r="A423" s="4">
        <v>41534</v>
      </c>
      <c r="B423">
        <v>0.373</v>
      </c>
      <c r="C423" s="5">
        <v>0.77600000000000002</v>
      </c>
      <c r="D423">
        <v>1.6080000000000001</v>
      </c>
      <c r="E423">
        <v>2.246</v>
      </c>
      <c r="F423">
        <v>2.8479999999999999</v>
      </c>
      <c r="G423">
        <v>3.8330000000000002</v>
      </c>
    </row>
    <row r="424" spans="1:7" x14ac:dyDescent="0.25">
      <c r="A424" s="4">
        <v>41533</v>
      </c>
      <c r="B424">
        <v>0.38900000000000001</v>
      </c>
      <c r="C424" s="5">
        <v>0.8</v>
      </c>
      <c r="D424">
        <v>1.623</v>
      </c>
      <c r="E424">
        <v>2.2509999999999999</v>
      </c>
      <c r="F424">
        <v>2.8650000000000002</v>
      </c>
      <c r="G424">
        <v>3.867</v>
      </c>
    </row>
    <row r="425" spans="1:7" x14ac:dyDescent="0.25">
      <c r="A425" s="4">
        <v>41530</v>
      </c>
      <c r="B425">
        <v>0.433</v>
      </c>
      <c r="C425" s="5">
        <v>0.871</v>
      </c>
      <c r="D425">
        <v>1.694</v>
      </c>
      <c r="E425">
        <v>2.3050000000000002</v>
      </c>
      <c r="F425">
        <v>2.8860000000000001</v>
      </c>
      <c r="G425">
        <v>3.835</v>
      </c>
    </row>
    <row r="426" spans="1:7" x14ac:dyDescent="0.25">
      <c r="A426" s="4">
        <v>41529</v>
      </c>
      <c r="B426">
        <v>0.44500000000000001</v>
      </c>
      <c r="C426" s="5">
        <v>0.88400000000000001</v>
      </c>
      <c r="D426">
        <v>1.7130000000000001</v>
      </c>
      <c r="E426">
        <v>2.3359999999999999</v>
      </c>
      <c r="F426">
        <v>2.91</v>
      </c>
      <c r="G426">
        <v>3.8529999999999998</v>
      </c>
    </row>
    <row r="427" spans="1:7" x14ac:dyDescent="0.25">
      <c r="A427" s="4">
        <v>41528</v>
      </c>
      <c r="B427">
        <v>0.44500000000000001</v>
      </c>
      <c r="C427" s="5">
        <v>0.879</v>
      </c>
      <c r="D427">
        <v>1.7050000000000001</v>
      </c>
      <c r="E427">
        <v>2.331</v>
      </c>
      <c r="F427">
        <v>2.9130000000000003</v>
      </c>
      <c r="G427">
        <v>3.855</v>
      </c>
    </row>
    <row r="428" spans="1:7" x14ac:dyDescent="0.25">
      <c r="A428" s="4">
        <v>41527</v>
      </c>
      <c r="B428">
        <v>0.47299999999999998</v>
      </c>
      <c r="C428" s="5">
        <v>0.88700000000000001</v>
      </c>
      <c r="D428">
        <v>1.768</v>
      </c>
      <c r="E428">
        <v>2.395</v>
      </c>
      <c r="F428">
        <v>2.9649999999999999</v>
      </c>
      <c r="G428">
        <v>3.895</v>
      </c>
    </row>
    <row r="429" spans="1:7" x14ac:dyDescent="0.25">
      <c r="A429" s="4">
        <v>41526</v>
      </c>
      <c r="B429">
        <v>0.44500000000000001</v>
      </c>
      <c r="C429" s="5">
        <v>0.84799999999999998</v>
      </c>
      <c r="D429">
        <v>1.716</v>
      </c>
      <c r="E429">
        <v>2.351</v>
      </c>
      <c r="F429">
        <v>2.9130000000000003</v>
      </c>
      <c r="G429">
        <v>3.8529999999999998</v>
      </c>
    </row>
    <row r="430" spans="1:7" x14ac:dyDescent="0.25">
      <c r="A430" s="4">
        <v>41523</v>
      </c>
      <c r="B430">
        <v>0.45700000000000002</v>
      </c>
      <c r="C430" s="5">
        <v>0.88300000000000001</v>
      </c>
      <c r="D430">
        <v>1.758</v>
      </c>
      <c r="E430">
        <v>2.375</v>
      </c>
      <c r="F430">
        <v>2.9350000000000001</v>
      </c>
      <c r="G430">
        <v>3.867</v>
      </c>
    </row>
    <row r="431" spans="1:7" x14ac:dyDescent="0.25">
      <c r="A431" s="4">
        <v>41522</v>
      </c>
      <c r="B431">
        <v>0.52</v>
      </c>
      <c r="C431" s="5">
        <v>0.95899999999999996</v>
      </c>
      <c r="D431">
        <v>1.85</v>
      </c>
      <c r="E431">
        <v>2.4620000000000002</v>
      </c>
      <c r="F431">
        <v>2.9950000000000001</v>
      </c>
      <c r="G431">
        <v>3.8860000000000001</v>
      </c>
    </row>
    <row r="432" spans="1:7" x14ac:dyDescent="0.25">
      <c r="A432" s="4">
        <v>41521</v>
      </c>
      <c r="B432">
        <v>0.47199999999999998</v>
      </c>
      <c r="C432" s="5">
        <v>0.872</v>
      </c>
      <c r="D432">
        <v>1.742</v>
      </c>
      <c r="E432">
        <v>2.36</v>
      </c>
      <c r="F432">
        <v>2.8980000000000001</v>
      </c>
      <c r="G432">
        <v>3.7970000000000002</v>
      </c>
    </row>
    <row r="433" spans="1:7" x14ac:dyDescent="0.25">
      <c r="A433" s="4">
        <v>41520</v>
      </c>
      <c r="B433">
        <v>0.41599999999999998</v>
      </c>
      <c r="C433" s="5">
        <v>0.80400000000000005</v>
      </c>
      <c r="D433">
        <v>1.6779999999999999</v>
      </c>
      <c r="E433">
        <v>2.3090000000000002</v>
      </c>
      <c r="F433">
        <v>2.859</v>
      </c>
      <c r="G433">
        <v>3.7949999999999999</v>
      </c>
    </row>
    <row r="434" spans="1:7" x14ac:dyDescent="0.25">
      <c r="A434" s="4">
        <v>41519</v>
      </c>
      <c r="B434">
        <v>0.40100000000000002</v>
      </c>
      <c r="C434" s="5">
        <v>0.78200000000000003</v>
      </c>
      <c r="D434">
        <v>1.6419999999999999</v>
      </c>
      <c r="E434">
        <v>2.2519999999999998</v>
      </c>
      <c r="F434">
        <v>2.7850000000000001</v>
      </c>
      <c r="G434">
        <v>3.7</v>
      </c>
    </row>
    <row r="435" spans="1:7" x14ac:dyDescent="0.25">
      <c r="A435" s="4">
        <v>41516</v>
      </c>
      <c r="B435">
        <v>0.40100000000000002</v>
      </c>
      <c r="C435" s="5">
        <v>0.78200000000000003</v>
      </c>
      <c r="D435">
        <v>1.6419999999999999</v>
      </c>
      <c r="E435">
        <v>2.2519999999999998</v>
      </c>
      <c r="F435">
        <v>2.7850000000000001</v>
      </c>
      <c r="G435">
        <v>3.7</v>
      </c>
    </row>
    <row r="436" spans="1:7" x14ac:dyDescent="0.25">
      <c r="A436" s="4">
        <v>41515</v>
      </c>
      <c r="B436">
        <v>0.39700000000000002</v>
      </c>
      <c r="C436" s="5">
        <v>0.77100000000000002</v>
      </c>
      <c r="D436">
        <v>1.6120000000000001</v>
      </c>
      <c r="E436">
        <v>2.1890000000000001</v>
      </c>
      <c r="F436">
        <v>2.7629999999999999</v>
      </c>
      <c r="G436">
        <v>3.7149999999999999</v>
      </c>
    </row>
    <row r="437" spans="1:7" x14ac:dyDescent="0.25">
      <c r="A437" s="4">
        <v>41514</v>
      </c>
      <c r="B437">
        <v>0.39700000000000002</v>
      </c>
      <c r="C437" s="5">
        <v>0.76800000000000002</v>
      </c>
      <c r="D437">
        <v>1.5760000000000001</v>
      </c>
      <c r="E437">
        <v>2.1890000000000001</v>
      </c>
      <c r="F437">
        <v>2.766</v>
      </c>
      <c r="G437">
        <v>3.7359999999999998</v>
      </c>
    </row>
    <row r="438" spans="1:7" x14ac:dyDescent="0.25">
      <c r="A438" s="4">
        <v>41513</v>
      </c>
      <c r="B438">
        <v>0.35799999999999998</v>
      </c>
      <c r="C438" s="5">
        <v>0.73299999999999998</v>
      </c>
      <c r="D438">
        <v>1.52</v>
      </c>
      <c r="E438">
        <v>2.1280000000000001</v>
      </c>
      <c r="F438">
        <v>2.71</v>
      </c>
      <c r="G438">
        <v>3.6930000000000001</v>
      </c>
    </row>
    <row r="439" spans="1:7" x14ac:dyDescent="0.25">
      <c r="A439" s="4">
        <v>41512</v>
      </c>
      <c r="B439">
        <v>0.36599999999999999</v>
      </c>
      <c r="C439" s="5">
        <v>0.77</v>
      </c>
      <c r="D439">
        <v>1.5880000000000001</v>
      </c>
      <c r="E439">
        <v>2.2090000000000001</v>
      </c>
      <c r="F439">
        <v>2.786</v>
      </c>
      <c r="G439">
        <v>3.7650000000000001</v>
      </c>
    </row>
    <row r="440" spans="1:7" x14ac:dyDescent="0.25">
      <c r="A440" s="4">
        <v>41509</v>
      </c>
      <c r="B440">
        <v>0.378</v>
      </c>
      <c r="C440" s="5">
        <v>0.79200000000000004</v>
      </c>
      <c r="D440">
        <v>1.619</v>
      </c>
      <c r="E440">
        <v>2.2450000000000001</v>
      </c>
      <c r="F440">
        <v>2.8149999999999999</v>
      </c>
      <c r="G440">
        <v>3.7919999999999998</v>
      </c>
    </row>
    <row r="441" spans="1:7" x14ac:dyDescent="0.25">
      <c r="A441" s="4">
        <v>41508</v>
      </c>
      <c r="B441">
        <v>0.39</v>
      </c>
      <c r="C441" s="5">
        <v>0.81299999999999994</v>
      </c>
      <c r="D441">
        <v>1.677</v>
      </c>
      <c r="E441">
        <v>2.3149999999999999</v>
      </c>
      <c r="F441">
        <v>2.8849999999999998</v>
      </c>
      <c r="G441">
        <v>3.871</v>
      </c>
    </row>
    <row r="442" spans="1:7" x14ac:dyDescent="0.25">
      <c r="A442" s="4">
        <v>41507</v>
      </c>
      <c r="B442">
        <v>0.36899999999999999</v>
      </c>
      <c r="C442" s="5">
        <v>0.77</v>
      </c>
      <c r="D442">
        <v>1.6440000000000001</v>
      </c>
      <c r="E442">
        <v>2.3069999999999999</v>
      </c>
      <c r="F442">
        <v>2.8940000000000001</v>
      </c>
      <c r="G442">
        <v>3.92</v>
      </c>
    </row>
    <row r="443" spans="1:7" x14ac:dyDescent="0.25">
      <c r="A443" s="4">
        <v>41506</v>
      </c>
      <c r="B443">
        <v>0.34100000000000003</v>
      </c>
      <c r="C443" s="5">
        <v>0.71399999999999997</v>
      </c>
      <c r="D443">
        <v>1.5449999999999999</v>
      </c>
      <c r="E443">
        <v>2.206</v>
      </c>
      <c r="F443">
        <v>2.8149999999999999</v>
      </c>
      <c r="G443">
        <v>3.8529999999999998</v>
      </c>
    </row>
    <row r="444" spans="1:7" x14ac:dyDescent="0.25">
      <c r="A444" s="4">
        <v>41505</v>
      </c>
      <c r="B444">
        <v>0.35299999999999998</v>
      </c>
      <c r="C444" s="5">
        <v>0.748</v>
      </c>
      <c r="D444">
        <v>1.6080000000000001</v>
      </c>
      <c r="E444">
        <v>2.2749999999999999</v>
      </c>
      <c r="F444">
        <v>2.8810000000000002</v>
      </c>
      <c r="G444">
        <v>3.9</v>
      </c>
    </row>
    <row r="445" spans="1:7" x14ac:dyDescent="0.25">
      <c r="A445" s="4">
        <v>41502</v>
      </c>
      <c r="B445">
        <v>0.34100000000000003</v>
      </c>
      <c r="C445" s="5">
        <v>0.71899999999999997</v>
      </c>
      <c r="D445">
        <v>1.5640000000000001</v>
      </c>
      <c r="E445">
        <v>2.218</v>
      </c>
      <c r="F445">
        <v>2.8260000000000001</v>
      </c>
      <c r="G445">
        <v>3.8490000000000002</v>
      </c>
    </row>
    <row r="446" spans="1:7" x14ac:dyDescent="0.25">
      <c r="A446" s="4">
        <v>41501</v>
      </c>
      <c r="B446">
        <v>0.34799999999999998</v>
      </c>
      <c r="C446" s="5">
        <v>0.70299999999999996</v>
      </c>
      <c r="D446">
        <v>1.522</v>
      </c>
      <c r="E446">
        <v>2.1669999999999998</v>
      </c>
      <c r="F446">
        <v>2.7669999999999999</v>
      </c>
      <c r="G446">
        <v>3.8090000000000002</v>
      </c>
    </row>
    <row r="447" spans="1:7" x14ac:dyDescent="0.25">
      <c r="A447" s="4">
        <v>41500</v>
      </c>
      <c r="B447">
        <v>0.32800000000000001</v>
      </c>
      <c r="C447" s="5">
        <v>0.67400000000000004</v>
      </c>
      <c r="D447">
        <v>1.4769999999999999</v>
      </c>
      <c r="E447">
        <v>2.12</v>
      </c>
      <c r="F447">
        <v>2.714</v>
      </c>
      <c r="G447">
        <v>3.7530000000000001</v>
      </c>
    </row>
    <row r="448" spans="1:7" x14ac:dyDescent="0.25">
      <c r="A448" s="4">
        <v>41499</v>
      </c>
      <c r="B448">
        <v>0.33200000000000002</v>
      </c>
      <c r="C448" s="5">
        <v>0.67900000000000005</v>
      </c>
      <c r="D448">
        <v>1.4809999999999999</v>
      </c>
      <c r="E448">
        <v>2.13</v>
      </c>
      <c r="F448">
        <v>2.7199999999999998</v>
      </c>
      <c r="G448">
        <v>3.76</v>
      </c>
    </row>
    <row r="449" spans="1:7" x14ac:dyDescent="0.25">
      <c r="A449" s="4">
        <v>41498</v>
      </c>
      <c r="B449">
        <v>0.308</v>
      </c>
      <c r="C449" s="5">
        <v>0.624</v>
      </c>
      <c r="D449">
        <v>1.3860000000000001</v>
      </c>
      <c r="E449">
        <v>2.016</v>
      </c>
      <c r="F449">
        <v>2.621</v>
      </c>
      <c r="G449">
        <v>3.6840000000000002</v>
      </c>
    </row>
    <row r="450" spans="1:7" x14ac:dyDescent="0.25">
      <c r="A450" s="4">
        <v>41495</v>
      </c>
      <c r="B450">
        <v>0.30399999999999999</v>
      </c>
      <c r="C450" s="5">
        <v>0.61599999999999999</v>
      </c>
      <c r="D450">
        <v>1.355</v>
      </c>
      <c r="E450">
        <v>1.9750000000000001</v>
      </c>
      <c r="F450">
        <v>2.5789999999999997</v>
      </c>
      <c r="G450">
        <v>3.6349999999999998</v>
      </c>
    </row>
    <row r="451" spans="1:7" x14ac:dyDescent="0.25">
      <c r="A451" s="4">
        <v>41494</v>
      </c>
      <c r="B451">
        <v>0.30399999999999999</v>
      </c>
      <c r="C451" s="5">
        <v>0.61599999999999999</v>
      </c>
      <c r="D451">
        <v>1.3580000000000001</v>
      </c>
      <c r="E451">
        <v>1.9769999999999999</v>
      </c>
      <c r="F451">
        <v>2.59</v>
      </c>
      <c r="G451">
        <v>3.673</v>
      </c>
    </row>
    <row r="452" spans="1:7" x14ac:dyDescent="0.25">
      <c r="A452" s="4">
        <v>41493</v>
      </c>
      <c r="B452">
        <v>0.30399999999999999</v>
      </c>
      <c r="C452" s="5">
        <v>0.61799999999999999</v>
      </c>
      <c r="D452">
        <v>1.3679999999999999</v>
      </c>
      <c r="E452">
        <v>1.994</v>
      </c>
      <c r="F452">
        <v>2.6</v>
      </c>
      <c r="G452">
        <v>3.6859999999999999</v>
      </c>
    </row>
    <row r="453" spans="1:7" x14ac:dyDescent="0.25">
      <c r="A453" s="4">
        <v>41492</v>
      </c>
      <c r="B453">
        <v>0.307</v>
      </c>
      <c r="C453" s="5">
        <v>0.59699999999999998</v>
      </c>
      <c r="D453">
        <v>1.3900000000000001</v>
      </c>
      <c r="E453">
        <v>2.0350000000000001</v>
      </c>
      <c r="F453">
        <v>2.6429999999999998</v>
      </c>
      <c r="G453">
        <v>3.7290000000000001</v>
      </c>
    </row>
    <row r="454" spans="1:7" x14ac:dyDescent="0.25">
      <c r="A454" s="4">
        <v>41491</v>
      </c>
      <c r="B454">
        <v>0.30299999999999999</v>
      </c>
      <c r="C454" s="5">
        <v>0.59099999999999997</v>
      </c>
      <c r="D454">
        <v>1.3839999999999999</v>
      </c>
      <c r="E454">
        <v>2.028</v>
      </c>
      <c r="F454">
        <v>2.6339999999999999</v>
      </c>
      <c r="G454">
        <v>3.7269999999999999</v>
      </c>
    </row>
    <row r="455" spans="1:7" x14ac:dyDescent="0.25">
      <c r="A455" s="4">
        <v>41488</v>
      </c>
      <c r="B455">
        <v>0.29899999999999999</v>
      </c>
      <c r="C455" s="5">
        <v>0.57299999999999995</v>
      </c>
      <c r="D455">
        <v>1.3580000000000001</v>
      </c>
      <c r="E455">
        <v>1.996</v>
      </c>
      <c r="F455">
        <v>2.597</v>
      </c>
      <c r="G455">
        <v>3.6850000000000001</v>
      </c>
    </row>
    <row r="456" spans="1:7" x14ac:dyDescent="0.25">
      <c r="A456" s="4">
        <v>41487</v>
      </c>
      <c r="B456">
        <v>0.32700000000000001</v>
      </c>
      <c r="C456" s="5">
        <v>0.64200000000000002</v>
      </c>
      <c r="D456">
        <v>1.488</v>
      </c>
      <c r="E456">
        <v>2.141</v>
      </c>
      <c r="F456">
        <v>2.7069999999999999</v>
      </c>
      <c r="G456">
        <v>3.7549999999999999</v>
      </c>
    </row>
    <row r="457" spans="1:7" x14ac:dyDescent="0.25">
      <c r="A457" s="4">
        <v>41486</v>
      </c>
      <c r="B457">
        <v>0.311</v>
      </c>
      <c r="C457" s="5">
        <v>0.59199999999999997</v>
      </c>
      <c r="D457">
        <v>1.379</v>
      </c>
      <c r="E457">
        <v>2.0009999999999999</v>
      </c>
      <c r="F457">
        <v>2.577</v>
      </c>
      <c r="G457">
        <v>3.6360000000000001</v>
      </c>
    </row>
    <row r="458" spans="1:7" x14ac:dyDescent="0.25">
      <c r="A458" s="4">
        <v>41485</v>
      </c>
      <c r="B458">
        <v>0.315</v>
      </c>
      <c r="C458" s="5">
        <v>0.59699999999999998</v>
      </c>
      <c r="D458">
        <v>1.3900000000000001</v>
      </c>
      <c r="E458">
        <v>2.0249999999999999</v>
      </c>
      <c r="F458">
        <v>2.6109999999999998</v>
      </c>
      <c r="G458">
        <v>3.6829999999999998</v>
      </c>
    </row>
    <row r="459" spans="1:7" x14ac:dyDescent="0.25">
      <c r="A459" s="4">
        <v>41484</v>
      </c>
      <c r="B459">
        <v>0.31900000000000001</v>
      </c>
      <c r="C459" s="5">
        <v>0.59699999999999998</v>
      </c>
      <c r="D459">
        <v>1.389</v>
      </c>
      <c r="E459">
        <v>2.016</v>
      </c>
      <c r="F459">
        <v>2.6029999999999998</v>
      </c>
      <c r="G459">
        <v>3.6749999999999998</v>
      </c>
    </row>
    <row r="460" spans="1:7" x14ac:dyDescent="0.25">
      <c r="A460" s="4">
        <v>41481</v>
      </c>
      <c r="B460">
        <v>0.315</v>
      </c>
      <c r="C460" s="5">
        <v>0.58899999999999997</v>
      </c>
      <c r="D460">
        <v>1.369</v>
      </c>
      <c r="E460">
        <v>1.9889999999999999</v>
      </c>
      <c r="F460">
        <v>2.5629999999999997</v>
      </c>
      <c r="G460">
        <v>3.621</v>
      </c>
    </row>
    <row r="461" spans="1:7" x14ac:dyDescent="0.25">
      <c r="A461" s="4">
        <v>41480</v>
      </c>
      <c r="B461">
        <v>0.32300000000000001</v>
      </c>
      <c r="C461" s="5">
        <v>0.6</v>
      </c>
      <c r="D461">
        <v>1.3759999999999999</v>
      </c>
      <c r="E461">
        <v>1.9609999999999999</v>
      </c>
      <c r="F461">
        <v>2.5720000000000001</v>
      </c>
      <c r="G461">
        <v>3.641</v>
      </c>
    </row>
    <row r="462" spans="1:7" x14ac:dyDescent="0.25">
      <c r="A462" s="4">
        <v>41479</v>
      </c>
      <c r="B462">
        <v>0.35</v>
      </c>
      <c r="C462" s="5">
        <v>0.63700000000000001</v>
      </c>
      <c r="D462">
        <v>1.379</v>
      </c>
      <c r="E462">
        <v>1.988</v>
      </c>
      <c r="F462">
        <v>2.589</v>
      </c>
      <c r="G462">
        <v>3.6470000000000002</v>
      </c>
    </row>
    <row r="463" spans="1:7" x14ac:dyDescent="0.25">
      <c r="A463" s="4">
        <v>41478</v>
      </c>
      <c r="B463">
        <v>0.308</v>
      </c>
      <c r="C463" s="5">
        <v>0.59199999999999997</v>
      </c>
      <c r="D463">
        <v>1.31</v>
      </c>
      <c r="E463">
        <v>1.9</v>
      </c>
      <c r="F463">
        <v>2.5060000000000002</v>
      </c>
      <c r="G463">
        <v>3.5779999999999998</v>
      </c>
    </row>
    <row r="464" spans="1:7" x14ac:dyDescent="0.25">
      <c r="A464" s="4">
        <v>41477</v>
      </c>
      <c r="B464">
        <v>0.30399999999999999</v>
      </c>
      <c r="C464" s="5">
        <v>0.58399999999999996</v>
      </c>
      <c r="D464">
        <v>1.2969999999999999</v>
      </c>
      <c r="E464">
        <v>1.881</v>
      </c>
      <c r="F464">
        <v>2.4809999999999999</v>
      </c>
      <c r="G464">
        <v>3.5510000000000002</v>
      </c>
    </row>
    <row r="465" spans="1:7" x14ac:dyDescent="0.25">
      <c r="A465" s="4">
        <v>41474</v>
      </c>
      <c r="B465">
        <v>0.3</v>
      </c>
      <c r="C465" s="5">
        <v>0.58399999999999996</v>
      </c>
      <c r="D465">
        <v>1.2969999999999999</v>
      </c>
      <c r="E465">
        <v>1.8879999999999999</v>
      </c>
      <c r="F465">
        <v>2.4849999999999999</v>
      </c>
      <c r="G465">
        <v>3.5609999999999999</v>
      </c>
    </row>
    <row r="466" spans="1:7" x14ac:dyDescent="0.25">
      <c r="A466" s="4">
        <v>41473</v>
      </c>
      <c r="B466">
        <v>0.30499999999999999</v>
      </c>
      <c r="C466" s="5">
        <v>0.59499999999999997</v>
      </c>
      <c r="D466">
        <v>1.3280000000000001</v>
      </c>
      <c r="E466">
        <v>1.9239999999999999</v>
      </c>
      <c r="F466">
        <v>2.5289999999999999</v>
      </c>
      <c r="G466">
        <v>3.6269999999999998</v>
      </c>
    </row>
    <row r="467" spans="1:7" x14ac:dyDescent="0.25">
      <c r="A467" s="4">
        <v>41472</v>
      </c>
      <c r="B467">
        <v>0.30099999999999999</v>
      </c>
      <c r="C467" s="5">
        <v>0.59199999999999997</v>
      </c>
      <c r="D467">
        <v>1.31</v>
      </c>
      <c r="E467">
        <v>1.891</v>
      </c>
      <c r="F467">
        <v>2.4900000000000002</v>
      </c>
      <c r="G467">
        <v>3.5760000000000001</v>
      </c>
    </row>
    <row r="468" spans="1:7" x14ac:dyDescent="0.25">
      <c r="A468" s="4">
        <v>41471</v>
      </c>
      <c r="B468">
        <v>0.32500000000000001</v>
      </c>
      <c r="C468" s="5">
        <v>0.63400000000000001</v>
      </c>
      <c r="D468">
        <v>1.3740000000000001</v>
      </c>
      <c r="E468">
        <v>1.9489999999999998</v>
      </c>
      <c r="F468">
        <v>2.5329999999999999</v>
      </c>
      <c r="G468">
        <v>3.5859999999999999</v>
      </c>
    </row>
    <row r="469" spans="1:7" x14ac:dyDescent="0.25">
      <c r="A469" s="4">
        <v>41470</v>
      </c>
      <c r="B469">
        <v>0.32900000000000001</v>
      </c>
      <c r="C469" s="5">
        <v>0.64500000000000002</v>
      </c>
      <c r="D469">
        <v>1.3740000000000001</v>
      </c>
      <c r="E469">
        <v>1.946</v>
      </c>
      <c r="F469">
        <v>2.5380000000000003</v>
      </c>
      <c r="G469">
        <v>3.5939999999999999</v>
      </c>
    </row>
    <row r="470" spans="1:7" x14ac:dyDescent="0.25">
      <c r="A470" s="4">
        <v>41467</v>
      </c>
      <c r="B470">
        <v>0.34100000000000003</v>
      </c>
      <c r="C470" s="5">
        <v>0.67100000000000004</v>
      </c>
      <c r="D470">
        <v>1.42</v>
      </c>
      <c r="E470">
        <v>1.9950000000000001</v>
      </c>
      <c r="F470">
        <v>2.5830000000000002</v>
      </c>
      <c r="G470">
        <v>3.6259999999999999</v>
      </c>
    </row>
    <row r="471" spans="1:7" x14ac:dyDescent="0.25">
      <c r="A471" s="4">
        <v>41466</v>
      </c>
      <c r="B471">
        <v>0.33100000000000002</v>
      </c>
      <c r="C471" s="5">
        <v>0.64700000000000002</v>
      </c>
      <c r="D471">
        <v>1.3919999999999999</v>
      </c>
      <c r="E471">
        <v>1.9769999999999999</v>
      </c>
      <c r="F471">
        <v>2.573</v>
      </c>
      <c r="G471">
        <v>3.63</v>
      </c>
    </row>
    <row r="472" spans="1:7" x14ac:dyDescent="0.25">
      <c r="A472" s="4">
        <v>41465</v>
      </c>
      <c r="B472">
        <v>0.35299999999999998</v>
      </c>
      <c r="C472" s="5">
        <v>0.69</v>
      </c>
      <c r="D472">
        <v>1.4570000000000001</v>
      </c>
      <c r="E472">
        <v>2.0579999999999998</v>
      </c>
      <c r="F472">
        <v>2.625</v>
      </c>
      <c r="G472">
        <v>3.6509999999999998</v>
      </c>
    </row>
    <row r="473" spans="1:7" x14ac:dyDescent="0.25">
      <c r="A473" s="4">
        <v>41464</v>
      </c>
      <c r="B473">
        <v>0.36899999999999999</v>
      </c>
      <c r="C473" s="5">
        <v>0.67900000000000005</v>
      </c>
      <c r="D473">
        <v>1.492</v>
      </c>
      <c r="E473">
        <v>2.0840000000000001</v>
      </c>
      <c r="F473">
        <v>2.6349999999999998</v>
      </c>
      <c r="G473">
        <v>3.6480000000000001</v>
      </c>
    </row>
    <row r="474" spans="1:7" x14ac:dyDescent="0.25">
      <c r="A474" s="4">
        <v>41463</v>
      </c>
      <c r="B474">
        <v>0.36099999999999999</v>
      </c>
      <c r="C474" s="5">
        <v>0.67600000000000005</v>
      </c>
      <c r="D474">
        <v>1.5030000000000001</v>
      </c>
      <c r="E474">
        <v>2.0990000000000002</v>
      </c>
      <c r="F474">
        <v>2.637</v>
      </c>
      <c r="G474">
        <v>3.6339999999999999</v>
      </c>
    </row>
    <row r="475" spans="1:7" x14ac:dyDescent="0.25">
      <c r="A475" s="4">
        <v>41460</v>
      </c>
      <c r="B475">
        <v>0.39700000000000002</v>
      </c>
      <c r="C475" s="5">
        <v>0.755</v>
      </c>
      <c r="D475">
        <v>1.6139999999999999</v>
      </c>
      <c r="E475">
        <v>2.2109999999999999</v>
      </c>
      <c r="F475">
        <v>2.74</v>
      </c>
      <c r="G475">
        <v>3.714</v>
      </c>
    </row>
    <row r="476" spans="1:7" x14ac:dyDescent="0.25">
      <c r="A476" s="4">
        <v>41459</v>
      </c>
      <c r="B476">
        <v>0.36499999999999999</v>
      </c>
      <c r="C476" s="5">
        <v>0.65400000000000003</v>
      </c>
      <c r="D476">
        <v>1.4179999999999999</v>
      </c>
      <c r="E476">
        <v>1.968</v>
      </c>
      <c r="F476">
        <v>2.504</v>
      </c>
      <c r="G476">
        <v>3.4939999999999998</v>
      </c>
    </row>
    <row r="477" spans="1:7" x14ac:dyDescent="0.25">
      <c r="A477" s="4">
        <v>41458</v>
      </c>
      <c r="B477">
        <v>0.36499999999999999</v>
      </c>
      <c r="C477" s="5">
        <v>0.65400000000000003</v>
      </c>
      <c r="D477">
        <v>1.4179999999999999</v>
      </c>
      <c r="E477">
        <v>1.968</v>
      </c>
      <c r="F477">
        <v>2.504</v>
      </c>
      <c r="G477">
        <v>3.4939999999999998</v>
      </c>
    </row>
    <row r="478" spans="1:7" x14ac:dyDescent="0.25">
      <c r="A478" s="4">
        <v>41457</v>
      </c>
      <c r="B478">
        <v>0.34899999999999998</v>
      </c>
      <c r="C478" s="5">
        <v>0.63200000000000001</v>
      </c>
      <c r="D478">
        <v>1.3759999999999999</v>
      </c>
      <c r="E478">
        <v>1.927</v>
      </c>
      <c r="F478">
        <v>2.4699999999999998</v>
      </c>
      <c r="G478">
        <v>3.4729999999999999</v>
      </c>
    </row>
    <row r="479" spans="1:7" x14ac:dyDescent="0.25">
      <c r="A479" s="4">
        <v>41456</v>
      </c>
      <c r="B479">
        <v>0.35299999999999998</v>
      </c>
      <c r="C479" s="5">
        <v>0.63800000000000001</v>
      </c>
      <c r="D479">
        <v>1.379</v>
      </c>
      <c r="E479">
        <v>1.9220000000000002</v>
      </c>
      <c r="F479">
        <v>2.4769999999999999</v>
      </c>
      <c r="G479">
        <v>3.4779999999999998</v>
      </c>
    </row>
    <row r="480" spans="1:7" x14ac:dyDescent="0.25">
      <c r="A480" s="4">
        <v>41453</v>
      </c>
      <c r="B480">
        <v>0.35699999999999998</v>
      </c>
      <c r="C480" s="5">
        <v>0.64800000000000002</v>
      </c>
      <c r="D480">
        <v>1.395</v>
      </c>
      <c r="E480">
        <v>1.9419999999999999</v>
      </c>
      <c r="F480">
        <v>2.4870000000000001</v>
      </c>
      <c r="G480">
        <v>3.5</v>
      </c>
    </row>
    <row r="481" spans="1:7" x14ac:dyDescent="0.25">
      <c r="A481" s="4">
        <v>41452</v>
      </c>
      <c r="B481">
        <v>0.35299999999999998</v>
      </c>
      <c r="C481" s="5">
        <v>0.64500000000000002</v>
      </c>
      <c r="D481">
        <v>1.3820000000000001</v>
      </c>
      <c r="E481">
        <v>1.8940000000000001</v>
      </c>
      <c r="F481">
        <v>2.4729999999999999</v>
      </c>
      <c r="G481">
        <v>3.5350000000000001</v>
      </c>
    </row>
    <row r="482" spans="1:7" x14ac:dyDescent="0.25">
      <c r="A482" s="4">
        <v>41451</v>
      </c>
      <c r="B482">
        <v>0.38100000000000001</v>
      </c>
      <c r="C482" s="5">
        <v>0.68</v>
      </c>
      <c r="D482">
        <v>1.4179999999999999</v>
      </c>
      <c r="E482">
        <v>1.96</v>
      </c>
      <c r="F482">
        <v>2.536</v>
      </c>
      <c r="G482">
        <v>3.58</v>
      </c>
    </row>
    <row r="483" spans="1:7" x14ac:dyDescent="0.25">
      <c r="A483" s="4">
        <v>41450</v>
      </c>
      <c r="B483">
        <v>0.40699999999999997</v>
      </c>
      <c r="C483" s="5">
        <v>0.746</v>
      </c>
      <c r="D483">
        <v>1.4910000000000001</v>
      </c>
      <c r="E483">
        <v>2.0369999999999999</v>
      </c>
      <c r="F483">
        <v>2.609</v>
      </c>
      <c r="G483">
        <v>3.6230000000000002</v>
      </c>
    </row>
    <row r="484" spans="1:7" x14ac:dyDescent="0.25">
      <c r="A484" s="4">
        <v>41449</v>
      </c>
      <c r="B484">
        <v>0.38600000000000001</v>
      </c>
      <c r="C484" s="5">
        <v>0.71699999999999997</v>
      </c>
      <c r="D484">
        <v>1.4450000000000001</v>
      </c>
      <c r="E484">
        <v>1.982</v>
      </c>
      <c r="F484">
        <v>2.5380000000000003</v>
      </c>
      <c r="G484">
        <v>3.548</v>
      </c>
    </row>
    <row r="485" spans="1:7" x14ac:dyDescent="0.25">
      <c r="A485" s="4">
        <v>41446</v>
      </c>
      <c r="B485">
        <v>0.37</v>
      </c>
      <c r="C485" s="5">
        <v>0.70599999999999996</v>
      </c>
      <c r="D485">
        <v>1.425</v>
      </c>
      <c r="E485">
        <v>1.9649999999999999</v>
      </c>
      <c r="F485">
        <v>2.532</v>
      </c>
      <c r="G485">
        <v>3.5830000000000002</v>
      </c>
    </row>
    <row r="486" spans="1:7" x14ac:dyDescent="0.25">
      <c r="A486" s="4">
        <v>41445</v>
      </c>
      <c r="B486">
        <v>0.32900000000000001</v>
      </c>
      <c r="C486" s="5">
        <v>0.628</v>
      </c>
      <c r="D486">
        <v>1.304</v>
      </c>
      <c r="E486">
        <v>1.8359999999999999</v>
      </c>
      <c r="F486">
        <v>2.415</v>
      </c>
      <c r="G486">
        <v>3.5129999999999999</v>
      </c>
    </row>
    <row r="487" spans="1:7" x14ac:dyDescent="0.25">
      <c r="A487" s="4">
        <v>41444</v>
      </c>
      <c r="B487">
        <v>0.308</v>
      </c>
      <c r="C487" s="5">
        <v>0.58599999999999997</v>
      </c>
      <c r="D487">
        <v>1.2490000000000001</v>
      </c>
      <c r="E487">
        <v>1.782</v>
      </c>
      <c r="F487">
        <v>2.3540000000000001</v>
      </c>
      <c r="G487">
        <v>3.4119999999999999</v>
      </c>
    </row>
    <row r="488" spans="1:7" x14ac:dyDescent="0.25">
      <c r="A488" s="4">
        <v>41443</v>
      </c>
      <c r="B488">
        <v>0.26400000000000001</v>
      </c>
      <c r="C488" s="5">
        <v>0.48499999999999999</v>
      </c>
      <c r="D488">
        <v>1.0580000000000001</v>
      </c>
      <c r="E488">
        <v>1.5739999999999998</v>
      </c>
      <c r="F488">
        <v>2.1859999999999999</v>
      </c>
      <c r="G488">
        <v>3.3420000000000001</v>
      </c>
    </row>
    <row r="489" spans="1:7" x14ac:dyDescent="0.25">
      <c r="A489" s="4">
        <v>41442</v>
      </c>
      <c r="B489">
        <v>0.26400000000000001</v>
      </c>
      <c r="C489" s="5">
        <v>0.48799999999999999</v>
      </c>
      <c r="D489">
        <v>1.0589999999999999</v>
      </c>
      <c r="E489">
        <v>1.569</v>
      </c>
      <c r="F489">
        <v>2.1829999999999998</v>
      </c>
      <c r="G489">
        <v>3.3519999999999999</v>
      </c>
    </row>
    <row r="490" spans="1:7" x14ac:dyDescent="0.25">
      <c r="A490" s="4">
        <v>41439</v>
      </c>
      <c r="B490">
        <v>0.27200000000000002</v>
      </c>
      <c r="C490" s="5">
        <v>0.49099999999999999</v>
      </c>
      <c r="D490">
        <v>1.03</v>
      </c>
      <c r="E490">
        <v>1.524</v>
      </c>
      <c r="F490">
        <v>2.13</v>
      </c>
      <c r="G490">
        <v>3.306</v>
      </c>
    </row>
    <row r="491" spans="1:7" x14ac:dyDescent="0.25">
      <c r="A491" s="4">
        <v>41438</v>
      </c>
      <c r="B491">
        <v>0.28399999999999997</v>
      </c>
      <c r="C491" s="5">
        <v>0.51200000000000001</v>
      </c>
      <c r="D491">
        <v>1.056</v>
      </c>
      <c r="E491">
        <v>1.552</v>
      </c>
      <c r="F491">
        <v>2.15</v>
      </c>
      <c r="G491">
        <v>3.3170000000000002</v>
      </c>
    </row>
    <row r="492" spans="1:7" x14ac:dyDescent="0.25">
      <c r="A492" s="4">
        <v>41437</v>
      </c>
      <c r="B492">
        <v>0.32800000000000001</v>
      </c>
      <c r="C492" s="5">
        <v>0.57999999999999996</v>
      </c>
      <c r="D492">
        <v>1.1439999999999999</v>
      </c>
      <c r="E492">
        <v>1.6379999999999999</v>
      </c>
      <c r="F492">
        <v>2.2290000000000001</v>
      </c>
      <c r="G492">
        <v>3.37</v>
      </c>
    </row>
    <row r="493" spans="1:7" x14ac:dyDescent="0.25">
      <c r="A493" s="4">
        <v>41436</v>
      </c>
      <c r="B493">
        <v>0.32400000000000001</v>
      </c>
      <c r="C493" s="5">
        <v>0.54300000000000004</v>
      </c>
      <c r="D493">
        <v>1.111</v>
      </c>
      <c r="E493">
        <v>1.605</v>
      </c>
      <c r="F493">
        <v>2.1859999999999999</v>
      </c>
      <c r="G493">
        <v>3.3149999999999999</v>
      </c>
    </row>
    <row r="494" spans="1:7" x14ac:dyDescent="0.25">
      <c r="A494" s="4">
        <v>41435</v>
      </c>
      <c r="B494">
        <v>0.312</v>
      </c>
      <c r="C494" s="5">
        <v>0.53100000000000003</v>
      </c>
      <c r="D494">
        <v>1.1219999999999999</v>
      </c>
      <c r="E494">
        <v>1.621</v>
      </c>
      <c r="F494">
        <v>2.2109999999999999</v>
      </c>
      <c r="G494">
        <v>3.37</v>
      </c>
    </row>
    <row r="495" spans="1:7" x14ac:dyDescent="0.25">
      <c r="A495" s="4">
        <v>41432</v>
      </c>
      <c r="B495">
        <v>0.30399999999999999</v>
      </c>
      <c r="C495" s="5">
        <v>0.51</v>
      </c>
      <c r="D495">
        <v>1.095</v>
      </c>
      <c r="E495">
        <v>1.5899999999999999</v>
      </c>
      <c r="F495">
        <v>2.173</v>
      </c>
      <c r="G495">
        <v>3.335</v>
      </c>
    </row>
    <row r="496" spans="1:7" x14ac:dyDescent="0.25">
      <c r="A496" s="4">
        <v>41431</v>
      </c>
      <c r="B496">
        <v>0.28999999999999998</v>
      </c>
      <c r="C496" s="5">
        <v>0.46800000000000003</v>
      </c>
      <c r="D496">
        <v>1.01</v>
      </c>
      <c r="E496">
        <v>1.49</v>
      </c>
      <c r="F496">
        <v>2.0779999999999998</v>
      </c>
      <c r="G496">
        <v>3.2450000000000001</v>
      </c>
    </row>
    <row r="497" spans="1:7" x14ac:dyDescent="0.25">
      <c r="A497" s="4">
        <v>41430</v>
      </c>
      <c r="B497">
        <v>0.28799999999999998</v>
      </c>
      <c r="C497" s="5">
        <v>0.46600000000000003</v>
      </c>
      <c r="D497">
        <v>1.0189999999999999</v>
      </c>
      <c r="E497">
        <v>1.5110000000000001</v>
      </c>
      <c r="F497">
        <v>2.09</v>
      </c>
      <c r="G497">
        <v>3.2469999999999999</v>
      </c>
    </row>
    <row r="498" spans="1:7" x14ac:dyDescent="0.25">
      <c r="A498" s="4">
        <v>41429</v>
      </c>
      <c r="B498">
        <v>0.29899999999999999</v>
      </c>
      <c r="C498" s="5">
        <v>0.48199999999999998</v>
      </c>
      <c r="D498">
        <v>1.0569999999999999</v>
      </c>
      <c r="E498">
        <v>1.556</v>
      </c>
      <c r="F498">
        <v>2.1469999999999998</v>
      </c>
      <c r="G498">
        <v>3.3119999999999998</v>
      </c>
    </row>
    <row r="499" spans="1:7" x14ac:dyDescent="0.25">
      <c r="A499" s="4">
        <v>41428</v>
      </c>
      <c r="B499">
        <v>0.29299999999999998</v>
      </c>
      <c r="C499" s="5">
        <v>0.48099999999999998</v>
      </c>
      <c r="D499">
        <v>1.028</v>
      </c>
      <c r="E499">
        <v>1.5249999999999999</v>
      </c>
      <c r="F499">
        <v>2.12</v>
      </c>
      <c r="G499">
        <v>3.2669999999999999</v>
      </c>
    </row>
    <row r="500" spans="1:7" x14ac:dyDescent="0.25">
      <c r="A500" s="4">
        <v>41425</v>
      </c>
      <c r="B500">
        <v>0.29499999999999998</v>
      </c>
      <c r="C500" s="5">
        <v>0.48599999999999999</v>
      </c>
      <c r="D500">
        <v>1.018</v>
      </c>
      <c r="E500">
        <v>1.528</v>
      </c>
      <c r="F500">
        <v>2.129</v>
      </c>
      <c r="G500">
        <v>3.2800000000000002</v>
      </c>
    </row>
    <row r="501" spans="1:7" x14ac:dyDescent="0.25">
      <c r="A501" s="4">
        <v>41424</v>
      </c>
      <c r="B501">
        <v>0.29499999999999998</v>
      </c>
      <c r="C501" s="5">
        <v>0.48299999999999998</v>
      </c>
      <c r="D501">
        <v>1.0069999999999999</v>
      </c>
      <c r="E501">
        <v>1.486</v>
      </c>
      <c r="F501">
        <v>2.1120000000000001</v>
      </c>
      <c r="G501">
        <v>3.2720000000000002</v>
      </c>
    </row>
    <row r="502" spans="1:7" x14ac:dyDescent="0.25">
      <c r="A502" s="4">
        <v>41423</v>
      </c>
      <c r="B502">
        <v>0.29499999999999998</v>
      </c>
      <c r="C502" s="5">
        <v>0.48599999999999999</v>
      </c>
      <c r="D502">
        <v>0.99</v>
      </c>
      <c r="E502">
        <v>1.486</v>
      </c>
      <c r="F502">
        <v>2.1160000000000001</v>
      </c>
      <c r="G502">
        <v>3.266</v>
      </c>
    </row>
    <row r="503" spans="1:7" x14ac:dyDescent="0.25">
      <c r="A503" s="4">
        <v>41422</v>
      </c>
      <c r="B503">
        <v>0.28999999999999998</v>
      </c>
      <c r="C503" s="5">
        <v>0.496</v>
      </c>
      <c r="D503">
        <v>1.0169999999999999</v>
      </c>
      <c r="E503">
        <v>1.5350000000000001</v>
      </c>
      <c r="F503">
        <v>2.1659999999999999</v>
      </c>
      <c r="G503">
        <v>3.323</v>
      </c>
    </row>
    <row r="504" spans="1:7" x14ac:dyDescent="0.25">
      <c r="A504" s="4">
        <v>41421</v>
      </c>
      <c r="B504">
        <v>0.249</v>
      </c>
      <c r="C504" s="5">
        <v>0.41299999999999998</v>
      </c>
      <c r="D504">
        <v>0.88900000000000001</v>
      </c>
      <c r="E504">
        <v>1.38</v>
      </c>
      <c r="F504">
        <v>2.0089999999999999</v>
      </c>
      <c r="G504">
        <v>3.1720000000000002</v>
      </c>
    </row>
    <row r="505" spans="1:7" x14ac:dyDescent="0.25">
      <c r="A505" s="4">
        <v>41418</v>
      </c>
      <c r="B505">
        <v>0.249</v>
      </c>
      <c r="C505" s="5">
        <v>0.41299999999999998</v>
      </c>
      <c r="D505">
        <v>0.88900000000000001</v>
      </c>
      <c r="E505">
        <v>1.38</v>
      </c>
      <c r="F505">
        <v>2.0089999999999999</v>
      </c>
      <c r="G505">
        <v>3.1720000000000002</v>
      </c>
    </row>
    <row r="506" spans="1:7" x14ac:dyDescent="0.25">
      <c r="A506" s="4">
        <v>41417</v>
      </c>
      <c r="B506">
        <v>0.249</v>
      </c>
      <c r="C506" s="5">
        <v>0.41299999999999998</v>
      </c>
      <c r="D506">
        <v>0.89200000000000002</v>
      </c>
      <c r="E506">
        <v>1.3820000000000001</v>
      </c>
      <c r="F506">
        <v>2.0169999999999999</v>
      </c>
      <c r="G506">
        <v>3.1909999999999998</v>
      </c>
    </row>
    <row r="507" spans="1:7" x14ac:dyDescent="0.25">
      <c r="A507" s="4">
        <v>41416</v>
      </c>
      <c r="B507">
        <v>0.248</v>
      </c>
      <c r="C507" s="5">
        <v>0.41799999999999998</v>
      </c>
      <c r="D507">
        <v>0.9</v>
      </c>
      <c r="E507">
        <v>1.399</v>
      </c>
      <c r="F507">
        <v>2.04</v>
      </c>
      <c r="G507">
        <v>3.22</v>
      </c>
    </row>
    <row r="508" spans="1:7" x14ac:dyDescent="0.25">
      <c r="A508" s="4">
        <v>41415</v>
      </c>
      <c r="B508">
        <v>0.23599999999999999</v>
      </c>
      <c r="C508" s="5">
        <v>0.38300000000000001</v>
      </c>
      <c r="D508">
        <v>0.82</v>
      </c>
      <c r="E508">
        <v>1.2909999999999999</v>
      </c>
      <c r="F508">
        <v>1.927</v>
      </c>
      <c r="G508">
        <v>3.1310000000000002</v>
      </c>
    </row>
    <row r="509" spans="1:7" x14ac:dyDescent="0.25">
      <c r="A509" s="4">
        <v>41414</v>
      </c>
      <c r="B509">
        <v>0.24</v>
      </c>
      <c r="C509" s="5">
        <v>0.39400000000000002</v>
      </c>
      <c r="D509">
        <v>0.83799999999999997</v>
      </c>
      <c r="E509">
        <v>1.32</v>
      </c>
      <c r="F509">
        <v>1.966</v>
      </c>
      <c r="G509">
        <v>3.177</v>
      </c>
    </row>
    <row r="510" spans="1:7" x14ac:dyDescent="0.25">
      <c r="A510" s="4">
        <v>41411</v>
      </c>
      <c r="B510">
        <v>0.24399999999999999</v>
      </c>
      <c r="C510" s="5">
        <v>0.39600000000000002</v>
      </c>
      <c r="D510">
        <v>0.83099999999999996</v>
      </c>
      <c r="E510">
        <v>1.31</v>
      </c>
      <c r="F510">
        <v>1.9510000000000001</v>
      </c>
      <c r="G510">
        <v>3.1669999999999998</v>
      </c>
    </row>
    <row r="511" spans="1:7" x14ac:dyDescent="0.25">
      <c r="A511" s="4">
        <v>41410</v>
      </c>
      <c r="B511">
        <v>0.23100000000000001</v>
      </c>
      <c r="C511" s="5">
        <v>0.375</v>
      </c>
      <c r="D511">
        <v>0.79</v>
      </c>
      <c r="E511">
        <v>1.2530000000000001</v>
      </c>
      <c r="F511">
        <v>1.8820000000000001</v>
      </c>
      <c r="G511">
        <v>3.0979999999999999</v>
      </c>
    </row>
    <row r="512" spans="1:7" x14ac:dyDescent="0.25">
      <c r="A512" s="4">
        <v>41409</v>
      </c>
      <c r="B512">
        <v>0.23899999999999999</v>
      </c>
      <c r="C512" s="5">
        <v>0.39</v>
      </c>
      <c r="D512">
        <v>0.82599999999999996</v>
      </c>
      <c r="E512">
        <v>1.3009999999999999</v>
      </c>
      <c r="F512">
        <v>1.9359999999999999</v>
      </c>
      <c r="G512">
        <v>3.1560000000000001</v>
      </c>
    </row>
    <row r="513" spans="1:7" x14ac:dyDescent="0.25">
      <c r="A513" s="4">
        <v>41408</v>
      </c>
      <c r="B513">
        <v>0.247</v>
      </c>
      <c r="C513" s="5">
        <v>0.40600000000000003</v>
      </c>
      <c r="D513">
        <v>0.85799999999999998</v>
      </c>
      <c r="E513">
        <v>1.3380000000000001</v>
      </c>
      <c r="F513">
        <v>1.9750000000000001</v>
      </c>
      <c r="G513">
        <v>3.1909999999999998</v>
      </c>
    </row>
    <row r="514" spans="1:7" x14ac:dyDescent="0.25">
      <c r="A514" s="4">
        <v>41407</v>
      </c>
      <c r="B514">
        <v>0.23899999999999999</v>
      </c>
      <c r="C514" s="5">
        <v>0.39</v>
      </c>
      <c r="D514">
        <v>0.82199999999999995</v>
      </c>
      <c r="E514">
        <v>1.2889999999999999</v>
      </c>
      <c r="F514">
        <v>1.921</v>
      </c>
      <c r="G514">
        <v>3.1310000000000002</v>
      </c>
    </row>
    <row r="515" spans="1:7" x14ac:dyDescent="0.25">
      <c r="A515" s="4">
        <v>41404</v>
      </c>
      <c r="B515">
        <v>0.23899999999999999</v>
      </c>
      <c r="C515" s="5">
        <v>0.38500000000000001</v>
      </c>
      <c r="D515">
        <v>0.81399999999999995</v>
      </c>
      <c r="E515">
        <v>1.274</v>
      </c>
      <c r="F515">
        <v>1.8980000000000001</v>
      </c>
      <c r="G515">
        <v>3.0950000000000002</v>
      </c>
    </row>
    <row r="516" spans="1:7" x14ac:dyDescent="0.25">
      <c r="A516" s="4">
        <v>41403</v>
      </c>
      <c r="B516">
        <v>0.222</v>
      </c>
      <c r="C516" s="5">
        <v>0.35099999999999998</v>
      </c>
      <c r="D516">
        <v>0.749</v>
      </c>
      <c r="E516">
        <v>1.1919999999999999</v>
      </c>
      <c r="F516">
        <v>1.8120000000000001</v>
      </c>
      <c r="G516">
        <v>2.9929999999999999</v>
      </c>
    </row>
    <row r="517" spans="1:7" x14ac:dyDescent="0.25">
      <c r="A517" s="4">
        <v>41402</v>
      </c>
      <c r="B517">
        <v>0.222</v>
      </c>
      <c r="C517" s="5">
        <v>0.34799999999999998</v>
      </c>
      <c r="D517">
        <v>0.74299999999999999</v>
      </c>
      <c r="E517">
        <v>1.1890000000000001</v>
      </c>
      <c r="F517">
        <v>1.7669999999999999</v>
      </c>
      <c r="G517">
        <v>2.988</v>
      </c>
    </row>
    <row r="518" spans="1:7" x14ac:dyDescent="0.25">
      <c r="A518" s="4">
        <v>41401</v>
      </c>
      <c r="B518">
        <v>0.222</v>
      </c>
      <c r="C518" s="5">
        <v>0.34200000000000003</v>
      </c>
      <c r="D518">
        <v>0.748</v>
      </c>
      <c r="E518">
        <v>1.1990000000000001</v>
      </c>
      <c r="F518">
        <v>1.7789999999999999</v>
      </c>
      <c r="G518">
        <v>2.9950000000000001</v>
      </c>
    </row>
    <row r="519" spans="1:7" x14ac:dyDescent="0.25">
      <c r="A519" s="4">
        <v>41400</v>
      </c>
      <c r="B519">
        <v>0.214</v>
      </c>
      <c r="C519" s="5">
        <v>0.33400000000000002</v>
      </c>
      <c r="D519">
        <v>0.73499999999999999</v>
      </c>
      <c r="E519">
        <v>1.1850000000000001</v>
      </c>
      <c r="F519">
        <v>1.76</v>
      </c>
      <c r="G519">
        <v>2.9769999999999999</v>
      </c>
    </row>
    <row r="520" spans="1:7" x14ac:dyDescent="0.25">
      <c r="A520" s="4">
        <v>41397</v>
      </c>
      <c r="B520">
        <v>0.218</v>
      </c>
      <c r="C520" s="5">
        <v>0.33100000000000002</v>
      </c>
      <c r="D520">
        <v>0.72499999999999998</v>
      </c>
      <c r="E520">
        <v>1.171</v>
      </c>
      <c r="F520">
        <v>1.7389999999999999</v>
      </c>
      <c r="G520">
        <v>2.9539999999999997</v>
      </c>
    </row>
    <row r="521" spans="1:7" x14ac:dyDescent="0.25">
      <c r="A521" s="4">
        <v>41396</v>
      </c>
      <c r="B521">
        <v>0.19800000000000001</v>
      </c>
      <c r="C521" s="5">
        <v>0.29399999999999998</v>
      </c>
      <c r="D521">
        <v>0.64800000000000002</v>
      </c>
      <c r="E521">
        <v>1.073</v>
      </c>
      <c r="F521">
        <v>1.6259999999999999</v>
      </c>
      <c r="G521">
        <v>2.8209999999999997</v>
      </c>
    </row>
    <row r="522" spans="1:7" x14ac:dyDescent="0.25">
      <c r="A522" s="4">
        <v>41395</v>
      </c>
      <c r="B522">
        <v>0.20200000000000001</v>
      </c>
      <c r="C522" s="5">
        <v>0.29399999999999998</v>
      </c>
      <c r="D522">
        <v>0.65</v>
      </c>
      <c r="E522">
        <v>1.075</v>
      </c>
      <c r="F522">
        <v>1.63</v>
      </c>
      <c r="G522">
        <v>2.8279999999999998</v>
      </c>
    </row>
    <row r="523" spans="1:7" x14ac:dyDescent="0.25">
      <c r="A523" s="4">
        <v>41394</v>
      </c>
      <c r="B523">
        <v>0.20899999999999999</v>
      </c>
      <c r="C523" s="5">
        <v>0.307</v>
      </c>
      <c r="D523">
        <v>0.67700000000000005</v>
      </c>
      <c r="E523">
        <v>1.1100000000000001</v>
      </c>
      <c r="F523">
        <v>1.673</v>
      </c>
      <c r="G523">
        <v>2.8769999999999998</v>
      </c>
    </row>
    <row r="524" spans="1:7" x14ac:dyDescent="0.25">
      <c r="A524" s="4">
        <v>41393</v>
      </c>
      <c r="B524">
        <v>0.20899999999999999</v>
      </c>
      <c r="C524" s="5">
        <v>0.312</v>
      </c>
      <c r="D524">
        <v>0.67700000000000005</v>
      </c>
      <c r="E524">
        <v>1.105</v>
      </c>
      <c r="F524">
        <v>1.671</v>
      </c>
      <c r="G524">
        <v>2.879</v>
      </c>
    </row>
    <row r="525" spans="1:7" x14ac:dyDescent="0.25">
      <c r="A525" s="4">
        <v>41390</v>
      </c>
      <c r="B525">
        <v>0.21299999999999999</v>
      </c>
      <c r="C525" s="5">
        <v>0.315</v>
      </c>
      <c r="D525">
        <v>0.68200000000000005</v>
      </c>
      <c r="E525">
        <v>1.105</v>
      </c>
      <c r="F525">
        <v>1.6640000000000001</v>
      </c>
      <c r="G525">
        <v>2.8609999999999998</v>
      </c>
    </row>
    <row r="526" spans="1:7" x14ac:dyDescent="0.25">
      <c r="A526" s="4">
        <v>41389</v>
      </c>
      <c r="B526">
        <v>0.22700000000000001</v>
      </c>
      <c r="C526" s="5">
        <v>0.33300000000000002</v>
      </c>
      <c r="D526">
        <v>0.71199999999999997</v>
      </c>
      <c r="E526">
        <v>1.119</v>
      </c>
      <c r="F526">
        <v>1.7090000000000001</v>
      </c>
      <c r="G526">
        <v>2.9050000000000002</v>
      </c>
    </row>
    <row r="527" spans="1:7" x14ac:dyDescent="0.25">
      <c r="A527" s="4">
        <v>41388</v>
      </c>
      <c r="B527">
        <v>0.22900000000000001</v>
      </c>
      <c r="C527" s="5">
        <v>0.33600000000000002</v>
      </c>
      <c r="D527">
        <v>0.69299999999999995</v>
      </c>
      <c r="E527">
        <v>1.1240000000000001</v>
      </c>
      <c r="F527">
        <v>1.706</v>
      </c>
      <c r="G527">
        <v>2.8959999999999999</v>
      </c>
    </row>
    <row r="528" spans="1:7" x14ac:dyDescent="0.25">
      <c r="A528" s="4">
        <v>41387</v>
      </c>
      <c r="B528">
        <v>0.22800000000000001</v>
      </c>
      <c r="C528" s="5">
        <v>0.33800000000000002</v>
      </c>
      <c r="D528">
        <v>0.69899999999999995</v>
      </c>
      <c r="E528">
        <v>1.1280000000000001</v>
      </c>
      <c r="F528">
        <v>1.7069999999999999</v>
      </c>
      <c r="G528">
        <v>2.903</v>
      </c>
    </row>
    <row r="529" spans="1:7" x14ac:dyDescent="0.25">
      <c r="A529" s="4">
        <v>41386</v>
      </c>
      <c r="B529">
        <v>0.224</v>
      </c>
      <c r="C529" s="5">
        <v>0.33600000000000002</v>
      </c>
      <c r="D529">
        <v>0.69</v>
      </c>
      <c r="E529">
        <v>1.117</v>
      </c>
      <c r="F529">
        <v>1.694</v>
      </c>
      <c r="G529">
        <v>2.8780000000000001</v>
      </c>
    </row>
    <row r="530" spans="1:7" x14ac:dyDescent="0.25">
      <c r="A530" s="4">
        <v>41383</v>
      </c>
      <c r="B530">
        <v>0.23200000000000001</v>
      </c>
      <c r="C530" s="5">
        <v>0.34599999999999997</v>
      </c>
      <c r="D530">
        <v>0.70699999999999996</v>
      </c>
      <c r="E530">
        <v>1.1360000000000001</v>
      </c>
      <c r="F530">
        <v>1.706</v>
      </c>
      <c r="G530">
        <v>2.8849999999999998</v>
      </c>
    </row>
    <row r="531" spans="1:7" x14ac:dyDescent="0.25">
      <c r="A531" s="4">
        <v>41382</v>
      </c>
      <c r="B531">
        <v>0.22800000000000001</v>
      </c>
      <c r="C531" s="5">
        <v>0.33800000000000002</v>
      </c>
      <c r="D531">
        <v>0.69599999999999995</v>
      </c>
      <c r="E531">
        <v>1.1140000000000001</v>
      </c>
      <c r="F531">
        <v>1.6859999999999999</v>
      </c>
      <c r="G531">
        <v>2.86</v>
      </c>
    </row>
    <row r="532" spans="1:7" x14ac:dyDescent="0.25">
      <c r="A532" s="4">
        <v>41381</v>
      </c>
      <c r="B532">
        <v>0.22800000000000001</v>
      </c>
      <c r="C532" s="5">
        <v>0.33500000000000002</v>
      </c>
      <c r="D532">
        <v>0.69299999999999995</v>
      </c>
      <c r="E532">
        <v>1.119</v>
      </c>
      <c r="F532">
        <v>1.696</v>
      </c>
      <c r="G532">
        <v>2.8780000000000001</v>
      </c>
    </row>
    <row r="533" spans="1:7" x14ac:dyDescent="0.25">
      <c r="A533" s="4">
        <v>41380</v>
      </c>
      <c r="B533">
        <v>0.22800000000000001</v>
      </c>
      <c r="C533" s="5">
        <v>0.33500000000000002</v>
      </c>
      <c r="D533">
        <v>0.70299999999999996</v>
      </c>
      <c r="E533">
        <v>1.1400000000000001</v>
      </c>
      <c r="F533">
        <v>1.7229999999999999</v>
      </c>
      <c r="G533">
        <v>2.91</v>
      </c>
    </row>
    <row r="534" spans="1:7" x14ac:dyDescent="0.25">
      <c r="A534" s="4">
        <v>41379</v>
      </c>
      <c r="B534">
        <v>0.22</v>
      </c>
      <c r="C534" s="5">
        <v>0.32200000000000001</v>
      </c>
      <c r="D534">
        <v>0.67700000000000005</v>
      </c>
      <c r="E534">
        <v>1.103</v>
      </c>
      <c r="F534">
        <v>1.681</v>
      </c>
      <c r="G534">
        <v>2.859</v>
      </c>
    </row>
    <row r="535" spans="1:7" x14ac:dyDescent="0.25">
      <c r="A535" s="4"/>
      <c r="C535" s="5"/>
    </row>
    <row r="536" spans="1:7" x14ac:dyDescent="0.25">
      <c r="A536" s="4"/>
    </row>
  </sheetData>
  <phoneticPr fontId="5" type="noConversion"/>
  <pageMargins left="0.7" right="0.7" top="0.75" bottom="0.75" header="0.3" footer="0.3"/>
  <pageSetup orientation="portrait"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1:IV536"/>
  <sheetViews>
    <sheetView topLeftCell="N1" workbookViewId="0">
      <selection activeCell="Z2" sqref="Z2:Z300"/>
    </sheetView>
  </sheetViews>
  <sheetFormatPr defaultRowHeight="15" x14ac:dyDescent="0.25"/>
  <cols>
    <col min="1" max="1" width="10.7109375" bestFit="1" customWidth="1"/>
    <col min="2" max="2" width="9.7109375" bestFit="1" customWidth="1"/>
    <col min="8" max="14" width="13.28515625" bestFit="1" customWidth="1"/>
    <col min="15" max="15" width="12.85546875" customWidth="1"/>
    <col min="16" max="18" width="13.28515625" bestFit="1" customWidth="1"/>
    <col min="21" max="22" width="9.7109375" bestFit="1" customWidth="1"/>
    <col min="26" max="26" width="9.7109375" style="4" bestFit="1" customWidth="1"/>
    <col min="27" max="27" width="9.7109375" style="5" bestFit="1" customWidth="1"/>
  </cols>
  <sheetData>
    <row r="1" spans="1:256" x14ac:dyDescent="0.25">
      <c r="D1" s="2" t="s">
        <v>6</v>
      </c>
      <c r="E1" s="2" t="s">
        <v>7</v>
      </c>
      <c r="F1" s="2" t="s">
        <v>8</v>
      </c>
      <c r="G1" s="2" t="s">
        <v>9</v>
      </c>
      <c r="H1" s="2" t="s">
        <v>19</v>
      </c>
      <c r="I1" s="2" t="s">
        <v>20</v>
      </c>
      <c r="S1" t="s">
        <v>83</v>
      </c>
      <c r="U1">
        <v>0</v>
      </c>
      <c r="V1">
        <f ca="1">IF(ISERROR(MID([1]!getformula(Sheet3!A2),SEARCH("rows=",[1]!getformula(Sheet3!A2),1)+5,LEN([1]!getformula(Sheet3!A2))-SEARCH("rows=",[1]!getformula(Sheet3!A2),1)-6)),0,MID([1]!getformula(Sheet3!A2),SEARCH("rows=",[1]!getformula(Sheet3!A2),1)+5,LEN([1]!getformula(Sheet3!A2))-SEARCH("rows=",[1]!getformula(Sheet3!A2),1)-6))</f>
        <v>0</v>
      </c>
      <c r="W1" t="s">
        <v>136</v>
      </c>
      <c r="X1" t="s">
        <v>134</v>
      </c>
      <c r="AB1" s="5"/>
    </row>
    <row r="2" spans="1:256" x14ac:dyDescent="0.25">
      <c r="D2" t="str">
        <f>_xll.BDP($B3&amp;" curncy","px last")</f>
        <v>#N/A Requesting Data...</v>
      </c>
      <c r="E2" t="str">
        <f>_xll.BDP($B4&amp;" curncy","px last")</f>
        <v>#N/A Requesting Data...</v>
      </c>
      <c r="F2" t="str">
        <f>_xll.BDP($B5&amp;" curncy","px last")</f>
        <v>#N/A Requesting Data...</v>
      </c>
      <c r="G2" t="str">
        <f>_xll.BDP($B6&amp;" curncy","px last")</f>
        <v>#N/A Requesting Data...</v>
      </c>
      <c r="H2" t="str">
        <f>_xll.BDP($B7&amp;" curncy","px last")</f>
        <v>#N/A Requesting Data...</v>
      </c>
      <c r="I2" t="str">
        <f>_xll.BDP($B8&amp;" curncy","px last")</f>
        <v>#N/A Requesting Data...</v>
      </c>
      <c r="J2" t="s">
        <v>31</v>
      </c>
      <c r="K2" s="4" t="e">
        <f ca="1">OFFSET($A$1,IF(ISERROR(MATCH(L2,A:A,0)),MATCH(WORKDAY(L2,-1),A:A,0),MATCH(L2,A:A,0))-1,0)</f>
        <v>#VALUE!</v>
      </c>
      <c r="L2" s="4" t="e">
        <f>WORKDAY($A$13,-5)</f>
        <v>#VALUE!</v>
      </c>
      <c r="M2" s="4" t="e">
        <f ca="1">OFFSET($A$1,IF(ISERROR(MATCH(L2,A:A,0)),MATCH(WORKDAY(L2,-1),A:A,0),MATCH(L2,A:A,0))-1,0)</f>
        <v>#VALUE!</v>
      </c>
      <c r="S2" t="s">
        <v>84</v>
      </c>
      <c r="U2" s="4">
        <v>42005</v>
      </c>
      <c r="V2" s="4">
        <v>42094</v>
      </c>
      <c r="Z2" s="4" t="str">
        <f ca="1">IF(Sheet3!$A2="",MATCH("Error",AF2,0),Sheet3!$A2)</f>
        <v>#N/A Requesting Data...</v>
      </c>
      <c r="AA2" s="5" t="str">
        <f ca="1">IF(OFFSET(Sheet3!$A$1,0,MATCH(W$1,Sheet3!$1:$1,0)-1,300)="","",OFFSET(Sheet3!$A$1,0,MATCH(W$1,Sheet3!$1:$1,0)-1,300))</f>
        <v>#N/A Requesting Data...</v>
      </c>
      <c r="AB2" s="5" t="str">
        <f ca="1">IF(OFFSET(Sheet3!$A$1,0,MATCH(X$1,Sheet3!$1:$1,0)-1,300)="","",OFFSET(Sheet3!$A$1,0,MATCH(X$1,Sheet3!$1:$1,0)-1,300))</f>
        <v>#N/A Requesting Data...</v>
      </c>
      <c r="AC2" t="e">
        <f ca="1">IF(AND(AA2&lt;&gt;"",AB2&lt;&gt;""),ABS(AA2-AB2),"")</f>
        <v>#VALUE!</v>
      </c>
      <c r="AD2" t="str">
        <f ca="1">IF(ISNA(MATCH("",AC2:AC21,0)),AVERAGE(AC2:AC21),"")</f>
        <v/>
      </c>
    </row>
    <row r="3" spans="1:256" x14ac:dyDescent="0.25">
      <c r="A3" s="2" t="s">
        <v>6</v>
      </c>
      <c r="B3" t="s">
        <v>89</v>
      </c>
      <c r="C3" t="str">
        <f>_xll.BDP($B3&amp;" curncy","px last")</f>
        <v>#N/A Requesting Data...</v>
      </c>
      <c r="D3" t="str">
        <f>IF(D$1=SWPS!$A3,"",ABS($C3-D$2)*100)</f>
        <v/>
      </c>
      <c r="E3" t="e">
        <f>IF(E$1=SWPS!$A3,"",ABS($C3-E$2)*100)</f>
        <v>#VALUE!</v>
      </c>
      <c r="F3" t="e">
        <f>IF(F$1=SWPS!$A3,"",ABS($C3-F$2)*100)</f>
        <v>#VALUE!</v>
      </c>
      <c r="G3" t="e">
        <f>IF(G$1=SWPS!$A3,"",ABS($C3-G$2)*100)</f>
        <v>#VALUE!</v>
      </c>
      <c r="H3" t="e">
        <f>IF(H$1=SWPS!$A3,"",ABS($C3-H$2)*100)</f>
        <v>#VALUE!</v>
      </c>
      <c r="I3" t="e">
        <f>IF(I$1=SWPS!$A3,"",ABS($C3-I$2)*100)</f>
        <v>#VALUE!</v>
      </c>
      <c r="J3" t="s">
        <v>32</v>
      </c>
      <c r="K3" s="4" t="e">
        <f ca="1">OFFSET($A$1,IF(ISERROR(MATCH(L3,A:A,0)),MATCH(WORKDAY(L3,-1),A:A,0),MATCH(L3,A:A,0))-1,0)</f>
        <v>#VALUE!</v>
      </c>
      <c r="L3" s="4" t="e">
        <f>EDATE($A$13,-1)</f>
        <v>#VALUE!</v>
      </c>
      <c r="M3" s="4" t="e">
        <f ca="1">OFFSET($A$1,IF(ISERROR(MATCH(L3,A:A,0)),MATCH(WORKDAY(L3,-1),A:A,0),MATCH(L3,A:A,0))-1,0)</f>
        <v>#VALUE!</v>
      </c>
      <c r="U3" s="4">
        <f>start</f>
        <v>42005</v>
      </c>
      <c r="V3" s="4">
        <f>end</f>
        <v>42094</v>
      </c>
      <c r="Z3" s="4" t="e">
        <f>IF(Sheet3!$A3="",MATCH("Error",AF3,0),Sheet3!$A3)</f>
        <v>#N/A</v>
      </c>
      <c r="AA3" s="5" t="str">
        <f ca="1">IF(OFFSET(Sheet3!$A$1,0,MATCH(W$1,Sheet3!$1:$1,0)-1,300)="","",OFFSET(Sheet3!$A$1,0,MATCH(W$1,Sheet3!$1:$1,0)-1,300))</f>
        <v/>
      </c>
      <c r="AB3" s="5" t="str">
        <f ca="1">IF(OFFSET(Sheet3!$A$1,0,MATCH(X$1,Sheet3!$1:$1,0)-1,300)="","",OFFSET(Sheet3!$A$1,0,MATCH(X$1,Sheet3!$1:$1,0)-1,300))</f>
        <v/>
      </c>
      <c r="AC3" t="str">
        <f t="shared" ref="AC3:AC66" ca="1" si="0">IF(AND(AA3&lt;&gt;"",AB3&lt;&gt;""),ABS(AA3-AB3),"")</f>
        <v/>
      </c>
      <c r="AD3" t="str">
        <f t="shared" ref="AD3:AD66" ca="1" si="1">IF(ISNA(MATCH("",AC3:AC22,0)),AVERAGE(AC3:AC22),"")</f>
        <v/>
      </c>
    </row>
    <row r="4" spans="1:256" x14ac:dyDescent="0.25">
      <c r="A4" s="2" t="s">
        <v>7</v>
      </c>
      <c r="B4" t="s">
        <v>90</v>
      </c>
      <c r="C4" t="str">
        <f>_xll.BDP($B4&amp;" curncy","px last")</f>
        <v>#N/A Requesting Data...</v>
      </c>
      <c r="D4" t="e">
        <f>IF(D$1=SWPS!$A4,"",ABS($C4-D$2)*100)</f>
        <v>#VALUE!</v>
      </c>
      <c r="E4" t="str">
        <f>IF(E$1=SWPS!$A4,"",ABS($C4-E$2)*100)</f>
        <v/>
      </c>
      <c r="F4" t="e">
        <f>IF(F$1=SWPS!$A4,"",ABS($C4-F$2)*100)</f>
        <v>#VALUE!</v>
      </c>
      <c r="G4" t="e">
        <f>IF(G$1=SWPS!$A4,"",ABS($C4-G$2)*100)</f>
        <v>#VALUE!</v>
      </c>
      <c r="H4" t="e">
        <f>IF(H$1=SWPS!$A4,"",ABS($C4-H$2)*100)</f>
        <v>#VALUE!</v>
      </c>
      <c r="I4" t="e">
        <f>IF(I$1=SWPS!$A4,"",ABS($C4-I$2)*100)</f>
        <v>#VALUE!</v>
      </c>
      <c r="J4" t="s">
        <v>33</v>
      </c>
      <c r="K4" s="4" t="e">
        <f ca="1">OFFSET($A$1,IF(ISERROR(MATCH(L4,A:A,0)),MATCH(WORKDAY(L4,-1),A:A,0),MATCH(L4,A:A,0))-1,0)</f>
        <v>#VALUE!</v>
      </c>
      <c r="L4" s="4" t="e">
        <f>EDATE($A$13,-3)</f>
        <v>#VALUE!</v>
      </c>
      <c r="M4" s="4" t="e">
        <f ca="1">OFFSET($A$1,IF(ISERROR(MATCH(L4,A:A,0)),MATCH(WORKDAY(L4,-1),A:A,0),MATCH(L4,A:A,0))-1,0)</f>
        <v>#VALUE!</v>
      </c>
      <c r="Z4" s="4" t="e">
        <f>IF(Sheet3!$A4="",MATCH("Error",AF4,0),Sheet3!$A4)</f>
        <v>#N/A</v>
      </c>
      <c r="AA4" s="5" t="str">
        <f ca="1">IF(OFFSET(Sheet3!$A$1,0,MATCH(W$1,Sheet3!$1:$1,0)-1,300)="","",OFFSET(Sheet3!$A$1,0,MATCH(W$1,Sheet3!$1:$1,0)-1,300))</f>
        <v/>
      </c>
      <c r="AB4" s="5" t="str">
        <f ca="1">IF(OFFSET(Sheet3!$A$1,0,MATCH(X$1,Sheet3!$1:$1,0)-1,300)="","",OFFSET(Sheet3!$A$1,0,MATCH(X$1,Sheet3!$1:$1,0)-1,300))</f>
        <v/>
      </c>
      <c r="AC4" t="str">
        <f t="shared" ca="1" si="0"/>
        <v/>
      </c>
      <c r="AD4" t="str">
        <f t="shared" ca="1" si="1"/>
        <v/>
      </c>
    </row>
    <row r="5" spans="1:256" x14ac:dyDescent="0.25">
      <c r="A5" s="2" t="s">
        <v>8</v>
      </c>
      <c r="B5" t="s">
        <v>91</v>
      </c>
      <c r="C5" t="str">
        <f>_xll.BDP($B5&amp;" curncy","px last")</f>
        <v>#N/A Requesting Data...</v>
      </c>
      <c r="D5" t="e">
        <f>IF(D$1=SWPS!$A5,"",ABS($C5-D$2)*100)</f>
        <v>#VALUE!</v>
      </c>
      <c r="E5" t="e">
        <f>IF(E$1=SWPS!$A5,"",ABS($C5-E$2)*100)</f>
        <v>#VALUE!</v>
      </c>
      <c r="F5" t="str">
        <f>IF(F$1=SWPS!$A5,"",ABS($C5-F$2)*100)</f>
        <v/>
      </c>
      <c r="G5" t="e">
        <f>IF(G$1=SWPS!$A5,"",ABS($C5-G$2)*100)</f>
        <v>#VALUE!</v>
      </c>
      <c r="H5" t="e">
        <f>IF(H$1=SWPS!$A5,"",ABS($C5-H$2)*100)</f>
        <v>#VALUE!</v>
      </c>
      <c r="I5" t="e">
        <f>IF(I$1=SWPS!$A5,"",ABS($C5-I$2)*100)</f>
        <v>#VALUE!</v>
      </c>
      <c r="J5" t="s">
        <v>34</v>
      </c>
      <c r="K5" s="4" t="e">
        <f ca="1">OFFSET($A$1,IF(ISERROR(MATCH(L5,A:A,0)),MATCH(WORKDAY(L5,-1),A:A,0),MATCH(L5,A:A,0))-1,0)</f>
        <v>#VALUE!</v>
      </c>
      <c r="L5" s="4" t="e">
        <f>EDATE($A$13,-6)</f>
        <v>#VALUE!</v>
      </c>
      <c r="M5" s="4" t="e">
        <f ca="1">OFFSET($A$1,IF(ISERROR(MATCH(L5,A:A,0)),MATCH(WORKDAY(L5,-1),A:A,0),MATCH(L5,A:A,0))-1,0)</f>
        <v>#VALUE!</v>
      </c>
      <c r="Z5" s="4" t="e">
        <f>IF(Sheet3!$A5="",MATCH("Error",AF5,0),Sheet3!$A5)</f>
        <v>#N/A</v>
      </c>
      <c r="AA5" s="5" t="str">
        <f ca="1">IF(OFFSET(Sheet3!$A$1,0,MATCH(W$1,Sheet3!$1:$1,0)-1,300)="","",OFFSET(Sheet3!$A$1,0,MATCH(W$1,Sheet3!$1:$1,0)-1,300))</f>
        <v/>
      </c>
      <c r="AB5" s="5" t="str">
        <f ca="1">IF(OFFSET(Sheet3!$A$1,0,MATCH(X$1,Sheet3!$1:$1,0)-1,300)="","",OFFSET(Sheet3!$A$1,0,MATCH(X$1,Sheet3!$1:$1,0)-1,300))</f>
        <v/>
      </c>
      <c r="AC5" t="str">
        <f t="shared" ca="1" si="0"/>
        <v/>
      </c>
      <c r="AD5" t="str">
        <f t="shared" ca="1" si="1"/>
        <v/>
      </c>
    </row>
    <row r="6" spans="1:256" x14ac:dyDescent="0.25">
      <c r="A6" s="2" t="s">
        <v>9</v>
      </c>
      <c r="B6" t="s">
        <v>92</v>
      </c>
      <c r="C6" t="str">
        <f>_xll.BDP($B6&amp;" curncy","px last")</f>
        <v>#N/A Requesting Data...</v>
      </c>
      <c r="D6" t="e">
        <f>IF(D$1=SWPS!$A6,"",ABS($C6-D$2)*100)</f>
        <v>#VALUE!</v>
      </c>
      <c r="E6" t="e">
        <f>IF(E$1=SWPS!$A6,"",ABS($C6-E$2)*100)</f>
        <v>#VALUE!</v>
      </c>
      <c r="F6" t="e">
        <f>IF(F$1=SWPS!$A6,"",ABS($C6-F$2)*100)</f>
        <v>#VALUE!</v>
      </c>
      <c r="G6" t="str">
        <f>IF(G$1=SWPS!$A6,"",ABS($C6-G$2)*100)</f>
        <v/>
      </c>
      <c r="H6" t="e">
        <f>IF(H$1=SWPS!$A6,"",ABS($C6-H$2)*100)</f>
        <v>#VALUE!</v>
      </c>
      <c r="I6" t="e">
        <f>IF(I$1=SWPS!$A6,"",ABS($C6-I$2)*100)</f>
        <v>#VALUE!</v>
      </c>
      <c r="J6" t="s">
        <v>39</v>
      </c>
      <c r="K6" s="4" t="e">
        <f ca="1">OFFSET($A$1,IF(ISERROR(MATCH(L6,A:A,0)),MATCH(WORKDAY(L6,-1),A:A,0),MATCH(L6,A:A,0))-1,0)</f>
        <v>#VALUE!</v>
      </c>
      <c r="L6" s="4" t="e">
        <f>EDATE($A$13,-12)</f>
        <v>#VALUE!</v>
      </c>
      <c r="M6" s="4" t="e">
        <f ca="1">OFFSET($A$1,IF(ISERROR(MATCH(L6,A:A,0)),MATCH(WORKDAY(L6,-1),A:A,0),MATCH(L6,A:A,0))-1,0)</f>
        <v>#VALUE!</v>
      </c>
      <c r="Z6" s="4" t="e">
        <f>IF(Sheet3!$A6="",MATCH("Error",AF6,0),Sheet3!$A6)</f>
        <v>#N/A</v>
      </c>
      <c r="AA6" s="5" t="str">
        <f ca="1">IF(OFFSET(Sheet3!$A$1,0,MATCH(W$1,Sheet3!$1:$1,0)-1,300)="","",OFFSET(Sheet3!$A$1,0,MATCH(W$1,Sheet3!$1:$1,0)-1,300))</f>
        <v/>
      </c>
      <c r="AB6" s="5" t="str">
        <f ca="1">IF(OFFSET(Sheet3!$A$1,0,MATCH(X$1,Sheet3!$1:$1,0)-1,300)="","",OFFSET(Sheet3!$A$1,0,MATCH(X$1,Sheet3!$1:$1,0)-1,300))</f>
        <v/>
      </c>
      <c r="AC6" t="str">
        <f t="shared" ca="1" si="0"/>
        <v/>
      </c>
      <c r="AD6" t="str">
        <f t="shared" ca="1" si="1"/>
        <v/>
      </c>
    </row>
    <row r="7" spans="1:256" x14ac:dyDescent="0.25">
      <c r="A7" s="2" t="s">
        <v>19</v>
      </c>
      <c r="B7" t="s">
        <v>93</v>
      </c>
      <c r="C7" t="str">
        <f>_xll.BDP($B7&amp;" curncy","px last")</f>
        <v>#N/A Requesting Data...</v>
      </c>
      <c r="D7" t="e">
        <f>IF(D$1=SWPS!$A7,"",ABS($C7-D$2)*100)</f>
        <v>#VALUE!</v>
      </c>
      <c r="E7" t="e">
        <f>IF(E$1=SWPS!$A7,"",ABS($C7-E$2)*100)</f>
        <v>#VALUE!</v>
      </c>
      <c r="F7" t="e">
        <f>IF(F$1=SWPS!$A7,"",ABS($C7-F$2)*100)</f>
        <v>#VALUE!</v>
      </c>
      <c r="G7" t="e">
        <f>IF(G$1=SWPS!$A7,"",ABS($C7-G$2)*100)</f>
        <v>#VALUE!</v>
      </c>
      <c r="H7" t="str">
        <f>IF(H$1=SWPS!$A7,"",ABS($C7-H$2)*100)</f>
        <v/>
      </c>
      <c r="I7" t="e">
        <f>IF(I$1=SWPS!$A7,"",ABS($C7-I$2)*100)</f>
        <v>#VALUE!</v>
      </c>
      <c r="Z7" s="4" t="e">
        <f>IF(Sheet3!$A7="",MATCH("Error",AF7,0),Sheet3!$A7)</f>
        <v>#N/A</v>
      </c>
      <c r="AA7" s="5" t="str">
        <f ca="1">IF(OFFSET(Sheet3!$A$1,0,MATCH(W$1,Sheet3!$1:$1,0)-1,300)="","",OFFSET(Sheet3!$A$1,0,MATCH(W$1,Sheet3!$1:$1,0)-1,300))</f>
        <v/>
      </c>
      <c r="AB7" s="5" t="str">
        <f ca="1">IF(OFFSET(Sheet3!$A$1,0,MATCH(X$1,Sheet3!$1:$1,0)-1,300)="","",OFFSET(Sheet3!$A$1,0,MATCH(X$1,Sheet3!$1:$1,0)-1,300))</f>
        <v/>
      </c>
      <c r="AC7" t="str">
        <f t="shared" ca="1" si="0"/>
        <v/>
      </c>
      <c r="AD7" t="str">
        <f t="shared" ca="1" si="1"/>
        <v/>
      </c>
    </row>
    <row r="8" spans="1:256" x14ac:dyDescent="0.25">
      <c r="A8" s="2" t="s">
        <v>20</v>
      </c>
      <c r="B8" t="s">
        <v>94</v>
      </c>
      <c r="C8" t="str">
        <f>_xll.BDP($B8&amp;" curncy","px last")</f>
        <v>#N/A Requesting Data...</v>
      </c>
      <c r="D8" t="e">
        <f>IF(D$1=SWPS!$A8,"",ABS($C8-D$2)*100)</f>
        <v>#VALUE!</v>
      </c>
      <c r="E8" t="e">
        <f>IF(E$1=SWPS!$A8,"",ABS($C8-E$2)*100)</f>
        <v>#VALUE!</v>
      </c>
      <c r="F8" t="e">
        <f>IF(F$1=SWPS!$A8,"",ABS($C8-F$2)*100)</f>
        <v>#VALUE!</v>
      </c>
      <c r="G8" t="e">
        <f>IF(G$1=SWPS!$A8,"",ABS($C8-G$2)*100)</f>
        <v>#VALUE!</v>
      </c>
      <c r="H8" t="e">
        <f>IF(H$1=SWPS!$A8,"",ABS($C8-H$2)*100)</f>
        <v>#VALUE!</v>
      </c>
      <c r="I8" t="str">
        <f>IF(I$1=SWPS!$A8,"",ABS($C8-I$2)*100)</f>
        <v/>
      </c>
      <c r="Z8" s="4" t="e">
        <f>IF(Sheet3!$A8="",MATCH("Error",AF8,0),Sheet3!$A8)</f>
        <v>#N/A</v>
      </c>
      <c r="AA8" s="5" t="str">
        <f ca="1">IF(OFFSET(Sheet3!$A$1,0,MATCH(W$1,Sheet3!$1:$1,0)-1,300)="","",OFFSET(Sheet3!$A$1,0,MATCH(W$1,Sheet3!$1:$1,0)-1,300))</f>
        <v/>
      </c>
      <c r="AB8" s="5" t="str">
        <f ca="1">IF(OFFSET(Sheet3!$A$1,0,MATCH(X$1,Sheet3!$1:$1,0)-1,300)="","",OFFSET(Sheet3!$A$1,0,MATCH(X$1,Sheet3!$1:$1,0)-1,300))</f>
        <v/>
      </c>
      <c r="AC8" t="str">
        <f t="shared" ca="1" si="0"/>
        <v/>
      </c>
      <c r="AD8" t="str">
        <f t="shared" ca="1" si="1"/>
        <v/>
      </c>
    </row>
    <row r="9" spans="1:256" x14ac:dyDescent="0.25">
      <c r="H9" s="1" t="s">
        <v>10</v>
      </c>
      <c r="I9" s="1" t="s">
        <v>10</v>
      </c>
      <c r="J9" s="1" t="s">
        <v>10</v>
      </c>
      <c r="K9" s="1" t="s">
        <v>11</v>
      </c>
      <c r="L9" s="1" t="s">
        <v>11</v>
      </c>
      <c r="M9" s="1" t="s">
        <v>11</v>
      </c>
      <c r="N9" s="1" t="s">
        <v>11</v>
      </c>
      <c r="O9" s="1" t="s">
        <v>12</v>
      </c>
      <c r="P9" s="1" t="s">
        <v>12</v>
      </c>
      <c r="Q9" s="1" t="s">
        <v>12</v>
      </c>
      <c r="R9" s="1" t="s">
        <v>17</v>
      </c>
      <c r="S9" s="1" t="s">
        <v>86</v>
      </c>
      <c r="T9" s="1" t="s">
        <v>86</v>
      </c>
      <c r="Z9" s="4" t="e">
        <f>IF(Sheet3!$A9="",MATCH("Error",AF9,0),Sheet3!$A9)</f>
        <v>#N/A</v>
      </c>
      <c r="AA9" s="5" t="str">
        <f ca="1">IF(OFFSET(Sheet3!$A$1,0,MATCH(W$1,Sheet3!$1:$1,0)-1,300)="","",OFFSET(Sheet3!$A$1,0,MATCH(W$1,Sheet3!$1:$1,0)-1,300))</f>
        <v/>
      </c>
      <c r="AB9" s="5" t="str">
        <f ca="1">IF(OFFSET(Sheet3!$A$1,0,MATCH(X$1,Sheet3!$1:$1,0)-1,300)="","",OFFSET(Sheet3!$A$1,0,MATCH(X$1,Sheet3!$1:$1,0)-1,300))</f>
        <v/>
      </c>
      <c r="AC9" t="str">
        <f t="shared" ca="1" si="0"/>
        <v/>
      </c>
      <c r="AD9" t="str">
        <f t="shared" ca="1" si="1"/>
        <v/>
      </c>
    </row>
    <row r="10" spans="1:256" x14ac:dyDescent="0.25">
      <c r="H10" s="1" t="s">
        <v>13</v>
      </c>
      <c r="I10" s="1" t="s">
        <v>14</v>
      </c>
      <c r="J10" s="1" t="s">
        <v>15</v>
      </c>
      <c r="K10" s="1" t="s">
        <v>14</v>
      </c>
      <c r="L10" s="1" t="s">
        <v>15</v>
      </c>
      <c r="M10" s="1" t="s">
        <v>17</v>
      </c>
      <c r="N10" s="1" t="s">
        <v>16</v>
      </c>
      <c r="O10" s="1" t="s">
        <v>15</v>
      </c>
      <c r="P10" s="1" t="s">
        <v>16</v>
      </c>
      <c r="Q10" s="1" t="s">
        <v>18</v>
      </c>
      <c r="R10" s="1" t="s">
        <v>15</v>
      </c>
      <c r="S10" s="1" t="s">
        <v>15</v>
      </c>
      <c r="T10" s="1" t="s">
        <v>16</v>
      </c>
      <c r="Z10" s="4" t="e">
        <f>IF(Sheet3!$A10="",MATCH("Error",AF10,0),Sheet3!$A10)</f>
        <v>#N/A</v>
      </c>
      <c r="AA10" s="5" t="str">
        <f ca="1">IF(OFFSET(Sheet3!$A$1,0,MATCH(W$1,Sheet3!$1:$1,0)-1,300)="","",OFFSET(Sheet3!$A$1,0,MATCH(W$1,Sheet3!$1:$1,0)-1,300))</f>
        <v/>
      </c>
      <c r="AB10" s="5" t="str">
        <f ca="1">IF(OFFSET(Sheet3!$A$1,0,MATCH(X$1,Sheet3!$1:$1,0)-1,300)="","",OFFSET(Sheet3!$A$1,0,MATCH(X$1,Sheet3!$1:$1,0)-1,300))</f>
        <v/>
      </c>
      <c r="AC10" t="str">
        <f t="shared" ca="1" si="0"/>
        <v/>
      </c>
      <c r="AD10" t="str">
        <f t="shared" ca="1" si="1"/>
        <v/>
      </c>
    </row>
    <row r="11" spans="1:256" x14ac:dyDescent="0.25">
      <c r="B11" s="1" t="s">
        <v>6</v>
      </c>
      <c r="C11" s="1" t="s">
        <v>7</v>
      </c>
      <c r="D11" s="1" t="s">
        <v>8</v>
      </c>
      <c r="E11" s="1" t="s">
        <v>9</v>
      </c>
      <c r="F11" s="1" t="s">
        <v>19</v>
      </c>
      <c r="G11" s="1" t="s">
        <v>20</v>
      </c>
      <c r="H11">
        <v>1</v>
      </c>
      <c r="I11">
        <v>2</v>
      </c>
      <c r="J11">
        <v>3</v>
      </c>
      <c r="K11">
        <v>4</v>
      </c>
      <c r="L11">
        <v>5</v>
      </c>
      <c r="M11">
        <v>6</v>
      </c>
      <c r="N11">
        <v>7</v>
      </c>
      <c r="O11">
        <v>8</v>
      </c>
      <c r="P11">
        <v>9</v>
      </c>
      <c r="Q11">
        <v>10</v>
      </c>
      <c r="R11">
        <v>11</v>
      </c>
      <c r="S11">
        <v>12</v>
      </c>
      <c r="T11">
        <v>13</v>
      </c>
      <c r="Z11" s="4" t="e">
        <f>IF(Sheet3!$A11="",MATCH("Error",AF11,0),Sheet3!$A11)</f>
        <v>#N/A</v>
      </c>
      <c r="AA11" s="5" t="str">
        <f ca="1">IF(OFFSET(Sheet3!$A$1,0,MATCH(W$1,Sheet3!$1:$1,0)-1,300)="","",OFFSET(Sheet3!$A$1,0,MATCH(W$1,Sheet3!$1:$1,0)-1,300))</f>
        <v/>
      </c>
      <c r="AB11" s="5" t="str">
        <f ca="1">IF(OFFSET(Sheet3!$A$1,0,MATCH(X$1,Sheet3!$1:$1,0)-1,300)="","",OFFSET(Sheet3!$A$1,0,MATCH(X$1,Sheet3!$1:$1,0)-1,300))</f>
        <v/>
      </c>
      <c r="AC11" t="str">
        <f t="shared" ca="1" si="0"/>
        <v/>
      </c>
      <c r="AD11" t="str">
        <f t="shared" ca="1" si="1"/>
        <v/>
      </c>
    </row>
    <row r="12" spans="1:256" x14ac:dyDescent="0.25">
      <c r="A12" t="s">
        <v>130</v>
      </c>
      <c r="B12" t="s">
        <v>89</v>
      </c>
      <c r="C12" t="s">
        <v>90</v>
      </c>
      <c r="D12" t="s">
        <v>91</v>
      </c>
      <c r="E12" t="s">
        <v>92</v>
      </c>
      <c r="F12" t="s">
        <v>93</v>
      </c>
      <c r="G12" t="s">
        <v>94</v>
      </c>
      <c r="H12" t="str">
        <f t="shared" ref="H12:T12" si="2">H9&amp;" vs "&amp;H10</f>
        <v>03-05 vs 02-07</v>
      </c>
      <c r="I12" t="str">
        <f t="shared" si="2"/>
        <v>03-05 vs 02-10</v>
      </c>
      <c r="J12" t="str">
        <f t="shared" si="2"/>
        <v>03-05 vs 02-30</v>
      </c>
      <c r="K12" t="str">
        <f t="shared" si="2"/>
        <v>05-07 vs 02-10</v>
      </c>
      <c r="L12" t="str">
        <f t="shared" si="2"/>
        <v>05-07 vs 02-30</v>
      </c>
      <c r="M12" t="str">
        <f t="shared" si="2"/>
        <v>05-07 vs 03-10</v>
      </c>
      <c r="N12" t="str">
        <f t="shared" si="2"/>
        <v>05-07 vs 03-30</v>
      </c>
      <c r="O12" t="str">
        <f t="shared" si="2"/>
        <v>07-10 vs 02-30</v>
      </c>
      <c r="P12" t="str">
        <f t="shared" si="2"/>
        <v>07-10 vs 03-30</v>
      </c>
      <c r="Q12" t="str">
        <f t="shared" si="2"/>
        <v>07-10 vs 05-30</v>
      </c>
      <c r="R12" t="str">
        <f t="shared" si="2"/>
        <v>03-10 vs 02-30</v>
      </c>
      <c r="S12" t="str">
        <f t="shared" si="2"/>
        <v>05-10 vs 02-30</v>
      </c>
      <c r="T12" t="str">
        <f t="shared" si="2"/>
        <v>05-10 vs 03-30</v>
      </c>
      <c r="W12" s="5" t="str">
        <f ca="1">"SWPS: "&amp;OFFSET($H$12,0,MATCH(select,$H$12:$T$12,0)-1,300,1)</f>
        <v>SWPS: 05-07 vs 03-10</v>
      </c>
      <c r="Z12" s="4" t="e">
        <f>IF(Sheet3!$A12="",MATCH("Error",AF12,0),Sheet3!$A12)</f>
        <v>#N/A</v>
      </c>
      <c r="AA12" s="5" t="str">
        <f ca="1">IF(OFFSET(Sheet3!$A$1,0,MATCH(W$1,Sheet3!$1:$1,0)-1,300)="","",OFFSET(Sheet3!$A$1,0,MATCH(W$1,Sheet3!$1:$1,0)-1,300))</f>
        <v/>
      </c>
      <c r="AB12" s="5" t="str">
        <f ca="1">IF(OFFSET(Sheet3!$A$1,0,MATCH(X$1,Sheet3!$1:$1,0)-1,300)="","",OFFSET(Sheet3!$A$1,0,MATCH(X$1,Sheet3!$1:$1,0)-1,300))</f>
        <v/>
      </c>
      <c r="AC12" t="str">
        <f t="shared" ca="1" si="0"/>
        <v/>
      </c>
      <c r="AD12" t="str">
        <f t="shared" ca="1" si="1"/>
        <v/>
      </c>
    </row>
    <row r="13" spans="1:256" x14ac:dyDescent="0.25">
      <c r="A13" s="4" t="str">
        <f>_xll.BDH(B$12&amp;" curncy","px last","ed-2ay","","Sort=d","cols=2;rows=522")</f>
        <v>#N/A Requesting Data...</v>
      </c>
      <c r="B13">
        <v>0.77349999999999997</v>
      </c>
      <c r="C13" s="5" t="str">
        <f>_xll.BDH(C$12&amp;" curncy","px last","ed-2ay","","Sort=d","Dts=H","cols=1;rows=522")</f>
        <v>#N/A Requesting Data...</v>
      </c>
      <c r="D13" s="5" t="str">
        <f>_xll.BDH(D$12&amp;" curncy","px last","ed-2ay","","Sort=d","Dts=H","cols=1;rows=522")</f>
        <v>#N/A Requesting Data...</v>
      </c>
      <c r="E13" s="5" t="str">
        <f>_xll.BDH(E$12&amp;" curncy","px last","ed-2ay","","Sort=d","Dts=H","cols=1;rows=522")</f>
        <v>#N/A Requesting Data...</v>
      </c>
      <c r="F13" s="5" t="str">
        <f>_xll.BDH(F$12&amp;" curncy","px last","ed-2ay","","Sort=d","Dts=H","cols=1;rows=522")</f>
        <v>#N/A Requesting Data...</v>
      </c>
      <c r="G13" s="5" t="str">
        <f>_xll.BDH(G$12&amp;" curncy","px last","ed-2ay","","Sort=d","Dts=H","cols=1;rows=522")</f>
        <v>#N/A Requesting Data...</v>
      </c>
      <c r="H13" t="str">
        <f ca="1">IF(ISERROR(ABS(OFFSET($A$11,ROW()-11,MATCH(LEFT(H$9,2),$A$11:$G$11,0)-1)-OFFSET($A$11,ROW()-11,MATCH(RIGHT(H$9,2),$A$11:$G$11,0)-1))/ABS(OFFSET($A$11,ROW()-11,MATCH(LEFT(H$10,2),$A$11:$G$11,0)-1)-OFFSET($A$11,ROW()-11,MATCH(RIGHT(H$10,2),$A$11:$G$11,0)-1))),"",ABS(OFFSET($A$11,ROW()-11,MATCH(LEFT(H$9,2),$A$11:$G$11,0)-1)-OFFSET($A$11,ROW()-11,MATCH(RIGHT(H$9,2),$A$11:$G$11,0)-1))/ABS(OFFSET($A$11,ROW()-11,MATCH(LEFT(H$10,2),$A$11:$G$11,0)-1)-OFFSET($A$11,ROW()-11,MATCH(RIGHT(H$10,2),$A$11:$G$11,0)-1)))</f>
        <v/>
      </c>
      <c r="I13" t="str">
        <f t="shared" ref="H13:Q22" ca="1" si="3">IF(ISERROR(ABS(OFFSET($A$11,ROW()-11,MATCH(LEFT(I$9,2),$A$11:$G$11,0)-1)-OFFSET($A$11,ROW()-11,MATCH(RIGHT(I$9,2),$A$11:$G$11,0)-1))/ABS(OFFSET($A$11,ROW()-11,MATCH(LEFT(I$10,2),$A$11:$G$11,0)-1)-OFFSET($A$11,ROW()-11,MATCH(RIGHT(I$10,2),$A$11:$G$11,0)-1))),"",ABS(OFFSET($A$11,ROW()-11,MATCH(LEFT(I$9,2),$A$11:$G$11,0)-1)-OFFSET($A$11,ROW()-11,MATCH(RIGHT(I$9,2),$A$11:$G$11,0)-1))/ABS(OFFSET($A$11,ROW()-11,MATCH(LEFT(I$10,2),$A$11:$G$11,0)-1)-OFFSET($A$11,ROW()-11,MATCH(RIGHT(I$10,2),$A$11:$G$11,0)-1)))</f>
        <v/>
      </c>
      <c r="J13" t="str">
        <f t="shared" ca="1" si="3"/>
        <v/>
      </c>
      <c r="K13" t="str">
        <f t="shared" ca="1" si="3"/>
        <v/>
      </c>
      <c r="L13" t="str">
        <f t="shared" ca="1" si="3"/>
        <v/>
      </c>
      <c r="M13" t="str">
        <f t="shared" ca="1" si="3"/>
        <v/>
      </c>
      <c r="N13" t="str">
        <f t="shared" ca="1" si="3"/>
        <v/>
      </c>
      <c r="O13" t="str">
        <f t="shared" ca="1" si="3"/>
        <v/>
      </c>
      <c r="P13" t="str">
        <f t="shared" ca="1" si="3"/>
        <v/>
      </c>
      <c r="Q13" t="str">
        <f t="shared" ca="1" si="3"/>
        <v/>
      </c>
      <c r="R13" t="str">
        <f t="shared" ref="R13:T28" ca="1" si="4">IF(ISERROR(ABS(OFFSET($A$11,ROW()-11,MATCH(LEFT(R$9,2),$A$11:$G$11,0)-1)-OFFSET($A$11,ROW()-11,MATCH(RIGHT(R$9,2),$A$11:$G$11,0)-1))/ABS(OFFSET($A$11,ROW()-11,MATCH(LEFT(R$10,2),$A$11:$G$11,0)-1)-OFFSET($A$11,ROW()-11,MATCH(RIGHT(R$10,2),$A$11:$G$11,0)-1))),"",ABS(OFFSET($A$11,ROW()-11,MATCH(LEFT(R$9,2),$A$11:$G$11,0)-1)-OFFSET($A$11,ROW()-11,MATCH(RIGHT(R$9,2),$A$11:$G$11,0)-1))/ABS(OFFSET($A$11,ROW()-11,MATCH(LEFT(R$10,2),$A$11:$G$11,0)-1)-OFFSET($A$11,ROW()-11,MATCH(RIGHT(R$10,2),$A$11:$G$11,0)-1)))</f>
        <v/>
      </c>
      <c r="S13" t="str">
        <f ca="1">IF(ISERROR(ABS(OFFSET($A$11,ROW()-11,MATCH(LEFT(S$9,2),$A$11:$G$11,0)-1)-OFFSET($A$11,ROW()-11,MATCH(RIGHT(S$9,2),$A$11:$G$11,0)-1))/ABS(OFFSET($A$11,ROW()-11,MATCH(LEFT(S$10,2),$A$11:$G$11,0)-1)-OFFSET($A$11,ROW()-11,MATCH(RIGHT(S$10,2),$A$11:$G$11,0)-1))),"",ABS(OFFSET($A$11,ROW()-11,MATCH(LEFT(S$9,2),$A$11:$G$11,0)-1)-OFFSET($A$11,ROW()-11,MATCH(RIGHT(S$9,2),$A$11:$G$11,0)-1))/ABS(OFFSET($A$11,ROW()-11,MATCH(LEFT(S$10,2),$A$11:$G$11,0)-1)-OFFSET($A$11,ROW()-11,MATCH(RIGHT(S$10,2),$A$11:$G$11,0)-1)))</f>
        <v/>
      </c>
      <c r="T13" t="str">
        <f t="shared" ca="1" si="4"/>
        <v/>
      </c>
      <c r="U13" s="4"/>
      <c r="V13" s="4" t="str">
        <f>IF(A13&lt;&gt;"",A13,"")</f>
        <v>#N/A Requesting Data...</v>
      </c>
      <c r="W13" s="5" t="str">
        <f t="shared" ref="W13:W75" ca="1" si="5">OFFSET($H$12,0,MATCH(select,$H$12:$T$12,0)-1,300,1)</f>
        <v/>
      </c>
      <c r="X13" s="4"/>
      <c r="Y13" s="4"/>
      <c r="Z13" s="4" t="e">
        <f>IF(Sheet3!$A13="",MATCH("Error",AF13,0),Sheet3!$A13)</f>
        <v>#N/A</v>
      </c>
      <c r="AA13" s="5" t="str">
        <f ca="1">IF(OFFSET(Sheet3!$A$1,0,MATCH(W$1,Sheet3!$1:$1,0)-1,300)="","",OFFSET(Sheet3!$A$1,0,MATCH(W$1,Sheet3!$1:$1,0)-1,300))</f>
        <v/>
      </c>
      <c r="AB13" s="5" t="str">
        <f ca="1">IF(OFFSET(Sheet3!$A$1,0,MATCH(X$1,Sheet3!$1:$1,0)-1,300)="","",OFFSET(Sheet3!$A$1,0,MATCH(X$1,Sheet3!$1:$1,0)-1,300))</f>
        <v/>
      </c>
      <c r="AC13" t="str">
        <f t="shared" ca="1" si="0"/>
        <v/>
      </c>
      <c r="AD13" t="str">
        <f t="shared" ca="1" si="1"/>
        <v/>
      </c>
      <c r="AE13" s="4"/>
      <c r="AF13" s="4"/>
      <c r="AG13" s="4"/>
      <c r="AH13" s="4"/>
      <c r="AI13" s="4"/>
      <c r="AJ13" s="4"/>
      <c r="AK13" s="4"/>
      <c r="AL13" s="4"/>
      <c r="AM13" s="4"/>
      <c r="AN13" s="4"/>
      <c r="AO13" s="4"/>
      <c r="AP13" s="4"/>
      <c r="AQ13" s="4"/>
      <c r="AR13" s="4"/>
      <c r="AS13" s="4"/>
      <c r="AT13" s="4"/>
      <c r="AU13" s="4"/>
      <c r="AV13" s="4"/>
      <c r="AW13" s="4"/>
      <c r="AX13" s="4"/>
      <c r="AY13" s="4"/>
      <c r="AZ13" s="4"/>
      <c r="BA13" s="4"/>
      <c r="BB13" s="4"/>
      <c r="BC13" s="4"/>
      <c r="BD13" s="4"/>
      <c r="BE13" s="4"/>
      <c r="BF13" s="4"/>
      <c r="BG13" s="4"/>
      <c r="BH13" s="4"/>
      <c r="BI13" s="4"/>
      <c r="BJ13" s="4"/>
      <c r="BK13" s="4"/>
      <c r="BL13" s="4"/>
      <c r="BM13" s="4"/>
      <c r="BN13" s="4"/>
      <c r="BO13" s="4"/>
      <c r="BP13" s="4"/>
      <c r="BQ13" s="4"/>
      <c r="BR13" s="4"/>
      <c r="BS13" s="4"/>
      <c r="BT13" s="4"/>
      <c r="BU13" s="4"/>
      <c r="BV13" s="4"/>
      <c r="BW13" s="4"/>
      <c r="BX13" s="4"/>
      <c r="BY13" s="4"/>
      <c r="BZ13" s="4"/>
      <c r="CA13" s="4"/>
      <c r="CB13" s="4"/>
      <c r="CC13" s="4"/>
      <c r="CD13" s="4"/>
      <c r="CE13" s="4"/>
      <c r="CF13" s="4"/>
      <c r="CG13" s="4"/>
      <c r="CH13" s="4"/>
      <c r="CI13" s="4"/>
      <c r="CJ13" s="4"/>
      <c r="CK13" s="4"/>
      <c r="CL13" s="4"/>
      <c r="CM13" s="4"/>
      <c r="CN13" s="4"/>
      <c r="CO13" s="4"/>
      <c r="CP13" s="4"/>
      <c r="CQ13" s="4"/>
      <c r="CR13" s="4"/>
      <c r="CS13" s="4"/>
      <c r="CT13" s="4"/>
      <c r="CU13" s="4"/>
      <c r="CV13" s="4"/>
      <c r="CW13" s="4"/>
      <c r="CX13" s="4"/>
      <c r="CY13" s="4"/>
      <c r="CZ13" s="4"/>
      <c r="DA13" s="4"/>
      <c r="DB13" s="4"/>
      <c r="DC13" s="4"/>
      <c r="DD13" s="4"/>
      <c r="DE13" s="4"/>
      <c r="DF13" s="4"/>
      <c r="DG13" s="4"/>
      <c r="DH13" s="4"/>
      <c r="DI13" s="4"/>
      <c r="DJ13" s="4"/>
      <c r="DK13" s="4"/>
      <c r="DL13" s="4"/>
      <c r="DM13" s="4"/>
      <c r="DN13" s="4"/>
      <c r="DO13" s="4"/>
      <c r="DP13" s="4"/>
      <c r="DQ13" s="4"/>
      <c r="DR13" s="4"/>
      <c r="DS13" s="4"/>
      <c r="DT13" s="4"/>
      <c r="DU13" s="4"/>
      <c r="DV13" s="4"/>
      <c r="DW13" s="4"/>
      <c r="DX13" s="4"/>
      <c r="DY13" s="4"/>
      <c r="DZ13" s="4"/>
      <c r="EA13" s="4"/>
      <c r="EB13" s="4"/>
      <c r="EC13" s="4"/>
      <c r="ED13" s="4"/>
      <c r="EE13" s="4"/>
      <c r="EF13" s="4"/>
      <c r="EG13" s="4"/>
      <c r="EH13" s="4"/>
      <c r="EI13" s="4"/>
      <c r="EJ13" s="4"/>
      <c r="EK13" s="4"/>
      <c r="EL13" s="4"/>
      <c r="EM13" s="4"/>
      <c r="EN13" s="4"/>
      <c r="EO13" s="4"/>
      <c r="EP13" s="4"/>
      <c r="EQ13" s="4"/>
      <c r="ER13" s="4"/>
      <c r="ES13" s="4"/>
      <c r="ET13" s="4"/>
      <c r="EU13" s="4"/>
      <c r="EV13" s="4"/>
      <c r="EW13" s="4"/>
      <c r="EX13" s="4"/>
      <c r="EY13" s="4"/>
      <c r="EZ13" s="4"/>
      <c r="FA13" s="4"/>
      <c r="FB13" s="4"/>
      <c r="FC13" s="4"/>
      <c r="FD13" s="4"/>
      <c r="FE13" s="4"/>
      <c r="FF13" s="4"/>
      <c r="FG13" s="4"/>
      <c r="FH13" s="4"/>
      <c r="FI13" s="4"/>
      <c r="FJ13" s="4"/>
      <c r="FK13" s="4"/>
      <c r="FL13" s="4"/>
      <c r="FM13" s="4"/>
      <c r="FN13" s="4"/>
      <c r="FO13" s="4"/>
      <c r="FP13" s="4"/>
      <c r="FQ13" s="4"/>
      <c r="FR13" s="4"/>
      <c r="FS13" s="4"/>
      <c r="FT13" s="4"/>
      <c r="FU13" s="4"/>
      <c r="FV13" s="4"/>
      <c r="FW13" s="4"/>
      <c r="FX13" s="4"/>
      <c r="FY13" s="4"/>
      <c r="FZ13" s="4"/>
      <c r="GA13" s="4"/>
      <c r="GB13" s="4"/>
      <c r="GC13" s="4"/>
      <c r="GD13" s="4"/>
      <c r="GE13" s="4"/>
      <c r="GF13" s="4"/>
      <c r="GG13" s="4"/>
      <c r="GH13" s="4"/>
      <c r="GI13" s="4"/>
      <c r="GJ13" s="4"/>
      <c r="GK13" s="4"/>
      <c r="GL13" s="4"/>
      <c r="GM13" s="4"/>
      <c r="GN13" s="4"/>
      <c r="GO13" s="4"/>
      <c r="GP13" s="4"/>
      <c r="GQ13" s="4"/>
      <c r="GR13" s="4"/>
      <c r="GS13" s="4"/>
      <c r="GT13" s="4"/>
      <c r="GU13" s="4"/>
      <c r="GV13" s="4"/>
      <c r="GW13" s="4"/>
      <c r="GX13" s="4"/>
      <c r="GY13" s="4"/>
      <c r="GZ13" s="4"/>
      <c r="HA13" s="4"/>
      <c r="HB13" s="4"/>
      <c r="HC13" s="4"/>
      <c r="HD13" s="4"/>
      <c r="HE13" s="4"/>
      <c r="HF13" s="4"/>
      <c r="HG13" s="4"/>
      <c r="HH13" s="4"/>
      <c r="HI13" s="4"/>
      <c r="HJ13" s="4"/>
      <c r="HK13" s="4"/>
      <c r="HL13" s="4"/>
      <c r="HM13" s="4"/>
      <c r="HN13" s="4"/>
      <c r="HO13" s="4"/>
      <c r="HP13" s="4"/>
      <c r="HQ13" s="4"/>
      <c r="HR13" s="4"/>
      <c r="HS13" s="4"/>
      <c r="HT13" s="4"/>
      <c r="HU13" s="4"/>
      <c r="HV13" s="4"/>
      <c r="HW13" s="4"/>
      <c r="HX13" s="4"/>
      <c r="HY13" s="4"/>
      <c r="HZ13" s="4"/>
      <c r="IA13" s="4"/>
      <c r="IB13" s="4"/>
      <c r="IC13" s="4"/>
      <c r="ID13" s="4"/>
      <c r="IE13" s="4"/>
      <c r="IF13" s="4"/>
      <c r="IG13" s="4"/>
      <c r="IH13" s="4"/>
      <c r="II13" s="4"/>
      <c r="IJ13" s="4"/>
      <c r="IK13" s="4"/>
      <c r="IL13" s="4"/>
      <c r="IM13" s="4"/>
      <c r="IN13" s="4"/>
      <c r="IO13" s="4"/>
      <c r="IP13" s="4"/>
      <c r="IQ13" s="4"/>
      <c r="IR13" s="4"/>
      <c r="IS13" s="4"/>
      <c r="IT13" s="4"/>
      <c r="IU13" s="4"/>
      <c r="IV13" s="4"/>
    </row>
    <row r="14" spans="1:256" x14ac:dyDescent="0.25">
      <c r="A14" s="4">
        <v>42107</v>
      </c>
      <c r="B14">
        <v>0.79300000000000004</v>
      </c>
      <c r="C14" s="5">
        <v>1.0968</v>
      </c>
      <c r="D14">
        <v>1.5154999999999998</v>
      </c>
      <c r="E14">
        <v>1.7763</v>
      </c>
      <c r="F14">
        <v>2.0129999999999999</v>
      </c>
      <c r="G14">
        <v>2.4058000000000002</v>
      </c>
      <c r="H14">
        <f t="shared" ca="1" si="3"/>
        <v>0.42581104444218437</v>
      </c>
      <c r="I14">
        <f t="shared" ca="1" si="3"/>
        <v>0.34319672131147538</v>
      </c>
      <c r="J14">
        <f t="shared" ca="1" si="3"/>
        <v>0.259610615079365</v>
      </c>
      <c r="K14">
        <f t="shared" ca="1" si="3"/>
        <v>0.21377049180327884</v>
      </c>
      <c r="L14">
        <f t="shared" ca="1" si="3"/>
        <v>0.1617063492063493</v>
      </c>
      <c r="M14">
        <f t="shared" ca="1" si="3"/>
        <v>0.28465400567561688</v>
      </c>
      <c r="N14">
        <f t="shared" ca="1" si="3"/>
        <v>0.19923605805958755</v>
      </c>
      <c r="O14">
        <f t="shared" ca="1" si="3"/>
        <v>0.14676339285714279</v>
      </c>
      <c r="P14">
        <f t="shared" ca="1" si="3"/>
        <v>0.18082505729564544</v>
      </c>
      <c r="Q14">
        <f t="shared" ca="1" si="3"/>
        <v>0.2658654386161966</v>
      </c>
      <c r="R14">
        <f t="shared" ca="1" si="4"/>
        <v>0.5680803571428571</v>
      </c>
      <c r="S14">
        <f t="shared" ca="1" si="4"/>
        <v>0.30846974206349209</v>
      </c>
      <c r="T14">
        <f t="shared" ca="1" si="4"/>
        <v>0.38006111535523301</v>
      </c>
      <c r="V14" s="4">
        <f t="shared" ref="V14:V77" si="6">IF(A14&lt;&gt;"",A14,"")</f>
        <v>42107</v>
      </c>
      <c r="W14" s="5">
        <f t="shared" ca="1" si="5"/>
        <v>0.28465400567561688</v>
      </c>
      <c r="Z14" s="4" t="e">
        <f>IF(Sheet3!$A14="",MATCH("Error",AF14,0),Sheet3!$A14)</f>
        <v>#N/A</v>
      </c>
      <c r="AA14" s="5" t="str">
        <f ca="1">IF(OFFSET(Sheet3!$A$1,0,MATCH(W$1,Sheet3!$1:$1,0)-1,300)="","",OFFSET(Sheet3!$A$1,0,MATCH(W$1,Sheet3!$1:$1,0)-1,300))</f>
        <v/>
      </c>
      <c r="AB14" s="5" t="str">
        <f ca="1">IF(OFFSET(Sheet3!$A$1,0,MATCH(X$1,Sheet3!$1:$1,0)-1,300)="","",OFFSET(Sheet3!$A$1,0,MATCH(X$1,Sheet3!$1:$1,0)-1,300))</f>
        <v/>
      </c>
      <c r="AC14" t="str">
        <f t="shared" ca="1" si="0"/>
        <v/>
      </c>
      <c r="AD14" t="str">
        <f t="shared" ca="1" si="1"/>
        <v/>
      </c>
    </row>
    <row r="15" spans="1:256" x14ac:dyDescent="0.25">
      <c r="A15" s="4">
        <v>42104</v>
      </c>
      <c r="B15">
        <v>0.81589999999999996</v>
      </c>
      <c r="C15" s="5">
        <v>1.1259999999999999</v>
      </c>
      <c r="D15">
        <v>1.5516999999999999</v>
      </c>
      <c r="E15">
        <v>1.8066</v>
      </c>
      <c r="F15">
        <v>2.0415000000000001</v>
      </c>
      <c r="G15">
        <v>2.4188000000000001</v>
      </c>
      <c r="H15">
        <f t="shared" ca="1" si="3"/>
        <v>0.42969617442212571</v>
      </c>
      <c r="I15">
        <f t="shared" ca="1" si="3"/>
        <v>0.34734007832898167</v>
      </c>
      <c r="J15">
        <f t="shared" ca="1" si="3"/>
        <v>0.26558113419427287</v>
      </c>
      <c r="K15">
        <f t="shared" ca="1" si="3"/>
        <v>0.20797976501305493</v>
      </c>
      <c r="L15">
        <f t="shared" ca="1" si="3"/>
        <v>0.15902426851331969</v>
      </c>
      <c r="M15">
        <f t="shared" ca="1" si="3"/>
        <v>0.27842708902239222</v>
      </c>
      <c r="N15">
        <f t="shared" ca="1" si="3"/>
        <v>0.19716893564356444</v>
      </c>
      <c r="O15">
        <f t="shared" ca="1" si="3"/>
        <v>0.14654688377316122</v>
      </c>
      <c r="P15">
        <f t="shared" ca="1" si="3"/>
        <v>0.18169863861386146</v>
      </c>
      <c r="Q15">
        <f t="shared" ca="1" si="3"/>
        <v>0.27090301003344486</v>
      </c>
      <c r="R15">
        <f t="shared" ca="1" si="4"/>
        <v>0.57115228648075378</v>
      </c>
      <c r="S15">
        <f t="shared" ca="1" si="4"/>
        <v>0.30557115228648091</v>
      </c>
      <c r="T15">
        <f t="shared" ca="1" si="4"/>
        <v>0.3788675742574259</v>
      </c>
      <c r="V15" s="4">
        <f t="shared" si="6"/>
        <v>42104</v>
      </c>
      <c r="W15" s="5">
        <f t="shared" ca="1" si="5"/>
        <v>0.27842708902239222</v>
      </c>
      <c r="Z15" s="4" t="e">
        <f>IF(Sheet3!$A15="",MATCH("Error",AF15,0),Sheet3!$A15)</f>
        <v>#N/A</v>
      </c>
      <c r="AA15" s="5" t="str">
        <f ca="1">IF(OFFSET(Sheet3!$A$1,0,MATCH(W$1,Sheet3!$1:$1,0)-1,300)="","",OFFSET(Sheet3!$A$1,0,MATCH(W$1,Sheet3!$1:$1,0)-1,300))</f>
        <v/>
      </c>
      <c r="AB15" s="5" t="str">
        <f ca="1">IF(OFFSET(Sheet3!$A$1,0,MATCH(X$1,Sheet3!$1:$1,0)-1,300)="","",OFFSET(Sheet3!$A$1,0,MATCH(X$1,Sheet3!$1:$1,0)-1,300))</f>
        <v/>
      </c>
      <c r="AC15" t="str">
        <f t="shared" ca="1" si="0"/>
        <v/>
      </c>
      <c r="AD15" t="str">
        <f t="shared" ca="1" si="1"/>
        <v/>
      </c>
    </row>
    <row r="16" spans="1:256" x14ac:dyDescent="0.25">
      <c r="A16" s="4">
        <v>42103</v>
      </c>
      <c r="B16">
        <v>0.8095</v>
      </c>
      <c r="C16" s="5">
        <v>1.1245000000000001</v>
      </c>
      <c r="D16">
        <v>1.5580000000000001</v>
      </c>
      <c r="E16">
        <v>1.8178000000000001</v>
      </c>
      <c r="F16">
        <v>2.056</v>
      </c>
      <c r="G16">
        <v>2.4363000000000001</v>
      </c>
      <c r="H16">
        <f t="shared" ca="1" si="3"/>
        <v>0.42993156798571847</v>
      </c>
      <c r="I16">
        <f t="shared" ca="1" si="3"/>
        <v>0.34777376654632969</v>
      </c>
      <c r="J16">
        <f t="shared" ca="1" si="3"/>
        <v>0.26647405950331937</v>
      </c>
      <c r="K16">
        <f t="shared" ca="1" si="3"/>
        <v>0.20842358604091457</v>
      </c>
      <c r="L16">
        <f t="shared" ca="1" si="3"/>
        <v>0.1597000245881485</v>
      </c>
      <c r="M16">
        <f t="shared" ca="1" si="3"/>
        <v>0.27890499194847024</v>
      </c>
      <c r="N16">
        <f t="shared" ca="1" si="3"/>
        <v>0.19804848300045741</v>
      </c>
      <c r="O16">
        <f t="shared" ca="1" si="3"/>
        <v>0.14642242439144329</v>
      </c>
      <c r="P16">
        <f t="shared" ca="1" si="3"/>
        <v>0.18158255831681655</v>
      </c>
      <c r="Q16">
        <f t="shared" ca="1" si="3"/>
        <v>0.27120573835819189</v>
      </c>
      <c r="R16">
        <f t="shared" ca="1" si="4"/>
        <v>0.5725965084829111</v>
      </c>
      <c r="S16">
        <f t="shared" ca="1" si="4"/>
        <v>0.30612244897959179</v>
      </c>
      <c r="T16">
        <f t="shared" ca="1" si="4"/>
        <v>0.37963104131727393</v>
      </c>
      <c r="V16" s="4">
        <f t="shared" si="6"/>
        <v>42103</v>
      </c>
      <c r="W16" s="5">
        <f t="shared" ca="1" si="5"/>
        <v>0.27890499194847024</v>
      </c>
      <c r="Z16" s="4" t="e">
        <f>IF(Sheet3!$A16="",MATCH("Error",AF16,0),Sheet3!$A16)</f>
        <v>#N/A</v>
      </c>
      <c r="AA16" s="5" t="str">
        <f ca="1">IF(OFFSET(Sheet3!$A$1,0,MATCH(W$1,Sheet3!$1:$1,0)-1,300)="","",OFFSET(Sheet3!$A$1,0,MATCH(W$1,Sheet3!$1:$1,0)-1,300))</f>
        <v/>
      </c>
      <c r="AB16" s="5" t="str">
        <f ca="1">IF(OFFSET(Sheet3!$A$1,0,MATCH(X$1,Sheet3!$1:$1,0)-1,300)="","",OFFSET(Sheet3!$A$1,0,MATCH(X$1,Sheet3!$1:$1,0)-1,300))</f>
        <v/>
      </c>
      <c r="AC16" t="str">
        <f t="shared" ca="1" si="0"/>
        <v/>
      </c>
      <c r="AD16" t="str">
        <f t="shared" ca="1" si="1"/>
        <v/>
      </c>
    </row>
    <row r="17" spans="1:30" x14ac:dyDescent="0.25">
      <c r="A17" s="4">
        <v>42102</v>
      </c>
      <c r="B17">
        <v>0.78380000000000005</v>
      </c>
      <c r="C17" s="5">
        <v>1.0874999999999999</v>
      </c>
      <c r="D17">
        <v>1.508</v>
      </c>
      <c r="E17">
        <v>1.762</v>
      </c>
      <c r="F17">
        <v>1.9983</v>
      </c>
      <c r="G17">
        <v>2.3677999999999999</v>
      </c>
      <c r="H17">
        <f t="shared" ca="1" si="3"/>
        <v>0.42987119198527918</v>
      </c>
      <c r="I17">
        <f t="shared" ca="1" si="3"/>
        <v>0.34623301770275844</v>
      </c>
      <c r="J17">
        <f t="shared" ca="1" si="3"/>
        <v>0.26546717171717182</v>
      </c>
      <c r="K17">
        <f t="shared" ca="1" si="3"/>
        <v>0.20913956360642241</v>
      </c>
      <c r="L17">
        <f t="shared" ca="1" si="3"/>
        <v>0.16035353535353536</v>
      </c>
      <c r="M17">
        <f t="shared" ca="1" si="3"/>
        <v>0.27887571365832237</v>
      </c>
      <c r="N17">
        <f t="shared" ca="1" si="3"/>
        <v>0.19839100210888075</v>
      </c>
      <c r="O17">
        <f t="shared" ca="1" si="3"/>
        <v>0.14917929292929291</v>
      </c>
      <c r="P17">
        <f t="shared" ca="1" si="3"/>
        <v>0.18456611731625397</v>
      </c>
      <c r="Q17">
        <f t="shared" ca="1" si="3"/>
        <v>0.2748313561293324</v>
      </c>
      <c r="R17">
        <f t="shared" ca="1" si="4"/>
        <v>0.57500000000000007</v>
      </c>
      <c r="S17">
        <f t="shared" ca="1" si="4"/>
        <v>0.3095328282828283</v>
      </c>
      <c r="T17">
        <f t="shared" ca="1" si="4"/>
        <v>0.38295711942513472</v>
      </c>
      <c r="V17" s="4">
        <f t="shared" si="6"/>
        <v>42102</v>
      </c>
      <c r="W17" s="5">
        <f t="shared" ca="1" si="5"/>
        <v>0.27887571365832237</v>
      </c>
      <c r="Z17" s="4" t="e">
        <f>IF(Sheet3!$A17="",MATCH("Error",AF17,0),Sheet3!$A17)</f>
        <v>#N/A</v>
      </c>
      <c r="AA17" s="5" t="str">
        <f ca="1">IF(OFFSET(Sheet3!$A$1,0,MATCH(W$1,Sheet3!$1:$1,0)-1,300)="","",OFFSET(Sheet3!$A$1,0,MATCH(W$1,Sheet3!$1:$1,0)-1,300))</f>
        <v/>
      </c>
      <c r="AB17" s="5" t="str">
        <f ca="1">IF(OFFSET(Sheet3!$A$1,0,MATCH(X$1,Sheet3!$1:$1,0)-1,300)="","",OFFSET(Sheet3!$A$1,0,MATCH(X$1,Sheet3!$1:$1,0)-1,300))</f>
        <v/>
      </c>
      <c r="AC17" t="str">
        <f t="shared" ca="1" si="0"/>
        <v/>
      </c>
      <c r="AD17" t="str">
        <f t="shared" ca="1" si="1"/>
        <v/>
      </c>
    </row>
    <row r="18" spans="1:30" x14ac:dyDescent="0.25">
      <c r="A18" s="4">
        <v>42101</v>
      </c>
      <c r="B18">
        <v>0.77400000000000002</v>
      </c>
      <c r="C18" s="5">
        <v>1.0695000000000001</v>
      </c>
      <c r="D18">
        <v>1.4884999999999999</v>
      </c>
      <c r="E18">
        <v>1.7490000000000001</v>
      </c>
      <c r="F18">
        <v>1.9878</v>
      </c>
      <c r="G18">
        <v>2.3677999999999999</v>
      </c>
      <c r="H18">
        <f t="shared" ca="1" si="3"/>
        <v>0.4297435897435895</v>
      </c>
      <c r="I18">
        <f t="shared" ca="1" si="3"/>
        <v>0.34519690229032773</v>
      </c>
      <c r="J18">
        <f t="shared" ca="1" si="3"/>
        <v>0.26289371313841126</v>
      </c>
      <c r="K18">
        <f t="shared" ca="1" si="3"/>
        <v>0.21461525786785318</v>
      </c>
      <c r="L18">
        <f t="shared" ca="1" si="3"/>
        <v>0.16344585267913175</v>
      </c>
      <c r="M18">
        <f t="shared" ca="1" si="3"/>
        <v>0.28367635848851158</v>
      </c>
      <c r="N18">
        <f t="shared" ca="1" si="3"/>
        <v>0.20064699992297635</v>
      </c>
      <c r="O18">
        <f t="shared" ca="1" si="3"/>
        <v>0.14983059355000622</v>
      </c>
      <c r="P18">
        <f t="shared" ca="1" si="3"/>
        <v>0.183932835246091</v>
      </c>
      <c r="Q18">
        <f t="shared" ca="1" si="3"/>
        <v>0.27157966564312513</v>
      </c>
      <c r="R18">
        <f t="shared" ca="1" si="4"/>
        <v>0.57617015936754923</v>
      </c>
      <c r="S18">
        <f t="shared" ca="1" si="4"/>
        <v>0.31327644622913797</v>
      </c>
      <c r="T18">
        <f t="shared" ca="1" si="4"/>
        <v>0.38457983516906735</v>
      </c>
      <c r="V18" s="4">
        <f t="shared" si="6"/>
        <v>42101</v>
      </c>
      <c r="W18" s="5">
        <f t="shared" ca="1" si="5"/>
        <v>0.28367635848851158</v>
      </c>
      <c r="Z18" s="4" t="e">
        <f>IF(Sheet3!$A18="",MATCH("Error",AF18,0),Sheet3!$A18)</f>
        <v>#N/A</v>
      </c>
      <c r="AA18" s="5" t="str">
        <f ca="1">IF(OFFSET(Sheet3!$A$1,0,MATCH(W$1,Sheet3!$1:$1,0)-1,300)="","",OFFSET(Sheet3!$A$1,0,MATCH(W$1,Sheet3!$1:$1,0)-1,300))</f>
        <v/>
      </c>
      <c r="AB18" s="5" t="str">
        <f ca="1">IF(OFFSET(Sheet3!$A$1,0,MATCH(X$1,Sheet3!$1:$1,0)-1,300)="","",OFFSET(Sheet3!$A$1,0,MATCH(X$1,Sheet3!$1:$1,0)-1,300))</f>
        <v/>
      </c>
      <c r="AC18" t="str">
        <f t="shared" ca="1" si="0"/>
        <v/>
      </c>
      <c r="AD18" t="str">
        <f t="shared" ca="1" si="1"/>
        <v/>
      </c>
    </row>
    <row r="19" spans="1:30" x14ac:dyDescent="0.25">
      <c r="A19" s="4">
        <v>42100</v>
      </c>
      <c r="B19">
        <v>0.75639999999999996</v>
      </c>
      <c r="C19" s="5">
        <v>1.0522</v>
      </c>
      <c r="D19">
        <v>1.4807000000000001</v>
      </c>
      <c r="E19">
        <v>1.752</v>
      </c>
      <c r="F19">
        <v>2.0089000000000001</v>
      </c>
      <c r="G19">
        <v>2.4159999999999999</v>
      </c>
      <c r="H19">
        <f t="shared" ca="1" si="3"/>
        <v>0.43039373242265977</v>
      </c>
      <c r="I19">
        <f t="shared" ca="1" si="3"/>
        <v>0.3421157684630739</v>
      </c>
      <c r="J19">
        <f t="shared" ca="1" si="3"/>
        <v>0.25819474572186074</v>
      </c>
      <c r="K19">
        <f t="shared" ca="1" si="3"/>
        <v>0.21660678642714559</v>
      </c>
      <c r="L19">
        <f t="shared" ca="1" si="3"/>
        <v>0.1634731260544709</v>
      </c>
      <c r="M19">
        <f t="shared" ca="1" si="3"/>
        <v>0.28357896937388927</v>
      </c>
      <c r="N19">
        <f t="shared" ca="1" si="3"/>
        <v>0.19892946179791751</v>
      </c>
      <c r="O19">
        <f t="shared" ca="1" si="3"/>
        <v>0.15479633646661856</v>
      </c>
      <c r="P19">
        <f t="shared" ca="1" si="3"/>
        <v>0.18837072884587194</v>
      </c>
      <c r="Q19">
        <f t="shared" ca="1" si="3"/>
        <v>0.27467122848283992</v>
      </c>
      <c r="R19">
        <f t="shared" ca="1" si="4"/>
        <v>0.57646420824295019</v>
      </c>
      <c r="S19">
        <f t="shared" ca="1" si="4"/>
        <v>0.31826946252108945</v>
      </c>
      <c r="T19">
        <f t="shared" ca="1" si="4"/>
        <v>0.38730019064378945</v>
      </c>
      <c r="V19" s="4">
        <f t="shared" si="6"/>
        <v>42100</v>
      </c>
      <c r="W19" s="5">
        <f t="shared" ca="1" si="5"/>
        <v>0.28357896937388927</v>
      </c>
      <c r="Z19" s="4" t="e">
        <f>IF(Sheet3!$A19="",MATCH("Error",AF19,0),Sheet3!$A19)</f>
        <v>#N/A</v>
      </c>
      <c r="AA19" s="5" t="str">
        <f ca="1">IF(OFFSET(Sheet3!$A$1,0,MATCH(W$1,Sheet3!$1:$1,0)-1,300)="","",OFFSET(Sheet3!$A$1,0,MATCH(W$1,Sheet3!$1:$1,0)-1,300))</f>
        <v/>
      </c>
      <c r="AB19" s="5" t="str">
        <f ca="1">IF(OFFSET(Sheet3!$A$1,0,MATCH(X$1,Sheet3!$1:$1,0)-1,300)="","",OFFSET(Sheet3!$A$1,0,MATCH(X$1,Sheet3!$1:$1,0)-1,300))</f>
        <v/>
      </c>
      <c r="AC19" t="str">
        <f t="shared" ca="1" si="0"/>
        <v/>
      </c>
      <c r="AD19" t="str">
        <f t="shared" ca="1" si="1"/>
        <v/>
      </c>
    </row>
    <row r="20" spans="1:30" x14ac:dyDescent="0.25">
      <c r="A20" s="4">
        <v>42097</v>
      </c>
      <c r="B20">
        <v>0.74150000000000005</v>
      </c>
      <c r="C20" s="5">
        <v>1.0445</v>
      </c>
      <c r="D20">
        <v>1.4339999999999999</v>
      </c>
      <c r="E20">
        <v>1.7004999999999999</v>
      </c>
      <c r="F20">
        <v>1.9495</v>
      </c>
      <c r="G20">
        <v>2.3504999999999998</v>
      </c>
      <c r="H20">
        <f t="shared" ca="1" si="3"/>
        <v>0.40615224191866528</v>
      </c>
      <c r="I20">
        <f t="shared" ca="1" si="3"/>
        <v>0.32243377483443708</v>
      </c>
      <c r="J20">
        <f t="shared" ca="1" si="3"/>
        <v>0.24207582349285273</v>
      </c>
      <c r="K20">
        <f t="shared" ca="1" si="3"/>
        <v>0.22061258278145693</v>
      </c>
      <c r="L20">
        <f t="shared" ca="1" si="3"/>
        <v>0.1656308266003729</v>
      </c>
      <c r="M20">
        <f t="shared" ca="1" si="3"/>
        <v>0.29447513812154691</v>
      </c>
      <c r="N20">
        <f t="shared" ca="1" si="3"/>
        <v>0.20405819295558958</v>
      </c>
      <c r="O20">
        <f t="shared" ca="1" si="3"/>
        <v>0.15475450590428846</v>
      </c>
      <c r="P20">
        <f t="shared" ca="1" si="3"/>
        <v>0.19065849923430334</v>
      </c>
      <c r="Q20">
        <f t="shared" ca="1" si="3"/>
        <v>0.27168576104746334</v>
      </c>
      <c r="R20">
        <f t="shared" ca="1" si="4"/>
        <v>0.56246115599751412</v>
      </c>
      <c r="S20">
        <f t="shared" ca="1" si="4"/>
        <v>0.32038533250466139</v>
      </c>
      <c r="T20">
        <f t="shared" ca="1" si="4"/>
        <v>0.39471669218989291</v>
      </c>
      <c r="V20" s="4">
        <f t="shared" si="6"/>
        <v>42097</v>
      </c>
      <c r="W20" s="5">
        <f t="shared" ca="1" si="5"/>
        <v>0.29447513812154691</v>
      </c>
      <c r="Z20" s="4" t="e">
        <f>IF(Sheet3!$A20="",MATCH("Error",AF20,0),Sheet3!$A20)</f>
        <v>#N/A</v>
      </c>
      <c r="AA20" s="5" t="str">
        <f ca="1">IF(OFFSET(Sheet3!$A$1,0,MATCH(W$1,Sheet3!$1:$1,0)-1,300)="","",OFFSET(Sheet3!$A$1,0,MATCH(W$1,Sheet3!$1:$1,0)-1,300))</f>
        <v/>
      </c>
      <c r="AB20" s="5" t="str">
        <f ca="1">IF(OFFSET(Sheet3!$A$1,0,MATCH(X$1,Sheet3!$1:$1,0)-1,300)="","",OFFSET(Sheet3!$A$1,0,MATCH(X$1,Sheet3!$1:$1,0)-1,300))</f>
        <v/>
      </c>
      <c r="AC20" t="str">
        <f t="shared" ca="1" si="0"/>
        <v/>
      </c>
      <c r="AD20" t="str">
        <f t="shared" ca="1" si="1"/>
        <v/>
      </c>
    </row>
    <row r="21" spans="1:30" x14ac:dyDescent="0.25">
      <c r="A21" s="4">
        <v>42096</v>
      </c>
      <c r="B21">
        <v>0.79949999999999999</v>
      </c>
      <c r="C21" s="5">
        <v>1.1014999999999999</v>
      </c>
      <c r="D21">
        <v>1.5198</v>
      </c>
      <c r="E21">
        <v>1.7783</v>
      </c>
      <c r="F21">
        <v>2.0154999999999998</v>
      </c>
      <c r="G21">
        <v>2.3904999999999998</v>
      </c>
      <c r="H21">
        <f t="shared" ca="1" si="3"/>
        <v>0.42736003269309369</v>
      </c>
      <c r="I21">
        <f t="shared" ca="1" si="3"/>
        <v>0.34399671052631597</v>
      </c>
      <c r="J21">
        <f t="shared" ca="1" si="3"/>
        <v>0.26291640477687001</v>
      </c>
      <c r="K21">
        <f t="shared" ca="1" si="3"/>
        <v>0.21258223684210525</v>
      </c>
      <c r="L21">
        <f t="shared" ca="1" si="3"/>
        <v>0.16247642991829037</v>
      </c>
      <c r="M21">
        <f t="shared" ca="1" si="3"/>
        <v>0.28282275711159732</v>
      </c>
      <c r="N21">
        <f t="shared" ca="1" si="3"/>
        <v>0.20054305663304886</v>
      </c>
      <c r="O21">
        <f t="shared" ca="1" si="3"/>
        <v>0.1490886235072281</v>
      </c>
      <c r="P21">
        <f t="shared" ca="1" si="3"/>
        <v>0.18401861908456157</v>
      </c>
      <c r="Q21">
        <f t="shared" ca="1" si="3"/>
        <v>0.27242448604571023</v>
      </c>
      <c r="R21">
        <f t="shared" ca="1" si="4"/>
        <v>0.5744814582023885</v>
      </c>
      <c r="S21">
        <f t="shared" ca="1" si="4"/>
        <v>0.31156505342551849</v>
      </c>
      <c r="T21">
        <f t="shared" ca="1" si="4"/>
        <v>0.38456167571761041</v>
      </c>
      <c r="V21" s="4">
        <f t="shared" si="6"/>
        <v>42096</v>
      </c>
      <c r="W21" s="5">
        <f t="shared" ca="1" si="5"/>
        <v>0.28282275711159732</v>
      </c>
      <c r="Z21" s="4" t="e">
        <f>IF(Sheet3!$A21="",MATCH("Error",AF21,0),Sheet3!$A21)</f>
        <v>#N/A</v>
      </c>
      <c r="AA21" s="5" t="str">
        <f ca="1">IF(OFFSET(Sheet3!$A$1,0,MATCH(W$1,Sheet3!$1:$1,0)-1,300)="","",OFFSET(Sheet3!$A$1,0,MATCH(W$1,Sheet3!$1:$1,0)-1,300))</f>
        <v/>
      </c>
      <c r="AB21" s="5" t="str">
        <f ca="1">IF(OFFSET(Sheet3!$A$1,0,MATCH(X$1,Sheet3!$1:$1,0)-1,300)="","",OFFSET(Sheet3!$A$1,0,MATCH(X$1,Sheet3!$1:$1,0)-1,300))</f>
        <v/>
      </c>
      <c r="AC21" t="str">
        <f t="shared" ca="1" si="0"/>
        <v/>
      </c>
      <c r="AD21" t="str">
        <f t="shared" ca="1" si="1"/>
        <v/>
      </c>
    </row>
    <row r="22" spans="1:30" x14ac:dyDescent="0.25">
      <c r="A22" s="4">
        <v>42095</v>
      </c>
      <c r="B22">
        <v>0.79179999999999995</v>
      </c>
      <c r="C22" s="5">
        <v>1.0892999999999999</v>
      </c>
      <c r="D22">
        <v>1.4889999999999999</v>
      </c>
      <c r="E22">
        <v>1.7376</v>
      </c>
      <c r="F22">
        <v>1.9639</v>
      </c>
      <c r="G22">
        <v>2.3199999999999998</v>
      </c>
      <c r="H22">
        <f t="shared" ca="1" si="3"/>
        <v>0.42260520194544293</v>
      </c>
      <c r="I22">
        <f t="shared" ca="1" si="3"/>
        <v>0.34101185905639447</v>
      </c>
      <c r="J22">
        <f t="shared" ca="1" si="3"/>
        <v>0.26154953540112547</v>
      </c>
      <c r="K22">
        <f t="shared" ca="1" si="3"/>
        <v>0.21209794386144543</v>
      </c>
      <c r="L22">
        <f t="shared" ca="1" si="3"/>
        <v>0.16267504253369988</v>
      </c>
      <c r="M22">
        <f t="shared" ca="1" si="3"/>
        <v>0.28424422593185472</v>
      </c>
      <c r="N22">
        <f t="shared" ca="1" si="3"/>
        <v>0.20199886243601217</v>
      </c>
      <c r="O22">
        <f t="shared" ca="1" si="3"/>
        <v>0.14808271168695195</v>
      </c>
      <c r="P22">
        <f t="shared" ca="1" si="3"/>
        <v>0.18387909319899243</v>
      </c>
      <c r="Q22">
        <f t="shared" ca="1" si="3"/>
        <v>0.27232250300842353</v>
      </c>
      <c r="R22">
        <f t="shared" ca="1" si="4"/>
        <v>0.57230728962177724</v>
      </c>
      <c r="S22">
        <f t="shared" ca="1" si="4"/>
        <v>0.31075775422065183</v>
      </c>
      <c r="T22">
        <f t="shared" ca="1" si="4"/>
        <v>0.3858779556350046</v>
      </c>
      <c r="V22" s="4">
        <f t="shared" si="6"/>
        <v>42095</v>
      </c>
      <c r="W22" s="5">
        <f t="shared" ca="1" si="5"/>
        <v>0.28424422593185472</v>
      </c>
      <c r="Z22" s="4" t="e">
        <f>IF(Sheet3!$A22="",MATCH("Error",AF22,0),Sheet3!$A22)</f>
        <v>#N/A</v>
      </c>
      <c r="AA22" s="5" t="str">
        <f ca="1">IF(OFFSET(Sheet3!$A$1,0,MATCH(W$1,Sheet3!$1:$1,0)-1,300)="","",OFFSET(Sheet3!$A$1,0,MATCH(W$1,Sheet3!$1:$1,0)-1,300))</f>
        <v/>
      </c>
      <c r="AB22" s="5" t="str">
        <f ca="1">IF(OFFSET(Sheet3!$A$1,0,MATCH(X$1,Sheet3!$1:$1,0)-1,300)="","",OFFSET(Sheet3!$A$1,0,MATCH(X$1,Sheet3!$1:$1,0)-1,300))</f>
        <v/>
      </c>
      <c r="AC22" t="str">
        <f t="shared" ca="1" si="0"/>
        <v/>
      </c>
      <c r="AD22" t="str">
        <f t="shared" ca="1" si="1"/>
        <v/>
      </c>
    </row>
    <row r="23" spans="1:30" x14ac:dyDescent="0.25">
      <c r="A23" s="4">
        <v>42094</v>
      </c>
      <c r="B23">
        <v>0.80800000000000005</v>
      </c>
      <c r="C23" s="5">
        <v>1.1134999999999999</v>
      </c>
      <c r="D23">
        <v>1.5325</v>
      </c>
      <c r="E23">
        <v>1.7905</v>
      </c>
      <c r="F23">
        <v>2.0243000000000002</v>
      </c>
      <c r="G23">
        <v>2.3885000000000001</v>
      </c>
      <c r="H23">
        <f t="shared" ref="H23:Q32" ca="1" si="7">IF(ISERROR(ABS(OFFSET($A$11,ROW()-11,MATCH(LEFT(H$9,2),$A$11:$G$11,0)-1)-OFFSET($A$11,ROW()-11,MATCH(RIGHT(H$9,2),$A$11:$G$11,0)-1))/ABS(OFFSET($A$11,ROW()-11,MATCH(LEFT(H$10,2),$A$11:$G$11,0)-1)-OFFSET($A$11,ROW()-11,MATCH(RIGHT(H$10,2),$A$11:$G$11,0)-1))),"",ABS(OFFSET($A$11,ROW()-11,MATCH(LEFT(H$9,2),$A$11:$G$11,0)-1)-OFFSET($A$11,ROW()-11,MATCH(RIGHT(H$9,2),$A$11:$G$11,0)-1))/ABS(OFFSET($A$11,ROW()-11,MATCH(LEFT(H$10,2),$A$11:$G$11,0)-1)-OFFSET($A$11,ROW()-11,MATCH(RIGHT(H$10,2),$A$11:$G$11,0)-1)))</f>
        <v>0.42646310432569984</v>
      </c>
      <c r="I23">
        <f t="shared" ca="1" si="7"/>
        <v>0.34448737975828331</v>
      </c>
      <c r="J23">
        <f t="shared" ca="1" si="7"/>
        <v>0.26510597912053152</v>
      </c>
      <c r="K23">
        <f t="shared" ca="1" si="7"/>
        <v>0.21211872071035104</v>
      </c>
      <c r="L23">
        <f t="shared" ca="1" si="7"/>
        <v>0.16323948117684278</v>
      </c>
      <c r="M23">
        <f t="shared" ca="1" si="7"/>
        <v>0.28326745718050056</v>
      </c>
      <c r="N23">
        <f t="shared" ca="1" si="7"/>
        <v>0.20235294117647057</v>
      </c>
      <c r="O23">
        <f t="shared" ca="1" si="7"/>
        <v>0.147927870926922</v>
      </c>
      <c r="P23">
        <f t="shared" ca="1" si="7"/>
        <v>0.18337254901960801</v>
      </c>
      <c r="Q23">
        <f t="shared" ca="1" si="7"/>
        <v>0.27313084112149555</v>
      </c>
      <c r="R23">
        <f t="shared" ca="1" si="4"/>
        <v>0.57627333122429625</v>
      </c>
      <c r="S23">
        <f t="shared" ca="1" si="4"/>
        <v>0.31116735210376478</v>
      </c>
      <c r="T23">
        <f t="shared" ca="1" si="4"/>
        <v>0.3857254901960786</v>
      </c>
      <c r="V23" s="4">
        <f t="shared" si="6"/>
        <v>42094</v>
      </c>
      <c r="W23" s="5">
        <f t="shared" ca="1" si="5"/>
        <v>0.28326745718050056</v>
      </c>
      <c r="Z23" s="4" t="e">
        <f>IF(Sheet3!$A23="",MATCH("Error",AF23,0),Sheet3!$A23)</f>
        <v>#N/A</v>
      </c>
      <c r="AA23" s="5" t="str">
        <f ca="1">IF(OFFSET(Sheet3!$A$1,0,MATCH(W$1,Sheet3!$1:$1,0)-1,300)="","",OFFSET(Sheet3!$A$1,0,MATCH(W$1,Sheet3!$1:$1,0)-1,300))</f>
        <v/>
      </c>
      <c r="AB23" s="5" t="str">
        <f ca="1">IF(OFFSET(Sheet3!$A$1,0,MATCH(X$1,Sheet3!$1:$1,0)-1,300)="","",OFFSET(Sheet3!$A$1,0,MATCH(X$1,Sheet3!$1:$1,0)-1,300))</f>
        <v/>
      </c>
      <c r="AC23" t="str">
        <f t="shared" ca="1" si="0"/>
        <v/>
      </c>
      <c r="AD23" t="str">
        <f t="shared" ca="1" si="1"/>
        <v/>
      </c>
    </row>
    <row r="24" spans="1:30" x14ac:dyDescent="0.25">
      <c r="A24" s="4">
        <v>42093</v>
      </c>
      <c r="B24">
        <v>0.82250000000000001</v>
      </c>
      <c r="C24" s="5">
        <v>1.1339999999999999</v>
      </c>
      <c r="D24">
        <v>1.5569999999999999</v>
      </c>
      <c r="E24">
        <v>1.8105</v>
      </c>
      <c r="F24">
        <v>2.0415000000000001</v>
      </c>
      <c r="G24">
        <v>2.3919999999999999</v>
      </c>
      <c r="H24">
        <f t="shared" ca="1" si="7"/>
        <v>0.42813765182186242</v>
      </c>
      <c r="I24">
        <f t="shared" ca="1" si="7"/>
        <v>0.34700574241181298</v>
      </c>
      <c r="J24">
        <f t="shared" ca="1" si="7"/>
        <v>0.26951258362535846</v>
      </c>
      <c r="K24">
        <f t="shared" ca="1" si="7"/>
        <v>0.20795734208367517</v>
      </c>
      <c r="L24">
        <f t="shared" ca="1" si="7"/>
        <v>0.16151640649888505</v>
      </c>
      <c r="M24">
        <f t="shared" ca="1" si="7"/>
        <v>0.27933884297520661</v>
      </c>
      <c r="N24">
        <f t="shared" ca="1" si="7"/>
        <v>0.20151033386327508</v>
      </c>
      <c r="O24">
        <f t="shared" ca="1" si="7"/>
        <v>0.14718063077413196</v>
      </c>
      <c r="P24">
        <f t="shared" ca="1" si="7"/>
        <v>0.18362480127186018</v>
      </c>
      <c r="Q24">
        <f t="shared" ca="1" si="7"/>
        <v>0.2766467065868265</v>
      </c>
      <c r="R24">
        <f t="shared" ca="1" si="4"/>
        <v>0.57820962089837546</v>
      </c>
      <c r="S24">
        <f t="shared" ca="1" si="4"/>
        <v>0.30869703727301701</v>
      </c>
      <c r="T24">
        <f t="shared" ca="1" si="4"/>
        <v>0.38513513513513525</v>
      </c>
      <c r="V24" s="4">
        <f t="shared" si="6"/>
        <v>42093</v>
      </c>
      <c r="W24" s="5">
        <f t="shared" ca="1" si="5"/>
        <v>0.27933884297520661</v>
      </c>
      <c r="Z24" s="4" t="e">
        <f>IF(Sheet3!$A24="",MATCH("Error",AF24,0),Sheet3!$A24)</f>
        <v>#N/A</v>
      </c>
      <c r="AA24" s="5" t="str">
        <f ca="1">IF(OFFSET(Sheet3!$A$1,0,MATCH(W$1,Sheet3!$1:$1,0)-1,300)="","",OFFSET(Sheet3!$A$1,0,MATCH(W$1,Sheet3!$1:$1,0)-1,300))</f>
        <v/>
      </c>
      <c r="AB24" s="5" t="str">
        <f ca="1">IF(OFFSET(Sheet3!$A$1,0,MATCH(X$1,Sheet3!$1:$1,0)-1,300)="","",OFFSET(Sheet3!$A$1,0,MATCH(X$1,Sheet3!$1:$1,0)-1,300))</f>
        <v/>
      </c>
      <c r="AC24" t="str">
        <f t="shared" ca="1" si="0"/>
        <v/>
      </c>
      <c r="AD24" t="str">
        <f t="shared" ca="1" si="1"/>
        <v/>
      </c>
    </row>
    <row r="25" spans="1:30" x14ac:dyDescent="0.25">
      <c r="A25" s="4">
        <v>42090</v>
      </c>
      <c r="B25">
        <v>0.83450000000000002</v>
      </c>
      <c r="C25" s="5">
        <v>1.1519999999999999</v>
      </c>
      <c r="D25">
        <v>1.5803</v>
      </c>
      <c r="E25">
        <v>1.8298000000000001</v>
      </c>
      <c r="F25">
        <v>2.0525000000000002</v>
      </c>
      <c r="G25">
        <v>2.379</v>
      </c>
      <c r="H25">
        <f t="shared" ca="1" si="7"/>
        <v>0.43032251582437464</v>
      </c>
      <c r="I25">
        <f t="shared" ca="1" si="7"/>
        <v>0.35164203612479478</v>
      </c>
      <c r="J25">
        <f t="shared" ca="1" si="7"/>
        <v>0.27730657170605383</v>
      </c>
      <c r="K25">
        <f t="shared" ca="1" si="7"/>
        <v>0.2048440065681445</v>
      </c>
      <c r="L25">
        <f t="shared" ca="1" si="7"/>
        <v>0.16154095176432506</v>
      </c>
      <c r="M25">
        <f t="shared" ca="1" si="7"/>
        <v>0.27706829539144917</v>
      </c>
      <c r="N25">
        <f t="shared" ca="1" si="7"/>
        <v>0.20334148329258356</v>
      </c>
      <c r="O25">
        <f t="shared" ca="1" si="7"/>
        <v>0.14418905794755593</v>
      </c>
      <c r="P25">
        <f t="shared" ca="1" si="7"/>
        <v>0.18149959250203757</v>
      </c>
      <c r="Q25">
        <f t="shared" ca="1" si="7"/>
        <v>0.27882809565544026</v>
      </c>
      <c r="R25">
        <f t="shared" ca="1" si="4"/>
        <v>0.5830365814179348</v>
      </c>
      <c r="S25">
        <f t="shared" ca="1" si="4"/>
        <v>0.30573000971188097</v>
      </c>
      <c r="T25">
        <f t="shared" ca="1" si="4"/>
        <v>0.38484107579462112</v>
      </c>
      <c r="V25" s="4">
        <f t="shared" si="6"/>
        <v>42090</v>
      </c>
      <c r="W25" s="5">
        <f t="shared" ca="1" si="5"/>
        <v>0.27706829539144917</v>
      </c>
      <c r="Z25" s="4" t="e">
        <f>IF(Sheet3!$A25="",MATCH("Error",AF25,0),Sheet3!$A25)</f>
        <v>#N/A</v>
      </c>
      <c r="AA25" s="5" t="str">
        <f ca="1">IF(OFFSET(Sheet3!$A$1,0,MATCH(W$1,Sheet3!$1:$1,0)-1,300)="","",OFFSET(Sheet3!$A$1,0,MATCH(W$1,Sheet3!$1:$1,0)-1,300))</f>
        <v/>
      </c>
      <c r="AB25" s="5" t="str">
        <f ca="1">IF(OFFSET(Sheet3!$A$1,0,MATCH(X$1,Sheet3!$1:$1,0)-1,300)="","",OFFSET(Sheet3!$A$1,0,MATCH(X$1,Sheet3!$1:$1,0)-1,300))</f>
        <v/>
      </c>
      <c r="AC25" t="str">
        <f t="shared" ca="1" si="0"/>
        <v/>
      </c>
      <c r="AD25" t="str">
        <f t="shared" ca="1" si="1"/>
        <v/>
      </c>
    </row>
    <row r="26" spans="1:30" x14ac:dyDescent="0.25">
      <c r="A26" s="4">
        <v>42089</v>
      </c>
      <c r="B26">
        <v>0.85240000000000005</v>
      </c>
      <c r="C26" s="5">
        <v>1.1739999999999999</v>
      </c>
      <c r="D26">
        <v>1.6040000000000001</v>
      </c>
      <c r="E26">
        <v>1.8595000000000002</v>
      </c>
      <c r="F26">
        <v>2.0853000000000002</v>
      </c>
      <c r="G26">
        <v>2.4243999999999999</v>
      </c>
      <c r="H26">
        <f t="shared" ca="1" si="7"/>
        <v>0.42696852348326891</v>
      </c>
      <c r="I26">
        <f t="shared" ca="1" si="7"/>
        <v>0.34877118987752465</v>
      </c>
      <c r="J26">
        <f t="shared" ca="1" si="7"/>
        <v>0.2735368956743004</v>
      </c>
      <c r="K26">
        <f t="shared" ca="1" si="7"/>
        <v>0.20723497445048264</v>
      </c>
      <c r="L26">
        <f t="shared" ca="1" si="7"/>
        <v>0.16253180661577613</v>
      </c>
      <c r="M26">
        <f t="shared" ca="1" si="7"/>
        <v>0.28036870404916053</v>
      </c>
      <c r="N26">
        <f t="shared" ca="1" si="7"/>
        <v>0.20433461292386443</v>
      </c>
      <c r="O26">
        <f t="shared" ca="1" si="7"/>
        <v>0.14363867684478374</v>
      </c>
      <c r="P26">
        <f t="shared" ca="1" si="7"/>
        <v>0.1805822136916187</v>
      </c>
      <c r="Q26">
        <f t="shared" ca="1" si="7"/>
        <v>0.2752315943442224</v>
      </c>
      <c r="R26">
        <f t="shared" ca="1" si="4"/>
        <v>0.57970737913486026</v>
      </c>
      <c r="S26">
        <f t="shared" ca="1" si="4"/>
        <v>0.30617048346055986</v>
      </c>
      <c r="T26">
        <f t="shared" ca="1" si="4"/>
        <v>0.3849168266154831</v>
      </c>
      <c r="V26" s="4">
        <f t="shared" si="6"/>
        <v>42089</v>
      </c>
      <c r="W26" s="5">
        <f t="shared" ca="1" si="5"/>
        <v>0.28036870404916053</v>
      </c>
      <c r="Z26" s="4" t="e">
        <f>IF(Sheet3!$A26="",MATCH("Error",AF26,0),Sheet3!$A26)</f>
        <v>#N/A</v>
      </c>
      <c r="AA26" s="5" t="str">
        <f ca="1">IF(OFFSET(Sheet3!$A$1,0,MATCH(W$1,Sheet3!$1:$1,0)-1,300)="","",OFFSET(Sheet3!$A$1,0,MATCH(W$1,Sheet3!$1:$1,0)-1,300))</f>
        <v/>
      </c>
      <c r="AB26" s="5" t="str">
        <f ca="1">IF(OFFSET(Sheet3!$A$1,0,MATCH(X$1,Sheet3!$1:$1,0)-1,300)="","",OFFSET(Sheet3!$A$1,0,MATCH(X$1,Sheet3!$1:$1,0)-1,300))</f>
        <v/>
      </c>
      <c r="AC26" t="str">
        <f t="shared" ca="1" si="0"/>
        <v/>
      </c>
      <c r="AD26" t="str">
        <f t="shared" ca="1" si="1"/>
        <v/>
      </c>
    </row>
    <row r="27" spans="1:30" x14ac:dyDescent="0.25">
      <c r="A27" s="4">
        <v>42088</v>
      </c>
      <c r="B27">
        <v>0.83899999999999997</v>
      </c>
      <c r="C27" s="5">
        <v>1.1535</v>
      </c>
      <c r="D27">
        <v>1.5615000000000001</v>
      </c>
      <c r="E27">
        <v>1.804</v>
      </c>
      <c r="F27">
        <v>2.0192999999999999</v>
      </c>
      <c r="G27">
        <v>2.3460000000000001</v>
      </c>
      <c r="H27">
        <f t="shared" ca="1" si="7"/>
        <v>0.42279792746114003</v>
      </c>
      <c r="I27">
        <f t="shared" ca="1" si="7"/>
        <v>0.34567482843344927</v>
      </c>
      <c r="J27">
        <f t="shared" ca="1" si="7"/>
        <v>0.27073656270736568</v>
      </c>
      <c r="K27">
        <f t="shared" ca="1" si="7"/>
        <v>0.20545623993899853</v>
      </c>
      <c r="L27">
        <f t="shared" ca="1" si="7"/>
        <v>0.16091572660915721</v>
      </c>
      <c r="M27">
        <f t="shared" ca="1" si="7"/>
        <v>0.28008778008778007</v>
      </c>
      <c r="N27">
        <f t="shared" ca="1" si="7"/>
        <v>0.20335429769392027</v>
      </c>
      <c r="O27">
        <f t="shared" ca="1" si="7"/>
        <v>0.1428666224286661</v>
      </c>
      <c r="P27">
        <f t="shared" ca="1" si="7"/>
        <v>0.18054507337526188</v>
      </c>
      <c r="Q27">
        <f t="shared" ca="1" si="7"/>
        <v>0.27444231994901191</v>
      </c>
      <c r="R27">
        <f t="shared" ca="1" si="4"/>
        <v>0.57451891174518899</v>
      </c>
      <c r="S27">
        <f t="shared" ca="1" si="4"/>
        <v>0.30378234903782331</v>
      </c>
      <c r="T27">
        <f t="shared" ca="1" si="4"/>
        <v>0.38389937106918215</v>
      </c>
      <c r="V27" s="4">
        <f t="shared" si="6"/>
        <v>42088</v>
      </c>
      <c r="W27" s="5">
        <f t="shared" ca="1" si="5"/>
        <v>0.28008778008778007</v>
      </c>
      <c r="Z27" s="4" t="e">
        <f>IF(Sheet3!$A27="",MATCH("Error",AF27,0),Sheet3!$A27)</f>
        <v>#N/A</v>
      </c>
      <c r="AA27" s="5" t="str">
        <f ca="1">IF(OFFSET(Sheet3!$A$1,0,MATCH(W$1,Sheet3!$1:$1,0)-1,300)="","",OFFSET(Sheet3!$A$1,0,MATCH(W$1,Sheet3!$1:$1,0)-1,300))</f>
        <v/>
      </c>
      <c r="AB27" s="5" t="str">
        <f ca="1">IF(OFFSET(Sheet3!$A$1,0,MATCH(X$1,Sheet3!$1:$1,0)-1,300)="","",OFFSET(Sheet3!$A$1,0,MATCH(X$1,Sheet3!$1:$1,0)-1,300))</f>
        <v/>
      </c>
      <c r="AC27" t="str">
        <f t="shared" ca="1" si="0"/>
        <v/>
      </c>
      <c r="AD27" t="str">
        <f t="shared" ca="1" si="1"/>
        <v/>
      </c>
    </row>
    <row r="28" spans="1:30" x14ac:dyDescent="0.25">
      <c r="A28" s="4">
        <v>42087</v>
      </c>
      <c r="B28">
        <v>0.82150000000000001</v>
      </c>
      <c r="C28" s="5">
        <v>1.1160000000000001</v>
      </c>
      <c r="D28">
        <v>1.5110000000000001</v>
      </c>
      <c r="E28">
        <v>1.7509999999999999</v>
      </c>
      <c r="F28">
        <v>1.9673</v>
      </c>
      <c r="G28">
        <v>2.3014999999999999</v>
      </c>
      <c r="H28">
        <f t="shared" ca="1" si="7"/>
        <v>0.42495965572888655</v>
      </c>
      <c r="I28">
        <f t="shared" ca="1" si="7"/>
        <v>0.34473730144876946</v>
      </c>
      <c r="J28">
        <f t="shared" ca="1" si="7"/>
        <v>0.26689189189189189</v>
      </c>
      <c r="K28">
        <f t="shared" ca="1" si="7"/>
        <v>0.20946063885494831</v>
      </c>
      <c r="L28">
        <f t="shared" ca="1" si="7"/>
        <v>0.162162162162162</v>
      </c>
      <c r="M28">
        <f t="shared" ca="1" si="7"/>
        <v>0.28192176670973779</v>
      </c>
      <c r="N28">
        <f t="shared" ca="1" si="7"/>
        <v>0.20244622522142541</v>
      </c>
      <c r="O28">
        <f t="shared" ca="1" si="7"/>
        <v>0.14614864864864877</v>
      </c>
      <c r="P28">
        <f t="shared" ca="1" si="7"/>
        <v>0.18245466048080997</v>
      </c>
      <c r="Q28">
        <f t="shared" ca="1" si="7"/>
        <v>0.27362428842504771</v>
      </c>
      <c r="R28">
        <f t="shared" ca="1" si="4"/>
        <v>0.57520270270270268</v>
      </c>
      <c r="S28">
        <f t="shared" ca="1" si="4"/>
        <v>0.30831081081081074</v>
      </c>
      <c r="T28">
        <f t="shared" ca="1" si="4"/>
        <v>0.38490088570223535</v>
      </c>
      <c r="V28" s="4">
        <f t="shared" si="6"/>
        <v>42087</v>
      </c>
      <c r="W28" s="5">
        <f t="shared" ca="1" si="5"/>
        <v>0.28192176670973779</v>
      </c>
      <c r="Z28" s="4" t="e">
        <f>IF(Sheet3!$A28="",MATCH("Error",AF28,0),Sheet3!$A28)</f>
        <v>#N/A</v>
      </c>
      <c r="AA28" s="5" t="str">
        <f ca="1">IF(OFFSET(Sheet3!$A$1,0,MATCH(W$1,Sheet3!$1:$1,0)-1,300)="","",OFFSET(Sheet3!$A$1,0,MATCH(W$1,Sheet3!$1:$1,0)-1,300))</f>
        <v/>
      </c>
      <c r="AB28" s="5" t="str">
        <f ca="1">IF(OFFSET(Sheet3!$A$1,0,MATCH(X$1,Sheet3!$1:$1,0)-1,300)="","",OFFSET(Sheet3!$A$1,0,MATCH(X$1,Sheet3!$1:$1,0)-1,300))</f>
        <v/>
      </c>
      <c r="AC28" t="str">
        <f t="shared" ca="1" si="0"/>
        <v/>
      </c>
      <c r="AD28" t="str">
        <f t="shared" ca="1" si="1"/>
        <v/>
      </c>
    </row>
    <row r="29" spans="1:30" x14ac:dyDescent="0.25">
      <c r="A29" s="4">
        <v>42086</v>
      </c>
      <c r="B29">
        <v>0.83750000000000002</v>
      </c>
      <c r="C29" s="5">
        <v>1.141</v>
      </c>
      <c r="D29">
        <v>1.546</v>
      </c>
      <c r="E29">
        <v>1.7875000000000001</v>
      </c>
      <c r="F29">
        <v>2.0053000000000001</v>
      </c>
      <c r="G29">
        <v>2.3481999999999998</v>
      </c>
      <c r="H29">
        <f t="shared" ca="1" si="7"/>
        <v>0.4263157894736842</v>
      </c>
      <c r="I29">
        <f t="shared" ca="1" si="7"/>
        <v>0.34680595992464458</v>
      </c>
      <c r="J29">
        <f t="shared" ca="1" si="7"/>
        <v>0.26808764149069969</v>
      </c>
      <c r="K29">
        <f t="shared" ca="1" si="7"/>
        <v>0.20679910943654736</v>
      </c>
      <c r="L29">
        <f t="shared" ca="1" si="7"/>
        <v>0.15985966770371354</v>
      </c>
      <c r="M29">
        <f t="shared" ca="1" si="7"/>
        <v>0.27941686914265884</v>
      </c>
      <c r="N29">
        <f t="shared" ca="1" si="7"/>
        <v>0.20004970178926448</v>
      </c>
      <c r="O29">
        <f t="shared" ca="1" si="7"/>
        <v>0.14417157609055406</v>
      </c>
      <c r="P29">
        <f t="shared" ca="1" si="7"/>
        <v>0.1804174950298211</v>
      </c>
      <c r="Q29">
        <f t="shared" ca="1" si="7"/>
        <v>0.27150336574420347</v>
      </c>
      <c r="R29">
        <f t="shared" ref="R29:T92" ca="1" si="8">IF(ISERROR(ABS(OFFSET($A$11,ROW()-11,MATCH(LEFT(R$9,2),$A$11:$G$11,0)-1)-OFFSET($A$11,ROW()-11,MATCH(RIGHT(R$9,2),$A$11:$G$11,0)-1))/ABS(OFFSET($A$11,ROW()-11,MATCH(LEFT(R$10,2),$A$11:$G$11,0)-1)-OFFSET($A$11,ROW()-11,MATCH(RIGHT(R$10,2),$A$11:$G$11,0)-1))),"",ABS(OFFSET($A$11,ROW()-11,MATCH(LEFT(R$9,2),$A$11:$G$11,0)-1)-OFFSET($A$11,ROW()-11,MATCH(RIGHT(R$9,2),$A$11:$G$11,0)-1))/ABS(OFFSET($A$11,ROW()-11,MATCH(LEFT(R$10,2),$A$11:$G$11,0)-1)-OFFSET($A$11,ROW()-11,MATCH(RIGHT(R$10,2),$A$11:$G$11,0)-1)))</f>
        <v>0.57211888528496735</v>
      </c>
      <c r="S29">
        <f t="shared" ca="1" si="8"/>
        <v>0.3040312437942676</v>
      </c>
      <c r="T29">
        <f t="shared" ca="1" si="8"/>
        <v>0.38046719681908558</v>
      </c>
      <c r="V29" s="4">
        <f t="shared" si="6"/>
        <v>42086</v>
      </c>
      <c r="W29" s="5">
        <f t="shared" ca="1" si="5"/>
        <v>0.27941686914265884</v>
      </c>
      <c r="Z29" s="4" t="e">
        <f>IF(Sheet3!$A29="",MATCH("Error",AF29,0),Sheet3!$A29)</f>
        <v>#N/A</v>
      </c>
      <c r="AA29" s="5" t="str">
        <f ca="1">IF(OFFSET(Sheet3!$A$1,0,MATCH(W$1,Sheet3!$1:$1,0)-1,300)="","",OFFSET(Sheet3!$A$1,0,MATCH(W$1,Sheet3!$1:$1,0)-1,300))</f>
        <v/>
      </c>
      <c r="AB29" s="5" t="str">
        <f ca="1">IF(OFFSET(Sheet3!$A$1,0,MATCH(X$1,Sheet3!$1:$1,0)-1,300)="","",OFFSET(Sheet3!$A$1,0,MATCH(X$1,Sheet3!$1:$1,0)-1,300))</f>
        <v/>
      </c>
      <c r="AC29" t="str">
        <f t="shared" ca="1" si="0"/>
        <v/>
      </c>
      <c r="AD29" t="str">
        <f t="shared" ca="1" si="1"/>
        <v/>
      </c>
    </row>
    <row r="30" spans="1:30" x14ac:dyDescent="0.25">
      <c r="A30" s="4">
        <v>42083</v>
      </c>
      <c r="B30">
        <v>0.84499999999999997</v>
      </c>
      <c r="C30" s="5">
        <v>1.1567000000000001</v>
      </c>
      <c r="D30">
        <v>1.569</v>
      </c>
      <c r="E30">
        <v>1.8134999999999999</v>
      </c>
      <c r="F30">
        <v>2.0278</v>
      </c>
      <c r="G30">
        <v>2.3487999999999998</v>
      </c>
      <c r="H30">
        <f t="shared" ca="1" si="7"/>
        <v>0.42570986060918942</v>
      </c>
      <c r="I30">
        <f t="shared" ca="1" si="7"/>
        <v>0.34857964152857612</v>
      </c>
      <c r="J30">
        <f t="shared" ca="1" si="7"/>
        <v>0.27417209735337145</v>
      </c>
      <c r="K30">
        <f t="shared" ca="1" si="7"/>
        <v>0.20671288468041929</v>
      </c>
      <c r="L30">
        <f t="shared" ca="1" si="7"/>
        <v>0.16258811012102672</v>
      </c>
      <c r="M30">
        <f t="shared" ca="1" si="7"/>
        <v>0.28067960050510843</v>
      </c>
      <c r="N30">
        <f t="shared" ca="1" si="7"/>
        <v>0.20510024326818219</v>
      </c>
      <c r="O30">
        <f t="shared" ca="1" si="7"/>
        <v>0.14250565234738674</v>
      </c>
      <c r="P30">
        <f t="shared" ca="1" si="7"/>
        <v>0.17976679808740895</v>
      </c>
      <c r="Q30">
        <f t="shared" ca="1" si="7"/>
        <v>0.27481405488586841</v>
      </c>
      <c r="R30">
        <f t="shared" ca="1" si="8"/>
        <v>0.57926585982178491</v>
      </c>
      <c r="S30">
        <f t="shared" ca="1" si="8"/>
        <v>0.30509376246841347</v>
      </c>
      <c r="T30">
        <f t="shared" ca="1" si="8"/>
        <v>0.38486704135559113</v>
      </c>
      <c r="V30" s="4">
        <f t="shared" si="6"/>
        <v>42083</v>
      </c>
      <c r="W30" s="5">
        <f t="shared" ca="1" si="5"/>
        <v>0.28067960050510843</v>
      </c>
      <c r="Z30" s="4" t="e">
        <f>IF(Sheet3!$A30="",MATCH("Error",AF30,0),Sheet3!$A30)</f>
        <v>#N/A</v>
      </c>
      <c r="AA30" s="5" t="str">
        <f ca="1">IF(OFFSET(Sheet3!$A$1,0,MATCH(W$1,Sheet3!$1:$1,0)-1,300)="","",OFFSET(Sheet3!$A$1,0,MATCH(W$1,Sheet3!$1:$1,0)-1,300))</f>
        <v/>
      </c>
      <c r="AB30" s="5" t="str">
        <f ca="1">IF(OFFSET(Sheet3!$A$1,0,MATCH(X$1,Sheet3!$1:$1,0)-1,300)="","",OFFSET(Sheet3!$A$1,0,MATCH(X$1,Sheet3!$1:$1,0)-1,300))</f>
        <v/>
      </c>
      <c r="AC30" t="str">
        <f t="shared" ca="1" si="0"/>
        <v/>
      </c>
      <c r="AD30" t="str">
        <f t="shared" ca="1" si="1"/>
        <v/>
      </c>
    </row>
    <row r="31" spans="1:30" x14ac:dyDescent="0.25">
      <c r="A31" s="4">
        <v>42082</v>
      </c>
      <c r="B31">
        <v>0.87209999999999999</v>
      </c>
      <c r="C31" s="5">
        <v>1.1970000000000001</v>
      </c>
      <c r="D31">
        <v>1.6125</v>
      </c>
      <c r="E31">
        <v>1.8456000000000001</v>
      </c>
      <c r="F31">
        <v>2.0503</v>
      </c>
      <c r="G31">
        <v>2.3538000000000001</v>
      </c>
      <c r="H31">
        <f t="shared" ca="1" si="7"/>
        <v>0.42681047765793523</v>
      </c>
      <c r="I31">
        <f t="shared" ca="1" si="7"/>
        <v>0.35265659480563571</v>
      </c>
      <c r="J31">
        <f t="shared" ca="1" si="7"/>
        <v>0.28042113788216239</v>
      </c>
      <c r="K31">
        <f t="shared" ca="1" si="7"/>
        <v>0.19784416907146504</v>
      </c>
      <c r="L31">
        <f t="shared" ca="1" si="7"/>
        <v>0.15731929540392797</v>
      </c>
      <c r="M31">
        <f t="shared" ca="1" si="7"/>
        <v>0.27317473338802306</v>
      </c>
      <c r="N31">
        <f t="shared" ca="1" si="7"/>
        <v>0.20150414937759342</v>
      </c>
      <c r="O31">
        <f t="shared" ca="1" si="7"/>
        <v>0.13815212256192203</v>
      </c>
      <c r="P31">
        <f t="shared" ca="1" si="7"/>
        <v>0.1769536652835407</v>
      </c>
      <c r="Q31">
        <f t="shared" ca="1" si="7"/>
        <v>0.27613651692971786</v>
      </c>
      <c r="R31">
        <f t="shared" ca="1" si="8"/>
        <v>0.57589255584801236</v>
      </c>
      <c r="S31">
        <f t="shared" ca="1" si="8"/>
        <v>0.29547141796585003</v>
      </c>
      <c r="T31">
        <f t="shared" ca="1" si="8"/>
        <v>0.3784578146611341</v>
      </c>
      <c r="V31" s="4">
        <f t="shared" si="6"/>
        <v>42082</v>
      </c>
      <c r="W31" s="5">
        <f t="shared" ca="1" si="5"/>
        <v>0.27317473338802306</v>
      </c>
      <c r="Z31" s="4" t="e">
        <f>IF(Sheet3!$A31="",MATCH("Error",AF31,0),Sheet3!$A31)</f>
        <v>#N/A</v>
      </c>
      <c r="AA31" s="5" t="str">
        <f ca="1">IF(OFFSET(Sheet3!$A$1,0,MATCH(W$1,Sheet3!$1:$1,0)-1,300)="","",OFFSET(Sheet3!$A$1,0,MATCH(W$1,Sheet3!$1:$1,0)-1,300))</f>
        <v/>
      </c>
      <c r="AB31" s="5" t="str">
        <f ca="1">IF(OFFSET(Sheet3!$A$1,0,MATCH(X$1,Sheet3!$1:$1,0)-1,300)="","",OFFSET(Sheet3!$A$1,0,MATCH(X$1,Sheet3!$1:$1,0)-1,300))</f>
        <v/>
      </c>
      <c r="AC31" t="str">
        <f t="shared" ca="1" si="0"/>
        <v/>
      </c>
      <c r="AD31" t="str">
        <f t="shared" ca="1" si="1"/>
        <v/>
      </c>
    </row>
    <row r="32" spans="1:30" x14ac:dyDescent="0.25">
      <c r="A32" s="4">
        <v>42081</v>
      </c>
      <c r="B32">
        <v>0.81720000000000004</v>
      </c>
      <c r="C32" s="5">
        <v>1.1257999999999999</v>
      </c>
      <c r="D32">
        <v>1.5377999999999998</v>
      </c>
      <c r="E32">
        <v>1.7854999999999999</v>
      </c>
      <c r="F32">
        <v>2.0072999999999999</v>
      </c>
      <c r="G32">
        <v>2.3555000000000001</v>
      </c>
      <c r="H32">
        <f t="shared" ca="1" si="7"/>
        <v>0.42548796860477123</v>
      </c>
      <c r="I32">
        <f t="shared" ca="1" si="7"/>
        <v>0.34618939584908831</v>
      </c>
      <c r="J32">
        <f t="shared" ca="1" si="7"/>
        <v>0.26782812195280498</v>
      </c>
      <c r="K32">
        <f t="shared" ca="1" si="7"/>
        <v>0.20813377027140584</v>
      </c>
      <c r="L32">
        <f t="shared" ca="1" si="7"/>
        <v>0.16102190730026655</v>
      </c>
      <c r="M32">
        <f t="shared" ca="1" si="7"/>
        <v>0.28099829835507661</v>
      </c>
      <c r="N32">
        <f t="shared" ca="1" si="7"/>
        <v>0.20143124339269738</v>
      </c>
      <c r="O32">
        <f t="shared" ca="1" si="7"/>
        <v>0.14418513943964115</v>
      </c>
      <c r="P32">
        <f t="shared" ca="1" si="7"/>
        <v>0.18036919573879803</v>
      </c>
      <c r="Q32">
        <f t="shared" ca="1" si="7"/>
        <v>0.27124862418980056</v>
      </c>
      <c r="R32">
        <f t="shared" ca="1" si="8"/>
        <v>0.57303516869271265</v>
      </c>
      <c r="S32">
        <f t="shared" ca="1" si="8"/>
        <v>0.30520704673990773</v>
      </c>
      <c r="T32">
        <f t="shared" ca="1" si="8"/>
        <v>0.38180043913149542</v>
      </c>
      <c r="V32" s="4">
        <f t="shared" si="6"/>
        <v>42081</v>
      </c>
      <c r="W32" s="5">
        <f t="shared" ca="1" si="5"/>
        <v>0.28099829835507661</v>
      </c>
      <c r="Z32" s="4" t="e">
        <f>IF(Sheet3!$A32="",MATCH("Error",AF32,0),Sheet3!$A32)</f>
        <v>#N/A</v>
      </c>
      <c r="AA32" s="5" t="str">
        <f ca="1">IF(OFFSET(Sheet3!$A$1,0,MATCH(W$1,Sheet3!$1:$1,0)-1,300)="","",OFFSET(Sheet3!$A$1,0,MATCH(W$1,Sheet3!$1:$1,0)-1,300))</f>
        <v/>
      </c>
      <c r="AB32" s="5" t="str">
        <f ca="1">IF(OFFSET(Sheet3!$A$1,0,MATCH(X$1,Sheet3!$1:$1,0)-1,300)="","",OFFSET(Sheet3!$A$1,0,MATCH(X$1,Sheet3!$1:$1,0)-1,300))</f>
        <v/>
      </c>
      <c r="AC32" t="str">
        <f t="shared" ca="1" si="0"/>
        <v/>
      </c>
      <c r="AD32" t="str">
        <f t="shared" ca="1" si="1"/>
        <v/>
      </c>
    </row>
    <row r="33" spans="1:30" x14ac:dyDescent="0.25">
      <c r="A33" s="4">
        <v>42080</v>
      </c>
      <c r="B33">
        <v>0.94030000000000002</v>
      </c>
      <c r="C33" s="5">
        <v>1.2847999999999999</v>
      </c>
      <c r="D33">
        <v>1.7098</v>
      </c>
      <c r="E33">
        <v>1.9470000000000001</v>
      </c>
      <c r="F33">
        <v>2.1547000000000001</v>
      </c>
      <c r="G33">
        <v>2.4660000000000002</v>
      </c>
      <c r="H33">
        <f t="shared" ref="H33:Q42" ca="1" si="9">IF(ISERROR(ABS(OFFSET($A$11,ROW()-11,MATCH(LEFT(H$9,2),$A$11:$G$11,0)-1)-OFFSET($A$11,ROW()-11,MATCH(RIGHT(H$9,2),$A$11:$G$11,0)-1))/ABS(OFFSET($A$11,ROW()-11,MATCH(LEFT(H$10,2),$A$11:$G$11,0)-1)-OFFSET($A$11,ROW()-11,MATCH(RIGHT(H$10,2),$A$11:$G$11,0)-1))),"",ABS(OFFSET($A$11,ROW()-11,MATCH(LEFT(H$9,2),$A$11:$G$11,0)-1)-OFFSET($A$11,ROW()-11,MATCH(RIGHT(H$9,2),$A$11:$G$11,0)-1))/ABS(OFFSET($A$11,ROW()-11,MATCH(LEFT(H$10,2),$A$11:$G$11,0)-1)-OFFSET($A$11,ROW()-11,MATCH(RIGHT(H$10,2),$A$11:$G$11,0)-1)))</f>
        <v>0.4221714512764479</v>
      </c>
      <c r="I33">
        <f t="shared" ca="1" si="9"/>
        <v>0.34996706192358373</v>
      </c>
      <c r="J33">
        <f t="shared" ca="1" si="9"/>
        <v>0.27856066068034346</v>
      </c>
      <c r="K33">
        <f t="shared" ca="1" si="9"/>
        <v>0.19532279314888018</v>
      </c>
      <c r="L33">
        <f t="shared" ca="1" si="9"/>
        <v>0.15546962050206467</v>
      </c>
      <c r="M33">
        <f t="shared" ca="1" si="9"/>
        <v>0.27267502011725492</v>
      </c>
      <c r="N33">
        <f t="shared" ca="1" si="9"/>
        <v>0.2008127328140874</v>
      </c>
      <c r="O33">
        <f t="shared" ca="1" si="9"/>
        <v>0.1361342334666055</v>
      </c>
      <c r="P33">
        <f t="shared" ca="1" si="9"/>
        <v>0.17583813071452756</v>
      </c>
      <c r="Q33">
        <f t="shared" ca="1" si="9"/>
        <v>0.27466278762232205</v>
      </c>
      <c r="R33">
        <f t="shared" ca="1" si="8"/>
        <v>0.57016451464901363</v>
      </c>
      <c r="S33">
        <f t="shared" ca="1" si="8"/>
        <v>0.29160385396867017</v>
      </c>
      <c r="T33">
        <f t="shared" ca="1" si="8"/>
        <v>0.37665086352861493</v>
      </c>
      <c r="V33" s="4">
        <f t="shared" si="6"/>
        <v>42080</v>
      </c>
      <c r="W33" s="5">
        <f t="shared" ca="1" si="5"/>
        <v>0.27267502011725492</v>
      </c>
      <c r="Z33" s="4" t="e">
        <f>IF(Sheet3!$A33="",MATCH("Error",AF33,0),Sheet3!$A33)</f>
        <v>#N/A</v>
      </c>
      <c r="AA33" s="5" t="str">
        <f ca="1">IF(OFFSET(Sheet3!$A$1,0,MATCH(W$1,Sheet3!$1:$1,0)-1,300)="","",OFFSET(Sheet3!$A$1,0,MATCH(W$1,Sheet3!$1:$1,0)-1,300))</f>
        <v/>
      </c>
      <c r="AB33" s="5" t="str">
        <f ca="1">IF(OFFSET(Sheet3!$A$1,0,MATCH(X$1,Sheet3!$1:$1,0)-1,300)="","",OFFSET(Sheet3!$A$1,0,MATCH(X$1,Sheet3!$1:$1,0)-1,300))</f>
        <v/>
      </c>
      <c r="AC33" t="str">
        <f t="shared" ca="1" si="0"/>
        <v/>
      </c>
      <c r="AD33" t="str">
        <f t="shared" ca="1" si="1"/>
        <v/>
      </c>
    </row>
    <row r="34" spans="1:30" x14ac:dyDescent="0.25">
      <c r="A34" s="4">
        <v>42079</v>
      </c>
      <c r="B34">
        <v>0.92</v>
      </c>
      <c r="C34" s="5">
        <v>1.2695000000000001</v>
      </c>
      <c r="D34">
        <v>1.7105000000000001</v>
      </c>
      <c r="E34">
        <v>1.9615</v>
      </c>
      <c r="F34">
        <v>2.1808000000000001</v>
      </c>
      <c r="G34">
        <v>2.5127999999999999</v>
      </c>
      <c r="H34">
        <f t="shared" ca="1" si="9"/>
        <v>0.4234277484397504</v>
      </c>
      <c r="I34">
        <f t="shared" ca="1" si="9"/>
        <v>0.34977791878172587</v>
      </c>
      <c r="J34">
        <f t="shared" ca="1" si="9"/>
        <v>0.27687091913611256</v>
      </c>
      <c r="K34">
        <f t="shared" ca="1" si="9"/>
        <v>0.19907994923857858</v>
      </c>
      <c r="L34">
        <f t="shared" ca="1" si="9"/>
        <v>0.15758412857860365</v>
      </c>
      <c r="M34">
        <f t="shared" ca="1" si="9"/>
        <v>0.27543070339076031</v>
      </c>
      <c r="N34">
        <f t="shared" ca="1" si="9"/>
        <v>0.2018820879916351</v>
      </c>
      <c r="O34">
        <f t="shared" ca="1" si="9"/>
        <v>0.1376820693119036</v>
      </c>
      <c r="P34">
        <f t="shared" ca="1" si="9"/>
        <v>0.17638542588273151</v>
      </c>
      <c r="Q34">
        <f t="shared" ca="1" si="9"/>
        <v>0.2733391499439114</v>
      </c>
      <c r="R34">
        <f t="shared" ca="1" si="8"/>
        <v>0.57213711702661985</v>
      </c>
      <c r="S34">
        <f t="shared" ca="1" si="8"/>
        <v>0.29526619789050723</v>
      </c>
      <c r="T34">
        <f t="shared" ca="1" si="8"/>
        <v>0.37826751387436658</v>
      </c>
      <c r="V34" s="4">
        <f t="shared" si="6"/>
        <v>42079</v>
      </c>
      <c r="W34" s="5">
        <f t="shared" ca="1" si="5"/>
        <v>0.27543070339076031</v>
      </c>
      <c r="Z34" s="4" t="e">
        <f>IF(Sheet3!$A34="",MATCH("Error",AF34,0),Sheet3!$A34)</f>
        <v>#N/A</v>
      </c>
      <c r="AA34" s="5" t="str">
        <f ca="1">IF(OFFSET(Sheet3!$A$1,0,MATCH(W$1,Sheet3!$1:$1,0)-1,300)="","",OFFSET(Sheet3!$A$1,0,MATCH(W$1,Sheet3!$1:$1,0)-1,300))</f>
        <v/>
      </c>
      <c r="AB34" s="5" t="str">
        <f ca="1">IF(OFFSET(Sheet3!$A$1,0,MATCH(X$1,Sheet3!$1:$1,0)-1,300)="","",OFFSET(Sheet3!$A$1,0,MATCH(X$1,Sheet3!$1:$1,0)-1,300))</f>
        <v/>
      </c>
      <c r="AC34" t="str">
        <f t="shared" ca="1" si="0"/>
        <v/>
      </c>
      <c r="AD34" t="str">
        <f t="shared" ca="1" si="1"/>
        <v/>
      </c>
    </row>
    <row r="35" spans="1:30" x14ac:dyDescent="0.25">
      <c r="A35" s="4">
        <v>42076</v>
      </c>
      <c r="B35">
        <v>0.93149999999999999</v>
      </c>
      <c r="C35" s="5">
        <v>1.2945</v>
      </c>
      <c r="D35">
        <v>1.7490000000000001</v>
      </c>
      <c r="E35">
        <v>2.0043000000000002</v>
      </c>
      <c r="F35">
        <v>2.2280000000000002</v>
      </c>
      <c r="G35">
        <v>2.5708000000000002</v>
      </c>
      <c r="H35">
        <f t="shared" ca="1" si="9"/>
        <v>0.42365771812080538</v>
      </c>
      <c r="I35">
        <f t="shared" ca="1" si="9"/>
        <v>0.3505591978403394</v>
      </c>
      <c r="J35">
        <f t="shared" ca="1" si="9"/>
        <v>0.27725248581711709</v>
      </c>
      <c r="K35">
        <f t="shared" ca="1" si="9"/>
        <v>0.19691477053605866</v>
      </c>
      <c r="L35">
        <f t="shared" ca="1" si="9"/>
        <v>0.15573720490453247</v>
      </c>
      <c r="M35">
        <f t="shared" ca="1" si="9"/>
        <v>0.27348687734333155</v>
      </c>
      <c r="N35">
        <f t="shared" ca="1" si="9"/>
        <v>0.20003134059390429</v>
      </c>
      <c r="O35">
        <f t="shared" ca="1" si="9"/>
        <v>0.13646068443847983</v>
      </c>
      <c r="P35">
        <f t="shared" ca="1" si="9"/>
        <v>0.17527227140954318</v>
      </c>
      <c r="Q35">
        <f t="shared" ca="1" si="9"/>
        <v>0.27220734972012656</v>
      </c>
      <c r="R35">
        <f t="shared" ca="1" si="8"/>
        <v>0.56945037516012942</v>
      </c>
      <c r="S35">
        <f t="shared" ca="1" si="8"/>
        <v>0.29219788934301227</v>
      </c>
      <c r="T35">
        <f t="shared" ca="1" si="8"/>
        <v>0.37530361200344747</v>
      </c>
      <c r="V35" s="4">
        <f t="shared" si="6"/>
        <v>42076</v>
      </c>
      <c r="W35" s="5">
        <f t="shared" ca="1" si="5"/>
        <v>0.27348687734333155</v>
      </c>
      <c r="Z35" s="4" t="e">
        <f>IF(Sheet3!$A35="",MATCH("Error",AF35,0),Sheet3!$A35)</f>
        <v>#N/A</v>
      </c>
      <c r="AA35" s="5" t="str">
        <f ca="1">IF(OFFSET(Sheet3!$A$1,0,MATCH(W$1,Sheet3!$1:$1,0)-1,300)="","",OFFSET(Sheet3!$A$1,0,MATCH(W$1,Sheet3!$1:$1,0)-1,300))</f>
        <v/>
      </c>
      <c r="AB35" s="5" t="str">
        <f ca="1">IF(OFFSET(Sheet3!$A$1,0,MATCH(X$1,Sheet3!$1:$1,0)-1,300)="","",OFFSET(Sheet3!$A$1,0,MATCH(X$1,Sheet3!$1:$1,0)-1,300))</f>
        <v/>
      </c>
      <c r="AC35" t="str">
        <f t="shared" ca="1" si="0"/>
        <v/>
      </c>
      <c r="AD35" t="str">
        <f t="shared" ca="1" si="1"/>
        <v/>
      </c>
    </row>
    <row r="36" spans="1:30" x14ac:dyDescent="0.25">
      <c r="A36" s="4">
        <v>42075</v>
      </c>
      <c r="B36">
        <v>0.93799999999999994</v>
      </c>
      <c r="C36" s="5">
        <v>1.3043</v>
      </c>
      <c r="D36">
        <v>1.7574999999999998</v>
      </c>
      <c r="E36">
        <v>2.0097</v>
      </c>
      <c r="F36">
        <v>2.2292999999999998</v>
      </c>
      <c r="G36">
        <v>2.5695000000000001</v>
      </c>
      <c r="H36">
        <f t="shared" ca="1" si="9"/>
        <v>0.42287953718391319</v>
      </c>
      <c r="I36">
        <f t="shared" ca="1" si="9"/>
        <v>0.35096414466041964</v>
      </c>
      <c r="J36">
        <f t="shared" ca="1" si="9"/>
        <v>0.27778118296046567</v>
      </c>
      <c r="K36">
        <f t="shared" ca="1" si="9"/>
        <v>0.19530705490590894</v>
      </c>
      <c r="L36">
        <f t="shared" ca="1" si="9"/>
        <v>0.15458167330677303</v>
      </c>
      <c r="M36">
        <f t="shared" ca="1" si="9"/>
        <v>0.27264864864864891</v>
      </c>
      <c r="N36">
        <f t="shared" ca="1" si="9"/>
        <v>0.19933607334808739</v>
      </c>
      <c r="O36">
        <f t="shared" ca="1" si="9"/>
        <v>0.13460006129328825</v>
      </c>
      <c r="P36">
        <f t="shared" ca="1" si="9"/>
        <v>0.17356939614290212</v>
      </c>
      <c r="Q36">
        <f t="shared" ca="1" si="9"/>
        <v>0.27044334975369422</v>
      </c>
      <c r="R36">
        <f t="shared" ca="1" si="8"/>
        <v>0.56696291756052697</v>
      </c>
      <c r="S36">
        <f t="shared" ca="1" si="8"/>
        <v>0.28918173460006125</v>
      </c>
      <c r="T36">
        <f t="shared" ca="1" si="8"/>
        <v>0.37290546949098952</v>
      </c>
      <c r="V36" s="4">
        <f t="shared" si="6"/>
        <v>42075</v>
      </c>
      <c r="W36" s="5">
        <f t="shared" ca="1" si="5"/>
        <v>0.27264864864864891</v>
      </c>
      <c r="Z36" s="4" t="e">
        <f>IF(Sheet3!$A36="",MATCH("Error",AF36,0),Sheet3!$A36)</f>
        <v>#N/A</v>
      </c>
      <c r="AA36" s="5" t="str">
        <f ca="1">IF(OFFSET(Sheet3!$A$1,0,MATCH(W$1,Sheet3!$1:$1,0)-1,300)="","",OFFSET(Sheet3!$A$1,0,MATCH(W$1,Sheet3!$1:$1,0)-1,300))</f>
        <v/>
      </c>
      <c r="AB36" s="5" t="str">
        <f ca="1">IF(OFFSET(Sheet3!$A$1,0,MATCH(X$1,Sheet3!$1:$1,0)-1,300)="","",OFFSET(Sheet3!$A$1,0,MATCH(X$1,Sheet3!$1:$1,0)-1,300))</f>
        <v/>
      </c>
      <c r="AC36" t="str">
        <f t="shared" ca="1" si="0"/>
        <v/>
      </c>
      <c r="AD36" t="str">
        <f t="shared" ca="1" si="1"/>
        <v/>
      </c>
    </row>
    <row r="37" spans="1:30" x14ac:dyDescent="0.25">
      <c r="A37" s="4">
        <v>42074</v>
      </c>
      <c r="B37">
        <v>0.94950000000000001</v>
      </c>
      <c r="C37" s="5">
        <v>1.3148</v>
      </c>
      <c r="D37">
        <v>1.7635000000000001</v>
      </c>
      <c r="E37">
        <v>2.0127999999999999</v>
      </c>
      <c r="F37">
        <v>2.226</v>
      </c>
      <c r="G37">
        <v>2.5550000000000002</v>
      </c>
      <c r="H37">
        <f t="shared" ca="1" si="9"/>
        <v>0.42198815009874929</v>
      </c>
      <c r="I37">
        <f t="shared" ca="1" si="9"/>
        <v>0.35150802976889944</v>
      </c>
      <c r="J37">
        <f t="shared" ca="1" si="9"/>
        <v>0.27947679850513862</v>
      </c>
      <c r="K37">
        <f t="shared" ca="1" si="9"/>
        <v>0.19529964747356041</v>
      </c>
      <c r="L37">
        <f t="shared" ca="1" si="9"/>
        <v>0.1552787293677981</v>
      </c>
      <c r="M37">
        <f t="shared" ca="1" si="9"/>
        <v>0.27359525899912185</v>
      </c>
      <c r="N37">
        <f t="shared" ca="1" si="9"/>
        <v>0.20101596516690842</v>
      </c>
      <c r="O37">
        <f t="shared" ca="1" si="9"/>
        <v>0.1327935222672065</v>
      </c>
      <c r="P37">
        <f t="shared" ca="1" si="9"/>
        <v>0.17190775681341722</v>
      </c>
      <c r="Q37">
        <f t="shared" ca="1" si="9"/>
        <v>0.26936197094125081</v>
      </c>
      <c r="R37">
        <f t="shared" ca="1" si="8"/>
        <v>0.56754905014014323</v>
      </c>
      <c r="S37">
        <f t="shared" ca="1" si="8"/>
        <v>0.28807225163500461</v>
      </c>
      <c r="T37">
        <f t="shared" ca="1" si="8"/>
        <v>0.37292372198032564</v>
      </c>
      <c r="V37" s="4">
        <f t="shared" si="6"/>
        <v>42074</v>
      </c>
      <c r="W37" s="5">
        <f t="shared" ca="1" si="5"/>
        <v>0.27359525899912185</v>
      </c>
      <c r="Z37" s="4" t="e">
        <f>IF(Sheet3!$A37="",MATCH("Error",AF37,0),Sheet3!$A37)</f>
        <v>#N/A</v>
      </c>
      <c r="AA37" s="5" t="str">
        <f ca="1">IF(OFFSET(Sheet3!$A$1,0,MATCH(W$1,Sheet3!$1:$1,0)-1,300)="","",OFFSET(Sheet3!$A$1,0,MATCH(W$1,Sheet3!$1:$1,0)-1,300))</f>
        <v/>
      </c>
      <c r="AB37" s="5" t="str">
        <f ca="1">IF(OFFSET(Sheet3!$A$1,0,MATCH(X$1,Sheet3!$1:$1,0)-1,300)="","",OFFSET(Sheet3!$A$1,0,MATCH(X$1,Sheet3!$1:$1,0)-1,300))</f>
        <v/>
      </c>
      <c r="AC37" t="str">
        <f t="shared" ca="1" si="0"/>
        <v/>
      </c>
      <c r="AD37" t="str">
        <f t="shared" ca="1" si="1"/>
        <v/>
      </c>
    </row>
    <row r="38" spans="1:30" x14ac:dyDescent="0.25">
      <c r="A38" s="4">
        <v>42073</v>
      </c>
      <c r="B38">
        <v>0.94799999999999995</v>
      </c>
      <c r="C38" s="5">
        <v>1.3132999999999999</v>
      </c>
      <c r="D38">
        <v>1.7678</v>
      </c>
      <c r="E38">
        <v>2.0247999999999999</v>
      </c>
      <c r="F38">
        <v>2.2450000000000001</v>
      </c>
      <c r="G38">
        <v>2.5964999999999998</v>
      </c>
      <c r="H38">
        <f t="shared" ca="1" si="9"/>
        <v>0.42208395245170888</v>
      </c>
      <c r="I38">
        <f t="shared" ca="1" si="9"/>
        <v>0.35042405551272171</v>
      </c>
      <c r="J38">
        <f t="shared" ca="1" si="9"/>
        <v>0.27570518653321213</v>
      </c>
      <c r="K38">
        <f t="shared" ca="1" si="9"/>
        <v>0.19814957594448718</v>
      </c>
      <c r="L38">
        <f t="shared" ca="1" si="9"/>
        <v>0.15589930239611763</v>
      </c>
      <c r="M38">
        <f t="shared" ca="1" si="9"/>
        <v>0.27583986261672194</v>
      </c>
      <c r="N38">
        <f t="shared" ca="1" si="9"/>
        <v>0.20028054862842887</v>
      </c>
      <c r="O38">
        <f t="shared" ca="1" si="9"/>
        <v>0.13357597816196554</v>
      </c>
      <c r="P38">
        <f t="shared" ca="1" si="9"/>
        <v>0.17160224438902758</v>
      </c>
      <c r="Q38">
        <f t="shared" ca="1" si="9"/>
        <v>0.26571738868106703</v>
      </c>
      <c r="R38">
        <f t="shared" ca="1" si="8"/>
        <v>0.56518046709129532</v>
      </c>
      <c r="S38">
        <f t="shared" ca="1" si="8"/>
        <v>0.28947528055808319</v>
      </c>
      <c r="T38">
        <f t="shared" ca="1" si="8"/>
        <v>0.37188279301745647</v>
      </c>
      <c r="V38" s="4">
        <f t="shared" si="6"/>
        <v>42073</v>
      </c>
      <c r="W38" s="5">
        <f t="shared" ca="1" si="5"/>
        <v>0.27583986261672194</v>
      </c>
      <c r="Z38" s="4" t="e">
        <f>IF(Sheet3!$A38="",MATCH("Error",AF38,0),Sheet3!$A38)</f>
        <v>#N/A</v>
      </c>
      <c r="AA38" s="5" t="str">
        <f ca="1">IF(OFFSET(Sheet3!$A$1,0,MATCH(W$1,Sheet3!$1:$1,0)-1,300)="","",OFFSET(Sheet3!$A$1,0,MATCH(W$1,Sheet3!$1:$1,0)-1,300))</f>
        <v/>
      </c>
      <c r="AB38" s="5" t="str">
        <f ca="1">IF(OFFSET(Sheet3!$A$1,0,MATCH(X$1,Sheet3!$1:$1,0)-1,300)="","",OFFSET(Sheet3!$A$1,0,MATCH(X$1,Sheet3!$1:$1,0)-1,300))</f>
        <v/>
      </c>
      <c r="AC38" t="str">
        <f t="shared" ca="1" si="0"/>
        <v/>
      </c>
      <c r="AD38" t="str">
        <f t="shared" ca="1" si="1"/>
        <v/>
      </c>
    </row>
    <row r="39" spans="1:30" x14ac:dyDescent="0.25">
      <c r="A39" s="4">
        <v>42072</v>
      </c>
      <c r="B39">
        <v>0.96</v>
      </c>
      <c r="C39" s="5">
        <v>1.3294999999999999</v>
      </c>
      <c r="D39">
        <v>1.8008</v>
      </c>
      <c r="E39">
        <v>2.0695000000000001</v>
      </c>
      <c r="F39">
        <v>2.2984999999999998</v>
      </c>
      <c r="G39">
        <v>2.6741000000000001</v>
      </c>
      <c r="H39">
        <f t="shared" ca="1" si="9"/>
        <v>0.42478593961243805</v>
      </c>
      <c r="I39">
        <f t="shared" ca="1" si="9"/>
        <v>0.35211057153530079</v>
      </c>
      <c r="J39">
        <f t="shared" ca="1" si="9"/>
        <v>0.27495478676856661</v>
      </c>
      <c r="K39">
        <f t="shared" ca="1" si="9"/>
        <v>0.20074710496824819</v>
      </c>
      <c r="L39">
        <f t="shared" ca="1" si="9"/>
        <v>0.15675864885362589</v>
      </c>
      <c r="M39">
        <f t="shared" ca="1" si="9"/>
        <v>0.27729618163054714</v>
      </c>
      <c r="N39">
        <f t="shared" ca="1" si="9"/>
        <v>0.19983638256730635</v>
      </c>
      <c r="O39">
        <f t="shared" ca="1" si="9"/>
        <v>0.1335978064290296</v>
      </c>
      <c r="P39">
        <f t="shared" ca="1" si="9"/>
        <v>0.17031087312211782</v>
      </c>
      <c r="Q39">
        <f t="shared" ca="1" si="9"/>
        <v>0.2622237489980529</v>
      </c>
      <c r="R39">
        <f t="shared" ca="1" si="8"/>
        <v>0.56531124205122207</v>
      </c>
      <c r="S39">
        <f t="shared" ca="1" si="8"/>
        <v>0.29035645528265547</v>
      </c>
      <c r="T39">
        <f t="shared" ca="1" si="8"/>
        <v>0.37014725568942414</v>
      </c>
      <c r="V39" s="4">
        <f t="shared" si="6"/>
        <v>42072</v>
      </c>
      <c r="W39" s="5">
        <f t="shared" ca="1" si="5"/>
        <v>0.27729618163054714</v>
      </c>
      <c r="Z39" s="4" t="e">
        <f>IF(Sheet3!$A39="",MATCH("Error",AF39,0),Sheet3!$A39)</f>
        <v>#N/A</v>
      </c>
      <c r="AA39" s="5" t="str">
        <f ca="1">IF(OFFSET(Sheet3!$A$1,0,MATCH(W$1,Sheet3!$1:$1,0)-1,300)="","",OFFSET(Sheet3!$A$1,0,MATCH(W$1,Sheet3!$1:$1,0)-1,300))</f>
        <v/>
      </c>
      <c r="AB39" s="5" t="str">
        <f ca="1">IF(OFFSET(Sheet3!$A$1,0,MATCH(X$1,Sheet3!$1:$1,0)-1,300)="","",OFFSET(Sheet3!$A$1,0,MATCH(X$1,Sheet3!$1:$1,0)-1,300))</f>
        <v/>
      </c>
      <c r="AC39" t="str">
        <f t="shared" ca="1" si="0"/>
        <v/>
      </c>
      <c r="AD39" t="str">
        <f t="shared" ca="1" si="1"/>
        <v/>
      </c>
    </row>
    <row r="40" spans="1:30" x14ac:dyDescent="0.25">
      <c r="A40" s="4">
        <v>42069</v>
      </c>
      <c r="B40">
        <v>0.98250000000000004</v>
      </c>
      <c r="C40" s="5">
        <v>1.365</v>
      </c>
      <c r="D40">
        <v>1.8485</v>
      </c>
      <c r="E40">
        <v>2.1230000000000002</v>
      </c>
      <c r="F40">
        <v>2.3578000000000001</v>
      </c>
      <c r="G40">
        <v>2.7233000000000001</v>
      </c>
      <c r="H40">
        <f t="shared" ca="1" si="9"/>
        <v>0.42393686979394996</v>
      </c>
      <c r="I40">
        <f t="shared" ca="1" si="9"/>
        <v>0.3515596597106086</v>
      </c>
      <c r="J40">
        <f t="shared" ca="1" si="9"/>
        <v>0.27774586397058826</v>
      </c>
      <c r="K40">
        <f t="shared" ca="1" si="9"/>
        <v>0.19959281611284821</v>
      </c>
      <c r="L40">
        <f t="shared" ca="1" si="9"/>
        <v>0.15768612132352952</v>
      </c>
      <c r="M40">
        <f t="shared" ca="1" si="9"/>
        <v>0.27649073327961338</v>
      </c>
      <c r="N40">
        <f t="shared" ca="1" si="9"/>
        <v>0.20209084885518677</v>
      </c>
      <c r="O40">
        <f t="shared" ca="1" si="9"/>
        <v>0.13488051470588228</v>
      </c>
      <c r="P40">
        <f t="shared" ca="1" si="9"/>
        <v>0.17286313774571146</v>
      </c>
      <c r="Q40">
        <f t="shared" ca="1" si="9"/>
        <v>0.2684042066758115</v>
      </c>
      <c r="R40">
        <f t="shared" ca="1" si="8"/>
        <v>0.5703125</v>
      </c>
      <c r="S40">
        <f t="shared" ca="1" si="8"/>
        <v>0.2925666360294118</v>
      </c>
      <c r="T40">
        <f t="shared" ca="1" si="8"/>
        <v>0.37495398660089824</v>
      </c>
      <c r="V40" s="4">
        <f t="shared" si="6"/>
        <v>42069</v>
      </c>
      <c r="W40" s="5">
        <f t="shared" ca="1" si="5"/>
        <v>0.27649073327961338</v>
      </c>
      <c r="Z40" s="4" t="e">
        <f>IF(Sheet3!$A40="",MATCH("Error",AF40,0),Sheet3!$A40)</f>
        <v>#N/A</v>
      </c>
      <c r="AA40" s="5" t="str">
        <f ca="1">IF(OFFSET(Sheet3!$A$1,0,MATCH(W$1,Sheet3!$1:$1,0)-1,300)="","",OFFSET(Sheet3!$A$1,0,MATCH(W$1,Sheet3!$1:$1,0)-1,300))</f>
        <v/>
      </c>
      <c r="AB40" s="5" t="str">
        <f ca="1">IF(OFFSET(Sheet3!$A$1,0,MATCH(X$1,Sheet3!$1:$1,0)-1,300)="","",OFFSET(Sheet3!$A$1,0,MATCH(X$1,Sheet3!$1:$1,0)-1,300))</f>
        <v/>
      </c>
      <c r="AC40" t="str">
        <f t="shared" ca="1" si="0"/>
        <v/>
      </c>
      <c r="AD40" t="str">
        <f t="shared" ca="1" si="1"/>
        <v/>
      </c>
    </row>
    <row r="41" spans="1:30" x14ac:dyDescent="0.25">
      <c r="A41" s="4">
        <v>42068</v>
      </c>
      <c r="B41">
        <v>0.8972</v>
      </c>
      <c r="C41" s="5">
        <v>1.2570000000000001</v>
      </c>
      <c r="D41">
        <v>1.7292999999999998</v>
      </c>
      <c r="E41">
        <v>2.0019999999999998</v>
      </c>
      <c r="F41">
        <v>2.2389999999999999</v>
      </c>
      <c r="G41">
        <v>2.6183999999999998</v>
      </c>
      <c r="H41">
        <f t="shared" ca="1" si="9"/>
        <v>0.42749818971759579</v>
      </c>
      <c r="I41">
        <f t="shared" ca="1" si="9"/>
        <v>0.35198986436130553</v>
      </c>
      <c r="J41">
        <f t="shared" ca="1" si="9"/>
        <v>0.2744015802928188</v>
      </c>
      <c r="K41">
        <f t="shared" ca="1" si="9"/>
        <v>0.20323446117156058</v>
      </c>
      <c r="L41">
        <f t="shared" ca="1" si="9"/>
        <v>0.15843597490123168</v>
      </c>
      <c r="M41">
        <f t="shared" ca="1" si="9"/>
        <v>0.27769857433808554</v>
      </c>
      <c r="N41">
        <f t="shared" ca="1" si="9"/>
        <v>0.2003085059497576</v>
      </c>
      <c r="O41">
        <f t="shared" ca="1" si="9"/>
        <v>0.13769463165233564</v>
      </c>
      <c r="P41">
        <f t="shared" ca="1" si="9"/>
        <v>0.17408550022036151</v>
      </c>
      <c r="Q41">
        <f t="shared" ca="1" si="9"/>
        <v>0.26656169159824555</v>
      </c>
      <c r="R41">
        <f t="shared" ca="1" si="8"/>
        <v>0.57053218684638618</v>
      </c>
      <c r="S41">
        <f t="shared" ca="1" si="8"/>
        <v>0.29613060655356732</v>
      </c>
      <c r="T41">
        <f t="shared" ca="1" si="8"/>
        <v>0.37439400617011909</v>
      </c>
      <c r="V41" s="4">
        <f t="shared" si="6"/>
        <v>42068</v>
      </c>
      <c r="W41" s="5">
        <f t="shared" ca="1" si="5"/>
        <v>0.27769857433808554</v>
      </c>
      <c r="Z41" s="4" t="e">
        <f>IF(Sheet3!$A41="",MATCH("Error",AF41,0),Sheet3!$A41)</f>
        <v>#N/A</v>
      </c>
      <c r="AA41" s="5" t="str">
        <f ca="1">IF(OFFSET(Sheet3!$A$1,0,MATCH(W$1,Sheet3!$1:$1,0)-1,300)="","",OFFSET(Sheet3!$A$1,0,MATCH(W$1,Sheet3!$1:$1,0)-1,300))</f>
        <v/>
      </c>
      <c r="AB41" s="5" t="str">
        <f ca="1">IF(OFFSET(Sheet3!$A$1,0,MATCH(X$1,Sheet3!$1:$1,0)-1,300)="","",OFFSET(Sheet3!$A$1,0,MATCH(X$1,Sheet3!$1:$1,0)-1,300))</f>
        <v/>
      </c>
      <c r="AC41" t="str">
        <f t="shared" ca="1" si="0"/>
        <v/>
      </c>
      <c r="AD41" t="str">
        <f t="shared" ca="1" si="1"/>
        <v/>
      </c>
    </row>
    <row r="42" spans="1:30" x14ac:dyDescent="0.25">
      <c r="A42" s="4">
        <v>42067</v>
      </c>
      <c r="B42">
        <v>0.90249999999999997</v>
      </c>
      <c r="C42" s="5">
        <v>1.266</v>
      </c>
      <c r="D42">
        <v>1.736</v>
      </c>
      <c r="E42">
        <v>2.0045000000000002</v>
      </c>
      <c r="F42">
        <v>2.2395</v>
      </c>
      <c r="G42">
        <v>2.6105</v>
      </c>
      <c r="H42">
        <f t="shared" ca="1" si="9"/>
        <v>0.42649727767695084</v>
      </c>
      <c r="I42">
        <f t="shared" ca="1" si="9"/>
        <v>0.35153328347045615</v>
      </c>
      <c r="J42">
        <f t="shared" ca="1" si="9"/>
        <v>0.27517564402810302</v>
      </c>
      <c r="K42">
        <f t="shared" ca="1" si="9"/>
        <v>0.20082273747195223</v>
      </c>
      <c r="L42">
        <f t="shared" ca="1" si="9"/>
        <v>0.15720140515222492</v>
      </c>
      <c r="M42">
        <f t="shared" ca="1" si="9"/>
        <v>0.27580893682588614</v>
      </c>
      <c r="N42">
        <f t="shared" ca="1" si="9"/>
        <v>0.19970249163257731</v>
      </c>
      <c r="O42">
        <f t="shared" ca="1" si="9"/>
        <v>0.13758782201405143</v>
      </c>
      <c r="P42">
        <f t="shared" ca="1" si="9"/>
        <v>0.17478616586091475</v>
      </c>
      <c r="Q42">
        <f t="shared" ca="1" si="9"/>
        <v>0.26872498570611764</v>
      </c>
      <c r="R42">
        <f t="shared" ca="1" si="8"/>
        <v>0.56996487119437933</v>
      </c>
      <c r="S42">
        <f t="shared" ca="1" si="8"/>
        <v>0.29478922716627637</v>
      </c>
      <c r="T42">
        <f t="shared" ca="1" si="8"/>
        <v>0.37448865749349203</v>
      </c>
      <c r="V42" s="4">
        <f t="shared" si="6"/>
        <v>42067</v>
      </c>
      <c r="W42" s="5">
        <f t="shared" ca="1" si="5"/>
        <v>0.27580893682588614</v>
      </c>
      <c r="Z42" s="4" t="e">
        <f>IF(Sheet3!$A42="",MATCH("Error",AF42,0),Sheet3!$A42)</f>
        <v>#N/A</v>
      </c>
      <c r="AA42" s="5" t="str">
        <f ca="1">IF(OFFSET(Sheet3!$A$1,0,MATCH(W$1,Sheet3!$1:$1,0)-1,300)="","",OFFSET(Sheet3!$A$1,0,MATCH(W$1,Sheet3!$1:$1,0)-1,300))</f>
        <v/>
      </c>
      <c r="AB42" s="5" t="str">
        <f ca="1">IF(OFFSET(Sheet3!$A$1,0,MATCH(X$1,Sheet3!$1:$1,0)-1,300)="","",OFFSET(Sheet3!$A$1,0,MATCH(X$1,Sheet3!$1:$1,0)-1,300))</f>
        <v/>
      </c>
      <c r="AC42" t="str">
        <f t="shared" ca="1" si="0"/>
        <v/>
      </c>
      <c r="AD42" t="str">
        <f t="shared" ca="1" si="1"/>
        <v/>
      </c>
    </row>
    <row r="43" spans="1:30" x14ac:dyDescent="0.25">
      <c r="A43" s="4">
        <v>42066</v>
      </c>
      <c r="B43">
        <v>0.92800000000000005</v>
      </c>
      <c r="C43" s="5">
        <v>1.2907999999999999</v>
      </c>
      <c r="D43">
        <v>1.7545999999999999</v>
      </c>
      <c r="E43">
        <v>2.0137999999999998</v>
      </c>
      <c r="F43">
        <v>2.2399</v>
      </c>
      <c r="G43">
        <v>2.6040000000000001</v>
      </c>
      <c r="H43">
        <f t="shared" ref="H43:Q52" ca="1" si="10">IF(ISERROR(ABS(OFFSET($A$11,ROW()-11,MATCH(LEFT(H$9,2),$A$11:$G$11,0)-1)-OFFSET($A$11,ROW()-11,MATCH(RIGHT(H$9,2),$A$11:$G$11,0)-1))/ABS(OFFSET($A$11,ROW()-11,MATCH(LEFT(H$10,2),$A$11:$G$11,0)-1)-OFFSET($A$11,ROW()-11,MATCH(RIGHT(H$10,2),$A$11:$G$11,0)-1))),"",ABS(OFFSET($A$11,ROW()-11,MATCH(LEFT(H$9,2),$A$11:$G$11,0)-1)-OFFSET($A$11,ROW()-11,MATCH(RIGHT(H$9,2),$A$11:$G$11,0)-1))/ABS(OFFSET($A$11,ROW()-11,MATCH(LEFT(H$10,2),$A$11:$G$11,0)-1)-OFFSET($A$11,ROW()-11,MATCH(RIGHT(H$10,2),$A$11:$G$11,0)-1)))</f>
        <v>0.42715048811935902</v>
      </c>
      <c r="I43">
        <f t="shared" ca="1" si="10"/>
        <v>0.35353304367710953</v>
      </c>
      <c r="J43">
        <f t="shared" ca="1" si="10"/>
        <v>0.27673031026252981</v>
      </c>
      <c r="K43">
        <f t="shared" ca="1" si="10"/>
        <v>0.19757603475874674</v>
      </c>
      <c r="L43">
        <f t="shared" ca="1" si="10"/>
        <v>0.15465393794749394</v>
      </c>
      <c r="M43">
        <f t="shared" ca="1" si="10"/>
        <v>0.27310083236750593</v>
      </c>
      <c r="N43">
        <f t="shared" ca="1" si="10"/>
        <v>0.19738044471519939</v>
      </c>
      <c r="O43">
        <f t="shared" ca="1" si="10"/>
        <v>0.13490453460620536</v>
      </c>
      <c r="P43">
        <f t="shared" ca="1" si="10"/>
        <v>0.17217484008528797</v>
      </c>
      <c r="Q43">
        <f t="shared" ca="1" si="10"/>
        <v>0.26618789733929848</v>
      </c>
      <c r="R43">
        <f t="shared" ca="1" si="8"/>
        <v>0.56628878281622907</v>
      </c>
      <c r="S43">
        <f t="shared" ca="1" si="8"/>
        <v>0.28955847255369932</v>
      </c>
      <c r="T43">
        <f t="shared" ca="1" si="8"/>
        <v>0.36955528480048738</v>
      </c>
      <c r="V43" s="4">
        <f t="shared" si="6"/>
        <v>42066</v>
      </c>
      <c r="W43" s="5">
        <f t="shared" ca="1" si="5"/>
        <v>0.27310083236750593</v>
      </c>
      <c r="Z43" s="4" t="e">
        <f>IF(Sheet3!$A43="",MATCH("Error",AF43,0),Sheet3!$A43)</f>
        <v>#N/A</v>
      </c>
      <c r="AA43" s="5" t="str">
        <f ca="1">IF(OFFSET(Sheet3!$A$1,0,MATCH(W$1,Sheet3!$1:$1,0)-1,300)="","",OFFSET(Sheet3!$A$1,0,MATCH(W$1,Sheet3!$1:$1,0)-1,300))</f>
        <v/>
      </c>
      <c r="AB43" s="5" t="str">
        <f ca="1">IF(OFFSET(Sheet3!$A$1,0,MATCH(X$1,Sheet3!$1:$1,0)-1,300)="","",OFFSET(Sheet3!$A$1,0,MATCH(X$1,Sheet3!$1:$1,0)-1,300))</f>
        <v/>
      </c>
      <c r="AC43" t="str">
        <f t="shared" ca="1" si="0"/>
        <v/>
      </c>
      <c r="AD43" t="str">
        <f t="shared" ca="1" si="1"/>
        <v/>
      </c>
    </row>
    <row r="44" spans="1:30" x14ac:dyDescent="0.25">
      <c r="A44" s="4">
        <v>42065</v>
      </c>
      <c r="B44">
        <v>0.91300000000000003</v>
      </c>
      <c r="C44" s="5">
        <v>1.2701</v>
      </c>
      <c r="D44">
        <v>1.7214</v>
      </c>
      <c r="E44">
        <v>1.9798</v>
      </c>
      <c r="F44">
        <v>2.206</v>
      </c>
      <c r="G44">
        <v>2.5733000000000001</v>
      </c>
      <c r="H44">
        <f t="shared" ca="1" si="10"/>
        <v>0.42304086989126366</v>
      </c>
      <c r="I44">
        <f t="shared" ca="1" si="10"/>
        <v>0.34903325599381291</v>
      </c>
      <c r="J44">
        <f t="shared" ca="1" si="10"/>
        <v>0.27181834608203337</v>
      </c>
      <c r="K44">
        <f t="shared" ca="1" si="10"/>
        <v>0.19984532095901003</v>
      </c>
      <c r="L44">
        <f t="shared" ca="1" si="10"/>
        <v>0.15563452388122626</v>
      </c>
      <c r="M44">
        <f t="shared" ca="1" si="10"/>
        <v>0.2760978737044556</v>
      </c>
      <c r="N44">
        <f t="shared" ca="1" si="10"/>
        <v>0.19828115408225899</v>
      </c>
      <c r="O44">
        <f t="shared" ca="1" si="10"/>
        <v>0.13624043847497436</v>
      </c>
      <c r="P44">
        <f t="shared" ca="1" si="10"/>
        <v>0.17357274401473291</v>
      </c>
      <c r="Q44">
        <f t="shared" ca="1" si="10"/>
        <v>0.26552412254959495</v>
      </c>
      <c r="R44">
        <f t="shared" ca="1" si="8"/>
        <v>0.56369330843823395</v>
      </c>
      <c r="S44">
        <f t="shared" ca="1" si="8"/>
        <v>0.29187496235620064</v>
      </c>
      <c r="T44">
        <f t="shared" ca="1" si="8"/>
        <v>0.37185389809699193</v>
      </c>
      <c r="V44" s="4">
        <f t="shared" si="6"/>
        <v>42065</v>
      </c>
      <c r="W44" s="5">
        <f t="shared" ca="1" si="5"/>
        <v>0.2760978737044556</v>
      </c>
      <c r="Z44" s="4" t="e">
        <f>IF(Sheet3!$A44="",MATCH("Error",AF44,0),Sheet3!$A44)</f>
        <v>#N/A</v>
      </c>
      <c r="AA44" s="5" t="str">
        <f ca="1">IF(OFFSET(Sheet3!$A$1,0,MATCH(W$1,Sheet3!$1:$1,0)-1,300)="","",OFFSET(Sheet3!$A$1,0,MATCH(W$1,Sheet3!$1:$1,0)-1,300))</f>
        <v/>
      </c>
      <c r="AB44" s="5" t="str">
        <f ca="1">IF(OFFSET(Sheet3!$A$1,0,MATCH(X$1,Sheet3!$1:$1,0)-1,300)="","",OFFSET(Sheet3!$A$1,0,MATCH(X$1,Sheet3!$1:$1,0)-1,300))</f>
        <v/>
      </c>
      <c r="AC44" t="str">
        <f t="shared" ca="1" si="0"/>
        <v/>
      </c>
      <c r="AD44" t="str">
        <f t="shared" ca="1" si="1"/>
        <v/>
      </c>
    </row>
    <row r="45" spans="1:30" x14ac:dyDescent="0.25">
      <c r="A45" s="4">
        <v>42062</v>
      </c>
      <c r="B45">
        <v>0.87549999999999994</v>
      </c>
      <c r="C45" s="5">
        <v>1.2202999999999999</v>
      </c>
      <c r="D45">
        <v>1.6496</v>
      </c>
      <c r="E45">
        <v>1.8999000000000001</v>
      </c>
      <c r="F45">
        <v>2.1202999999999999</v>
      </c>
      <c r="G45">
        <v>2.484</v>
      </c>
      <c r="H45">
        <f t="shared" ca="1" si="10"/>
        <v>0.41907458024209288</v>
      </c>
      <c r="I45">
        <f t="shared" ca="1" si="10"/>
        <v>0.34487467866323912</v>
      </c>
      <c r="J45">
        <f t="shared" ca="1" si="10"/>
        <v>0.26689462231893069</v>
      </c>
      <c r="K45">
        <f t="shared" ca="1" si="10"/>
        <v>0.20107647814910043</v>
      </c>
      <c r="L45">
        <f t="shared" ca="1" si="10"/>
        <v>0.15561081753186209</v>
      </c>
      <c r="M45">
        <f t="shared" ca="1" si="10"/>
        <v>0.27811111111111136</v>
      </c>
      <c r="N45">
        <f t="shared" ca="1" si="10"/>
        <v>0.19806916198464838</v>
      </c>
      <c r="O45">
        <f t="shared" ca="1" si="10"/>
        <v>0.1370220702517872</v>
      </c>
      <c r="P45">
        <f t="shared" ca="1" si="10"/>
        <v>0.17440848302603443</v>
      </c>
      <c r="Q45">
        <f t="shared" ca="1" si="10"/>
        <v>0.26414189837008595</v>
      </c>
      <c r="R45">
        <f t="shared" ca="1" si="8"/>
        <v>0.55952751010257995</v>
      </c>
      <c r="S45">
        <f t="shared" ca="1" si="8"/>
        <v>0.29263288778364926</v>
      </c>
      <c r="T45">
        <f t="shared" ca="1" si="8"/>
        <v>0.37247764501068281</v>
      </c>
      <c r="V45" s="4">
        <f t="shared" si="6"/>
        <v>42062</v>
      </c>
      <c r="W45" s="5">
        <f t="shared" ca="1" si="5"/>
        <v>0.27811111111111136</v>
      </c>
      <c r="Z45" s="4" t="e">
        <f>IF(Sheet3!$A45="",MATCH("Error",AF45,0),Sheet3!$A45)</f>
        <v>#N/A</v>
      </c>
      <c r="AA45" s="5" t="str">
        <f ca="1">IF(OFFSET(Sheet3!$A$1,0,MATCH(W$1,Sheet3!$1:$1,0)-1,300)="","",OFFSET(Sheet3!$A$1,0,MATCH(W$1,Sheet3!$1:$1,0)-1,300))</f>
        <v/>
      </c>
      <c r="AB45" s="5" t="str">
        <f ca="1">IF(OFFSET(Sheet3!$A$1,0,MATCH(X$1,Sheet3!$1:$1,0)-1,300)="","",OFFSET(Sheet3!$A$1,0,MATCH(X$1,Sheet3!$1:$1,0)-1,300))</f>
        <v/>
      </c>
      <c r="AC45" t="str">
        <f t="shared" ca="1" si="0"/>
        <v/>
      </c>
      <c r="AD45" t="str">
        <f t="shared" ca="1" si="1"/>
        <v/>
      </c>
    </row>
    <row r="46" spans="1:30" x14ac:dyDescent="0.25">
      <c r="A46" s="4">
        <v>42061</v>
      </c>
      <c r="B46">
        <v>0.89229999999999998</v>
      </c>
      <c r="C46" s="5">
        <v>1.2415</v>
      </c>
      <c r="D46">
        <v>1.6863000000000001</v>
      </c>
      <c r="E46">
        <v>1.9365000000000001</v>
      </c>
      <c r="F46">
        <v>2.1573000000000002</v>
      </c>
      <c r="G46">
        <v>2.5272999999999999</v>
      </c>
      <c r="H46">
        <f t="shared" ca="1" si="10"/>
        <v>0.42597203600842759</v>
      </c>
      <c r="I46">
        <f t="shared" ca="1" si="10"/>
        <v>0.35162055335968384</v>
      </c>
      <c r="J46">
        <f t="shared" ca="1" si="10"/>
        <v>0.27204892966360866</v>
      </c>
      <c r="K46">
        <f t="shared" ca="1" si="10"/>
        <v>0.19778656126482211</v>
      </c>
      <c r="L46">
        <f t="shared" ca="1" si="10"/>
        <v>0.15302752293577981</v>
      </c>
      <c r="M46">
        <f t="shared" ca="1" si="10"/>
        <v>0.27320375627866339</v>
      </c>
      <c r="N46">
        <f t="shared" ca="1" si="10"/>
        <v>0.1945870275314979</v>
      </c>
      <c r="O46">
        <f t="shared" ca="1" si="10"/>
        <v>0.1350458715596331</v>
      </c>
      <c r="P46">
        <f t="shared" ca="1" si="10"/>
        <v>0.17172188520765294</v>
      </c>
      <c r="Q46">
        <f t="shared" ca="1" si="10"/>
        <v>0.26254458977407868</v>
      </c>
      <c r="R46">
        <f t="shared" ca="1" si="8"/>
        <v>0.56012232415902163</v>
      </c>
      <c r="S46">
        <f t="shared" ca="1" si="8"/>
        <v>0.28807339449541292</v>
      </c>
      <c r="T46">
        <f t="shared" ca="1" si="8"/>
        <v>0.36630891273915084</v>
      </c>
      <c r="V46" s="4">
        <f t="shared" si="6"/>
        <v>42061</v>
      </c>
      <c r="W46" s="5">
        <f t="shared" ca="1" si="5"/>
        <v>0.27320375627866339</v>
      </c>
      <c r="Z46" s="4" t="e">
        <f>IF(Sheet3!$A46="",MATCH("Error",AF46,0),Sheet3!$A46)</f>
        <v>#N/A</v>
      </c>
      <c r="AA46" s="5" t="str">
        <f ca="1">IF(OFFSET(Sheet3!$A$1,0,MATCH(W$1,Sheet3!$1:$1,0)-1,300)="","",OFFSET(Sheet3!$A$1,0,MATCH(W$1,Sheet3!$1:$1,0)-1,300))</f>
        <v/>
      </c>
      <c r="AB46" s="5" t="str">
        <f ca="1">IF(OFFSET(Sheet3!$A$1,0,MATCH(X$1,Sheet3!$1:$1,0)-1,300)="","",OFFSET(Sheet3!$A$1,0,MATCH(X$1,Sheet3!$1:$1,0)-1,300))</f>
        <v/>
      </c>
      <c r="AC46" t="str">
        <f t="shared" ca="1" si="0"/>
        <v/>
      </c>
      <c r="AD46" t="str">
        <f t="shared" ca="1" si="1"/>
        <v/>
      </c>
    </row>
    <row r="47" spans="1:30" x14ac:dyDescent="0.25">
      <c r="A47" s="4">
        <v>42060</v>
      </c>
      <c r="B47">
        <v>0.84830000000000005</v>
      </c>
      <c r="C47" s="5">
        <v>1.1830000000000001</v>
      </c>
      <c r="D47">
        <v>1.613</v>
      </c>
      <c r="E47">
        <v>1.8708</v>
      </c>
      <c r="F47">
        <v>2.0998000000000001</v>
      </c>
      <c r="G47">
        <v>2.4735</v>
      </c>
      <c r="H47">
        <f t="shared" ca="1" si="10"/>
        <v>0.42053789731051339</v>
      </c>
      <c r="I47">
        <f t="shared" ca="1" si="10"/>
        <v>0.34358769476628037</v>
      </c>
      <c r="J47">
        <f t="shared" ca="1" si="10"/>
        <v>0.26458282057592908</v>
      </c>
      <c r="K47">
        <f t="shared" ca="1" si="10"/>
        <v>0.20599280862964445</v>
      </c>
      <c r="L47">
        <f t="shared" ca="1" si="10"/>
        <v>0.15862663056854542</v>
      </c>
      <c r="M47">
        <f t="shared" ca="1" si="10"/>
        <v>0.281195462478185</v>
      </c>
      <c r="N47">
        <f t="shared" ca="1" si="10"/>
        <v>0.19976753196435493</v>
      </c>
      <c r="O47">
        <f t="shared" ca="1" si="10"/>
        <v>0.14090573467880882</v>
      </c>
      <c r="P47">
        <f t="shared" ca="1" si="10"/>
        <v>0.17745060054242548</v>
      </c>
      <c r="Q47">
        <f t="shared" ca="1" si="10"/>
        <v>0.26612434631028481</v>
      </c>
      <c r="R47">
        <f t="shared" ca="1" si="8"/>
        <v>0.56411518582328335</v>
      </c>
      <c r="S47">
        <f t="shared" ca="1" si="8"/>
        <v>0.29953236524735427</v>
      </c>
      <c r="T47">
        <f t="shared" ca="1" si="8"/>
        <v>0.37721813250678043</v>
      </c>
      <c r="V47" s="4">
        <f t="shared" si="6"/>
        <v>42060</v>
      </c>
      <c r="W47" s="5">
        <f t="shared" ca="1" si="5"/>
        <v>0.281195462478185</v>
      </c>
      <c r="Z47" s="4" t="e">
        <f>IF(Sheet3!$A47="",MATCH("Error",AF47,0),Sheet3!$A47)</f>
        <v>#N/A</v>
      </c>
      <c r="AA47" s="5" t="str">
        <f ca="1">IF(OFFSET(Sheet3!$A$1,0,MATCH(W$1,Sheet3!$1:$1,0)-1,300)="","",OFFSET(Sheet3!$A$1,0,MATCH(W$1,Sheet3!$1:$1,0)-1,300))</f>
        <v/>
      </c>
      <c r="AB47" s="5" t="str">
        <f ca="1">IF(OFFSET(Sheet3!$A$1,0,MATCH(X$1,Sheet3!$1:$1,0)-1,300)="","",OFFSET(Sheet3!$A$1,0,MATCH(X$1,Sheet3!$1:$1,0)-1,300))</f>
        <v/>
      </c>
      <c r="AC47" t="str">
        <f t="shared" ca="1" si="0"/>
        <v/>
      </c>
      <c r="AD47" t="str">
        <f t="shared" ca="1" si="1"/>
        <v/>
      </c>
    </row>
    <row r="48" spans="1:30" x14ac:dyDescent="0.25">
      <c r="A48" s="4">
        <v>42059</v>
      </c>
      <c r="B48">
        <v>0.84450000000000003</v>
      </c>
      <c r="C48" s="5">
        <v>1.1825000000000001</v>
      </c>
      <c r="D48">
        <v>1.6198000000000001</v>
      </c>
      <c r="E48">
        <v>1.8820000000000001</v>
      </c>
      <c r="F48">
        <v>2.1150000000000002</v>
      </c>
      <c r="G48">
        <v>2.4998</v>
      </c>
      <c r="H48">
        <f t="shared" ca="1" si="10"/>
        <v>0.42149397590361443</v>
      </c>
      <c r="I48">
        <f t="shared" ca="1" si="10"/>
        <v>0.34419519874065324</v>
      </c>
      <c r="J48">
        <f t="shared" ca="1" si="10"/>
        <v>0.26418171932580198</v>
      </c>
      <c r="K48">
        <f t="shared" ca="1" si="10"/>
        <v>0.20637544273907907</v>
      </c>
      <c r="L48">
        <f t="shared" ca="1" si="10"/>
        <v>0.15840028997764755</v>
      </c>
      <c r="M48">
        <f t="shared" ca="1" si="10"/>
        <v>0.28117962466487934</v>
      </c>
      <c r="N48">
        <f t="shared" ca="1" si="10"/>
        <v>0.19904349806422228</v>
      </c>
      <c r="O48">
        <f t="shared" ca="1" si="10"/>
        <v>0.14075998308463727</v>
      </c>
      <c r="P48">
        <f t="shared" ca="1" si="10"/>
        <v>0.17687694526683376</v>
      </c>
      <c r="Q48">
        <f t="shared" ca="1" si="10"/>
        <v>0.26477272727272744</v>
      </c>
      <c r="R48">
        <f t="shared" ca="1" si="8"/>
        <v>0.5633419923880868</v>
      </c>
      <c r="S48">
        <f t="shared" ca="1" si="8"/>
        <v>0.29916027306228482</v>
      </c>
      <c r="T48">
        <f t="shared" ca="1" si="8"/>
        <v>0.37592044333105601</v>
      </c>
      <c r="V48" s="4">
        <f t="shared" si="6"/>
        <v>42059</v>
      </c>
      <c r="W48" s="5">
        <f t="shared" ca="1" si="5"/>
        <v>0.28117962466487934</v>
      </c>
      <c r="Z48" s="4" t="e">
        <f>IF(Sheet3!$A48="",MATCH("Error",AF48,0),Sheet3!$A48)</f>
        <v>#N/A</v>
      </c>
      <c r="AA48" s="5" t="str">
        <f ca="1">IF(OFFSET(Sheet3!$A$1,0,MATCH(W$1,Sheet3!$1:$1,0)-1,300)="","",OFFSET(Sheet3!$A$1,0,MATCH(W$1,Sheet3!$1:$1,0)-1,300))</f>
        <v/>
      </c>
      <c r="AB48" s="5" t="str">
        <f ca="1">IF(OFFSET(Sheet3!$A$1,0,MATCH(X$1,Sheet3!$1:$1,0)-1,300)="","",OFFSET(Sheet3!$A$1,0,MATCH(X$1,Sheet3!$1:$1,0)-1,300))</f>
        <v/>
      </c>
      <c r="AC48" t="str">
        <f t="shared" ca="1" si="0"/>
        <v/>
      </c>
      <c r="AD48" t="str">
        <f t="shared" ca="1" si="1"/>
        <v/>
      </c>
    </row>
    <row r="49" spans="1:34" x14ac:dyDescent="0.25">
      <c r="A49" s="4">
        <v>42058</v>
      </c>
      <c r="B49">
        <v>0.89600000000000002</v>
      </c>
      <c r="C49" s="5">
        <v>1.2515000000000001</v>
      </c>
      <c r="D49">
        <v>1.7023999999999999</v>
      </c>
      <c r="E49">
        <v>1.9633</v>
      </c>
      <c r="F49">
        <v>2.1928000000000001</v>
      </c>
      <c r="G49">
        <v>2.5653999999999999</v>
      </c>
      <c r="H49">
        <f t="shared" ca="1" si="10"/>
        <v>0.42246790967862824</v>
      </c>
      <c r="I49">
        <f t="shared" ca="1" si="10"/>
        <v>0.34770203578038233</v>
      </c>
      <c r="J49">
        <f t="shared" ca="1" si="10"/>
        <v>0.27009704085300101</v>
      </c>
      <c r="K49">
        <f t="shared" ca="1" si="10"/>
        <v>0.20118753855644672</v>
      </c>
      <c r="L49">
        <f t="shared" ca="1" si="10"/>
        <v>0.15628369474062545</v>
      </c>
      <c r="M49">
        <f t="shared" ca="1" si="10"/>
        <v>0.27716987145437172</v>
      </c>
      <c r="N49">
        <f t="shared" ca="1" si="10"/>
        <v>0.19856914529264036</v>
      </c>
      <c r="O49">
        <f t="shared" ca="1" si="10"/>
        <v>0.13747454175152751</v>
      </c>
      <c r="P49">
        <f t="shared" ca="1" si="10"/>
        <v>0.17467082730801436</v>
      </c>
      <c r="Q49">
        <f t="shared" ca="1" si="10"/>
        <v>0.26593279258400931</v>
      </c>
      <c r="R49">
        <f t="shared" ca="1" si="8"/>
        <v>0.56385527734515395</v>
      </c>
      <c r="S49">
        <f t="shared" ca="1" si="8"/>
        <v>0.29375823649215299</v>
      </c>
      <c r="T49">
        <f t="shared" ca="1" si="8"/>
        <v>0.37323997260065472</v>
      </c>
      <c r="V49" s="4">
        <f t="shared" si="6"/>
        <v>42058</v>
      </c>
      <c r="W49" s="5">
        <f t="shared" ca="1" si="5"/>
        <v>0.27716987145437172</v>
      </c>
      <c r="Z49" s="4" t="e">
        <f>IF(Sheet3!$A49="",MATCH("Error",AF49,0),Sheet3!$A49)</f>
        <v>#N/A</v>
      </c>
      <c r="AA49" s="5" t="str">
        <f ca="1">IF(OFFSET(Sheet3!$A$1,0,MATCH(W$1,Sheet3!$1:$1,0)-1,300)="","",OFFSET(Sheet3!$A$1,0,MATCH(W$1,Sheet3!$1:$1,0)-1,300))</f>
        <v/>
      </c>
      <c r="AB49" s="5" t="str">
        <f ca="1">IF(OFFSET(Sheet3!$A$1,0,MATCH(X$1,Sheet3!$1:$1,0)-1,300)="","",OFFSET(Sheet3!$A$1,0,MATCH(X$1,Sheet3!$1:$1,0)-1,300))</f>
        <v/>
      </c>
      <c r="AC49" t="str">
        <f t="shared" ca="1" si="0"/>
        <v/>
      </c>
      <c r="AD49" t="str">
        <f t="shared" ca="1" si="1"/>
        <v/>
      </c>
    </row>
    <row r="50" spans="1:34" x14ac:dyDescent="0.25">
      <c r="A50" s="4">
        <v>42055</v>
      </c>
      <c r="B50">
        <v>0.91700000000000004</v>
      </c>
      <c r="C50" s="5">
        <v>1.2823</v>
      </c>
      <c r="D50">
        <v>1.7455000000000001</v>
      </c>
      <c r="E50">
        <v>2.0114999999999998</v>
      </c>
      <c r="F50">
        <v>2.2422</v>
      </c>
      <c r="G50">
        <v>2.613</v>
      </c>
      <c r="H50">
        <f t="shared" ca="1" si="10"/>
        <v>0.42320694380995899</v>
      </c>
      <c r="I50">
        <f t="shared" ca="1" si="10"/>
        <v>0.34953214609115613</v>
      </c>
      <c r="J50">
        <f t="shared" ca="1" si="10"/>
        <v>0.27311320754716983</v>
      </c>
      <c r="K50">
        <f t="shared" ca="1" si="10"/>
        <v>0.2007244189556292</v>
      </c>
      <c r="L50">
        <f t="shared" ca="1" si="10"/>
        <v>0.1568396226415093</v>
      </c>
      <c r="M50">
        <f t="shared" ca="1" si="10"/>
        <v>0.27711219918741514</v>
      </c>
      <c r="N50">
        <f t="shared" ca="1" si="10"/>
        <v>0.19989479221462372</v>
      </c>
      <c r="O50">
        <f t="shared" ca="1" si="10"/>
        <v>0.13602594339622651</v>
      </c>
      <c r="P50">
        <f t="shared" ca="1" si="10"/>
        <v>0.17336740061621714</v>
      </c>
      <c r="Q50">
        <f t="shared" ca="1" si="10"/>
        <v>0.26593659942363129</v>
      </c>
      <c r="R50">
        <f t="shared" ca="1" si="8"/>
        <v>0.56597877358490567</v>
      </c>
      <c r="S50">
        <f t="shared" ca="1" si="8"/>
        <v>0.29286556603773584</v>
      </c>
      <c r="T50">
        <f t="shared" ca="1" si="8"/>
        <v>0.37326219283084083</v>
      </c>
      <c r="V50" s="4">
        <f t="shared" si="6"/>
        <v>42055</v>
      </c>
      <c r="W50" s="5">
        <f t="shared" ca="1" si="5"/>
        <v>0.27711219918741514</v>
      </c>
      <c r="Z50" s="4" t="e">
        <f>IF(Sheet3!$A50="",MATCH("Error",AF50,0),Sheet3!$A50)</f>
        <v>#N/A</v>
      </c>
      <c r="AA50" s="5" t="str">
        <f ca="1">IF(OFFSET(Sheet3!$A$1,0,MATCH(W$1,Sheet3!$1:$1,0)-1,300)="","",OFFSET(Sheet3!$A$1,0,MATCH(W$1,Sheet3!$1:$1,0)-1,300))</f>
        <v/>
      </c>
      <c r="AB50" s="5" t="str">
        <f ca="1">IF(OFFSET(Sheet3!$A$1,0,MATCH(X$1,Sheet3!$1:$1,0)-1,300)="","",OFFSET(Sheet3!$A$1,0,MATCH(X$1,Sheet3!$1:$1,0)-1,300))</f>
        <v/>
      </c>
      <c r="AC50" t="str">
        <f t="shared" ca="1" si="0"/>
        <v/>
      </c>
      <c r="AD50" t="str">
        <f t="shared" ca="1" si="1"/>
        <v/>
      </c>
    </row>
    <row r="51" spans="1:34" x14ac:dyDescent="0.25">
      <c r="A51" s="4">
        <v>42054</v>
      </c>
      <c r="B51">
        <v>0.90749999999999997</v>
      </c>
      <c r="C51" s="5">
        <v>1.2713999999999999</v>
      </c>
      <c r="D51">
        <v>1.7404999999999999</v>
      </c>
      <c r="E51">
        <v>2.0099</v>
      </c>
      <c r="F51">
        <v>2.2469999999999999</v>
      </c>
      <c r="G51">
        <v>2.6374</v>
      </c>
      <c r="H51">
        <f t="shared" ca="1" si="10"/>
        <v>0.42552612481857771</v>
      </c>
      <c r="I51">
        <f t="shared" ca="1" si="10"/>
        <v>0.35020530048525578</v>
      </c>
      <c r="J51">
        <f t="shared" ca="1" si="10"/>
        <v>0.27117174403144695</v>
      </c>
      <c r="K51">
        <f t="shared" ca="1" si="10"/>
        <v>0.2011198208286675</v>
      </c>
      <c r="L51">
        <f t="shared" ca="1" si="10"/>
        <v>0.15573154517602178</v>
      </c>
      <c r="M51">
        <f t="shared" ca="1" si="10"/>
        <v>0.27613776137761387</v>
      </c>
      <c r="N51">
        <f t="shared" ca="1" si="10"/>
        <v>0.19721815519765745</v>
      </c>
      <c r="O51">
        <f t="shared" ca="1" si="10"/>
        <v>0.13705994566159885</v>
      </c>
      <c r="P51">
        <f t="shared" ca="1" si="10"/>
        <v>0.17357247437774512</v>
      </c>
      <c r="Q51">
        <f t="shared" ca="1" si="10"/>
        <v>0.26435500055747557</v>
      </c>
      <c r="R51">
        <f t="shared" ca="1" si="8"/>
        <v>0.56396323486906763</v>
      </c>
      <c r="S51">
        <f t="shared" ca="1" si="8"/>
        <v>0.29279149083762063</v>
      </c>
      <c r="T51">
        <f t="shared" ca="1" si="8"/>
        <v>0.3707906295754026</v>
      </c>
      <c r="V51" s="4">
        <f t="shared" si="6"/>
        <v>42054</v>
      </c>
      <c r="W51" s="5">
        <f t="shared" ca="1" si="5"/>
        <v>0.27613776137761387</v>
      </c>
      <c r="Z51" s="4" t="e">
        <f>IF(Sheet3!$A51="",MATCH("Error",AF51,0),Sheet3!$A51)</f>
        <v>#N/A</v>
      </c>
      <c r="AA51" s="5" t="str">
        <f ca="1">IF(OFFSET(Sheet3!$A$1,0,MATCH(W$1,Sheet3!$1:$1,0)-1,300)="","",OFFSET(Sheet3!$A$1,0,MATCH(W$1,Sheet3!$1:$1,0)-1,300))</f>
        <v/>
      </c>
      <c r="AB51" s="5" t="str">
        <f ca="1">IF(OFFSET(Sheet3!$A$1,0,MATCH(X$1,Sheet3!$1:$1,0)-1,300)="","",OFFSET(Sheet3!$A$1,0,MATCH(X$1,Sheet3!$1:$1,0)-1,300))</f>
        <v/>
      </c>
      <c r="AC51" t="str">
        <f t="shared" ca="1" si="0"/>
        <v/>
      </c>
      <c r="AD51" t="str">
        <f t="shared" ca="1" si="1"/>
        <v/>
      </c>
    </row>
    <row r="52" spans="1:34" x14ac:dyDescent="0.25">
      <c r="A52" s="4">
        <v>42053</v>
      </c>
      <c r="B52">
        <v>0.87549999999999994</v>
      </c>
      <c r="C52" s="5">
        <v>1.2255</v>
      </c>
      <c r="D52">
        <v>1.6825000000000001</v>
      </c>
      <c r="E52">
        <v>1.9628000000000001</v>
      </c>
      <c r="F52">
        <v>2.2098</v>
      </c>
      <c r="G52">
        <v>2.609</v>
      </c>
      <c r="H52">
        <f t="shared" ca="1" si="10"/>
        <v>0.42030718293019409</v>
      </c>
      <c r="I52">
        <f t="shared" ca="1" si="10"/>
        <v>0.34250168627744887</v>
      </c>
      <c r="J52">
        <f t="shared" ca="1" si="10"/>
        <v>0.26362849725987891</v>
      </c>
      <c r="K52">
        <f t="shared" ca="1" si="10"/>
        <v>0.21007269729446151</v>
      </c>
      <c r="L52">
        <f t="shared" ca="1" si="10"/>
        <v>0.16169599077011826</v>
      </c>
      <c r="M52">
        <f t="shared" ca="1" si="10"/>
        <v>0.28477090317992482</v>
      </c>
      <c r="N52">
        <f t="shared" ca="1" si="10"/>
        <v>0.20260209613299604</v>
      </c>
      <c r="O52">
        <f t="shared" ca="1" si="10"/>
        <v>0.14248629939428895</v>
      </c>
      <c r="P52">
        <f t="shared" ca="1" si="10"/>
        <v>0.17853270690278272</v>
      </c>
      <c r="Q52">
        <f t="shared" ca="1" si="10"/>
        <v>0.26659471127900691</v>
      </c>
      <c r="R52">
        <f t="shared" ca="1" si="8"/>
        <v>0.56781078742428603</v>
      </c>
      <c r="S52">
        <f t="shared" ca="1" si="8"/>
        <v>0.30418229016440718</v>
      </c>
      <c r="T52">
        <f t="shared" ca="1" si="8"/>
        <v>0.38113480303577874</v>
      </c>
      <c r="V52" s="4">
        <f t="shared" si="6"/>
        <v>42053</v>
      </c>
      <c r="W52" s="5">
        <f t="shared" ca="1" si="5"/>
        <v>0.28477090317992482</v>
      </c>
      <c r="Z52" s="4" t="e">
        <f>IF(Sheet3!$A52="",MATCH("Error",AF52,0),Sheet3!$A52)</f>
        <v>#N/A</v>
      </c>
      <c r="AA52" s="5" t="str">
        <f ca="1">IF(OFFSET(Sheet3!$A$1,0,MATCH(W$1,Sheet3!$1:$1,0)-1,300)="","",OFFSET(Sheet3!$A$1,0,MATCH(W$1,Sheet3!$1:$1,0)-1,300))</f>
        <v/>
      </c>
      <c r="AB52" s="5" t="str">
        <f ca="1">IF(OFFSET(Sheet3!$A$1,0,MATCH(X$1,Sheet3!$1:$1,0)-1,300)="","",OFFSET(Sheet3!$A$1,0,MATCH(X$1,Sheet3!$1:$1,0)-1,300))</f>
        <v/>
      </c>
      <c r="AC52" t="str">
        <f t="shared" ca="1" si="0"/>
        <v/>
      </c>
      <c r="AD52" t="str">
        <f t="shared" ca="1" si="1"/>
        <v/>
      </c>
    </row>
    <row r="53" spans="1:34" x14ac:dyDescent="0.25">
      <c r="A53" s="4">
        <v>42052</v>
      </c>
      <c r="B53">
        <v>0.9355</v>
      </c>
      <c r="C53" s="5">
        <v>1.2990999999999999</v>
      </c>
      <c r="D53">
        <v>1.7652999999999999</v>
      </c>
      <c r="E53">
        <v>2.0325000000000002</v>
      </c>
      <c r="F53">
        <v>2.2648000000000001</v>
      </c>
      <c r="G53">
        <v>2.6265000000000001</v>
      </c>
      <c r="H53">
        <f t="shared" ref="H53:Q62" ca="1" si="11">IF(ISERROR(ABS(OFFSET($A$11,ROW()-11,MATCH(LEFT(H$9,2),$A$11:$G$11,0)-1)-OFFSET($A$11,ROW()-11,MATCH(RIGHT(H$9,2),$A$11:$G$11,0)-1))/ABS(OFFSET($A$11,ROW()-11,MATCH(LEFT(H$10,2),$A$11:$G$11,0)-1)-OFFSET($A$11,ROW()-11,MATCH(RIGHT(H$10,2),$A$11:$G$11,0)-1))),"",ABS(OFFSET($A$11,ROW()-11,MATCH(LEFT(H$9,2),$A$11:$G$11,0)-1)-OFFSET($A$11,ROW()-11,MATCH(RIGHT(H$9,2),$A$11:$G$11,0)-1))/ABS(OFFSET($A$11,ROW()-11,MATCH(LEFT(H$10,2),$A$11:$G$11,0)-1)-OFFSET($A$11,ROW()-11,MATCH(RIGHT(H$10,2),$A$11:$G$11,0)-1)))</f>
        <v>0.42497721057429338</v>
      </c>
      <c r="I53">
        <f t="shared" ca="1" si="11"/>
        <v>0.35071090047393355</v>
      </c>
      <c r="J53">
        <f t="shared" ca="1" si="11"/>
        <v>0.27569485511531633</v>
      </c>
      <c r="K53">
        <f t="shared" ca="1" si="11"/>
        <v>0.20100804934928179</v>
      </c>
      <c r="L53">
        <f t="shared" ca="1" si="11"/>
        <v>0.15801301005322313</v>
      </c>
      <c r="M53">
        <f t="shared" ca="1" si="11"/>
        <v>0.27669048358703557</v>
      </c>
      <c r="N53">
        <f t="shared" ca="1" si="11"/>
        <v>0.20129576615940958</v>
      </c>
      <c r="O53">
        <f t="shared" ca="1" si="11"/>
        <v>0.13737433471318744</v>
      </c>
      <c r="P53">
        <f t="shared" ca="1" si="11"/>
        <v>0.17500376676209126</v>
      </c>
      <c r="Q53">
        <f t="shared" ca="1" si="11"/>
        <v>0.26973989781699942</v>
      </c>
      <c r="R53">
        <f t="shared" ca="1" si="8"/>
        <v>0.57108219988172693</v>
      </c>
      <c r="S53">
        <f t="shared" ca="1" si="8"/>
        <v>0.29538734476641054</v>
      </c>
      <c r="T53">
        <f t="shared" ca="1" si="8"/>
        <v>0.37629953292150087</v>
      </c>
      <c r="V53" s="4">
        <f t="shared" si="6"/>
        <v>42052</v>
      </c>
      <c r="W53" s="5">
        <f t="shared" ca="1" si="5"/>
        <v>0.27669048358703557</v>
      </c>
      <c r="Z53" s="4" t="e">
        <f>IF(Sheet3!$A53="",MATCH("Error",AF53,0),Sheet3!$A53)</f>
        <v>#N/A</v>
      </c>
      <c r="AA53" s="5" t="str">
        <f ca="1">IF(OFFSET(Sheet3!$A$1,0,MATCH(W$1,Sheet3!$1:$1,0)-1,300)="","",OFFSET(Sheet3!$A$1,0,MATCH(W$1,Sheet3!$1:$1,0)-1,300))</f>
        <v/>
      </c>
      <c r="AB53" s="5" t="str">
        <f ca="1">IF(OFFSET(Sheet3!$A$1,0,MATCH(X$1,Sheet3!$1:$1,0)-1,300)="","",OFFSET(Sheet3!$A$1,0,MATCH(X$1,Sheet3!$1:$1,0)-1,300))</f>
        <v/>
      </c>
      <c r="AC53" t="str">
        <f t="shared" ca="1" si="0"/>
        <v/>
      </c>
      <c r="AD53" t="str">
        <f t="shared" ca="1" si="1"/>
        <v/>
      </c>
    </row>
    <row r="54" spans="1:34" x14ac:dyDescent="0.25">
      <c r="A54" s="4">
        <v>42051</v>
      </c>
      <c r="B54">
        <v>0.89700000000000002</v>
      </c>
      <c r="C54" s="5">
        <v>1.2504999999999999</v>
      </c>
      <c r="D54">
        <v>1.698</v>
      </c>
      <c r="E54">
        <v>1.9475</v>
      </c>
      <c r="F54">
        <v>2.1739999999999999</v>
      </c>
      <c r="G54">
        <v>2.5430000000000001</v>
      </c>
      <c r="H54">
        <f t="shared" ca="1" si="11"/>
        <v>0.42598762494050452</v>
      </c>
      <c r="I54">
        <f t="shared" ca="1" si="11"/>
        <v>0.35043069694596712</v>
      </c>
      <c r="J54">
        <f t="shared" ca="1" si="11"/>
        <v>0.27187120291616035</v>
      </c>
      <c r="K54">
        <f t="shared" ca="1" si="11"/>
        <v>0.19537979639780742</v>
      </c>
      <c r="L54">
        <f t="shared" ca="1" si="11"/>
        <v>0.15157958687727827</v>
      </c>
      <c r="M54">
        <f t="shared" ca="1" si="11"/>
        <v>0.27016783974011915</v>
      </c>
      <c r="N54">
        <f t="shared" ca="1" si="11"/>
        <v>0.19303675048355901</v>
      </c>
      <c r="O54">
        <f t="shared" ca="1" si="11"/>
        <v>0.13760631834750905</v>
      </c>
      <c r="P54">
        <f t="shared" ca="1" si="11"/>
        <v>0.17524177949709857</v>
      </c>
      <c r="Q54">
        <f t="shared" ca="1" si="11"/>
        <v>0.26804733727810637</v>
      </c>
      <c r="R54">
        <f t="shared" ca="1" si="8"/>
        <v>0.56105710814094767</v>
      </c>
      <c r="S54">
        <f t="shared" ca="1" si="8"/>
        <v>0.28918590522478732</v>
      </c>
      <c r="T54">
        <f t="shared" ca="1" si="8"/>
        <v>0.36827852998065758</v>
      </c>
      <c r="V54" s="4">
        <f t="shared" si="6"/>
        <v>42051</v>
      </c>
      <c r="W54" s="5">
        <f t="shared" ca="1" si="5"/>
        <v>0.27016783974011915</v>
      </c>
      <c r="Z54" s="4" t="e">
        <f>IF(Sheet3!$A54="",MATCH("Error",AF54,0),Sheet3!$A54)</f>
        <v>#N/A</v>
      </c>
      <c r="AA54" s="5" t="str">
        <f ca="1">IF(OFFSET(Sheet3!$A$1,0,MATCH(W$1,Sheet3!$1:$1,0)-1,300)="","",OFFSET(Sheet3!$A$1,0,MATCH(W$1,Sheet3!$1:$1,0)-1,300))</f>
        <v/>
      </c>
      <c r="AB54" s="5" t="str">
        <f ca="1">IF(OFFSET(Sheet3!$A$1,0,MATCH(X$1,Sheet3!$1:$1,0)-1,300)="","",OFFSET(Sheet3!$A$1,0,MATCH(X$1,Sheet3!$1:$1,0)-1,300))</f>
        <v/>
      </c>
      <c r="AC54" t="str">
        <f t="shared" ca="1" si="0"/>
        <v/>
      </c>
      <c r="AD54" t="str">
        <f t="shared" ca="1" si="1"/>
        <v/>
      </c>
    </row>
    <row r="55" spans="1:34" x14ac:dyDescent="0.25">
      <c r="A55" s="4">
        <v>42048</v>
      </c>
      <c r="B55">
        <v>0.90429999999999999</v>
      </c>
      <c r="C55" s="5">
        <v>1.2533000000000001</v>
      </c>
      <c r="D55">
        <v>1.6971000000000001</v>
      </c>
      <c r="E55">
        <v>1.95</v>
      </c>
      <c r="F55">
        <v>2.1764999999999999</v>
      </c>
      <c r="G55">
        <v>2.5465999999999998</v>
      </c>
      <c r="H55">
        <f t="shared" ca="1" si="11"/>
        <v>0.42440470498230842</v>
      </c>
      <c r="I55">
        <f t="shared" ca="1" si="11"/>
        <v>0.34884452130168214</v>
      </c>
      <c r="J55">
        <f t="shared" ca="1" si="11"/>
        <v>0.27023077391463196</v>
      </c>
      <c r="K55">
        <f t="shared" ca="1" si="11"/>
        <v>0.19878949850652408</v>
      </c>
      <c r="L55">
        <f t="shared" ca="1" si="11"/>
        <v>0.15399135358947816</v>
      </c>
      <c r="M55">
        <f t="shared" ca="1" si="11"/>
        <v>0.27393847487001727</v>
      </c>
      <c r="N55">
        <f t="shared" ca="1" si="11"/>
        <v>0.19554627696590116</v>
      </c>
      <c r="O55">
        <f t="shared" ca="1" si="11"/>
        <v>0.13791633684466906</v>
      </c>
      <c r="P55">
        <f t="shared" ca="1" si="11"/>
        <v>0.1751333797262816</v>
      </c>
      <c r="Q55">
        <f t="shared" ca="1" si="11"/>
        <v>0.26662742789876398</v>
      </c>
      <c r="R55">
        <f t="shared" ca="1" si="8"/>
        <v>0.56213846434877912</v>
      </c>
      <c r="S55">
        <f t="shared" ca="1" si="8"/>
        <v>0.29190769043414722</v>
      </c>
      <c r="T55">
        <f t="shared" ca="1" si="8"/>
        <v>0.37067965669218272</v>
      </c>
      <c r="V55" s="4">
        <f t="shared" si="6"/>
        <v>42048</v>
      </c>
      <c r="W55" s="5">
        <f t="shared" ca="1" si="5"/>
        <v>0.27393847487001727</v>
      </c>
      <c r="Z55" s="4" t="e">
        <f>IF(Sheet3!$A55="",MATCH("Error",AF55,0),Sheet3!$A55)</f>
        <v>#N/A</v>
      </c>
      <c r="AA55" s="5" t="str">
        <f ca="1">IF(OFFSET(Sheet3!$A$1,0,MATCH(W$1,Sheet3!$1:$1,0)-1,300)="","",OFFSET(Sheet3!$A$1,0,MATCH(W$1,Sheet3!$1:$1,0)-1,300))</f>
        <v/>
      </c>
      <c r="AB55" s="5" t="str">
        <f ca="1">IF(OFFSET(Sheet3!$A$1,0,MATCH(X$1,Sheet3!$1:$1,0)-1,300)="","",OFFSET(Sheet3!$A$1,0,MATCH(X$1,Sheet3!$1:$1,0)-1,300))</f>
        <v/>
      </c>
      <c r="AC55" t="str">
        <f t="shared" ca="1" si="0"/>
        <v/>
      </c>
      <c r="AD55" t="str">
        <f t="shared" ca="1" si="1"/>
        <v/>
      </c>
    </row>
    <row r="56" spans="1:34" x14ac:dyDescent="0.25">
      <c r="A56" s="4">
        <v>42047</v>
      </c>
      <c r="B56">
        <v>0.89300000000000002</v>
      </c>
      <c r="C56" s="5">
        <v>1.2318</v>
      </c>
      <c r="D56">
        <v>1.6495</v>
      </c>
      <c r="E56">
        <v>1.8975</v>
      </c>
      <c r="F56">
        <v>2.1175000000000002</v>
      </c>
      <c r="G56">
        <v>2.4779999999999998</v>
      </c>
      <c r="H56">
        <f t="shared" ca="1" si="11"/>
        <v>0.41582877053260325</v>
      </c>
      <c r="I56">
        <f t="shared" ca="1" si="11"/>
        <v>0.34111882400979987</v>
      </c>
      <c r="J56">
        <f t="shared" ca="1" si="11"/>
        <v>0.26353312302839116</v>
      </c>
      <c r="K56">
        <f t="shared" ca="1" si="11"/>
        <v>0.20253164556962022</v>
      </c>
      <c r="L56">
        <f t="shared" ca="1" si="11"/>
        <v>0.15646687697160885</v>
      </c>
      <c r="M56">
        <f t="shared" ca="1" si="11"/>
        <v>0.28000451620187417</v>
      </c>
      <c r="N56">
        <f t="shared" ca="1" si="11"/>
        <v>0.19900497512437815</v>
      </c>
      <c r="O56">
        <f t="shared" ca="1" si="11"/>
        <v>0.13880126182965313</v>
      </c>
      <c r="P56">
        <f t="shared" ca="1" si="11"/>
        <v>0.17653667148130336</v>
      </c>
      <c r="Q56">
        <f t="shared" ca="1" si="11"/>
        <v>0.26554013277006666</v>
      </c>
      <c r="R56">
        <f t="shared" ca="1" si="8"/>
        <v>0.55880126182965317</v>
      </c>
      <c r="S56">
        <f t="shared" ca="1" si="8"/>
        <v>0.29526813880126201</v>
      </c>
      <c r="T56">
        <f t="shared" ca="1" si="8"/>
        <v>0.37554164660568151</v>
      </c>
      <c r="V56" s="4">
        <f t="shared" si="6"/>
        <v>42047</v>
      </c>
      <c r="W56" s="5">
        <f t="shared" ca="1" si="5"/>
        <v>0.28000451620187417</v>
      </c>
      <c r="Z56" s="4" t="e">
        <f>IF(Sheet3!$A56="",MATCH("Error",AF56,0),Sheet3!$A56)</f>
        <v>#N/A</v>
      </c>
      <c r="AA56" s="5" t="str">
        <f ca="1">IF(OFFSET(Sheet3!$A$1,0,MATCH(W$1,Sheet3!$1:$1,0)-1,300)="","",OFFSET(Sheet3!$A$1,0,MATCH(W$1,Sheet3!$1:$1,0)-1,300))</f>
        <v/>
      </c>
      <c r="AB56" s="5" t="str">
        <f ca="1">IF(OFFSET(Sheet3!$A$1,0,MATCH(X$1,Sheet3!$1:$1,0)-1,300)="","",OFFSET(Sheet3!$A$1,0,MATCH(X$1,Sheet3!$1:$1,0)-1,300))</f>
        <v/>
      </c>
      <c r="AC56" t="str">
        <f t="shared" ca="1" si="0"/>
        <v/>
      </c>
      <c r="AD56" t="str">
        <f t="shared" ca="1" si="1"/>
        <v/>
      </c>
    </row>
    <row r="57" spans="1:34" x14ac:dyDescent="0.25">
      <c r="A57" s="4">
        <v>42046</v>
      </c>
      <c r="B57">
        <v>0.92830000000000001</v>
      </c>
      <c r="C57" s="5">
        <v>1.2755000000000001</v>
      </c>
      <c r="D57">
        <v>1.7018</v>
      </c>
      <c r="E57">
        <v>1.9384999999999999</v>
      </c>
      <c r="F57">
        <v>2.1488</v>
      </c>
      <c r="G57">
        <v>2.4834999999999998</v>
      </c>
      <c r="H57">
        <f t="shared" ca="1" si="11"/>
        <v>0.42199564442684617</v>
      </c>
      <c r="I57">
        <f t="shared" ca="1" si="11"/>
        <v>0.34928308070462921</v>
      </c>
      <c r="J57">
        <f t="shared" ca="1" si="11"/>
        <v>0.27411265432098764</v>
      </c>
      <c r="K57">
        <f t="shared" ca="1" si="11"/>
        <v>0.19393691110200731</v>
      </c>
      <c r="L57">
        <f t="shared" ca="1" si="11"/>
        <v>0.15219907407407404</v>
      </c>
      <c r="M57">
        <f t="shared" ca="1" si="11"/>
        <v>0.27104087942287863</v>
      </c>
      <c r="N57">
        <f t="shared" ca="1" si="11"/>
        <v>0.19594370860927149</v>
      </c>
      <c r="O57">
        <f t="shared" ca="1" si="11"/>
        <v>0.13522376543209888</v>
      </c>
      <c r="P57">
        <f t="shared" ca="1" si="11"/>
        <v>0.17408940397351011</v>
      </c>
      <c r="Q57">
        <f t="shared" ca="1" si="11"/>
        <v>0.26902903927337879</v>
      </c>
      <c r="R57">
        <f t="shared" ca="1" si="8"/>
        <v>0.56153549382716061</v>
      </c>
      <c r="S57">
        <f t="shared" ca="1" si="8"/>
        <v>0.28742283950617292</v>
      </c>
      <c r="T57">
        <f t="shared" ca="1" si="8"/>
        <v>0.3700331125827816</v>
      </c>
      <c r="V57" s="4">
        <f t="shared" si="6"/>
        <v>42046</v>
      </c>
      <c r="W57" s="5">
        <f t="shared" ca="1" si="5"/>
        <v>0.27104087942287863</v>
      </c>
      <c r="Z57" s="4" t="e">
        <f>IF(Sheet3!$A57="",MATCH("Error",AF57,0),Sheet3!$A57)</f>
        <v>#N/A</v>
      </c>
      <c r="AA57" s="5" t="str">
        <f ca="1">IF(OFFSET(Sheet3!$A$1,0,MATCH(W$1,Sheet3!$1:$1,0)-1,300)="","",OFFSET(Sheet3!$A$1,0,MATCH(W$1,Sheet3!$1:$1,0)-1,300))</f>
        <v/>
      </c>
      <c r="AB57" s="5" t="str">
        <f ca="1">IF(OFFSET(Sheet3!$A$1,0,MATCH(X$1,Sheet3!$1:$1,0)-1,300)="","",OFFSET(Sheet3!$A$1,0,MATCH(X$1,Sheet3!$1:$1,0)-1,300))</f>
        <v/>
      </c>
      <c r="AC57" t="str">
        <f t="shared" ca="1" si="0"/>
        <v/>
      </c>
      <c r="AD57" t="str">
        <f t="shared" ca="1" si="1"/>
        <v/>
      </c>
    </row>
    <row r="58" spans="1:34" x14ac:dyDescent="0.25">
      <c r="A58" s="4">
        <v>42045</v>
      </c>
      <c r="B58">
        <v>0.91600000000000004</v>
      </c>
      <c r="C58" s="5">
        <v>1.2561</v>
      </c>
      <c r="D58">
        <v>1.6774</v>
      </c>
      <c r="E58">
        <v>1.9175</v>
      </c>
      <c r="F58">
        <v>2.1343000000000001</v>
      </c>
      <c r="G58">
        <v>2.4859999999999998</v>
      </c>
      <c r="H58">
        <f t="shared" ca="1" si="11"/>
        <v>0.42066899650524214</v>
      </c>
      <c r="I58">
        <f t="shared" ca="1" si="11"/>
        <v>0.34580973487646716</v>
      </c>
      <c r="J58">
        <f t="shared" ca="1" si="11"/>
        <v>0.26834394904458603</v>
      </c>
      <c r="K58">
        <f t="shared" ca="1" si="11"/>
        <v>0.19707789542805546</v>
      </c>
      <c r="L58">
        <f t="shared" ca="1" si="11"/>
        <v>0.15292993630573248</v>
      </c>
      <c r="M58">
        <f t="shared" ca="1" si="11"/>
        <v>0.27340013664313362</v>
      </c>
      <c r="N58">
        <f t="shared" ca="1" si="11"/>
        <v>0.19521912350597612</v>
      </c>
      <c r="O58">
        <f t="shared" ca="1" si="11"/>
        <v>0.13808917197452236</v>
      </c>
      <c r="P58">
        <f t="shared" ca="1" si="11"/>
        <v>0.17627449386128966</v>
      </c>
      <c r="Q58">
        <f t="shared" ca="1" si="11"/>
        <v>0.26811773435567671</v>
      </c>
      <c r="R58">
        <f t="shared" ca="1" si="8"/>
        <v>0.55936305732484093</v>
      </c>
      <c r="S58">
        <f t="shared" ca="1" si="8"/>
        <v>0.29101910828025485</v>
      </c>
      <c r="T58">
        <f t="shared" ca="1" si="8"/>
        <v>0.37149361736726577</v>
      </c>
      <c r="V58" s="4">
        <f t="shared" si="6"/>
        <v>42045</v>
      </c>
      <c r="W58" s="5">
        <f t="shared" ca="1" si="5"/>
        <v>0.27340013664313362</v>
      </c>
      <c r="Z58" s="4" t="e">
        <f>IF(Sheet3!$A58="",MATCH("Error",AF58,0),Sheet3!$A58)</f>
        <v>#N/A</v>
      </c>
      <c r="AA58" s="5" t="str">
        <f ca="1">IF(OFFSET(Sheet3!$A$1,0,MATCH(W$1,Sheet3!$1:$1,0)-1,300)="","",OFFSET(Sheet3!$A$1,0,MATCH(W$1,Sheet3!$1:$1,0)-1,300))</f>
        <v/>
      </c>
      <c r="AB58" s="5" t="str">
        <f ca="1">IF(OFFSET(Sheet3!$A$1,0,MATCH(X$1,Sheet3!$1:$1,0)-1,300)="","",OFFSET(Sheet3!$A$1,0,MATCH(X$1,Sheet3!$1:$1,0)-1,300))</f>
        <v/>
      </c>
      <c r="AC58" t="str">
        <f t="shared" ca="1" si="0"/>
        <v/>
      </c>
      <c r="AD58" t="str">
        <f t="shared" ca="1" si="1"/>
        <v/>
      </c>
    </row>
    <row r="59" spans="1:34" x14ac:dyDescent="0.25">
      <c r="A59" s="4">
        <v>42044</v>
      </c>
      <c r="B59">
        <v>0.91749999999999998</v>
      </c>
      <c r="C59" s="5">
        <v>1.26</v>
      </c>
      <c r="D59">
        <v>1.6739999999999999</v>
      </c>
      <c r="E59">
        <v>1.9064999999999999</v>
      </c>
      <c r="F59">
        <v>2.1164999999999998</v>
      </c>
      <c r="G59">
        <v>2.4655</v>
      </c>
      <c r="H59">
        <f t="shared" ca="1" si="11"/>
        <v>0.41860465116279066</v>
      </c>
      <c r="I59">
        <f t="shared" ca="1" si="11"/>
        <v>0.34528773978315264</v>
      </c>
      <c r="J59">
        <f t="shared" ca="1" si="11"/>
        <v>0.2674418604651162</v>
      </c>
      <c r="K59">
        <f t="shared" ca="1" si="11"/>
        <v>0.19391159299416177</v>
      </c>
      <c r="L59">
        <f t="shared" ca="1" si="11"/>
        <v>0.15019379844961236</v>
      </c>
      <c r="M59">
        <f t="shared" ca="1" si="11"/>
        <v>0.27145359019264448</v>
      </c>
      <c r="N59">
        <f t="shared" ca="1" si="11"/>
        <v>0.19286603069265859</v>
      </c>
      <c r="O59">
        <f t="shared" ca="1" si="11"/>
        <v>0.13565891472868213</v>
      </c>
      <c r="P59">
        <f t="shared" ca="1" si="11"/>
        <v>0.1742015761094981</v>
      </c>
      <c r="Q59">
        <f t="shared" ca="1" si="11"/>
        <v>0.26531901452937451</v>
      </c>
      <c r="R59">
        <f t="shared" ca="1" si="8"/>
        <v>0.55329457364341073</v>
      </c>
      <c r="S59">
        <f t="shared" ca="1" si="8"/>
        <v>0.28585271317829447</v>
      </c>
      <c r="T59">
        <f t="shared" ca="1" si="8"/>
        <v>0.36706760680215667</v>
      </c>
      <c r="V59" s="4">
        <f t="shared" si="6"/>
        <v>42044</v>
      </c>
      <c r="W59" s="5">
        <f t="shared" ca="1" si="5"/>
        <v>0.27145359019264448</v>
      </c>
      <c r="Z59" s="4" t="e">
        <f>IF(Sheet3!$A59="",MATCH("Error",AF59,0),Sheet3!$A59)</f>
        <v>#N/A</v>
      </c>
      <c r="AA59" s="5" t="str">
        <f ca="1">IF(OFFSET(Sheet3!$A$1,0,MATCH(W$1,Sheet3!$1:$1,0)-1,300)="","",OFFSET(Sheet3!$A$1,0,MATCH(W$1,Sheet3!$1:$1,0)-1,300))</f>
        <v/>
      </c>
      <c r="AB59" s="5" t="str">
        <f ca="1">IF(OFFSET(Sheet3!$A$1,0,MATCH(X$1,Sheet3!$1:$1,0)-1,300)="","",OFFSET(Sheet3!$A$1,0,MATCH(X$1,Sheet3!$1:$1,0)-1,300))</f>
        <v/>
      </c>
      <c r="AC59" t="str">
        <f t="shared" ca="1" si="0"/>
        <v/>
      </c>
      <c r="AD59" t="str">
        <f t="shared" ca="1" si="1"/>
        <v/>
      </c>
    </row>
    <row r="60" spans="1:34" x14ac:dyDescent="0.25">
      <c r="A60" s="4">
        <v>42041</v>
      </c>
      <c r="B60">
        <v>0.89980000000000004</v>
      </c>
      <c r="C60" s="5">
        <v>1.2370000000000001</v>
      </c>
      <c r="D60">
        <v>1.6475</v>
      </c>
      <c r="E60">
        <v>1.885</v>
      </c>
      <c r="F60">
        <v>2.0964999999999998</v>
      </c>
      <c r="G60">
        <v>2.4420000000000002</v>
      </c>
      <c r="H60">
        <f t="shared" ca="1" si="11"/>
        <v>0.41666666666666652</v>
      </c>
      <c r="I60">
        <f t="shared" ca="1" si="11"/>
        <v>0.34302665663909077</v>
      </c>
      <c r="J60">
        <f t="shared" ca="1" si="11"/>
        <v>0.26617818700557633</v>
      </c>
      <c r="K60">
        <f t="shared" ca="1" si="11"/>
        <v>0.19846243837219024</v>
      </c>
      <c r="L60">
        <f t="shared" ca="1" si="11"/>
        <v>0.15400077810919466</v>
      </c>
      <c r="M60">
        <f t="shared" ca="1" si="11"/>
        <v>0.27632344386271102</v>
      </c>
      <c r="N60">
        <f t="shared" ca="1" si="11"/>
        <v>0.19709543568464732</v>
      </c>
      <c r="O60">
        <f t="shared" ca="1" si="11"/>
        <v>0.1371417455582932</v>
      </c>
      <c r="P60">
        <f t="shared" ca="1" si="11"/>
        <v>0.17551867219916995</v>
      </c>
      <c r="Q60">
        <f t="shared" ca="1" si="11"/>
        <v>0.26620516047828791</v>
      </c>
      <c r="R60">
        <f t="shared" ca="1" si="8"/>
        <v>0.55732071067306421</v>
      </c>
      <c r="S60">
        <f t="shared" ca="1" si="8"/>
        <v>0.29114252366748788</v>
      </c>
      <c r="T60">
        <f t="shared" ca="1" si="8"/>
        <v>0.37261410788381727</v>
      </c>
      <c r="V60" s="4">
        <f t="shared" si="6"/>
        <v>42041</v>
      </c>
      <c r="W60" s="5">
        <f t="shared" ca="1" si="5"/>
        <v>0.27632344386271102</v>
      </c>
      <c r="Z60" s="4" t="e">
        <f>IF(Sheet3!$A60="",MATCH("Error",AF60,0),Sheet3!$A60)</f>
        <v>#N/A</v>
      </c>
      <c r="AA60" s="5" t="str">
        <f ca="1">IF(OFFSET(Sheet3!$A$1,0,MATCH(W$1,Sheet3!$1:$1,0)-1,300)="","",OFFSET(Sheet3!$A$1,0,MATCH(W$1,Sheet3!$1:$1,0)-1,300))</f>
        <v/>
      </c>
      <c r="AB60" s="5" t="str">
        <f ca="1">IF(OFFSET(Sheet3!$A$1,0,MATCH(X$1,Sheet3!$1:$1,0)-1,300)="","",OFFSET(Sheet3!$A$1,0,MATCH(X$1,Sheet3!$1:$1,0)-1,300))</f>
        <v/>
      </c>
      <c r="AC60" t="str">
        <f t="shared" ca="1" si="0"/>
        <v/>
      </c>
      <c r="AD60" t="str">
        <f t="shared" ca="1" si="1"/>
        <v/>
      </c>
    </row>
    <row r="61" spans="1:34" x14ac:dyDescent="0.25">
      <c r="A61" s="4">
        <v>42040</v>
      </c>
      <c r="B61">
        <v>0.77339999999999998</v>
      </c>
      <c r="C61" s="5">
        <v>1.0745</v>
      </c>
      <c r="D61">
        <v>1.4767999999999999</v>
      </c>
      <c r="E61">
        <v>1.7267999999999999</v>
      </c>
      <c r="F61">
        <v>1.9569999999999999</v>
      </c>
      <c r="G61">
        <v>2.3435999999999999</v>
      </c>
      <c r="H61">
        <f t="shared" ca="1" si="11"/>
        <v>0.42196349905600999</v>
      </c>
      <c r="I61">
        <f t="shared" ca="1" si="11"/>
        <v>0.33989523487664747</v>
      </c>
      <c r="J61">
        <f t="shared" ca="1" si="11"/>
        <v>0.25620940007642334</v>
      </c>
      <c r="K61">
        <f t="shared" ca="1" si="11"/>
        <v>0.21122000675904026</v>
      </c>
      <c r="L61">
        <f t="shared" ca="1" si="11"/>
        <v>0.15921538657495862</v>
      </c>
      <c r="M61">
        <f t="shared" ca="1" si="11"/>
        <v>0.28328611898017003</v>
      </c>
      <c r="N61">
        <f t="shared" ca="1" si="11"/>
        <v>0.19698999290836028</v>
      </c>
      <c r="O61">
        <f t="shared" ca="1" si="11"/>
        <v>0.14660552795822188</v>
      </c>
      <c r="P61">
        <f t="shared" ca="1" si="11"/>
        <v>0.18138838547001809</v>
      </c>
      <c r="Q61">
        <f t="shared" ca="1" si="11"/>
        <v>0.26557452699584672</v>
      </c>
      <c r="R61">
        <f t="shared" ca="1" si="8"/>
        <v>0.56203031460960384</v>
      </c>
      <c r="S61">
        <f t="shared" ca="1" si="8"/>
        <v>0.3058209145331805</v>
      </c>
      <c r="T61">
        <f t="shared" ca="1" si="8"/>
        <v>0.3783783783783784</v>
      </c>
      <c r="V61" s="4">
        <f t="shared" si="6"/>
        <v>42040</v>
      </c>
      <c r="W61" s="5">
        <f t="shared" ca="1" si="5"/>
        <v>0.28328611898017003</v>
      </c>
      <c r="Z61" s="4" t="e">
        <f>IF(Sheet3!$A61="",MATCH("Error",AF61,0),Sheet3!$A61)</f>
        <v>#N/A</v>
      </c>
      <c r="AA61" s="5" t="str">
        <f ca="1">IF(OFFSET(Sheet3!$A$1,0,MATCH(W$1,Sheet3!$1:$1,0)-1,300)="","",OFFSET(Sheet3!$A$1,0,MATCH(W$1,Sheet3!$1:$1,0)-1,300))</f>
        <v/>
      </c>
      <c r="AB61" s="5" t="str">
        <f ca="1">IF(OFFSET(Sheet3!$A$1,0,MATCH(X$1,Sheet3!$1:$1,0)-1,300)="","",OFFSET(Sheet3!$A$1,0,MATCH(X$1,Sheet3!$1:$1,0)-1,300))</f>
        <v/>
      </c>
      <c r="AC61" t="str">
        <f t="shared" ca="1" si="0"/>
        <v/>
      </c>
      <c r="AD61" t="str">
        <f t="shared" ca="1" si="1"/>
        <v/>
      </c>
    </row>
    <row r="62" spans="1:34" x14ac:dyDescent="0.25">
      <c r="A62" s="4">
        <v>42039</v>
      </c>
      <c r="B62">
        <v>0.73650000000000004</v>
      </c>
      <c r="C62" s="5">
        <v>1.0293000000000001</v>
      </c>
      <c r="D62">
        <v>1.421</v>
      </c>
      <c r="E62">
        <v>1.6659999999999999</v>
      </c>
      <c r="F62">
        <v>1.8908</v>
      </c>
      <c r="G62">
        <v>2.2692999999999999</v>
      </c>
      <c r="H62">
        <f t="shared" ca="1" si="11"/>
        <v>0.42140935987089834</v>
      </c>
      <c r="I62">
        <f t="shared" ca="1" si="11"/>
        <v>0.33933985965520219</v>
      </c>
      <c r="J62">
        <f t="shared" ca="1" si="11"/>
        <v>0.25554540709812107</v>
      </c>
      <c r="K62">
        <f t="shared" ca="1" si="11"/>
        <v>0.21224984839296532</v>
      </c>
      <c r="L62">
        <f t="shared" ca="1" si="11"/>
        <v>0.15983820459290182</v>
      </c>
      <c r="M62">
        <f t="shared" ca="1" si="11"/>
        <v>0.2843876958792802</v>
      </c>
      <c r="N62">
        <f t="shared" ca="1" si="11"/>
        <v>0.19758064516129026</v>
      </c>
      <c r="O62">
        <f t="shared" ca="1" si="11"/>
        <v>0.14665970772442596</v>
      </c>
      <c r="P62">
        <f t="shared" ca="1" si="11"/>
        <v>0.18129032258064529</v>
      </c>
      <c r="Q62">
        <f t="shared" ca="1" si="11"/>
        <v>0.26500058941412252</v>
      </c>
      <c r="R62">
        <f t="shared" ca="1" si="8"/>
        <v>0.56204331941544883</v>
      </c>
      <c r="S62">
        <f t="shared" ca="1" si="8"/>
        <v>0.30649791231732776</v>
      </c>
      <c r="T62">
        <f t="shared" ca="1" si="8"/>
        <v>0.37887096774193557</v>
      </c>
      <c r="V62" s="4">
        <f t="shared" si="6"/>
        <v>42039</v>
      </c>
      <c r="W62" s="5">
        <f t="shared" ca="1" si="5"/>
        <v>0.2843876958792802</v>
      </c>
      <c r="Z62" s="4" t="e">
        <f>IF(Sheet3!$A62="",MATCH("Error",AF62,0),Sheet3!$A62)</f>
        <v>#N/A</v>
      </c>
      <c r="AA62" s="5" t="str">
        <f ca="1">IF(OFFSET(Sheet3!$A$1,0,MATCH(W$1,Sheet3!$1:$1,0)-1,300)="","",OFFSET(Sheet3!$A$1,0,MATCH(W$1,Sheet3!$1:$1,0)-1,300))</f>
        <v/>
      </c>
      <c r="AB62" s="5" t="str">
        <f ca="1">IF(OFFSET(Sheet3!$A$1,0,MATCH(X$1,Sheet3!$1:$1,0)-1,300)="","",OFFSET(Sheet3!$A$1,0,MATCH(X$1,Sheet3!$1:$1,0)-1,300))</f>
        <v/>
      </c>
      <c r="AC62" t="str">
        <f t="shared" ca="1" si="0"/>
        <v/>
      </c>
      <c r="AD62" t="str">
        <f t="shared" ca="1" si="1"/>
        <v/>
      </c>
    </row>
    <row r="63" spans="1:34" x14ac:dyDescent="0.25">
      <c r="A63" s="4">
        <v>42038</v>
      </c>
      <c r="B63">
        <v>0.75749999999999995</v>
      </c>
      <c r="C63" s="5">
        <v>1.0585</v>
      </c>
      <c r="D63">
        <v>1.4595</v>
      </c>
      <c r="E63">
        <v>1.7094</v>
      </c>
      <c r="F63">
        <v>1.931</v>
      </c>
      <c r="G63">
        <v>2.2987000000000002</v>
      </c>
      <c r="H63">
        <f t="shared" ref="H63:Q72" ca="1" si="12">IF(ISERROR(ABS(OFFSET($A$11,ROW()-11,MATCH(LEFT(H$9,2),$A$11:$G$11,0)-1)-OFFSET($A$11,ROW()-11,MATCH(RIGHT(H$9,2),$A$11:$G$11,0)-1))/ABS(OFFSET($A$11,ROW()-11,MATCH(LEFT(H$10,2),$A$11:$G$11,0)-1)-OFFSET($A$11,ROW()-11,MATCH(RIGHT(H$10,2),$A$11:$G$11,0)-1))),"",ABS(OFFSET($A$11,ROW()-11,MATCH(LEFT(H$9,2),$A$11:$G$11,0)-1)-OFFSET($A$11,ROW()-11,MATCH(RIGHT(H$9,2),$A$11:$G$11,0)-1))/ABS(OFFSET($A$11,ROW()-11,MATCH(LEFT(H$10,2),$A$11:$G$11,0)-1)-OFFSET($A$11,ROW()-11,MATCH(RIGHT(H$10,2),$A$11:$G$11,0)-1)))</f>
        <v>0.42126273768252964</v>
      </c>
      <c r="I63">
        <f t="shared" ca="1" si="12"/>
        <v>0.34171282488282911</v>
      </c>
      <c r="J63">
        <f t="shared" ca="1" si="12"/>
        <v>0.26018686737607055</v>
      </c>
      <c r="K63">
        <f t="shared" ca="1" si="12"/>
        <v>0.21295270558159349</v>
      </c>
      <c r="L63">
        <f t="shared" ca="1" si="12"/>
        <v>0.1621463794445886</v>
      </c>
      <c r="M63">
        <f t="shared" ca="1" si="12"/>
        <v>0.28641833810888251</v>
      </c>
      <c r="N63">
        <f t="shared" ca="1" si="12"/>
        <v>0.20149975810353166</v>
      </c>
      <c r="O63">
        <f t="shared" ca="1" si="12"/>
        <v>0.14378406436542951</v>
      </c>
      <c r="P63">
        <f t="shared" ca="1" si="12"/>
        <v>0.17868085792614094</v>
      </c>
      <c r="Q63">
        <f t="shared" ca="1" si="12"/>
        <v>0.26406101048617731</v>
      </c>
      <c r="R63">
        <f t="shared" ca="1" si="8"/>
        <v>0.56611731118608866</v>
      </c>
      <c r="S63">
        <f t="shared" ca="1" si="8"/>
        <v>0.3059304438100181</v>
      </c>
      <c r="T63">
        <f t="shared" ca="1" si="8"/>
        <v>0.38018061602967262</v>
      </c>
      <c r="V63" s="4">
        <f t="shared" si="6"/>
        <v>42038</v>
      </c>
      <c r="W63" s="5">
        <f t="shared" ca="1" si="5"/>
        <v>0.28641833810888251</v>
      </c>
      <c r="Z63" s="4">
        <f>IF(Sheet3!$A63="",MATCH("Error",AF63,0),Sheet3!$A63)</f>
        <v>42009</v>
      </c>
      <c r="AA63" s="5" t="str">
        <f ca="1">IF(OFFSET(Sheet3!$A$1,0,MATCH(W$1,Sheet3!$1:$1,0)-1,300)="","",OFFSET(Sheet3!$A$1,0,MATCH(W$1,Sheet3!$1:$1,0)-1,300))</f>
        <v/>
      </c>
      <c r="AB63" s="5">
        <f ca="1">IF(OFFSET(Sheet3!$A$1,0,MATCH(X$1,Sheet3!$1:$1,0)-1,300)="","",OFFSET(Sheet3!$A$1,0,MATCH(X$1,Sheet3!$1:$1,0)-1,300))</f>
        <v>2.9630999999999998</v>
      </c>
      <c r="AC63" t="str">
        <f t="shared" ca="1" si="0"/>
        <v/>
      </c>
      <c r="AD63" t="str">
        <f t="shared" ca="1" si="1"/>
        <v/>
      </c>
    </row>
    <row r="64" spans="1:34" x14ac:dyDescent="0.25">
      <c r="A64" s="4">
        <v>42037</v>
      </c>
      <c r="B64">
        <v>0.70350000000000001</v>
      </c>
      <c r="C64" s="5">
        <v>0.9798</v>
      </c>
      <c r="D64">
        <v>1.349</v>
      </c>
      <c r="E64">
        <v>1.5815000000000001</v>
      </c>
      <c r="F64">
        <v>1.7997999999999998</v>
      </c>
      <c r="G64">
        <v>2.1678000000000002</v>
      </c>
      <c r="H64">
        <f t="shared" ca="1" si="12"/>
        <v>0.4205011389521639</v>
      </c>
      <c r="I64">
        <f t="shared" ca="1" si="12"/>
        <v>0.33676913253671442</v>
      </c>
      <c r="J64">
        <f t="shared" ca="1" si="12"/>
        <v>0.25213412552072656</v>
      </c>
      <c r="K64">
        <f t="shared" ca="1" si="12"/>
        <v>0.21207698622639806</v>
      </c>
      <c r="L64">
        <f t="shared" ca="1" si="12"/>
        <v>0.15877893874206114</v>
      </c>
      <c r="M64">
        <f t="shared" ca="1" si="12"/>
        <v>0.28353658536585391</v>
      </c>
      <c r="N64">
        <f t="shared" ca="1" si="12"/>
        <v>0.1957070707070708</v>
      </c>
      <c r="O64">
        <f t="shared" ca="1" si="12"/>
        <v>0.14908147237587904</v>
      </c>
      <c r="P64">
        <f t="shared" ca="1" si="12"/>
        <v>0.1837542087542085</v>
      </c>
      <c r="Q64">
        <f t="shared" ca="1" si="12"/>
        <v>0.26660967269174363</v>
      </c>
      <c r="R64">
        <f t="shared" ca="1" si="8"/>
        <v>0.55999453663866672</v>
      </c>
      <c r="S64">
        <f t="shared" ca="1" si="8"/>
        <v>0.30786041111794021</v>
      </c>
      <c r="T64">
        <f t="shared" ca="1" si="8"/>
        <v>0.37946127946127928</v>
      </c>
      <c r="V64" s="4">
        <f t="shared" si="6"/>
        <v>42037</v>
      </c>
      <c r="W64" s="5">
        <f t="shared" ca="1" si="5"/>
        <v>0.28353658536585391</v>
      </c>
      <c r="Z64" s="4">
        <f>IF(Sheet3!$A64="",MATCH("Error",AF64,0),Sheet3!$A64)</f>
        <v>42006</v>
      </c>
      <c r="AA64" s="5" t="str">
        <f ca="1">IF(OFFSET(Sheet3!$A$1,0,MATCH(W$1,Sheet3!$1:$1,0)-1,300)="","",OFFSET(Sheet3!$A$1,0,MATCH(W$1,Sheet3!$1:$1,0)-1,300))</f>
        <v/>
      </c>
      <c r="AB64" s="5">
        <f ca="1">IF(OFFSET(Sheet3!$A$1,0,MATCH(X$1,Sheet3!$1:$1,0)-1,300)="","",OFFSET(Sheet3!$A$1,0,MATCH(X$1,Sheet3!$1:$1,0)-1,300))</f>
        <v>3.0194000000000001</v>
      </c>
      <c r="AC64" t="str">
        <f t="shared" ca="1" si="0"/>
        <v/>
      </c>
      <c r="AD64" t="str">
        <f t="shared" ca="1" si="1"/>
        <v/>
      </c>
      <c r="AH64" t="s">
        <v>131</v>
      </c>
    </row>
    <row r="65" spans="1:30" x14ac:dyDescent="0.25">
      <c r="A65" s="4">
        <v>42034</v>
      </c>
      <c r="B65">
        <v>0.6915</v>
      </c>
      <c r="C65" s="5">
        <v>0.96199999999999997</v>
      </c>
      <c r="D65">
        <v>1.3312999999999999</v>
      </c>
      <c r="E65">
        <v>1.5668</v>
      </c>
      <c r="F65">
        <v>1.7873000000000001</v>
      </c>
      <c r="G65">
        <v>2.1493000000000002</v>
      </c>
      <c r="H65">
        <f t="shared" ca="1" si="12"/>
        <v>0.42191248714726376</v>
      </c>
      <c r="I65">
        <f t="shared" ca="1" si="12"/>
        <v>0.33701405365942683</v>
      </c>
      <c r="J65">
        <f t="shared" ca="1" si="12"/>
        <v>0.25332693099190556</v>
      </c>
      <c r="K65">
        <f t="shared" ca="1" si="12"/>
        <v>0.21491148019711628</v>
      </c>
      <c r="L65">
        <f t="shared" ca="1" si="12"/>
        <v>0.16154479352448897</v>
      </c>
      <c r="M65">
        <f t="shared" ca="1" si="12"/>
        <v>0.28535078153398763</v>
      </c>
      <c r="N65">
        <f t="shared" ca="1" si="12"/>
        <v>0.19834919565400488</v>
      </c>
      <c r="O65">
        <f t="shared" ca="1" si="12"/>
        <v>0.1512553162299356</v>
      </c>
      <c r="P65">
        <f t="shared" ca="1" si="12"/>
        <v>0.1857154889244505</v>
      </c>
      <c r="Q65">
        <f t="shared" ca="1" si="12"/>
        <v>0.26955990220048909</v>
      </c>
      <c r="R65">
        <f t="shared" ca="1" si="8"/>
        <v>0.56612704074633013</v>
      </c>
      <c r="S65">
        <f t="shared" ca="1" si="8"/>
        <v>0.31280010975442457</v>
      </c>
      <c r="T65">
        <f t="shared" ca="1" si="8"/>
        <v>0.38406468457845538</v>
      </c>
      <c r="V65" s="4">
        <f t="shared" si="6"/>
        <v>42034</v>
      </c>
      <c r="W65" s="5">
        <f t="shared" ca="1" si="5"/>
        <v>0.28535078153398763</v>
      </c>
      <c r="Z65" s="4" t="e">
        <f>IF(Sheet3!$A65="",MATCH("Error",AF65,0),Sheet3!$A65)</f>
        <v>#N/A</v>
      </c>
      <c r="AA65" s="5" t="str">
        <f ca="1">IF(OFFSET(Sheet3!$A$1,0,MATCH(W$1,Sheet3!$1:$1,0)-1,300)="","",OFFSET(Sheet3!$A$1,0,MATCH(W$1,Sheet3!$1:$1,0)-1,300))</f>
        <v/>
      </c>
      <c r="AB65" s="5" t="str">
        <f ca="1">IF(OFFSET(Sheet3!$A$1,0,MATCH(X$1,Sheet3!$1:$1,0)-1,300)="","",OFFSET(Sheet3!$A$1,0,MATCH(X$1,Sheet3!$1:$1,0)-1,300))</f>
        <v/>
      </c>
      <c r="AC65" t="str">
        <f t="shared" ca="1" si="0"/>
        <v/>
      </c>
      <c r="AD65" t="str">
        <f t="shared" ca="1" si="1"/>
        <v/>
      </c>
    </row>
    <row r="66" spans="1:30" x14ac:dyDescent="0.25">
      <c r="A66" s="4">
        <v>42033</v>
      </c>
      <c r="B66">
        <v>0.74550000000000005</v>
      </c>
      <c r="C66" s="5">
        <v>1.0425</v>
      </c>
      <c r="D66">
        <v>1.4344999999999999</v>
      </c>
      <c r="E66">
        <v>1.6698</v>
      </c>
      <c r="F66">
        <v>1.8883000000000001</v>
      </c>
      <c r="G66">
        <v>2.2391999999999999</v>
      </c>
      <c r="H66">
        <f t="shared" ca="1" si="12"/>
        <v>0.42410472790219622</v>
      </c>
      <c r="I66">
        <f t="shared" ca="1" si="12"/>
        <v>0.34301715085754281</v>
      </c>
      <c r="J66">
        <f t="shared" ca="1" si="12"/>
        <v>0.2624355626966593</v>
      </c>
      <c r="K66">
        <f t="shared" ca="1" si="12"/>
        <v>0.20589779488974452</v>
      </c>
      <c r="L66">
        <f t="shared" ca="1" si="12"/>
        <v>0.15752828546562234</v>
      </c>
      <c r="M66">
        <f t="shared" ca="1" si="12"/>
        <v>0.27819815559233868</v>
      </c>
      <c r="N66">
        <f t="shared" ca="1" si="12"/>
        <v>0.19662404946937417</v>
      </c>
      <c r="O66">
        <f t="shared" ca="1" si="12"/>
        <v>0.14628104706433701</v>
      </c>
      <c r="P66">
        <f t="shared" ca="1" si="12"/>
        <v>0.18258544330241511</v>
      </c>
      <c r="Q66">
        <f t="shared" ca="1" si="12"/>
        <v>0.27152976264446393</v>
      </c>
      <c r="R66">
        <f t="shared" ca="1" si="8"/>
        <v>0.56624489522661858</v>
      </c>
      <c r="S66">
        <f t="shared" ca="1" si="8"/>
        <v>0.30380933252995934</v>
      </c>
      <c r="T66">
        <f t="shared" ca="1" si="8"/>
        <v>0.37920949277178928</v>
      </c>
      <c r="V66" s="4">
        <f t="shared" si="6"/>
        <v>42033</v>
      </c>
      <c r="W66" s="5">
        <f t="shared" ca="1" si="5"/>
        <v>0.27819815559233868</v>
      </c>
      <c r="Z66" s="4" t="e">
        <f>IF(Sheet3!$A66="",MATCH("Error",AF66,0),Sheet3!$A66)</f>
        <v>#N/A</v>
      </c>
      <c r="AA66" s="5" t="str">
        <f ca="1">IF(OFFSET(Sheet3!$A$1,0,MATCH(W$1,Sheet3!$1:$1,0)-1,300)="","",OFFSET(Sheet3!$A$1,0,MATCH(W$1,Sheet3!$1:$1,0)-1,300))</f>
        <v/>
      </c>
      <c r="AB66" s="5" t="str">
        <f ca="1">IF(OFFSET(Sheet3!$A$1,0,MATCH(X$1,Sheet3!$1:$1,0)-1,300)="","",OFFSET(Sheet3!$A$1,0,MATCH(X$1,Sheet3!$1:$1,0)-1,300))</f>
        <v/>
      </c>
      <c r="AC66" t="str">
        <f t="shared" ca="1" si="0"/>
        <v/>
      </c>
      <c r="AD66" t="str">
        <f t="shared" ca="1" si="1"/>
        <v/>
      </c>
    </row>
    <row r="67" spans="1:30" x14ac:dyDescent="0.25">
      <c r="A67" s="4">
        <v>42032</v>
      </c>
      <c r="B67">
        <v>0.72130000000000005</v>
      </c>
      <c r="C67" s="5">
        <v>1.0163</v>
      </c>
      <c r="D67">
        <v>1.4075</v>
      </c>
      <c r="E67">
        <v>1.6435</v>
      </c>
      <c r="F67">
        <v>1.8620000000000001</v>
      </c>
      <c r="G67">
        <v>2.2170000000000001</v>
      </c>
      <c r="H67">
        <f t="shared" ca="1" si="12"/>
        <v>0.42420299284320107</v>
      </c>
      <c r="I67">
        <f t="shared" ca="1" si="12"/>
        <v>0.34294731305338827</v>
      </c>
      <c r="J67">
        <f t="shared" ca="1" si="12"/>
        <v>0.26154977602460383</v>
      </c>
      <c r="K67">
        <f t="shared" ca="1" si="12"/>
        <v>0.20689050582975363</v>
      </c>
      <c r="L67">
        <f t="shared" ca="1" si="12"/>
        <v>0.15778565220298188</v>
      </c>
      <c r="M67">
        <f t="shared" ca="1" si="12"/>
        <v>0.27905876788459261</v>
      </c>
      <c r="N67">
        <f t="shared" ca="1" si="12"/>
        <v>0.19655201132672606</v>
      </c>
      <c r="O67">
        <f t="shared" ca="1" si="12"/>
        <v>0.14608544494216763</v>
      </c>
      <c r="P67">
        <f t="shared" ca="1" si="12"/>
        <v>0.18197717997834606</v>
      </c>
      <c r="Q67">
        <f t="shared" ca="1" si="12"/>
        <v>0.26991970352069194</v>
      </c>
      <c r="R67">
        <f t="shared" ca="1" si="8"/>
        <v>0.56542087316975331</v>
      </c>
      <c r="S67">
        <f t="shared" ca="1" si="8"/>
        <v>0.30387109714514948</v>
      </c>
      <c r="T67">
        <f t="shared" ca="1" si="8"/>
        <v>0.37852919130507212</v>
      </c>
      <c r="V67" s="4">
        <f t="shared" si="6"/>
        <v>42032</v>
      </c>
      <c r="W67" s="5">
        <f t="shared" ca="1" si="5"/>
        <v>0.27905876788459261</v>
      </c>
      <c r="Z67" s="4" t="e">
        <f>IF(Sheet3!$A67="",MATCH("Error",AF67,0),Sheet3!$A67)</f>
        <v>#N/A</v>
      </c>
      <c r="AA67" s="5" t="str">
        <f ca="1">IF(OFFSET(Sheet3!$A$1,0,MATCH(W$1,Sheet3!$1:$1,0)-1,300)="","",OFFSET(Sheet3!$A$1,0,MATCH(W$1,Sheet3!$1:$1,0)-1,300))</f>
        <v/>
      </c>
      <c r="AB67" s="5" t="str">
        <f ca="1">IF(OFFSET(Sheet3!$A$1,0,MATCH(X$1,Sheet3!$1:$1,0)-1,300)="","",OFFSET(Sheet3!$A$1,0,MATCH(X$1,Sheet3!$1:$1,0)-1,300))</f>
        <v/>
      </c>
      <c r="AC67" t="str">
        <f t="shared" ref="AC67:AC130" ca="1" si="13">IF(AND(AA67&lt;&gt;"",AB67&lt;&gt;""),ABS(AA67-AB67),"")</f>
        <v/>
      </c>
      <c r="AD67" t="str">
        <f t="shared" ref="AD67:AD130" ca="1" si="14">IF(ISNA(MATCH("",AC67:AC86,0)),AVERAGE(AC67:AC86),"")</f>
        <v/>
      </c>
    </row>
    <row r="68" spans="1:30" x14ac:dyDescent="0.25">
      <c r="A68" s="4">
        <v>42031</v>
      </c>
      <c r="B68">
        <v>0.76349999999999996</v>
      </c>
      <c r="C68" s="5">
        <v>1.0845</v>
      </c>
      <c r="D68">
        <v>1.5024999999999999</v>
      </c>
      <c r="E68">
        <v>1.748</v>
      </c>
      <c r="F68">
        <v>1.9704999999999999</v>
      </c>
      <c r="G68">
        <v>2.3313000000000001</v>
      </c>
      <c r="H68">
        <f t="shared" ca="1" si="12"/>
        <v>0.42458100558659206</v>
      </c>
      <c r="I68">
        <f t="shared" ca="1" si="12"/>
        <v>0.34631317315658655</v>
      </c>
      <c r="J68">
        <f t="shared" ca="1" si="12"/>
        <v>0.26661563974996805</v>
      </c>
      <c r="K68">
        <f t="shared" ca="1" si="12"/>
        <v>0.20339685169842592</v>
      </c>
      <c r="L68">
        <f t="shared" ca="1" si="12"/>
        <v>0.1565888506187014</v>
      </c>
      <c r="M68">
        <f t="shared" ca="1" si="12"/>
        <v>0.27708803611738159</v>
      </c>
      <c r="N68">
        <f t="shared" ca="1" si="12"/>
        <v>0.1969040744305422</v>
      </c>
      <c r="O68">
        <f t="shared" ca="1" si="12"/>
        <v>0.14191861206786574</v>
      </c>
      <c r="P68">
        <f t="shared" ca="1" si="12"/>
        <v>0.17845684953480903</v>
      </c>
      <c r="Q68">
        <f t="shared" ca="1" si="12"/>
        <v>0.26846042471042453</v>
      </c>
      <c r="R68">
        <f t="shared" ca="1" si="8"/>
        <v>0.56512310243653519</v>
      </c>
      <c r="S68">
        <f t="shared" ca="1" si="8"/>
        <v>0.29850746268656714</v>
      </c>
      <c r="T68">
        <f t="shared" ca="1" si="8"/>
        <v>0.37536092396535126</v>
      </c>
      <c r="V68" s="4">
        <f t="shared" si="6"/>
        <v>42031</v>
      </c>
      <c r="W68" s="5">
        <f t="shared" ca="1" si="5"/>
        <v>0.27708803611738159</v>
      </c>
      <c r="Z68" s="4" t="e">
        <f>IF(Sheet3!$A68="",MATCH("Error",AF68,0),Sheet3!$A68)</f>
        <v>#N/A</v>
      </c>
      <c r="AA68" s="5" t="str">
        <f ca="1">IF(OFFSET(Sheet3!$A$1,0,MATCH(W$1,Sheet3!$1:$1,0)-1,300)="","",OFFSET(Sheet3!$A$1,0,MATCH(W$1,Sheet3!$1:$1,0)-1,300))</f>
        <v/>
      </c>
      <c r="AB68" s="5" t="str">
        <f ca="1">IF(OFFSET(Sheet3!$A$1,0,MATCH(X$1,Sheet3!$1:$1,0)-1,300)="","",OFFSET(Sheet3!$A$1,0,MATCH(X$1,Sheet3!$1:$1,0)-1,300))</f>
        <v/>
      </c>
      <c r="AC68" t="str">
        <f t="shared" ca="1" si="13"/>
        <v/>
      </c>
      <c r="AD68" t="str">
        <f t="shared" ca="1" si="14"/>
        <v/>
      </c>
    </row>
    <row r="69" spans="1:30" x14ac:dyDescent="0.25">
      <c r="A69" s="4">
        <v>42030</v>
      </c>
      <c r="B69">
        <v>0.77049999999999996</v>
      </c>
      <c r="C69" s="5">
        <v>1.0888</v>
      </c>
      <c r="D69">
        <v>1.5028000000000001</v>
      </c>
      <c r="E69">
        <v>1.7490000000000001</v>
      </c>
      <c r="F69">
        <v>1.9695</v>
      </c>
      <c r="G69">
        <v>2.3243</v>
      </c>
      <c r="H69">
        <f t="shared" ca="1" si="12"/>
        <v>0.42309657639243747</v>
      </c>
      <c r="I69">
        <f t="shared" ca="1" si="12"/>
        <v>0.34528773978315275</v>
      </c>
      <c r="J69">
        <f t="shared" ca="1" si="12"/>
        <v>0.26644355772943756</v>
      </c>
      <c r="K69">
        <f t="shared" ca="1" si="12"/>
        <v>0.20533778148457044</v>
      </c>
      <c r="L69">
        <f t="shared" ca="1" si="12"/>
        <v>0.15845025099755436</v>
      </c>
      <c r="M69">
        <f t="shared" ca="1" si="12"/>
        <v>0.27955035767003517</v>
      </c>
      <c r="N69">
        <f t="shared" ca="1" si="12"/>
        <v>0.19927154997976526</v>
      </c>
      <c r="O69">
        <f t="shared" ca="1" si="12"/>
        <v>0.14191015574720034</v>
      </c>
      <c r="P69">
        <f t="shared" ca="1" si="12"/>
        <v>0.17847025495750701</v>
      </c>
      <c r="Q69">
        <f t="shared" ca="1" si="12"/>
        <v>0.26841144248326226</v>
      </c>
      <c r="R69">
        <f t="shared" ca="1" si="8"/>
        <v>0.56680396447419235</v>
      </c>
      <c r="S69">
        <f t="shared" ca="1" si="8"/>
        <v>0.30036040674475473</v>
      </c>
      <c r="T69">
        <f t="shared" ca="1" si="8"/>
        <v>0.37774180493727227</v>
      </c>
      <c r="V69" s="4">
        <f t="shared" si="6"/>
        <v>42030</v>
      </c>
      <c r="W69" s="5">
        <f t="shared" ca="1" si="5"/>
        <v>0.27955035767003517</v>
      </c>
      <c r="Z69" s="4" t="e">
        <f>IF(Sheet3!$A69="",MATCH("Error",AF69,0),Sheet3!$A69)</f>
        <v>#N/A</v>
      </c>
      <c r="AA69" s="5" t="str">
        <f ca="1">IF(OFFSET(Sheet3!$A$1,0,MATCH(W$1,Sheet3!$1:$1,0)-1,300)="","",OFFSET(Sheet3!$A$1,0,MATCH(W$1,Sheet3!$1:$1,0)-1,300))</f>
        <v/>
      </c>
      <c r="AB69" s="5" t="str">
        <f ca="1">IF(OFFSET(Sheet3!$A$1,0,MATCH(X$1,Sheet3!$1:$1,0)-1,300)="","",OFFSET(Sheet3!$A$1,0,MATCH(X$1,Sheet3!$1:$1,0)-1,300))</f>
        <v/>
      </c>
      <c r="AC69" t="str">
        <f t="shared" ca="1" si="13"/>
        <v/>
      </c>
      <c r="AD69" t="str">
        <f t="shared" ca="1" si="14"/>
        <v/>
      </c>
    </row>
    <row r="70" spans="1:30" x14ac:dyDescent="0.25">
      <c r="A70" s="4">
        <v>42027</v>
      </c>
      <c r="B70">
        <v>0.746</v>
      </c>
      <c r="C70" s="5">
        <v>1.0655000000000001</v>
      </c>
      <c r="D70">
        <v>1.4710000000000001</v>
      </c>
      <c r="E70">
        <v>1.7157</v>
      </c>
      <c r="F70">
        <v>1.9403000000000001</v>
      </c>
      <c r="G70">
        <v>2.2972000000000001</v>
      </c>
      <c r="H70">
        <f t="shared" ca="1" si="12"/>
        <v>0.41817056821697429</v>
      </c>
      <c r="I70">
        <f t="shared" ca="1" si="12"/>
        <v>0.33952943146613074</v>
      </c>
      <c r="J70">
        <f t="shared" ca="1" si="12"/>
        <v>0.26141052088705513</v>
      </c>
      <c r="K70">
        <f t="shared" ca="1" si="12"/>
        <v>0.20488989366155899</v>
      </c>
      <c r="L70">
        <f t="shared" ca="1" si="12"/>
        <v>0.15774883960804531</v>
      </c>
      <c r="M70">
        <f t="shared" ca="1" si="12"/>
        <v>0.27972107910379507</v>
      </c>
      <c r="N70">
        <f t="shared" ca="1" si="12"/>
        <v>0.19866850694162533</v>
      </c>
      <c r="O70">
        <f t="shared" ca="1" si="12"/>
        <v>0.14479112944816924</v>
      </c>
      <c r="P70">
        <f t="shared" ca="1" si="12"/>
        <v>0.18234959811642457</v>
      </c>
      <c r="Q70">
        <f t="shared" ca="1" si="12"/>
        <v>0.27184701040910209</v>
      </c>
      <c r="R70">
        <f t="shared" ca="1" si="8"/>
        <v>0.56395048994326968</v>
      </c>
      <c r="S70">
        <f t="shared" ca="1" si="8"/>
        <v>0.30253996905621455</v>
      </c>
      <c r="T70">
        <f t="shared" ca="1" si="8"/>
        <v>0.38101810505804989</v>
      </c>
      <c r="V70" s="4">
        <f t="shared" si="6"/>
        <v>42027</v>
      </c>
      <c r="W70" s="5">
        <f t="shared" ca="1" si="5"/>
        <v>0.27972107910379507</v>
      </c>
      <c r="Z70" s="4" t="e">
        <f>IF(Sheet3!$A70="",MATCH("Error",AF70,0),Sheet3!$A70)</f>
        <v>#N/A</v>
      </c>
      <c r="AA70" s="5" t="str">
        <f ca="1">IF(OFFSET(Sheet3!$A$1,0,MATCH(W$1,Sheet3!$1:$1,0)-1,300)="","",OFFSET(Sheet3!$A$1,0,MATCH(W$1,Sheet3!$1:$1,0)-1,300))</f>
        <v/>
      </c>
      <c r="AB70" s="5" t="str">
        <f ca="1">IF(OFFSET(Sheet3!$A$1,0,MATCH(X$1,Sheet3!$1:$1,0)-1,300)="","",OFFSET(Sheet3!$A$1,0,MATCH(X$1,Sheet3!$1:$1,0)-1,300))</f>
        <v/>
      </c>
      <c r="AC70" t="str">
        <f t="shared" ca="1" si="13"/>
        <v/>
      </c>
      <c r="AD70" t="str">
        <f t="shared" ca="1" si="14"/>
        <v/>
      </c>
    </row>
    <row r="71" spans="1:30" x14ac:dyDescent="0.25">
      <c r="A71" s="4">
        <v>42026</v>
      </c>
      <c r="B71">
        <v>0.76949999999999996</v>
      </c>
      <c r="C71" s="5">
        <v>1.0960000000000001</v>
      </c>
      <c r="D71">
        <v>1.5225</v>
      </c>
      <c r="E71">
        <v>1.7730000000000001</v>
      </c>
      <c r="F71">
        <v>2.0005000000000002</v>
      </c>
      <c r="G71">
        <v>2.3609999999999998</v>
      </c>
      <c r="H71">
        <f t="shared" ca="1" si="12"/>
        <v>0.42501245640259067</v>
      </c>
      <c r="I71">
        <f t="shared" ca="1" si="12"/>
        <v>0.34646628757108022</v>
      </c>
      <c r="J71">
        <f t="shared" ca="1" si="12"/>
        <v>0.26798617656299084</v>
      </c>
      <c r="K71">
        <f t="shared" ca="1" si="12"/>
        <v>0.20349309504467922</v>
      </c>
      <c r="L71">
        <f t="shared" ca="1" si="12"/>
        <v>0.15739868049010378</v>
      </c>
      <c r="M71">
        <f t="shared" ca="1" si="12"/>
        <v>0.27694859038142638</v>
      </c>
      <c r="N71">
        <f t="shared" ca="1" si="12"/>
        <v>0.19802371541501995</v>
      </c>
      <c r="O71">
        <f t="shared" ca="1" si="12"/>
        <v>0.14294690543512412</v>
      </c>
      <c r="P71">
        <f t="shared" ca="1" si="12"/>
        <v>0.17984189723320165</v>
      </c>
      <c r="Q71">
        <f t="shared" ca="1" si="12"/>
        <v>0.27131782945736443</v>
      </c>
      <c r="R71">
        <f t="shared" ca="1" si="8"/>
        <v>0.56833176248821871</v>
      </c>
      <c r="S71">
        <f t="shared" ca="1" si="8"/>
        <v>0.30034558592522792</v>
      </c>
      <c r="T71">
        <f t="shared" ca="1" si="8"/>
        <v>0.3778656126482216</v>
      </c>
      <c r="V71" s="4">
        <f t="shared" si="6"/>
        <v>42026</v>
      </c>
      <c r="W71" s="5">
        <f t="shared" ca="1" si="5"/>
        <v>0.27694859038142638</v>
      </c>
      <c r="Z71" s="4" t="e">
        <f>IF(Sheet3!$A71="",MATCH("Error",AF71,0),Sheet3!$A71)</f>
        <v>#N/A</v>
      </c>
      <c r="AA71" s="5" t="str">
        <f ca="1">IF(OFFSET(Sheet3!$A$1,0,MATCH(W$1,Sheet3!$1:$1,0)-1,300)="","",OFFSET(Sheet3!$A$1,0,MATCH(W$1,Sheet3!$1:$1,0)-1,300))</f>
        <v/>
      </c>
      <c r="AB71" s="5" t="str">
        <f ca="1">IF(OFFSET(Sheet3!$A$1,0,MATCH(X$1,Sheet3!$1:$1,0)-1,300)="","",OFFSET(Sheet3!$A$1,0,MATCH(X$1,Sheet3!$1:$1,0)-1,300))</f>
        <v/>
      </c>
      <c r="AC71" t="str">
        <f t="shared" ca="1" si="13"/>
        <v/>
      </c>
      <c r="AD71" t="str">
        <f t="shared" ca="1" si="14"/>
        <v/>
      </c>
    </row>
    <row r="72" spans="1:30" x14ac:dyDescent="0.25">
      <c r="A72" s="4">
        <v>42025</v>
      </c>
      <c r="B72">
        <v>0.74929999999999997</v>
      </c>
      <c r="C72" s="5">
        <v>1.0718000000000001</v>
      </c>
      <c r="D72">
        <v>1.5045999999999999</v>
      </c>
      <c r="E72">
        <v>1.7665</v>
      </c>
      <c r="F72">
        <v>2.0059999999999998</v>
      </c>
      <c r="G72">
        <v>2.3885000000000001</v>
      </c>
      <c r="H72">
        <f t="shared" ca="1" si="12"/>
        <v>0.42548171451042066</v>
      </c>
      <c r="I72">
        <f t="shared" ca="1" si="12"/>
        <v>0.34439404790323852</v>
      </c>
      <c r="J72">
        <f t="shared" ca="1" si="12"/>
        <v>0.26403123474865775</v>
      </c>
      <c r="K72">
        <f t="shared" ca="1" si="12"/>
        <v>0.20840296013368348</v>
      </c>
      <c r="L72">
        <f t="shared" ca="1" si="12"/>
        <v>0.15977306002928257</v>
      </c>
      <c r="M72">
        <f t="shared" ca="1" si="12"/>
        <v>0.28034682080924866</v>
      </c>
      <c r="N72">
        <f t="shared" ca="1" si="12"/>
        <v>0.19890635680109367</v>
      </c>
      <c r="O72">
        <f t="shared" ca="1" si="12"/>
        <v>0.14610785749145913</v>
      </c>
      <c r="P72">
        <f t="shared" ca="1" si="12"/>
        <v>0.18189412926255019</v>
      </c>
      <c r="Q72">
        <f t="shared" ca="1" si="12"/>
        <v>0.27095825319606265</v>
      </c>
      <c r="R72">
        <f t="shared" ca="1" si="8"/>
        <v>0.5699121522693994</v>
      </c>
      <c r="S72">
        <f t="shared" ca="1" si="8"/>
        <v>0.3058809175207417</v>
      </c>
      <c r="T72">
        <f t="shared" ca="1" si="8"/>
        <v>0.38080048606364386</v>
      </c>
      <c r="V72" s="4">
        <f t="shared" si="6"/>
        <v>42025</v>
      </c>
      <c r="W72" s="5">
        <f t="shared" ca="1" si="5"/>
        <v>0.28034682080924866</v>
      </c>
      <c r="Z72" s="4" t="e">
        <f>IF(Sheet3!$A72="",MATCH("Error",AF72,0),Sheet3!$A72)</f>
        <v>#N/A</v>
      </c>
      <c r="AA72" s="5" t="str">
        <f ca="1">IF(OFFSET(Sheet3!$A$1,0,MATCH(W$1,Sheet3!$1:$1,0)-1,300)="","",OFFSET(Sheet3!$A$1,0,MATCH(W$1,Sheet3!$1:$1,0)-1,300))</f>
        <v/>
      </c>
      <c r="AB72" s="5" t="str">
        <f ca="1">IF(OFFSET(Sheet3!$A$1,0,MATCH(X$1,Sheet3!$1:$1,0)-1,300)="","",OFFSET(Sheet3!$A$1,0,MATCH(X$1,Sheet3!$1:$1,0)-1,300))</f>
        <v/>
      </c>
      <c r="AC72" t="str">
        <f t="shared" ca="1" si="13"/>
        <v/>
      </c>
      <c r="AD72" t="str">
        <f t="shared" ca="1" si="14"/>
        <v/>
      </c>
    </row>
    <row r="73" spans="1:30" x14ac:dyDescent="0.25">
      <c r="A73" s="4">
        <v>42024</v>
      </c>
      <c r="B73">
        <v>0.73850000000000005</v>
      </c>
      <c r="C73" s="5">
        <v>1.0409999999999999</v>
      </c>
      <c r="D73">
        <v>1.4363000000000001</v>
      </c>
      <c r="E73">
        <v>1.6842999999999999</v>
      </c>
      <c r="F73">
        <v>1.9155</v>
      </c>
      <c r="G73">
        <v>2.3094999999999999</v>
      </c>
      <c r="H73">
        <f t="shared" ref="H73:Q82" ca="1" si="15">IF(ISERROR(ABS(OFFSET($A$11,ROW()-11,MATCH(LEFT(H$9,2),$A$11:$G$11,0)-1)-OFFSET($A$11,ROW()-11,MATCH(RIGHT(H$9,2),$A$11:$G$11,0)-1))/ABS(OFFSET($A$11,ROW()-11,MATCH(LEFT(H$10,2),$A$11:$G$11,0)-1)-OFFSET($A$11,ROW()-11,MATCH(RIGHT(H$10,2),$A$11:$G$11,0)-1))),"",ABS(OFFSET($A$11,ROW()-11,MATCH(LEFT(H$9,2),$A$11:$G$11,0)-1)-OFFSET($A$11,ROW()-11,MATCH(RIGHT(H$9,2),$A$11:$G$11,0)-1))/ABS(OFFSET($A$11,ROW()-11,MATCH(LEFT(H$10,2),$A$11:$G$11,0)-1)-OFFSET($A$11,ROW()-11,MATCH(RIGHT(H$10,2),$A$11:$G$11,0)-1)))</f>
        <v>0.41795305561429508</v>
      </c>
      <c r="I73">
        <f t="shared" ca="1" si="15"/>
        <v>0.33585386576040799</v>
      </c>
      <c r="J73">
        <f t="shared" ca="1" si="15"/>
        <v>0.25162316995544259</v>
      </c>
      <c r="K73">
        <f t="shared" ca="1" si="15"/>
        <v>0.21070518266779928</v>
      </c>
      <c r="L73">
        <f t="shared" ca="1" si="15"/>
        <v>0.15786123488224049</v>
      </c>
      <c r="M73">
        <f t="shared" ca="1" si="15"/>
        <v>0.28359062321326445</v>
      </c>
      <c r="N73">
        <f t="shared" ca="1" si="15"/>
        <v>0.19550650374458003</v>
      </c>
      <c r="O73">
        <f t="shared" ca="1" si="15"/>
        <v>0.14716740929344374</v>
      </c>
      <c r="P73">
        <f t="shared" ca="1" si="15"/>
        <v>0.18226251478123776</v>
      </c>
      <c r="Q73">
        <f t="shared" ca="1" si="15"/>
        <v>0.26477324782409545</v>
      </c>
      <c r="R73">
        <f t="shared" ca="1" si="8"/>
        <v>0.55665181413112685</v>
      </c>
      <c r="S73">
        <f t="shared" ca="1" si="8"/>
        <v>0.30502864417568426</v>
      </c>
      <c r="T73">
        <f t="shared" ca="1" si="8"/>
        <v>0.37776901852581779</v>
      </c>
      <c r="V73" s="4">
        <f t="shared" si="6"/>
        <v>42024</v>
      </c>
      <c r="W73" s="5">
        <f t="shared" ca="1" si="5"/>
        <v>0.28359062321326445</v>
      </c>
      <c r="Z73" s="4" t="e">
        <f>IF(Sheet3!$A73="",MATCH("Error",AF73,0),Sheet3!$A73)</f>
        <v>#N/A</v>
      </c>
      <c r="AA73" s="5" t="str">
        <f ca="1">IF(OFFSET(Sheet3!$A$1,0,MATCH(W$1,Sheet3!$1:$1,0)-1,300)="","",OFFSET(Sheet3!$A$1,0,MATCH(W$1,Sheet3!$1:$1,0)-1,300))</f>
        <v/>
      </c>
      <c r="AB73" s="5" t="str">
        <f ca="1">IF(OFFSET(Sheet3!$A$1,0,MATCH(X$1,Sheet3!$1:$1,0)-1,300)="","",OFFSET(Sheet3!$A$1,0,MATCH(X$1,Sheet3!$1:$1,0)-1,300))</f>
        <v/>
      </c>
      <c r="AC73" t="str">
        <f t="shared" ca="1" si="13"/>
        <v/>
      </c>
      <c r="AD73" t="str">
        <f t="shared" ca="1" si="14"/>
        <v/>
      </c>
    </row>
    <row r="74" spans="1:30" x14ac:dyDescent="0.25">
      <c r="A74" s="4">
        <v>42023</v>
      </c>
      <c r="B74">
        <v>0.72</v>
      </c>
      <c r="C74" s="5">
        <v>1.0269999999999999</v>
      </c>
      <c r="D74">
        <v>1.4562999999999999</v>
      </c>
      <c r="E74">
        <v>1.7124000000000001</v>
      </c>
      <c r="F74">
        <v>1.9534</v>
      </c>
      <c r="G74">
        <v>2.3719999999999999</v>
      </c>
      <c r="H74">
        <f t="shared" ca="1" si="15"/>
        <v>0.43258766626360334</v>
      </c>
      <c r="I74">
        <f t="shared" ca="1" si="15"/>
        <v>0.34806226690449166</v>
      </c>
      <c r="J74">
        <f t="shared" ca="1" si="15"/>
        <v>0.2598668280871671</v>
      </c>
      <c r="K74">
        <f t="shared" ca="1" si="15"/>
        <v>0.20763742500405399</v>
      </c>
      <c r="L74">
        <f t="shared" ca="1" si="15"/>
        <v>0.15502421307506067</v>
      </c>
      <c r="M74">
        <f t="shared" ca="1" si="15"/>
        <v>0.27644645941278084</v>
      </c>
      <c r="N74">
        <f t="shared" ca="1" si="15"/>
        <v>0.19040892193308567</v>
      </c>
      <c r="O74">
        <f t="shared" ca="1" si="15"/>
        <v>0.14588377723970938</v>
      </c>
      <c r="P74">
        <f t="shared" ca="1" si="15"/>
        <v>0.1791821561338289</v>
      </c>
      <c r="Q74">
        <f t="shared" ca="1" si="15"/>
        <v>0.26318663317680452</v>
      </c>
      <c r="R74">
        <f t="shared" ca="1" si="8"/>
        <v>0.5607748184019371</v>
      </c>
      <c r="S74">
        <f t="shared" ca="1" si="8"/>
        <v>0.30090799031477006</v>
      </c>
      <c r="T74">
        <f t="shared" ca="1" si="8"/>
        <v>0.3695910780669146</v>
      </c>
      <c r="V74" s="4">
        <f t="shared" si="6"/>
        <v>42023</v>
      </c>
      <c r="W74" s="5">
        <f t="shared" ca="1" si="5"/>
        <v>0.27644645941278084</v>
      </c>
      <c r="Z74" s="4" t="e">
        <f>IF(Sheet3!$A74="",MATCH("Error",AF74,0),Sheet3!$A74)</f>
        <v>#N/A</v>
      </c>
      <c r="AA74" s="5" t="str">
        <f ca="1">IF(OFFSET(Sheet3!$A$1,0,MATCH(W$1,Sheet3!$1:$1,0)-1,300)="","",OFFSET(Sheet3!$A$1,0,MATCH(W$1,Sheet3!$1:$1,0)-1,300))</f>
        <v/>
      </c>
      <c r="AB74" s="5" t="str">
        <f ca="1">IF(OFFSET(Sheet3!$A$1,0,MATCH(X$1,Sheet3!$1:$1,0)-1,300)="","",OFFSET(Sheet3!$A$1,0,MATCH(X$1,Sheet3!$1:$1,0)-1,300))</f>
        <v/>
      </c>
      <c r="AC74" t="str">
        <f t="shared" ca="1" si="13"/>
        <v/>
      </c>
      <c r="AD74" t="str">
        <f t="shared" ca="1" si="14"/>
        <v/>
      </c>
    </row>
    <row r="75" spans="1:30" x14ac:dyDescent="0.25">
      <c r="A75" s="4">
        <v>42020</v>
      </c>
      <c r="B75">
        <v>0.72299999999999998</v>
      </c>
      <c r="C75" s="5">
        <v>1.0369999999999999</v>
      </c>
      <c r="D75">
        <v>1.4556</v>
      </c>
      <c r="E75">
        <v>1.7135</v>
      </c>
      <c r="F75">
        <v>1.9560999999999999</v>
      </c>
      <c r="G75">
        <v>2.3761000000000001</v>
      </c>
      <c r="H75">
        <f t="shared" ca="1" si="15"/>
        <v>0.42261484098939933</v>
      </c>
      <c r="I75">
        <f t="shared" ca="1" si="15"/>
        <v>0.33946962938934405</v>
      </c>
      <c r="J75">
        <f t="shared" ca="1" si="15"/>
        <v>0.25322122073679754</v>
      </c>
      <c r="K75">
        <f t="shared" ca="1" si="15"/>
        <v>0.20914767658746253</v>
      </c>
      <c r="L75">
        <f t="shared" ca="1" si="15"/>
        <v>0.15600992075494524</v>
      </c>
      <c r="M75">
        <f t="shared" ca="1" si="15"/>
        <v>0.28060058753128059</v>
      </c>
      <c r="N75">
        <f t="shared" ca="1" si="15"/>
        <v>0.19259203942946754</v>
      </c>
      <c r="O75">
        <f t="shared" ca="1" si="15"/>
        <v>0.1467545822999213</v>
      </c>
      <c r="P75">
        <f t="shared" ca="1" si="15"/>
        <v>0.18116645508177126</v>
      </c>
      <c r="Q75">
        <f t="shared" ca="1" si="15"/>
        <v>0.26355241716458438</v>
      </c>
      <c r="R75">
        <f t="shared" ca="1" si="8"/>
        <v>0.55598572379166411</v>
      </c>
      <c r="S75">
        <f t="shared" ca="1" si="8"/>
        <v>0.30276450305486652</v>
      </c>
      <c r="T75">
        <f t="shared" ca="1" si="8"/>
        <v>0.37375849451123883</v>
      </c>
      <c r="V75" s="4">
        <f t="shared" si="6"/>
        <v>42020</v>
      </c>
      <c r="W75" s="5">
        <f t="shared" ca="1" si="5"/>
        <v>0.28060058753128059</v>
      </c>
      <c r="Z75" s="4" t="e">
        <f>IF(Sheet3!$A75="",MATCH("Error",AF75,0),Sheet3!$A75)</f>
        <v>#N/A</v>
      </c>
      <c r="AA75" s="5" t="str">
        <f ca="1">IF(OFFSET(Sheet3!$A$1,0,MATCH(W$1,Sheet3!$1:$1,0)-1,300)="","",OFFSET(Sheet3!$A$1,0,MATCH(W$1,Sheet3!$1:$1,0)-1,300))</f>
        <v/>
      </c>
      <c r="AB75" s="5" t="str">
        <f ca="1">IF(OFFSET(Sheet3!$A$1,0,MATCH(X$1,Sheet3!$1:$1,0)-1,300)="","",OFFSET(Sheet3!$A$1,0,MATCH(X$1,Sheet3!$1:$1,0)-1,300))</f>
        <v/>
      </c>
      <c r="AC75" t="str">
        <f t="shared" ca="1" si="13"/>
        <v/>
      </c>
      <c r="AD75" t="str">
        <f t="shared" ca="1" si="14"/>
        <v/>
      </c>
    </row>
    <row r="76" spans="1:30" x14ac:dyDescent="0.25">
      <c r="A76" s="4">
        <v>42019</v>
      </c>
      <c r="B76">
        <v>0.64529999999999998</v>
      </c>
      <c r="C76" s="5">
        <v>0.92800000000000005</v>
      </c>
      <c r="D76">
        <v>1.3125</v>
      </c>
      <c r="E76">
        <v>1.5775999999999999</v>
      </c>
      <c r="F76">
        <v>1.8332999999999999</v>
      </c>
      <c r="G76">
        <v>2.2917999999999998</v>
      </c>
      <c r="H76">
        <f t="shared" ca="1" si="15"/>
        <v>0.41242089456183628</v>
      </c>
      <c r="I76">
        <f t="shared" ca="1" si="15"/>
        <v>0.32365319865319864</v>
      </c>
      <c r="J76">
        <f t="shared" ca="1" si="15"/>
        <v>0.23352566049195261</v>
      </c>
      <c r="K76">
        <f t="shared" ca="1" si="15"/>
        <v>0.22314814814814807</v>
      </c>
      <c r="L76">
        <f t="shared" ca="1" si="15"/>
        <v>0.16100819921044635</v>
      </c>
      <c r="M76">
        <f t="shared" ca="1" si="15"/>
        <v>0.292831105710814</v>
      </c>
      <c r="N76">
        <f t="shared" ca="1" si="15"/>
        <v>0.19438334066578672</v>
      </c>
      <c r="O76">
        <f t="shared" ca="1" si="15"/>
        <v>0.15529911934406321</v>
      </c>
      <c r="P76">
        <f t="shared" ca="1" si="15"/>
        <v>0.18749083443320139</v>
      </c>
      <c r="Q76">
        <f t="shared" ca="1" si="15"/>
        <v>0.26110487082610034</v>
      </c>
      <c r="R76">
        <f t="shared" ca="1" si="8"/>
        <v>0.54983297904646222</v>
      </c>
      <c r="S76">
        <f t="shared" ca="1" si="8"/>
        <v>0.31630731855450955</v>
      </c>
      <c r="T76">
        <f t="shared" ca="1" si="8"/>
        <v>0.38187417509898808</v>
      </c>
      <c r="V76" s="4">
        <f t="shared" si="6"/>
        <v>42019</v>
      </c>
      <c r="W76" s="5">
        <f t="shared" ref="W76:W139" ca="1" si="16">OFFSET($H$12,0,MATCH(select,$H$12:$T$12,0)-1,300,1)</f>
        <v>0.292831105710814</v>
      </c>
      <c r="Z76" s="4" t="e">
        <f>IF(Sheet3!$A76="",MATCH("Error",AF76,0),Sheet3!$A76)</f>
        <v>#N/A</v>
      </c>
      <c r="AA76" s="5" t="str">
        <f ca="1">IF(OFFSET(Sheet3!$A$1,0,MATCH(W$1,Sheet3!$1:$1,0)-1,300)="","",OFFSET(Sheet3!$A$1,0,MATCH(W$1,Sheet3!$1:$1,0)-1,300))</f>
        <v/>
      </c>
      <c r="AB76" s="5" t="str">
        <f ca="1">IF(OFFSET(Sheet3!$A$1,0,MATCH(X$1,Sheet3!$1:$1,0)-1,300)="","",OFFSET(Sheet3!$A$1,0,MATCH(X$1,Sheet3!$1:$1,0)-1,300))</f>
        <v/>
      </c>
      <c r="AC76" t="str">
        <f t="shared" ca="1" si="13"/>
        <v/>
      </c>
      <c r="AD76" t="str">
        <f t="shared" ca="1" si="14"/>
        <v/>
      </c>
    </row>
    <row r="77" spans="1:30" x14ac:dyDescent="0.25">
      <c r="A77" s="4">
        <v>42018</v>
      </c>
      <c r="B77">
        <v>0.72299999999999998</v>
      </c>
      <c r="C77" s="5">
        <v>1.0345</v>
      </c>
      <c r="D77">
        <v>1.4613</v>
      </c>
      <c r="E77">
        <v>1.7252999999999998</v>
      </c>
      <c r="F77">
        <v>1.9689999999999999</v>
      </c>
      <c r="G77">
        <v>2.3927999999999998</v>
      </c>
      <c r="H77">
        <f t="shared" ca="1" si="15"/>
        <v>0.4258206125910407</v>
      </c>
      <c r="I77">
        <f t="shared" ca="1" si="15"/>
        <v>0.3425361155698235</v>
      </c>
      <c r="J77">
        <f t="shared" ca="1" si="15"/>
        <v>0.2555994729907774</v>
      </c>
      <c r="K77">
        <f t="shared" ca="1" si="15"/>
        <v>0.21187800963081846</v>
      </c>
      <c r="L77">
        <f t="shared" ca="1" si="15"/>
        <v>0.15810276679841886</v>
      </c>
      <c r="M77">
        <f t="shared" ca="1" si="15"/>
        <v>0.28250401284109128</v>
      </c>
      <c r="N77">
        <f t="shared" ca="1" si="15"/>
        <v>0.194360597806081</v>
      </c>
      <c r="O77">
        <f t="shared" ca="1" si="15"/>
        <v>0.14594562223020724</v>
      </c>
      <c r="P77">
        <f t="shared" ca="1" si="15"/>
        <v>0.17941544577781054</v>
      </c>
      <c r="Q77">
        <f t="shared" ca="1" si="15"/>
        <v>0.26162104133118635</v>
      </c>
      <c r="R77">
        <f t="shared" ca="1" si="8"/>
        <v>0.55964786201940342</v>
      </c>
      <c r="S77">
        <f t="shared" ca="1" si="8"/>
        <v>0.30404838902862608</v>
      </c>
      <c r="T77">
        <f t="shared" ca="1" si="8"/>
        <v>0.37377604358389155</v>
      </c>
      <c r="V77" s="4">
        <f t="shared" si="6"/>
        <v>42018</v>
      </c>
      <c r="W77" s="5">
        <f t="shared" ca="1" si="16"/>
        <v>0.28250401284109128</v>
      </c>
      <c r="Z77" s="4" t="e">
        <f>IF(Sheet3!$A77="",MATCH("Error",AF77,0),Sheet3!$A77)</f>
        <v>#N/A</v>
      </c>
      <c r="AA77" s="5" t="str">
        <f ca="1">IF(OFFSET(Sheet3!$A$1,0,MATCH(W$1,Sheet3!$1:$1,0)-1,300)="","",OFFSET(Sheet3!$A$1,0,MATCH(W$1,Sheet3!$1:$1,0)-1,300))</f>
        <v/>
      </c>
      <c r="AB77" s="5" t="str">
        <f ca="1">IF(OFFSET(Sheet3!$A$1,0,MATCH(X$1,Sheet3!$1:$1,0)-1,300)="","",OFFSET(Sheet3!$A$1,0,MATCH(X$1,Sheet3!$1:$1,0)-1,300))</f>
        <v/>
      </c>
      <c r="AC77" t="str">
        <f t="shared" ca="1" si="13"/>
        <v/>
      </c>
      <c r="AD77" t="str">
        <f t="shared" ca="1" si="14"/>
        <v/>
      </c>
    </row>
    <row r="78" spans="1:30" x14ac:dyDescent="0.25">
      <c r="A78" s="4">
        <v>42017</v>
      </c>
      <c r="B78">
        <v>0.76229999999999998</v>
      </c>
      <c r="C78" s="5">
        <v>1.0832999999999999</v>
      </c>
      <c r="D78">
        <v>1.5105</v>
      </c>
      <c r="E78">
        <v>1.772</v>
      </c>
      <c r="F78">
        <v>2.0133000000000001</v>
      </c>
      <c r="G78">
        <v>2.4283000000000001</v>
      </c>
      <c r="H78">
        <f t="shared" ca="1" si="15"/>
        <v>0.42309596909973263</v>
      </c>
      <c r="I78">
        <f t="shared" ca="1" si="15"/>
        <v>0.34148681055155872</v>
      </c>
      <c r="J78">
        <f t="shared" ca="1" si="15"/>
        <v>0.25642256902761101</v>
      </c>
      <c r="K78">
        <f t="shared" ca="1" si="15"/>
        <v>0.20903277378097526</v>
      </c>
      <c r="L78">
        <f t="shared" ca="1" si="15"/>
        <v>0.15696278511404566</v>
      </c>
      <c r="M78">
        <f t="shared" ca="1" si="15"/>
        <v>0.28118279569892474</v>
      </c>
      <c r="N78">
        <f t="shared" ca="1" si="15"/>
        <v>0.19442379182156136</v>
      </c>
      <c r="O78">
        <f t="shared" ca="1" si="15"/>
        <v>0.14483793517406965</v>
      </c>
      <c r="P78">
        <f t="shared" ca="1" si="15"/>
        <v>0.17940520446096656</v>
      </c>
      <c r="Q78">
        <f t="shared" ca="1" si="15"/>
        <v>0.26291130965351933</v>
      </c>
      <c r="R78">
        <f t="shared" ca="1" si="8"/>
        <v>0.55822328931572629</v>
      </c>
      <c r="S78">
        <f t="shared" ca="1" si="8"/>
        <v>0.30180072028811528</v>
      </c>
      <c r="T78">
        <f t="shared" ca="1" si="8"/>
        <v>0.37382899628252791</v>
      </c>
      <c r="V78" s="4">
        <f t="shared" ref="V78:V141" si="17">IF(A78&lt;&gt;"",A78,"")</f>
        <v>42017</v>
      </c>
      <c r="W78" s="5">
        <f t="shared" ca="1" si="16"/>
        <v>0.28118279569892474</v>
      </c>
      <c r="Z78" s="4" t="e">
        <f>IF(Sheet3!$A78="",MATCH("Error",AF78,0),Sheet3!$A78)</f>
        <v>#N/A</v>
      </c>
      <c r="AA78" s="5" t="str">
        <f ca="1">IF(OFFSET(Sheet3!$A$1,0,MATCH(W$1,Sheet3!$1:$1,0)-1,300)="","",OFFSET(Sheet3!$A$1,0,MATCH(W$1,Sheet3!$1:$1,0)-1,300))</f>
        <v/>
      </c>
      <c r="AB78" s="5" t="str">
        <f ca="1">IF(OFFSET(Sheet3!$A$1,0,MATCH(X$1,Sheet3!$1:$1,0)-1,300)="","",OFFSET(Sheet3!$A$1,0,MATCH(X$1,Sheet3!$1:$1,0)-1,300))</f>
        <v/>
      </c>
      <c r="AC78" t="str">
        <f t="shared" ca="1" si="13"/>
        <v/>
      </c>
      <c r="AD78" t="str">
        <f t="shared" ca="1" si="14"/>
        <v/>
      </c>
    </row>
    <row r="79" spans="1:30" x14ac:dyDescent="0.25">
      <c r="A79" s="4">
        <v>42016</v>
      </c>
      <c r="B79">
        <v>0.77580000000000005</v>
      </c>
      <c r="C79" s="5">
        <v>1.1003000000000001</v>
      </c>
      <c r="D79">
        <v>1.524</v>
      </c>
      <c r="E79">
        <v>1.784</v>
      </c>
      <c r="F79">
        <v>2.0253000000000001</v>
      </c>
      <c r="G79">
        <v>2.4325000000000001</v>
      </c>
      <c r="H79">
        <f t="shared" ca="1" si="15"/>
        <v>0.4202539178734378</v>
      </c>
      <c r="I79">
        <f t="shared" ca="1" si="15"/>
        <v>0.33909563825530209</v>
      </c>
      <c r="J79">
        <f t="shared" ca="1" si="15"/>
        <v>0.25574938130017499</v>
      </c>
      <c r="K79">
        <f t="shared" ca="1" si="15"/>
        <v>0.20808323329331732</v>
      </c>
      <c r="L79">
        <f t="shared" ca="1" si="15"/>
        <v>0.15693849218325587</v>
      </c>
      <c r="M79">
        <f t="shared" ca="1" si="15"/>
        <v>0.2810810810810811</v>
      </c>
      <c r="N79">
        <f t="shared" ca="1" si="15"/>
        <v>0.19516589100735626</v>
      </c>
      <c r="O79">
        <f t="shared" ca="1" si="15"/>
        <v>0.1456509929377679</v>
      </c>
      <c r="P79">
        <f t="shared" ca="1" si="15"/>
        <v>0.18112895961567338</v>
      </c>
      <c r="Q79">
        <f t="shared" ca="1" si="15"/>
        <v>0.26560264171711617</v>
      </c>
      <c r="R79">
        <f t="shared" ca="1" si="8"/>
        <v>0.55833886642119879</v>
      </c>
      <c r="S79">
        <f t="shared" ca="1" si="8"/>
        <v>0.30258948512102374</v>
      </c>
      <c r="T79">
        <f t="shared" ca="1" si="8"/>
        <v>0.37629485062302964</v>
      </c>
      <c r="V79" s="4">
        <f t="shared" si="17"/>
        <v>42016</v>
      </c>
      <c r="W79" s="5">
        <f t="shared" ca="1" si="16"/>
        <v>0.2810810810810811</v>
      </c>
      <c r="Z79" s="4" t="e">
        <f>IF(Sheet3!$A79="",MATCH("Error",AF79,0),Sheet3!$A79)</f>
        <v>#N/A</v>
      </c>
      <c r="AA79" s="5" t="str">
        <f ca="1">IF(OFFSET(Sheet3!$A$1,0,MATCH(W$1,Sheet3!$1:$1,0)-1,300)="","",OFFSET(Sheet3!$A$1,0,MATCH(W$1,Sheet3!$1:$1,0)-1,300))</f>
        <v/>
      </c>
      <c r="AB79" s="5" t="str">
        <f ca="1">IF(OFFSET(Sheet3!$A$1,0,MATCH(X$1,Sheet3!$1:$1,0)-1,300)="","",OFFSET(Sheet3!$A$1,0,MATCH(X$1,Sheet3!$1:$1,0)-1,300))</f>
        <v/>
      </c>
      <c r="AC79" t="str">
        <f t="shared" ca="1" si="13"/>
        <v/>
      </c>
      <c r="AD79" t="str">
        <f t="shared" ca="1" si="14"/>
        <v/>
      </c>
    </row>
    <row r="80" spans="1:30" x14ac:dyDescent="0.25">
      <c r="A80" s="4">
        <v>42013</v>
      </c>
      <c r="B80">
        <v>0.7893</v>
      </c>
      <c r="C80" s="5">
        <v>1.1339999999999999</v>
      </c>
      <c r="D80">
        <v>1.5663</v>
      </c>
      <c r="E80">
        <v>1.827</v>
      </c>
      <c r="F80">
        <v>2.0665</v>
      </c>
      <c r="G80">
        <v>2.4698000000000002</v>
      </c>
      <c r="H80">
        <f t="shared" ca="1" si="15"/>
        <v>0.41659439144261357</v>
      </c>
      <c r="I80">
        <f t="shared" ca="1" si="15"/>
        <v>0.33847478860006269</v>
      </c>
      <c r="J80">
        <f t="shared" ca="1" si="15"/>
        <v>0.25724486759892889</v>
      </c>
      <c r="K80">
        <f t="shared" ca="1" si="15"/>
        <v>0.20411838396492321</v>
      </c>
      <c r="L80">
        <f t="shared" ca="1" si="15"/>
        <v>0.1551324010711097</v>
      </c>
      <c r="M80">
        <f t="shared" ca="1" si="15"/>
        <v>0.27957104557640738</v>
      </c>
      <c r="N80">
        <f t="shared" ca="1" si="15"/>
        <v>0.19516394669860748</v>
      </c>
      <c r="O80">
        <f t="shared" ca="1" si="15"/>
        <v>0.14251710800357037</v>
      </c>
      <c r="P80">
        <f t="shared" ca="1" si="15"/>
        <v>0.1792933073813445</v>
      </c>
      <c r="Q80">
        <f t="shared" ca="1" si="15"/>
        <v>0.26508024349750969</v>
      </c>
      <c r="R80">
        <f t="shared" ca="1" si="8"/>
        <v>0.55489437667360897</v>
      </c>
      <c r="S80">
        <f t="shared" ca="1" si="8"/>
        <v>0.29764950907468007</v>
      </c>
      <c r="T80">
        <f t="shared" ca="1" si="8"/>
        <v>0.37445725407995201</v>
      </c>
      <c r="V80" s="4">
        <f t="shared" si="17"/>
        <v>42013</v>
      </c>
      <c r="W80" s="5">
        <f t="shared" ca="1" si="16"/>
        <v>0.27957104557640738</v>
      </c>
      <c r="Z80" s="4" t="e">
        <f>IF(Sheet3!$A80="",MATCH("Error",AF80,0),Sheet3!$A80)</f>
        <v>#N/A</v>
      </c>
      <c r="AA80" s="5" t="str">
        <f ca="1">IF(OFFSET(Sheet3!$A$1,0,MATCH(W$1,Sheet3!$1:$1,0)-1,300)="","",OFFSET(Sheet3!$A$1,0,MATCH(W$1,Sheet3!$1:$1,0)-1,300))</f>
        <v/>
      </c>
      <c r="AB80" s="5" t="str">
        <f ca="1">IF(OFFSET(Sheet3!$A$1,0,MATCH(X$1,Sheet3!$1:$1,0)-1,300)="","",OFFSET(Sheet3!$A$1,0,MATCH(X$1,Sheet3!$1:$1,0)-1,300))</f>
        <v/>
      </c>
      <c r="AC80" t="str">
        <f t="shared" ca="1" si="13"/>
        <v/>
      </c>
      <c r="AD80" t="str">
        <f t="shared" ca="1" si="14"/>
        <v/>
      </c>
    </row>
    <row r="81" spans="1:30" x14ac:dyDescent="0.25">
      <c r="A81" s="4">
        <v>42012</v>
      </c>
      <c r="B81">
        <v>0.84050000000000002</v>
      </c>
      <c r="C81" s="5">
        <v>1.1910000000000001</v>
      </c>
      <c r="D81">
        <v>1.6373</v>
      </c>
      <c r="E81">
        <v>1.8995</v>
      </c>
      <c r="F81">
        <v>2.1379999999999999</v>
      </c>
      <c r="G81">
        <v>2.5484999999999998</v>
      </c>
      <c r="H81">
        <f t="shared" ca="1" si="15"/>
        <v>0.42143531633616615</v>
      </c>
      <c r="I81">
        <f t="shared" ca="1" si="15"/>
        <v>0.34396917148362233</v>
      </c>
      <c r="J81">
        <f t="shared" ca="1" si="15"/>
        <v>0.26129976580796255</v>
      </c>
      <c r="K81">
        <f t="shared" ca="1" si="15"/>
        <v>0.20208092485549134</v>
      </c>
      <c r="L81">
        <f t="shared" ca="1" si="15"/>
        <v>0.15351288056206092</v>
      </c>
      <c r="M81">
        <f t="shared" ca="1" si="15"/>
        <v>0.27687434002111938</v>
      </c>
      <c r="N81">
        <f t="shared" ca="1" si="15"/>
        <v>0.19314917127071826</v>
      </c>
      <c r="O81">
        <f t="shared" ca="1" si="15"/>
        <v>0.13963700234192036</v>
      </c>
      <c r="P81">
        <f t="shared" ca="1" si="15"/>
        <v>0.17569060773480663</v>
      </c>
      <c r="Q81">
        <f t="shared" ca="1" si="15"/>
        <v>0.26174275680421422</v>
      </c>
      <c r="R81">
        <f t="shared" ca="1" si="8"/>
        <v>0.5544496487119438</v>
      </c>
      <c r="S81">
        <f t="shared" ca="1" si="8"/>
        <v>0.29314988290398125</v>
      </c>
      <c r="T81">
        <f t="shared" ca="1" si="8"/>
        <v>0.36883977900552489</v>
      </c>
      <c r="V81" s="4">
        <f t="shared" si="17"/>
        <v>42012</v>
      </c>
      <c r="W81" s="5">
        <f t="shared" ca="1" si="16"/>
        <v>0.27687434002111938</v>
      </c>
      <c r="Z81" s="4" t="e">
        <f>IF(Sheet3!$A81="",MATCH("Error",AF81,0),Sheet3!$A81)</f>
        <v>#N/A</v>
      </c>
      <c r="AA81" s="5" t="str">
        <f ca="1">IF(OFFSET(Sheet3!$A$1,0,MATCH(W$1,Sheet3!$1:$1,0)-1,300)="","",OFFSET(Sheet3!$A$1,0,MATCH(W$1,Sheet3!$1:$1,0)-1,300))</f>
        <v/>
      </c>
      <c r="AB81" s="5" t="str">
        <f ca="1">IF(OFFSET(Sheet3!$A$1,0,MATCH(X$1,Sheet3!$1:$1,0)-1,300)="","",OFFSET(Sheet3!$A$1,0,MATCH(X$1,Sheet3!$1:$1,0)-1,300))</f>
        <v/>
      </c>
      <c r="AC81" t="str">
        <f t="shared" ca="1" si="13"/>
        <v/>
      </c>
      <c r="AD81" t="str">
        <f t="shared" ca="1" si="14"/>
        <v/>
      </c>
    </row>
    <row r="82" spans="1:30" x14ac:dyDescent="0.25">
      <c r="A82" s="4">
        <v>42011</v>
      </c>
      <c r="B82">
        <v>0.84250000000000003</v>
      </c>
      <c r="C82" s="5">
        <v>1.1901999999999999</v>
      </c>
      <c r="D82">
        <v>1.6187</v>
      </c>
      <c r="E82">
        <v>1.8618999999999999</v>
      </c>
      <c r="F82">
        <v>2.0838000000000001</v>
      </c>
      <c r="G82">
        <v>2.4740000000000002</v>
      </c>
      <c r="H82">
        <f t="shared" ca="1" si="15"/>
        <v>0.42034530115754382</v>
      </c>
      <c r="I82">
        <f t="shared" ca="1" si="15"/>
        <v>0.34520261016676074</v>
      </c>
      <c r="J82">
        <f t="shared" ca="1" si="15"/>
        <v>0.26264174072939017</v>
      </c>
      <c r="K82">
        <f t="shared" ca="1" si="15"/>
        <v>0.19592362845403999</v>
      </c>
      <c r="L82">
        <f t="shared" ca="1" si="15"/>
        <v>0.14906527735212985</v>
      </c>
      <c r="M82">
        <f t="shared" ca="1" si="15"/>
        <v>0.27215756490599802</v>
      </c>
      <c r="N82">
        <f t="shared" ca="1" si="15"/>
        <v>0.18943760710391011</v>
      </c>
      <c r="O82">
        <f t="shared" ca="1" si="15"/>
        <v>0.1360098069261417</v>
      </c>
      <c r="P82">
        <f t="shared" ca="1" si="15"/>
        <v>0.17284623773173405</v>
      </c>
      <c r="Q82">
        <f t="shared" ca="1" si="15"/>
        <v>0.25944113176663181</v>
      </c>
      <c r="R82">
        <f t="shared" ca="1" si="8"/>
        <v>0.54771682500766172</v>
      </c>
      <c r="S82">
        <f t="shared" ca="1" si="8"/>
        <v>0.28507508427827155</v>
      </c>
      <c r="T82">
        <f t="shared" ca="1" si="8"/>
        <v>0.36228384483564413</v>
      </c>
      <c r="V82" s="4">
        <f t="shared" si="17"/>
        <v>42011</v>
      </c>
      <c r="W82" s="5">
        <f t="shared" ca="1" si="16"/>
        <v>0.27215756490599802</v>
      </c>
      <c r="Z82" s="4" t="e">
        <f>IF(Sheet3!$A82="",MATCH("Error",AF82,0),Sheet3!$A82)</f>
        <v>#N/A</v>
      </c>
      <c r="AA82" s="5" t="str">
        <f ca="1">IF(OFFSET(Sheet3!$A$1,0,MATCH(W$1,Sheet3!$1:$1,0)-1,300)="","",OFFSET(Sheet3!$A$1,0,MATCH(W$1,Sheet3!$1:$1,0)-1,300))</f>
        <v/>
      </c>
      <c r="AB82" s="5" t="str">
        <f ca="1">IF(OFFSET(Sheet3!$A$1,0,MATCH(X$1,Sheet3!$1:$1,0)-1,300)="","",OFFSET(Sheet3!$A$1,0,MATCH(X$1,Sheet3!$1:$1,0)-1,300))</f>
        <v/>
      </c>
      <c r="AC82" t="str">
        <f t="shared" ca="1" si="13"/>
        <v/>
      </c>
      <c r="AD82" t="str">
        <f t="shared" ca="1" si="14"/>
        <v/>
      </c>
    </row>
    <row r="83" spans="1:30" x14ac:dyDescent="0.25">
      <c r="A83" s="4">
        <v>42010</v>
      </c>
      <c r="B83">
        <v>0.85199999999999998</v>
      </c>
      <c r="C83" s="5">
        <v>1.1955</v>
      </c>
      <c r="D83">
        <v>1.6071</v>
      </c>
      <c r="E83">
        <v>1.8357000000000001</v>
      </c>
      <c r="F83">
        <v>2.0455000000000001</v>
      </c>
      <c r="G83">
        <v>2.4371</v>
      </c>
      <c r="H83">
        <f t="shared" ref="H83:Q92" ca="1" si="18">IF(ISERROR(ABS(OFFSET($A$11,ROW()-11,MATCH(LEFT(H$9,2),$A$11:$G$11,0)-1)-OFFSET($A$11,ROW()-11,MATCH(RIGHT(H$9,2),$A$11:$G$11,0)-1))/ABS(OFFSET($A$11,ROW()-11,MATCH(LEFT(H$10,2),$A$11:$G$11,0)-1)-OFFSET($A$11,ROW()-11,MATCH(RIGHT(H$10,2),$A$11:$G$11,0)-1))),"",ABS(OFFSET($A$11,ROW()-11,MATCH(LEFT(H$9,2),$A$11:$G$11,0)-1)-OFFSET($A$11,ROW()-11,MATCH(RIGHT(H$9,2),$A$11:$G$11,0)-1))/ABS(OFFSET($A$11,ROW()-11,MATCH(LEFT(H$10,2),$A$11:$G$11,0)-1)-OFFSET($A$11,ROW()-11,MATCH(RIGHT(H$10,2),$A$11:$G$11,0)-1)))</f>
        <v>0.41842025007624267</v>
      </c>
      <c r="I83">
        <f t="shared" ca="1" si="18"/>
        <v>0.34486803519061576</v>
      </c>
      <c r="J83">
        <f t="shared" ca="1" si="18"/>
        <v>0.25966815973755591</v>
      </c>
      <c r="K83">
        <f t="shared" ca="1" si="18"/>
        <v>0.19153749476330129</v>
      </c>
      <c r="L83">
        <f t="shared" ca="1" si="18"/>
        <v>0.14421803040817621</v>
      </c>
      <c r="M83">
        <f t="shared" ca="1" si="18"/>
        <v>0.26894117647058835</v>
      </c>
      <c r="N83">
        <f t="shared" ca="1" si="18"/>
        <v>0.18411726804123721</v>
      </c>
      <c r="O83">
        <f t="shared" ca="1" si="18"/>
        <v>0.13235757996340922</v>
      </c>
      <c r="P83">
        <f t="shared" ca="1" si="18"/>
        <v>0.16897551546391751</v>
      </c>
      <c r="Q83">
        <f t="shared" ca="1" si="18"/>
        <v>0.25277108433734935</v>
      </c>
      <c r="R83">
        <f t="shared" ca="1" si="8"/>
        <v>0.53624377010914137</v>
      </c>
      <c r="S83">
        <f t="shared" ca="1" si="8"/>
        <v>0.27657561037158546</v>
      </c>
      <c r="T83">
        <f t="shared" ca="1" si="8"/>
        <v>0.35309278350515472</v>
      </c>
      <c r="V83" s="4">
        <f t="shared" si="17"/>
        <v>42010</v>
      </c>
      <c r="W83" s="5">
        <f t="shared" ca="1" si="16"/>
        <v>0.26894117647058835</v>
      </c>
      <c r="Z83" s="4" t="e">
        <f>IF(Sheet3!$A83="",MATCH("Error",AF83,0),Sheet3!$A83)</f>
        <v>#N/A</v>
      </c>
      <c r="AA83" s="5" t="str">
        <f ca="1">IF(OFFSET(Sheet3!$A$1,0,MATCH(W$1,Sheet3!$1:$1,0)-1,300)="","",OFFSET(Sheet3!$A$1,0,MATCH(W$1,Sheet3!$1:$1,0)-1,300))</f>
        <v/>
      </c>
      <c r="AB83" s="5" t="str">
        <f ca="1">IF(OFFSET(Sheet3!$A$1,0,MATCH(X$1,Sheet3!$1:$1,0)-1,300)="","",OFFSET(Sheet3!$A$1,0,MATCH(X$1,Sheet3!$1:$1,0)-1,300))</f>
        <v/>
      </c>
      <c r="AC83" t="str">
        <f t="shared" ca="1" si="13"/>
        <v/>
      </c>
      <c r="AD83" t="str">
        <f t="shared" ca="1" si="14"/>
        <v/>
      </c>
    </row>
    <row r="84" spans="1:30" x14ac:dyDescent="0.25">
      <c r="A84" s="4">
        <v>42009</v>
      </c>
      <c r="B84">
        <v>0.88549999999999995</v>
      </c>
      <c r="C84" s="5">
        <v>1.2543</v>
      </c>
      <c r="D84">
        <v>1.6933</v>
      </c>
      <c r="E84">
        <v>1.9298</v>
      </c>
      <c r="F84">
        <v>2.1423999999999999</v>
      </c>
      <c r="G84">
        <v>2.5467</v>
      </c>
      <c r="H84">
        <f t="shared" ca="1" si="18"/>
        <v>0.4203772862204348</v>
      </c>
      <c r="I84">
        <f t="shared" ca="1" si="18"/>
        <v>0.34927201845811129</v>
      </c>
      <c r="J84">
        <f t="shared" ca="1" si="18"/>
        <v>0.26426679508788831</v>
      </c>
      <c r="K84">
        <f t="shared" ca="1" si="18"/>
        <v>0.18816134935157924</v>
      </c>
      <c r="L84">
        <f t="shared" ca="1" si="18"/>
        <v>0.14236696364074158</v>
      </c>
      <c r="M84">
        <f t="shared" ca="1" si="18"/>
        <v>0.26629884022069583</v>
      </c>
      <c r="N84">
        <f t="shared" ca="1" si="18"/>
        <v>0.18299288146084799</v>
      </c>
      <c r="O84">
        <f t="shared" ca="1" si="18"/>
        <v>0.12797977365759686</v>
      </c>
      <c r="P84">
        <f t="shared" ca="1" si="18"/>
        <v>0.16450015475085106</v>
      </c>
      <c r="Q84">
        <f t="shared" ca="1" si="18"/>
        <v>0.24912116240918669</v>
      </c>
      <c r="R84">
        <f t="shared" ca="1" si="8"/>
        <v>0.53461353238622678</v>
      </c>
      <c r="S84">
        <f t="shared" ca="1" si="8"/>
        <v>0.27034673729833847</v>
      </c>
      <c r="T84">
        <f t="shared" ca="1" si="8"/>
        <v>0.34749303621169902</v>
      </c>
      <c r="V84" s="4">
        <f t="shared" si="17"/>
        <v>42009</v>
      </c>
      <c r="W84" s="5">
        <f t="shared" ca="1" si="16"/>
        <v>0.26629884022069583</v>
      </c>
      <c r="Z84" s="4" t="e">
        <f>IF(Sheet3!$A84="",MATCH("Error",AF84,0),Sheet3!$A84)</f>
        <v>#N/A</v>
      </c>
      <c r="AA84" s="5" t="str">
        <f ca="1">IF(OFFSET(Sheet3!$A$1,0,MATCH(W$1,Sheet3!$1:$1,0)-1,300)="","",OFFSET(Sheet3!$A$1,0,MATCH(W$1,Sheet3!$1:$1,0)-1,300))</f>
        <v/>
      </c>
      <c r="AB84" s="5" t="str">
        <f ca="1">IF(OFFSET(Sheet3!$A$1,0,MATCH(X$1,Sheet3!$1:$1,0)-1,300)="","",OFFSET(Sheet3!$A$1,0,MATCH(X$1,Sheet3!$1:$1,0)-1,300))</f>
        <v/>
      </c>
      <c r="AC84" t="str">
        <f t="shared" ca="1" si="13"/>
        <v/>
      </c>
      <c r="AD84" t="str">
        <f t="shared" ca="1" si="14"/>
        <v/>
      </c>
    </row>
    <row r="85" spans="1:30" x14ac:dyDescent="0.25">
      <c r="A85" s="4">
        <v>42006</v>
      </c>
      <c r="B85">
        <v>0.89200000000000002</v>
      </c>
      <c r="C85" s="5">
        <v>1.278</v>
      </c>
      <c r="D85">
        <v>1.7343</v>
      </c>
      <c r="E85">
        <v>1.9944999999999999</v>
      </c>
      <c r="F85">
        <v>2.2240000000000002</v>
      </c>
      <c r="G85">
        <v>2.6402999999999999</v>
      </c>
      <c r="H85">
        <f t="shared" ca="1" si="18"/>
        <v>0.41387755102040807</v>
      </c>
      <c r="I85">
        <f t="shared" ca="1" si="18"/>
        <v>0.34256756756756745</v>
      </c>
      <c r="J85">
        <f t="shared" ca="1" si="18"/>
        <v>0.26099639649945661</v>
      </c>
      <c r="K85">
        <f t="shared" ca="1" si="18"/>
        <v>0.19534534534534528</v>
      </c>
      <c r="L85">
        <f t="shared" ca="1" si="18"/>
        <v>0.14883029228393296</v>
      </c>
      <c r="M85">
        <f t="shared" ca="1" si="18"/>
        <v>0.27505285412262148</v>
      </c>
      <c r="N85">
        <f t="shared" ca="1" si="18"/>
        <v>0.19100051383689351</v>
      </c>
      <c r="O85">
        <f t="shared" ca="1" si="18"/>
        <v>0.13127037693759666</v>
      </c>
      <c r="P85">
        <f t="shared" ca="1" si="18"/>
        <v>0.16846509579387822</v>
      </c>
      <c r="Q85">
        <f t="shared" ca="1" si="18"/>
        <v>0.25331125827814599</v>
      </c>
      <c r="R85">
        <f t="shared" ca="1" si="8"/>
        <v>0.54109706572098626</v>
      </c>
      <c r="S85">
        <f t="shared" ca="1" si="8"/>
        <v>0.28010066922152965</v>
      </c>
      <c r="T85">
        <f t="shared" ca="1" si="8"/>
        <v>0.35946560963077173</v>
      </c>
      <c r="V85" s="4">
        <f t="shared" si="17"/>
        <v>42006</v>
      </c>
      <c r="W85" s="5">
        <f t="shared" ca="1" si="16"/>
        <v>0.27505285412262148</v>
      </c>
      <c r="Z85" s="4" t="e">
        <f>IF(Sheet3!$A85="",MATCH("Error",AF85,0),Sheet3!$A85)</f>
        <v>#N/A</v>
      </c>
      <c r="AA85" s="5" t="str">
        <f ca="1">IF(OFFSET(Sheet3!$A$1,0,MATCH(W$1,Sheet3!$1:$1,0)-1,300)="","",OFFSET(Sheet3!$A$1,0,MATCH(W$1,Sheet3!$1:$1,0)-1,300))</f>
        <v/>
      </c>
      <c r="AB85" s="5" t="str">
        <f ca="1">IF(OFFSET(Sheet3!$A$1,0,MATCH(X$1,Sheet3!$1:$1,0)-1,300)="","",OFFSET(Sheet3!$A$1,0,MATCH(X$1,Sheet3!$1:$1,0)-1,300))</f>
        <v/>
      </c>
      <c r="AC85" t="str">
        <f t="shared" ca="1" si="13"/>
        <v/>
      </c>
      <c r="AD85" t="str">
        <f t="shared" ca="1" si="14"/>
        <v/>
      </c>
    </row>
    <row r="86" spans="1:30" x14ac:dyDescent="0.25">
      <c r="A86" s="4">
        <v>42005</v>
      </c>
      <c r="B86">
        <v>0.9</v>
      </c>
      <c r="C86" s="5">
        <v>1.2989999999999999</v>
      </c>
      <c r="D86">
        <v>1.7715000000000001</v>
      </c>
      <c r="E86">
        <v>2.0430000000000001</v>
      </c>
      <c r="F86">
        <v>2.2824999999999998</v>
      </c>
      <c r="G86">
        <v>2.6989999999999998</v>
      </c>
      <c r="H86">
        <f t="shared" ca="1" si="18"/>
        <v>0.41338582677165359</v>
      </c>
      <c r="I86">
        <f t="shared" ca="1" si="18"/>
        <v>0.34177215189873433</v>
      </c>
      <c r="J86">
        <f t="shared" ca="1" si="18"/>
        <v>0.26264591439688723</v>
      </c>
      <c r="K86">
        <f t="shared" ca="1" si="18"/>
        <v>0.19638336347197113</v>
      </c>
      <c r="L86">
        <f t="shared" ca="1" si="18"/>
        <v>0.15091717620900505</v>
      </c>
      <c r="M86">
        <f t="shared" ca="1" si="18"/>
        <v>0.27605490594814452</v>
      </c>
      <c r="N86">
        <f t="shared" ca="1" si="18"/>
        <v>0.19392857142857151</v>
      </c>
      <c r="O86">
        <f t="shared" ca="1" si="18"/>
        <v>0.13312951639799867</v>
      </c>
      <c r="P86">
        <f t="shared" ca="1" si="18"/>
        <v>0.17107142857142829</v>
      </c>
      <c r="Q86">
        <f t="shared" ca="1" si="18"/>
        <v>0.25822102425875976</v>
      </c>
      <c r="R86">
        <f t="shared" ca="1" si="8"/>
        <v>0.546692607003891</v>
      </c>
      <c r="S86">
        <f t="shared" ca="1" si="8"/>
        <v>0.28404669260700371</v>
      </c>
      <c r="T86">
        <f t="shared" ca="1" si="8"/>
        <v>0.36499999999999977</v>
      </c>
      <c r="V86" s="4">
        <f t="shared" si="17"/>
        <v>42005</v>
      </c>
      <c r="W86" s="5">
        <f t="shared" ca="1" si="16"/>
        <v>0.27605490594814452</v>
      </c>
      <c r="Z86" s="4" t="e">
        <f>IF(Sheet3!$A86="",MATCH("Error",AF86,0),Sheet3!$A86)</f>
        <v>#N/A</v>
      </c>
      <c r="AA86" s="5" t="str">
        <f ca="1">IF(OFFSET(Sheet3!$A$1,0,MATCH(W$1,Sheet3!$1:$1,0)-1,300)="","",OFFSET(Sheet3!$A$1,0,MATCH(W$1,Sheet3!$1:$1,0)-1,300))</f>
        <v/>
      </c>
      <c r="AB86" s="5" t="str">
        <f ca="1">IF(OFFSET(Sheet3!$A$1,0,MATCH(X$1,Sheet3!$1:$1,0)-1,300)="","",OFFSET(Sheet3!$A$1,0,MATCH(X$1,Sheet3!$1:$1,0)-1,300))</f>
        <v/>
      </c>
      <c r="AC86" t="str">
        <f t="shared" ca="1" si="13"/>
        <v/>
      </c>
      <c r="AD86" t="str">
        <f t="shared" ca="1" si="14"/>
        <v/>
      </c>
    </row>
    <row r="87" spans="1:30" x14ac:dyDescent="0.25">
      <c r="A87" s="4">
        <v>42004</v>
      </c>
      <c r="B87">
        <v>0.9</v>
      </c>
      <c r="C87" s="5">
        <v>1.2989999999999999</v>
      </c>
      <c r="D87">
        <v>1.7715000000000001</v>
      </c>
      <c r="E87">
        <v>2.0411999999999999</v>
      </c>
      <c r="F87">
        <v>2.2824999999999998</v>
      </c>
      <c r="G87">
        <v>2.7</v>
      </c>
      <c r="H87">
        <f t="shared" ca="1" si="18"/>
        <v>0.41403785488959005</v>
      </c>
      <c r="I87">
        <f t="shared" ca="1" si="18"/>
        <v>0.34177215189873433</v>
      </c>
      <c r="J87">
        <f t="shared" ca="1" si="18"/>
        <v>0.26250000000000007</v>
      </c>
      <c r="K87">
        <f t="shared" ca="1" si="18"/>
        <v>0.19508137432188055</v>
      </c>
      <c r="L87">
        <f t="shared" ca="1" si="18"/>
        <v>0.14983333333333321</v>
      </c>
      <c r="M87">
        <f t="shared" ca="1" si="18"/>
        <v>0.27422470767666485</v>
      </c>
      <c r="N87">
        <f t="shared" ca="1" si="18"/>
        <v>0.19250535331905766</v>
      </c>
      <c r="O87">
        <f t="shared" ca="1" si="18"/>
        <v>0.13405555555555546</v>
      </c>
      <c r="P87">
        <f t="shared" ca="1" si="18"/>
        <v>0.17223411848679501</v>
      </c>
      <c r="Q87">
        <f t="shared" ca="1" si="18"/>
        <v>0.25988152934841124</v>
      </c>
      <c r="R87">
        <f t="shared" ca="1" si="8"/>
        <v>0.5463888888888887</v>
      </c>
      <c r="S87">
        <f t="shared" ca="1" si="8"/>
        <v>0.28388888888888869</v>
      </c>
      <c r="T87">
        <f t="shared" ca="1" si="8"/>
        <v>0.36473947180585264</v>
      </c>
      <c r="V87" s="4">
        <f t="shared" si="17"/>
        <v>42004</v>
      </c>
      <c r="W87" s="5">
        <f t="shared" ca="1" si="16"/>
        <v>0.27422470767666485</v>
      </c>
      <c r="Z87" s="4" t="e">
        <f>IF(Sheet3!$A87="",MATCH("Error",AF87,0),Sheet3!$A87)</f>
        <v>#N/A</v>
      </c>
      <c r="AA87" s="5" t="str">
        <f ca="1">IF(OFFSET(Sheet3!$A$1,0,MATCH(W$1,Sheet3!$1:$1,0)-1,300)="","",OFFSET(Sheet3!$A$1,0,MATCH(W$1,Sheet3!$1:$1,0)-1,300))</f>
        <v/>
      </c>
      <c r="AB87" s="5" t="str">
        <f ca="1">IF(OFFSET(Sheet3!$A$1,0,MATCH(X$1,Sheet3!$1:$1,0)-1,300)="","",OFFSET(Sheet3!$A$1,0,MATCH(X$1,Sheet3!$1:$1,0)-1,300))</f>
        <v/>
      </c>
      <c r="AC87" t="str">
        <f t="shared" ca="1" si="13"/>
        <v/>
      </c>
      <c r="AD87" t="str">
        <f t="shared" ca="1" si="14"/>
        <v/>
      </c>
    </row>
    <row r="88" spans="1:30" x14ac:dyDescent="0.25">
      <c r="A88" s="4">
        <v>42003</v>
      </c>
      <c r="B88">
        <v>0.89300000000000002</v>
      </c>
      <c r="C88" s="5">
        <v>1.2949999999999999</v>
      </c>
      <c r="D88">
        <v>1.7867999999999999</v>
      </c>
      <c r="E88">
        <v>2.06</v>
      </c>
      <c r="F88">
        <v>2.298</v>
      </c>
      <c r="G88">
        <v>2.7095000000000002</v>
      </c>
      <c r="H88">
        <f t="shared" ca="1" si="18"/>
        <v>0.42142245072836332</v>
      </c>
      <c r="I88">
        <f t="shared" ca="1" si="18"/>
        <v>0.35003558718861211</v>
      </c>
      <c r="J88">
        <f t="shared" ca="1" si="18"/>
        <v>0.27074043490228461</v>
      </c>
      <c r="K88">
        <f t="shared" ca="1" si="18"/>
        <v>0.19444839857651253</v>
      </c>
      <c r="L88">
        <f t="shared" ca="1" si="18"/>
        <v>0.1503991191852464</v>
      </c>
      <c r="M88">
        <f t="shared" ca="1" si="18"/>
        <v>0.2723828514456631</v>
      </c>
      <c r="N88">
        <f t="shared" ca="1" si="18"/>
        <v>0.1931424531636621</v>
      </c>
      <c r="O88">
        <f t="shared" ca="1" si="18"/>
        <v>0.13102119460500961</v>
      </c>
      <c r="P88">
        <f t="shared" ca="1" si="18"/>
        <v>0.16825733474726048</v>
      </c>
      <c r="Q88">
        <f t="shared" ca="1" si="18"/>
        <v>0.25793865828546647</v>
      </c>
      <c r="R88">
        <f t="shared" ca="1" si="8"/>
        <v>0.55216074869254061</v>
      </c>
      <c r="S88">
        <f t="shared" ca="1" si="8"/>
        <v>0.281420313790256</v>
      </c>
      <c r="T88">
        <f t="shared" ca="1" si="8"/>
        <v>0.36139978791092259</v>
      </c>
      <c r="V88" s="4">
        <f t="shared" si="17"/>
        <v>42003</v>
      </c>
      <c r="W88" s="5">
        <f t="shared" ca="1" si="16"/>
        <v>0.2723828514456631</v>
      </c>
      <c r="Z88" s="4" t="e">
        <f>IF(Sheet3!$A88="",MATCH("Error",AF88,0),Sheet3!$A88)</f>
        <v>#N/A</v>
      </c>
      <c r="AA88" s="5" t="str">
        <f ca="1">IF(OFFSET(Sheet3!$A$1,0,MATCH(W$1,Sheet3!$1:$1,0)-1,300)="","",OFFSET(Sheet3!$A$1,0,MATCH(W$1,Sheet3!$1:$1,0)-1,300))</f>
        <v/>
      </c>
      <c r="AB88" s="5" t="str">
        <f ca="1">IF(OFFSET(Sheet3!$A$1,0,MATCH(X$1,Sheet3!$1:$1,0)-1,300)="","",OFFSET(Sheet3!$A$1,0,MATCH(X$1,Sheet3!$1:$1,0)-1,300))</f>
        <v/>
      </c>
      <c r="AC88" t="str">
        <f t="shared" ca="1" si="13"/>
        <v/>
      </c>
      <c r="AD88" t="str">
        <f t="shared" ca="1" si="14"/>
        <v/>
      </c>
    </row>
    <row r="89" spans="1:30" x14ac:dyDescent="0.25">
      <c r="A89" s="4">
        <v>42002</v>
      </c>
      <c r="B89">
        <v>0.90300000000000002</v>
      </c>
      <c r="C89" s="5">
        <v>1.3083</v>
      </c>
      <c r="D89">
        <v>1.804</v>
      </c>
      <c r="E89">
        <v>2.0764</v>
      </c>
      <c r="F89">
        <v>2.3155000000000001</v>
      </c>
      <c r="G89">
        <v>2.7250999999999999</v>
      </c>
      <c r="H89">
        <f t="shared" ca="1" si="18"/>
        <v>0.42244758820521566</v>
      </c>
      <c r="I89">
        <f t="shared" ca="1" si="18"/>
        <v>0.3509380530973451</v>
      </c>
      <c r="J89">
        <f t="shared" ca="1" si="18"/>
        <v>0.27204873497612647</v>
      </c>
      <c r="K89">
        <f t="shared" ca="1" si="18"/>
        <v>0.19284955752212388</v>
      </c>
      <c r="L89">
        <f t="shared" ca="1" si="18"/>
        <v>0.14949783217167006</v>
      </c>
      <c r="M89">
        <f t="shared" ca="1" si="18"/>
        <v>0.27045274027005556</v>
      </c>
      <c r="N89">
        <f t="shared" ca="1" si="18"/>
        <v>0.1922642574816488</v>
      </c>
      <c r="O89">
        <f t="shared" ca="1" si="18"/>
        <v>0.13122221612425231</v>
      </c>
      <c r="P89">
        <f t="shared" ca="1" si="18"/>
        <v>0.16876058723884818</v>
      </c>
      <c r="Q89">
        <f t="shared" ca="1" si="18"/>
        <v>0.25958093583758562</v>
      </c>
      <c r="R89">
        <f t="shared" ca="1" si="8"/>
        <v>0.55276878327204881</v>
      </c>
      <c r="S89">
        <f t="shared" ca="1" si="8"/>
        <v>0.28072004829592234</v>
      </c>
      <c r="T89">
        <f t="shared" ca="1" si="8"/>
        <v>0.36102484472049701</v>
      </c>
      <c r="V89" s="4">
        <f t="shared" si="17"/>
        <v>42002</v>
      </c>
      <c r="W89" s="5">
        <f t="shared" ca="1" si="16"/>
        <v>0.27045274027005556</v>
      </c>
      <c r="Z89" s="4" t="e">
        <f>IF(Sheet3!$A89="",MATCH("Error",AF89,0),Sheet3!$A89)</f>
        <v>#N/A</v>
      </c>
      <c r="AA89" s="5" t="str">
        <f ca="1">IF(OFFSET(Sheet3!$A$1,0,MATCH(W$1,Sheet3!$1:$1,0)-1,300)="","",OFFSET(Sheet3!$A$1,0,MATCH(W$1,Sheet3!$1:$1,0)-1,300))</f>
        <v/>
      </c>
      <c r="AB89" s="5" t="str">
        <f ca="1">IF(OFFSET(Sheet3!$A$1,0,MATCH(X$1,Sheet3!$1:$1,0)-1,300)="","",OFFSET(Sheet3!$A$1,0,MATCH(X$1,Sheet3!$1:$1,0)-1,300))</f>
        <v/>
      </c>
      <c r="AC89" t="str">
        <f t="shared" ca="1" si="13"/>
        <v/>
      </c>
      <c r="AD89" t="str">
        <f t="shared" ca="1" si="14"/>
        <v/>
      </c>
    </row>
    <row r="90" spans="1:30" x14ac:dyDescent="0.25">
      <c r="A90" s="4">
        <v>41999</v>
      </c>
      <c r="B90">
        <v>0.92449999999999999</v>
      </c>
      <c r="C90" s="5">
        <v>1.3420000000000001</v>
      </c>
      <c r="D90">
        <v>1.8540000000000001</v>
      </c>
      <c r="E90">
        <v>2.129</v>
      </c>
      <c r="F90">
        <v>2.3677999999999999</v>
      </c>
      <c r="G90">
        <v>2.7694999999999999</v>
      </c>
      <c r="H90">
        <f t="shared" ca="1" si="18"/>
        <v>0.42507264425072649</v>
      </c>
      <c r="I90">
        <f t="shared" ca="1" si="18"/>
        <v>0.3547426037552831</v>
      </c>
      <c r="J90">
        <f t="shared" ca="1" si="18"/>
        <v>0.27750677506775073</v>
      </c>
      <c r="K90">
        <f t="shared" ca="1" si="18"/>
        <v>0.19053557818887268</v>
      </c>
      <c r="L90">
        <f t="shared" ca="1" si="18"/>
        <v>0.14905149051490513</v>
      </c>
      <c r="M90">
        <f t="shared" ca="1" si="18"/>
        <v>0.26808344706570475</v>
      </c>
      <c r="N90">
        <f t="shared" ca="1" si="18"/>
        <v>0.19264448336252185</v>
      </c>
      <c r="O90">
        <f t="shared" ca="1" si="18"/>
        <v>0.12943089430894306</v>
      </c>
      <c r="P90">
        <f t="shared" ca="1" si="18"/>
        <v>0.16728546409807352</v>
      </c>
      <c r="Q90">
        <f t="shared" ca="1" si="18"/>
        <v>0.26084107045330418</v>
      </c>
      <c r="R90">
        <f t="shared" ca="1" si="8"/>
        <v>0.55598915989159892</v>
      </c>
      <c r="S90">
        <f t="shared" ca="1" si="8"/>
        <v>0.27848238482384818</v>
      </c>
      <c r="T90">
        <f t="shared" ca="1" si="8"/>
        <v>0.35992994746059537</v>
      </c>
      <c r="V90" s="4">
        <f t="shared" si="17"/>
        <v>41999</v>
      </c>
      <c r="W90" s="5">
        <f t="shared" ca="1" si="16"/>
        <v>0.26808344706570475</v>
      </c>
      <c r="Z90" s="4" t="e">
        <f>IF(Sheet3!$A90="",MATCH("Error",AF90,0),Sheet3!$A90)</f>
        <v>#N/A</v>
      </c>
      <c r="AA90" s="5" t="str">
        <f ca="1">IF(OFFSET(Sheet3!$A$1,0,MATCH(W$1,Sheet3!$1:$1,0)-1,300)="","",OFFSET(Sheet3!$A$1,0,MATCH(W$1,Sheet3!$1:$1,0)-1,300))</f>
        <v/>
      </c>
      <c r="AB90" s="5" t="str">
        <f ca="1">IF(OFFSET(Sheet3!$A$1,0,MATCH(X$1,Sheet3!$1:$1,0)-1,300)="","",OFFSET(Sheet3!$A$1,0,MATCH(X$1,Sheet3!$1:$1,0)-1,300))</f>
        <v/>
      </c>
      <c r="AC90" t="str">
        <f t="shared" ca="1" si="13"/>
        <v/>
      </c>
      <c r="AD90" t="str">
        <f t="shared" ca="1" si="14"/>
        <v/>
      </c>
    </row>
    <row r="91" spans="1:30" x14ac:dyDescent="0.25">
      <c r="A91" s="4">
        <v>41998</v>
      </c>
      <c r="B91">
        <v>0.92300000000000004</v>
      </c>
      <c r="C91" s="5">
        <v>1.3414999999999999</v>
      </c>
      <c r="D91">
        <v>1.861</v>
      </c>
      <c r="E91">
        <v>2.14</v>
      </c>
      <c r="F91">
        <v>2.3855</v>
      </c>
      <c r="G91">
        <v>2.7955000000000001</v>
      </c>
      <c r="H91">
        <f t="shared" ca="1" si="18"/>
        <v>0.42686935086277733</v>
      </c>
      <c r="I91">
        <f t="shared" ca="1" si="18"/>
        <v>0.35521367521367531</v>
      </c>
      <c r="J91">
        <f t="shared" ca="1" si="18"/>
        <v>0.27743658210947936</v>
      </c>
      <c r="K91">
        <f t="shared" ca="1" si="18"/>
        <v>0.19076923076923089</v>
      </c>
      <c r="L91">
        <f t="shared" ca="1" si="18"/>
        <v>0.14899866488651542</v>
      </c>
      <c r="M91">
        <f t="shared" ca="1" si="18"/>
        <v>0.26724137931034497</v>
      </c>
      <c r="N91">
        <f t="shared" ca="1" si="18"/>
        <v>0.19188445667125179</v>
      </c>
      <c r="O91">
        <f t="shared" ca="1" si="18"/>
        <v>0.13110814419225625</v>
      </c>
      <c r="P91">
        <f t="shared" ca="1" si="18"/>
        <v>0.16884456671251705</v>
      </c>
      <c r="Q91">
        <f t="shared" ca="1" si="18"/>
        <v>0.26270733012306025</v>
      </c>
      <c r="R91">
        <f t="shared" ca="1" si="8"/>
        <v>0.55754339118825103</v>
      </c>
      <c r="S91">
        <f t="shared" ca="1" si="8"/>
        <v>0.28010680907877167</v>
      </c>
      <c r="T91">
        <f t="shared" ca="1" si="8"/>
        <v>0.36072902338376883</v>
      </c>
      <c r="V91" s="4">
        <f t="shared" si="17"/>
        <v>41998</v>
      </c>
      <c r="W91" s="5">
        <f t="shared" ca="1" si="16"/>
        <v>0.26724137931034497</v>
      </c>
      <c r="Z91" s="4" t="e">
        <f>IF(Sheet3!$A91="",MATCH("Error",AF91,0),Sheet3!$A91)</f>
        <v>#N/A</v>
      </c>
      <c r="AA91" s="5" t="str">
        <f ca="1">IF(OFFSET(Sheet3!$A$1,0,MATCH(W$1,Sheet3!$1:$1,0)-1,300)="","",OFFSET(Sheet3!$A$1,0,MATCH(W$1,Sheet3!$1:$1,0)-1,300))</f>
        <v/>
      </c>
      <c r="AB91" s="5" t="str">
        <f ca="1">IF(OFFSET(Sheet3!$A$1,0,MATCH(X$1,Sheet3!$1:$1,0)-1,300)="","",OFFSET(Sheet3!$A$1,0,MATCH(X$1,Sheet3!$1:$1,0)-1,300))</f>
        <v/>
      </c>
      <c r="AC91" t="str">
        <f t="shared" ca="1" si="13"/>
        <v/>
      </c>
      <c r="AD91" t="str">
        <f t="shared" ca="1" si="14"/>
        <v/>
      </c>
    </row>
    <row r="92" spans="1:30" x14ac:dyDescent="0.25">
      <c r="A92" s="4">
        <v>41997</v>
      </c>
      <c r="B92">
        <v>0.92449999999999999</v>
      </c>
      <c r="C92" s="5">
        <v>1.347</v>
      </c>
      <c r="D92">
        <v>1.85</v>
      </c>
      <c r="E92">
        <v>2.14</v>
      </c>
      <c r="F92">
        <v>2.39</v>
      </c>
      <c r="G92">
        <v>2.7955000000000001</v>
      </c>
      <c r="H92">
        <f t="shared" ca="1" si="18"/>
        <v>0.41382147264500213</v>
      </c>
      <c r="I92">
        <f t="shared" ca="1" si="18"/>
        <v>0.34322756738314575</v>
      </c>
      <c r="J92">
        <f t="shared" ca="1" si="18"/>
        <v>0.26884019241047574</v>
      </c>
      <c r="K92">
        <f t="shared" ca="1" si="18"/>
        <v>0.19788468099624704</v>
      </c>
      <c r="L92">
        <f t="shared" ca="1" si="18"/>
        <v>0.15499732763228222</v>
      </c>
      <c r="M92">
        <f t="shared" ca="1" si="18"/>
        <v>0.27804410354745923</v>
      </c>
      <c r="N92">
        <f t="shared" ca="1" si="18"/>
        <v>0.2002071108042803</v>
      </c>
      <c r="O92">
        <f t="shared" ca="1" si="18"/>
        <v>0.13361838588989844</v>
      </c>
      <c r="P92">
        <f t="shared" ca="1" si="18"/>
        <v>0.17259233690024162</v>
      </c>
      <c r="Q92">
        <f t="shared" ca="1" si="18"/>
        <v>0.26441036488630354</v>
      </c>
      <c r="R92">
        <f t="shared" ca="1" si="8"/>
        <v>0.55745590593265637</v>
      </c>
      <c r="S92">
        <f t="shared" ca="1" si="8"/>
        <v>0.28861571352218068</v>
      </c>
      <c r="T92">
        <f t="shared" ca="1" si="8"/>
        <v>0.37279944770452189</v>
      </c>
      <c r="V92" s="4">
        <f t="shared" si="17"/>
        <v>41997</v>
      </c>
      <c r="W92" s="5">
        <f t="shared" ca="1" si="16"/>
        <v>0.27804410354745923</v>
      </c>
      <c r="Z92" s="4" t="e">
        <f>IF(Sheet3!$A92="",MATCH("Error",AF92,0),Sheet3!$A92)</f>
        <v>#N/A</v>
      </c>
      <c r="AA92" s="5" t="str">
        <f ca="1">IF(OFFSET(Sheet3!$A$1,0,MATCH(W$1,Sheet3!$1:$1,0)-1,300)="","",OFFSET(Sheet3!$A$1,0,MATCH(W$1,Sheet3!$1:$1,0)-1,300))</f>
        <v/>
      </c>
      <c r="AB92" s="5" t="str">
        <f ca="1">IF(OFFSET(Sheet3!$A$1,0,MATCH(X$1,Sheet3!$1:$1,0)-1,300)="","",OFFSET(Sheet3!$A$1,0,MATCH(X$1,Sheet3!$1:$1,0)-1,300))</f>
        <v/>
      </c>
      <c r="AC92" t="str">
        <f t="shared" ca="1" si="13"/>
        <v/>
      </c>
      <c r="AD92" t="str">
        <f t="shared" ca="1" si="14"/>
        <v/>
      </c>
    </row>
    <row r="93" spans="1:30" x14ac:dyDescent="0.25">
      <c r="A93" s="4">
        <v>41996</v>
      </c>
      <c r="B93">
        <v>0.92800000000000005</v>
      </c>
      <c r="C93" s="5">
        <v>1.3479999999999999</v>
      </c>
      <c r="D93">
        <v>1.8618000000000001</v>
      </c>
      <c r="E93">
        <v>2.1417999999999999</v>
      </c>
      <c r="F93">
        <v>2.3885000000000001</v>
      </c>
      <c r="G93">
        <v>2.8050000000000002</v>
      </c>
      <c r="H93">
        <f t="shared" ref="H93:Q102" ca="1" si="19">IF(ISERROR(ABS(OFFSET($A$11,ROW()-11,MATCH(LEFT(H$9,2),$A$11:$G$11,0)-1)-OFFSET($A$11,ROW()-11,MATCH(RIGHT(H$9,2),$A$11:$G$11,0)-1))/ABS(OFFSET($A$11,ROW()-11,MATCH(LEFT(H$10,2),$A$11:$G$11,0)-1)-OFFSET($A$11,ROW()-11,MATCH(RIGHT(H$10,2),$A$11:$G$11,0)-1))),"",ABS(OFFSET($A$11,ROW()-11,MATCH(LEFT(H$9,2),$A$11:$G$11,0)-1)-OFFSET($A$11,ROW()-11,MATCH(RIGHT(H$9,2),$A$11:$G$11,0)-1))/ABS(OFFSET($A$11,ROW()-11,MATCH(LEFT(H$10,2),$A$11:$G$11,0)-1)-OFFSET($A$11,ROW()-11,MATCH(RIGHT(H$10,2),$A$11:$G$11,0)-1)))</f>
        <v>0.42329873125720896</v>
      </c>
      <c r="I93">
        <f t="shared" ca="1" si="19"/>
        <v>0.35179732968161603</v>
      </c>
      <c r="J93">
        <f t="shared" ca="1" si="19"/>
        <v>0.27373468300479498</v>
      </c>
      <c r="K93">
        <f t="shared" ca="1" si="19"/>
        <v>0.19171516603902758</v>
      </c>
      <c r="L93">
        <f t="shared" ca="1" si="19"/>
        <v>0.14917421417155022</v>
      </c>
      <c r="M93">
        <f t="shared" ca="1" si="19"/>
        <v>0.26910139356078783</v>
      </c>
      <c r="N93">
        <f t="shared" ca="1" si="19"/>
        <v>0.19217570350034299</v>
      </c>
      <c r="O93">
        <f t="shared" ca="1" si="19"/>
        <v>0.13143313798614817</v>
      </c>
      <c r="P93">
        <f t="shared" ca="1" si="19"/>
        <v>0.16932052161976671</v>
      </c>
      <c r="Q93">
        <f t="shared" ca="1" si="19"/>
        <v>0.26155640373197642</v>
      </c>
      <c r="R93">
        <f t="shared" ref="R93:T156" ca="1" si="20">IF(ISERROR(ABS(OFFSET($A$11,ROW()-11,MATCH(LEFT(R$9,2),$A$11:$G$11,0)-1)-OFFSET($A$11,ROW()-11,MATCH(RIGHT(R$9,2),$A$11:$G$11,0)-1))/ABS(OFFSET($A$11,ROW()-11,MATCH(LEFT(R$10,2),$A$11:$G$11,0)-1)-OFFSET($A$11,ROW()-11,MATCH(RIGHT(R$10,2),$A$11:$G$11,0)-1))),"",ABS(OFFSET($A$11,ROW()-11,MATCH(LEFT(R$9,2),$A$11:$G$11,0)-1)-OFFSET($A$11,ROW()-11,MATCH(RIGHT(R$9,2),$A$11:$G$11,0)-1))/ABS(OFFSET($A$11,ROW()-11,MATCH(LEFT(R$10,2),$A$11:$G$11,0)-1)-OFFSET($A$11,ROW()-11,MATCH(RIGHT(R$10,2),$A$11:$G$11,0)-1)))</f>
        <v>0.55434203516249336</v>
      </c>
      <c r="S93">
        <f t="shared" ca="1" si="20"/>
        <v>0.28060735215769839</v>
      </c>
      <c r="T93">
        <f t="shared" ca="1" si="20"/>
        <v>0.3614962251201097</v>
      </c>
      <c r="V93" s="4">
        <f t="shared" si="17"/>
        <v>41996</v>
      </c>
      <c r="W93" s="5">
        <f t="shared" ca="1" si="16"/>
        <v>0.26910139356078783</v>
      </c>
      <c r="Z93" s="4" t="e">
        <f>IF(Sheet3!$A93="",MATCH("Error",AF93,0),Sheet3!$A93)</f>
        <v>#N/A</v>
      </c>
      <c r="AA93" s="5" t="str">
        <f ca="1">IF(OFFSET(Sheet3!$A$1,0,MATCH(W$1,Sheet3!$1:$1,0)-1,300)="","",OFFSET(Sheet3!$A$1,0,MATCH(W$1,Sheet3!$1:$1,0)-1,300))</f>
        <v/>
      </c>
      <c r="AB93" s="5" t="str">
        <f ca="1">IF(OFFSET(Sheet3!$A$1,0,MATCH(X$1,Sheet3!$1:$1,0)-1,300)="","",OFFSET(Sheet3!$A$1,0,MATCH(X$1,Sheet3!$1:$1,0)-1,300))</f>
        <v/>
      </c>
      <c r="AC93" t="str">
        <f t="shared" ca="1" si="13"/>
        <v/>
      </c>
      <c r="AD93" t="str">
        <f t="shared" ca="1" si="14"/>
        <v/>
      </c>
    </row>
    <row r="94" spans="1:30" x14ac:dyDescent="0.25">
      <c r="A94" s="4">
        <v>41995</v>
      </c>
      <c r="B94">
        <v>0.9</v>
      </c>
      <c r="C94" s="5">
        <v>1.3005</v>
      </c>
      <c r="D94">
        <v>1.7898000000000001</v>
      </c>
      <c r="E94">
        <v>2.0535000000000001</v>
      </c>
      <c r="F94">
        <v>2.2885</v>
      </c>
      <c r="G94">
        <v>2.6945000000000001</v>
      </c>
      <c r="H94">
        <f t="shared" ca="1" si="19"/>
        <v>0.42418725617685304</v>
      </c>
      <c r="I94">
        <f t="shared" ca="1" si="19"/>
        <v>0.3523946705077422</v>
      </c>
      <c r="J94">
        <f t="shared" ca="1" si="19"/>
        <v>0.27266648091390361</v>
      </c>
      <c r="K94">
        <f t="shared" ca="1" si="19"/>
        <v>0.18991717680950668</v>
      </c>
      <c r="L94">
        <f t="shared" ca="1" si="19"/>
        <v>0.14694901086653664</v>
      </c>
      <c r="M94">
        <f t="shared" ca="1" si="19"/>
        <v>0.26690283400809722</v>
      </c>
      <c r="N94">
        <f t="shared" ca="1" si="19"/>
        <v>0.18916786226685797</v>
      </c>
      <c r="O94">
        <f t="shared" ca="1" si="19"/>
        <v>0.13095569796600717</v>
      </c>
      <c r="P94">
        <f t="shared" ca="1" si="19"/>
        <v>0.1685796269727402</v>
      </c>
      <c r="Q94">
        <f t="shared" ca="1" si="19"/>
        <v>0.25975461478943279</v>
      </c>
      <c r="R94">
        <f t="shared" ca="1" si="20"/>
        <v>0.55057118974644736</v>
      </c>
      <c r="S94">
        <f t="shared" ca="1" si="20"/>
        <v>0.27790470883254381</v>
      </c>
      <c r="T94">
        <f t="shared" ca="1" si="20"/>
        <v>0.3577474892395982</v>
      </c>
      <c r="V94" s="4">
        <f t="shared" si="17"/>
        <v>41995</v>
      </c>
      <c r="W94" s="5">
        <f t="shared" ca="1" si="16"/>
        <v>0.26690283400809722</v>
      </c>
      <c r="Z94" s="4" t="e">
        <f>IF(Sheet3!$A94="",MATCH("Error",AF94,0),Sheet3!$A94)</f>
        <v>#N/A</v>
      </c>
      <c r="AA94" s="5" t="str">
        <f ca="1">IF(OFFSET(Sheet3!$A$1,0,MATCH(W$1,Sheet3!$1:$1,0)-1,300)="","",OFFSET(Sheet3!$A$1,0,MATCH(W$1,Sheet3!$1:$1,0)-1,300))</f>
        <v/>
      </c>
      <c r="AB94" s="5" t="str">
        <f ca="1">IF(OFFSET(Sheet3!$A$1,0,MATCH(X$1,Sheet3!$1:$1,0)-1,300)="","",OFFSET(Sheet3!$A$1,0,MATCH(X$1,Sheet3!$1:$1,0)-1,300))</f>
        <v/>
      </c>
      <c r="AC94" t="str">
        <f t="shared" ca="1" si="13"/>
        <v/>
      </c>
      <c r="AD94" t="str">
        <f t="shared" ca="1" si="14"/>
        <v/>
      </c>
    </row>
    <row r="95" spans="1:30" x14ac:dyDescent="0.25">
      <c r="A95" s="4">
        <v>41992</v>
      </c>
      <c r="B95">
        <v>0.87250000000000005</v>
      </c>
      <c r="C95" s="5">
        <v>1.2789999999999999</v>
      </c>
      <c r="D95">
        <v>1.7785</v>
      </c>
      <c r="E95">
        <v>2.0489999999999999</v>
      </c>
      <c r="F95">
        <v>2.2915000000000001</v>
      </c>
      <c r="G95">
        <v>2.7130999999999998</v>
      </c>
      <c r="H95">
        <f t="shared" ca="1" si="19"/>
        <v>0.42456438589035284</v>
      </c>
      <c r="I95">
        <f t="shared" ca="1" si="19"/>
        <v>0.3520084566596195</v>
      </c>
      <c r="J95">
        <f t="shared" ca="1" si="19"/>
        <v>0.27137889818537442</v>
      </c>
      <c r="K95">
        <f t="shared" ca="1" si="19"/>
        <v>0.19062720225510921</v>
      </c>
      <c r="L95">
        <f t="shared" ca="1" si="19"/>
        <v>0.14696294686515265</v>
      </c>
      <c r="M95">
        <f t="shared" ca="1" si="19"/>
        <v>0.26716049382716039</v>
      </c>
      <c r="N95">
        <f t="shared" ca="1" si="19"/>
        <v>0.18862004044348371</v>
      </c>
      <c r="O95">
        <f t="shared" ca="1" si="19"/>
        <v>0.13175051613604269</v>
      </c>
      <c r="P95">
        <f t="shared" ca="1" si="19"/>
        <v>0.16909560002789217</v>
      </c>
      <c r="Q95">
        <f t="shared" ca="1" si="19"/>
        <v>0.25946929167558336</v>
      </c>
      <c r="R95">
        <f t="shared" ca="1" si="20"/>
        <v>0.55009236118656979</v>
      </c>
      <c r="S95">
        <f t="shared" ca="1" si="20"/>
        <v>0.27871346300119537</v>
      </c>
      <c r="T95">
        <f t="shared" ca="1" si="20"/>
        <v>0.35771564047137588</v>
      </c>
      <c r="V95" s="4">
        <f t="shared" si="17"/>
        <v>41992</v>
      </c>
      <c r="W95" s="5">
        <f t="shared" ca="1" si="16"/>
        <v>0.26716049382716039</v>
      </c>
      <c r="Z95" s="4" t="e">
        <f>IF(Sheet3!$A95="",MATCH("Error",AF95,0),Sheet3!$A95)</f>
        <v>#N/A</v>
      </c>
      <c r="AA95" s="5" t="str">
        <f ca="1">IF(OFFSET(Sheet3!$A$1,0,MATCH(W$1,Sheet3!$1:$1,0)-1,300)="","",OFFSET(Sheet3!$A$1,0,MATCH(W$1,Sheet3!$1:$1,0)-1,300))</f>
        <v/>
      </c>
      <c r="AB95" s="5" t="str">
        <f ca="1">IF(OFFSET(Sheet3!$A$1,0,MATCH(X$1,Sheet3!$1:$1,0)-1,300)="","",OFFSET(Sheet3!$A$1,0,MATCH(X$1,Sheet3!$1:$1,0)-1,300))</f>
        <v/>
      </c>
      <c r="AC95" t="str">
        <f t="shared" ca="1" si="13"/>
        <v/>
      </c>
      <c r="AD95" t="str">
        <f t="shared" ca="1" si="14"/>
        <v/>
      </c>
    </row>
    <row r="96" spans="1:30" x14ac:dyDescent="0.25">
      <c r="A96" s="4">
        <v>41991</v>
      </c>
      <c r="B96">
        <v>0.85450000000000004</v>
      </c>
      <c r="C96" s="5">
        <v>1.2650000000000001</v>
      </c>
      <c r="D96">
        <v>1.7905</v>
      </c>
      <c r="E96">
        <v>2.0768</v>
      </c>
      <c r="F96">
        <v>2.335</v>
      </c>
      <c r="G96">
        <v>2.7743000000000002</v>
      </c>
      <c r="H96">
        <f t="shared" ca="1" si="19"/>
        <v>0.42992718645177114</v>
      </c>
      <c r="I96">
        <f t="shared" ca="1" si="19"/>
        <v>0.35494765281999319</v>
      </c>
      <c r="J96">
        <f t="shared" ca="1" si="19"/>
        <v>0.27372642983644119</v>
      </c>
      <c r="K96">
        <f t="shared" ca="1" si="19"/>
        <v>0.1933806146572104</v>
      </c>
      <c r="L96">
        <f t="shared" ca="1" si="19"/>
        <v>0.14913011772059589</v>
      </c>
      <c r="M96">
        <f t="shared" ca="1" si="19"/>
        <v>0.26757009345794397</v>
      </c>
      <c r="N96">
        <f t="shared" ca="1" si="19"/>
        <v>0.18969058503942224</v>
      </c>
      <c r="O96">
        <f t="shared" ca="1" si="19"/>
        <v>0.1344931763725388</v>
      </c>
      <c r="P96">
        <f t="shared" ca="1" si="19"/>
        <v>0.17107268270058965</v>
      </c>
      <c r="Q96">
        <f t="shared" ca="1" si="19"/>
        <v>0.26245171782882692</v>
      </c>
      <c r="R96">
        <f t="shared" ca="1" si="20"/>
        <v>0.55734972392957582</v>
      </c>
      <c r="S96">
        <f t="shared" ca="1" si="20"/>
        <v>0.28362329409313469</v>
      </c>
      <c r="T96">
        <f t="shared" ca="1" si="20"/>
        <v>0.36076326774001188</v>
      </c>
      <c r="V96" s="4">
        <f t="shared" si="17"/>
        <v>41991</v>
      </c>
      <c r="W96" s="5">
        <f t="shared" ca="1" si="16"/>
        <v>0.26757009345794397</v>
      </c>
      <c r="Z96" s="4" t="e">
        <f>IF(Sheet3!$A96="",MATCH("Error",AF96,0),Sheet3!$A96)</f>
        <v>#N/A</v>
      </c>
      <c r="AA96" s="5" t="str">
        <f ca="1">IF(OFFSET(Sheet3!$A$1,0,MATCH(W$1,Sheet3!$1:$1,0)-1,300)="","",OFFSET(Sheet3!$A$1,0,MATCH(W$1,Sheet3!$1:$1,0)-1,300))</f>
        <v/>
      </c>
      <c r="AB96" s="5" t="str">
        <f ca="1">IF(OFFSET(Sheet3!$A$1,0,MATCH(X$1,Sheet3!$1:$1,0)-1,300)="","",OFFSET(Sheet3!$A$1,0,MATCH(X$1,Sheet3!$1:$1,0)-1,300))</f>
        <v/>
      </c>
      <c r="AC96" t="str">
        <f t="shared" ca="1" si="13"/>
        <v/>
      </c>
      <c r="AD96" t="str">
        <f t="shared" ca="1" si="14"/>
        <v/>
      </c>
    </row>
    <row r="97" spans="1:30" x14ac:dyDescent="0.25">
      <c r="A97" s="4">
        <v>41990</v>
      </c>
      <c r="B97">
        <v>0.82699999999999996</v>
      </c>
      <c r="C97" s="5">
        <v>1.2313000000000001</v>
      </c>
      <c r="D97">
        <v>1.7448999999999999</v>
      </c>
      <c r="E97">
        <v>2.0137999999999998</v>
      </c>
      <c r="F97">
        <v>2.2612000000000001</v>
      </c>
      <c r="G97">
        <v>2.6813000000000002</v>
      </c>
      <c r="H97">
        <f t="shared" ca="1" si="19"/>
        <v>0.43276036400404438</v>
      </c>
      <c r="I97">
        <f t="shared" ca="1" si="19"/>
        <v>0.35810905034165375</v>
      </c>
      <c r="J97">
        <f t="shared" ca="1" si="19"/>
        <v>0.27697783530173098</v>
      </c>
      <c r="K97">
        <f t="shared" ca="1" si="19"/>
        <v>0.1874912843397015</v>
      </c>
      <c r="L97">
        <f t="shared" ca="1" si="19"/>
        <v>0.14501429110715627</v>
      </c>
      <c r="M97">
        <f t="shared" ca="1" si="19"/>
        <v>0.26109331003009995</v>
      </c>
      <c r="N97">
        <f t="shared" ca="1" si="19"/>
        <v>0.18544827586206888</v>
      </c>
      <c r="O97">
        <f t="shared" ca="1" si="19"/>
        <v>0.13341961926333401</v>
      </c>
      <c r="P97">
        <f t="shared" ca="1" si="19"/>
        <v>0.1706206896551726</v>
      </c>
      <c r="Q97">
        <f t="shared" ca="1" si="19"/>
        <v>0.26420333190944062</v>
      </c>
      <c r="R97">
        <f t="shared" ca="1" si="20"/>
        <v>0.55541174567222129</v>
      </c>
      <c r="S97">
        <f t="shared" ca="1" si="20"/>
        <v>0.27843391037049026</v>
      </c>
      <c r="T97">
        <f t="shared" ca="1" si="20"/>
        <v>0.35606896551724149</v>
      </c>
      <c r="V97" s="4">
        <f t="shared" si="17"/>
        <v>41990</v>
      </c>
      <c r="W97" s="5">
        <f t="shared" ca="1" si="16"/>
        <v>0.26109331003009995</v>
      </c>
      <c r="Z97" s="4" t="e">
        <f>IF(Sheet3!$A97="",MATCH("Error",AF97,0),Sheet3!$A97)</f>
        <v>#N/A</v>
      </c>
      <c r="AA97" s="5" t="str">
        <f ca="1">IF(OFFSET(Sheet3!$A$1,0,MATCH(W$1,Sheet3!$1:$1,0)-1,300)="","",OFFSET(Sheet3!$A$1,0,MATCH(W$1,Sheet3!$1:$1,0)-1,300))</f>
        <v/>
      </c>
      <c r="AB97" s="5" t="str">
        <f ca="1">IF(OFFSET(Sheet3!$A$1,0,MATCH(X$1,Sheet3!$1:$1,0)-1,300)="","",OFFSET(Sheet3!$A$1,0,MATCH(X$1,Sheet3!$1:$1,0)-1,300))</f>
        <v/>
      </c>
      <c r="AC97" t="str">
        <f t="shared" ca="1" si="13"/>
        <v/>
      </c>
      <c r="AD97" t="str">
        <f t="shared" ca="1" si="14"/>
        <v/>
      </c>
    </row>
    <row r="98" spans="1:30" x14ac:dyDescent="0.25">
      <c r="A98" s="4">
        <v>41989</v>
      </c>
      <c r="B98">
        <v>0.7833</v>
      </c>
      <c r="C98" s="5">
        <v>1.1682999999999999</v>
      </c>
      <c r="D98">
        <v>1.6646000000000001</v>
      </c>
      <c r="E98">
        <v>1.9327999999999999</v>
      </c>
      <c r="F98">
        <v>2.1880000000000002</v>
      </c>
      <c r="G98">
        <v>2.6515</v>
      </c>
      <c r="H98">
        <f t="shared" ca="1" si="19"/>
        <v>0.43175293605915643</v>
      </c>
      <c r="I98">
        <f t="shared" ca="1" si="19"/>
        <v>0.35331387484872229</v>
      </c>
      <c r="J98">
        <f t="shared" ca="1" si="19"/>
        <v>0.26565678192912978</v>
      </c>
      <c r="K98">
        <f t="shared" ca="1" si="19"/>
        <v>0.19093044778244447</v>
      </c>
      <c r="L98">
        <f t="shared" ca="1" si="19"/>
        <v>0.1435606466117117</v>
      </c>
      <c r="M98">
        <f t="shared" ca="1" si="19"/>
        <v>0.26301853486319476</v>
      </c>
      <c r="N98">
        <f t="shared" ca="1" si="19"/>
        <v>0.18082524271844644</v>
      </c>
      <c r="O98">
        <f t="shared" ca="1" si="19"/>
        <v>0.13660207686543216</v>
      </c>
      <c r="P98">
        <f t="shared" ca="1" si="19"/>
        <v>0.17206040992448779</v>
      </c>
      <c r="Q98">
        <f t="shared" ca="1" si="19"/>
        <v>0.25858749620022325</v>
      </c>
      <c r="R98">
        <f t="shared" ca="1" si="20"/>
        <v>0.54581950540627355</v>
      </c>
      <c r="S98">
        <f t="shared" ca="1" si="20"/>
        <v>0.28016272347714383</v>
      </c>
      <c r="T98">
        <f t="shared" ca="1" si="20"/>
        <v>0.35288565264293426</v>
      </c>
      <c r="V98" s="4">
        <f t="shared" si="17"/>
        <v>41989</v>
      </c>
      <c r="W98" s="5">
        <f t="shared" ca="1" si="16"/>
        <v>0.26301853486319476</v>
      </c>
      <c r="Z98" s="4" t="e">
        <f>IF(Sheet3!$A98="",MATCH("Error",AF98,0),Sheet3!$A98)</f>
        <v>#N/A</v>
      </c>
      <c r="AA98" s="5" t="str">
        <f ca="1">IF(OFFSET(Sheet3!$A$1,0,MATCH(W$1,Sheet3!$1:$1,0)-1,300)="","",OFFSET(Sheet3!$A$1,0,MATCH(W$1,Sheet3!$1:$1,0)-1,300))</f>
        <v/>
      </c>
      <c r="AB98" s="5" t="str">
        <f ca="1">IF(OFFSET(Sheet3!$A$1,0,MATCH(X$1,Sheet3!$1:$1,0)-1,300)="","",OFFSET(Sheet3!$A$1,0,MATCH(X$1,Sheet3!$1:$1,0)-1,300))</f>
        <v/>
      </c>
      <c r="AC98" t="str">
        <f t="shared" ca="1" si="13"/>
        <v/>
      </c>
      <c r="AD98" t="str">
        <f t="shared" ca="1" si="14"/>
        <v/>
      </c>
    </row>
    <row r="99" spans="1:30" x14ac:dyDescent="0.25">
      <c r="A99" s="4">
        <v>41988</v>
      </c>
      <c r="B99">
        <v>0.8145</v>
      </c>
      <c r="C99" s="5">
        <v>1.2097</v>
      </c>
      <c r="D99">
        <v>1.7130000000000001</v>
      </c>
      <c r="E99">
        <v>1.99</v>
      </c>
      <c r="F99">
        <v>2.2463000000000002</v>
      </c>
      <c r="G99">
        <v>2.7105000000000001</v>
      </c>
      <c r="H99">
        <f t="shared" ca="1" si="19"/>
        <v>0.42815823054019575</v>
      </c>
      <c r="I99">
        <f t="shared" ca="1" si="19"/>
        <v>0.35151557480094986</v>
      </c>
      <c r="J99">
        <f t="shared" ca="1" si="19"/>
        <v>0.2654535864978903</v>
      </c>
      <c r="K99">
        <f t="shared" ca="1" si="19"/>
        <v>0.19346277413046506</v>
      </c>
      <c r="L99">
        <f t="shared" ca="1" si="19"/>
        <v>0.14609704641350205</v>
      </c>
      <c r="M99">
        <f t="shared" ca="1" si="19"/>
        <v>0.26721975689754957</v>
      </c>
      <c r="N99">
        <f t="shared" ca="1" si="19"/>
        <v>0.18456823027718541</v>
      </c>
      <c r="O99">
        <f t="shared" ca="1" si="19"/>
        <v>0.13517932489451487</v>
      </c>
      <c r="P99">
        <f t="shared" ca="1" si="19"/>
        <v>0.17077558635394469</v>
      </c>
      <c r="Q99">
        <f t="shared" ca="1" si="19"/>
        <v>0.25694235588972447</v>
      </c>
      <c r="R99">
        <f t="shared" ca="1" si="20"/>
        <v>0.54672995780590727</v>
      </c>
      <c r="S99">
        <f t="shared" ca="1" si="20"/>
        <v>0.28127637130801691</v>
      </c>
      <c r="T99">
        <f t="shared" ca="1" si="20"/>
        <v>0.35534381663113013</v>
      </c>
      <c r="V99" s="4">
        <f t="shared" si="17"/>
        <v>41988</v>
      </c>
      <c r="W99" s="5">
        <f t="shared" ca="1" si="16"/>
        <v>0.26721975689754957</v>
      </c>
      <c r="Z99" s="4" t="e">
        <f>IF(Sheet3!$A99="",MATCH("Error",AF99,0),Sheet3!$A99)</f>
        <v>#N/A</v>
      </c>
      <c r="AA99" s="5" t="str">
        <f ca="1">IF(OFFSET(Sheet3!$A$1,0,MATCH(W$1,Sheet3!$1:$1,0)-1,300)="","",OFFSET(Sheet3!$A$1,0,MATCH(W$1,Sheet3!$1:$1,0)-1,300))</f>
        <v/>
      </c>
      <c r="AB99" s="5" t="str">
        <f ca="1">IF(OFFSET(Sheet3!$A$1,0,MATCH(X$1,Sheet3!$1:$1,0)-1,300)="","",OFFSET(Sheet3!$A$1,0,MATCH(X$1,Sheet3!$1:$1,0)-1,300))</f>
        <v/>
      </c>
      <c r="AC99" t="str">
        <f t="shared" ca="1" si="13"/>
        <v/>
      </c>
      <c r="AD99" t="str">
        <f t="shared" ca="1" si="14"/>
        <v/>
      </c>
    </row>
    <row r="100" spans="1:30" x14ac:dyDescent="0.25">
      <c r="A100" s="4">
        <v>41985</v>
      </c>
      <c r="B100">
        <v>0.77729999999999999</v>
      </c>
      <c r="C100" s="5">
        <v>1.167</v>
      </c>
      <c r="D100">
        <v>1.6573</v>
      </c>
      <c r="E100">
        <v>1.9395</v>
      </c>
      <c r="F100">
        <v>2.2086999999999999</v>
      </c>
      <c r="G100">
        <v>2.7025000000000001</v>
      </c>
      <c r="H100">
        <f t="shared" ca="1" si="19"/>
        <v>0.4218723111340561</v>
      </c>
      <c r="I100">
        <f t="shared" ca="1" si="19"/>
        <v>0.34253178706161796</v>
      </c>
      <c r="J100">
        <f t="shared" ca="1" si="19"/>
        <v>0.25467483897776849</v>
      </c>
      <c r="K100">
        <f t="shared" ca="1" si="19"/>
        <v>0.19714964370546317</v>
      </c>
      <c r="L100">
        <f t="shared" ca="1" si="19"/>
        <v>0.14658217328069809</v>
      </c>
      <c r="M100">
        <f t="shared" ca="1" si="19"/>
        <v>0.27090333109340503</v>
      </c>
      <c r="N100">
        <f t="shared" ca="1" si="19"/>
        <v>0.18378378378378377</v>
      </c>
      <c r="O100">
        <f t="shared" ca="1" si="19"/>
        <v>0.13982962809058791</v>
      </c>
      <c r="P100">
        <f t="shared" ca="1" si="19"/>
        <v>0.17531748616085957</v>
      </c>
      <c r="Q100">
        <f t="shared" ca="1" si="19"/>
        <v>0.25755836203597382</v>
      </c>
      <c r="R100">
        <f t="shared" ca="1" si="20"/>
        <v>0.54108664034905452</v>
      </c>
      <c r="S100">
        <f t="shared" ca="1" si="20"/>
        <v>0.28641180137128602</v>
      </c>
      <c r="T100">
        <f t="shared" ca="1" si="20"/>
        <v>0.35910126994464336</v>
      </c>
      <c r="V100" s="4">
        <f t="shared" si="17"/>
        <v>41985</v>
      </c>
      <c r="W100" s="5">
        <f t="shared" ca="1" si="16"/>
        <v>0.27090333109340503</v>
      </c>
      <c r="Z100" s="4" t="e">
        <f>IF(Sheet3!$A100="",MATCH("Error",AF100,0),Sheet3!$A100)</f>
        <v>#N/A</v>
      </c>
      <c r="AA100" s="5" t="str">
        <f ca="1">IF(OFFSET(Sheet3!$A$1,0,MATCH(W$1,Sheet3!$1:$1,0)-1,300)="","",OFFSET(Sheet3!$A$1,0,MATCH(W$1,Sheet3!$1:$1,0)-1,300))</f>
        <v/>
      </c>
      <c r="AB100" s="5" t="str">
        <f ca="1">IF(OFFSET(Sheet3!$A$1,0,MATCH(X$1,Sheet3!$1:$1,0)-1,300)="","",OFFSET(Sheet3!$A$1,0,MATCH(X$1,Sheet3!$1:$1,0)-1,300))</f>
        <v/>
      </c>
      <c r="AC100" t="str">
        <f t="shared" ca="1" si="13"/>
        <v/>
      </c>
      <c r="AD100" t="str">
        <f t="shared" ca="1" si="14"/>
        <v/>
      </c>
    </row>
    <row r="101" spans="1:30" x14ac:dyDescent="0.25">
      <c r="A101" s="4">
        <v>41984</v>
      </c>
      <c r="B101">
        <v>0.83</v>
      </c>
      <c r="C101" s="5">
        <v>1.2333000000000001</v>
      </c>
      <c r="D101">
        <v>1.7389999999999999</v>
      </c>
      <c r="E101">
        <v>2.0226000000000002</v>
      </c>
      <c r="F101">
        <v>2.2909999999999999</v>
      </c>
      <c r="G101">
        <v>2.7772999999999999</v>
      </c>
      <c r="H101">
        <f t="shared" ca="1" si="19"/>
        <v>0.42403152775448583</v>
      </c>
      <c r="I101">
        <f t="shared" ca="1" si="19"/>
        <v>0.3461327857631758</v>
      </c>
      <c r="J101">
        <f t="shared" ca="1" si="19"/>
        <v>0.25969290812920448</v>
      </c>
      <c r="K101">
        <f t="shared" ca="1" si="19"/>
        <v>0.1941136208076662</v>
      </c>
      <c r="L101">
        <f t="shared" ca="1" si="19"/>
        <v>0.14563754942741247</v>
      </c>
      <c r="M101">
        <f t="shared" ca="1" si="19"/>
        <v>0.2681289590621162</v>
      </c>
      <c r="N101">
        <f t="shared" ca="1" si="19"/>
        <v>0.18367875647668416</v>
      </c>
      <c r="O101">
        <f t="shared" ca="1" si="19"/>
        <v>0.13783186976839715</v>
      </c>
      <c r="P101">
        <f t="shared" ca="1" si="19"/>
        <v>0.17383419689119156</v>
      </c>
      <c r="Q101">
        <f t="shared" ca="1" si="19"/>
        <v>0.25849947028797049</v>
      </c>
      <c r="R101">
        <f t="shared" ca="1" si="20"/>
        <v>0.54316232732501413</v>
      </c>
      <c r="S101">
        <f t="shared" ca="1" si="20"/>
        <v>0.28346941919580965</v>
      </c>
      <c r="T101">
        <f t="shared" ca="1" si="20"/>
        <v>0.3575129533678757</v>
      </c>
      <c r="V101" s="4">
        <f t="shared" si="17"/>
        <v>41984</v>
      </c>
      <c r="W101" s="5">
        <f t="shared" ca="1" si="16"/>
        <v>0.2681289590621162</v>
      </c>
      <c r="Z101" s="4" t="e">
        <f>IF(Sheet3!$A101="",MATCH("Error",AF101,0),Sheet3!$A101)</f>
        <v>#N/A</v>
      </c>
      <c r="AA101" s="5" t="str">
        <f ca="1">IF(OFFSET(Sheet3!$A$1,0,MATCH(W$1,Sheet3!$1:$1,0)-1,300)="","",OFFSET(Sheet3!$A$1,0,MATCH(W$1,Sheet3!$1:$1,0)-1,300))</f>
        <v/>
      </c>
      <c r="AB101" s="5" t="str">
        <f ca="1">IF(OFFSET(Sheet3!$A$1,0,MATCH(X$1,Sheet3!$1:$1,0)-1,300)="","",OFFSET(Sheet3!$A$1,0,MATCH(X$1,Sheet3!$1:$1,0)-1,300))</f>
        <v/>
      </c>
      <c r="AC101" t="str">
        <f t="shared" ca="1" si="13"/>
        <v/>
      </c>
      <c r="AD101" t="str">
        <f t="shared" ca="1" si="14"/>
        <v/>
      </c>
    </row>
    <row r="102" spans="1:30" x14ac:dyDescent="0.25">
      <c r="A102" s="4">
        <v>41983</v>
      </c>
      <c r="B102">
        <v>0.79749999999999999</v>
      </c>
      <c r="C102" s="5">
        <v>1.1919999999999999</v>
      </c>
      <c r="D102">
        <v>1.696</v>
      </c>
      <c r="E102">
        <v>1.9995000000000001</v>
      </c>
      <c r="F102">
        <v>2.2805</v>
      </c>
      <c r="G102">
        <v>2.7930000000000001</v>
      </c>
      <c r="H102">
        <f t="shared" ca="1" si="19"/>
        <v>0.41930116472545759</v>
      </c>
      <c r="I102">
        <f t="shared" ca="1" si="19"/>
        <v>0.33985165205664192</v>
      </c>
      <c r="J102">
        <f t="shared" ca="1" si="19"/>
        <v>0.2525682786269105</v>
      </c>
      <c r="K102">
        <f t="shared" ca="1" si="19"/>
        <v>0.20465273095077552</v>
      </c>
      <c r="L102">
        <f t="shared" ca="1" si="19"/>
        <v>0.15209220746680033</v>
      </c>
      <c r="M102">
        <f t="shared" ca="1" si="19"/>
        <v>0.2788240698208545</v>
      </c>
      <c r="N102">
        <f t="shared" ca="1" si="19"/>
        <v>0.18956901936289822</v>
      </c>
      <c r="O102">
        <f t="shared" ca="1" si="19"/>
        <v>0.14081683788524174</v>
      </c>
      <c r="P102">
        <f t="shared" ca="1" si="19"/>
        <v>0.17551530293566514</v>
      </c>
      <c r="Q102">
        <f t="shared" ca="1" si="19"/>
        <v>0.25615314494074737</v>
      </c>
      <c r="R102">
        <f t="shared" ca="1" si="20"/>
        <v>0.54547732397895254</v>
      </c>
      <c r="S102">
        <f t="shared" ca="1" si="20"/>
        <v>0.29290904535204204</v>
      </c>
      <c r="T102">
        <f t="shared" ca="1" si="20"/>
        <v>0.36508432229856336</v>
      </c>
      <c r="V102" s="4">
        <f t="shared" si="17"/>
        <v>41983</v>
      </c>
      <c r="W102" s="5">
        <f t="shared" ca="1" si="16"/>
        <v>0.2788240698208545</v>
      </c>
      <c r="Z102" s="4" t="e">
        <f>IF(Sheet3!$A102="",MATCH("Error",AF102,0),Sheet3!$A102)</f>
        <v>#N/A</v>
      </c>
      <c r="AA102" s="5" t="str">
        <f ca="1">IF(OFFSET(Sheet3!$A$1,0,MATCH(W$1,Sheet3!$1:$1,0)-1,300)="","",OFFSET(Sheet3!$A$1,0,MATCH(W$1,Sheet3!$1:$1,0)-1,300))</f>
        <v/>
      </c>
      <c r="AB102" s="5" t="str">
        <f ca="1">IF(OFFSET(Sheet3!$A$1,0,MATCH(X$1,Sheet3!$1:$1,0)-1,300)="","",OFFSET(Sheet3!$A$1,0,MATCH(X$1,Sheet3!$1:$1,0)-1,300))</f>
        <v/>
      </c>
      <c r="AC102" t="str">
        <f t="shared" ca="1" si="13"/>
        <v/>
      </c>
      <c r="AD102" t="str">
        <f t="shared" ca="1" si="14"/>
        <v/>
      </c>
    </row>
    <row r="103" spans="1:30" x14ac:dyDescent="0.25">
      <c r="A103" s="4">
        <v>41982</v>
      </c>
      <c r="B103">
        <v>0.83650000000000002</v>
      </c>
      <c r="C103" s="5">
        <v>1.2427999999999999</v>
      </c>
      <c r="D103">
        <v>1.7572000000000001</v>
      </c>
      <c r="E103">
        <v>2.0529999999999999</v>
      </c>
      <c r="F103">
        <v>2.3313000000000001</v>
      </c>
      <c r="G103">
        <v>2.8388</v>
      </c>
      <c r="H103">
        <f t="shared" ref="H103:Q112" ca="1" si="21">IF(ISERROR(ABS(OFFSET($A$11,ROW()-11,MATCH(LEFT(H$9,2),$A$11:$G$11,0)-1)-OFFSET($A$11,ROW()-11,MATCH(RIGHT(H$9,2),$A$11:$G$11,0)-1))/ABS(OFFSET($A$11,ROW()-11,MATCH(LEFT(H$10,2),$A$11:$G$11,0)-1)-OFFSET($A$11,ROW()-11,MATCH(RIGHT(H$10,2),$A$11:$G$11,0)-1))),"",ABS(OFFSET($A$11,ROW()-11,MATCH(LEFT(H$9,2),$A$11:$G$11,0)-1)-OFFSET($A$11,ROW()-11,MATCH(RIGHT(H$9,2),$A$11:$G$11,0)-1))/ABS(OFFSET($A$11,ROW()-11,MATCH(LEFT(H$10,2),$A$11:$G$11,0)-1)-OFFSET($A$11,ROW()-11,MATCH(RIGHT(H$10,2),$A$11:$G$11,0)-1)))</f>
        <v>0.42285244554048518</v>
      </c>
      <c r="I103">
        <f t="shared" ca="1" si="21"/>
        <v>0.34412630452234422</v>
      </c>
      <c r="J103">
        <f t="shared" ca="1" si="21"/>
        <v>0.2569045597562804</v>
      </c>
      <c r="K103">
        <f t="shared" ca="1" si="21"/>
        <v>0.19788600481669777</v>
      </c>
      <c r="L103">
        <f t="shared" ca="1" si="21"/>
        <v>0.14773011037307088</v>
      </c>
      <c r="M103">
        <f t="shared" ca="1" si="21"/>
        <v>0.27175011483693134</v>
      </c>
      <c r="N103">
        <f t="shared" ca="1" si="21"/>
        <v>0.18533834586466155</v>
      </c>
      <c r="O103">
        <f t="shared" ca="1" si="21"/>
        <v>0.13899016131448844</v>
      </c>
      <c r="P103">
        <f t="shared" ca="1" si="21"/>
        <v>0.17437343358396001</v>
      </c>
      <c r="Q103">
        <f t="shared" ca="1" si="21"/>
        <v>0.25730399408284044</v>
      </c>
      <c r="R103">
        <f t="shared" ca="1" si="20"/>
        <v>0.54362483144383966</v>
      </c>
      <c r="S103">
        <f t="shared" ca="1" si="20"/>
        <v>0.28672027168755931</v>
      </c>
      <c r="T103">
        <f t="shared" ca="1" si="20"/>
        <v>0.35971177944862159</v>
      </c>
      <c r="V103" s="4">
        <f t="shared" si="17"/>
        <v>41982</v>
      </c>
      <c r="W103" s="5">
        <f t="shared" ca="1" si="16"/>
        <v>0.27175011483693134</v>
      </c>
      <c r="Z103" s="4" t="e">
        <f>IF(Sheet3!$A103="",MATCH("Error",AF103,0),Sheet3!$A103)</f>
        <v>#N/A</v>
      </c>
      <c r="AA103" s="5" t="str">
        <f ca="1">IF(OFFSET(Sheet3!$A$1,0,MATCH(W$1,Sheet3!$1:$1,0)-1,300)="","",OFFSET(Sheet3!$A$1,0,MATCH(W$1,Sheet3!$1:$1,0)-1,300))</f>
        <v/>
      </c>
      <c r="AB103" s="5" t="str">
        <f ca="1">IF(OFFSET(Sheet3!$A$1,0,MATCH(X$1,Sheet3!$1:$1,0)-1,300)="","",OFFSET(Sheet3!$A$1,0,MATCH(X$1,Sheet3!$1:$1,0)-1,300))</f>
        <v/>
      </c>
      <c r="AC103" t="str">
        <f t="shared" ca="1" si="13"/>
        <v/>
      </c>
      <c r="AD103" t="str">
        <f t="shared" ca="1" si="14"/>
        <v/>
      </c>
    </row>
    <row r="104" spans="1:30" x14ac:dyDescent="0.25">
      <c r="A104" s="4">
        <v>41981</v>
      </c>
      <c r="B104">
        <v>0.84950000000000003</v>
      </c>
      <c r="C104" s="5">
        <v>1.2709999999999999</v>
      </c>
      <c r="D104">
        <v>1.8004</v>
      </c>
      <c r="E104">
        <v>2.0992999999999999</v>
      </c>
      <c r="F104">
        <v>2.375</v>
      </c>
      <c r="G104">
        <v>2.8738000000000001</v>
      </c>
      <c r="H104">
        <f t="shared" ca="1" si="21"/>
        <v>0.42358777404384707</v>
      </c>
      <c r="I104">
        <f t="shared" ca="1" si="21"/>
        <v>0.34703375942314002</v>
      </c>
      <c r="J104">
        <f t="shared" ca="1" si="21"/>
        <v>0.26152250160549328</v>
      </c>
      <c r="K104">
        <f t="shared" ca="1" si="21"/>
        <v>0.19593575876761712</v>
      </c>
      <c r="L104">
        <f t="shared" ca="1" si="21"/>
        <v>0.1476559798448846</v>
      </c>
      <c r="M104">
        <f t="shared" ca="1" si="21"/>
        <v>0.27074275362318834</v>
      </c>
      <c r="N104">
        <f t="shared" ca="1" si="21"/>
        <v>0.18648614923883197</v>
      </c>
      <c r="O104">
        <f t="shared" ca="1" si="21"/>
        <v>0.13619522798004249</v>
      </c>
      <c r="P104">
        <f t="shared" ca="1" si="21"/>
        <v>0.17201147991015722</v>
      </c>
      <c r="Q104">
        <f t="shared" ca="1" si="21"/>
        <v>0.25684740078256013</v>
      </c>
      <c r="R104">
        <f t="shared" ca="1" si="20"/>
        <v>0.54537370943042041</v>
      </c>
      <c r="S104">
        <f t="shared" ca="1" si="20"/>
        <v>0.28385120782492712</v>
      </c>
      <c r="T104">
        <f t="shared" ca="1" si="20"/>
        <v>0.35849762914898919</v>
      </c>
      <c r="V104" s="4">
        <f t="shared" si="17"/>
        <v>41981</v>
      </c>
      <c r="W104" s="5">
        <f t="shared" ca="1" si="16"/>
        <v>0.27074275362318834</v>
      </c>
      <c r="Z104" s="4" t="e">
        <f>IF(Sheet3!$A104="",MATCH("Error",AF104,0),Sheet3!$A104)</f>
        <v>#N/A</v>
      </c>
      <c r="AA104" s="5" t="str">
        <f ca="1">IF(OFFSET(Sheet3!$A$1,0,MATCH(W$1,Sheet3!$1:$1,0)-1,300)="","",OFFSET(Sheet3!$A$1,0,MATCH(W$1,Sheet3!$1:$1,0)-1,300))</f>
        <v/>
      </c>
      <c r="AB104" s="5" t="str">
        <f ca="1">IF(OFFSET(Sheet3!$A$1,0,MATCH(X$1,Sheet3!$1:$1,0)-1,300)="","",OFFSET(Sheet3!$A$1,0,MATCH(X$1,Sheet3!$1:$1,0)-1,300))</f>
        <v/>
      </c>
      <c r="AC104" t="str">
        <f t="shared" ca="1" si="13"/>
        <v/>
      </c>
      <c r="AD104" t="str">
        <f t="shared" ca="1" si="14"/>
        <v/>
      </c>
    </row>
    <row r="105" spans="1:30" x14ac:dyDescent="0.25">
      <c r="A105" s="4">
        <v>41978</v>
      </c>
      <c r="B105">
        <v>0.85680000000000001</v>
      </c>
      <c r="C105" s="5">
        <v>1.2795000000000001</v>
      </c>
      <c r="D105">
        <v>1.8155000000000001</v>
      </c>
      <c r="E105">
        <v>2.1307999999999998</v>
      </c>
      <c r="F105">
        <v>2.42</v>
      </c>
      <c r="G105">
        <v>2.9279999999999999</v>
      </c>
      <c r="H105">
        <f t="shared" ca="1" si="21"/>
        <v>0.42072213500784938</v>
      </c>
      <c r="I105">
        <f t="shared" ca="1" si="21"/>
        <v>0.34288638689866946</v>
      </c>
      <c r="J105">
        <f t="shared" ca="1" si="21"/>
        <v>0.25878717651602934</v>
      </c>
      <c r="K105">
        <f t="shared" ca="1" si="21"/>
        <v>0.20170163766632529</v>
      </c>
      <c r="L105">
        <f t="shared" ca="1" si="21"/>
        <v>0.15223059096176114</v>
      </c>
      <c r="M105">
        <f t="shared" ca="1" si="21"/>
        <v>0.27645769399386211</v>
      </c>
      <c r="N105">
        <f t="shared" ca="1" si="21"/>
        <v>0.19126478616924461</v>
      </c>
      <c r="O105">
        <f t="shared" ca="1" si="21"/>
        <v>0.13962920046349947</v>
      </c>
      <c r="P105">
        <f t="shared" ca="1" si="21"/>
        <v>0.17543221110100099</v>
      </c>
      <c r="Q105">
        <f t="shared" ca="1" si="21"/>
        <v>0.25995505617977543</v>
      </c>
      <c r="R105">
        <f t="shared" ca="1" si="20"/>
        <v>0.55064696794128998</v>
      </c>
      <c r="S105">
        <f t="shared" ca="1" si="20"/>
        <v>0.29185979142526058</v>
      </c>
      <c r="T105">
        <f t="shared" ca="1" si="20"/>
        <v>0.36669699727024557</v>
      </c>
      <c r="V105" s="4">
        <f t="shared" si="17"/>
        <v>41978</v>
      </c>
      <c r="W105" s="5">
        <f t="shared" ca="1" si="16"/>
        <v>0.27645769399386211</v>
      </c>
      <c r="Z105" s="4" t="e">
        <f>IF(Sheet3!$A105="",MATCH("Error",AF105,0),Sheet3!$A105)</f>
        <v>#N/A</v>
      </c>
      <c r="AA105" s="5" t="str">
        <f ca="1">IF(OFFSET(Sheet3!$A$1,0,MATCH(W$1,Sheet3!$1:$1,0)-1,300)="","",OFFSET(Sheet3!$A$1,0,MATCH(W$1,Sheet3!$1:$1,0)-1,300))</f>
        <v/>
      </c>
      <c r="AB105" s="5" t="str">
        <f ca="1">IF(OFFSET(Sheet3!$A$1,0,MATCH(X$1,Sheet3!$1:$1,0)-1,300)="","",OFFSET(Sheet3!$A$1,0,MATCH(X$1,Sheet3!$1:$1,0)-1,300))</f>
        <v/>
      </c>
      <c r="AC105" t="str">
        <f t="shared" ca="1" si="13"/>
        <v/>
      </c>
      <c r="AD105" t="str">
        <f t="shared" ca="1" si="14"/>
        <v/>
      </c>
    </row>
    <row r="106" spans="1:30" x14ac:dyDescent="0.25">
      <c r="A106" s="4">
        <v>41977</v>
      </c>
      <c r="B106">
        <v>0.75049999999999994</v>
      </c>
      <c r="C106" s="5">
        <v>1.1585000000000001</v>
      </c>
      <c r="D106">
        <v>1.7098</v>
      </c>
      <c r="E106">
        <v>2.044</v>
      </c>
      <c r="F106">
        <v>2.3528000000000002</v>
      </c>
      <c r="G106">
        <v>2.8994999999999997</v>
      </c>
      <c r="H106">
        <f t="shared" ca="1" si="21"/>
        <v>0.42620796289137985</v>
      </c>
      <c r="I106">
        <f t="shared" ca="1" si="21"/>
        <v>0.34406790239031382</v>
      </c>
      <c r="J106">
        <f t="shared" ca="1" si="21"/>
        <v>0.25653792461610048</v>
      </c>
      <c r="K106">
        <f t="shared" ca="1" si="21"/>
        <v>0.20857517318854146</v>
      </c>
      <c r="L106">
        <f t="shared" ca="1" si="21"/>
        <v>0.15551419264774316</v>
      </c>
      <c r="M106">
        <f t="shared" ca="1" si="21"/>
        <v>0.27982918864606882</v>
      </c>
      <c r="N106">
        <f t="shared" ca="1" si="21"/>
        <v>0.19195864445720856</v>
      </c>
      <c r="O106">
        <f t="shared" ca="1" si="21"/>
        <v>0.14369474174034444</v>
      </c>
      <c r="P106">
        <f t="shared" ca="1" si="21"/>
        <v>0.17736932797242977</v>
      </c>
      <c r="Q106">
        <f t="shared" ca="1" si="21"/>
        <v>0.25956123392451902</v>
      </c>
      <c r="R106">
        <f t="shared" ca="1" si="20"/>
        <v>0.55574685900418808</v>
      </c>
      <c r="S106">
        <f t="shared" ca="1" si="20"/>
        <v>0.2992089343880876</v>
      </c>
      <c r="T106">
        <f t="shared" ca="1" si="20"/>
        <v>0.36932797242963833</v>
      </c>
      <c r="V106" s="4">
        <f t="shared" si="17"/>
        <v>41977</v>
      </c>
      <c r="W106" s="5">
        <f t="shared" ca="1" si="16"/>
        <v>0.27982918864606882</v>
      </c>
      <c r="Z106" s="4" t="e">
        <f>IF(Sheet3!$A106="",MATCH("Error",AF106,0),Sheet3!$A106)</f>
        <v>#N/A</v>
      </c>
      <c r="AA106" s="5" t="str">
        <f ca="1">IF(OFFSET(Sheet3!$A$1,0,MATCH(W$1,Sheet3!$1:$1,0)-1,300)="","",OFFSET(Sheet3!$A$1,0,MATCH(W$1,Sheet3!$1:$1,0)-1,300))</f>
        <v/>
      </c>
      <c r="AB106" s="5" t="str">
        <f ca="1">IF(OFFSET(Sheet3!$A$1,0,MATCH(X$1,Sheet3!$1:$1,0)-1,300)="","",OFFSET(Sheet3!$A$1,0,MATCH(X$1,Sheet3!$1:$1,0)-1,300))</f>
        <v/>
      </c>
      <c r="AC106" t="str">
        <f t="shared" ca="1" si="13"/>
        <v/>
      </c>
      <c r="AD106" t="str">
        <f t="shared" ca="1" si="14"/>
        <v/>
      </c>
    </row>
    <row r="107" spans="1:30" x14ac:dyDescent="0.25">
      <c r="A107" s="4">
        <v>41976</v>
      </c>
      <c r="B107">
        <v>0.7661</v>
      </c>
      <c r="C107" s="5">
        <v>1.1748000000000001</v>
      </c>
      <c r="D107">
        <v>1.7433999999999998</v>
      </c>
      <c r="E107">
        <v>2.0909</v>
      </c>
      <c r="F107">
        <v>2.4093</v>
      </c>
      <c r="G107">
        <v>2.9548000000000001</v>
      </c>
      <c r="H107">
        <f t="shared" ca="1" si="21"/>
        <v>0.42919685990338147</v>
      </c>
      <c r="I107">
        <f t="shared" ca="1" si="21"/>
        <v>0.34603213242453734</v>
      </c>
      <c r="J107">
        <f t="shared" ca="1" si="21"/>
        <v>0.25978891579476393</v>
      </c>
      <c r="K107">
        <f t="shared" ca="1" si="21"/>
        <v>0.2114776046738073</v>
      </c>
      <c r="L107">
        <f t="shared" ca="1" si="21"/>
        <v>0.1587700461461142</v>
      </c>
      <c r="M107">
        <f t="shared" ca="1" si="21"/>
        <v>0.28149048197650883</v>
      </c>
      <c r="N107">
        <f t="shared" ca="1" si="21"/>
        <v>0.19522471910112368</v>
      </c>
      <c r="O107">
        <f t="shared" ca="1" si="21"/>
        <v>0.14547448256956186</v>
      </c>
      <c r="P107">
        <f t="shared" ca="1" si="21"/>
        <v>0.17887640449438202</v>
      </c>
      <c r="Q107">
        <f t="shared" ca="1" si="21"/>
        <v>0.26283638765065209</v>
      </c>
      <c r="R107">
        <f t="shared" ca="1" si="20"/>
        <v>0.56403344451044002</v>
      </c>
      <c r="S107">
        <f t="shared" ca="1" si="20"/>
        <v>0.30424452871567609</v>
      </c>
      <c r="T107">
        <f t="shared" ca="1" si="20"/>
        <v>0.37410112359550568</v>
      </c>
      <c r="V107" s="4">
        <f t="shared" si="17"/>
        <v>41976</v>
      </c>
      <c r="W107" s="5">
        <f t="shared" ca="1" si="16"/>
        <v>0.28149048197650883</v>
      </c>
      <c r="Z107" s="4" t="e">
        <f>IF(Sheet3!$A107="",MATCH("Error",AF107,0),Sheet3!$A107)</f>
        <v>#N/A</v>
      </c>
      <c r="AA107" s="5" t="str">
        <f ca="1">IF(OFFSET(Sheet3!$A$1,0,MATCH(W$1,Sheet3!$1:$1,0)-1,300)="","",OFFSET(Sheet3!$A$1,0,MATCH(W$1,Sheet3!$1:$1,0)-1,300))</f>
        <v/>
      </c>
      <c r="AB107" s="5" t="str">
        <f ca="1">IF(OFFSET(Sheet3!$A$1,0,MATCH(X$1,Sheet3!$1:$1,0)-1,300)="","",OFFSET(Sheet3!$A$1,0,MATCH(X$1,Sheet3!$1:$1,0)-1,300))</f>
        <v/>
      </c>
      <c r="AC107" t="str">
        <f t="shared" ca="1" si="13"/>
        <v/>
      </c>
      <c r="AD107" t="str">
        <f t="shared" ca="1" si="14"/>
        <v/>
      </c>
    </row>
    <row r="108" spans="1:30" x14ac:dyDescent="0.25">
      <c r="A108" s="4">
        <v>41975</v>
      </c>
      <c r="B108">
        <v>0.74080000000000001</v>
      </c>
      <c r="C108" s="5">
        <v>1.1505000000000001</v>
      </c>
      <c r="D108">
        <v>1.7347000000000001</v>
      </c>
      <c r="E108">
        <v>2.093</v>
      </c>
      <c r="F108">
        <v>2.4201000000000001</v>
      </c>
      <c r="G108">
        <v>2.9840999999999998</v>
      </c>
      <c r="H108">
        <f t="shared" ca="1" si="21"/>
        <v>0.43203668096435449</v>
      </c>
      <c r="I108">
        <f t="shared" ca="1" si="21"/>
        <v>0.34788304650747337</v>
      </c>
      <c r="J108">
        <f t="shared" ca="1" si="21"/>
        <v>0.26041991708643525</v>
      </c>
      <c r="K108">
        <f t="shared" ca="1" si="21"/>
        <v>0.21336271065324827</v>
      </c>
      <c r="L108">
        <f t="shared" ca="1" si="21"/>
        <v>0.15972005527570984</v>
      </c>
      <c r="M108">
        <f t="shared" ca="1" si="21"/>
        <v>0.28221487082545671</v>
      </c>
      <c r="N108">
        <f t="shared" ca="1" si="21"/>
        <v>0.19540794066317621</v>
      </c>
      <c r="O108">
        <f t="shared" ca="1" si="21"/>
        <v>0.14581197343199762</v>
      </c>
      <c r="P108">
        <f t="shared" ca="1" si="21"/>
        <v>0.17839223385689368</v>
      </c>
      <c r="Q108">
        <f t="shared" ca="1" si="21"/>
        <v>0.26180566672002581</v>
      </c>
      <c r="R108">
        <f t="shared" ca="1" si="20"/>
        <v>0.56595194579414265</v>
      </c>
      <c r="S108">
        <f t="shared" ca="1" si="20"/>
        <v>0.30553202870770746</v>
      </c>
      <c r="T108">
        <f t="shared" ca="1" si="20"/>
        <v>0.37380017452006986</v>
      </c>
      <c r="V108" s="4">
        <f t="shared" si="17"/>
        <v>41975</v>
      </c>
      <c r="W108" s="5">
        <f t="shared" ca="1" si="16"/>
        <v>0.28221487082545671</v>
      </c>
      <c r="Z108" s="4" t="e">
        <f>IF(Sheet3!$A108="",MATCH("Error",AF108,0),Sheet3!$A108)</f>
        <v>#N/A</v>
      </c>
      <c r="AA108" s="5" t="str">
        <f ca="1">IF(OFFSET(Sheet3!$A$1,0,MATCH(W$1,Sheet3!$1:$1,0)-1,300)="","",OFFSET(Sheet3!$A$1,0,MATCH(W$1,Sheet3!$1:$1,0)-1,300))</f>
        <v/>
      </c>
      <c r="AB108" s="5" t="str">
        <f ca="1">IF(OFFSET(Sheet3!$A$1,0,MATCH(X$1,Sheet3!$1:$1,0)-1,300)="","",OFFSET(Sheet3!$A$1,0,MATCH(X$1,Sheet3!$1:$1,0)-1,300))</f>
        <v/>
      </c>
      <c r="AC108" t="str">
        <f t="shared" ca="1" si="13"/>
        <v/>
      </c>
      <c r="AD108" t="str">
        <f t="shared" ca="1" si="14"/>
        <v/>
      </c>
    </row>
    <row r="109" spans="1:30" x14ac:dyDescent="0.25">
      <c r="A109" s="4">
        <v>41974</v>
      </c>
      <c r="B109">
        <v>0.70599999999999996</v>
      </c>
      <c r="C109" s="5">
        <v>1.1052999999999999</v>
      </c>
      <c r="D109">
        <v>1.6795</v>
      </c>
      <c r="E109">
        <v>2.0377000000000001</v>
      </c>
      <c r="F109">
        <v>2.3673000000000002</v>
      </c>
      <c r="G109">
        <v>2.9393000000000002</v>
      </c>
      <c r="H109">
        <f t="shared" ca="1" si="21"/>
        <v>0.43117819328677631</v>
      </c>
      <c r="I109">
        <f t="shared" ca="1" si="21"/>
        <v>0.34563293806055495</v>
      </c>
      <c r="J109">
        <f t="shared" ca="1" si="21"/>
        <v>0.25710831504947834</v>
      </c>
      <c r="K109">
        <f t="shared" ca="1" si="21"/>
        <v>0.21561427797507976</v>
      </c>
      <c r="L109">
        <f t="shared" ca="1" si="21"/>
        <v>0.16039045358885956</v>
      </c>
      <c r="M109">
        <f t="shared" ca="1" si="21"/>
        <v>0.28383518225039622</v>
      </c>
      <c r="N109">
        <f t="shared" ca="1" si="21"/>
        <v>0.19531079607415486</v>
      </c>
      <c r="O109">
        <f t="shared" ca="1" si="21"/>
        <v>0.14758429230287023</v>
      </c>
      <c r="P109">
        <f t="shared" ca="1" si="21"/>
        <v>0.17971646673936753</v>
      </c>
      <c r="Q109">
        <f t="shared" ca="1" si="21"/>
        <v>0.26162882997301162</v>
      </c>
      <c r="R109">
        <f t="shared" ca="1" si="20"/>
        <v>0.56508306094120808</v>
      </c>
      <c r="S109">
        <f t="shared" ca="1" si="20"/>
        <v>0.3079747458917298</v>
      </c>
      <c r="T109">
        <f t="shared" ca="1" si="20"/>
        <v>0.37502726281352239</v>
      </c>
      <c r="V109" s="4">
        <f t="shared" si="17"/>
        <v>41974</v>
      </c>
      <c r="W109" s="5">
        <f t="shared" ca="1" si="16"/>
        <v>0.28383518225039622</v>
      </c>
      <c r="Z109" s="4" t="e">
        <f>IF(Sheet3!$A109="",MATCH("Error",AF109,0),Sheet3!$A109)</f>
        <v>#N/A</v>
      </c>
      <c r="AA109" s="5" t="str">
        <f ca="1">IF(OFFSET(Sheet3!$A$1,0,MATCH(W$1,Sheet3!$1:$1,0)-1,300)="","",OFFSET(Sheet3!$A$1,0,MATCH(W$1,Sheet3!$1:$1,0)-1,300))</f>
        <v/>
      </c>
      <c r="AB109" s="5" t="str">
        <f ca="1">IF(OFFSET(Sheet3!$A$1,0,MATCH(X$1,Sheet3!$1:$1,0)-1,300)="","",OFFSET(Sheet3!$A$1,0,MATCH(X$1,Sheet3!$1:$1,0)-1,300))</f>
        <v/>
      </c>
      <c r="AC109" t="str">
        <f t="shared" ca="1" si="13"/>
        <v/>
      </c>
      <c r="AD109" t="str">
        <f t="shared" ca="1" si="14"/>
        <v/>
      </c>
    </row>
    <row r="110" spans="1:30" x14ac:dyDescent="0.25">
      <c r="A110" s="4">
        <v>41971</v>
      </c>
      <c r="B110">
        <v>0.6915</v>
      </c>
      <c r="C110" s="5">
        <v>1.083</v>
      </c>
      <c r="D110">
        <v>1.6215000000000002</v>
      </c>
      <c r="E110">
        <v>1.9765000000000001</v>
      </c>
      <c r="F110">
        <v>2.3025000000000002</v>
      </c>
      <c r="G110">
        <v>2.875</v>
      </c>
      <c r="H110">
        <f t="shared" ca="1" si="21"/>
        <v>0.4190661478599223</v>
      </c>
      <c r="I110">
        <f t="shared" ca="1" si="21"/>
        <v>0.33426443202979522</v>
      </c>
      <c r="J110">
        <f t="shared" ca="1" si="21"/>
        <v>0.24662239523700491</v>
      </c>
      <c r="K110">
        <f t="shared" ca="1" si="21"/>
        <v>0.22036002482929853</v>
      </c>
      <c r="L110">
        <f t="shared" ca="1" si="21"/>
        <v>0.16258300893061597</v>
      </c>
      <c r="M110">
        <f t="shared" ca="1" si="21"/>
        <v>0.29110291102911023</v>
      </c>
      <c r="N110">
        <f t="shared" ca="1" si="21"/>
        <v>0.19810267857142855</v>
      </c>
      <c r="O110">
        <f t="shared" ca="1" si="21"/>
        <v>0.14930158003205865</v>
      </c>
      <c r="P110">
        <f t="shared" ca="1" si="21"/>
        <v>0.1819196428571429</v>
      </c>
      <c r="Q110">
        <f t="shared" ca="1" si="21"/>
        <v>0.26007179896290394</v>
      </c>
      <c r="R110">
        <f t="shared" ca="1" si="20"/>
        <v>0.55850698419967948</v>
      </c>
      <c r="S110">
        <f t="shared" ca="1" si="20"/>
        <v>0.31188458896267462</v>
      </c>
      <c r="T110">
        <f t="shared" ca="1" si="20"/>
        <v>0.38002232142857145</v>
      </c>
      <c r="V110" s="4">
        <f t="shared" si="17"/>
        <v>41971</v>
      </c>
      <c r="W110" s="5">
        <f t="shared" ca="1" si="16"/>
        <v>0.29110291102911023</v>
      </c>
      <c r="Z110" s="4" t="e">
        <f>IF(Sheet3!$A110="",MATCH("Error",AF110,0),Sheet3!$A110)</f>
        <v>#N/A</v>
      </c>
      <c r="AA110" s="5" t="str">
        <f ca="1">IF(OFFSET(Sheet3!$A$1,0,MATCH(W$1,Sheet3!$1:$1,0)-1,300)="","",OFFSET(Sheet3!$A$1,0,MATCH(W$1,Sheet3!$1:$1,0)-1,300))</f>
        <v/>
      </c>
      <c r="AB110" s="5" t="str">
        <f ca="1">IF(OFFSET(Sheet3!$A$1,0,MATCH(X$1,Sheet3!$1:$1,0)-1,300)="","",OFFSET(Sheet3!$A$1,0,MATCH(X$1,Sheet3!$1:$1,0)-1,300))</f>
        <v/>
      </c>
      <c r="AC110" t="str">
        <f t="shared" ca="1" si="13"/>
        <v/>
      </c>
      <c r="AD110" t="str">
        <f t="shared" ca="1" si="14"/>
        <v/>
      </c>
    </row>
    <row r="111" spans="1:30" x14ac:dyDescent="0.25">
      <c r="A111" s="4">
        <v>41970</v>
      </c>
      <c r="B111">
        <v>0.69750000000000001</v>
      </c>
      <c r="C111" s="5">
        <v>1.113</v>
      </c>
      <c r="D111">
        <v>1.6919999999999999</v>
      </c>
      <c r="E111">
        <v>2.0630000000000002</v>
      </c>
      <c r="F111">
        <v>2.3731</v>
      </c>
      <c r="G111">
        <v>2.9340000000000002</v>
      </c>
      <c r="H111">
        <f t="shared" ca="1" si="21"/>
        <v>0.42402050530941038</v>
      </c>
      <c r="I111">
        <f t="shared" ca="1" si="21"/>
        <v>0.34554786345189781</v>
      </c>
      <c r="J111">
        <f t="shared" ca="1" si="21"/>
        <v>0.25888665325285037</v>
      </c>
      <c r="K111">
        <f t="shared" ca="1" si="21"/>
        <v>0.22141322511339234</v>
      </c>
      <c r="L111">
        <f t="shared" ca="1" si="21"/>
        <v>0.1658841940532082</v>
      </c>
      <c r="M111">
        <f t="shared" ca="1" si="21"/>
        <v>0.29442107769224685</v>
      </c>
      <c r="N111">
        <f t="shared" ca="1" si="21"/>
        <v>0.20373421197144437</v>
      </c>
      <c r="O111">
        <f t="shared" ca="1" si="21"/>
        <v>0.13865414710485122</v>
      </c>
      <c r="P111">
        <f t="shared" ca="1" si="21"/>
        <v>0.17029104887424482</v>
      </c>
      <c r="Q111">
        <f t="shared" ca="1" si="21"/>
        <v>0.24967793880837341</v>
      </c>
      <c r="R111">
        <f t="shared" ca="1" si="20"/>
        <v>0.56342499441090976</v>
      </c>
      <c r="S111">
        <f t="shared" ca="1" si="20"/>
        <v>0.30453834115805944</v>
      </c>
      <c r="T111">
        <f t="shared" ca="1" si="20"/>
        <v>0.37402526084568916</v>
      </c>
      <c r="V111" s="4">
        <f t="shared" si="17"/>
        <v>41970</v>
      </c>
      <c r="W111" s="5">
        <f t="shared" ca="1" si="16"/>
        <v>0.29442107769224685</v>
      </c>
      <c r="Z111" s="4" t="e">
        <f>IF(Sheet3!$A111="",MATCH("Error",AF111,0),Sheet3!$A111)</f>
        <v>#N/A</v>
      </c>
      <c r="AA111" s="5" t="str">
        <f ca="1">IF(OFFSET(Sheet3!$A$1,0,MATCH(W$1,Sheet3!$1:$1,0)-1,300)="","",OFFSET(Sheet3!$A$1,0,MATCH(W$1,Sheet3!$1:$1,0)-1,300))</f>
        <v/>
      </c>
      <c r="AB111" s="5" t="str">
        <f ca="1">IF(OFFSET(Sheet3!$A$1,0,MATCH(X$1,Sheet3!$1:$1,0)-1,300)="","",OFFSET(Sheet3!$A$1,0,MATCH(X$1,Sheet3!$1:$1,0)-1,300))</f>
        <v/>
      </c>
      <c r="AC111" t="str">
        <f t="shared" ca="1" si="13"/>
        <v/>
      </c>
      <c r="AD111" t="str">
        <f t="shared" ca="1" si="14"/>
        <v/>
      </c>
    </row>
    <row r="112" spans="1:30" x14ac:dyDescent="0.25">
      <c r="A112" s="4">
        <v>41969</v>
      </c>
      <c r="B112">
        <v>0.71289999999999998</v>
      </c>
      <c r="C112" s="5">
        <v>1.1120000000000001</v>
      </c>
      <c r="D112">
        <v>1.6919999999999999</v>
      </c>
      <c r="E112">
        <v>2.0478000000000001</v>
      </c>
      <c r="F112">
        <v>2.3733</v>
      </c>
      <c r="G112">
        <v>2.9346999999999999</v>
      </c>
      <c r="H112">
        <f t="shared" ca="1" si="21"/>
        <v>0.43448947486703104</v>
      </c>
      <c r="I112">
        <f t="shared" ca="1" si="21"/>
        <v>0.34931341845338459</v>
      </c>
      <c r="J112">
        <f t="shared" ca="1" si="21"/>
        <v>0.2610495994238905</v>
      </c>
      <c r="K112">
        <f t="shared" ca="1" si="21"/>
        <v>0.21428571428571433</v>
      </c>
      <c r="L112">
        <f t="shared" ca="1" si="21"/>
        <v>0.16014042668106945</v>
      </c>
      <c r="M112">
        <f t="shared" ca="1" si="21"/>
        <v>0.28208990723856353</v>
      </c>
      <c r="N112">
        <f t="shared" ca="1" si="21"/>
        <v>0.19520491578427615</v>
      </c>
      <c r="O112">
        <f t="shared" ca="1" si="21"/>
        <v>0.14650283553875232</v>
      </c>
      <c r="P112">
        <f t="shared" ca="1" si="21"/>
        <v>0.17858122565424916</v>
      </c>
      <c r="Q112">
        <f t="shared" ca="1" si="21"/>
        <v>0.26192966926852812</v>
      </c>
      <c r="R112">
        <f t="shared" ca="1" si="20"/>
        <v>0.56769286164371224</v>
      </c>
      <c r="S112">
        <f t="shared" ca="1" si="20"/>
        <v>0.3066432622198218</v>
      </c>
      <c r="T112">
        <f t="shared" ca="1" si="20"/>
        <v>0.37378614143852534</v>
      </c>
      <c r="V112" s="4">
        <f t="shared" si="17"/>
        <v>41969</v>
      </c>
      <c r="W112" s="5">
        <f t="shared" ca="1" si="16"/>
        <v>0.28208990723856353</v>
      </c>
      <c r="Z112" s="4" t="e">
        <f>IF(Sheet3!$A112="",MATCH("Error",AF112,0),Sheet3!$A112)</f>
        <v>#N/A</v>
      </c>
      <c r="AA112" s="5" t="str">
        <f ca="1">IF(OFFSET(Sheet3!$A$1,0,MATCH(W$1,Sheet3!$1:$1,0)-1,300)="","",OFFSET(Sheet3!$A$1,0,MATCH(W$1,Sheet3!$1:$1,0)-1,300))</f>
        <v/>
      </c>
      <c r="AB112" s="5" t="str">
        <f ca="1">IF(OFFSET(Sheet3!$A$1,0,MATCH(X$1,Sheet3!$1:$1,0)-1,300)="","",OFFSET(Sheet3!$A$1,0,MATCH(X$1,Sheet3!$1:$1,0)-1,300))</f>
        <v/>
      </c>
      <c r="AC112" t="str">
        <f t="shared" ca="1" si="13"/>
        <v/>
      </c>
      <c r="AD112" t="str">
        <f t="shared" ca="1" si="14"/>
        <v/>
      </c>
    </row>
    <row r="113" spans="1:30" x14ac:dyDescent="0.25">
      <c r="A113" s="4">
        <v>41968</v>
      </c>
      <c r="B113">
        <v>0.71</v>
      </c>
      <c r="C113" s="5">
        <v>1.1160000000000001</v>
      </c>
      <c r="D113">
        <v>1.7029999999999998</v>
      </c>
      <c r="E113">
        <v>2.0592999999999999</v>
      </c>
      <c r="F113">
        <v>2.3818000000000001</v>
      </c>
      <c r="G113">
        <v>2.9359999999999999</v>
      </c>
      <c r="H113">
        <f t="shared" ref="H113:Q122" ca="1" si="22">IF(ISERROR(ABS(OFFSET($A$11,ROW()-11,MATCH(LEFT(H$9,2),$A$11:$G$11,0)-1)-OFFSET($A$11,ROW()-11,MATCH(RIGHT(H$9,2),$A$11:$G$11,0)-1))/ABS(OFFSET($A$11,ROW()-11,MATCH(LEFT(H$10,2),$A$11:$G$11,0)-1)-OFFSET($A$11,ROW()-11,MATCH(RIGHT(H$10,2),$A$11:$G$11,0)-1))),"",ABS(OFFSET($A$11,ROW()-11,MATCH(LEFT(H$9,2),$A$11:$G$11,0)-1)-OFFSET($A$11,ROW()-11,MATCH(RIGHT(H$9,2),$A$11:$G$11,0)-1))/ABS(OFFSET($A$11,ROW()-11,MATCH(LEFT(H$10,2),$A$11:$G$11,0)-1)-OFFSET($A$11,ROW()-11,MATCH(RIGHT(H$10,2),$A$11:$G$11,0)-1)))</f>
        <v>0.43504039131401451</v>
      </c>
      <c r="I113">
        <f t="shared" ca="1" si="22"/>
        <v>0.35111855485105853</v>
      </c>
      <c r="J113">
        <f t="shared" ca="1" si="22"/>
        <v>0.26370170709793339</v>
      </c>
      <c r="K113">
        <f t="shared" ca="1" si="22"/>
        <v>0.2131235793755234</v>
      </c>
      <c r="L113">
        <f t="shared" ca="1" si="22"/>
        <v>0.16006289308176103</v>
      </c>
      <c r="M113">
        <f t="shared" ca="1" si="22"/>
        <v>0.28148206667720022</v>
      </c>
      <c r="N113">
        <f t="shared" ca="1" si="22"/>
        <v>0.19576923076923081</v>
      </c>
      <c r="O113">
        <f t="shared" ca="1" si="22"/>
        <v>0.14487870619946103</v>
      </c>
      <c r="P113">
        <f t="shared" ca="1" si="22"/>
        <v>0.17719780219780235</v>
      </c>
      <c r="Q113">
        <f t="shared" ca="1" si="22"/>
        <v>0.26155717761557196</v>
      </c>
      <c r="R113">
        <f t="shared" ca="1" si="20"/>
        <v>0.5686433063791555</v>
      </c>
      <c r="S113">
        <f t="shared" ca="1" si="20"/>
        <v>0.30494159928122205</v>
      </c>
      <c r="T113">
        <f t="shared" ca="1" si="20"/>
        <v>0.37296703296703315</v>
      </c>
      <c r="V113" s="4">
        <f t="shared" si="17"/>
        <v>41968</v>
      </c>
      <c r="W113" s="5">
        <f t="shared" ca="1" si="16"/>
        <v>0.28148206667720022</v>
      </c>
      <c r="Z113" s="4" t="e">
        <f>IF(Sheet3!$A113="",MATCH("Error",AF113,0),Sheet3!$A113)</f>
        <v>#N/A</v>
      </c>
      <c r="AA113" s="5" t="str">
        <f ca="1">IF(OFFSET(Sheet3!$A$1,0,MATCH(W$1,Sheet3!$1:$1,0)-1,300)="","",OFFSET(Sheet3!$A$1,0,MATCH(W$1,Sheet3!$1:$1,0)-1,300))</f>
        <v/>
      </c>
      <c r="AB113" s="5" t="str">
        <f ca="1">IF(OFFSET(Sheet3!$A$1,0,MATCH(X$1,Sheet3!$1:$1,0)-1,300)="","",OFFSET(Sheet3!$A$1,0,MATCH(X$1,Sheet3!$1:$1,0)-1,300))</f>
        <v/>
      </c>
      <c r="AC113" t="str">
        <f t="shared" ca="1" si="13"/>
        <v/>
      </c>
      <c r="AD113" t="str">
        <f t="shared" ca="1" si="14"/>
        <v/>
      </c>
    </row>
    <row r="114" spans="1:30" x14ac:dyDescent="0.25">
      <c r="A114" s="4">
        <v>41967</v>
      </c>
      <c r="B114">
        <v>0.72250000000000003</v>
      </c>
      <c r="C114" s="5">
        <v>1.1308</v>
      </c>
      <c r="D114">
        <v>1.7343</v>
      </c>
      <c r="E114">
        <v>2.0987999999999998</v>
      </c>
      <c r="F114">
        <v>2.4304999999999999</v>
      </c>
      <c r="G114">
        <v>2.9925000000000002</v>
      </c>
      <c r="H114">
        <f t="shared" ca="1" si="22"/>
        <v>0.43849451427741049</v>
      </c>
      <c r="I114">
        <f t="shared" ca="1" si="22"/>
        <v>0.35333723653395788</v>
      </c>
      <c r="J114">
        <f t="shared" ca="1" si="22"/>
        <v>0.26585903083700435</v>
      </c>
      <c r="K114">
        <f t="shared" ca="1" si="22"/>
        <v>0.21340749414519899</v>
      </c>
      <c r="L114">
        <f t="shared" ca="1" si="22"/>
        <v>0.16057268722466952</v>
      </c>
      <c r="M114">
        <f t="shared" ca="1" si="22"/>
        <v>0.28044933446179876</v>
      </c>
      <c r="N114">
        <f t="shared" ca="1" si="22"/>
        <v>0.19578879518719439</v>
      </c>
      <c r="O114">
        <f t="shared" ca="1" si="22"/>
        <v>0.1461233480176212</v>
      </c>
      <c r="P114">
        <f t="shared" ca="1" si="22"/>
        <v>0.17817048933770213</v>
      </c>
      <c r="Q114">
        <f t="shared" ca="1" si="22"/>
        <v>0.26363058337307266</v>
      </c>
      <c r="R114">
        <f t="shared" ca="1" si="20"/>
        <v>0.57255506607929507</v>
      </c>
      <c r="S114">
        <f t="shared" ca="1" si="20"/>
        <v>0.30669603524229072</v>
      </c>
      <c r="T114">
        <f t="shared" ca="1" si="20"/>
        <v>0.37395928452489652</v>
      </c>
      <c r="V114" s="4">
        <f t="shared" si="17"/>
        <v>41967</v>
      </c>
      <c r="W114" s="5">
        <f t="shared" ca="1" si="16"/>
        <v>0.28044933446179876</v>
      </c>
      <c r="Z114" s="4" t="e">
        <f>IF(Sheet3!$A114="",MATCH("Error",AF114,0),Sheet3!$A114)</f>
        <v>#N/A</v>
      </c>
      <c r="AA114" s="5" t="str">
        <f ca="1">IF(OFFSET(Sheet3!$A$1,0,MATCH(W$1,Sheet3!$1:$1,0)-1,300)="","",OFFSET(Sheet3!$A$1,0,MATCH(W$1,Sheet3!$1:$1,0)-1,300))</f>
        <v/>
      </c>
      <c r="AB114" s="5" t="str">
        <f ca="1">IF(OFFSET(Sheet3!$A$1,0,MATCH(X$1,Sheet3!$1:$1,0)-1,300)="","",OFFSET(Sheet3!$A$1,0,MATCH(X$1,Sheet3!$1:$1,0)-1,300))</f>
        <v/>
      </c>
      <c r="AC114" t="str">
        <f t="shared" ca="1" si="13"/>
        <v/>
      </c>
      <c r="AD114" t="str">
        <f t="shared" ca="1" si="14"/>
        <v/>
      </c>
    </row>
    <row r="115" spans="1:30" x14ac:dyDescent="0.25">
      <c r="A115" s="4">
        <v>41964</v>
      </c>
      <c r="B115">
        <v>0.71699999999999997</v>
      </c>
      <c r="C115" s="5">
        <v>1.1355</v>
      </c>
      <c r="D115">
        <v>1.7387000000000001</v>
      </c>
      <c r="E115">
        <v>2.1021999999999998</v>
      </c>
      <c r="F115">
        <v>2.4319999999999999</v>
      </c>
      <c r="G115">
        <v>2.9853000000000001</v>
      </c>
      <c r="H115">
        <f t="shared" ca="1" si="22"/>
        <v>0.43546058330926962</v>
      </c>
      <c r="I115">
        <f t="shared" ca="1" si="22"/>
        <v>0.35172011661807595</v>
      </c>
      <c r="J115">
        <f t="shared" ca="1" si="22"/>
        <v>0.26592602389454667</v>
      </c>
      <c r="K115">
        <f t="shared" ca="1" si="22"/>
        <v>0.21195335276967914</v>
      </c>
      <c r="L115">
        <f t="shared" ca="1" si="22"/>
        <v>0.16025217122955504</v>
      </c>
      <c r="M115">
        <f t="shared" ca="1" si="22"/>
        <v>0.28037022753567276</v>
      </c>
      <c r="N115">
        <f t="shared" ca="1" si="22"/>
        <v>0.19650773056546636</v>
      </c>
      <c r="O115">
        <f t="shared" ca="1" si="22"/>
        <v>0.14539522990786055</v>
      </c>
      <c r="P115">
        <f t="shared" ca="1" si="22"/>
        <v>0.17828954481565579</v>
      </c>
      <c r="Q115">
        <f t="shared" ca="1" si="22"/>
        <v>0.26455960211776042</v>
      </c>
      <c r="R115">
        <f t="shared" ca="1" si="20"/>
        <v>0.57157342503196229</v>
      </c>
      <c r="S115">
        <f t="shared" ca="1" si="20"/>
        <v>0.30564740113741562</v>
      </c>
      <c r="T115">
        <f t="shared" ca="1" si="20"/>
        <v>0.37479727538112217</v>
      </c>
      <c r="V115" s="4">
        <f t="shared" si="17"/>
        <v>41964</v>
      </c>
      <c r="W115" s="5">
        <f t="shared" ca="1" si="16"/>
        <v>0.28037022753567276</v>
      </c>
      <c r="Z115" s="4" t="e">
        <f>IF(Sheet3!$A115="",MATCH("Error",AF115,0),Sheet3!$A115)</f>
        <v>#N/A</v>
      </c>
      <c r="AA115" s="5" t="str">
        <f ca="1">IF(OFFSET(Sheet3!$A$1,0,MATCH(W$1,Sheet3!$1:$1,0)-1,300)="","",OFFSET(Sheet3!$A$1,0,MATCH(W$1,Sheet3!$1:$1,0)-1,300))</f>
        <v/>
      </c>
      <c r="AB115" s="5" t="str">
        <f ca="1">IF(OFFSET(Sheet3!$A$1,0,MATCH(X$1,Sheet3!$1:$1,0)-1,300)="","",OFFSET(Sheet3!$A$1,0,MATCH(X$1,Sheet3!$1:$1,0)-1,300))</f>
        <v/>
      </c>
      <c r="AC115" t="str">
        <f t="shared" ca="1" si="13"/>
        <v/>
      </c>
      <c r="AD115" t="str">
        <f t="shared" ca="1" si="14"/>
        <v/>
      </c>
    </row>
    <row r="116" spans="1:30" x14ac:dyDescent="0.25">
      <c r="A116" s="4">
        <v>41963</v>
      </c>
      <c r="B116">
        <v>0.72550000000000003</v>
      </c>
      <c r="C116" s="5">
        <v>1.1482999999999999</v>
      </c>
      <c r="D116">
        <v>1.76</v>
      </c>
      <c r="E116">
        <v>2.1274999999999999</v>
      </c>
      <c r="F116">
        <v>2.46</v>
      </c>
      <c r="G116">
        <v>3.0207999999999999</v>
      </c>
      <c r="H116">
        <f t="shared" ca="1" si="22"/>
        <v>0.43630527817403719</v>
      </c>
      <c r="I116">
        <f t="shared" ca="1" si="22"/>
        <v>0.35266647448832528</v>
      </c>
      <c r="J116">
        <f t="shared" ca="1" si="22"/>
        <v>0.26650111096588686</v>
      </c>
      <c r="K116">
        <f t="shared" ca="1" si="22"/>
        <v>0.21187662150475639</v>
      </c>
      <c r="L116">
        <f t="shared" ca="1" si="22"/>
        <v>0.16010978956999081</v>
      </c>
      <c r="M116">
        <f t="shared" ca="1" si="22"/>
        <v>0.28017077075550806</v>
      </c>
      <c r="N116">
        <f t="shared" ca="1" si="22"/>
        <v>0.19626168224299062</v>
      </c>
      <c r="O116">
        <f t="shared" ca="1" si="22"/>
        <v>0.14486123818237268</v>
      </c>
      <c r="P116">
        <f t="shared" ca="1" si="22"/>
        <v>0.17757009345794392</v>
      </c>
      <c r="Q116">
        <f t="shared" ca="1" si="22"/>
        <v>0.26372144670050762</v>
      </c>
      <c r="R116">
        <f t="shared" ca="1" si="20"/>
        <v>0.57147213871825031</v>
      </c>
      <c r="S116">
        <f t="shared" ca="1" si="20"/>
        <v>0.30497102775236351</v>
      </c>
      <c r="T116">
        <f t="shared" ca="1" si="20"/>
        <v>0.37383177570093457</v>
      </c>
      <c r="V116" s="4">
        <f t="shared" si="17"/>
        <v>41963</v>
      </c>
      <c r="W116" s="5">
        <f t="shared" ca="1" si="16"/>
        <v>0.28017077075550806</v>
      </c>
      <c r="Z116" s="4" t="e">
        <f>IF(Sheet3!$A116="",MATCH("Error",AF116,0),Sheet3!$A116)</f>
        <v>#N/A</v>
      </c>
      <c r="AA116" s="5" t="str">
        <f ca="1">IF(OFFSET(Sheet3!$A$1,0,MATCH(W$1,Sheet3!$1:$1,0)-1,300)="","",OFFSET(Sheet3!$A$1,0,MATCH(W$1,Sheet3!$1:$1,0)-1,300))</f>
        <v/>
      </c>
      <c r="AB116" s="5" t="str">
        <f ca="1">IF(OFFSET(Sheet3!$A$1,0,MATCH(X$1,Sheet3!$1:$1,0)-1,300)="","",OFFSET(Sheet3!$A$1,0,MATCH(X$1,Sheet3!$1:$1,0)-1,300))</f>
        <v/>
      </c>
      <c r="AC116" t="str">
        <f t="shared" ca="1" si="13"/>
        <v/>
      </c>
      <c r="AD116" t="str">
        <f t="shared" ca="1" si="14"/>
        <v/>
      </c>
    </row>
    <row r="117" spans="1:30" x14ac:dyDescent="0.25">
      <c r="A117" s="4">
        <v>41962</v>
      </c>
      <c r="B117">
        <v>0.73350000000000004</v>
      </c>
      <c r="C117" s="5">
        <v>1.1565000000000001</v>
      </c>
      <c r="D117">
        <v>1.7726999999999999</v>
      </c>
      <c r="E117">
        <v>2.1440000000000001</v>
      </c>
      <c r="F117">
        <v>2.4803000000000002</v>
      </c>
      <c r="G117">
        <v>3.0428000000000002</v>
      </c>
      <c r="H117">
        <f t="shared" ca="1" si="22"/>
        <v>0.43686635944700447</v>
      </c>
      <c r="I117">
        <f t="shared" ca="1" si="22"/>
        <v>0.35275933134875187</v>
      </c>
      <c r="J117">
        <f t="shared" ca="1" si="22"/>
        <v>0.26683410557311732</v>
      </c>
      <c r="K117">
        <f t="shared" ca="1" si="22"/>
        <v>0.21256010991527374</v>
      </c>
      <c r="L117">
        <f t="shared" ca="1" si="22"/>
        <v>0.16078465335816053</v>
      </c>
      <c r="M117">
        <f t="shared" ca="1" si="22"/>
        <v>0.28048043511104409</v>
      </c>
      <c r="N117">
        <f t="shared" ca="1" si="22"/>
        <v>0.19684037533796331</v>
      </c>
      <c r="O117">
        <f t="shared" ca="1" si="22"/>
        <v>0.14562854544667214</v>
      </c>
      <c r="P117">
        <f t="shared" ca="1" si="22"/>
        <v>0.17828553252398877</v>
      </c>
      <c r="Q117">
        <f t="shared" ca="1" si="22"/>
        <v>0.26478230060625146</v>
      </c>
      <c r="R117">
        <f t="shared" ca="1" si="20"/>
        <v>0.57324730437795002</v>
      </c>
      <c r="S117">
        <f t="shared" ca="1" si="20"/>
        <v>0.3064131988048327</v>
      </c>
      <c r="T117">
        <f t="shared" ca="1" si="20"/>
        <v>0.37512590786195205</v>
      </c>
      <c r="V117" s="4">
        <f t="shared" si="17"/>
        <v>41962</v>
      </c>
      <c r="W117" s="5">
        <f t="shared" ca="1" si="16"/>
        <v>0.28048043511104409</v>
      </c>
      <c r="Z117" s="4" t="e">
        <f>IF(Sheet3!$A117="",MATCH("Error",AF117,0),Sheet3!$A117)</f>
        <v>#N/A</v>
      </c>
      <c r="AA117" s="5" t="str">
        <f ca="1">IF(OFFSET(Sheet3!$A$1,0,MATCH(W$1,Sheet3!$1:$1,0)-1,300)="","",OFFSET(Sheet3!$A$1,0,MATCH(W$1,Sheet3!$1:$1,0)-1,300))</f>
        <v/>
      </c>
      <c r="AB117" s="5" t="str">
        <f ca="1">IF(OFFSET(Sheet3!$A$1,0,MATCH(X$1,Sheet3!$1:$1,0)-1,300)="","",OFFSET(Sheet3!$A$1,0,MATCH(X$1,Sheet3!$1:$1,0)-1,300))</f>
        <v/>
      </c>
      <c r="AC117" t="str">
        <f t="shared" ca="1" si="13"/>
        <v/>
      </c>
      <c r="AD117" t="str">
        <f t="shared" ca="1" si="14"/>
        <v/>
      </c>
    </row>
    <row r="118" spans="1:30" x14ac:dyDescent="0.25">
      <c r="A118" s="4">
        <v>41961</v>
      </c>
      <c r="B118">
        <v>0.7157</v>
      </c>
      <c r="C118" s="5">
        <v>1.1325000000000001</v>
      </c>
      <c r="D118">
        <v>1.736</v>
      </c>
      <c r="E118">
        <v>2.1025</v>
      </c>
      <c r="F118">
        <v>2.4369999999999998</v>
      </c>
      <c r="G118">
        <v>3.0023</v>
      </c>
      <c r="H118">
        <f t="shared" ca="1" si="22"/>
        <v>0.43517450245168726</v>
      </c>
      <c r="I118">
        <f t="shared" ca="1" si="22"/>
        <v>0.35060709928542377</v>
      </c>
      <c r="J118">
        <f t="shared" ca="1" si="22"/>
        <v>0.26392897752121053</v>
      </c>
      <c r="K118">
        <f t="shared" ca="1" si="22"/>
        <v>0.21292046708882825</v>
      </c>
      <c r="L118">
        <f t="shared" ca="1" si="22"/>
        <v>0.16028164086416516</v>
      </c>
      <c r="M118">
        <f t="shared" ca="1" si="22"/>
        <v>0.28095055576849376</v>
      </c>
      <c r="N118">
        <f t="shared" ca="1" si="22"/>
        <v>0.19601026847791211</v>
      </c>
      <c r="O118">
        <f t="shared" ca="1" si="22"/>
        <v>0.14628706376279182</v>
      </c>
      <c r="P118">
        <f t="shared" ca="1" si="22"/>
        <v>0.17889613862445172</v>
      </c>
      <c r="Q118">
        <f t="shared" ca="1" si="22"/>
        <v>0.26415541340914461</v>
      </c>
      <c r="R118">
        <f t="shared" ca="1" si="20"/>
        <v>0.57049768214816754</v>
      </c>
      <c r="S118">
        <f t="shared" ca="1" si="20"/>
        <v>0.30656870462695701</v>
      </c>
      <c r="T118">
        <f t="shared" ca="1" si="20"/>
        <v>0.37490640710236384</v>
      </c>
      <c r="V118" s="4">
        <f t="shared" si="17"/>
        <v>41961</v>
      </c>
      <c r="W118" s="5">
        <f t="shared" ca="1" si="16"/>
        <v>0.28095055576849376</v>
      </c>
      <c r="Z118" s="4" t="e">
        <f>IF(Sheet3!$A118="",MATCH("Error",AF118,0),Sheet3!$A118)</f>
        <v>#N/A</v>
      </c>
      <c r="AA118" s="5" t="str">
        <f ca="1">IF(OFFSET(Sheet3!$A$1,0,MATCH(W$1,Sheet3!$1:$1,0)-1,300)="","",OFFSET(Sheet3!$A$1,0,MATCH(W$1,Sheet3!$1:$1,0)-1,300))</f>
        <v/>
      </c>
      <c r="AB118" s="5" t="str">
        <f ca="1">IF(OFFSET(Sheet3!$A$1,0,MATCH(X$1,Sheet3!$1:$1,0)-1,300)="","",OFFSET(Sheet3!$A$1,0,MATCH(X$1,Sheet3!$1:$1,0)-1,300))</f>
        <v/>
      </c>
      <c r="AC118" t="str">
        <f t="shared" ca="1" si="13"/>
        <v/>
      </c>
      <c r="AD118" t="str">
        <f t="shared" ca="1" si="14"/>
        <v/>
      </c>
    </row>
    <row r="119" spans="1:30" x14ac:dyDescent="0.25">
      <c r="A119" s="4">
        <v>41960</v>
      </c>
      <c r="B119">
        <v>0.72130000000000005</v>
      </c>
      <c r="C119" s="5">
        <v>1.1463000000000001</v>
      </c>
      <c r="D119">
        <v>1.7570000000000001</v>
      </c>
      <c r="E119">
        <v>2.1269999999999998</v>
      </c>
      <c r="F119">
        <v>2.4649999999999999</v>
      </c>
      <c r="G119">
        <v>3.03</v>
      </c>
      <c r="H119">
        <f t="shared" ca="1" si="22"/>
        <v>0.43444547200682943</v>
      </c>
      <c r="I119">
        <f t="shared" ca="1" si="22"/>
        <v>0.35023226472443658</v>
      </c>
      <c r="J119">
        <f t="shared" ca="1" si="22"/>
        <v>0.26452115909386237</v>
      </c>
      <c r="K119">
        <f t="shared" ca="1" si="22"/>
        <v>0.21219246430005145</v>
      </c>
      <c r="L119">
        <f t="shared" ca="1" si="22"/>
        <v>0.16026335166977071</v>
      </c>
      <c r="M119">
        <f t="shared" ca="1" si="22"/>
        <v>0.28057935845908827</v>
      </c>
      <c r="N119">
        <f t="shared" ca="1" si="22"/>
        <v>0.1964219355523702</v>
      </c>
      <c r="O119">
        <f t="shared" ca="1" si="22"/>
        <v>0.14640273747130422</v>
      </c>
      <c r="P119">
        <f t="shared" ca="1" si="22"/>
        <v>0.17943409247757081</v>
      </c>
      <c r="Q119">
        <f t="shared" ca="1" si="22"/>
        <v>0.26551453260015723</v>
      </c>
      <c r="R119">
        <f t="shared" ca="1" si="20"/>
        <v>0.57118724823493727</v>
      </c>
      <c r="S119">
        <f t="shared" ca="1" si="20"/>
        <v>0.30666608914107496</v>
      </c>
      <c r="T119">
        <f t="shared" ca="1" si="20"/>
        <v>0.375856028029941</v>
      </c>
      <c r="V119" s="4">
        <f t="shared" si="17"/>
        <v>41960</v>
      </c>
      <c r="W119" s="5">
        <f t="shared" ca="1" si="16"/>
        <v>0.28057935845908827</v>
      </c>
      <c r="Z119" s="4" t="e">
        <f>IF(Sheet3!$A119="",MATCH("Error",AF119,0),Sheet3!$A119)</f>
        <v>#N/A</v>
      </c>
      <c r="AA119" s="5" t="str">
        <f ca="1">IF(OFFSET(Sheet3!$A$1,0,MATCH(W$1,Sheet3!$1:$1,0)-1,300)="","",OFFSET(Sheet3!$A$1,0,MATCH(W$1,Sheet3!$1:$1,0)-1,300))</f>
        <v/>
      </c>
      <c r="AB119" s="5" t="str">
        <f ca="1">IF(OFFSET(Sheet3!$A$1,0,MATCH(X$1,Sheet3!$1:$1,0)-1,300)="","",OFFSET(Sheet3!$A$1,0,MATCH(X$1,Sheet3!$1:$1,0)-1,300))</f>
        <v/>
      </c>
      <c r="AC119" t="str">
        <f t="shared" ca="1" si="13"/>
        <v/>
      </c>
      <c r="AD119" t="str">
        <f t="shared" ca="1" si="14"/>
        <v/>
      </c>
    </row>
    <row r="120" spans="1:30" x14ac:dyDescent="0.25">
      <c r="A120" s="4">
        <v>41957</v>
      </c>
      <c r="B120">
        <v>0.72950000000000004</v>
      </c>
      <c r="C120" s="5">
        <v>1.1482999999999999</v>
      </c>
      <c r="D120">
        <v>1.7433000000000001</v>
      </c>
      <c r="E120">
        <v>2.1113</v>
      </c>
      <c r="F120">
        <v>2.448</v>
      </c>
      <c r="G120">
        <v>3.0215999999999998</v>
      </c>
      <c r="H120">
        <f t="shared" ca="1" si="22"/>
        <v>0.4305977710233031</v>
      </c>
      <c r="I120">
        <f t="shared" ca="1" si="22"/>
        <v>0.34623217922606936</v>
      </c>
      <c r="J120">
        <f t="shared" ca="1" si="22"/>
        <v>0.2595872780419704</v>
      </c>
      <c r="K120">
        <f t="shared" ca="1" si="22"/>
        <v>0.21414023858015704</v>
      </c>
      <c r="L120">
        <f t="shared" ca="1" si="22"/>
        <v>0.16055145936041182</v>
      </c>
      <c r="M120">
        <f t="shared" ca="1" si="22"/>
        <v>0.28314226359929201</v>
      </c>
      <c r="N120">
        <f t="shared" ca="1" si="22"/>
        <v>0.1964447765974483</v>
      </c>
      <c r="O120">
        <f t="shared" ca="1" si="22"/>
        <v>0.14689585969198554</v>
      </c>
      <c r="P120">
        <f t="shared" ca="1" si="22"/>
        <v>0.17973629424011103</v>
      </c>
      <c r="Q120">
        <f t="shared" ca="1" si="22"/>
        <v>0.2633966987405148</v>
      </c>
      <c r="R120">
        <f t="shared" ca="1" si="20"/>
        <v>0.56703459709436776</v>
      </c>
      <c r="S120">
        <f t="shared" ca="1" si="20"/>
        <v>0.30744731905239736</v>
      </c>
      <c r="T120">
        <f t="shared" ca="1" si="20"/>
        <v>0.37618107083755931</v>
      </c>
      <c r="V120" s="4">
        <f t="shared" si="17"/>
        <v>41957</v>
      </c>
      <c r="W120" s="5">
        <f t="shared" ca="1" si="16"/>
        <v>0.28314226359929201</v>
      </c>
      <c r="Z120" s="4" t="e">
        <f>IF(Sheet3!$A120="",MATCH("Error",AF120,0),Sheet3!$A120)</f>
        <v>#N/A</v>
      </c>
      <c r="AA120" s="5" t="str">
        <f ca="1">IF(OFFSET(Sheet3!$A$1,0,MATCH(W$1,Sheet3!$1:$1,0)-1,300)="","",OFFSET(Sheet3!$A$1,0,MATCH(W$1,Sheet3!$1:$1,0)-1,300))</f>
        <v/>
      </c>
      <c r="AB120" s="5" t="str">
        <f ca="1">IF(OFFSET(Sheet3!$A$1,0,MATCH(X$1,Sheet3!$1:$1,0)-1,300)="","",OFFSET(Sheet3!$A$1,0,MATCH(X$1,Sheet3!$1:$1,0)-1,300))</f>
        <v/>
      </c>
      <c r="AC120" t="str">
        <f t="shared" ca="1" si="13"/>
        <v/>
      </c>
      <c r="AD120" t="str">
        <f t="shared" ca="1" si="14"/>
        <v/>
      </c>
    </row>
    <row r="121" spans="1:30" x14ac:dyDescent="0.25">
      <c r="A121" s="4">
        <v>41956</v>
      </c>
      <c r="B121">
        <v>0.73629999999999995</v>
      </c>
      <c r="C121" s="5">
        <v>1.157</v>
      </c>
      <c r="D121">
        <v>1.758</v>
      </c>
      <c r="E121">
        <v>2.125</v>
      </c>
      <c r="F121">
        <v>2.4622999999999999</v>
      </c>
      <c r="G121">
        <v>3.0348000000000002</v>
      </c>
      <c r="H121">
        <f t="shared" ca="1" si="22"/>
        <v>0.43277885792467774</v>
      </c>
      <c r="I121">
        <f t="shared" ca="1" si="22"/>
        <v>0.3482039397450753</v>
      </c>
      <c r="J121">
        <f t="shared" ca="1" si="22"/>
        <v>0.26147487491842503</v>
      </c>
      <c r="K121">
        <f t="shared" ca="1" si="22"/>
        <v>0.21263035921205098</v>
      </c>
      <c r="L121">
        <f t="shared" ca="1" si="22"/>
        <v>0.1596693495758103</v>
      </c>
      <c r="M121">
        <f t="shared" ca="1" si="22"/>
        <v>0.28116141883092011</v>
      </c>
      <c r="N121">
        <f t="shared" ca="1" si="22"/>
        <v>0.19544147406539567</v>
      </c>
      <c r="O121">
        <f t="shared" ca="1" si="22"/>
        <v>0.14674787905155531</v>
      </c>
      <c r="P121">
        <f t="shared" ca="1" si="22"/>
        <v>0.17962509319416334</v>
      </c>
      <c r="Q121">
        <f t="shared" ca="1" si="22"/>
        <v>0.2641760651629072</v>
      </c>
      <c r="R121">
        <f t="shared" ca="1" si="20"/>
        <v>0.56789210354579067</v>
      </c>
      <c r="S121">
        <f t="shared" ca="1" si="20"/>
        <v>0.30641722862736559</v>
      </c>
      <c r="T121">
        <f t="shared" ca="1" si="20"/>
        <v>0.375066567259559</v>
      </c>
      <c r="V121" s="4">
        <f t="shared" si="17"/>
        <v>41956</v>
      </c>
      <c r="W121" s="5">
        <f t="shared" ca="1" si="16"/>
        <v>0.28116141883092011</v>
      </c>
      <c r="Z121" s="4" t="e">
        <f>IF(Sheet3!$A121="",MATCH("Error",AF121,0),Sheet3!$A121)</f>
        <v>#N/A</v>
      </c>
      <c r="AA121" s="5" t="str">
        <f ca="1">IF(OFFSET(Sheet3!$A$1,0,MATCH(W$1,Sheet3!$1:$1,0)-1,300)="","",OFFSET(Sheet3!$A$1,0,MATCH(W$1,Sheet3!$1:$1,0)-1,300))</f>
        <v/>
      </c>
      <c r="AB121" s="5" t="str">
        <f ca="1">IF(OFFSET(Sheet3!$A$1,0,MATCH(X$1,Sheet3!$1:$1,0)-1,300)="","",OFFSET(Sheet3!$A$1,0,MATCH(X$1,Sheet3!$1:$1,0)-1,300))</f>
        <v/>
      </c>
      <c r="AC121" t="str">
        <f t="shared" ca="1" si="13"/>
        <v/>
      </c>
      <c r="AD121" t="str">
        <f t="shared" ca="1" si="14"/>
        <v/>
      </c>
    </row>
    <row r="122" spans="1:30" x14ac:dyDescent="0.25">
      <c r="A122" s="4">
        <v>41955</v>
      </c>
      <c r="B122">
        <v>0.754</v>
      </c>
      <c r="C122" s="5">
        <v>1.1839999999999999</v>
      </c>
      <c r="D122">
        <v>1.7913000000000001</v>
      </c>
      <c r="E122">
        <v>2.1617999999999999</v>
      </c>
      <c r="F122">
        <v>2.5004999999999997</v>
      </c>
      <c r="G122">
        <v>3.07</v>
      </c>
      <c r="H122">
        <f t="shared" ca="1" si="22"/>
        <v>0.43138229862196348</v>
      </c>
      <c r="I122">
        <f t="shared" ca="1" si="22"/>
        <v>0.34772401946750658</v>
      </c>
      <c r="J122">
        <f t="shared" ca="1" si="22"/>
        <v>0.26221934369602773</v>
      </c>
      <c r="K122">
        <f t="shared" ca="1" si="22"/>
        <v>0.21213856283996557</v>
      </c>
      <c r="L122">
        <f t="shared" ca="1" si="22"/>
        <v>0.15997409326424863</v>
      </c>
      <c r="M122">
        <f t="shared" ca="1" si="22"/>
        <v>0.28142802886441315</v>
      </c>
      <c r="N122">
        <f t="shared" ca="1" si="22"/>
        <v>0.19644750795334032</v>
      </c>
      <c r="O122">
        <f t="shared" ca="1" si="22"/>
        <v>0.14624352331606208</v>
      </c>
      <c r="P122">
        <f t="shared" ca="1" si="22"/>
        <v>0.1795864262990455</v>
      </c>
      <c r="Q122">
        <f t="shared" ca="1" si="22"/>
        <v>0.26487839211699371</v>
      </c>
      <c r="R122">
        <f t="shared" ca="1" si="20"/>
        <v>0.5684369602763385</v>
      </c>
      <c r="S122">
        <f t="shared" ca="1" si="20"/>
        <v>0.30621761658031071</v>
      </c>
      <c r="T122">
        <f t="shared" ca="1" si="20"/>
        <v>0.37603393425238579</v>
      </c>
      <c r="V122" s="4">
        <f t="shared" si="17"/>
        <v>41955</v>
      </c>
      <c r="W122" s="5">
        <f t="shared" ca="1" si="16"/>
        <v>0.28142802886441315</v>
      </c>
      <c r="Z122" s="4" t="e">
        <f>IF(Sheet3!$A122="",MATCH("Error",AF122,0),Sheet3!$A122)</f>
        <v>#N/A</v>
      </c>
      <c r="AA122" s="5" t="str">
        <f ca="1">IF(OFFSET(Sheet3!$A$1,0,MATCH(W$1,Sheet3!$1:$1,0)-1,300)="","",OFFSET(Sheet3!$A$1,0,MATCH(W$1,Sheet3!$1:$1,0)-1,300))</f>
        <v/>
      </c>
      <c r="AB122" s="5" t="str">
        <f ca="1">IF(OFFSET(Sheet3!$A$1,0,MATCH(X$1,Sheet3!$1:$1,0)-1,300)="","",OFFSET(Sheet3!$A$1,0,MATCH(X$1,Sheet3!$1:$1,0)-1,300))</f>
        <v/>
      </c>
      <c r="AC122" t="str">
        <f t="shared" ca="1" si="13"/>
        <v/>
      </c>
      <c r="AD122" t="str">
        <f t="shared" ca="1" si="14"/>
        <v/>
      </c>
    </row>
    <row r="123" spans="1:30" x14ac:dyDescent="0.25">
      <c r="A123" s="4">
        <v>41954</v>
      </c>
      <c r="B123">
        <v>0.75600000000000001</v>
      </c>
      <c r="C123" s="5">
        <v>1.1850000000000001</v>
      </c>
      <c r="D123">
        <v>1.7835000000000001</v>
      </c>
      <c r="E123">
        <v>2.1615000000000002</v>
      </c>
      <c r="F123">
        <v>2.5015000000000001</v>
      </c>
      <c r="G123">
        <v>3.0617000000000001</v>
      </c>
      <c r="H123">
        <f t="shared" ref="H123:Q132" ca="1" si="23">IF(ISERROR(ABS(OFFSET($A$11,ROW()-11,MATCH(LEFT(H$9,2),$A$11:$G$11,0)-1)-OFFSET($A$11,ROW()-11,MATCH(RIGHT(H$9,2),$A$11:$G$11,0)-1))/ABS(OFFSET($A$11,ROW()-11,MATCH(LEFT(H$10,2),$A$11:$G$11,0)-1)-OFFSET($A$11,ROW()-11,MATCH(RIGHT(H$10,2),$A$11:$G$11,0)-1))),"",ABS(OFFSET($A$11,ROW()-11,MATCH(LEFT(H$9,2),$A$11:$G$11,0)-1)-OFFSET($A$11,ROW()-11,MATCH(RIGHT(H$9,2),$A$11:$G$11,0)-1))/ABS(OFFSET($A$11,ROW()-11,MATCH(LEFT(H$10,2),$A$11:$G$11,0)-1)-OFFSET($A$11,ROW()-11,MATCH(RIGHT(H$10,2),$A$11:$G$11,0)-1)))</f>
        <v>0.42582710779082172</v>
      </c>
      <c r="I123">
        <f t="shared" ca="1" si="23"/>
        <v>0.34288169578917216</v>
      </c>
      <c r="J123">
        <f t="shared" ca="1" si="23"/>
        <v>0.25957409897211264</v>
      </c>
      <c r="K123">
        <f t="shared" ca="1" si="23"/>
        <v>0.21655686049842457</v>
      </c>
      <c r="L123">
        <f t="shared" ca="1" si="23"/>
        <v>0.16394153619291327</v>
      </c>
      <c r="M123">
        <f t="shared" ca="1" si="23"/>
        <v>0.28712495252563625</v>
      </c>
      <c r="N123">
        <f t="shared" ca="1" si="23"/>
        <v>0.2014173815740396</v>
      </c>
      <c r="O123">
        <f t="shared" ca="1" si="23"/>
        <v>0.14746064102008061</v>
      </c>
      <c r="P123">
        <f t="shared" ca="1" si="23"/>
        <v>0.18116907337347463</v>
      </c>
      <c r="Q123">
        <f t="shared" ca="1" si="23"/>
        <v>0.26599906117978395</v>
      </c>
      <c r="R123">
        <f t="shared" ca="1" si="20"/>
        <v>0.57097627618510649</v>
      </c>
      <c r="S123">
        <f t="shared" ca="1" si="20"/>
        <v>0.3114021772129939</v>
      </c>
      <c r="T123">
        <f t="shared" ca="1" si="20"/>
        <v>0.38258645494751425</v>
      </c>
      <c r="V123" s="4">
        <f t="shared" si="17"/>
        <v>41954</v>
      </c>
      <c r="W123" s="5">
        <f t="shared" ca="1" si="16"/>
        <v>0.28712495252563625</v>
      </c>
      <c r="Z123" s="4" t="e">
        <f>IF(Sheet3!$A123="",MATCH("Error",AF123,0),Sheet3!$A123)</f>
        <v>#N/A</v>
      </c>
      <c r="AA123" s="5" t="str">
        <f ca="1">IF(OFFSET(Sheet3!$A$1,0,MATCH(W$1,Sheet3!$1:$1,0)-1,300)="","",OFFSET(Sheet3!$A$1,0,MATCH(W$1,Sheet3!$1:$1,0)-1,300))</f>
        <v/>
      </c>
      <c r="AB123" s="5" t="str">
        <f ca="1">IF(OFFSET(Sheet3!$A$1,0,MATCH(X$1,Sheet3!$1:$1,0)-1,300)="","",OFFSET(Sheet3!$A$1,0,MATCH(X$1,Sheet3!$1:$1,0)-1,300))</f>
        <v/>
      </c>
      <c r="AC123" t="str">
        <f t="shared" ca="1" si="13"/>
        <v/>
      </c>
      <c r="AD123" t="str">
        <f t="shared" ca="1" si="14"/>
        <v/>
      </c>
    </row>
    <row r="124" spans="1:30" x14ac:dyDescent="0.25">
      <c r="A124" s="4">
        <v>41953</v>
      </c>
      <c r="B124">
        <v>0.747</v>
      </c>
      <c r="C124" s="5">
        <v>1.175</v>
      </c>
      <c r="D124">
        <v>1.786</v>
      </c>
      <c r="E124">
        <v>2.1564999999999999</v>
      </c>
      <c r="F124">
        <v>2.4939999999999998</v>
      </c>
      <c r="G124">
        <v>3.0609999999999999</v>
      </c>
      <c r="H124">
        <f t="shared" ca="1" si="23"/>
        <v>0.43348705214615113</v>
      </c>
      <c r="I124">
        <f t="shared" ca="1" si="23"/>
        <v>0.34974241556954783</v>
      </c>
      <c r="J124">
        <f t="shared" ca="1" si="23"/>
        <v>0.2640449438202247</v>
      </c>
      <c r="K124">
        <f t="shared" ca="1" si="23"/>
        <v>0.21207784773898103</v>
      </c>
      <c r="L124">
        <f t="shared" ca="1" si="23"/>
        <v>0.16011235955056172</v>
      </c>
      <c r="M124">
        <f t="shared" ca="1" si="23"/>
        <v>0.2808946171341925</v>
      </c>
      <c r="N124">
        <f t="shared" ca="1" si="23"/>
        <v>0.19644750795334032</v>
      </c>
      <c r="O124">
        <f t="shared" ca="1" si="23"/>
        <v>0.14585133967156436</v>
      </c>
      <c r="P124">
        <f t="shared" ca="1" si="23"/>
        <v>0.17895015906680803</v>
      </c>
      <c r="Q124">
        <f t="shared" ca="1" si="23"/>
        <v>0.26470588235294112</v>
      </c>
      <c r="R124">
        <f t="shared" ca="1" si="20"/>
        <v>0.57000864304235077</v>
      </c>
      <c r="S124">
        <f t="shared" ca="1" si="20"/>
        <v>0.30596369922212607</v>
      </c>
      <c r="T124">
        <f t="shared" ca="1" si="20"/>
        <v>0.37539766702014832</v>
      </c>
      <c r="V124" s="4">
        <f t="shared" si="17"/>
        <v>41953</v>
      </c>
      <c r="W124" s="5">
        <f t="shared" ca="1" si="16"/>
        <v>0.2808946171341925</v>
      </c>
      <c r="Z124" s="4" t="e">
        <f>IF(Sheet3!$A124="",MATCH("Error",AF124,0),Sheet3!$A124)</f>
        <v>#N/A</v>
      </c>
      <c r="AA124" s="5" t="str">
        <f ca="1">IF(OFFSET(Sheet3!$A$1,0,MATCH(W$1,Sheet3!$1:$1,0)-1,300)="","",OFFSET(Sheet3!$A$1,0,MATCH(W$1,Sheet3!$1:$1,0)-1,300))</f>
        <v/>
      </c>
      <c r="AB124" s="5" t="str">
        <f ca="1">IF(OFFSET(Sheet3!$A$1,0,MATCH(X$1,Sheet3!$1:$1,0)-1,300)="","",OFFSET(Sheet3!$A$1,0,MATCH(X$1,Sheet3!$1:$1,0)-1,300))</f>
        <v/>
      </c>
      <c r="AC124" t="str">
        <f t="shared" ca="1" si="13"/>
        <v/>
      </c>
      <c r="AD124" t="str">
        <f t="shared" ca="1" si="14"/>
        <v/>
      </c>
    </row>
    <row r="125" spans="1:30" x14ac:dyDescent="0.25">
      <c r="A125" s="4">
        <v>41950</v>
      </c>
      <c r="B125">
        <v>0.71650000000000003</v>
      </c>
      <c r="C125" s="5">
        <v>1.1348</v>
      </c>
      <c r="D125">
        <v>1.7318</v>
      </c>
      <c r="E125">
        <v>2.101</v>
      </c>
      <c r="F125">
        <v>2.4375</v>
      </c>
      <c r="G125">
        <v>3.0047999999999999</v>
      </c>
      <c r="H125">
        <f t="shared" ca="1" si="23"/>
        <v>0.43120260021668466</v>
      </c>
      <c r="I125">
        <f t="shared" ca="1" si="23"/>
        <v>0.34689134224288204</v>
      </c>
      <c r="J125">
        <f t="shared" ca="1" si="23"/>
        <v>0.26089236551151507</v>
      </c>
      <c r="K125">
        <f t="shared" ca="1" si="23"/>
        <v>0.2145264381173736</v>
      </c>
      <c r="L125">
        <f t="shared" ca="1" si="23"/>
        <v>0.16134248131800899</v>
      </c>
      <c r="M125">
        <f t="shared" ca="1" si="23"/>
        <v>0.28341137637215014</v>
      </c>
      <c r="N125">
        <f t="shared" ca="1" si="23"/>
        <v>0.19743315508021389</v>
      </c>
      <c r="O125">
        <f t="shared" ca="1" si="23"/>
        <v>0.14705239697592098</v>
      </c>
      <c r="P125">
        <f t="shared" ca="1" si="23"/>
        <v>0.17994652406417114</v>
      </c>
      <c r="Q125">
        <f t="shared" ca="1" si="23"/>
        <v>0.26433621366849963</v>
      </c>
      <c r="R125">
        <f t="shared" ca="1" si="20"/>
        <v>0.56928724380544504</v>
      </c>
      <c r="S125">
        <f t="shared" ca="1" si="20"/>
        <v>0.30839487829392997</v>
      </c>
      <c r="T125">
        <f t="shared" ca="1" si="20"/>
        <v>0.37737967914438503</v>
      </c>
      <c r="V125" s="4">
        <f t="shared" si="17"/>
        <v>41950</v>
      </c>
      <c r="W125" s="5">
        <f t="shared" ca="1" si="16"/>
        <v>0.28341137637215014</v>
      </c>
      <c r="Z125" s="4" t="e">
        <f>IF(Sheet3!$A125="",MATCH("Error",AF125,0),Sheet3!$A125)</f>
        <v>#N/A</v>
      </c>
      <c r="AA125" s="5" t="str">
        <f ca="1">IF(OFFSET(Sheet3!$A$1,0,MATCH(W$1,Sheet3!$1:$1,0)-1,300)="","",OFFSET(Sheet3!$A$1,0,MATCH(W$1,Sheet3!$1:$1,0)-1,300))</f>
        <v/>
      </c>
      <c r="AB125" s="5" t="str">
        <f ca="1">IF(OFFSET(Sheet3!$A$1,0,MATCH(X$1,Sheet3!$1:$1,0)-1,300)="","",OFFSET(Sheet3!$A$1,0,MATCH(X$1,Sheet3!$1:$1,0)-1,300))</f>
        <v/>
      </c>
      <c r="AC125" t="str">
        <f t="shared" ca="1" si="13"/>
        <v/>
      </c>
      <c r="AD125" t="str">
        <f t="shared" ca="1" si="14"/>
        <v/>
      </c>
    </row>
    <row r="126" spans="1:30" x14ac:dyDescent="0.25">
      <c r="A126" s="4">
        <v>41949</v>
      </c>
      <c r="B126">
        <v>0.76080000000000003</v>
      </c>
      <c r="C126" s="5">
        <v>1.1975</v>
      </c>
      <c r="D126">
        <v>1.8208</v>
      </c>
      <c r="E126">
        <v>2.1924999999999999</v>
      </c>
      <c r="F126">
        <v>2.5295000000000001</v>
      </c>
      <c r="G126">
        <v>3.0859999999999999</v>
      </c>
      <c r="H126">
        <f t="shared" ca="1" si="23"/>
        <v>0.43535656911364118</v>
      </c>
      <c r="I126">
        <f t="shared" ca="1" si="23"/>
        <v>0.35240572171651496</v>
      </c>
      <c r="J126">
        <f t="shared" ca="1" si="23"/>
        <v>0.26806296232582144</v>
      </c>
      <c r="K126">
        <f t="shared" ca="1" si="23"/>
        <v>0.21015435065302196</v>
      </c>
      <c r="L126">
        <f t="shared" ca="1" si="23"/>
        <v>0.15985721658351967</v>
      </c>
      <c r="M126">
        <f t="shared" ca="1" si="23"/>
        <v>0.27905405405405398</v>
      </c>
      <c r="N126">
        <f t="shared" ca="1" si="23"/>
        <v>0.19682287529785542</v>
      </c>
      <c r="O126">
        <f t="shared" ca="1" si="23"/>
        <v>0.14493376913813874</v>
      </c>
      <c r="P126">
        <f t="shared" ca="1" si="23"/>
        <v>0.17844850410378618</v>
      </c>
      <c r="Q126">
        <f t="shared" ca="1" si="23"/>
        <v>0.26636104963642132</v>
      </c>
      <c r="R126">
        <f t="shared" ca="1" si="20"/>
        <v>0.57285394804747991</v>
      </c>
      <c r="S126">
        <f t="shared" ca="1" si="20"/>
        <v>0.30479098572165841</v>
      </c>
      <c r="T126">
        <f t="shared" ca="1" si="20"/>
        <v>0.37527137940164162</v>
      </c>
      <c r="V126" s="4">
        <f t="shared" si="17"/>
        <v>41949</v>
      </c>
      <c r="W126" s="5">
        <f t="shared" ca="1" si="16"/>
        <v>0.27905405405405398</v>
      </c>
      <c r="Z126" s="4" t="e">
        <f>IF(Sheet3!$A126="",MATCH("Error",AF126,0),Sheet3!$A126)</f>
        <v>#N/A</v>
      </c>
      <c r="AA126" s="5" t="str">
        <f ca="1">IF(OFFSET(Sheet3!$A$1,0,MATCH(W$1,Sheet3!$1:$1,0)-1,300)="","",OFFSET(Sheet3!$A$1,0,MATCH(W$1,Sheet3!$1:$1,0)-1,300))</f>
        <v/>
      </c>
      <c r="AB126" s="5" t="str">
        <f ca="1">IF(OFFSET(Sheet3!$A$1,0,MATCH(X$1,Sheet3!$1:$1,0)-1,300)="","",OFFSET(Sheet3!$A$1,0,MATCH(X$1,Sheet3!$1:$1,0)-1,300))</f>
        <v/>
      </c>
      <c r="AC126" t="str">
        <f t="shared" ca="1" si="13"/>
        <v/>
      </c>
      <c r="AD126" t="str">
        <f t="shared" ca="1" si="14"/>
        <v/>
      </c>
    </row>
    <row r="127" spans="1:30" x14ac:dyDescent="0.25">
      <c r="A127" s="4">
        <v>41948</v>
      </c>
      <c r="B127">
        <v>0.73750000000000004</v>
      </c>
      <c r="C127" s="5">
        <v>1.1665000000000001</v>
      </c>
      <c r="D127">
        <v>1.776</v>
      </c>
      <c r="E127">
        <v>2.1495000000000002</v>
      </c>
      <c r="F127">
        <v>2.4893000000000001</v>
      </c>
      <c r="G127">
        <v>3.048</v>
      </c>
      <c r="H127">
        <f t="shared" ca="1" si="23"/>
        <v>0.43165722379603388</v>
      </c>
      <c r="I127">
        <f t="shared" ca="1" si="23"/>
        <v>0.34792784564447993</v>
      </c>
      <c r="J127">
        <f t="shared" ca="1" si="23"/>
        <v>0.26379571521315726</v>
      </c>
      <c r="K127">
        <f t="shared" ca="1" si="23"/>
        <v>0.21320927046466501</v>
      </c>
      <c r="L127">
        <f t="shared" ca="1" si="23"/>
        <v>0.16165332179182001</v>
      </c>
      <c r="M127">
        <f t="shared" ca="1" si="23"/>
        <v>0.28235560931357739</v>
      </c>
      <c r="N127">
        <f t="shared" ca="1" si="23"/>
        <v>0.19851182567100728</v>
      </c>
      <c r="O127">
        <f t="shared" ca="1" si="23"/>
        <v>0.14706773425665434</v>
      </c>
      <c r="P127">
        <f t="shared" ca="1" si="23"/>
        <v>0.18060058463991491</v>
      </c>
      <c r="Q127">
        <f t="shared" ca="1" si="23"/>
        <v>0.26713836477987413</v>
      </c>
      <c r="R127">
        <f t="shared" ca="1" si="20"/>
        <v>0.57251677126163159</v>
      </c>
      <c r="S127">
        <f t="shared" ca="1" si="20"/>
        <v>0.30872105604847433</v>
      </c>
      <c r="T127">
        <f t="shared" ca="1" si="20"/>
        <v>0.37911241031092219</v>
      </c>
      <c r="V127" s="4">
        <f t="shared" si="17"/>
        <v>41948</v>
      </c>
      <c r="W127" s="5">
        <f t="shared" ca="1" si="16"/>
        <v>0.28235560931357739</v>
      </c>
      <c r="Z127" s="4" t="e">
        <f>IF(Sheet3!$A127="",MATCH("Error",AF127,0),Sheet3!$A127)</f>
        <v>#N/A</v>
      </c>
      <c r="AA127" s="5" t="str">
        <f ca="1">IF(OFFSET(Sheet3!$A$1,0,MATCH(W$1,Sheet3!$1:$1,0)-1,300)="","",OFFSET(Sheet3!$A$1,0,MATCH(W$1,Sheet3!$1:$1,0)-1,300))</f>
        <v/>
      </c>
      <c r="AB127" s="5" t="str">
        <f ca="1">IF(OFFSET(Sheet3!$A$1,0,MATCH(X$1,Sheet3!$1:$1,0)-1,300)="","",OFFSET(Sheet3!$A$1,0,MATCH(X$1,Sheet3!$1:$1,0)-1,300))</f>
        <v/>
      </c>
      <c r="AC127" t="str">
        <f t="shared" ca="1" si="13"/>
        <v/>
      </c>
      <c r="AD127" t="str">
        <f t="shared" ca="1" si="14"/>
        <v/>
      </c>
    </row>
    <row r="128" spans="1:30" x14ac:dyDescent="0.25">
      <c r="A128" s="4">
        <v>41947</v>
      </c>
      <c r="B128">
        <v>0.7198</v>
      </c>
      <c r="C128" s="5">
        <v>1.1457999999999999</v>
      </c>
      <c r="D128">
        <v>1.7614999999999998</v>
      </c>
      <c r="E128">
        <v>2.1364999999999998</v>
      </c>
      <c r="F128">
        <v>2.4754999999999998</v>
      </c>
      <c r="G128">
        <v>3.0362999999999998</v>
      </c>
      <c r="H128">
        <f t="shared" ca="1" si="23"/>
        <v>0.43460153878732266</v>
      </c>
      <c r="I128">
        <f t="shared" ca="1" si="23"/>
        <v>0.35068633593438514</v>
      </c>
      <c r="J128">
        <f t="shared" ca="1" si="23"/>
        <v>0.26578890567666741</v>
      </c>
      <c r="K128">
        <f t="shared" ca="1" si="23"/>
        <v>0.21359002107421543</v>
      </c>
      <c r="L128">
        <f t="shared" ca="1" si="23"/>
        <v>0.1618821497949493</v>
      </c>
      <c r="M128">
        <f t="shared" ca="1" si="23"/>
        <v>0.28201850041362714</v>
      </c>
      <c r="N128">
        <f t="shared" ca="1" si="23"/>
        <v>0.19836022216344884</v>
      </c>
      <c r="O128">
        <f t="shared" ca="1" si="23"/>
        <v>0.14634146341463417</v>
      </c>
      <c r="P128">
        <f t="shared" ca="1" si="23"/>
        <v>0.17931764083575774</v>
      </c>
      <c r="Q128">
        <f t="shared" ca="1" si="23"/>
        <v>0.26592406652023848</v>
      </c>
      <c r="R128">
        <f t="shared" ca="1" si="20"/>
        <v>0.57401251888625082</v>
      </c>
      <c r="S128">
        <f t="shared" ca="1" si="20"/>
        <v>0.30822361320958347</v>
      </c>
      <c r="T128">
        <f t="shared" ca="1" si="20"/>
        <v>0.37767786299920658</v>
      </c>
      <c r="V128" s="4">
        <f t="shared" si="17"/>
        <v>41947</v>
      </c>
      <c r="W128" s="5">
        <f t="shared" ca="1" si="16"/>
        <v>0.28201850041362714</v>
      </c>
      <c r="Z128" s="4" t="e">
        <f>IF(Sheet3!$A128="",MATCH("Error",AF128,0),Sheet3!$A128)</f>
        <v>#N/A</v>
      </c>
      <c r="AA128" s="5" t="str">
        <f ca="1">IF(OFFSET(Sheet3!$A$1,0,MATCH(W$1,Sheet3!$1:$1,0)-1,300)="","",OFFSET(Sheet3!$A$1,0,MATCH(W$1,Sheet3!$1:$1,0)-1,300))</f>
        <v/>
      </c>
      <c r="AB128" s="5" t="str">
        <f ca="1">IF(OFFSET(Sheet3!$A$1,0,MATCH(X$1,Sheet3!$1:$1,0)-1,300)="","",OFFSET(Sheet3!$A$1,0,MATCH(X$1,Sheet3!$1:$1,0)-1,300))</f>
        <v/>
      </c>
      <c r="AC128" t="str">
        <f t="shared" ca="1" si="13"/>
        <v/>
      </c>
      <c r="AD128" t="str">
        <f t="shared" ca="1" si="14"/>
        <v/>
      </c>
    </row>
    <row r="129" spans="1:30" x14ac:dyDescent="0.25">
      <c r="A129" s="4">
        <v>41946</v>
      </c>
      <c r="B129">
        <v>0.7218</v>
      </c>
      <c r="C129" s="5">
        <v>1.1495</v>
      </c>
      <c r="D129">
        <v>1.764</v>
      </c>
      <c r="E129">
        <v>2.14</v>
      </c>
      <c r="F129">
        <v>2.4823</v>
      </c>
      <c r="G129">
        <v>3.0489999999999999</v>
      </c>
      <c r="H129">
        <f t="shared" ca="1" si="23"/>
        <v>0.43329572697785923</v>
      </c>
      <c r="I129">
        <f t="shared" ca="1" si="23"/>
        <v>0.34904856574836696</v>
      </c>
      <c r="J129">
        <f t="shared" ca="1" si="23"/>
        <v>0.264051220350636</v>
      </c>
      <c r="K129">
        <f t="shared" ca="1" si="23"/>
        <v>0.21357568872479415</v>
      </c>
      <c r="L129">
        <f t="shared" ca="1" si="23"/>
        <v>0.16156754898590586</v>
      </c>
      <c r="M129">
        <f t="shared" ca="1" si="23"/>
        <v>0.28211284513805529</v>
      </c>
      <c r="N129">
        <f t="shared" ca="1" si="23"/>
        <v>0.19794682811266129</v>
      </c>
      <c r="O129">
        <f t="shared" ca="1" si="23"/>
        <v>0.14708662770711578</v>
      </c>
      <c r="P129">
        <f t="shared" ca="1" si="23"/>
        <v>0.18020531718873378</v>
      </c>
      <c r="Q129">
        <f t="shared" ca="1" si="23"/>
        <v>0.26638132295719835</v>
      </c>
      <c r="R129">
        <f t="shared" ca="1" si="20"/>
        <v>0.57270539704365764</v>
      </c>
      <c r="S129">
        <f t="shared" ca="1" si="20"/>
        <v>0.30865417669302164</v>
      </c>
      <c r="T129">
        <f t="shared" ca="1" si="20"/>
        <v>0.37815214530139507</v>
      </c>
      <c r="V129" s="4">
        <f t="shared" si="17"/>
        <v>41946</v>
      </c>
      <c r="W129" s="5">
        <f t="shared" ca="1" si="16"/>
        <v>0.28211284513805529</v>
      </c>
      <c r="Z129" s="4" t="e">
        <f>IF(Sheet3!$A129="",MATCH("Error",AF129,0),Sheet3!$A129)</f>
        <v>#N/A</v>
      </c>
      <c r="AA129" s="5" t="str">
        <f ca="1">IF(OFFSET(Sheet3!$A$1,0,MATCH(W$1,Sheet3!$1:$1,0)-1,300)="","",OFFSET(Sheet3!$A$1,0,MATCH(W$1,Sheet3!$1:$1,0)-1,300))</f>
        <v/>
      </c>
      <c r="AB129" s="5" t="str">
        <f ca="1">IF(OFFSET(Sheet3!$A$1,0,MATCH(X$1,Sheet3!$1:$1,0)-1,300)="","",OFFSET(Sheet3!$A$1,0,MATCH(X$1,Sheet3!$1:$1,0)-1,300))</f>
        <v/>
      </c>
      <c r="AC129" t="str">
        <f t="shared" ca="1" si="13"/>
        <v/>
      </c>
      <c r="AD129" t="str">
        <f t="shared" ca="1" si="14"/>
        <v/>
      </c>
    </row>
    <row r="130" spans="1:30" x14ac:dyDescent="0.25">
      <c r="A130" s="4">
        <v>41943</v>
      </c>
      <c r="B130">
        <v>0.70679999999999998</v>
      </c>
      <c r="C130" s="5">
        <v>1.1373</v>
      </c>
      <c r="D130">
        <v>1.7565</v>
      </c>
      <c r="E130">
        <v>2.1355</v>
      </c>
      <c r="F130">
        <v>2.4809999999999999</v>
      </c>
      <c r="G130">
        <v>3.0554999999999999</v>
      </c>
      <c r="H130">
        <f t="shared" ca="1" si="23"/>
        <v>0.43340099391054798</v>
      </c>
      <c r="I130">
        <f t="shared" ca="1" si="23"/>
        <v>0.34900236726411904</v>
      </c>
      <c r="J130">
        <f t="shared" ca="1" si="23"/>
        <v>0.2636352024524205</v>
      </c>
      <c r="K130">
        <f t="shared" ca="1" si="23"/>
        <v>0.21361740502761808</v>
      </c>
      <c r="L130">
        <f t="shared" ca="1" si="23"/>
        <v>0.16136586196619407</v>
      </c>
      <c r="M130">
        <f t="shared" ca="1" si="23"/>
        <v>0.28205700677234502</v>
      </c>
      <c r="N130">
        <f t="shared" ca="1" si="23"/>
        <v>0.19758106558231678</v>
      </c>
      <c r="O130">
        <f t="shared" ca="1" si="23"/>
        <v>0.14710265253118743</v>
      </c>
      <c r="P130">
        <f t="shared" ca="1" si="23"/>
        <v>0.18011677614430191</v>
      </c>
      <c r="Q130">
        <f t="shared" ca="1" si="23"/>
        <v>0.26597382602001535</v>
      </c>
      <c r="R130">
        <f t="shared" ca="1" si="20"/>
        <v>0.572103716949802</v>
      </c>
      <c r="S130">
        <f t="shared" ca="1" si="20"/>
        <v>0.3084685144973815</v>
      </c>
      <c r="T130">
        <f t="shared" ca="1" si="20"/>
        <v>0.37769784172661869</v>
      </c>
      <c r="V130" s="4">
        <f t="shared" si="17"/>
        <v>41943</v>
      </c>
      <c r="W130" s="5">
        <f t="shared" ca="1" si="16"/>
        <v>0.28205700677234502</v>
      </c>
      <c r="Z130" s="4" t="e">
        <f>IF(Sheet3!$A130="",MATCH("Error",AF130,0),Sheet3!$A130)</f>
        <v>#N/A</v>
      </c>
      <c r="AA130" s="5" t="str">
        <f ca="1">IF(OFFSET(Sheet3!$A$1,0,MATCH(W$1,Sheet3!$1:$1,0)-1,300)="","",OFFSET(Sheet3!$A$1,0,MATCH(W$1,Sheet3!$1:$1,0)-1,300))</f>
        <v/>
      </c>
      <c r="AB130" s="5" t="str">
        <f ca="1">IF(OFFSET(Sheet3!$A$1,0,MATCH(X$1,Sheet3!$1:$1,0)-1,300)="","",OFFSET(Sheet3!$A$1,0,MATCH(X$1,Sheet3!$1:$1,0)-1,300))</f>
        <v/>
      </c>
      <c r="AC130" t="str">
        <f t="shared" ca="1" si="13"/>
        <v/>
      </c>
      <c r="AD130" t="str">
        <f t="shared" ca="1" si="14"/>
        <v/>
      </c>
    </row>
    <row r="131" spans="1:30" x14ac:dyDescent="0.25">
      <c r="A131" s="4">
        <v>41942</v>
      </c>
      <c r="B131">
        <v>0.6865</v>
      </c>
      <c r="C131" s="5">
        <v>1.1040000000000001</v>
      </c>
      <c r="D131">
        <v>1.724</v>
      </c>
      <c r="E131">
        <v>2.1028000000000002</v>
      </c>
      <c r="F131">
        <v>2.448</v>
      </c>
      <c r="G131">
        <v>3.0295000000000001</v>
      </c>
      <c r="H131">
        <f t="shared" ca="1" si="23"/>
        <v>0.43776036150533065</v>
      </c>
      <c r="I131">
        <f t="shared" ca="1" si="23"/>
        <v>0.35197275049673571</v>
      </c>
      <c r="J131">
        <f t="shared" ca="1" si="23"/>
        <v>0.26461801109688426</v>
      </c>
      <c r="K131">
        <f t="shared" ca="1" si="23"/>
        <v>0.21504399659381226</v>
      </c>
      <c r="L131">
        <f t="shared" ca="1" si="23"/>
        <v>0.16167306871532233</v>
      </c>
      <c r="M131">
        <f t="shared" ca="1" si="23"/>
        <v>0.28184523809523832</v>
      </c>
      <c r="N131">
        <f t="shared" ca="1" si="23"/>
        <v>0.19672812256556751</v>
      </c>
      <c r="O131">
        <f t="shared" ca="1" si="23"/>
        <v>0.14733247972684582</v>
      </c>
      <c r="P131">
        <f t="shared" ca="1" si="23"/>
        <v>0.17927810958192664</v>
      </c>
      <c r="Q131">
        <f t="shared" ca="1" si="23"/>
        <v>0.26441976254308669</v>
      </c>
      <c r="R131">
        <f t="shared" ca="1" si="20"/>
        <v>0.57362355953905242</v>
      </c>
      <c r="S131">
        <f t="shared" ca="1" si="20"/>
        <v>0.30900554844216815</v>
      </c>
      <c r="T131">
        <f t="shared" ca="1" si="20"/>
        <v>0.37600623214749412</v>
      </c>
      <c r="V131" s="4">
        <f t="shared" si="17"/>
        <v>41942</v>
      </c>
      <c r="W131" s="5">
        <f t="shared" ca="1" si="16"/>
        <v>0.28184523809523832</v>
      </c>
      <c r="Z131" s="4" t="e">
        <f>IF(Sheet3!$A131="",MATCH("Error",AF131,0),Sheet3!$A131)</f>
        <v>#N/A</v>
      </c>
      <c r="AA131" s="5" t="str">
        <f ca="1">IF(OFFSET(Sheet3!$A$1,0,MATCH(W$1,Sheet3!$1:$1,0)-1,300)="","",OFFSET(Sheet3!$A$1,0,MATCH(W$1,Sheet3!$1:$1,0)-1,300))</f>
        <v/>
      </c>
      <c r="AB131" s="5" t="str">
        <f ca="1">IF(OFFSET(Sheet3!$A$1,0,MATCH(X$1,Sheet3!$1:$1,0)-1,300)="","",OFFSET(Sheet3!$A$1,0,MATCH(X$1,Sheet3!$1:$1,0)-1,300))</f>
        <v/>
      </c>
      <c r="AC131" t="str">
        <f t="shared" ref="AC131:AC194" ca="1" si="24">IF(AND(AA131&lt;&gt;"",AB131&lt;&gt;""),ABS(AA131-AB131),"")</f>
        <v/>
      </c>
      <c r="AD131" t="str">
        <f t="shared" ref="AD131:AD194" ca="1" si="25">IF(ISNA(MATCH("",AC131:AC150,0)),AVERAGE(AC131:AC150),"")</f>
        <v/>
      </c>
    </row>
    <row r="132" spans="1:30" x14ac:dyDescent="0.25">
      <c r="A132" s="4">
        <v>41941</v>
      </c>
      <c r="B132">
        <v>0.69650000000000001</v>
      </c>
      <c r="C132" s="5">
        <v>1.1193</v>
      </c>
      <c r="D132">
        <v>1.7455000000000001</v>
      </c>
      <c r="E132">
        <v>2.117</v>
      </c>
      <c r="F132">
        <v>2.4569999999999999</v>
      </c>
      <c r="G132">
        <v>3.0255000000000001</v>
      </c>
      <c r="H132">
        <f t="shared" ca="1" si="23"/>
        <v>0.44083069341781067</v>
      </c>
      <c r="I132">
        <f t="shared" ca="1" si="23"/>
        <v>0.35569440499858002</v>
      </c>
      <c r="J132">
        <f t="shared" ca="1" si="23"/>
        <v>0.26887075998282528</v>
      </c>
      <c r="K132">
        <f t="shared" ca="1" si="23"/>
        <v>0.21101959670548137</v>
      </c>
      <c r="L132">
        <f t="shared" ca="1" si="23"/>
        <v>0.15951051953628162</v>
      </c>
      <c r="M132">
        <f t="shared" ca="1" si="23"/>
        <v>0.27771548179711442</v>
      </c>
      <c r="N132">
        <f t="shared" ca="1" si="23"/>
        <v>0.19489035777987615</v>
      </c>
      <c r="O132">
        <f t="shared" ca="1" si="23"/>
        <v>0.14598540145985395</v>
      </c>
      <c r="P132">
        <f t="shared" ca="1" si="23"/>
        <v>0.17836533417269954</v>
      </c>
      <c r="Q132">
        <f t="shared" ca="1" si="23"/>
        <v>0.26562499999999989</v>
      </c>
      <c r="R132">
        <f t="shared" ca="1" si="20"/>
        <v>0.57436668097896082</v>
      </c>
      <c r="S132">
        <f t="shared" ca="1" si="20"/>
        <v>0.30549592099613559</v>
      </c>
      <c r="T132">
        <f t="shared" ca="1" si="20"/>
        <v>0.37325569195257569</v>
      </c>
      <c r="V132" s="4">
        <f t="shared" si="17"/>
        <v>41941</v>
      </c>
      <c r="W132" s="5">
        <f t="shared" ca="1" si="16"/>
        <v>0.27771548179711442</v>
      </c>
      <c r="Z132" s="4" t="e">
        <f>IF(Sheet3!$A132="",MATCH("Error",AF132,0),Sheet3!$A132)</f>
        <v>#N/A</v>
      </c>
      <c r="AA132" s="5" t="str">
        <f ca="1">IF(OFFSET(Sheet3!$A$1,0,MATCH(W$1,Sheet3!$1:$1,0)-1,300)="","",OFFSET(Sheet3!$A$1,0,MATCH(W$1,Sheet3!$1:$1,0)-1,300))</f>
        <v/>
      </c>
      <c r="AB132" s="5" t="str">
        <f ca="1">IF(OFFSET(Sheet3!$A$1,0,MATCH(X$1,Sheet3!$1:$1,0)-1,300)="","",OFFSET(Sheet3!$A$1,0,MATCH(X$1,Sheet3!$1:$1,0)-1,300))</f>
        <v/>
      </c>
      <c r="AC132" t="str">
        <f t="shared" ca="1" si="24"/>
        <v/>
      </c>
      <c r="AD132" t="str">
        <f t="shared" ca="1" si="25"/>
        <v/>
      </c>
    </row>
    <row r="133" spans="1:30" x14ac:dyDescent="0.25">
      <c r="A133" s="4">
        <v>41940</v>
      </c>
      <c r="B133">
        <v>0.64449999999999996</v>
      </c>
      <c r="C133" s="5">
        <v>1.0529999999999999</v>
      </c>
      <c r="D133">
        <v>1.6879999999999999</v>
      </c>
      <c r="E133">
        <v>2.0779999999999998</v>
      </c>
      <c r="F133">
        <v>2.4382999999999999</v>
      </c>
      <c r="G133">
        <v>3.0430000000000001</v>
      </c>
      <c r="H133">
        <f t="shared" ref="H133:Q142" ca="1" si="26">IF(ISERROR(ABS(OFFSET($A$11,ROW()-11,MATCH(LEFT(H$9,2),$A$11:$G$11,0)-1)-OFFSET($A$11,ROW()-11,MATCH(RIGHT(H$9,2),$A$11:$G$11,0)-1))/ABS(OFFSET($A$11,ROW()-11,MATCH(LEFT(H$10,2),$A$11:$G$11,0)-1)-OFFSET($A$11,ROW()-11,MATCH(RIGHT(H$10,2),$A$11:$G$11,0)-1))),"",ABS(OFFSET($A$11,ROW()-11,MATCH(LEFT(H$9,2),$A$11:$G$11,0)-1)-OFFSET($A$11,ROW()-11,MATCH(RIGHT(H$9,2),$A$11:$G$11,0)-1))/ABS(OFFSET($A$11,ROW()-11,MATCH(LEFT(H$10,2),$A$11:$G$11,0)-1)-OFFSET($A$11,ROW()-11,MATCH(RIGHT(H$10,2),$A$11:$G$11,0)-1)))</f>
        <v>0.44297174747122431</v>
      </c>
      <c r="I133">
        <f t="shared" ca="1" si="26"/>
        <v>0.353997101126101</v>
      </c>
      <c r="J133">
        <f t="shared" ca="1" si="26"/>
        <v>0.26474880133416717</v>
      </c>
      <c r="K133">
        <f t="shared" ca="1" si="26"/>
        <v>0.21741554242390451</v>
      </c>
      <c r="L133">
        <f t="shared" ca="1" si="26"/>
        <v>0.1626016260162601</v>
      </c>
      <c r="M133">
        <f t="shared" ca="1" si="26"/>
        <v>0.28152746697466247</v>
      </c>
      <c r="N133">
        <f t="shared" ca="1" si="26"/>
        <v>0.19597989949748737</v>
      </c>
      <c r="O133">
        <f t="shared" ca="1" si="26"/>
        <v>0.15021888680425266</v>
      </c>
      <c r="P133">
        <f t="shared" ca="1" si="26"/>
        <v>0.18105527638190957</v>
      </c>
      <c r="Q133">
        <f t="shared" ca="1" si="26"/>
        <v>0.26590405904059039</v>
      </c>
      <c r="R133">
        <f t="shared" ca="1" si="20"/>
        <v>0.57756931415467994</v>
      </c>
      <c r="S133">
        <f t="shared" ca="1" si="20"/>
        <v>0.31282051282051276</v>
      </c>
      <c r="T133">
        <f t="shared" ca="1" si="20"/>
        <v>0.37703517587939694</v>
      </c>
      <c r="V133" s="4">
        <f t="shared" si="17"/>
        <v>41940</v>
      </c>
      <c r="W133" s="5">
        <f t="shared" ca="1" si="16"/>
        <v>0.28152746697466247</v>
      </c>
      <c r="Z133" s="4" t="e">
        <f>IF(Sheet3!$A133="",MATCH("Error",AF133,0),Sheet3!$A133)</f>
        <v>#N/A</v>
      </c>
      <c r="AA133" s="5" t="str">
        <f ca="1">IF(OFFSET(Sheet3!$A$1,0,MATCH(W$1,Sheet3!$1:$1,0)-1,300)="","",OFFSET(Sheet3!$A$1,0,MATCH(W$1,Sheet3!$1:$1,0)-1,300))</f>
        <v/>
      </c>
      <c r="AB133" s="5" t="str">
        <f ca="1">IF(OFFSET(Sheet3!$A$1,0,MATCH(X$1,Sheet3!$1:$1,0)-1,300)="","",OFFSET(Sheet3!$A$1,0,MATCH(X$1,Sheet3!$1:$1,0)-1,300))</f>
        <v/>
      </c>
      <c r="AC133" t="str">
        <f t="shared" ca="1" si="24"/>
        <v/>
      </c>
      <c r="AD133" t="str">
        <f t="shared" ca="1" si="25"/>
        <v/>
      </c>
    </row>
    <row r="134" spans="1:30" x14ac:dyDescent="0.25">
      <c r="A134" s="4">
        <v>41939</v>
      </c>
      <c r="B134">
        <v>0.64100000000000001</v>
      </c>
      <c r="C134" s="5">
        <v>1.042</v>
      </c>
      <c r="D134">
        <v>1.6644999999999999</v>
      </c>
      <c r="E134">
        <v>2.0478000000000001</v>
      </c>
      <c r="F134">
        <v>2.4064999999999999</v>
      </c>
      <c r="G134">
        <v>3.0215000000000001</v>
      </c>
      <c r="H134">
        <f t="shared" ca="1" si="26"/>
        <v>0.44249360250213238</v>
      </c>
      <c r="I134">
        <f t="shared" ca="1" si="26"/>
        <v>0.35259133389974506</v>
      </c>
      <c r="J134">
        <f t="shared" ca="1" si="26"/>
        <v>0.26149968494013853</v>
      </c>
      <c r="K134">
        <f t="shared" ca="1" si="26"/>
        <v>0.21710563579722472</v>
      </c>
      <c r="L134">
        <f t="shared" ca="1" si="26"/>
        <v>0.16101659315269909</v>
      </c>
      <c r="M134">
        <f t="shared" ca="1" si="26"/>
        <v>0.28090875778673524</v>
      </c>
      <c r="N134">
        <f t="shared" ca="1" si="26"/>
        <v>0.19363475625157878</v>
      </c>
      <c r="O134">
        <f t="shared" ca="1" si="26"/>
        <v>0.15068262969964286</v>
      </c>
      <c r="P134">
        <f t="shared" ca="1" si="26"/>
        <v>0.18120737559989886</v>
      </c>
      <c r="Q134">
        <f t="shared" ca="1" si="26"/>
        <v>0.26433308769344122</v>
      </c>
      <c r="R134">
        <f t="shared" ca="1" si="20"/>
        <v>0.57319890779248051</v>
      </c>
      <c r="S134">
        <f t="shared" ca="1" si="20"/>
        <v>0.31169922285234192</v>
      </c>
      <c r="T134">
        <f t="shared" ca="1" si="20"/>
        <v>0.37484213185147763</v>
      </c>
      <c r="V134" s="4">
        <f t="shared" si="17"/>
        <v>41939</v>
      </c>
      <c r="W134" s="5">
        <f t="shared" ca="1" si="16"/>
        <v>0.28090875778673524</v>
      </c>
      <c r="Z134" s="4" t="e">
        <f>IF(Sheet3!$A134="",MATCH("Error",AF134,0),Sheet3!$A134)</f>
        <v>#N/A</v>
      </c>
      <c r="AA134" s="5" t="str">
        <f ca="1">IF(OFFSET(Sheet3!$A$1,0,MATCH(W$1,Sheet3!$1:$1,0)-1,300)="","",OFFSET(Sheet3!$A$1,0,MATCH(W$1,Sheet3!$1:$1,0)-1,300))</f>
        <v/>
      </c>
      <c r="AB134" s="5" t="str">
        <f ca="1">IF(OFFSET(Sheet3!$A$1,0,MATCH(X$1,Sheet3!$1:$1,0)-1,300)="","",OFFSET(Sheet3!$A$1,0,MATCH(X$1,Sheet3!$1:$1,0)-1,300))</f>
        <v/>
      </c>
      <c r="AC134" t="str">
        <f t="shared" ca="1" si="24"/>
        <v/>
      </c>
      <c r="AD134" t="str">
        <f t="shared" ca="1" si="25"/>
        <v/>
      </c>
    </row>
    <row r="135" spans="1:30" x14ac:dyDescent="0.25">
      <c r="A135" s="4">
        <v>41936</v>
      </c>
      <c r="B135">
        <v>0.64400000000000002</v>
      </c>
      <c r="C135" s="5">
        <v>1.052</v>
      </c>
      <c r="D135">
        <v>1.6739999999999999</v>
      </c>
      <c r="E135">
        <v>2.0573000000000001</v>
      </c>
      <c r="F135">
        <v>2.4129999999999998</v>
      </c>
      <c r="G135">
        <v>3.0263</v>
      </c>
      <c r="H135">
        <f t="shared" ca="1" si="26"/>
        <v>0.44010471945093038</v>
      </c>
      <c r="I135">
        <f t="shared" ca="1" si="26"/>
        <v>0.3516110797060486</v>
      </c>
      <c r="J135">
        <f t="shared" ca="1" si="26"/>
        <v>0.26109222180245978</v>
      </c>
      <c r="K135">
        <f t="shared" ca="1" si="26"/>
        <v>0.21667608818541564</v>
      </c>
      <c r="L135">
        <f t="shared" ca="1" si="26"/>
        <v>0.1608949334676574</v>
      </c>
      <c r="M135">
        <f t="shared" ca="1" si="26"/>
        <v>0.28163115356355639</v>
      </c>
      <c r="N135">
        <f t="shared" ca="1" si="26"/>
        <v>0.19414476016816098</v>
      </c>
      <c r="O135">
        <f t="shared" ca="1" si="26"/>
        <v>0.14930949082819112</v>
      </c>
      <c r="P135">
        <f t="shared" ca="1" si="26"/>
        <v>0.18016512181532679</v>
      </c>
      <c r="Q135">
        <f t="shared" ca="1" si="26"/>
        <v>0.26303335058788707</v>
      </c>
      <c r="R135">
        <f t="shared" ca="1" si="20"/>
        <v>0.57129664609830833</v>
      </c>
      <c r="S135">
        <f t="shared" ca="1" si="20"/>
        <v>0.31020442429584849</v>
      </c>
      <c r="T135">
        <f t="shared" ca="1" si="20"/>
        <v>0.37430988198348775</v>
      </c>
      <c r="V135" s="4">
        <f t="shared" si="17"/>
        <v>41936</v>
      </c>
      <c r="W135" s="5">
        <f t="shared" ca="1" si="16"/>
        <v>0.28163115356355639</v>
      </c>
      <c r="Z135" s="4" t="e">
        <f>IF(Sheet3!$A135="",MATCH("Error",AF135,0),Sheet3!$A135)</f>
        <v>#N/A</v>
      </c>
      <c r="AA135" s="5" t="str">
        <f ca="1">IF(OFFSET(Sheet3!$A$1,0,MATCH(W$1,Sheet3!$1:$1,0)-1,300)="","",OFFSET(Sheet3!$A$1,0,MATCH(W$1,Sheet3!$1:$1,0)-1,300))</f>
        <v/>
      </c>
      <c r="AB135" s="5" t="str">
        <f ca="1">IF(OFFSET(Sheet3!$A$1,0,MATCH(X$1,Sheet3!$1:$1,0)-1,300)="","",OFFSET(Sheet3!$A$1,0,MATCH(X$1,Sheet3!$1:$1,0)-1,300))</f>
        <v/>
      </c>
      <c r="AC135" t="str">
        <f t="shared" ca="1" si="24"/>
        <v/>
      </c>
      <c r="AD135" t="str">
        <f t="shared" ca="1" si="25"/>
        <v/>
      </c>
    </row>
    <row r="136" spans="1:30" x14ac:dyDescent="0.25">
      <c r="A136" s="4">
        <v>41935</v>
      </c>
      <c r="B136">
        <v>0.64800000000000002</v>
      </c>
      <c r="C136" s="5">
        <v>1.0478000000000001</v>
      </c>
      <c r="D136">
        <v>1.673</v>
      </c>
      <c r="E136">
        <v>2.056</v>
      </c>
      <c r="F136">
        <v>2.4153000000000002</v>
      </c>
      <c r="G136">
        <v>3.0268000000000002</v>
      </c>
      <c r="H136">
        <f t="shared" ca="1" si="26"/>
        <v>0.44403409090909091</v>
      </c>
      <c r="I136">
        <f t="shared" ca="1" si="26"/>
        <v>0.35375997283992527</v>
      </c>
      <c r="J136">
        <f t="shared" ca="1" si="26"/>
        <v>0.26282159071800909</v>
      </c>
      <c r="K136">
        <f t="shared" ca="1" si="26"/>
        <v>0.21671476263226389</v>
      </c>
      <c r="L136">
        <f t="shared" ca="1" si="26"/>
        <v>0.16100554901631076</v>
      </c>
      <c r="M136">
        <f t="shared" ca="1" si="26"/>
        <v>0.28007312614259594</v>
      </c>
      <c r="N136">
        <f t="shared" ca="1" si="26"/>
        <v>0.19353208691258211</v>
      </c>
      <c r="O136">
        <f t="shared" ca="1" si="26"/>
        <v>0.15104254245838244</v>
      </c>
      <c r="P136">
        <f t="shared" ca="1" si="26"/>
        <v>0.18155634158666001</v>
      </c>
      <c r="Q136">
        <f t="shared" ca="1" si="26"/>
        <v>0.26540109321908711</v>
      </c>
      <c r="R136">
        <f t="shared" ca="1" si="20"/>
        <v>0.57486968219270229</v>
      </c>
      <c r="S136">
        <f t="shared" ca="1" si="20"/>
        <v>0.3120480914746932</v>
      </c>
      <c r="T136">
        <f t="shared" ca="1" si="20"/>
        <v>0.37508842849924212</v>
      </c>
      <c r="V136" s="4">
        <f t="shared" si="17"/>
        <v>41935</v>
      </c>
      <c r="W136" s="5">
        <f t="shared" ca="1" si="16"/>
        <v>0.28007312614259594</v>
      </c>
      <c r="Z136" s="4" t="e">
        <f>IF(Sheet3!$A136="",MATCH("Error",AF136,0),Sheet3!$A136)</f>
        <v>#N/A</v>
      </c>
      <c r="AA136" s="5" t="str">
        <f ca="1">IF(OFFSET(Sheet3!$A$1,0,MATCH(W$1,Sheet3!$1:$1,0)-1,300)="","",OFFSET(Sheet3!$A$1,0,MATCH(W$1,Sheet3!$1:$1,0)-1,300))</f>
        <v/>
      </c>
      <c r="AB136" s="5" t="str">
        <f ca="1">IF(OFFSET(Sheet3!$A$1,0,MATCH(X$1,Sheet3!$1:$1,0)-1,300)="","",OFFSET(Sheet3!$A$1,0,MATCH(X$1,Sheet3!$1:$1,0)-1,300))</f>
        <v/>
      </c>
      <c r="AC136" t="str">
        <f t="shared" ca="1" si="24"/>
        <v/>
      </c>
      <c r="AD136" t="str">
        <f t="shared" ca="1" si="25"/>
        <v/>
      </c>
    </row>
    <row r="137" spans="1:30" x14ac:dyDescent="0.25">
      <c r="A137" s="4">
        <v>41934</v>
      </c>
      <c r="B137">
        <v>0.61199999999999999</v>
      </c>
      <c r="C137" s="5">
        <v>0.99399999999999999</v>
      </c>
      <c r="D137">
        <v>1.5992</v>
      </c>
      <c r="E137">
        <v>1.986</v>
      </c>
      <c r="F137">
        <v>2.3515000000000001</v>
      </c>
      <c r="G137">
        <v>2.9698000000000002</v>
      </c>
      <c r="H137">
        <f t="shared" ca="1" si="26"/>
        <v>0.4404657933042212</v>
      </c>
      <c r="I137">
        <f t="shared" ca="1" si="26"/>
        <v>0.34791606783558493</v>
      </c>
      <c r="J137">
        <f t="shared" ca="1" si="26"/>
        <v>0.25667995589108489</v>
      </c>
      <c r="K137">
        <f t="shared" ca="1" si="26"/>
        <v>0.22236274791606786</v>
      </c>
      <c r="L137">
        <f t="shared" ca="1" si="26"/>
        <v>0.16405123420137416</v>
      </c>
      <c r="M137">
        <f t="shared" ca="1" si="26"/>
        <v>0.28493554327808468</v>
      </c>
      <c r="N137">
        <f t="shared" ca="1" si="26"/>
        <v>0.19576880251037554</v>
      </c>
      <c r="O137">
        <f t="shared" ca="1" si="26"/>
        <v>0.15501738909152607</v>
      </c>
      <c r="P137">
        <f t="shared" ca="1" si="26"/>
        <v>0.18498835914566258</v>
      </c>
      <c r="Q137">
        <f t="shared" ca="1" si="26"/>
        <v>0.26667153071647459</v>
      </c>
      <c r="R137">
        <f t="shared" ca="1" si="20"/>
        <v>0.57574857918398514</v>
      </c>
      <c r="S137">
        <f t="shared" ca="1" si="20"/>
        <v>0.3190686232929002</v>
      </c>
      <c r="T137">
        <f t="shared" ca="1" si="20"/>
        <v>0.38075716165603812</v>
      </c>
      <c r="V137" s="4">
        <f t="shared" si="17"/>
        <v>41934</v>
      </c>
      <c r="W137" s="5">
        <f t="shared" ca="1" si="16"/>
        <v>0.28493554327808468</v>
      </c>
      <c r="Z137" s="4" t="e">
        <f>IF(Sheet3!$A137="",MATCH("Error",AF137,0),Sheet3!$A137)</f>
        <v>#N/A</v>
      </c>
      <c r="AA137" s="5" t="str">
        <f ca="1">IF(OFFSET(Sheet3!$A$1,0,MATCH(W$1,Sheet3!$1:$1,0)-1,300)="","",OFFSET(Sheet3!$A$1,0,MATCH(W$1,Sheet3!$1:$1,0)-1,300))</f>
        <v/>
      </c>
      <c r="AB137" s="5" t="str">
        <f ca="1">IF(OFFSET(Sheet3!$A$1,0,MATCH(X$1,Sheet3!$1:$1,0)-1,300)="","",OFFSET(Sheet3!$A$1,0,MATCH(X$1,Sheet3!$1:$1,0)-1,300))</f>
        <v/>
      </c>
      <c r="AC137" t="str">
        <f t="shared" ca="1" si="24"/>
        <v/>
      </c>
      <c r="AD137" t="str">
        <f t="shared" ca="1" si="25"/>
        <v/>
      </c>
    </row>
    <row r="138" spans="1:30" x14ac:dyDescent="0.25">
      <c r="A138" s="4">
        <v>41933</v>
      </c>
      <c r="B138">
        <v>0.623</v>
      </c>
      <c r="C138" s="5">
        <v>1.0035000000000001</v>
      </c>
      <c r="D138">
        <v>1.607</v>
      </c>
      <c r="E138">
        <v>1.9952999999999999</v>
      </c>
      <c r="F138">
        <v>2.3614999999999999</v>
      </c>
      <c r="G138">
        <v>2.9723000000000002</v>
      </c>
      <c r="H138">
        <f t="shared" ca="1" si="26"/>
        <v>0.43977264446549585</v>
      </c>
      <c r="I138">
        <f t="shared" ca="1" si="26"/>
        <v>0.34713833764739715</v>
      </c>
      <c r="J138">
        <f t="shared" ca="1" si="26"/>
        <v>0.25688502958328008</v>
      </c>
      <c r="K138">
        <f t="shared" ca="1" si="26"/>
        <v>0.22335346563129127</v>
      </c>
      <c r="L138">
        <f t="shared" ca="1" si="26"/>
        <v>0.16528327586940783</v>
      </c>
      <c r="M138">
        <f t="shared" ca="1" si="26"/>
        <v>0.28593519882179669</v>
      </c>
      <c r="N138">
        <f t="shared" ca="1" si="26"/>
        <v>0.19722673709874028</v>
      </c>
      <c r="O138">
        <f t="shared" ca="1" si="26"/>
        <v>0.15587621844804836</v>
      </c>
      <c r="P138">
        <f t="shared" ca="1" si="26"/>
        <v>0.18600162535554657</v>
      </c>
      <c r="Q138">
        <f t="shared" ca="1" si="26"/>
        <v>0.26821943895114631</v>
      </c>
      <c r="R138">
        <f t="shared" ca="1" si="20"/>
        <v>0.57804452390073624</v>
      </c>
      <c r="S138">
        <f t="shared" ca="1" si="20"/>
        <v>0.32115949431745616</v>
      </c>
      <c r="T138">
        <f t="shared" ca="1" si="20"/>
        <v>0.38322836245428682</v>
      </c>
      <c r="V138" s="4">
        <f t="shared" si="17"/>
        <v>41933</v>
      </c>
      <c r="W138" s="5">
        <f t="shared" ca="1" si="16"/>
        <v>0.28593519882179669</v>
      </c>
      <c r="Z138" s="4" t="e">
        <f>IF(Sheet3!$A138="",MATCH("Error",AF138,0),Sheet3!$A138)</f>
        <v>#N/A</v>
      </c>
      <c r="AA138" s="5" t="str">
        <f ca="1">IF(OFFSET(Sheet3!$A$1,0,MATCH(W$1,Sheet3!$1:$1,0)-1,300)="","",OFFSET(Sheet3!$A$1,0,MATCH(W$1,Sheet3!$1:$1,0)-1,300))</f>
        <v/>
      </c>
      <c r="AB138" s="5" t="str">
        <f ca="1">IF(OFFSET(Sheet3!$A$1,0,MATCH(X$1,Sheet3!$1:$1,0)-1,300)="","",OFFSET(Sheet3!$A$1,0,MATCH(X$1,Sheet3!$1:$1,0)-1,300))</f>
        <v/>
      </c>
      <c r="AC138" t="str">
        <f t="shared" ca="1" si="24"/>
        <v/>
      </c>
      <c r="AD138" t="str">
        <f t="shared" ca="1" si="25"/>
        <v/>
      </c>
    </row>
    <row r="139" spans="1:30" x14ac:dyDescent="0.25">
      <c r="A139" s="4">
        <v>41932</v>
      </c>
      <c r="B139">
        <v>0.61750000000000005</v>
      </c>
      <c r="C139" s="5">
        <v>0.997</v>
      </c>
      <c r="D139">
        <v>1.5924</v>
      </c>
      <c r="E139">
        <v>1.9725000000000001</v>
      </c>
      <c r="F139">
        <v>2.3340000000000001</v>
      </c>
      <c r="G139">
        <v>2.9523000000000001</v>
      </c>
      <c r="H139">
        <f t="shared" ca="1" si="26"/>
        <v>0.43940959409594099</v>
      </c>
      <c r="I139">
        <f t="shared" ca="1" si="26"/>
        <v>0.34686862802213814</v>
      </c>
      <c r="J139">
        <f t="shared" ca="1" si="26"/>
        <v>0.25501113585746105</v>
      </c>
      <c r="K139">
        <f t="shared" ca="1" si="26"/>
        <v>0.22143897465773382</v>
      </c>
      <c r="L139">
        <f t="shared" ca="1" si="26"/>
        <v>0.16279767003597742</v>
      </c>
      <c r="M139">
        <f t="shared" ca="1" si="26"/>
        <v>0.28429319371727751</v>
      </c>
      <c r="N139">
        <f t="shared" ca="1" si="26"/>
        <v>0.19439472203753902</v>
      </c>
      <c r="O139">
        <f t="shared" ca="1" si="26"/>
        <v>0.15483124892924444</v>
      </c>
      <c r="P139">
        <f t="shared" ca="1" si="26"/>
        <v>0.18488211527642812</v>
      </c>
      <c r="Q139">
        <f t="shared" ca="1" si="26"/>
        <v>0.26582836973306856</v>
      </c>
      <c r="R139">
        <f t="shared" ca="1" si="20"/>
        <v>0.57264005482268299</v>
      </c>
      <c r="S139">
        <f t="shared" ca="1" si="20"/>
        <v>0.31762891896522188</v>
      </c>
      <c r="T139">
        <f t="shared" ca="1" si="20"/>
        <v>0.37927683731396711</v>
      </c>
      <c r="V139" s="4">
        <f t="shared" si="17"/>
        <v>41932</v>
      </c>
      <c r="W139" s="5">
        <f t="shared" ca="1" si="16"/>
        <v>0.28429319371727751</v>
      </c>
      <c r="Z139" s="4" t="e">
        <f>IF(Sheet3!$A139="",MATCH("Error",AF139,0),Sheet3!$A139)</f>
        <v>#N/A</v>
      </c>
      <c r="AA139" s="5" t="str">
        <f ca="1">IF(OFFSET(Sheet3!$A$1,0,MATCH(W$1,Sheet3!$1:$1,0)-1,300)="","",OFFSET(Sheet3!$A$1,0,MATCH(W$1,Sheet3!$1:$1,0)-1,300))</f>
        <v/>
      </c>
      <c r="AB139" s="5" t="str">
        <f ca="1">IF(OFFSET(Sheet3!$A$1,0,MATCH(X$1,Sheet3!$1:$1,0)-1,300)="","",OFFSET(Sheet3!$A$1,0,MATCH(X$1,Sheet3!$1:$1,0)-1,300))</f>
        <v/>
      </c>
      <c r="AC139" t="str">
        <f t="shared" ca="1" si="24"/>
        <v/>
      </c>
      <c r="AD139" t="str">
        <f t="shared" ca="1" si="25"/>
        <v/>
      </c>
    </row>
    <row r="140" spans="1:30" x14ac:dyDescent="0.25">
      <c r="A140" s="4">
        <v>41929</v>
      </c>
      <c r="B140">
        <v>0.63600000000000001</v>
      </c>
      <c r="C140" s="5">
        <v>1.0189999999999999</v>
      </c>
      <c r="D140">
        <v>1.6105</v>
      </c>
      <c r="E140">
        <v>1.9889999999999999</v>
      </c>
      <c r="F140">
        <v>2.3515000000000001</v>
      </c>
      <c r="G140">
        <v>2.9622999999999999</v>
      </c>
      <c r="H140">
        <f t="shared" ca="1" si="26"/>
        <v>0.43717664449371785</v>
      </c>
      <c r="I140">
        <f t="shared" ca="1" si="26"/>
        <v>0.34479743515010208</v>
      </c>
      <c r="J140">
        <f t="shared" ca="1" si="26"/>
        <v>0.25426643167261326</v>
      </c>
      <c r="K140">
        <f t="shared" ca="1" si="26"/>
        <v>0.22063538327018353</v>
      </c>
      <c r="L140">
        <f t="shared" ca="1" si="26"/>
        <v>0.16270472424020971</v>
      </c>
      <c r="M140">
        <f t="shared" ca="1" si="26"/>
        <v>0.28405253283302045</v>
      </c>
      <c r="N140">
        <f t="shared" ca="1" si="26"/>
        <v>0.19477177996192035</v>
      </c>
      <c r="O140">
        <f t="shared" ca="1" si="26"/>
        <v>0.15582684950350353</v>
      </c>
      <c r="P140">
        <f t="shared" ca="1" si="26"/>
        <v>0.18653836257911813</v>
      </c>
      <c r="Q140">
        <f t="shared" ca="1" si="26"/>
        <v>0.26816097055777505</v>
      </c>
      <c r="R140">
        <f t="shared" ca="1" si="20"/>
        <v>0.57279800541632653</v>
      </c>
      <c r="S140">
        <f t="shared" ca="1" si="20"/>
        <v>0.31853157374371327</v>
      </c>
      <c r="T140">
        <f t="shared" ca="1" si="20"/>
        <v>0.38131014254103851</v>
      </c>
      <c r="V140" s="4">
        <f t="shared" si="17"/>
        <v>41929</v>
      </c>
      <c r="W140" s="5">
        <f t="shared" ref="W140:W203" ca="1" si="27">OFFSET($H$12,0,MATCH(select,$H$12:$T$12,0)-1,300,1)</f>
        <v>0.28405253283302045</v>
      </c>
      <c r="Z140" s="4" t="e">
        <f>IF(Sheet3!$A140="",MATCH("Error",AF140,0),Sheet3!$A140)</f>
        <v>#N/A</v>
      </c>
      <c r="AA140" s="5" t="str">
        <f ca="1">IF(OFFSET(Sheet3!$A$1,0,MATCH(W$1,Sheet3!$1:$1,0)-1,300)="","",OFFSET(Sheet3!$A$1,0,MATCH(W$1,Sheet3!$1:$1,0)-1,300))</f>
        <v/>
      </c>
      <c r="AB140" s="5" t="str">
        <f ca="1">IF(OFFSET(Sheet3!$A$1,0,MATCH(X$1,Sheet3!$1:$1,0)-1,300)="","",OFFSET(Sheet3!$A$1,0,MATCH(X$1,Sheet3!$1:$1,0)-1,300))</f>
        <v/>
      </c>
      <c r="AC140" t="str">
        <f t="shared" ca="1" si="24"/>
        <v/>
      </c>
      <c r="AD140" t="str">
        <f t="shared" ca="1" si="25"/>
        <v/>
      </c>
    </row>
    <row r="141" spans="1:30" x14ac:dyDescent="0.25">
      <c r="A141" s="4">
        <v>41928</v>
      </c>
      <c r="B141">
        <v>0.63029999999999997</v>
      </c>
      <c r="C141" s="5">
        <v>1.0049999999999999</v>
      </c>
      <c r="D141">
        <v>1.5864</v>
      </c>
      <c r="E141">
        <v>1.9624999999999999</v>
      </c>
      <c r="F141">
        <v>2.3220000000000001</v>
      </c>
      <c r="G141">
        <v>2.9398</v>
      </c>
      <c r="H141">
        <f t="shared" ca="1" si="26"/>
        <v>0.4364209578141422</v>
      </c>
      <c r="I141">
        <f t="shared" ca="1" si="26"/>
        <v>0.34367795708458954</v>
      </c>
      <c r="J141">
        <f t="shared" ca="1" si="26"/>
        <v>0.2517428014721802</v>
      </c>
      <c r="K141">
        <f t="shared" ca="1" si="26"/>
        <v>0.22232074244842459</v>
      </c>
      <c r="L141">
        <f t="shared" ca="1" si="26"/>
        <v>0.1628491015371292</v>
      </c>
      <c r="M141">
        <f t="shared" ca="1" si="26"/>
        <v>0.28557327258921777</v>
      </c>
      <c r="N141">
        <f t="shared" ca="1" si="26"/>
        <v>0.19438701674591682</v>
      </c>
      <c r="O141">
        <f t="shared" ca="1" si="26"/>
        <v>0.15566139857111935</v>
      </c>
      <c r="P141">
        <f t="shared" ca="1" si="26"/>
        <v>0.18580731858590041</v>
      </c>
      <c r="Q141">
        <f t="shared" ca="1" si="26"/>
        <v>0.26562730899955678</v>
      </c>
      <c r="R141">
        <f t="shared" ca="1" si="20"/>
        <v>0.57025330158042875</v>
      </c>
      <c r="S141">
        <f t="shared" ca="1" si="20"/>
        <v>0.31851050010824855</v>
      </c>
      <c r="T141">
        <f t="shared" ca="1" si="20"/>
        <v>0.38019433533181723</v>
      </c>
      <c r="V141" s="4">
        <f t="shared" si="17"/>
        <v>41928</v>
      </c>
      <c r="W141" s="5">
        <f t="shared" ca="1" si="27"/>
        <v>0.28557327258921777</v>
      </c>
      <c r="Z141" s="4" t="e">
        <f>IF(Sheet3!$A141="",MATCH("Error",AF141,0),Sheet3!$A141)</f>
        <v>#N/A</v>
      </c>
      <c r="AA141" s="5" t="str">
        <f ca="1">IF(OFFSET(Sheet3!$A$1,0,MATCH(W$1,Sheet3!$1:$1,0)-1,300)="","",OFFSET(Sheet3!$A$1,0,MATCH(W$1,Sheet3!$1:$1,0)-1,300))</f>
        <v/>
      </c>
      <c r="AB141" s="5" t="str">
        <f ca="1">IF(OFFSET(Sheet3!$A$1,0,MATCH(X$1,Sheet3!$1:$1,0)-1,300)="","",OFFSET(Sheet3!$A$1,0,MATCH(X$1,Sheet3!$1:$1,0)-1,300))</f>
        <v/>
      </c>
      <c r="AC141" t="str">
        <f t="shared" ca="1" si="24"/>
        <v/>
      </c>
      <c r="AD141" t="str">
        <f t="shared" ca="1" si="25"/>
        <v/>
      </c>
    </row>
    <row r="142" spans="1:30" x14ac:dyDescent="0.25">
      <c r="A142" s="4">
        <v>41927</v>
      </c>
      <c r="B142">
        <v>0.58079999999999998</v>
      </c>
      <c r="C142" s="5">
        <v>0.94299999999999995</v>
      </c>
      <c r="D142">
        <v>1.538</v>
      </c>
      <c r="E142">
        <v>1.9233</v>
      </c>
      <c r="F142">
        <v>2.2959999999999998</v>
      </c>
      <c r="G142">
        <v>2.92</v>
      </c>
      <c r="H142">
        <f t="shared" ca="1" si="26"/>
        <v>0.44320297951582871</v>
      </c>
      <c r="I142">
        <f t="shared" ca="1" si="26"/>
        <v>0.34689832089552247</v>
      </c>
      <c r="J142">
        <f t="shared" ca="1" si="26"/>
        <v>0.25436046511627913</v>
      </c>
      <c r="K142">
        <f t="shared" ca="1" si="26"/>
        <v>0.22463852611940299</v>
      </c>
      <c r="L142">
        <f t="shared" ca="1" si="26"/>
        <v>0.16471443228454172</v>
      </c>
      <c r="M142">
        <f t="shared" ca="1" si="26"/>
        <v>0.28477457501847747</v>
      </c>
      <c r="N142">
        <f t="shared" ca="1" si="26"/>
        <v>0.19489124936772889</v>
      </c>
      <c r="O142">
        <f t="shared" ca="1" si="26"/>
        <v>0.15932797537619692</v>
      </c>
      <c r="P142">
        <f t="shared" ca="1" si="26"/>
        <v>0.18851795649974701</v>
      </c>
      <c r="Q142">
        <f t="shared" ca="1" si="26"/>
        <v>0.26968162083936315</v>
      </c>
      <c r="R142">
        <f t="shared" ca="1" si="20"/>
        <v>0.57840287277701774</v>
      </c>
      <c r="S142">
        <f t="shared" ca="1" si="20"/>
        <v>0.32404240766073861</v>
      </c>
      <c r="T142">
        <f t="shared" ca="1" si="20"/>
        <v>0.3834092058674759</v>
      </c>
      <c r="V142" s="4">
        <f t="shared" ref="V142:V205" si="28">IF(A142&lt;&gt;"",A142,"")</f>
        <v>41927</v>
      </c>
      <c r="W142" s="5">
        <f t="shared" ca="1" si="27"/>
        <v>0.28477457501847747</v>
      </c>
      <c r="Z142" s="4" t="e">
        <f>IF(Sheet3!$A142="",MATCH("Error",AF142,0),Sheet3!$A142)</f>
        <v>#N/A</v>
      </c>
      <c r="AA142" s="5" t="str">
        <f ca="1">IF(OFFSET(Sheet3!$A$1,0,MATCH(W$1,Sheet3!$1:$1,0)-1,300)="","",OFFSET(Sheet3!$A$1,0,MATCH(W$1,Sheet3!$1:$1,0)-1,300))</f>
        <v/>
      </c>
      <c r="AB142" s="5" t="str">
        <f ca="1">IF(OFFSET(Sheet3!$A$1,0,MATCH(X$1,Sheet3!$1:$1,0)-1,300)="","",OFFSET(Sheet3!$A$1,0,MATCH(X$1,Sheet3!$1:$1,0)-1,300))</f>
        <v/>
      </c>
      <c r="AC142" t="str">
        <f t="shared" ca="1" si="24"/>
        <v/>
      </c>
      <c r="AD142" t="str">
        <f t="shared" ca="1" si="25"/>
        <v/>
      </c>
    </row>
    <row r="143" spans="1:30" x14ac:dyDescent="0.25">
      <c r="A143" s="4">
        <v>41926</v>
      </c>
      <c r="B143">
        <v>0.64149999999999996</v>
      </c>
      <c r="C143" s="5">
        <v>1.0432999999999999</v>
      </c>
      <c r="D143">
        <v>1.6313</v>
      </c>
      <c r="E143">
        <v>1.9950000000000001</v>
      </c>
      <c r="F143">
        <v>2.3452999999999999</v>
      </c>
      <c r="G143">
        <v>2.9468000000000001</v>
      </c>
      <c r="H143">
        <f t="shared" ref="H143:Q152" ca="1" si="29">IF(ISERROR(ABS(OFFSET($A$11,ROW()-11,MATCH(LEFT(H$9,2),$A$11:$G$11,0)-1)-OFFSET($A$11,ROW()-11,MATCH(RIGHT(H$9,2),$A$11:$G$11,0)-1))/ABS(OFFSET($A$11,ROW()-11,MATCH(LEFT(H$10,2),$A$11:$G$11,0)-1)-OFFSET($A$11,ROW()-11,MATCH(RIGHT(H$10,2),$A$11:$G$11,0)-1))),"",ABS(OFFSET($A$11,ROW()-11,MATCH(LEFT(H$9,2),$A$11:$G$11,0)-1)-OFFSET($A$11,ROW()-11,MATCH(RIGHT(H$9,2),$A$11:$G$11,0)-1))/ABS(OFFSET($A$11,ROW()-11,MATCH(LEFT(H$10,2),$A$11:$G$11,0)-1)-OFFSET($A$11,ROW()-11,MATCH(RIGHT(H$10,2),$A$11:$G$11,0)-1)))</f>
        <v>0.43442925748060585</v>
      </c>
      <c r="I143">
        <f t="shared" ca="1" si="29"/>
        <v>0.34511092851273628</v>
      </c>
      <c r="J143">
        <f t="shared" ca="1" si="29"/>
        <v>0.25506441677872732</v>
      </c>
      <c r="K143">
        <f t="shared" ca="1" si="29"/>
        <v>0.21346402159877928</v>
      </c>
      <c r="L143">
        <f t="shared" ca="1" si="29"/>
        <v>0.157766885004121</v>
      </c>
      <c r="M143">
        <f t="shared" ca="1" si="29"/>
        <v>0.27933947772657458</v>
      </c>
      <c r="N143">
        <f t="shared" ca="1" si="29"/>
        <v>0.19106908326766489</v>
      </c>
      <c r="O143">
        <f t="shared" ca="1" si="29"/>
        <v>0.15195419251290498</v>
      </c>
      <c r="P143">
        <f t="shared" ca="1" si="29"/>
        <v>0.18402941949041229</v>
      </c>
      <c r="Q143">
        <f t="shared" ca="1" si="29"/>
        <v>0.26628658304827046</v>
      </c>
      <c r="R143">
        <f t="shared" ca="1" si="20"/>
        <v>0.56478549429575331</v>
      </c>
      <c r="S143">
        <f t="shared" ca="1" si="20"/>
        <v>0.30972107751702599</v>
      </c>
      <c r="T143">
        <f t="shared" ca="1" si="20"/>
        <v>0.37509850275807716</v>
      </c>
      <c r="V143" s="4">
        <f t="shared" si="28"/>
        <v>41926</v>
      </c>
      <c r="W143" s="5">
        <f t="shared" ca="1" si="27"/>
        <v>0.27933947772657458</v>
      </c>
      <c r="Z143" s="4" t="e">
        <f>IF(Sheet3!$A143="",MATCH("Error",AF143,0),Sheet3!$A143)</f>
        <v>#N/A</v>
      </c>
      <c r="AA143" s="5" t="str">
        <f ca="1">IF(OFFSET(Sheet3!$A$1,0,MATCH(W$1,Sheet3!$1:$1,0)-1,300)="","",OFFSET(Sheet3!$A$1,0,MATCH(W$1,Sheet3!$1:$1,0)-1,300))</f>
        <v/>
      </c>
      <c r="AB143" s="5" t="str">
        <f ca="1">IF(OFFSET(Sheet3!$A$1,0,MATCH(X$1,Sheet3!$1:$1,0)-1,300)="","",OFFSET(Sheet3!$A$1,0,MATCH(X$1,Sheet3!$1:$1,0)-1,300))</f>
        <v/>
      </c>
      <c r="AC143" t="str">
        <f t="shared" ca="1" si="24"/>
        <v/>
      </c>
      <c r="AD143" t="str">
        <f t="shared" ca="1" si="25"/>
        <v/>
      </c>
    </row>
    <row r="144" spans="1:30" x14ac:dyDescent="0.25">
      <c r="A144" s="4">
        <v>41925</v>
      </c>
      <c r="B144">
        <v>0.64649999999999996</v>
      </c>
      <c r="C144" s="5">
        <v>1.048</v>
      </c>
      <c r="D144">
        <v>1.7090000000000001</v>
      </c>
      <c r="E144">
        <v>2.0659999999999998</v>
      </c>
      <c r="F144">
        <v>2.411</v>
      </c>
      <c r="G144">
        <v>2.996</v>
      </c>
      <c r="H144">
        <f t="shared" ca="1" si="29"/>
        <v>0.46565692145121534</v>
      </c>
      <c r="I144">
        <f t="shared" ca="1" si="29"/>
        <v>0.37461037120997454</v>
      </c>
      <c r="J144">
        <f t="shared" ca="1" si="29"/>
        <v>0.28133645456480105</v>
      </c>
      <c r="K144">
        <f t="shared" ca="1" si="29"/>
        <v>0.20232360442051558</v>
      </c>
      <c r="L144">
        <f t="shared" ca="1" si="29"/>
        <v>0.15194722281336445</v>
      </c>
      <c r="M144">
        <f t="shared" ca="1" si="29"/>
        <v>0.26192223037417445</v>
      </c>
      <c r="N144">
        <f t="shared" ca="1" si="29"/>
        <v>0.1832648870636549</v>
      </c>
      <c r="O144">
        <f t="shared" ca="1" si="29"/>
        <v>0.14683975313896583</v>
      </c>
      <c r="P144">
        <f t="shared" ca="1" si="29"/>
        <v>0.17710472279260792</v>
      </c>
      <c r="Q144">
        <f t="shared" ca="1" si="29"/>
        <v>0.26806526806526826</v>
      </c>
      <c r="R144">
        <f t="shared" ca="1" si="20"/>
        <v>0.58012343051713133</v>
      </c>
      <c r="S144">
        <f t="shared" ca="1" si="20"/>
        <v>0.29878697595233028</v>
      </c>
      <c r="T144">
        <f t="shared" ca="1" si="20"/>
        <v>0.36036960985626282</v>
      </c>
      <c r="V144" s="4">
        <f t="shared" si="28"/>
        <v>41925</v>
      </c>
      <c r="W144" s="5">
        <f t="shared" ca="1" si="27"/>
        <v>0.26192223037417445</v>
      </c>
      <c r="Z144" s="4" t="e">
        <f>IF(Sheet3!$A144="",MATCH("Error",AF144,0),Sheet3!$A144)</f>
        <v>#N/A</v>
      </c>
      <c r="AA144" s="5" t="str">
        <f ca="1">IF(OFFSET(Sheet3!$A$1,0,MATCH(W$1,Sheet3!$1:$1,0)-1,300)="","",OFFSET(Sheet3!$A$1,0,MATCH(W$1,Sheet3!$1:$1,0)-1,300))</f>
        <v/>
      </c>
      <c r="AB144" s="5" t="str">
        <f ca="1">IF(OFFSET(Sheet3!$A$1,0,MATCH(X$1,Sheet3!$1:$1,0)-1,300)="","",OFFSET(Sheet3!$A$1,0,MATCH(X$1,Sheet3!$1:$1,0)-1,300))</f>
        <v/>
      </c>
      <c r="AC144" t="str">
        <f t="shared" ca="1" si="24"/>
        <v/>
      </c>
      <c r="AD144" t="str">
        <f t="shared" ca="1" si="25"/>
        <v/>
      </c>
    </row>
    <row r="145" spans="1:30" x14ac:dyDescent="0.25">
      <c r="A145" s="4">
        <v>41922</v>
      </c>
      <c r="B145">
        <v>0.69099999999999995</v>
      </c>
      <c r="C145" s="5">
        <v>1.1197999999999999</v>
      </c>
      <c r="D145">
        <v>1.7098</v>
      </c>
      <c r="E145">
        <v>2.0724999999999998</v>
      </c>
      <c r="F145">
        <v>2.4180000000000001</v>
      </c>
      <c r="G145">
        <v>2.9954999999999998</v>
      </c>
      <c r="H145">
        <f t="shared" ca="1" si="29"/>
        <v>0.42707202316322845</v>
      </c>
      <c r="I145">
        <f t="shared" ca="1" si="29"/>
        <v>0.34163288940359005</v>
      </c>
      <c r="J145">
        <f t="shared" ca="1" si="29"/>
        <v>0.2560208288131916</v>
      </c>
      <c r="K145">
        <f t="shared" ca="1" si="29"/>
        <v>0.21001737116386782</v>
      </c>
      <c r="L145">
        <f t="shared" ca="1" si="29"/>
        <v>0.15738771967888904</v>
      </c>
      <c r="M145">
        <f t="shared" ca="1" si="29"/>
        <v>0.27938684332152192</v>
      </c>
      <c r="N145">
        <f t="shared" ca="1" si="29"/>
        <v>0.19336780935117545</v>
      </c>
      <c r="O145">
        <f t="shared" ca="1" si="29"/>
        <v>0.14992406161857252</v>
      </c>
      <c r="P145">
        <f t="shared" ca="1" si="29"/>
        <v>0.18419789945087187</v>
      </c>
      <c r="Q145">
        <f t="shared" ca="1" si="29"/>
        <v>0.26872520805786765</v>
      </c>
      <c r="R145">
        <f t="shared" ca="1" si="20"/>
        <v>0.56333261011065316</v>
      </c>
      <c r="S145">
        <f t="shared" ca="1" si="20"/>
        <v>0.30731178129746156</v>
      </c>
      <c r="T145">
        <f t="shared" ca="1" si="20"/>
        <v>0.37756570880204732</v>
      </c>
      <c r="V145" s="4">
        <f t="shared" si="28"/>
        <v>41922</v>
      </c>
      <c r="W145" s="5">
        <f t="shared" ca="1" si="27"/>
        <v>0.27938684332152192</v>
      </c>
      <c r="Z145" s="4" t="e">
        <f>IF(Sheet3!$A145="",MATCH("Error",AF145,0),Sheet3!$A145)</f>
        <v>#N/A</v>
      </c>
      <c r="AA145" s="5" t="str">
        <f ca="1">IF(OFFSET(Sheet3!$A$1,0,MATCH(W$1,Sheet3!$1:$1,0)-1,300)="","",OFFSET(Sheet3!$A$1,0,MATCH(W$1,Sheet3!$1:$1,0)-1,300))</f>
        <v/>
      </c>
      <c r="AB145" s="5" t="str">
        <f ca="1">IF(OFFSET(Sheet3!$A$1,0,MATCH(X$1,Sheet3!$1:$1,0)-1,300)="","",OFFSET(Sheet3!$A$1,0,MATCH(X$1,Sheet3!$1:$1,0)-1,300))</f>
        <v/>
      </c>
      <c r="AC145" t="str">
        <f t="shared" ca="1" si="24"/>
        <v/>
      </c>
      <c r="AD145" t="str">
        <f t="shared" ca="1" si="25"/>
        <v/>
      </c>
    </row>
    <row r="146" spans="1:30" x14ac:dyDescent="0.25">
      <c r="A146" s="4">
        <v>41921</v>
      </c>
      <c r="B146">
        <v>0.71160000000000001</v>
      </c>
      <c r="C146" s="5">
        <v>1.1455</v>
      </c>
      <c r="D146">
        <v>1.7448000000000001</v>
      </c>
      <c r="E146">
        <v>2.1059999999999999</v>
      </c>
      <c r="F146">
        <v>2.4510000000000001</v>
      </c>
      <c r="G146">
        <v>3.0354999999999999</v>
      </c>
      <c r="H146">
        <f t="shared" ca="1" si="29"/>
        <v>0.42979059093516941</v>
      </c>
      <c r="I146">
        <f t="shared" ca="1" si="29"/>
        <v>0.34454409566517197</v>
      </c>
      <c r="J146">
        <f t="shared" ca="1" si="29"/>
        <v>0.2578854511812041</v>
      </c>
      <c r="K146">
        <f t="shared" ca="1" si="29"/>
        <v>0.20765781303897882</v>
      </c>
      <c r="L146">
        <f t="shared" ca="1" si="29"/>
        <v>0.15542837471491877</v>
      </c>
      <c r="M146">
        <f t="shared" ca="1" si="29"/>
        <v>0.27667560321715795</v>
      </c>
      <c r="N146">
        <f t="shared" ca="1" si="29"/>
        <v>0.19111111111111098</v>
      </c>
      <c r="O146">
        <f t="shared" ca="1" si="29"/>
        <v>0.14845733465295416</v>
      </c>
      <c r="P146">
        <f t="shared" ca="1" si="29"/>
        <v>0.18253968253968264</v>
      </c>
      <c r="Q146">
        <f t="shared" ca="1" si="29"/>
        <v>0.26729681568141339</v>
      </c>
      <c r="R146">
        <f t="shared" ca="1" si="20"/>
        <v>0.56177116054907705</v>
      </c>
      <c r="S146">
        <f t="shared" ca="1" si="20"/>
        <v>0.30388570936787296</v>
      </c>
      <c r="T146">
        <f t="shared" ca="1" si="20"/>
        <v>0.37365079365079362</v>
      </c>
      <c r="V146" s="4">
        <f t="shared" si="28"/>
        <v>41921</v>
      </c>
      <c r="W146" s="5">
        <f t="shared" ca="1" si="27"/>
        <v>0.27667560321715795</v>
      </c>
      <c r="Z146" s="4" t="e">
        <f>IF(Sheet3!$A146="",MATCH("Error",AF146,0),Sheet3!$A146)</f>
        <v>#N/A</v>
      </c>
      <c r="AA146" s="5" t="str">
        <f ca="1">IF(OFFSET(Sheet3!$A$1,0,MATCH(W$1,Sheet3!$1:$1,0)-1,300)="","",OFFSET(Sheet3!$A$1,0,MATCH(W$1,Sheet3!$1:$1,0)-1,300))</f>
        <v/>
      </c>
      <c r="AB146" s="5" t="str">
        <f ca="1">IF(OFFSET(Sheet3!$A$1,0,MATCH(X$1,Sheet3!$1:$1,0)-1,300)="","",OFFSET(Sheet3!$A$1,0,MATCH(X$1,Sheet3!$1:$1,0)-1,300))</f>
        <v/>
      </c>
      <c r="AC146" t="str">
        <f t="shared" ca="1" si="24"/>
        <v/>
      </c>
      <c r="AD146" t="str">
        <f t="shared" ca="1" si="25"/>
        <v/>
      </c>
    </row>
    <row r="147" spans="1:30" x14ac:dyDescent="0.25">
      <c r="A147" s="4">
        <v>41920</v>
      </c>
      <c r="B147">
        <v>0.71299999999999997</v>
      </c>
      <c r="C147" s="5">
        <v>1.1397999999999999</v>
      </c>
      <c r="D147">
        <v>1.738</v>
      </c>
      <c r="E147">
        <v>2.1135000000000002</v>
      </c>
      <c r="F147">
        <v>2.4710000000000001</v>
      </c>
      <c r="G147">
        <v>3.0554999999999999</v>
      </c>
      <c r="H147">
        <f t="shared" ca="1" si="29"/>
        <v>0.42713316672616924</v>
      </c>
      <c r="I147">
        <f t="shared" ca="1" si="29"/>
        <v>0.34027303754266214</v>
      </c>
      <c r="J147">
        <f t="shared" ca="1" si="29"/>
        <v>0.25536819637139813</v>
      </c>
      <c r="K147">
        <f t="shared" ca="1" si="29"/>
        <v>0.21359499431171797</v>
      </c>
      <c r="L147">
        <f t="shared" ca="1" si="29"/>
        <v>0.16029882604055504</v>
      </c>
      <c r="M147">
        <f t="shared" ca="1" si="29"/>
        <v>0.28207632211538469</v>
      </c>
      <c r="N147">
        <f t="shared" ca="1" si="29"/>
        <v>0.19601190165474772</v>
      </c>
      <c r="O147">
        <f t="shared" ca="1" si="29"/>
        <v>0.15261472785485591</v>
      </c>
      <c r="P147">
        <f t="shared" ca="1" si="29"/>
        <v>0.18661585843294876</v>
      </c>
      <c r="Q147">
        <f t="shared" ca="1" si="29"/>
        <v>0.27134724857685005</v>
      </c>
      <c r="R147">
        <f t="shared" ca="1" si="20"/>
        <v>0.56828175026680905</v>
      </c>
      <c r="S147">
        <f t="shared" ca="1" si="20"/>
        <v>0.31291355389541098</v>
      </c>
      <c r="T147">
        <f t="shared" ca="1" si="20"/>
        <v>0.38262776008769644</v>
      </c>
      <c r="V147" s="4">
        <f t="shared" si="28"/>
        <v>41920</v>
      </c>
      <c r="W147" s="5">
        <f t="shared" ca="1" si="27"/>
        <v>0.28207632211538469</v>
      </c>
      <c r="Z147" s="4" t="e">
        <f>IF(Sheet3!$A147="",MATCH("Error",AF147,0),Sheet3!$A147)</f>
        <v>#N/A</v>
      </c>
      <c r="AA147" s="5" t="str">
        <f ca="1">IF(OFFSET(Sheet3!$A$1,0,MATCH(W$1,Sheet3!$1:$1,0)-1,300)="","",OFFSET(Sheet3!$A$1,0,MATCH(W$1,Sheet3!$1:$1,0)-1,300))</f>
        <v/>
      </c>
      <c r="AB147" s="5" t="str">
        <f ca="1">IF(OFFSET(Sheet3!$A$1,0,MATCH(X$1,Sheet3!$1:$1,0)-1,300)="","",OFFSET(Sheet3!$A$1,0,MATCH(X$1,Sheet3!$1:$1,0)-1,300))</f>
        <v/>
      </c>
      <c r="AC147" t="str">
        <f t="shared" ca="1" si="24"/>
        <v/>
      </c>
      <c r="AD147" t="str">
        <f t="shared" ca="1" si="25"/>
        <v/>
      </c>
    </row>
    <row r="148" spans="1:30" x14ac:dyDescent="0.25">
      <c r="A148" s="4">
        <v>41919</v>
      </c>
      <c r="B148">
        <v>0.76929999999999998</v>
      </c>
      <c r="C148" s="5">
        <v>1.2158</v>
      </c>
      <c r="D148">
        <v>1.8165</v>
      </c>
      <c r="E148">
        <v>2.1715</v>
      </c>
      <c r="F148">
        <v>2.5003000000000002</v>
      </c>
      <c r="G148">
        <v>3.0565000000000002</v>
      </c>
      <c r="H148">
        <f t="shared" ca="1" si="29"/>
        <v>0.42839823135073452</v>
      </c>
      <c r="I148">
        <f t="shared" ca="1" si="29"/>
        <v>0.34702484113229343</v>
      </c>
      <c r="J148">
        <f t="shared" ca="1" si="29"/>
        <v>0.26263553690101432</v>
      </c>
      <c r="K148">
        <f t="shared" ca="1" si="29"/>
        <v>0.20508376660889654</v>
      </c>
      <c r="L148">
        <f t="shared" ca="1" si="29"/>
        <v>0.15521161245190623</v>
      </c>
      <c r="M148">
        <f t="shared" ca="1" si="29"/>
        <v>0.27637212923316462</v>
      </c>
      <c r="N148">
        <f t="shared" ca="1" si="29"/>
        <v>0.19286141141956861</v>
      </c>
      <c r="O148">
        <f t="shared" ca="1" si="29"/>
        <v>0.14375655823714592</v>
      </c>
      <c r="P148">
        <f t="shared" ca="1" si="29"/>
        <v>0.1786276959852231</v>
      </c>
      <c r="Q148">
        <f t="shared" ca="1" si="29"/>
        <v>0.26516129032258079</v>
      </c>
      <c r="R148">
        <f t="shared" ca="1" si="20"/>
        <v>0.5616037075900665</v>
      </c>
      <c r="S148">
        <f t="shared" ca="1" si="20"/>
        <v>0.29896817068905213</v>
      </c>
      <c r="T148">
        <f t="shared" ca="1" si="20"/>
        <v>0.37148910740479169</v>
      </c>
      <c r="V148" s="4">
        <f t="shared" si="28"/>
        <v>41919</v>
      </c>
      <c r="W148" s="5">
        <f t="shared" ca="1" si="27"/>
        <v>0.27637212923316462</v>
      </c>
      <c r="Z148" s="4" t="e">
        <f>IF(Sheet3!$A148="",MATCH("Error",AF148,0),Sheet3!$A148)</f>
        <v>#N/A</v>
      </c>
      <c r="AA148" s="5" t="str">
        <f ca="1">IF(OFFSET(Sheet3!$A$1,0,MATCH(W$1,Sheet3!$1:$1,0)-1,300)="","",OFFSET(Sheet3!$A$1,0,MATCH(W$1,Sheet3!$1:$1,0)-1,300))</f>
        <v/>
      </c>
      <c r="AB148" s="5" t="str">
        <f ca="1">IF(OFFSET(Sheet3!$A$1,0,MATCH(X$1,Sheet3!$1:$1,0)-1,300)="","",OFFSET(Sheet3!$A$1,0,MATCH(X$1,Sheet3!$1:$1,0)-1,300))</f>
        <v/>
      </c>
      <c r="AC148" t="str">
        <f t="shared" ca="1" si="24"/>
        <v/>
      </c>
      <c r="AD148" t="str">
        <f t="shared" ca="1" si="25"/>
        <v/>
      </c>
    </row>
    <row r="149" spans="1:30" x14ac:dyDescent="0.25">
      <c r="A149" s="4">
        <v>41918</v>
      </c>
      <c r="B149">
        <v>0.8075</v>
      </c>
      <c r="C149" s="5">
        <v>1.2678</v>
      </c>
      <c r="D149">
        <v>1.8845000000000001</v>
      </c>
      <c r="E149">
        <v>2.2443</v>
      </c>
      <c r="F149">
        <v>2.5760000000000001</v>
      </c>
      <c r="G149">
        <v>3.1322999999999999</v>
      </c>
      <c r="H149">
        <f t="shared" ca="1" si="29"/>
        <v>0.42921770601336307</v>
      </c>
      <c r="I149">
        <f t="shared" ca="1" si="29"/>
        <v>0.34871359909527849</v>
      </c>
      <c r="J149">
        <f t="shared" ca="1" si="29"/>
        <v>0.26527013076393674</v>
      </c>
      <c r="K149">
        <f t="shared" ca="1" si="29"/>
        <v>0.20344925077749501</v>
      </c>
      <c r="L149">
        <f t="shared" ca="1" si="29"/>
        <v>0.15476600137646246</v>
      </c>
      <c r="M149">
        <f t="shared" ca="1" si="29"/>
        <v>0.27503439841002897</v>
      </c>
      <c r="N149">
        <f t="shared" ca="1" si="29"/>
        <v>0.19297398766425311</v>
      </c>
      <c r="O149">
        <f t="shared" ca="1" si="29"/>
        <v>0.14267894012388169</v>
      </c>
      <c r="P149">
        <f t="shared" ca="1" si="29"/>
        <v>0.17790292303566646</v>
      </c>
      <c r="Q149">
        <f t="shared" ca="1" si="29"/>
        <v>0.26582785702837008</v>
      </c>
      <c r="R149">
        <f t="shared" ca="1" si="20"/>
        <v>0.56271507226428086</v>
      </c>
      <c r="S149">
        <f t="shared" ca="1" si="20"/>
        <v>0.29744494150034417</v>
      </c>
      <c r="T149">
        <f t="shared" ca="1" si="20"/>
        <v>0.37087691069991957</v>
      </c>
      <c r="V149" s="4">
        <f t="shared" si="28"/>
        <v>41918</v>
      </c>
      <c r="W149" s="5">
        <f t="shared" ca="1" si="27"/>
        <v>0.27503439841002897</v>
      </c>
      <c r="Z149" s="4" t="e">
        <f>IF(Sheet3!$A149="",MATCH("Error",AF149,0),Sheet3!$A149)</f>
        <v>#N/A</v>
      </c>
      <c r="AA149" s="5" t="str">
        <f ca="1">IF(OFFSET(Sheet3!$A$1,0,MATCH(W$1,Sheet3!$1:$1,0)-1,300)="","",OFFSET(Sheet3!$A$1,0,MATCH(W$1,Sheet3!$1:$1,0)-1,300))</f>
        <v/>
      </c>
      <c r="AB149" s="5" t="str">
        <f ca="1">IF(OFFSET(Sheet3!$A$1,0,MATCH(X$1,Sheet3!$1:$1,0)-1,300)="","",OFFSET(Sheet3!$A$1,0,MATCH(X$1,Sheet3!$1:$1,0)-1,300))</f>
        <v/>
      </c>
      <c r="AC149" t="str">
        <f t="shared" ca="1" si="24"/>
        <v/>
      </c>
      <c r="AD149" t="str">
        <f t="shared" ca="1" si="25"/>
        <v/>
      </c>
    </row>
    <row r="150" spans="1:30" x14ac:dyDescent="0.25">
      <c r="A150" s="4">
        <v>41915</v>
      </c>
      <c r="B150">
        <v>0.82379999999999998</v>
      </c>
      <c r="C150" s="5">
        <v>1.3</v>
      </c>
      <c r="D150">
        <v>1.9100000000000001</v>
      </c>
      <c r="E150">
        <v>2.266</v>
      </c>
      <c r="F150">
        <v>2.5914999999999999</v>
      </c>
      <c r="G150">
        <v>3.1315</v>
      </c>
      <c r="H150">
        <f t="shared" ca="1" si="29"/>
        <v>0.42296491471363196</v>
      </c>
      <c r="I150">
        <f t="shared" ca="1" si="29"/>
        <v>0.34508117893307694</v>
      </c>
      <c r="J150">
        <f t="shared" ca="1" si="29"/>
        <v>0.26433245222515928</v>
      </c>
      <c r="K150">
        <f t="shared" ca="1" si="29"/>
        <v>0.20139163885274644</v>
      </c>
      <c r="L150">
        <f t="shared" ca="1" si="29"/>
        <v>0.15426615244615846</v>
      </c>
      <c r="M150">
        <f t="shared" ca="1" si="29"/>
        <v>0.27564847077042193</v>
      </c>
      <c r="N150">
        <f t="shared" ca="1" si="29"/>
        <v>0.19437619437619433</v>
      </c>
      <c r="O150">
        <f t="shared" ca="1" si="29"/>
        <v>0.14104952983490049</v>
      </c>
      <c r="P150">
        <f t="shared" ca="1" si="29"/>
        <v>0.17772317772317767</v>
      </c>
      <c r="Q150">
        <f t="shared" ca="1" si="29"/>
        <v>0.26647564469914037</v>
      </c>
      <c r="R150">
        <f t="shared" ca="1" si="20"/>
        <v>0.5596481345062182</v>
      </c>
      <c r="S150">
        <f t="shared" ca="1" si="20"/>
        <v>0.29531568228105898</v>
      </c>
      <c r="T150">
        <f t="shared" ca="1" si="20"/>
        <v>0.37209937209937199</v>
      </c>
      <c r="V150" s="4">
        <f t="shared" si="28"/>
        <v>41915</v>
      </c>
      <c r="W150" s="5">
        <f t="shared" ca="1" si="27"/>
        <v>0.27564847077042193</v>
      </c>
      <c r="Z150" s="4" t="e">
        <f>IF(Sheet3!$A150="",MATCH("Error",AF150,0),Sheet3!$A150)</f>
        <v>#N/A</v>
      </c>
      <c r="AA150" s="5" t="str">
        <f ca="1">IF(OFFSET(Sheet3!$A$1,0,MATCH(W$1,Sheet3!$1:$1,0)-1,300)="","",OFFSET(Sheet3!$A$1,0,MATCH(W$1,Sheet3!$1:$1,0)-1,300))</f>
        <v/>
      </c>
      <c r="AB150" s="5" t="str">
        <f ca="1">IF(OFFSET(Sheet3!$A$1,0,MATCH(X$1,Sheet3!$1:$1,0)-1,300)="","",OFFSET(Sheet3!$A$1,0,MATCH(X$1,Sheet3!$1:$1,0)-1,300))</f>
        <v/>
      </c>
      <c r="AC150" t="str">
        <f t="shared" ca="1" si="24"/>
        <v/>
      </c>
      <c r="AD150" t="str">
        <f t="shared" ca="1" si="25"/>
        <v/>
      </c>
    </row>
    <row r="151" spans="1:30" x14ac:dyDescent="0.25">
      <c r="A151" s="4">
        <v>41914</v>
      </c>
      <c r="B151">
        <v>0.79749999999999999</v>
      </c>
      <c r="C151" s="5">
        <v>1.2565</v>
      </c>
      <c r="D151">
        <v>1.8702999999999999</v>
      </c>
      <c r="E151">
        <v>2.2363</v>
      </c>
      <c r="F151">
        <v>2.5754999999999999</v>
      </c>
      <c r="G151">
        <v>3.1398999999999999</v>
      </c>
      <c r="H151">
        <f t="shared" ca="1" si="29"/>
        <v>0.42660550458715585</v>
      </c>
      <c r="I151">
        <f t="shared" ca="1" si="29"/>
        <v>0.34521934758155226</v>
      </c>
      <c r="J151">
        <f t="shared" ca="1" si="29"/>
        <v>0.26203893442622944</v>
      </c>
      <c r="K151">
        <f t="shared" ca="1" si="29"/>
        <v>0.20584926884139487</v>
      </c>
      <c r="L151">
        <f t="shared" ca="1" si="29"/>
        <v>0.15625000000000003</v>
      </c>
      <c r="M151">
        <f t="shared" ca="1" si="29"/>
        <v>0.27748294162244136</v>
      </c>
      <c r="N151">
        <f t="shared" ca="1" si="29"/>
        <v>0.19432940426887549</v>
      </c>
      <c r="O151">
        <f t="shared" ca="1" si="29"/>
        <v>0.14480874316939887</v>
      </c>
      <c r="P151">
        <f t="shared" ca="1" si="29"/>
        <v>0.18009981947541678</v>
      </c>
      <c r="Q151">
        <f t="shared" ca="1" si="29"/>
        <v>0.26717076244486448</v>
      </c>
      <c r="R151">
        <f t="shared" ca="1" si="20"/>
        <v>0.56309767759562834</v>
      </c>
      <c r="S151">
        <f t="shared" ca="1" si="20"/>
        <v>0.3010587431693989</v>
      </c>
      <c r="T151">
        <f t="shared" ca="1" si="20"/>
        <v>0.37442922374429227</v>
      </c>
      <c r="V151" s="4">
        <f t="shared" si="28"/>
        <v>41914</v>
      </c>
      <c r="W151" s="5">
        <f t="shared" ca="1" si="27"/>
        <v>0.27748294162244136</v>
      </c>
      <c r="Z151" s="4" t="e">
        <f>IF(Sheet3!$A151="",MATCH("Error",AF151,0),Sheet3!$A151)</f>
        <v>#N/A</v>
      </c>
      <c r="AA151" s="5" t="str">
        <f ca="1">IF(OFFSET(Sheet3!$A$1,0,MATCH(W$1,Sheet3!$1:$1,0)-1,300)="","",OFFSET(Sheet3!$A$1,0,MATCH(W$1,Sheet3!$1:$1,0)-1,300))</f>
        <v/>
      </c>
      <c r="AB151" s="5" t="str">
        <f ca="1">IF(OFFSET(Sheet3!$A$1,0,MATCH(X$1,Sheet3!$1:$1,0)-1,300)="","",OFFSET(Sheet3!$A$1,0,MATCH(X$1,Sheet3!$1:$1,0)-1,300))</f>
        <v/>
      </c>
      <c r="AC151" t="str">
        <f t="shared" ca="1" si="24"/>
        <v/>
      </c>
      <c r="AD151" t="str">
        <f t="shared" ca="1" si="25"/>
        <v/>
      </c>
    </row>
    <row r="152" spans="1:30" x14ac:dyDescent="0.25">
      <c r="A152" s="4">
        <v>41913</v>
      </c>
      <c r="B152">
        <v>0.78249999999999997</v>
      </c>
      <c r="C152" s="5">
        <v>1.2435</v>
      </c>
      <c r="D152">
        <v>1.853</v>
      </c>
      <c r="E152">
        <v>2.2084999999999999</v>
      </c>
      <c r="F152">
        <v>2.5390000000000001</v>
      </c>
      <c r="G152">
        <v>3.0895000000000001</v>
      </c>
      <c r="H152">
        <f t="shared" ca="1" si="29"/>
        <v>0.42741935483870963</v>
      </c>
      <c r="I152">
        <f t="shared" ca="1" si="29"/>
        <v>0.3469968687731283</v>
      </c>
      <c r="J152">
        <f t="shared" ca="1" si="29"/>
        <v>0.26419592544429987</v>
      </c>
      <c r="K152">
        <f t="shared" ca="1" si="29"/>
        <v>0.20239111870196408</v>
      </c>
      <c r="L152">
        <f t="shared" ca="1" si="29"/>
        <v>0.15409622886866053</v>
      </c>
      <c r="M152">
        <f t="shared" ca="1" si="29"/>
        <v>0.27441142416055569</v>
      </c>
      <c r="N152">
        <f t="shared" ca="1" si="29"/>
        <v>0.19257854821235099</v>
      </c>
      <c r="O152">
        <f t="shared" ca="1" si="29"/>
        <v>0.14325964456003476</v>
      </c>
      <c r="P152">
        <f t="shared" ca="1" si="29"/>
        <v>0.17903575297941507</v>
      </c>
      <c r="Q152">
        <f t="shared" ca="1" si="29"/>
        <v>0.26728669632025898</v>
      </c>
      <c r="R152">
        <f t="shared" ca="1" si="20"/>
        <v>0.56155179887299522</v>
      </c>
      <c r="S152">
        <f t="shared" ca="1" si="20"/>
        <v>0.29735587342869529</v>
      </c>
      <c r="T152">
        <f t="shared" ca="1" si="20"/>
        <v>0.37161430119176603</v>
      </c>
      <c r="V152" s="4">
        <f t="shared" si="28"/>
        <v>41913</v>
      </c>
      <c r="W152" s="5">
        <f t="shared" ca="1" si="27"/>
        <v>0.27441142416055569</v>
      </c>
      <c r="Z152" s="4" t="e">
        <f>IF(Sheet3!$A152="",MATCH("Error",AF152,0),Sheet3!$A152)</f>
        <v>#N/A</v>
      </c>
      <c r="AA152" s="5" t="str">
        <f ca="1">IF(OFFSET(Sheet3!$A$1,0,MATCH(W$1,Sheet3!$1:$1,0)-1,300)="","",OFFSET(Sheet3!$A$1,0,MATCH(W$1,Sheet3!$1:$1,0)-1,300))</f>
        <v/>
      </c>
      <c r="AB152" s="5" t="str">
        <f ca="1">IF(OFFSET(Sheet3!$A$1,0,MATCH(X$1,Sheet3!$1:$1,0)-1,300)="","",OFFSET(Sheet3!$A$1,0,MATCH(X$1,Sheet3!$1:$1,0)-1,300))</f>
        <v/>
      </c>
      <c r="AC152" t="str">
        <f t="shared" ca="1" si="24"/>
        <v/>
      </c>
      <c r="AD152" t="str">
        <f t="shared" ca="1" si="25"/>
        <v/>
      </c>
    </row>
    <row r="153" spans="1:30" x14ac:dyDescent="0.25">
      <c r="A153" s="4">
        <v>41912</v>
      </c>
      <c r="B153">
        <v>0.81850000000000001</v>
      </c>
      <c r="C153" s="5">
        <v>1.2949999999999999</v>
      </c>
      <c r="D153">
        <v>1.9329000000000001</v>
      </c>
      <c r="E153">
        <v>2.3033000000000001</v>
      </c>
      <c r="F153">
        <v>2.6390000000000002</v>
      </c>
      <c r="G153">
        <v>3.1894999999999998</v>
      </c>
      <c r="H153">
        <f t="shared" ref="H153:Q162" ca="1" si="30">IF(ISERROR(ABS(OFFSET($A$11,ROW()-11,MATCH(LEFT(H$9,2),$A$11:$G$11,0)-1)-OFFSET($A$11,ROW()-11,MATCH(RIGHT(H$9,2),$A$11:$G$11,0)-1))/ABS(OFFSET($A$11,ROW()-11,MATCH(LEFT(H$10,2),$A$11:$G$11,0)-1)-OFFSET($A$11,ROW()-11,MATCH(RIGHT(H$10,2),$A$11:$G$11,0)-1))),"",ABS(OFFSET($A$11,ROW()-11,MATCH(LEFT(H$9,2),$A$11:$G$11,0)-1)-OFFSET($A$11,ROW()-11,MATCH(RIGHT(H$9,2),$A$11:$G$11,0)-1))/ABS(OFFSET($A$11,ROW()-11,MATCH(LEFT(H$10,2),$A$11:$G$11,0)-1)-OFFSET($A$11,ROW()-11,MATCH(RIGHT(H$10,2),$A$11:$G$11,0)-1)))</f>
        <v>0.42962015086206901</v>
      </c>
      <c r="I153">
        <f t="shared" ca="1" si="30"/>
        <v>0.35039824224114258</v>
      </c>
      <c r="J153">
        <f t="shared" ca="1" si="30"/>
        <v>0.26904259805989045</v>
      </c>
      <c r="K153">
        <f t="shared" ca="1" si="30"/>
        <v>0.20346058775061798</v>
      </c>
      <c r="L153">
        <f t="shared" ca="1" si="30"/>
        <v>0.15622100379586679</v>
      </c>
      <c r="M153">
        <f t="shared" ca="1" si="30"/>
        <v>0.27559523809523806</v>
      </c>
      <c r="N153">
        <f t="shared" ca="1" si="30"/>
        <v>0.1955133280548958</v>
      </c>
      <c r="O153">
        <f t="shared" ca="1" si="30"/>
        <v>0.14158582876423456</v>
      </c>
      <c r="P153">
        <f t="shared" ca="1" si="30"/>
        <v>0.17719714964370553</v>
      </c>
      <c r="Q153">
        <f t="shared" ca="1" si="30"/>
        <v>0.26714945089925207</v>
      </c>
      <c r="R153">
        <f t="shared" ca="1" si="20"/>
        <v>0.56684943061999182</v>
      </c>
      <c r="S153">
        <f t="shared" ca="1" si="20"/>
        <v>0.29780683256010138</v>
      </c>
      <c r="T153">
        <f t="shared" ca="1" si="20"/>
        <v>0.37271047769860133</v>
      </c>
      <c r="V153" s="4">
        <f t="shared" si="28"/>
        <v>41912</v>
      </c>
      <c r="W153" s="5">
        <f t="shared" ca="1" si="27"/>
        <v>0.27559523809523806</v>
      </c>
      <c r="Z153" s="4" t="e">
        <f>IF(Sheet3!$A153="",MATCH("Error",AF153,0),Sheet3!$A153)</f>
        <v>#N/A</v>
      </c>
      <c r="AA153" s="5" t="str">
        <f ca="1">IF(OFFSET(Sheet3!$A$1,0,MATCH(W$1,Sheet3!$1:$1,0)-1,300)="","",OFFSET(Sheet3!$A$1,0,MATCH(W$1,Sheet3!$1:$1,0)-1,300))</f>
        <v/>
      </c>
      <c r="AB153" s="5" t="str">
        <f ca="1">IF(OFFSET(Sheet3!$A$1,0,MATCH(X$1,Sheet3!$1:$1,0)-1,300)="","",OFFSET(Sheet3!$A$1,0,MATCH(X$1,Sheet3!$1:$1,0)-1,300))</f>
        <v/>
      </c>
      <c r="AC153" t="str">
        <f t="shared" ca="1" si="24"/>
        <v/>
      </c>
      <c r="AD153" t="str">
        <f t="shared" ca="1" si="25"/>
        <v/>
      </c>
    </row>
    <row r="154" spans="1:30" x14ac:dyDescent="0.25">
      <c r="A154" s="4">
        <v>41911</v>
      </c>
      <c r="B154">
        <v>0.81979999999999997</v>
      </c>
      <c r="C154" s="5">
        <v>1.2934999999999999</v>
      </c>
      <c r="D154">
        <v>1.927</v>
      </c>
      <c r="E154">
        <v>2.2909999999999999</v>
      </c>
      <c r="F154">
        <v>2.6225000000000001</v>
      </c>
      <c r="G154">
        <v>3.1564999999999999</v>
      </c>
      <c r="H154">
        <f t="shared" ca="1" si="30"/>
        <v>0.43060087003806424</v>
      </c>
      <c r="I154">
        <f t="shared" ca="1" si="30"/>
        <v>0.3514173184667444</v>
      </c>
      <c r="J154">
        <f t="shared" ca="1" si="30"/>
        <v>0.27110882869003305</v>
      </c>
      <c r="K154">
        <f t="shared" ca="1" si="30"/>
        <v>0.20191934320741101</v>
      </c>
      <c r="L154">
        <f t="shared" ca="1" si="30"/>
        <v>0.15577523858432826</v>
      </c>
      <c r="M154">
        <f t="shared" ca="1" si="30"/>
        <v>0.27389014296463493</v>
      </c>
      <c r="N154">
        <f t="shared" ca="1" si="30"/>
        <v>0.19538378958668806</v>
      </c>
      <c r="O154">
        <f t="shared" ca="1" si="30"/>
        <v>0.14186673513929907</v>
      </c>
      <c r="P154">
        <f t="shared" ca="1" si="30"/>
        <v>0.17793880837359105</v>
      </c>
      <c r="Q154">
        <f t="shared" ca="1" si="30"/>
        <v>0.26962179747865</v>
      </c>
      <c r="R154">
        <f t="shared" ca="1" si="20"/>
        <v>0.56875080241366038</v>
      </c>
      <c r="S154">
        <f t="shared" ca="1" si="20"/>
        <v>0.29764197372362733</v>
      </c>
      <c r="T154">
        <f t="shared" ca="1" si="20"/>
        <v>0.37332259796027911</v>
      </c>
      <c r="V154" s="4">
        <f t="shared" si="28"/>
        <v>41911</v>
      </c>
      <c r="W154" s="5">
        <f t="shared" ca="1" si="27"/>
        <v>0.27389014296463493</v>
      </c>
      <c r="Z154" s="4" t="e">
        <f>IF(Sheet3!$A154="",MATCH("Error",AF154,0),Sheet3!$A154)</f>
        <v>#N/A</v>
      </c>
      <c r="AA154" s="5" t="str">
        <f ca="1">IF(OFFSET(Sheet3!$A$1,0,MATCH(W$1,Sheet3!$1:$1,0)-1,300)="","",OFFSET(Sheet3!$A$1,0,MATCH(W$1,Sheet3!$1:$1,0)-1,300))</f>
        <v/>
      </c>
      <c r="AB154" s="5" t="str">
        <f ca="1">IF(OFFSET(Sheet3!$A$1,0,MATCH(X$1,Sheet3!$1:$1,0)-1,300)="","",OFFSET(Sheet3!$A$1,0,MATCH(X$1,Sheet3!$1:$1,0)-1,300))</f>
        <v/>
      </c>
      <c r="AC154" t="str">
        <f t="shared" ca="1" si="24"/>
        <v/>
      </c>
      <c r="AD154" t="str">
        <f t="shared" ca="1" si="25"/>
        <v/>
      </c>
    </row>
    <row r="155" spans="1:30" x14ac:dyDescent="0.25">
      <c r="A155" s="4">
        <v>41908</v>
      </c>
      <c r="B155">
        <v>0.8115</v>
      </c>
      <c r="C155" s="5">
        <v>1.2929999999999999</v>
      </c>
      <c r="D155">
        <v>1.9504999999999999</v>
      </c>
      <c r="E155">
        <v>2.3212999999999999</v>
      </c>
      <c r="F155">
        <v>2.6555</v>
      </c>
      <c r="G155">
        <v>3.1983000000000001</v>
      </c>
      <c r="H155">
        <f t="shared" ca="1" si="30"/>
        <v>0.43548814412504971</v>
      </c>
      <c r="I155">
        <f t="shared" ca="1" si="30"/>
        <v>0.35656182212581344</v>
      </c>
      <c r="J155">
        <f t="shared" ca="1" si="30"/>
        <v>0.2754734372381431</v>
      </c>
      <c r="K155">
        <f t="shared" ca="1" si="30"/>
        <v>0.20108459869848158</v>
      </c>
      <c r="L155">
        <f t="shared" ca="1" si="30"/>
        <v>0.15535444947209653</v>
      </c>
      <c r="M155">
        <f t="shared" ca="1" si="30"/>
        <v>0.27214678899082567</v>
      </c>
      <c r="N155">
        <f t="shared" ca="1" si="30"/>
        <v>0.19461502125649502</v>
      </c>
      <c r="O155">
        <f t="shared" ca="1" si="30"/>
        <v>0.14002011060834593</v>
      </c>
      <c r="P155">
        <f t="shared" ca="1" si="30"/>
        <v>0.17540544796095103</v>
      </c>
      <c r="Q155">
        <f t="shared" ca="1" si="30"/>
        <v>0.26783138323449268</v>
      </c>
      <c r="R155">
        <f t="shared" ca="1" si="20"/>
        <v>0.5708479973185856</v>
      </c>
      <c r="S155">
        <f t="shared" ca="1" si="20"/>
        <v>0.29537456008044244</v>
      </c>
      <c r="T155">
        <f t="shared" ca="1" si="20"/>
        <v>0.37002046921744608</v>
      </c>
      <c r="V155" s="4">
        <f t="shared" si="28"/>
        <v>41908</v>
      </c>
      <c r="W155" s="5">
        <f t="shared" ca="1" si="27"/>
        <v>0.27214678899082567</v>
      </c>
      <c r="Z155" s="4" t="e">
        <f>IF(Sheet3!$A155="",MATCH("Error",AF155,0),Sheet3!$A155)</f>
        <v>#N/A</v>
      </c>
      <c r="AA155" s="5" t="str">
        <f ca="1">IF(OFFSET(Sheet3!$A$1,0,MATCH(W$1,Sheet3!$1:$1,0)-1,300)="","",OFFSET(Sheet3!$A$1,0,MATCH(W$1,Sheet3!$1:$1,0)-1,300))</f>
        <v/>
      </c>
      <c r="AB155" s="5" t="str">
        <f ca="1">IF(OFFSET(Sheet3!$A$1,0,MATCH(X$1,Sheet3!$1:$1,0)-1,300)="","",OFFSET(Sheet3!$A$1,0,MATCH(X$1,Sheet3!$1:$1,0)-1,300))</f>
        <v/>
      </c>
      <c r="AC155" t="str">
        <f t="shared" ca="1" si="24"/>
        <v/>
      </c>
      <c r="AD155" t="str">
        <f t="shared" ca="1" si="25"/>
        <v/>
      </c>
    </row>
    <row r="156" spans="1:30" x14ac:dyDescent="0.25">
      <c r="A156" s="4">
        <v>41907</v>
      </c>
      <c r="B156">
        <v>0.77849999999999997</v>
      </c>
      <c r="C156" s="5">
        <v>1.2515000000000001</v>
      </c>
      <c r="D156">
        <v>1.9102999999999999</v>
      </c>
      <c r="E156">
        <v>2.2909999999999999</v>
      </c>
      <c r="F156">
        <v>2.6360000000000001</v>
      </c>
      <c r="G156">
        <v>3.2023999999999999</v>
      </c>
      <c r="H156">
        <f t="shared" ca="1" si="30"/>
        <v>0.43557024793388421</v>
      </c>
      <c r="I156">
        <f t="shared" ca="1" si="30"/>
        <v>0.35467025572005373</v>
      </c>
      <c r="J156">
        <f t="shared" ca="1" si="30"/>
        <v>0.27179339081645276</v>
      </c>
      <c r="K156">
        <f t="shared" ca="1" si="30"/>
        <v>0.2049528936742934</v>
      </c>
      <c r="L156">
        <f t="shared" ca="1" si="30"/>
        <v>0.15706093485704858</v>
      </c>
      <c r="M156">
        <f t="shared" ca="1" si="30"/>
        <v>0.27497291440953414</v>
      </c>
      <c r="N156">
        <f t="shared" ca="1" si="30"/>
        <v>0.19514070429032757</v>
      </c>
      <c r="O156">
        <f t="shared" ca="1" si="30"/>
        <v>0.14233260448038296</v>
      </c>
      <c r="P156">
        <f t="shared" ca="1" si="30"/>
        <v>0.17684145778871302</v>
      </c>
      <c r="Q156">
        <f t="shared" ca="1" si="30"/>
        <v>0.26700719758532637</v>
      </c>
      <c r="R156">
        <f t="shared" ca="1" si="20"/>
        <v>0.57118693015388433</v>
      </c>
      <c r="S156">
        <f t="shared" ca="1" si="20"/>
        <v>0.29939353933743157</v>
      </c>
      <c r="T156">
        <f t="shared" ca="1" si="20"/>
        <v>0.37198216207904061</v>
      </c>
      <c r="V156" s="4">
        <f t="shared" si="28"/>
        <v>41907</v>
      </c>
      <c r="W156" s="5">
        <f t="shared" ca="1" si="27"/>
        <v>0.27497291440953414</v>
      </c>
      <c r="Z156" s="4" t="e">
        <f>IF(Sheet3!$A156="",MATCH("Error",AF156,0),Sheet3!$A156)</f>
        <v>#N/A</v>
      </c>
      <c r="AA156" s="5" t="str">
        <f ca="1">IF(OFFSET(Sheet3!$A$1,0,MATCH(W$1,Sheet3!$1:$1,0)-1,300)="","",OFFSET(Sheet3!$A$1,0,MATCH(W$1,Sheet3!$1:$1,0)-1,300))</f>
        <v/>
      </c>
      <c r="AB156" s="5" t="str">
        <f ca="1">IF(OFFSET(Sheet3!$A$1,0,MATCH(X$1,Sheet3!$1:$1,0)-1,300)="","",OFFSET(Sheet3!$A$1,0,MATCH(X$1,Sheet3!$1:$1,0)-1,300))</f>
        <v/>
      </c>
      <c r="AC156" t="str">
        <f t="shared" ca="1" si="24"/>
        <v/>
      </c>
      <c r="AD156" t="str">
        <f t="shared" ca="1" si="25"/>
        <v/>
      </c>
    </row>
    <row r="157" spans="1:30" x14ac:dyDescent="0.25">
      <c r="A157" s="4">
        <v>41906</v>
      </c>
      <c r="B157">
        <v>0.80179999999999996</v>
      </c>
      <c r="C157" s="5">
        <v>1.2807999999999999</v>
      </c>
      <c r="D157">
        <v>1.9609000000000001</v>
      </c>
      <c r="E157">
        <v>2.3460000000000001</v>
      </c>
      <c r="F157">
        <v>2.6917</v>
      </c>
      <c r="G157">
        <v>3.2618</v>
      </c>
      <c r="H157">
        <f t="shared" ca="1" si="30"/>
        <v>0.44042222510037571</v>
      </c>
      <c r="I157">
        <f t="shared" ca="1" si="30"/>
        <v>0.35986031006931596</v>
      </c>
      <c r="J157">
        <f t="shared" ca="1" si="30"/>
        <v>0.27646341463414642</v>
      </c>
      <c r="K157">
        <f t="shared" ca="1" si="30"/>
        <v>0.20376739510026987</v>
      </c>
      <c r="L157">
        <f t="shared" ca="1" si="30"/>
        <v>0.15654471544715448</v>
      </c>
      <c r="M157">
        <f t="shared" ca="1" si="30"/>
        <v>0.27294634630377773</v>
      </c>
      <c r="N157">
        <f t="shared" ca="1" si="30"/>
        <v>0.19439676930843008</v>
      </c>
      <c r="O157">
        <f t="shared" ca="1" si="30"/>
        <v>0.14052845528455279</v>
      </c>
      <c r="P157">
        <f t="shared" ca="1" si="30"/>
        <v>0.17450782433114584</v>
      </c>
      <c r="Q157">
        <f t="shared" ca="1" si="30"/>
        <v>0.26573910369744014</v>
      </c>
      <c r="R157">
        <f t="shared" ref="R157:T220" ca="1" si="31">IF(ISERROR(ABS(OFFSET($A$11,ROW()-11,MATCH(LEFT(R$9,2),$A$11:$G$11,0)-1)-OFFSET($A$11,ROW()-11,MATCH(RIGHT(R$9,2),$A$11:$G$11,0)-1))/ABS(OFFSET($A$11,ROW()-11,MATCH(LEFT(R$10,2),$A$11:$G$11,0)-1)-OFFSET($A$11,ROW()-11,MATCH(RIGHT(R$10,2),$A$11:$G$11,0)-1))),"",ABS(OFFSET($A$11,ROW()-11,MATCH(LEFT(R$9,2),$A$11:$G$11,0)-1)-OFFSET($A$11,ROW()-11,MATCH(RIGHT(R$9,2),$A$11:$G$11,0)-1))/ABS(OFFSET($A$11,ROW()-11,MATCH(LEFT(R$10,2),$A$11:$G$11,0)-1)-OFFSET($A$11,ROW()-11,MATCH(RIGHT(R$10,2),$A$11:$G$11,0)-1)))</f>
        <v>0.57353658536585372</v>
      </c>
      <c r="S157">
        <f t="shared" ca="1" si="31"/>
        <v>0.2970731707317073</v>
      </c>
      <c r="T157">
        <f t="shared" ca="1" si="31"/>
        <v>0.3689045936395759</v>
      </c>
      <c r="V157" s="4">
        <f t="shared" si="28"/>
        <v>41906</v>
      </c>
      <c r="W157" s="5">
        <f t="shared" ca="1" si="27"/>
        <v>0.27294634630377773</v>
      </c>
      <c r="Z157" s="4" t="e">
        <f>IF(Sheet3!$A157="",MATCH("Error",AF157,0),Sheet3!$A157)</f>
        <v>#N/A</v>
      </c>
      <c r="AA157" s="5" t="str">
        <f ca="1">IF(OFFSET(Sheet3!$A$1,0,MATCH(W$1,Sheet3!$1:$1,0)-1,300)="","",OFFSET(Sheet3!$A$1,0,MATCH(W$1,Sheet3!$1:$1,0)-1,300))</f>
        <v/>
      </c>
      <c r="AB157" s="5" t="str">
        <f ca="1">IF(OFFSET(Sheet3!$A$1,0,MATCH(X$1,Sheet3!$1:$1,0)-1,300)="","",OFFSET(Sheet3!$A$1,0,MATCH(X$1,Sheet3!$1:$1,0)-1,300))</f>
        <v/>
      </c>
      <c r="AC157" t="str">
        <f t="shared" ca="1" si="24"/>
        <v/>
      </c>
      <c r="AD157" t="str">
        <f t="shared" ca="1" si="25"/>
        <v/>
      </c>
    </row>
    <row r="158" spans="1:30" x14ac:dyDescent="0.25">
      <c r="A158" s="4">
        <v>41905</v>
      </c>
      <c r="B158">
        <v>0.78600000000000003</v>
      </c>
      <c r="C158" s="5">
        <v>1.2575000000000001</v>
      </c>
      <c r="D158">
        <v>1.9239999999999999</v>
      </c>
      <c r="E158">
        <v>2.3058000000000001</v>
      </c>
      <c r="F158">
        <v>2.6505000000000001</v>
      </c>
      <c r="G158">
        <v>3.2244999999999999</v>
      </c>
      <c r="H158">
        <f t="shared" ca="1" si="30"/>
        <v>0.43854454533491238</v>
      </c>
      <c r="I158">
        <f t="shared" ca="1" si="30"/>
        <v>0.35746849021185295</v>
      </c>
      <c r="J158">
        <f t="shared" ca="1" si="30"/>
        <v>0.27332376460939095</v>
      </c>
      <c r="K158">
        <f t="shared" ca="1" si="30"/>
        <v>0.20477339769375175</v>
      </c>
      <c r="L158">
        <f t="shared" ca="1" si="30"/>
        <v>0.15657166290752519</v>
      </c>
      <c r="M158">
        <f t="shared" ca="1" si="30"/>
        <v>0.27408470926058875</v>
      </c>
      <c r="N158">
        <f t="shared" ca="1" si="30"/>
        <v>0.19410269445856643</v>
      </c>
      <c r="O158">
        <f t="shared" ca="1" si="30"/>
        <v>0.14135739183924545</v>
      </c>
      <c r="P158">
        <f t="shared" ca="1" si="30"/>
        <v>0.17524148449415355</v>
      </c>
      <c r="Q158">
        <f t="shared" ca="1" si="30"/>
        <v>0.26505190311418686</v>
      </c>
      <c r="R158">
        <f t="shared" ca="1" si="31"/>
        <v>0.57125281935616157</v>
      </c>
      <c r="S158">
        <f t="shared" ca="1" si="31"/>
        <v>0.29792905474677062</v>
      </c>
      <c r="T158">
        <f t="shared" ca="1" si="31"/>
        <v>0.36934417895271998</v>
      </c>
      <c r="V158" s="4">
        <f t="shared" si="28"/>
        <v>41905</v>
      </c>
      <c r="W158" s="5">
        <f t="shared" ca="1" si="27"/>
        <v>0.27408470926058875</v>
      </c>
      <c r="Z158" s="4" t="e">
        <f>IF(Sheet3!$A158="",MATCH("Error",AF158,0),Sheet3!$A158)</f>
        <v>#N/A</v>
      </c>
      <c r="AA158" s="5" t="str">
        <f ca="1">IF(OFFSET(Sheet3!$A$1,0,MATCH(W$1,Sheet3!$1:$1,0)-1,300)="","",OFFSET(Sheet3!$A$1,0,MATCH(W$1,Sheet3!$1:$1,0)-1,300))</f>
        <v/>
      </c>
      <c r="AB158" s="5" t="str">
        <f ca="1">IF(OFFSET(Sheet3!$A$1,0,MATCH(X$1,Sheet3!$1:$1,0)-1,300)="","",OFFSET(Sheet3!$A$1,0,MATCH(X$1,Sheet3!$1:$1,0)-1,300))</f>
        <v/>
      </c>
      <c r="AC158" t="str">
        <f t="shared" ca="1" si="24"/>
        <v/>
      </c>
      <c r="AD158" t="str">
        <f t="shared" ca="1" si="25"/>
        <v/>
      </c>
    </row>
    <row r="159" spans="1:30" x14ac:dyDescent="0.25">
      <c r="A159" s="4">
        <v>41904</v>
      </c>
      <c r="B159">
        <v>0.78979999999999995</v>
      </c>
      <c r="C159" s="5">
        <v>1.2655000000000001</v>
      </c>
      <c r="D159">
        <v>1.9431</v>
      </c>
      <c r="E159">
        <v>2.3330000000000002</v>
      </c>
      <c r="F159">
        <v>2.6858</v>
      </c>
      <c r="G159">
        <v>3.2690999999999999</v>
      </c>
      <c r="H159">
        <f t="shared" ca="1" si="30"/>
        <v>0.43908761016070497</v>
      </c>
      <c r="I159">
        <f t="shared" ca="1" si="30"/>
        <v>0.35738396624472574</v>
      </c>
      <c r="J159">
        <f t="shared" ca="1" si="30"/>
        <v>0.27330294841285846</v>
      </c>
      <c r="K159">
        <f t="shared" ca="1" si="30"/>
        <v>0.20564345991561189</v>
      </c>
      <c r="L159">
        <f t="shared" ca="1" si="30"/>
        <v>0.15726213044004361</v>
      </c>
      <c r="M159">
        <f t="shared" ca="1" si="30"/>
        <v>0.27451946771808783</v>
      </c>
      <c r="N159">
        <f t="shared" ca="1" si="30"/>
        <v>0.19459972050309454</v>
      </c>
      <c r="O159">
        <f t="shared" ca="1" si="30"/>
        <v>0.14229822933892622</v>
      </c>
      <c r="P159">
        <f t="shared" ca="1" si="30"/>
        <v>0.17608305050908357</v>
      </c>
      <c r="Q159">
        <f t="shared" ca="1" si="30"/>
        <v>0.26606334841628948</v>
      </c>
      <c r="R159">
        <f t="shared" ca="1" si="31"/>
        <v>0.57286330819182829</v>
      </c>
      <c r="S159">
        <f t="shared" ca="1" si="31"/>
        <v>0.29956035977896983</v>
      </c>
      <c r="T159">
        <f t="shared" ca="1" si="31"/>
        <v>0.37068277101217811</v>
      </c>
      <c r="V159" s="4">
        <f t="shared" si="28"/>
        <v>41904</v>
      </c>
      <c r="W159" s="5">
        <f t="shared" ca="1" si="27"/>
        <v>0.27451946771808783</v>
      </c>
      <c r="Z159" s="4" t="e">
        <f>IF(Sheet3!$A159="",MATCH("Error",AF159,0),Sheet3!$A159)</f>
        <v>#N/A</v>
      </c>
      <c r="AA159" s="5" t="str">
        <f ca="1">IF(OFFSET(Sheet3!$A$1,0,MATCH(W$1,Sheet3!$1:$1,0)-1,300)="","",OFFSET(Sheet3!$A$1,0,MATCH(W$1,Sheet3!$1:$1,0)-1,300))</f>
        <v/>
      </c>
      <c r="AB159" s="5" t="str">
        <f ca="1">IF(OFFSET(Sheet3!$A$1,0,MATCH(X$1,Sheet3!$1:$1,0)-1,300)="","",OFFSET(Sheet3!$A$1,0,MATCH(X$1,Sheet3!$1:$1,0)-1,300))</f>
        <v/>
      </c>
      <c r="AC159" t="str">
        <f t="shared" ca="1" si="24"/>
        <v/>
      </c>
      <c r="AD159" t="str">
        <f t="shared" ca="1" si="25"/>
        <v/>
      </c>
    </row>
    <row r="160" spans="1:30" x14ac:dyDescent="0.25">
      <c r="A160" s="4">
        <v>41901</v>
      </c>
      <c r="B160">
        <v>0.80630000000000002</v>
      </c>
      <c r="C160" s="5">
        <v>1.2974999999999999</v>
      </c>
      <c r="D160">
        <v>1.982</v>
      </c>
      <c r="E160">
        <v>2.3645</v>
      </c>
      <c r="F160">
        <v>2.7073</v>
      </c>
      <c r="G160">
        <v>3.2774999999999999</v>
      </c>
      <c r="H160">
        <f t="shared" ca="1" si="30"/>
        <v>0.43928892311641643</v>
      </c>
      <c r="I160">
        <f t="shared" ca="1" si="30"/>
        <v>0.36007364544976334</v>
      </c>
      <c r="J160">
        <f t="shared" ca="1" si="30"/>
        <v>0.27699093557785698</v>
      </c>
      <c r="K160">
        <f t="shared" ca="1" si="30"/>
        <v>0.20120988953182539</v>
      </c>
      <c r="L160">
        <f t="shared" ca="1" si="30"/>
        <v>0.15478310132729042</v>
      </c>
      <c r="M160">
        <f t="shared" ca="1" si="30"/>
        <v>0.27131508015321326</v>
      </c>
      <c r="N160">
        <f t="shared" ca="1" si="30"/>
        <v>0.1931818181818182</v>
      </c>
      <c r="O160">
        <f t="shared" ca="1" si="30"/>
        <v>0.13871803172547753</v>
      </c>
      <c r="P160">
        <f t="shared" ca="1" si="30"/>
        <v>0.17313131313131314</v>
      </c>
      <c r="Q160">
        <f t="shared" ca="1" si="30"/>
        <v>0.26460825935932075</v>
      </c>
      <c r="R160">
        <f t="shared" ca="1" si="31"/>
        <v>0.57049206863062496</v>
      </c>
      <c r="S160">
        <f t="shared" ca="1" si="31"/>
        <v>0.29350113305276793</v>
      </c>
      <c r="T160">
        <f t="shared" ca="1" si="31"/>
        <v>0.36631313131313137</v>
      </c>
      <c r="V160" s="4">
        <f t="shared" si="28"/>
        <v>41901</v>
      </c>
      <c r="W160" s="5">
        <f t="shared" ca="1" si="27"/>
        <v>0.27131508015321326</v>
      </c>
      <c r="Z160" s="4" t="e">
        <f>IF(Sheet3!$A160="",MATCH("Error",AF160,0),Sheet3!$A160)</f>
        <v>#N/A</v>
      </c>
      <c r="AA160" s="5" t="str">
        <f ca="1">IF(OFFSET(Sheet3!$A$1,0,MATCH(W$1,Sheet3!$1:$1,0)-1,300)="","",OFFSET(Sheet3!$A$1,0,MATCH(W$1,Sheet3!$1:$1,0)-1,300))</f>
        <v/>
      </c>
      <c r="AB160" s="5" t="str">
        <f ca="1">IF(OFFSET(Sheet3!$A$1,0,MATCH(X$1,Sheet3!$1:$1,0)-1,300)="","",OFFSET(Sheet3!$A$1,0,MATCH(X$1,Sheet3!$1:$1,0)-1,300))</f>
        <v/>
      </c>
      <c r="AC160" t="str">
        <f t="shared" ca="1" si="24"/>
        <v/>
      </c>
      <c r="AD160" t="str">
        <f t="shared" ca="1" si="25"/>
        <v/>
      </c>
    </row>
    <row r="161" spans="1:30" x14ac:dyDescent="0.25">
      <c r="A161" s="4">
        <v>41900</v>
      </c>
      <c r="B161">
        <v>0.80700000000000005</v>
      </c>
      <c r="C161" s="5">
        <v>1.2955000000000001</v>
      </c>
      <c r="D161">
        <v>1.9975000000000001</v>
      </c>
      <c r="E161">
        <v>2.3940000000000001</v>
      </c>
      <c r="F161">
        <v>2.7513000000000001</v>
      </c>
      <c r="G161">
        <v>3.3414999999999999</v>
      </c>
      <c r="H161">
        <f t="shared" ca="1" si="30"/>
        <v>0.44234404536861993</v>
      </c>
      <c r="I161">
        <f t="shared" ca="1" si="30"/>
        <v>0.36105539268631381</v>
      </c>
      <c r="J161">
        <f t="shared" ca="1" si="30"/>
        <v>0.27697770763464191</v>
      </c>
      <c r="K161">
        <f t="shared" ca="1" si="30"/>
        <v>0.20392943475801062</v>
      </c>
      <c r="L161">
        <f t="shared" ca="1" si="30"/>
        <v>0.15644111264549224</v>
      </c>
      <c r="M161">
        <f t="shared" ca="1" si="30"/>
        <v>0.27235884050006876</v>
      </c>
      <c r="N161">
        <f t="shared" ca="1" si="30"/>
        <v>0.19379276637341158</v>
      </c>
      <c r="O161">
        <f t="shared" ca="1" si="30"/>
        <v>0.14097455119352928</v>
      </c>
      <c r="P161">
        <f t="shared" ca="1" si="30"/>
        <v>0.17463343108504398</v>
      </c>
      <c r="Q161">
        <f t="shared" ca="1" si="30"/>
        <v>0.26584821428571426</v>
      </c>
      <c r="R161">
        <f t="shared" ca="1" si="31"/>
        <v>0.57439337147366343</v>
      </c>
      <c r="S161">
        <f t="shared" ca="1" si="31"/>
        <v>0.29741566383902152</v>
      </c>
      <c r="T161">
        <f t="shared" ca="1" si="31"/>
        <v>0.36842619745845556</v>
      </c>
      <c r="V161" s="4">
        <f t="shared" si="28"/>
        <v>41900</v>
      </c>
      <c r="W161" s="5">
        <f t="shared" ca="1" si="27"/>
        <v>0.27235884050006876</v>
      </c>
      <c r="Z161" s="4" t="e">
        <f>IF(Sheet3!$A161="",MATCH("Error",AF161,0),Sheet3!$A161)</f>
        <v>#N/A</v>
      </c>
      <c r="AA161" s="5" t="str">
        <f ca="1">IF(OFFSET(Sheet3!$A$1,0,MATCH(W$1,Sheet3!$1:$1,0)-1,300)="","",OFFSET(Sheet3!$A$1,0,MATCH(W$1,Sheet3!$1:$1,0)-1,300))</f>
        <v/>
      </c>
      <c r="AB161" s="5" t="str">
        <f ca="1">IF(OFFSET(Sheet3!$A$1,0,MATCH(X$1,Sheet3!$1:$1,0)-1,300)="","",OFFSET(Sheet3!$A$1,0,MATCH(X$1,Sheet3!$1:$1,0)-1,300))</f>
        <v/>
      </c>
      <c r="AC161" t="str">
        <f t="shared" ca="1" si="24"/>
        <v/>
      </c>
      <c r="AD161" t="str">
        <f t="shared" ca="1" si="25"/>
        <v/>
      </c>
    </row>
    <row r="162" spans="1:30" x14ac:dyDescent="0.25">
      <c r="A162" s="4">
        <v>41899</v>
      </c>
      <c r="B162">
        <v>0.80379999999999996</v>
      </c>
      <c r="C162" s="5">
        <v>1.2945</v>
      </c>
      <c r="D162">
        <v>1.9918</v>
      </c>
      <c r="E162">
        <v>2.3961000000000001</v>
      </c>
      <c r="F162">
        <v>2.7612999999999999</v>
      </c>
      <c r="G162">
        <v>3.3650000000000002</v>
      </c>
      <c r="H162">
        <f t="shared" ca="1" si="30"/>
        <v>0.43791998995164222</v>
      </c>
      <c r="I162">
        <f t="shared" ca="1" si="30"/>
        <v>0.35621966794380588</v>
      </c>
      <c r="J162">
        <f t="shared" ca="1" si="30"/>
        <v>0.27225519287833827</v>
      </c>
      <c r="K162">
        <f t="shared" ca="1" si="30"/>
        <v>0.20653895274584935</v>
      </c>
      <c r="L162">
        <f t="shared" ca="1" si="30"/>
        <v>0.15785569264407312</v>
      </c>
      <c r="M162">
        <f t="shared" ca="1" si="30"/>
        <v>0.27563403326970287</v>
      </c>
      <c r="N162">
        <f t="shared" ca="1" si="30"/>
        <v>0.19526684375754655</v>
      </c>
      <c r="O162">
        <f t="shared" ca="1" si="30"/>
        <v>0.14258941121349356</v>
      </c>
      <c r="P162">
        <f t="shared" ca="1" si="30"/>
        <v>0.17638251630041041</v>
      </c>
      <c r="Q162">
        <f t="shared" ca="1" si="30"/>
        <v>0.26594815030585472</v>
      </c>
      <c r="R162">
        <f t="shared" ca="1" si="31"/>
        <v>0.57270029673590495</v>
      </c>
      <c r="S162">
        <f t="shared" ca="1" si="31"/>
        <v>0.30044510385756668</v>
      </c>
      <c r="T162">
        <f t="shared" ca="1" si="31"/>
        <v>0.37164936005795696</v>
      </c>
      <c r="V162" s="4">
        <f t="shared" si="28"/>
        <v>41899</v>
      </c>
      <c r="W162" s="5">
        <f t="shared" ca="1" si="27"/>
        <v>0.27563403326970287</v>
      </c>
      <c r="Z162" s="4" t="e">
        <f>IF(Sheet3!$A162="",MATCH("Error",AF162,0),Sheet3!$A162)</f>
        <v>#N/A</v>
      </c>
      <c r="AA162" s="5" t="str">
        <f ca="1">IF(OFFSET(Sheet3!$A$1,0,MATCH(W$1,Sheet3!$1:$1,0)-1,300)="","",OFFSET(Sheet3!$A$1,0,MATCH(W$1,Sheet3!$1:$1,0)-1,300))</f>
        <v/>
      </c>
      <c r="AB162" s="5" t="str">
        <f ca="1">IF(OFFSET(Sheet3!$A$1,0,MATCH(X$1,Sheet3!$1:$1,0)-1,300)="","",OFFSET(Sheet3!$A$1,0,MATCH(X$1,Sheet3!$1:$1,0)-1,300))</f>
        <v/>
      </c>
      <c r="AC162" t="str">
        <f t="shared" ca="1" si="24"/>
        <v/>
      </c>
      <c r="AD162" t="str">
        <f t="shared" ca="1" si="25"/>
        <v/>
      </c>
    </row>
    <row r="163" spans="1:30" x14ac:dyDescent="0.25">
      <c r="A163" s="4">
        <v>41898</v>
      </c>
      <c r="B163">
        <v>0.77400000000000002</v>
      </c>
      <c r="C163" s="5">
        <v>1.2424999999999999</v>
      </c>
      <c r="D163">
        <v>1.9375</v>
      </c>
      <c r="E163">
        <v>2.3544999999999998</v>
      </c>
      <c r="F163">
        <v>2.7359999999999998</v>
      </c>
      <c r="G163">
        <v>3.3559999999999999</v>
      </c>
      <c r="H163">
        <f t="shared" ref="H163:Q172" ca="1" si="32">IF(ISERROR(ABS(OFFSET($A$11,ROW()-11,MATCH(LEFT(H$9,2),$A$11:$G$11,0)-1)-OFFSET($A$11,ROW()-11,MATCH(RIGHT(H$9,2),$A$11:$G$11,0)-1))/ABS(OFFSET($A$11,ROW()-11,MATCH(LEFT(H$10,2),$A$11:$G$11,0)-1)-OFFSET($A$11,ROW()-11,MATCH(RIGHT(H$10,2),$A$11:$G$11,0)-1))),"",ABS(OFFSET($A$11,ROW()-11,MATCH(LEFT(H$9,2),$A$11:$G$11,0)-1)-OFFSET($A$11,ROW()-11,MATCH(RIGHT(H$9,2),$A$11:$G$11,0)-1))/ABS(OFFSET($A$11,ROW()-11,MATCH(LEFT(H$10,2),$A$11:$G$11,0)-1)-OFFSET($A$11,ROW()-11,MATCH(RIGHT(H$10,2),$A$11:$G$11,0)-1)))</f>
        <v>0.43973426130971222</v>
      </c>
      <c r="I163">
        <f t="shared" ca="1" si="32"/>
        <v>0.35423037716615707</v>
      </c>
      <c r="J163">
        <f t="shared" ca="1" si="32"/>
        <v>0.26917118512780797</v>
      </c>
      <c r="K163">
        <f t="shared" ca="1" si="32"/>
        <v>0.21253822629969413</v>
      </c>
      <c r="L163">
        <f t="shared" ca="1" si="32"/>
        <v>0.16150271107668468</v>
      </c>
      <c r="M163">
        <f t="shared" ca="1" si="32"/>
        <v>0.27920990960830255</v>
      </c>
      <c r="N163">
        <f t="shared" ca="1" si="32"/>
        <v>0.19730305180979407</v>
      </c>
      <c r="O163">
        <f t="shared" ca="1" si="32"/>
        <v>0.14775367931835784</v>
      </c>
      <c r="P163">
        <f t="shared" ca="1" si="32"/>
        <v>0.18050626922167018</v>
      </c>
      <c r="Q163">
        <f t="shared" ca="1" si="32"/>
        <v>0.26894606979203384</v>
      </c>
      <c r="R163">
        <f t="shared" ca="1" si="31"/>
        <v>0.57842757552285051</v>
      </c>
      <c r="S163">
        <f t="shared" ca="1" si="31"/>
        <v>0.30925639039504255</v>
      </c>
      <c r="T163">
        <f t="shared" ca="1" si="31"/>
        <v>0.37780932103146425</v>
      </c>
      <c r="V163" s="4">
        <f t="shared" si="28"/>
        <v>41898</v>
      </c>
      <c r="W163" s="5">
        <f t="shared" ca="1" si="27"/>
        <v>0.27920990960830255</v>
      </c>
      <c r="Z163" s="4" t="e">
        <f>IF(Sheet3!$A163="",MATCH("Error",AF163,0),Sheet3!$A163)</f>
        <v>#N/A</v>
      </c>
      <c r="AA163" s="5" t="str">
        <f ca="1">IF(OFFSET(Sheet3!$A$1,0,MATCH(W$1,Sheet3!$1:$1,0)-1,300)="","",OFFSET(Sheet3!$A$1,0,MATCH(W$1,Sheet3!$1:$1,0)-1,300))</f>
        <v/>
      </c>
      <c r="AB163" s="5" t="str">
        <f ca="1">IF(OFFSET(Sheet3!$A$1,0,MATCH(X$1,Sheet3!$1:$1,0)-1,300)="","",OFFSET(Sheet3!$A$1,0,MATCH(X$1,Sheet3!$1:$1,0)-1,300))</f>
        <v/>
      </c>
      <c r="AC163" t="str">
        <f t="shared" ca="1" si="24"/>
        <v/>
      </c>
      <c r="AD163" t="str">
        <f t="shared" ca="1" si="25"/>
        <v/>
      </c>
    </row>
    <row r="164" spans="1:30" x14ac:dyDescent="0.25">
      <c r="A164" s="4">
        <v>41897</v>
      </c>
      <c r="B164">
        <v>0.78500000000000003</v>
      </c>
      <c r="C164" s="5">
        <v>1.2544999999999999</v>
      </c>
      <c r="D164">
        <v>1.9430000000000001</v>
      </c>
      <c r="E164">
        <v>2.3555000000000001</v>
      </c>
      <c r="F164">
        <v>2.73</v>
      </c>
      <c r="G164">
        <v>3.3395999999999999</v>
      </c>
      <c r="H164">
        <f t="shared" ca="1" si="32"/>
        <v>0.43839541547277944</v>
      </c>
      <c r="I164">
        <f t="shared" ca="1" si="32"/>
        <v>0.35398457583547566</v>
      </c>
      <c r="J164">
        <f t="shared" ca="1" si="32"/>
        <v>0.26951381821028741</v>
      </c>
      <c r="K164">
        <f t="shared" ca="1" si="32"/>
        <v>0.21208226221079698</v>
      </c>
      <c r="L164">
        <f t="shared" ca="1" si="32"/>
        <v>0.16147342049635957</v>
      </c>
      <c r="M164">
        <f t="shared" ca="1" si="32"/>
        <v>0.2795662487292444</v>
      </c>
      <c r="N164">
        <f t="shared" ca="1" si="32"/>
        <v>0.19783223826195392</v>
      </c>
      <c r="O164">
        <f t="shared" ca="1" si="32"/>
        <v>0.14659829327487664</v>
      </c>
      <c r="P164">
        <f t="shared" ca="1" si="32"/>
        <v>0.17960769267661017</v>
      </c>
      <c r="Q164">
        <f t="shared" ca="1" si="32"/>
        <v>0.26815122440211936</v>
      </c>
      <c r="R164">
        <f t="shared" ca="1" si="31"/>
        <v>0.57758553198152363</v>
      </c>
      <c r="S164">
        <f t="shared" ca="1" si="31"/>
        <v>0.30807171377123621</v>
      </c>
      <c r="T164">
        <f t="shared" ca="1" si="31"/>
        <v>0.37743993093856409</v>
      </c>
      <c r="V164" s="4">
        <f t="shared" si="28"/>
        <v>41897</v>
      </c>
      <c r="W164" s="5">
        <f t="shared" ca="1" si="27"/>
        <v>0.2795662487292444</v>
      </c>
      <c r="Z164" s="4" t="e">
        <f>IF(Sheet3!$A164="",MATCH("Error",AF164,0),Sheet3!$A164)</f>
        <v>#N/A</v>
      </c>
      <c r="AA164" s="5" t="str">
        <f ca="1">IF(OFFSET(Sheet3!$A$1,0,MATCH(W$1,Sheet3!$1:$1,0)-1,300)="","",OFFSET(Sheet3!$A$1,0,MATCH(W$1,Sheet3!$1:$1,0)-1,300))</f>
        <v/>
      </c>
      <c r="AB164" s="5" t="str">
        <f ca="1">IF(OFFSET(Sheet3!$A$1,0,MATCH(X$1,Sheet3!$1:$1,0)-1,300)="","",OFFSET(Sheet3!$A$1,0,MATCH(X$1,Sheet3!$1:$1,0)-1,300))</f>
        <v/>
      </c>
      <c r="AC164" t="str">
        <f t="shared" ca="1" si="24"/>
        <v/>
      </c>
      <c r="AD164" t="str">
        <f t="shared" ca="1" si="25"/>
        <v/>
      </c>
    </row>
    <row r="165" spans="1:30" x14ac:dyDescent="0.25">
      <c r="A165" s="4">
        <v>41894</v>
      </c>
      <c r="B165">
        <v>0.80100000000000005</v>
      </c>
      <c r="C165" s="5">
        <v>1.278</v>
      </c>
      <c r="D165">
        <v>1.968</v>
      </c>
      <c r="E165">
        <v>2.3763000000000001</v>
      </c>
      <c r="F165">
        <v>2.7452999999999999</v>
      </c>
      <c r="G165">
        <v>3.3359999999999999</v>
      </c>
      <c r="H165">
        <f t="shared" ca="1" si="32"/>
        <v>0.43801180727480477</v>
      </c>
      <c r="I165">
        <f t="shared" ca="1" si="32"/>
        <v>0.35488350563184695</v>
      </c>
      <c r="J165">
        <f t="shared" ca="1" si="32"/>
        <v>0.27218934911242604</v>
      </c>
      <c r="K165">
        <f t="shared" ca="1" si="32"/>
        <v>0.20999845702823647</v>
      </c>
      <c r="L165">
        <f t="shared" ca="1" si="32"/>
        <v>0.1610650887573965</v>
      </c>
      <c r="M165">
        <f t="shared" ca="1" si="32"/>
        <v>0.27826620323042334</v>
      </c>
      <c r="N165">
        <f t="shared" ca="1" si="32"/>
        <v>0.19839650145772603</v>
      </c>
      <c r="O165">
        <f t="shared" ca="1" si="32"/>
        <v>0.14556213017751471</v>
      </c>
      <c r="P165">
        <f t="shared" ca="1" si="32"/>
        <v>0.17930029154518942</v>
      </c>
      <c r="Q165">
        <f t="shared" ca="1" si="32"/>
        <v>0.269736842105263</v>
      </c>
      <c r="R165">
        <f t="shared" ca="1" si="31"/>
        <v>0.57881656804733728</v>
      </c>
      <c r="S165">
        <f t="shared" ca="1" si="31"/>
        <v>0.30662721893491124</v>
      </c>
      <c r="T165">
        <f t="shared" ca="1" si="31"/>
        <v>0.37769679300291542</v>
      </c>
      <c r="V165" s="4">
        <f t="shared" si="28"/>
        <v>41894</v>
      </c>
      <c r="W165" s="5">
        <f t="shared" ca="1" si="27"/>
        <v>0.27826620323042334</v>
      </c>
      <c r="Z165" s="4" t="e">
        <f>IF(Sheet3!$A165="",MATCH("Error",AF165,0),Sheet3!$A165)</f>
        <v>#N/A</v>
      </c>
      <c r="AA165" s="5" t="str">
        <f ca="1">IF(OFFSET(Sheet3!$A$1,0,MATCH(W$1,Sheet3!$1:$1,0)-1,300)="","",OFFSET(Sheet3!$A$1,0,MATCH(W$1,Sheet3!$1:$1,0)-1,300))</f>
        <v/>
      </c>
      <c r="AB165" s="5" t="str">
        <f ca="1">IF(OFFSET(Sheet3!$A$1,0,MATCH(X$1,Sheet3!$1:$1,0)-1,300)="","",OFFSET(Sheet3!$A$1,0,MATCH(X$1,Sheet3!$1:$1,0)-1,300))</f>
        <v/>
      </c>
      <c r="AC165" t="str">
        <f t="shared" ca="1" si="24"/>
        <v/>
      </c>
      <c r="AD165" t="str">
        <f t="shared" ca="1" si="25"/>
        <v/>
      </c>
    </row>
    <row r="166" spans="1:30" x14ac:dyDescent="0.25">
      <c r="A166" s="4">
        <v>41893</v>
      </c>
      <c r="B166">
        <v>0.79749999999999999</v>
      </c>
      <c r="C166" s="5">
        <v>1.2669999999999999</v>
      </c>
      <c r="D166">
        <v>1.9365000000000001</v>
      </c>
      <c r="E166">
        <v>2.3265000000000002</v>
      </c>
      <c r="F166">
        <v>2.6850000000000001</v>
      </c>
      <c r="G166">
        <v>3.2652999999999999</v>
      </c>
      <c r="H166">
        <f t="shared" ca="1" si="32"/>
        <v>0.43786788750817529</v>
      </c>
      <c r="I166">
        <f t="shared" ca="1" si="32"/>
        <v>0.35470198675496695</v>
      </c>
      <c r="J166">
        <f t="shared" ca="1" si="32"/>
        <v>0.27129427020017838</v>
      </c>
      <c r="K166">
        <f t="shared" ca="1" si="32"/>
        <v>0.20662251655629144</v>
      </c>
      <c r="L166">
        <f t="shared" ca="1" si="32"/>
        <v>0.15803549720398741</v>
      </c>
      <c r="M166">
        <f t="shared" ca="1" si="32"/>
        <v>0.27503526093088865</v>
      </c>
      <c r="N166">
        <f t="shared" ca="1" si="32"/>
        <v>0.19516589100735632</v>
      </c>
      <c r="O166">
        <f t="shared" ca="1" si="32"/>
        <v>0.1452710916605883</v>
      </c>
      <c r="P166">
        <f t="shared" ca="1" si="32"/>
        <v>0.17940249211830048</v>
      </c>
      <c r="Q166">
        <f t="shared" ca="1" si="32"/>
        <v>0.26979229379891623</v>
      </c>
      <c r="R166">
        <f t="shared" ca="1" si="31"/>
        <v>0.57460085906475411</v>
      </c>
      <c r="S166">
        <f t="shared" ca="1" si="31"/>
        <v>0.30330658886457573</v>
      </c>
      <c r="T166">
        <f t="shared" ca="1" si="31"/>
        <v>0.37456838312565677</v>
      </c>
      <c r="V166" s="4">
        <f t="shared" si="28"/>
        <v>41893</v>
      </c>
      <c r="W166" s="5">
        <f t="shared" ca="1" si="27"/>
        <v>0.27503526093088865</v>
      </c>
      <c r="Z166" s="4" t="e">
        <f>IF(Sheet3!$A166="",MATCH("Error",AF166,0),Sheet3!$A166)</f>
        <v>#N/A</v>
      </c>
      <c r="AA166" s="5" t="str">
        <f ca="1">IF(OFFSET(Sheet3!$A$1,0,MATCH(W$1,Sheet3!$1:$1,0)-1,300)="","",OFFSET(Sheet3!$A$1,0,MATCH(W$1,Sheet3!$1:$1,0)-1,300))</f>
        <v/>
      </c>
      <c r="AB166" s="5" t="str">
        <f ca="1">IF(OFFSET(Sheet3!$A$1,0,MATCH(X$1,Sheet3!$1:$1,0)-1,300)="","",OFFSET(Sheet3!$A$1,0,MATCH(X$1,Sheet3!$1:$1,0)-1,300))</f>
        <v/>
      </c>
      <c r="AC166" t="str">
        <f t="shared" ca="1" si="24"/>
        <v/>
      </c>
      <c r="AD166" t="str">
        <f t="shared" ca="1" si="25"/>
        <v/>
      </c>
    </row>
    <row r="167" spans="1:30" x14ac:dyDescent="0.25">
      <c r="A167" s="4">
        <v>41892</v>
      </c>
      <c r="B167">
        <v>0.79300000000000004</v>
      </c>
      <c r="C167" s="5">
        <v>1.2610000000000001</v>
      </c>
      <c r="D167">
        <v>1.9319999999999999</v>
      </c>
      <c r="E167">
        <v>2.3197999999999999</v>
      </c>
      <c r="F167">
        <v>2.6757999999999997</v>
      </c>
      <c r="G167">
        <v>3.26</v>
      </c>
      <c r="H167">
        <f t="shared" ca="1" si="32"/>
        <v>0.43948126801152732</v>
      </c>
      <c r="I167">
        <f t="shared" ca="1" si="32"/>
        <v>0.3563841087741661</v>
      </c>
      <c r="J167">
        <f t="shared" ca="1" si="32"/>
        <v>0.27199027158492095</v>
      </c>
      <c r="K167">
        <f t="shared" ca="1" si="32"/>
        <v>0.20596983216486084</v>
      </c>
      <c r="L167">
        <f t="shared" ca="1" si="32"/>
        <v>0.15719497365220916</v>
      </c>
      <c r="M167">
        <f t="shared" ca="1" si="32"/>
        <v>0.27410234662143063</v>
      </c>
      <c r="N167">
        <f t="shared" ca="1" si="32"/>
        <v>0.19399699849924962</v>
      </c>
      <c r="O167">
        <f t="shared" ca="1" si="32"/>
        <v>0.14430482367247666</v>
      </c>
      <c r="P167">
        <f t="shared" ca="1" si="32"/>
        <v>0.1780890445222611</v>
      </c>
      <c r="Q167">
        <f t="shared" ca="1" si="32"/>
        <v>0.26807228915662645</v>
      </c>
      <c r="R167">
        <f t="shared" ca="1" si="31"/>
        <v>0.57349006890960674</v>
      </c>
      <c r="S167">
        <f t="shared" ca="1" si="31"/>
        <v>0.30149979732468579</v>
      </c>
      <c r="T167">
        <f t="shared" ca="1" si="31"/>
        <v>0.37208604302151072</v>
      </c>
      <c r="V167" s="4">
        <f t="shared" si="28"/>
        <v>41892</v>
      </c>
      <c r="W167" s="5">
        <f t="shared" ca="1" si="27"/>
        <v>0.27410234662143063</v>
      </c>
      <c r="Z167" s="4" t="e">
        <f>IF(Sheet3!$A167="",MATCH("Error",AF167,0),Sheet3!$A167)</f>
        <v>#N/A</v>
      </c>
      <c r="AA167" s="5" t="str">
        <f ca="1">IF(OFFSET(Sheet3!$A$1,0,MATCH(W$1,Sheet3!$1:$1,0)-1,300)="","",OFFSET(Sheet3!$A$1,0,MATCH(W$1,Sheet3!$1:$1,0)-1,300))</f>
        <v/>
      </c>
      <c r="AB167" s="5" t="str">
        <f ca="1">IF(OFFSET(Sheet3!$A$1,0,MATCH(X$1,Sheet3!$1:$1,0)-1,300)="","",OFFSET(Sheet3!$A$1,0,MATCH(X$1,Sheet3!$1:$1,0)-1,300))</f>
        <v/>
      </c>
      <c r="AC167" t="str">
        <f t="shared" ca="1" si="24"/>
        <v/>
      </c>
      <c r="AD167" t="str">
        <f t="shared" ca="1" si="25"/>
        <v/>
      </c>
    </row>
    <row r="168" spans="1:30" x14ac:dyDescent="0.25">
      <c r="A168" s="4">
        <v>41891</v>
      </c>
      <c r="B168">
        <v>0.77549999999999997</v>
      </c>
      <c r="C168" s="5">
        <v>1.2373000000000001</v>
      </c>
      <c r="D168">
        <v>1.8965999999999998</v>
      </c>
      <c r="E168">
        <v>2.282</v>
      </c>
      <c r="F168">
        <v>2.633</v>
      </c>
      <c r="G168">
        <v>3.2149999999999999</v>
      </c>
      <c r="H168">
        <f t="shared" ca="1" si="32"/>
        <v>0.4376369067374708</v>
      </c>
      <c r="I168">
        <f t="shared" ca="1" si="32"/>
        <v>0.3549394347240914</v>
      </c>
      <c r="J168">
        <f t="shared" ca="1" si="32"/>
        <v>0.27026029924164779</v>
      </c>
      <c r="K168">
        <f t="shared" ca="1" si="32"/>
        <v>0.20748317631224775</v>
      </c>
      <c r="L168">
        <f t="shared" ca="1" si="32"/>
        <v>0.157983193277311</v>
      </c>
      <c r="M168">
        <f t="shared" ca="1" si="32"/>
        <v>0.27613383965035482</v>
      </c>
      <c r="N168">
        <f t="shared" ca="1" si="32"/>
        <v>0.19487283207766609</v>
      </c>
      <c r="O168">
        <f t="shared" ca="1" si="32"/>
        <v>0.14388194302111088</v>
      </c>
      <c r="P168">
        <f t="shared" ca="1" si="32"/>
        <v>0.1774788896192547</v>
      </c>
      <c r="Q168">
        <f t="shared" ca="1" si="32"/>
        <v>0.26623179611650483</v>
      </c>
      <c r="R168">
        <f t="shared" ca="1" si="31"/>
        <v>0.57212543554006967</v>
      </c>
      <c r="S168">
        <f t="shared" ca="1" si="31"/>
        <v>0.30186513629842188</v>
      </c>
      <c r="T168">
        <f t="shared" ca="1" si="31"/>
        <v>0.37235172169692077</v>
      </c>
      <c r="V168" s="4">
        <f t="shared" si="28"/>
        <v>41891</v>
      </c>
      <c r="W168" s="5">
        <f t="shared" ca="1" si="27"/>
        <v>0.27613383965035482</v>
      </c>
      <c r="Z168" s="4" t="e">
        <f>IF(Sheet3!$A168="",MATCH("Error",AF168,0),Sheet3!$A168)</f>
        <v>#N/A</v>
      </c>
      <c r="AA168" s="5" t="str">
        <f ca="1">IF(OFFSET(Sheet3!$A$1,0,MATCH(W$1,Sheet3!$1:$1,0)-1,300)="","",OFFSET(Sheet3!$A$1,0,MATCH(W$1,Sheet3!$1:$1,0)-1,300))</f>
        <v/>
      </c>
      <c r="AB168" s="5" t="str">
        <f ca="1">IF(OFFSET(Sheet3!$A$1,0,MATCH(X$1,Sheet3!$1:$1,0)-1,300)="","",OFFSET(Sheet3!$A$1,0,MATCH(X$1,Sheet3!$1:$1,0)-1,300))</f>
        <v/>
      </c>
      <c r="AC168" t="str">
        <f t="shared" ca="1" si="24"/>
        <v/>
      </c>
      <c r="AD168" t="str">
        <f t="shared" ca="1" si="25"/>
        <v/>
      </c>
    </row>
    <row r="169" spans="1:30" x14ac:dyDescent="0.25">
      <c r="A169" s="4">
        <v>41890</v>
      </c>
      <c r="B169">
        <v>0.754</v>
      </c>
      <c r="C169" s="5">
        <v>1.2044999999999999</v>
      </c>
      <c r="D169">
        <v>1.853</v>
      </c>
      <c r="E169">
        <v>2.2378</v>
      </c>
      <c r="F169">
        <v>2.5949999999999998</v>
      </c>
      <c r="G169">
        <v>3.1974999999999998</v>
      </c>
      <c r="H169">
        <f t="shared" ca="1" si="32"/>
        <v>0.43705351125488617</v>
      </c>
      <c r="I169">
        <f t="shared" ca="1" si="32"/>
        <v>0.35225420966865845</v>
      </c>
      <c r="J169">
        <f t="shared" ca="1" si="32"/>
        <v>0.26539799467976272</v>
      </c>
      <c r="K169">
        <f t="shared" ca="1" si="32"/>
        <v>0.20901683867463339</v>
      </c>
      <c r="L169">
        <f t="shared" ca="1" si="32"/>
        <v>0.15747902598731331</v>
      </c>
      <c r="M169">
        <f t="shared" ca="1" si="32"/>
        <v>0.27673498741459912</v>
      </c>
      <c r="N169">
        <f t="shared" ca="1" si="32"/>
        <v>0.19307576517812347</v>
      </c>
      <c r="O169">
        <f t="shared" ca="1" si="32"/>
        <v>0.14618375281358698</v>
      </c>
      <c r="P169">
        <f t="shared" ca="1" si="32"/>
        <v>0.17922729553437017</v>
      </c>
      <c r="Q169">
        <f t="shared" ca="1" si="32"/>
        <v>0.26567497210859042</v>
      </c>
      <c r="R169">
        <f t="shared" ca="1" si="31"/>
        <v>0.56906077348066297</v>
      </c>
      <c r="S169">
        <f t="shared" ca="1" si="31"/>
        <v>0.30366277880090026</v>
      </c>
      <c r="T169">
        <f t="shared" ca="1" si="31"/>
        <v>0.37230306071249364</v>
      </c>
      <c r="V169" s="4">
        <f t="shared" si="28"/>
        <v>41890</v>
      </c>
      <c r="W169" s="5">
        <f t="shared" ca="1" si="27"/>
        <v>0.27673498741459912</v>
      </c>
      <c r="Z169" s="4" t="e">
        <f>IF(Sheet3!$A169="",MATCH("Error",AF169,0),Sheet3!$A169)</f>
        <v>#N/A</v>
      </c>
      <c r="AA169" s="5" t="str">
        <f ca="1">IF(OFFSET(Sheet3!$A$1,0,MATCH(W$1,Sheet3!$1:$1,0)-1,300)="","",OFFSET(Sheet3!$A$1,0,MATCH(W$1,Sheet3!$1:$1,0)-1,300))</f>
        <v/>
      </c>
      <c r="AB169" s="5" t="str">
        <f ca="1">IF(OFFSET(Sheet3!$A$1,0,MATCH(X$1,Sheet3!$1:$1,0)-1,300)="","",OFFSET(Sheet3!$A$1,0,MATCH(X$1,Sheet3!$1:$1,0)-1,300))</f>
        <v/>
      </c>
      <c r="AC169" t="str">
        <f t="shared" ca="1" si="24"/>
        <v/>
      </c>
      <c r="AD169" t="str">
        <f t="shared" ca="1" si="25"/>
        <v/>
      </c>
    </row>
    <row r="170" spans="1:30" x14ac:dyDescent="0.25">
      <c r="A170" s="4">
        <v>41887</v>
      </c>
      <c r="B170">
        <v>0.72099999999999997</v>
      </c>
      <c r="C170" s="5">
        <v>1.1663000000000001</v>
      </c>
      <c r="D170">
        <v>1.8163</v>
      </c>
      <c r="E170">
        <v>2.2103000000000002</v>
      </c>
      <c r="F170">
        <v>2.5777999999999999</v>
      </c>
      <c r="G170">
        <v>3.1968000000000001</v>
      </c>
      <c r="H170">
        <f t="shared" ca="1" si="32"/>
        <v>0.43644665278990119</v>
      </c>
      <c r="I170">
        <f t="shared" ca="1" si="32"/>
        <v>0.35006462731581212</v>
      </c>
      <c r="J170">
        <f t="shared" ca="1" si="32"/>
        <v>0.26254140075935045</v>
      </c>
      <c r="K170">
        <f t="shared" ca="1" si="32"/>
        <v>0.21219302024989239</v>
      </c>
      <c r="L170">
        <f t="shared" ca="1" si="32"/>
        <v>0.15914047984489868</v>
      </c>
      <c r="M170">
        <f t="shared" ca="1" si="32"/>
        <v>0.27913567127169692</v>
      </c>
      <c r="N170">
        <f t="shared" ca="1" si="32"/>
        <v>0.19404087663137165</v>
      </c>
      <c r="O170">
        <f t="shared" ca="1" si="32"/>
        <v>0.14843686889086344</v>
      </c>
      <c r="P170">
        <f t="shared" ca="1" si="32"/>
        <v>0.18098990396454062</v>
      </c>
      <c r="Q170">
        <f t="shared" ca="1" si="32"/>
        <v>0.26620789568996717</v>
      </c>
      <c r="R170">
        <f t="shared" ca="1" si="31"/>
        <v>0.57011874949511254</v>
      </c>
      <c r="S170">
        <f t="shared" ca="1" si="31"/>
        <v>0.30757734873576209</v>
      </c>
      <c r="T170">
        <f t="shared" ca="1" si="31"/>
        <v>0.37503078059591227</v>
      </c>
      <c r="V170" s="4">
        <f t="shared" si="28"/>
        <v>41887</v>
      </c>
      <c r="W170" s="5">
        <f t="shared" ca="1" si="27"/>
        <v>0.27913567127169692</v>
      </c>
      <c r="Z170" s="4" t="e">
        <f>IF(Sheet3!$A170="",MATCH("Error",AF170,0),Sheet3!$A170)</f>
        <v>#N/A</v>
      </c>
      <c r="AA170" s="5" t="str">
        <f ca="1">IF(OFFSET(Sheet3!$A$1,0,MATCH(W$1,Sheet3!$1:$1,0)-1,300)="","",OFFSET(Sheet3!$A$1,0,MATCH(W$1,Sheet3!$1:$1,0)-1,300))</f>
        <v/>
      </c>
      <c r="AB170" s="5" t="str">
        <f ca="1">IF(OFFSET(Sheet3!$A$1,0,MATCH(X$1,Sheet3!$1:$1,0)-1,300)="","",OFFSET(Sheet3!$A$1,0,MATCH(X$1,Sheet3!$1:$1,0)-1,300))</f>
        <v/>
      </c>
      <c r="AC170" t="str">
        <f t="shared" ca="1" si="24"/>
        <v/>
      </c>
      <c r="AD170" t="str">
        <f t="shared" ca="1" si="25"/>
        <v/>
      </c>
    </row>
    <row r="171" spans="1:30" x14ac:dyDescent="0.25">
      <c r="A171" s="4">
        <v>41886</v>
      </c>
      <c r="B171">
        <v>0.746</v>
      </c>
      <c r="C171" s="5">
        <v>1.1908000000000001</v>
      </c>
      <c r="D171">
        <v>1.8355000000000001</v>
      </c>
      <c r="E171">
        <v>2.2170000000000001</v>
      </c>
      <c r="F171">
        <v>2.573</v>
      </c>
      <c r="G171">
        <v>3.1745000000000001</v>
      </c>
      <c r="H171">
        <f t="shared" ca="1" si="32"/>
        <v>0.43827328348062544</v>
      </c>
      <c r="I171">
        <f t="shared" ca="1" si="32"/>
        <v>0.35287356321839086</v>
      </c>
      <c r="J171">
        <f t="shared" ca="1" si="32"/>
        <v>0.26547251389746757</v>
      </c>
      <c r="K171">
        <f t="shared" ca="1" si="32"/>
        <v>0.20881226053639845</v>
      </c>
      <c r="L171">
        <f t="shared" ca="1" si="32"/>
        <v>0.15709285567222564</v>
      </c>
      <c r="M171">
        <f t="shared" ca="1" si="32"/>
        <v>0.27600926059904501</v>
      </c>
      <c r="N171">
        <f t="shared" ca="1" si="32"/>
        <v>0.19231738670161816</v>
      </c>
      <c r="O171">
        <f t="shared" ca="1" si="32"/>
        <v>0.14659254683961287</v>
      </c>
      <c r="P171">
        <f t="shared" ca="1" si="32"/>
        <v>0.17946262035590052</v>
      </c>
      <c r="Q171">
        <f t="shared" ca="1" si="32"/>
        <v>0.26587005227781918</v>
      </c>
      <c r="R171">
        <f t="shared" ca="1" si="31"/>
        <v>0.56915791640930613</v>
      </c>
      <c r="S171">
        <f t="shared" ca="1" si="31"/>
        <v>0.30368540251183851</v>
      </c>
      <c r="T171">
        <f t="shared" ca="1" si="31"/>
        <v>0.37178000705751868</v>
      </c>
      <c r="V171" s="4">
        <f t="shared" si="28"/>
        <v>41886</v>
      </c>
      <c r="W171" s="5">
        <f t="shared" ca="1" si="27"/>
        <v>0.27600926059904501</v>
      </c>
      <c r="Z171" s="4" t="e">
        <f>IF(Sheet3!$A171="",MATCH("Error",AF171,0),Sheet3!$A171)</f>
        <v>#N/A</v>
      </c>
      <c r="AA171" s="5" t="str">
        <f ca="1">IF(OFFSET(Sheet3!$A$1,0,MATCH(W$1,Sheet3!$1:$1,0)-1,300)="","",OFFSET(Sheet3!$A$1,0,MATCH(W$1,Sheet3!$1:$1,0)-1,300))</f>
        <v/>
      </c>
      <c r="AB171" s="5" t="str">
        <f ca="1">IF(OFFSET(Sheet3!$A$1,0,MATCH(X$1,Sheet3!$1:$1,0)-1,300)="","",OFFSET(Sheet3!$A$1,0,MATCH(X$1,Sheet3!$1:$1,0)-1,300))</f>
        <v/>
      </c>
      <c r="AC171" t="str">
        <f t="shared" ca="1" si="24"/>
        <v/>
      </c>
      <c r="AD171" t="str">
        <f t="shared" ca="1" si="25"/>
        <v/>
      </c>
    </row>
    <row r="172" spans="1:30" x14ac:dyDescent="0.25">
      <c r="A172" s="4">
        <v>41885</v>
      </c>
      <c r="B172">
        <v>0.72829999999999995</v>
      </c>
      <c r="C172" s="5">
        <v>1.1675</v>
      </c>
      <c r="D172">
        <v>1.7915000000000001</v>
      </c>
      <c r="E172">
        <v>2.1657999999999999</v>
      </c>
      <c r="F172">
        <v>2.5158</v>
      </c>
      <c r="G172">
        <v>3.105</v>
      </c>
      <c r="H172">
        <f t="shared" ca="1" si="32"/>
        <v>0.43408695652173923</v>
      </c>
      <c r="I172">
        <f t="shared" ca="1" si="32"/>
        <v>0.34909090909090912</v>
      </c>
      <c r="J172">
        <f t="shared" ca="1" si="32"/>
        <v>0.26254891235747047</v>
      </c>
      <c r="K172">
        <f t="shared" ca="1" si="32"/>
        <v>0.20939860139860131</v>
      </c>
      <c r="L172">
        <f t="shared" ca="1" si="32"/>
        <v>0.15748727226827106</v>
      </c>
      <c r="M172">
        <f t="shared" ca="1" si="32"/>
        <v>0.27760884076244147</v>
      </c>
      <c r="N172">
        <f t="shared" ca="1" si="32"/>
        <v>0.19318709677419346</v>
      </c>
      <c r="O172">
        <f t="shared" ca="1" si="32"/>
        <v>0.14726301173896583</v>
      </c>
      <c r="P172">
        <f t="shared" ca="1" si="32"/>
        <v>0.18064516129032263</v>
      </c>
      <c r="Q172">
        <f t="shared" ca="1" si="32"/>
        <v>0.26646364674533696</v>
      </c>
      <c r="R172">
        <f t="shared" ca="1" si="31"/>
        <v>0.56729919636470738</v>
      </c>
      <c r="S172">
        <f t="shared" ca="1" si="31"/>
        <v>0.30475028400723692</v>
      </c>
      <c r="T172">
        <f t="shared" ca="1" si="31"/>
        <v>0.37383225806451609</v>
      </c>
      <c r="V172" s="4">
        <f t="shared" si="28"/>
        <v>41885</v>
      </c>
      <c r="W172" s="5">
        <f t="shared" ca="1" si="27"/>
        <v>0.27760884076244147</v>
      </c>
      <c r="Z172" s="4" t="e">
        <f>IF(Sheet3!$A172="",MATCH("Error",AF172,0),Sheet3!$A172)</f>
        <v>#N/A</v>
      </c>
      <c r="AA172" s="5" t="str">
        <f ca="1">IF(OFFSET(Sheet3!$A$1,0,MATCH(W$1,Sheet3!$1:$1,0)-1,300)="","",OFFSET(Sheet3!$A$1,0,MATCH(W$1,Sheet3!$1:$1,0)-1,300))</f>
        <v/>
      </c>
      <c r="AB172" s="5" t="str">
        <f ca="1">IF(OFFSET(Sheet3!$A$1,0,MATCH(X$1,Sheet3!$1:$1,0)-1,300)="","",OFFSET(Sheet3!$A$1,0,MATCH(X$1,Sheet3!$1:$1,0)-1,300))</f>
        <v/>
      </c>
      <c r="AC172" t="str">
        <f t="shared" ca="1" si="24"/>
        <v/>
      </c>
      <c r="AD172" t="str">
        <f t="shared" ca="1" si="25"/>
        <v/>
      </c>
    </row>
    <row r="173" spans="1:30" x14ac:dyDescent="0.25">
      <c r="A173" s="4">
        <v>41884</v>
      </c>
      <c r="B173">
        <v>0.73650000000000004</v>
      </c>
      <c r="C173" s="5">
        <v>1.181</v>
      </c>
      <c r="D173">
        <v>1.8134999999999999</v>
      </c>
      <c r="E173">
        <v>2.1935000000000002</v>
      </c>
      <c r="F173">
        <v>2.552</v>
      </c>
      <c r="G173">
        <v>3.1459999999999999</v>
      </c>
      <c r="H173">
        <f t="shared" ref="H173:Q182" ca="1" si="33">IF(ISERROR(ABS(OFFSET($A$11,ROW()-11,MATCH(LEFT(H$9,2),$A$11:$G$11,0)-1)-OFFSET($A$11,ROW()-11,MATCH(RIGHT(H$9,2),$A$11:$G$11,0)-1))/ABS(OFFSET($A$11,ROW()-11,MATCH(LEFT(H$10,2),$A$11:$G$11,0)-1)-OFFSET($A$11,ROW()-11,MATCH(RIGHT(H$10,2),$A$11:$G$11,0)-1))),"",ABS(OFFSET($A$11,ROW()-11,MATCH(LEFT(H$9,2),$A$11:$G$11,0)-1)-OFFSET($A$11,ROW()-11,MATCH(RIGHT(H$9,2),$A$11:$G$11,0)-1))/ABS(OFFSET($A$11,ROW()-11,MATCH(LEFT(H$10,2),$A$11:$G$11,0)-1)-OFFSET($A$11,ROW()-11,MATCH(RIGHT(H$10,2),$A$11:$G$11,0)-1)))</f>
        <v>0.43411118737131071</v>
      </c>
      <c r="I173">
        <f t="shared" ca="1" si="33"/>
        <v>0.34838887358854298</v>
      </c>
      <c r="J173">
        <f t="shared" ca="1" si="33"/>
        <v>0.26250259389914915</v>
      </c>
      <c r="K173">
        <f t="shared" ca="1" si="33"/>
        <v>0.20930873037730671</v>
      </c>
      <c r="L173">
        <f t="shared" ca="1" si="33"/>
        <v>0.15770906827142575</v>
      </c>
      <c r="M173">
        <f t="shared" ca="1" si="33"/>
        <v>0.27716994894237806</v>
      </c>
      <c r="N173">
        <f t="shared" ca="1" si="33"/>
        <v>0.19338422391857524</v>
      </c>
      <c r="O173">
        <f t="shared" ca="1" si="33"/>
        <v>0.14878605519817381</v>
      </c>
      <c r="P173">
        <f t="shared" ca="1" si="33"/>
        <v>0.18244274809160296</v>
      </c>
      <c r="Q173">
        <f t="shared" ca="1" si="33"/>
        <v>0.26904315196998108</v>
      </c>
      <c r="R173">
        <f t="shared" ca="1" si="31"/>
        <v>0.56899771736874871</v>
      </c>
      <c r="S173">
        <f t="shared" ca="1" si="31"/>
        <v>0.30649512346959956</v>
      </c>
      <c r="T173">
        <f t="shared" ca="1" si="31"/>
        <v>0.37582697201017823</v>
      </c>
      <c r="V173" s="4">
        <f t="shared" si="28"/>
        <v>41884</v>
      </c>
      <c r="W173" s="5">
        <f t="shared" ca="1" si="27"/>
        <v>0.27716994894237806</v>
      </c>
      <c r="Z173" s="4" t="e">
        <f>IF(Sheet3!$A173="",MATCH("Error",AF173,0),Sheet3!$A173)</f>
        <v>#N/A</v>
      </c>
      <c r="AA173" s="5" t="str">
        <f ca="1">IF(OFFSET(Sheet3!$A$1,0,MATCH(W$1,Sheet3!$1:$1,0)-1,300)="","",OFFSET(Sheet3!$A$1,0,MATCH(W$1,Sheet3!$1:$1,0)-1,300))</f>
        <v/>
      </c>
      <c r="AB173" s="5" t="str">
        <f ca="1">IF(OFFSET(Sheet3!$A$1,0,MATCH(X$1,Sheet3!$1:$1,0)-1,300)="","",OFFSET(Sheet3!$A$1,0,MATCH(X$1,Sheet3!$1:$1,0)-1,300))</f>
        <v/>
      </c>
      <c r="AC173" t="str">
        <f t="shared" ca="1" si="24"/>
        <v/>
      </c>
      <c r="AD173" t="str">
        <f t="shared" ca="1" si="25"/>
        <v/>
      </c>
    </row>
    <row r="174" spans="1:30" x14ac:dyDescent="0.25">
      <c r="A174" s="4">
        <v>41883</v>
      </c>
      <c r="B174">
        <v>0.71799999999999997</v>
      </c>
      <c r="C174" s="5">
        <v>1.1613</v>
      </c>
      <c r="D174">
        <v>1.7734000000000001</v>
      </c>
      <c r="E174">
        <v>2.1425999999999998</v>
      </c>
      <c r="F174">
        <v>2.4939</v>
      </c>
      <c r="G174">
        <v>3.0667</v>
      </c>
      <c r="H174">
        <f t="shared" ca="1" si="33"/>
        <v>0.42966446721886858</v>
      </c>
      <c r="I174">
        <f t="shared" ca="1" si="33"/>
        <v>0.3446703080128386</v>
      </c>
      <c r="J174">
        <f t="shared" ca="1" si="33"/>
        <v>0.26061225358709078</v>
      </c>
      <c r="K174">
        <f t="shared" ca="1" si="33"/>
        <v>0.20789458865927121</v>
      </c>
      <c r="L174">
        <f t="shared" ca="1" si="33"/>
        <v>0.15719334099714724</v>
      </c>
      <c r="M174">
        <f t="shared" ca="1" si="33"/>
        <v>0.27705237880834438</v>
      </c>
      <c r="N174">
        <f t="shared" ca="1" si="33"/>
        <v>0.19376508869528694</v>
      </c>
      <c r="O174">
        <f t="shared" ca="1" si="33"/>
        <v>0.14957210371694987</v>
      </c>
      <c r="P174">
        <f t="shared" ca="1" si="33"/>
        <v>0.18437073580350591</v>
      </c>
      <c r="Q174">
        <f t="shared" ca="1" si="33"/>
        <v>0.2716307121317561</v>
      </c>
      <c r="R174">
        <f t="shared" ca="1" si="31"/>
        <v>0.56737769830118789</v>
      </c>
      <c r="S174">
        <f t="shared" ca="1" si="31"/>
        <v>0.30676544471409711</v>
      </c>
      <c r="T174">
        <f t="shared" ca="1" si="31"/>
        <v>0.37813582449879285</v>
      </c>
      <c r="V174" s="4">
        <f t="shared" si="28"/>
        <v>41883</v>
      </c>
      <c r="W174" s="5">
        <f t="shared" ca="1" si="27"/>
        <v>0.27705237880834438</v>
      </c>
      <c r="Z174" s="4" t="e">
        <f>IF(Sheet3!$A174="",MATCH("Error",AF174,0),Sheet3!$A174)</f>
        <v>#N/A</v>
      </c>
      <c r="AA174" s="5" t="str">
        <f ca="1">IF(OFFSET(Sheet3!$A$1,0,MATCH(W$1,Sheet3!$1:$1,0)-1,300)="","",OFFSET(Sheet3!$A$1,0,MATCH(W$1,Sheet3!$1:$1,0)-1,300))</f>
        <v/>
      </c>
      <c r="AB174" s="5" t="str">
        <f ca="1">IF(OFFSET(Sheet3!$A$1,0,MATCH(X$1,Sheet3!$1:$1,0)-1,300)="","",OFFSET(Sheet3!$A$1,0,MATCH(X$1,Sheet3!$1:$1,0)-1,300))</f>
        <v/>
      </c>
      <c r="AC174" t="str">
        <f t="shared" ca="1" si="24"/>
        <v/>
      </c>
      <c r="AD174" t="str">
        <f t="shared" ca="1" si="25"/>
        <v/>
      </c>
    </row>
    <row r="175" spans="1:30" x14ac:dyDescent="0.25">
      <c r="A175" s="4">
        <v>41880</v>
      </c>
      <c r="B175">
        <v>0.71350000000000002</v>
      </c>
      <c r="C175" s="5">
        <v>1.1545000000000001</v>
      </c>
      <c r="D175">
        <v>1.7749999999999999</v>
      </c>
      <c r="E175">
        <v>2.1455000000000002</v>
      </c>
      <c r="F175">
        <v>2.4980000000000002</v>
      </c>
      <c r="G175">
        <v>3.0678000000000001</v>
      </c>
      <c r="H175">
        <f t="shared" ca="1" si="33"/>
        <v>0.43331005586592164</v>
      </c>
      <c r="I175">
        <f t="shared" ca="1" si="33"/>
        <v>0.34771644718408506</v>
      </c>
      <c r="J175">
        <f t="shared" ca="1" si="33"/>
        <v>0.26356029393025515</v>
      </c>
      <c r="K175">
        <f t="shared" ca="1" si="33"/>
        <v>0.20762118240403488</v>
      </c>
      <c r="L175">
        <f t="shared" ca="1" si="33"/>
        <v>0.15737161789066823</v>
      </c>
      <c r="M175">
        <f t="shared" ca="1" si="33"/>
        <v>0.27577223669519929</v>
      </c>
      <c r="N175">
        <f t="shared" ca="1" si="33"/>
        <v>0.19364448857994057</v>
      </c>
      <c r="O175">
        <f t="shared" ca="1" si="33"/>
        <v>0.14972603321581787</v>
      </c>
      <c r="P175">
        <f t="shared" ca="1" si="33"/>
        <v>0.18423665917524698</v>
      </c>
      <c r="Q175">
        <f t="shared" ca="1" si="33"/>
        <v>0.27266398514851486</v>
      </c>
      <c r="R175">
        <f t="shared" ca="1" si="31"/>
        <v>0.57065794503674128</v>
      </c>
      <c r="S175">
        <f t="shared" ca="1" si="31"/>
        <v>0.30709765110648612</v>
      </c>
      <c r="T175">
        <f t="shared" ca="1" si="31"/>
        <v>0.37788114775518755</v>
      </c>
      <c r="V175" s="4">
        <f t="shared" si="28"/>
        <v>41880</v>
      </c>
      <c r="W175" s="5">
        <f t="shared" ca="1" si="27"/>
        <v>0.27577223669519929</v>
      </c>
      <c r="Z175" s="4" t="e">
        <f>IF(Sheet3!$A175="",MATCH("Error",AF175,0),Sheet3!$A175)</f>
        <v>#N/A</v>
      </c>
      <c r="AA175" s="5" t="str">
        <f ca="1">IF(OFFSET(Sheet3!$A$1,0,MATCH(W$1,Sheet3!$1:$1,0)-1,300)="","",OFFSET(Sheet3!$A$1,0,MATCH(W$1,Sheet3!$1:$1,0)-1,300))</f>
        <v/>
      </c>
      <c r="AB175" s="5" t="str">
        <f ca="1">IF(OFFSET(Sheet3!$A$1,0,MATCH(X$1,Sheet3!$1:$1,0)-1,300)="","",OFFSET(Sheet3!$A$1,0,MATCH(X$1,Sheet3!$1:$1,0)-1,300))</f>
        <v/>
      </c>
      <c r="AC175" t="str">
        <f t="shared" ca="1" si="24"/>
        <v/>
      </c>
      <c r="AD175" t="str">
        <f t="shared" ca="1" si="25"/>
        <v/>
      </c>
    </row>
    <row r="176" spans="1:30" x14ac:dyDescent="0.25">
      <c r="A176" s="4">
        <v>41879</v>
      </c>
      <c r="B176">
        <v>0.71550000000000002</v>
      </c>
      <c r="C176" s="5">
        <v>1.153</v>
      </c>
      <c r="D176">
        <v>1.774</v>
      </c>
      <c r="E176">
        <v>2.1415000000000002</v>
      </c>
      <c r="F176">
        <v>2.4904999999999999</v>
      </c>
      <c r="G176">
        <v>3.0625</v>
      </c>
      <c r="H176">
        <f t="shared" ca="1" si="33"/>
        <v>0.43548387096774188</v>
      </c>
      <c r="I176">
        <f t="shared" ca="1" si="33"/>
        <v>0.34985915492957748</v>
      </c>
      <c r="J176">
        <f t="shared" ca="1" si="33"/>
        <v>0.26459309757136773</v>
      </c>
      <c r="K176">
        <f t="shared" ca="1" si="33"/>
        <v>0.20704225352112687</v>
      </c>
      <c r="L176">
        <f t="shared" ca="1" si="33"/>
        <v>0.15658287175117178</v>
      </c>
      <c r="M176">
        <f t="shared" ca="1" si="33"/>
        <v>0.27476635514018705</v>
      </c>
      <c r="N176">
        <f t="shared" ca="1" si="33"/>
        <v>0.19245875883739208</v>
      </c>
      <c r="O176">
        <f t="shared" ca="1" si="33"/>
        <v>0.14870046868342554</v>
      </c>
      <c r="P176">
        <f t="shared" ca="1" si="33"/>
        <v>0.1827703587326524</v>
      </c>
      <c r="Q176">
        <f t="shared" ca="1" si="33"/>
        <v>0.27085758634070606</v>
      </c>
      <c r="R176">
        <f t="shared" ca="1" si="31"/>
        <v>0.56987643800596499</v>
      </c>
      <c r="S176">
        <f t="shared" ca="1" si="31"/>
        <v>0.30528334043459732</v>
      </c>
      <c r="T176">
        <f t="shared" ca="1" si="31"/>
        <v>0.37522911757004446</v>
      </c>
      <c r="V176" s="4">
        <f t="shared" si="28"/>
        <v>41879</v>
      </c>
      <c r="W176" s="5">
        <f t="shared" ca="1" si="27"/>
        <v>0.27476635514018705</v>
      </c>
      <c r="Z176" s="4" t="e">
        <f>IF(Sheet3!$A176="",MATCH("Error",AF176,0),Sheet3!$A176)</f>
        <v>#N/A</v>
      </c>
      <c r="AA176" s="5" t="str">
        <f ca="1">IF(OFFSET(Sheet3!$A$1,0,MATCH(W$1,Sheet3!$1:$1,0)-1,300)="","",OFFSET(Sheet3!$A$1,0,MATCH(W$1,Sheet3!$1:$1,0)-1,300))</f>
        <v/>
      </c>
      <c r="AB176" s="5" t="str">
        <f ca="1">IF(OFFSET(Sheet3!$A$1,0,MATCH(X$1,Sheet3!$1:$1,0)-1,300)="","",OFFSET(Sheet3!$A$1,0,MATCH(X$1,Sheet3!$1:$1,0)-1,300))</f>
        <v/>
      </c>
      <c r="AC176" t="str">
        <f t="shared" ca="1" si="24"/>
        <v/>
      </c>
      <c r="AD176" t="str">
        <f t="shared" ca="1" si="25"/>
        <v/>
      </c>
    </row>
    <row r="177" spans="1:30" x14ac:dyDescent="0.25">
      <c r="A177" s="4">
        <v>41878</v>
      </c>
      <c r="B177">
        <v>0.71550000000000002</v>
      </c>
      <c r="C177" s="5">
        <v>1.1505000000000001</v>
      </c>
      <c r="D177">
        <v>1.7835999999999999</v>
      </c>
      <c r="E177">
        <v>2.1537999999999999</v>
      </c>
      <c r="F177">
        <v>2.5042999999999997</v>
      </c>
      <c r="G177">
        <v>3.0834999999999999</v>
      </c>
      <c r="H177">
        <f t="shared" ca="1" si="33"/>
        <v>0.44017242578043508</v>
      </c>
      <c r="I177">
        <f t="shared" ca="1" si="33"/>
        <v>0.35392441860465107</v>
      </c>
      <c r="J177">
        <f t="shared" ca="1" si="33"/>
        <v>0.26735641891891881</v>
      </c>
      <c r="K177">
        <f t="shared" ca="1" si="33"/>
        <v>0.20695438282647594</v>
      </c>
      <c r="L177">
        <f t="shared" ca="1" si="33"/>
        <v>0.15633445945945951</v>
      </c>
      <c r="M177">
        <f t="shared" ca="1" si="33"/>
        <v>0.2734525040626386</v>
      </c>
      <c r="N177">
        <f t="shared" ca="1" si="33"/>
        <v>0.19151577858251428</v>
      </c>
      <c r="O177">
        <f t="shared" ca="1" si="33"/>
        <v>0.14801520270270263</v>
      </c>
      <c r="P177">
        <f t="shared" ca="1" si="33"/>
        <v>0.18132436627004647</v>
      </c>
      <c r="Q177">
        <f t="shared" ca="1" si="33"/>
        <v>0.26963612585583491</v>
      </c>
      <c r="R177">
        <f t="shared" ca="1" si="31"/>
        <v>0.57170608108108101</v>
      </c>
      <c r="S177">
        <f t="shared" ca="1" si="31"/>
        <v>0.30434966216216214</v>
      </c>
      <c r="T177">
        <f t="shared" ca="1" si="31"/>
        <v>0.37284014485256078</v>
      </c>
      <c r="V177" s="4">
        <f t="shared" si="28"/>
        <v>41878</v>
      </c>
      <c r="W177" s="5">
        <f t="shared" ca="1" si="27"/>
        <v>0.2734525040626386</v>
      </c>
      <c r="Z177" s="4" t="e">
        <f>IF(Sheet3!$A177="",MATCH("Error",AF177,0),Sheet3!$A177)</f>
        <v>#N/A</v>
      </c>
      <c r="AA177" s="5" t="str">
        <f ca="1">IF(OFFSET(Sheet3!$A$1,0,MATCH(W$1,Sheet3!$1:$1,0)-1,300)="","",OFFSET(Sheet3!$A$1,0,MATCH(W$1,Sheet3!$1:$1,0)-1,300))</f>
        <v/>
      </c>
      <c r="AB177" s="5" t="str">
        <f ca="1">IF(OFFSET(Sheet3!$A$1,0,MATCH(X$1,Sheet3!$1:$1,0)-1,300)="","",OFFSET(Sheet3!$A$1,0,MATCH(X$1,Sheet3!$1:$1,0)-1,300))</f>
        <v/>
      </c>
      <c r="AC177" t="str">
        <f t="shared" ca="1" si="24"/>
        <v/>
      </c>
      <c r="AD177" t="str">
        <f t="shared" ca="1" si="25"/>
        <v/>
      </c>
    </row>
    <row r="178" spans="1:30" x14ac:dyDescent="0.25">
      <c r="A178" s="4">
        <v>41877</v>
      </c>
      <c r="B178">
        <v>0.71850000000000003</v>
      </c>
      <c r="C178" s="5">
        <v>1.1595</v>
      </c>
      <c r="D178">
        <v>1.8023</v>
      </c>
      <c r="E178">
        <v>2.1798000000000002</v>
      </c>
      <c r="F178">
        <v>2.5380000000000003</v>
      </c>
      <c r="G178">
        <v>3.1383000000000001</v>
      </c>
      <c r="H178">
        <f t="shared" ca="1" si="33"/>
        <v>0.43988229658523231</v>
      </c>
      <c r="I178">
        <f t="shared" ca="1" si="33"/>
        <v>0.35328386919483373</v>
      </c>
      <c r="J178">
        <f t="shared" ca="1" si="33"/>
        <v>0.26564178857756843</v>
      </c>
      <c r="K178">
        <f t="shared" ca="1" si="33"/>
        <v>0.20747458092882667</v>
      </c>
      <c r="L178">
        <f t="shared" ca="1" si="33"/>
        <v>0.15600462848169278</v>
      </c>
      <c r="M178">
        <f t="shared" ca="1" si="33"/>
        <v>0.273848385926732</v>
      </c>
      <c r="N178">
        <f t="shared" ca="1" si="33"/>
        <v>0.19077218516272496</v>
      </c>
      <c r="O178">
        <f t="shared" ca="1" si="33"/>
        <v>0.14802876270766183</v>
      </c>
      <c r="P178">
        <f t="shared" ca="1" si="33"/>
        <v>0.18101879927228626</v>
      </c>
      <c r="Q178">
        <f t="shared" ca="1" si="33"/>
        <v>0.26811377245508988</v>
      </c>
      <c r="R178">
        <f t="shared" ca="1" si="31"/>
        <v>0.56967517976692306</v>
      </c>
      <c r="S178">
        <f t="shared" ca="1" si="31"/>
        <v>0.30403339118935457</v>
      </c>
      <c r="T178">
        <f t="shared" ca="1" si="31"/>
        <v>0.37179098443501124</v>
      </c>
      <c r="V178" s="4">
        <f t="shared" si="28"/>
        <v>41877</v>
      </c>
      <c r="W178" s="5">
        <f t="shared" ca="1" si="27"/>
        <v>0.273848385926732</v>
      </c>
      <c r="Z178" s="4" t="e">
        <f>IF(Sheet3!$A178="",MATCH("Error",AF178,0),Sheet3!$A178)</f>
        <v>#N/A</v>
      </c>
      <c r="AA178" s="5" t="str">
        <f ca="1">IF(OFFSET(Sheet3!$A$1,0,MATCH(W$1,Sheet3!$1:$1,0)-1,300)="","",OFFSET(Sheet3!$A$1,0,MATCH(W$1,Sheet3!$1:$1,0)-1,300))</f>
        <v/>
      </c>
      <c r="AB178" s="5" t="str">
        <f ca="1">IF(OFFSET(Sheet3!$A$1,0,MATCH(X$1,Sheet3!$1:$1,0)-1,300)="","",OFFSET(Sheet3!$A$1,0,MATCH(X$1,Sheet3!$1:$1,0)-1,300))</f>
        <v/>
      </c>
      <c r="AC178" t="str">
        <f t="shared" ca="1" si="24"/>
        <v/>
      </c>
      <c r="AD178" t="str">
        <f t="shared" ca="1" si="25"/>
        <v/>
      </c>
    </row>
    <row r="179" spans="1:30" x14ac:dyDescent="0.25">
      <c r="A179" s="4">
        <v>41876</v>
      </c>
      <c r="B179">
        <v>0.72499999999999998</v>
      </c>
      <c r="C179" s="5">
        <v>1.1705000000000001</v>
      </c>
      <c r="D179">
        <v>1.8069999999999999</v>
      </c>
      <c r="E179">
        <v>2.1739999999999999</v>
      </c>
      <c r="F179">
        <v>2.5234999999999999</v>
      </c>
      <c r="G179">
        <v>3.1114000000000002</v>
      </c>
      <c r="H179">
        <f t="shared" ca="1" si="33"/>
        <v>0.43926846100759137</v>
      </c>
      <c r="I179">
        <f t="shared" ca="1" si="33"/>
        <v>0.35390603280511534</v>
      </c>
      <c r="J179">
        <f t="shared" ca="1" si="33"/>
        <v>0.26671974522292985</v>
      </c>
      <c r="K179">
        <f t="shared" ca="1" si="33"/>
        <v>0.20405893800389216</v>
      </c>
      <c r="L179">
        <f t="shared" ca="1" si="33"/>
        <v>0.1537881327522628</v>
      </c>
      <c r="M179">
        <f t="shared" ca="1" si="33"/>
        <v>0.27124907612712496</v>
      </c>
      <c r="N179">
        <f t="shared" ca="1" si="33"/>
        <v>0.1890875367097738</v>
      </c>
      <c r="O179">
        <f t="shared" ca="1" si="33"/>
        <v>0.14645491116325843</v>
      </c>
      <c r="P179">
        <f t="shared" ca="1" si="33"/>
        <v>0.180071101035602</v>
      </c>
      <c r="Q179">
        <f t="shared" ca="1" si="33"/>
        <v>0.26793928242870274</v>
      </c>
      <c r="R179">
        <f t="shared" ca="1" si="31"/>
        <v>0.56696278913845111</v>
      </c>
      <c r="S179">
        <f t="shared" ca="1" si="31"/>
        <v>0.30024304391552126</v>
      </c>
      <c r="T179">
        <f t="shared" ca="1" si="31"/>
        <v>0.36915863774537577</v>
      </c>
      <c r="V179" s="4">
        <f t="shared" si="28"/>
        <v>41876</v>
      </c>
      <c r="W179" s="5">
        <f t="shared" ca="1" si="27"/>
        <v>0.27124907612712496</v>
      </c>
      <c r="Z179" s="4" t="e">
        <f>IF(Sheet3!$A179="",MATCH("Error",AF179,0),Sheet3!$A179)</f>
        <v>#N/A</v>
      </c>
      <c r="AA179" s="5" t="str">
        <f ca="1">IF(OFFSET(Sheet3!$A$1,0,MATCH(W$1,Sheet3!$1:$1,0)-1,300)="","",OFFSET(Sheet3!$A$1,0,MATCH(W$1,Sheet3!$1:$1,0)-1,300))</f>
        <v/>
      </c>
      <c r="AB179" s="5" t="str">
        <f ca="1">IF(OFFSET(Sheet3!$A$1,0,MATCH(X$1,Sheet3!$1:$1,0)-1,300)="","",OFFSET(Sheet3!$A$1,0,MATCH(X$1,Sheet3!$1:$1,0)-1,300))</f>
        <v/>
      </c>
      <c r="AC179" t="str">
        <f t="shared" ca="1" si="24"/>
        <v/>
      </c>
      <c r="AD179" t="str">
        <f t="shared" ca="1" si="25"/>
        <v/>
      </c>
    </row>
    <row r="180" spans="1:30" x14ac:dyDescent="0.25">
      <c r="A180" s="4">
        <v>41873</v>
      </c>
      <c r="B180">
        <v>0.71350000000000002</v>
      </c>
      <c r="C180" s="5">
        <v>1.1599999999999999</v>
      </c>
      <c r="D180">
        <v>1.81</v>
      </c>
      <c r="E180">
        <v>2.1909999999999998</v>
      </c>
      <c r="F180">
        <v>2.5499999999999998</v>
      </c>
      <c r="G180">
        <v>3.1419999999999999</v>
      </c>
      <c r="H180">
        <f t="shared" ca="1" si="33"/>
        <v>0.43993231810490707</v>
      </c>
      <c r="I180">
        <f t="shared" ca="1" si="33"/>
        <v>0.35393411380343054</v>
      </c>
      <c r="J180">
        <f t="shared" ca="1" si="33"/>
        <v>0.26765493102738325</v>
      </c>
      <c r="K180">
        <f t="shared" ca="1" si="33"/>
        <v>0.20745984209093374</v>
      </c>
      <c r="L180">
        <f t="shared" ca="1" si="33"/>
        <v>0.15688696726374299</v>
      </c>
      <c r="M180">
        <f t="shared" ca="1" si="33"/>
        <v>0.27410071942446029</v>
      </c>
      <c r="N180">
        <f t="shared" ca="1" si="33"/>
        <v>0.1922300706357214</v>
      </c>
      <c r="O180">
        <f t="shared" ca="1" si="33"/>
        <v>0.14782787729050856</v>
      </c>
      <c r="P180">
        <f t="shared" ca="1" si="33"/>
        <v>0.18113017154389505</v>
      </c>
      <c r="Q180">
        <f t="shared" ca="1" si="33"/>
        <v>0.26951951951951952</v>
      </c>
      <c r="R180">
        <f t="shared" ca="1" si="31"/>
        <v>0.57236977558163482</v>
      </c>
      <c r="S180">
        <f t="shared" ca="1" si="31"/>
        <v>0.30471484455425152</v>
      </c>
      <c r="T180">
        <f t="shared" ca="1" si="31"/>
        <v>0.37336024217961644</v>
      </c>
      <c r="V180" s="4">
        <f t="shared" si="28"/>
        <v>41873</v>
      </c>
      <c r="W180" s="5">
        <f t="shared" ca="1" si="27"/>
        <v>0.27410071942446029</v>
      </c>
      <c r="Z180" s="4" t="e">
        <f>IF(Sheet3!$A180="",MATCH("Error",AF180,0),Sheet3!$A180)</f>
        <v>#N/A</v>
      </c>
      <c r="AA180" s="5" t="str">
        <f ca="1">IF(OFFSET(Sheet3!$A$1,0,MATCH(W$1,Sheet3!$1:$1,0)-1,300)="","",OFFSET(Sheet3!$A$1,0,MATCH(W$1,Sheet3!$1:$1,0)-1,300))</f>
        <v/>
      </c>
      <c r="AB180" s="5" t="str">
        <f ca="1">IF(OFFSET(Sheet3!$A$1,0,MATCH(X$1,Sheet3!$1:$1,0)-1,300)="","",OFFSET(Sheet3!$A$1,0,MATCH(X$1,Sheet3!$1:$1,0)-1,300))</f>
        <v/>
      </c>
      <c r="AC180" t="str">
        <f t="shared" ca="1" si="24"/>
        <v/>
      </c>
      <c r="AD180" t="str">
        <f t="shared" ca="1" si="25"/>
        <v/>
      </c>
    </row>
    <row r="181" spans="1:30" x14ac:dyDescent="0.25">
      <c r="A181" s="4">
        <v>41872</v>
      </c>
      <c r="B181">
        <v>0.69099999999999995</v>
      </c>
      <c r="C181" s="5">
        <v>1.1315</v>
      </c>
      <c r="D181">
        <v>1.7865</v>
      </c>
      <c r="E181">
        <v>2.1814999999999998</v>
      </c>
      <c r="F181">
        <v>2.5583</v>
      </c>
      <c r="G181">
        <v>3.1709999999999998</v>
      </c>
      <c r="H181">
        <f t="shared" ca="1" si="33"/>
        <v>0.43944984904394502</v>
      </c>
      <c r="I181">
        <f t="shared" ca="1" si="33"/>
        <v>0.35077384458844318</v>
      </c>
      <c r="J181">
        <f t="shared" ca="1" si="33"/>
        <v>0.26411290322580644</v>
      </c>
      <c r="K181">
        <f t="shared" ca="1" si="33"/>
        <v>0.21153537192738164</v>
      </c>
      <c r="L181">
        <f t="shared" ca="1" si="33"/>
        <v>0.15927419354838701</v>
      </c>
      <c r="M181">
        <f t="shared" ca="1" si="33"/>
        <v>0.27684328567423588</v>
      </c>
      <c r="N181">
        <f t="shared" ca="1" si="33"/>
        <v>0.19367492032360864</v>
      </c>
      <c r="O181">
        <f t="shared" ca="1" si="33"/>
        <v>0.15193548387096784</v>
      </c>
      <c r="P181">
        <f t="shared" ca="1" si="33"/>
        <v>0.18475116450110335</v>
      </c>
      <c r="Q181">
        <f t="shared" ca="1" si="33"/>
        <v>0.27215601300108361</v>
      </c>
      <c r="R181">
        <f t="shared" ca="1" si="31"/>
        <v>0.57532258064516129</v>
      </c>
      <c r="S181">
        <f t="shared" ca="1" si="31"/>
        <v>0.31120967741935485</v>
      </c>
      <c r="T181">
        <f t="shared" ca="1" si="31"/>
        <v>0.37842608482471196</v>
      </c>
      <c r="V181" s="4">
        <f t="shared" si="28"/>
        <v>41872</v>
      </c>
      <c r="W181" s="5">
        <f t="shared" ca="1" si="27"/>
        <v>0.27684328567423588</v>
      </c>
      <c r="Z181" s="4" t="e">
        <f>IF(Sheet3!$A181="",MATCH("Error",AF181,0),Sheet3!$A181)</f>
        <v>#N/A</v>
      </c>
      <c r="AA181" s="5" t="str">
        <f ca="1">IF(OFFSET(Sheet3!$A$1,0,MATCH(W$1,Sheet3!$1:$1,0)-1,300)="","",OFFSET(Sheet3!$A$1,0,MATCH(W$1,Sheet3!$1:$1,0)-1,300))</f>
        <v/>
      </c>
      <c r="AB181" s="5" t="str">
        <f ca="1">IF(OFFSET(Sheet3!$A$1,0,MATCH(X$1,Sheet3!$1:$1,0)-1,300)="","",OFFSET(Sheet3!$A$1,0,MATCH(X$1,Sheet3!$1:$1,0)-1,300))</f>
        <v/>
      </c>
      <c r="AC181" t="str">
        <f t="shared" ca="1" si="24"/>
        <v/>
      </c>
      <c r="AD181" t="str">
        <f t="shared" ca="1" si="25"/>
        <v/>
      </c>
    </row>
    <row r="182" spans="1:30" x14ac:dyDescent="0.25">
      <c r="A182" s="4">
        <v>41871</v>
      </c>
      <c r="B182">
        <v>0.69199999999999995</v>
      </c>
      <c r="C182" s="5">
        <v>1.1280000000000001</v>
      </c>
      <c r="D182">
        <v>1.7882</v>
      </c>
      <c r="E182">
        <v>2.194</v>
      </c>
      <c r="F182">
        <v>2.5811000000000002</v>
      </c>
      <c r="G182">
        <v>3.2067000000000001</v>
      </c>
      <c r="H182">
        <f t="shared" ca="1" si="33"/>
        <v>0.43954727030625823</v>
      </c>
      <c r="I182">
        <f t="shared" ca="1" si="33"/>
        <v>0.34947858768725837</v>
      </c>
      <c r="J182">
        <f t="shared" ca="1" si="33"/>
        <v>0.26253628663458856</v>
      </c>
      <c r="K182">
        <f t="shared" ca="1" si="33"/>
        <v>0.21481128579746964</v>
      </c>
      <c r="L182">
        <f t="shared" ca="1" si="33"/>
        <v>0.1613711377102636</v>
      </c>
      <c r="M182">
        <f t="shared" ca="1" si="33"/>
        <v>0.27926501961324063</v>
      </c>
      <c r="N182">
        <f t="shared" ca="1" si="33"/>
        <v>0.19521816519940344</v>
      </c>
      <c r="O182">
        <f t="shared" ca="1" si="33"/>
        <v>0.15393486300552756</v>
      </c>
      <c r="P182">
        <f t="shared" ca="1" si="33"/>
        <v>0.18622215807956907</v>
      </c>
      <c r="Q182">
        <f t="shared" ca="1" si="33"/>
        <v>0.27289390200916475</v>
      </c>
      <c r="R182">
        <f t="shared" ca="1" si="31"/>
        <v>0.57784228735037968</v>
      </c>
      <c r="S182">
        <f t="shared" ca="1" si="31"/>
        <v>0.31530600071579118</v>
      </c>
      <c r="T182">
        <f t="shared" ca="1" si="31"/>
        <v>0.38144032327897254</v>
      </c>
      <c r="V182" s="4">
        <f t="shared" si="28"/>
        <v>41871</v>
      </c>
      <c r="W182" s="5">
        <f t="shared" ca="1" si="27"/>
        <v>0.27926501961324063</v>
      </c>
      <c r="Z182" s="4" t="e">
        <f>IF(Sheet3!$A182="",MATCH("Error",AF182,0),Sheet3!$A182)</f>
        <v>#N/A</v>
      </c>
      <c r="AA182" s="5" t="str">
        <f ca="1">IF(OFFSET(Sheet3!$A$1,0,MATCH(W$1,Sheet3!$1:$1,0)-1,300)="","",OFFSET(Sheet3!$A$1,0,MATCH(W$1,Sheet3!$1:$1,0)-1,300))</f>
        <v/>
      </c>
      <c r="AB182" s="5" t="str">
        <f ca="1">IF(OFFSET(Sheet3!$A$1,0,MATCH(X$1,Sheet3!$1:$1,0)-1,300)="","",OFFSET(Sheet3!$A$1,0,MATCH(X$1,Sheet3!$1:$1,0)-1,300))</f>
        <v/>
      </c>
      <c r="AC182" t="str">
        <f t="shared" ca="1" si="24"/>
        <v/>
      </c>
      <c r="AD182" t="str">
        <f t="shared" ca="1" si="25"/>
        <v/>
      </c>
    </row>
    <row r="183" spans="1:30" x14ac:dyDescent="0.25">
      <c r="A183" s="4">
        <v>41870</v>
      </c>
      <c r="B183">
        <v>0.65549999999999997</v>
      </c>
      <c r="C183" s="5">
        <v>1.0825</v>
      </c>
      <c r="D183">
        <v>1.7404999999999999</v>
      </c>
      <c r="E183">
        <v>2.1568000000000001</v>
      </c>
      <c r="F183">
        <v>2.5550000000000002</v>
      </c>
      <c r="G183">
        <v>3.1949999999999998</v>
      </c>
      <c r="H183">
        <f t="shared" ref="H183:Q192" ca="1" si="34">IF(ISERROR(ABS(OFFSET($A$11,ROW()-11,MATCH(LEFT(H$9,2),$A$11:$G$11,0)-1)-OFFSET($A$11,ROW()-11,MATCH(RIGHT(H$9,2),$A$11:$G$11,0)-1))/ABS(OFFSET($A$11,ROW()-11,MATCH(LEFT(H$10,2),$A$11:$G$11,0)-1)-OFFSET($A$11,ROW()-11,MATCH(RIGHT(H$10,2),$A$11:$G$11,0)-1))),"",ABS(OFFSET($A$11,ROW()-11,MATCH(LEFT(H$9,2),$A$11:$G$11,0)-1)-OFFSET($A$11,ROW()-11,MATCH(RIGHT(H$9,2),$A$11:$G$11,0)-1))/ABS(OFFSET($A$11,ROW()-11,MATCH(LEFT(H$10,2),$A$11:$G$11,0)-1)-OFFSET($A$11,ROW()-11,MATCH(RIGHT(H$10,2),$A$11:$G$11,0)-1)))</f>
        <v>0.43828681809098774</v>
      </c>
      <c r="I183">
        <f t="shared" ca="1" si="34"/>
        <v>0.34640694919715709</v>
      </c>
      <c r="J183">
        <f t="shared" ca="1" si="34"/>
        <v>0.25910612325260879</v>
      </c>
      <c r="K183">
        <f t="shared" ca="1" si="34"/>
        <v>0.21916293761516192</v>
      </c>
      <c r="L183">
        <f t="shared" ca="1" si="34"/>
        <v>0.1639299074620989</v>
      </c>
      <c r="M183">
        <f t="shared" ca="1" si="34"/>
        <v>0.28271646859083199</v>
      </c>
      <c r="N183">
        <f t="shared" ca="1" si="34"/>
        <v>0.19706508875739653</v>
      </c>
      <c r="O183">
        <f t="shared" ca="1" si="34"/>
        <v>0.15680252018113808</v>
      </c>
      <c r="P183">
        <f t="shared" ca="1" si="34"/>
        <v>0.18849704142011842</v>
      </c>
      <c r="Q183">
        <f t="shared" ca="1" si="34"/>
        <v>0.27377105534547963</v>
      </c>
      <c r="R183">
        <f t="shared" ca="1" si="31"/>
        <v>0.57983855089584568</v>
      </c>
      <c r="S183">
        <f t="shared" ca="1" si="31"/>
        <v>0.32073242764323695</v>
      </c>
      <c r="T183">
        <f t="shared" ca="1" si="31"/>
        <v>0.38556213017751495</v>
      </c>
      <c r="V183" s="4">
        <f t="shared" si="28"/>
        <v>41870</v>
      </c>
      <c r="W183" s="5">
        <f t="shared" ca="1" si="27"/>
        <v>0.28271646859083199</v>
      </c>
      <c r="Z183" s="4" t="e">
        <f>IF(Sheet3!$A183="",MATCH("Error",AF183,0),Sheet3!$A183)</f>
        <v>#N/A</v>
      </c>
      <c r="AA183" s="5" t="str">
        <f ca="1">IF(OFFSET(Sheet3!$A$1,0,MATCH(W$1,Sheet3!$1:$1,0)-1,300)="","",OFFSET(Sheet3!$A$1,0,MATCH(W$1,Sheet3!$1:$1,0)-1,300))</f>
        <v/>
      </c>
      <c r="AB183" s="5" t="str">
        <f ca="1">IF(OFFSET(Sheet3!$A$1,0,MATCH(X$1,Sheet3!$1:$1,0)-1,300)="","",OFFSET(Sheet3!$A$1,0,MATCH(X$1,Sheet3!$1:$1,0)-1,300))</f>
        <v/>
      </c>
      <c r="AC183" t="str">
        <f t="shared" ca="1" si="24"/>
        <v/>
      </c>
      <c r="AD183" t="str">
        <f t="shared" ca="1" si="25"/>
        <v/>
      </c>
    </row>
    <row r="184" spans="1:30" x14ac:dyDescent="0.25">
      <c r="A184" s="4">
        <v>41869</v>
      </c>
      <c r="B184">
        <v>0.65</v>
      </c>
      <c r="C184" s="5">
        <v>1.0774999999999999</v>
      </c>
      <c r="D184">
        <v>1.7383</v>
      </c>
      <c r="E184">
        <v>2.1505000000000001</v>
      </c>
      <c r="F184">
        <v>2.5449999999999999</v>
      </c>
      <c r="G184">
        <v>3.1787999999999998</v>
      </c>
      <c r="H184">
        <f t="shared" ca="1" si="34"/>
        <v>0.4403865378207264</v>
      </c>
      <c r="I184">
        <f t="shared" ca="1" si="34"/>
        <v>0.34870712401055409</v>
      </c>
      <c r="J184">
        <f t="shared" ca="1" si="34"/>
        <v>0.2613097121164189</v>
      </c>
      <c r="K184">
        <f t="shared" ca="1" si="34"/>
        <v>0.21751978891820586</v>
      </c>
      <c r="L184">
        <f t="shared" ca="1" si="34"/>
        <v>0.16300221448908578</v>
      </c>
      <c r="M184">
        <f t="shared" ca="1" si="34"/>
        <v>0.28088586030664403</v>
      </c>
      <c r="N184">
        <f t="shared" ca="1" si="34"/>
        <v>0.1961642792556989</v>
      </c>
      <c r="O184">
        <f t="shared" ca="1" si="34"/>
        <v>0.15600284720025304</v>
      </c>
      <c r="P184">
        <f t="shared" ca="1" si="34"/>
        <v>0.1877409222862037</v>
      </c>
      <c r="Q184">
        <f t="shared" ca="1" si="34"/>
        <v>0.27386324192988537</v>
      </c>
      <c r="R184">
        <f t="shared" ca="1" si="31"/>
        <v>0.58031477380575769</v>
      </c>
      <c r="S184">
        <f t="shared" ca="1" si="31"/>
        <v>0.31900506168933879</v>
      </c>
      <c r="T184">
        <f t="shared" ca="1" si="31"/>
        <v>0.38390520154190261</v>
      </c>
      <c r="V184" s="4">
        <f t="shared" si="28"/>
        <v>41869</v>
      </c>
      <c r="W184" s="5">
        <f t="shared" ca="1" si="27"/>
        <v>0.28088586030664403</v>
      </c>
      <c r="Z184" s="4" t="e">
        <f>IF(Sheet3!$A184="",MATCH("Error",AF184,0),Sheet3!$A184)</f>
        <v>#N/A</v>
      </c>
      <c r="AA184" s="5" t="str">
        <f ca="1">IF(OFFSET(Sheet3!$A$1,0,MATCH(W$1,Sheet3!$1:$1,0)-1,300)="","",OFFSET(Sheet3!$A$1,0,MATCH(W$1,Sheet3!$1:$1,0)-1,300))</f>
        <v/>
      </c>
      <c r="AB184" s="5" t="str">
        <f ca="1">IF(OFFSET(Sheet3!$A$1,0,MATCH(X$1,Sheet3!$1:$1,0)-1,300)="","",OFFSET(Sheet3!$A$1,0,MATCH(X$1,Sheet3!$1:$1,0)-1,300))</f>
        <v/>
      </c>
      <c r="AC184" t="str">
        <f t="shared" ca="1" si="24"/>
        <v/>
      </c>
      <c r="AD184" t="str">
        <f t="shared" ca="1" si="25"/>
        <v/>
      </c>
    </row>
    <row r="185" spans="1:30" x14ac:dyDescent="0.25">
      <c r="A185" s="4">
        <v>41866</v>
      </c>
      <c r="B185">
        <v>0.63129999999999997</v>
      </c>
      <c r="C185" s="5">
        <v>1.0535000000000001</v>
      </c>
      <c r="D185">
        <v>1.7029999999999998</v>
      </c>
      <c r="E185">
        <v>2.1044999999999998</v>
      </c>
      <c r="F185">
        <v>2.4914999999999998</v>
      </c>
      <c r="G185">
        <v>3.1067999999999998</v>
      </c>
      <c r="H185">
        <f t="shared" ca="1" si="34"/>
        <v>0.44087700244365996</v>
      </c>
      <c r="I185">
        <f t="shared" ca="1" si="34"/>
        <v>0.34915600473067399</v>
      </c>
      <c r="J185">
        <f t="shared" ca="1" si="34"/>
        <v>0.26237123813371027</v>
      </c>
      <c r="K185">
        <f t="shared" ca="1" si="34"/>
        <v>0.21583700677346521</v>
      </c>
      <c r="L185">
        <f t="shared" ca="1" si="34"/>
        <v>0.16218945667541912</v>
      </c>
      <c r="M185">
        <f t="shared" ca="1" si="34"/>
        <v>0.27920723226703759</v>
      </c>
      <c r="N185">
        <f t="shared" ca="1" si="34"/>
        <v>0.19553888861832175</v>
      </c>
      <c r="O185">
        <f t="shared" ca="1" si="34"/>
        <v>0.15633205413047871</v>
      </c>
      <c r="P185">
        <f t="shared" ca="1" si="34"/>
        <v>0.18847708566697516</v>
      </c>
      <c r="Q185">
        <f t="shared" ca="1" si="34"/>
        <v>0.27568029633850977</v>
      </c>
      <c r="R185">
        <f t="shared" ca="1" si="31"/>
        <v>0.58089274893960807</v>
      </c>
      <c r="S185">
        <f t="shared" ca="1" si="31"/>
        <v>0.3185215108058978</v>
      </c>
      <c r="T185">
        <f t="shared" ca="1" si="31"/>
        <v>0.38401597428529688</v>
      </c>
      <c r="V185" s="4">
        <f t="shared" si="28"/>
        <v>41866</v>
      </c>
      <c r="W185" s="5">
        <f t="shared" ca="1" si="27"/>
        <v>0.27920723226703759</v>
      </c>
      <c r="Z185" s="4" t="e">
        <f>IF(Sheet3!$A185="",MATCH("Error",AF185,0),Sheet3!$A185)</f>
        <v>#N/A</v>
      </c>
      <c r="AA185" s="5" t="str">
        <f ca="1">IF(OFFSET(Sheet3!$A$1,0,MATCH(W$1,Sheet3!$1:$1,0)-1,300)="","",OFFSET(Sheet3!$A$1,0,MATCH(W$1,Sheet3!$1:$1,0)-1,300))</f>
        <v/>
      </c>
      <c r="AB185" s="5" t="str">
        <f ca="1">IF(OFFSET(Sheet3!$A$1,0,MATCH(X$1,Sheet3!$1:$1,0)-1,300)="","",OFFSET(Sheet3!$A$1,0,MATCH(X$1,Sheet3!$1:$1,0)-1,300))</f>
        <v/>
      </c>
      <c r="AC185" t="str">
        <f t="shared" ca="1" si="24"/>
        <v/>
      </c>
      <c r="AD185" t="str">
        <f t="shared" ca="1" si="25"/>
        <v/>
      </c>
    </row>
    <row r="186" spans="1:30" x14ac:dyDescent="0.25">
      <c r="A186" s="4">
        <v>41865</v>
      </c>
      <c r="B186">
        <v>0.64300000000000002</v>
      </c>
      <c r="C186" s="5">
        <v>1.07</v>
      </c>
      <c r="D186">
        <v>1.736</v>
      </c>
      <c r="E186">
        <v>2.15</v>
      </c>
      <c r="F186">
        <v>2.5460000000000003</v>
      </c>
      <c r="G186">
        <v>3.1633</v>
      </c>
      <c r="H186">
        <f t="shared" ca="1" si="34"/>
        <v>0.44193762441937623</v>
      </c>
      <c r="I186">
        <f t="shared" ca="1" si="34"/>
        <v>0.34997372569626894</v>
      </c>
      <c r="J186">
        <f t="shared" ca="1" si="34"/>
        <v>0.26425425544578024</v>
      </c>
      <c r="K186">
        <f t="shared" ca="1" si="34"/>
        <v>0.21755123489227529</v>
      </c>
      <c r="L186">
        <f t="shared" ca="1" si="34"/>
        <v>0.16426615879062015</v>
      </c>
      <c r="M186">
        <f t="shared" ca="1" si="34"/>
        <v>0.2804878048780487</v>
      </c>
      <c r="N186">
        <f t="shared" ca="1" si="34"/>
        <v>0.19777384990206845</v>
      </c>
      <c r="O186">
        <f t="shared" ca="1" si="34"/>
        <v>0.1571241518866803</v>
      </c>
      <c r="P186">
        <f t="shared" ca="1" si="34"/>
        <v>0.18917498686284828</v>
      </c>
      <c r="Q186">
        <f t="shared" ca="1" si="34"/>
        <v>0.27744692776571173</v>
      </c>
      <c r="R186">
        <f t="shared" ca="1" si="31"/>
        <v>0.58564456612308069</v>
      </c>
      <c r="S186">
        <f t="shared" ca="1" si="31"/>
        <v>0.32139031067730045</v>
      </c>
      <c r="T186">
        <f t="shared" ca="1" si="31"/>
        <v>0.38694883676491676</v>
      </c>
      <c r="V186" s="4">
        <f t="shared" si="28"/>
        <v>41865</v>
      </c>
      <c r="W186" s="5">
        <f t="shared" ca="1" si="27"/>
        <v>0.2804878048780487</v>
      </c>
      <c r="Z186" s="4" t="e">
        <f>IF(Sheet3!$A186="",MATCH("Error",AF186,0),Sheet3!$A186)</f>
        <v>#N/A</v>
      </c>
      <c r="AA186" s="5" t="str">
        <f ca="1">IF(OFFSET(Sheet3!$A$1,0,MATCH(W$1,Sheet3!$1:$1,0)-1,300)="","",OFFSET(Sheet3!$A$1,0,MATCH(W$1,Sheet3!$1:$1,0)-1,300))</f>
        <v/>
      </c>
      <c r="AB186" s="5" t="str">
        <f ca="1">IF(OFFSET(Sheet3!$A$1,0,MATCH(X$1,Sheet3!$1:$1,0)-1,300)="","",OFFSET(Sheet3!$A$1,0,MATCH(X$1,Sheet3!$1:$1,0)-1,300))</f>
        <v/>
      </c>
      <c r="AC186" t="str">
        <f t="shared" ca="1" si="24"/>
        <v/>
      </c>
      <c r="AD186" t="str">
        <f t="shared" ca="1" si="25"/>
        <v/>
      </c>
    </row>
    <row r="187" spans="1:30" x14ac:dyDescent="0.25">
      <c r="A187" s="4">
        <v>41864</v>
      </c>
      <c r="B187">
        <v>0.64200000000000002</v>
      </c>
      <c r="C187" s="5">
        <v>1.0655000000000001</v>
      </c>
      <c r="D187">
        <v>1.7338</v>
      </c>
      <c r="E187">
        <v>2.1593</v>
      </c>
      <c r="F187">
        <v>2.5674999999999999</v>
      </c>
      <c r="G187">
        <v>3.2075</v>
      </c>
      <c r="H187">
        <f t="shared" ca="1" si="34"/>
        <v>0.44045343702629663</v>
      </c>
      <c r="I187">
        <f t="shared" ca="1" si="34"/>
        <v>0.34707868086211369</v>
      </c>
      <c r="J187">
        <f t="shared" ca="1" si="34"/>
        <v>0.26049503020853632</v>
      </c>
      <c r="K187">
        <f t="shared" ca="1" si="34"/>
        <v>0.22098156323032977</v>
      </c>
      <c r="L187">
        <f t="shared" ca="1" si="34"/>
        <v>0.1658546092379653</v>
      </c>
      <c r="M187">
        <f t="shared" ca="1" si="34"/>
        <v>0.28328894806924104</v>
      </c>
      <c r="N187">
        <f t="shared" ca="1" si="34"/>
        <v>0.19864612511671337</v>
      </c>
      <c r="O187">
        <f t="shared" ca="1" si="34"/>
        <v>0.15911128435002919</v>
      </c>
      <c r="P187">
        <f t="shared" ca="1" si="34"/>
        <v>0.19056956115779641</v>
      </c>
      <c r="Q187">
        <f t="shared" ca="1" si="34"/>
        <v>0.27698988939404212</v>
      </c>
      <c r="R187">
        <f t="shared" ca="1" si="31"/>
        <v>0.58546092379653081</v>
      </c>
      <c r="S187">
        <f t="shared" ca="1" si="31"/>
        <v>0.32496589358799449</v>
      </c>
      <c r="T187">
        <f t="shared" ca="1" si="31"/>
        <v>0.38921568627450975</v>
      </c>
      <c r="V187" s="4">
        <f t="shared" si="28"/>
        <v>41864</v>
      </c>
      <c r="W187" s="5">
        <f t="shared" ca="1" si="27"/>
        <v>0.28328894806924104</v>
      </c>
      <c r="Z187" s="4" t="e">
        <f>IF(Sheet3!$A187="",MATCH("Error",AF187,0),Sheet3!$A187)</f>
        <v>#N/A</v>
      </c>
      <c r="AA187" s="5" t="str">
        <f ca="1">IF(OFFSET(Sheet3!$A$1,0,MATCH(W$1,Sheet3!$1:$1,0)-1,300)="","",OFFSET(Sheet3!$A$1,0,MATCH(W$1,Sheet3!$1:$1,0)-1,300))</f>
        <v/>
      </c>
      <c r="AB187" s="5" t="str">
        <f ca="1">IF(OFFSET(Sheet3!$A$1,0,MATCH(X$1,Sheet3!$1:$1,0)-1,300)="","",OFFSET(Sheet3!$A$1,0,MATCH(X$1,Sheet3!$1:$1,0)-1,300))</f>
        <v/>
      </c>
      <c r="AC187" t="str">
        <f t="shared" ca="1" si="24"/>
        <v/>
      </c>
      <c r="AD187" t="str">
        <f t="shared" ca="1" si="25"/>
        <v/>
      </c>
    </row>
    <row r="188" spans="1:30" x14ac:dyDescent="0.25">
      <c r="A188" s="4">
        <v>41863</v>
      </c>
      <c r="B188">
        <v>0.66400000000000003</v>
      </c>
      <c r="C188" s="5">
        <v>1.1000000000000001</v>
      </c>
      <c r="D188">
        <v>1.7749999999999999</v>
      </c>
      <c r="E188">
        <v>2.1995</v>
      </c>
      <c r="F188">
        <v>2.6038000000000001</v>
      </c>
      <c r="G188">
        <v>3.2429000000000001</v>
      </c>
      <c r="H188">
        <f t="shared" ca="1" si="34"/>
        <v>0.43959622272875276</v>
      </c>
      <c r="I188">
        <f t="shared" ca="1" si="34"/>
        <v>0.34797401793999372</v>
      </c>
      <c r="J188">
        <f t="shared" ca="1" si="34"/>
        <v>0.26173950133777962</v>
      </c>
      <c r="K188">
        <f t="shared" ca="1" si="34"/>
        <v>0.21883699350448504</v>
      </c>
      <c r="L188">
        <f t="shared" ca="1" si="34"/>
        <v>0.16460506417464815</v>
      </c>
      <c r="M188">
        <f t="shared" ca="1" si="34"/>
        <v>0.28228487830828575</v>
      </c>
      <c r="N188">
        <f t="shared" ca="1" si="34"/>
        <v>0.19809603807923845</v>
      </c>
      <c r="O188">
        <f t="shared" ca="1" si="34"/>
        <v>0.15677226724572496</v>
      </c>
      <c r="P188">
        <f t="shared" ca="1" si="34"/>
        <v>0.18866955994213452</v>
      </c>
      <c r="Q188">
        <f t="shared" ca="1" si="34"/>
        <v>0.27542748143606516</v>
      </c>
      <c r="R188">
        <f t="shared" ca="1" si="31"/>
        <v>0.58311683275815274</v>
      </c>
      <c r="S188">
        <f t="shared" ca="1" si="31"/>
        <v>0.32137733142037311</v>
      </c>
      <c r="T188">
        <f t="shared" ca="1" si="31"/>
        <v>0.386765598021373</v>
      </c>
      <c r="V188" s="4">
        <f t="shared" si="28"/>
        <v>41863</v>
      </c>
      <c r="W188" s="5">
        <f t="shared" ca="1" si="27"/>
        <v>0.28228487830828575</v>
      </c>
      <c r="Z188" s="4" t="e">
        <f>IF(Sheet3!$A188="",MATCH("Error",AF188,0),Sheet3!$A188)</f>
        <v>#N/A</v>
      </c>
      <c r="AA188" s="5" t="str">
        <f ca="1">IF(OFFSET(Sheet3!$A$1,0,MATCH(W$1,Sheet3!$1:$1,0)-1,300)="","",OFFSET(Sheet3!$A$1,0,MATCH(W$1,Sheet3!$1:$1,0)-1,300))</f>
        <v/>
      </c>
      <c r="AB188" s="5" t="str">
        <f ca="1">IF(OFFSET(Sheet3!$A$1,0,MATCH(X$1,Sheet3!$1:$1,0)-1,300)="","",OFFSET(Sheet3!$A$1,0,MATCH(X$1,Sheet3!$1:$1,0)-1,300))</f>
        <v/>
      </c>
      <c r="AC188" t="str">
        <f t="shared" ca="1" si="24"/>
        <v/>
      </c>
      <c r="AD188" t="str">
        <f t="shared" ca="1" si="25"/>
        <v/>
      </c>
    </row>
    <row r="189" spans="1:30" x14ac:dyDescent="0.25">
      <c r="A189" s="4">
        <v>41862</v>
      </c>
      <c r="B189">
        <v>0.67649999999999999</v>
      </c>
      <c r="C189" s="5">
        <v>1.1134999999999999</v>
      </c>
      <c r="D189">
        <v>1.7761</v>
      </c>
      <c r="E189">
        <v>2.1909999999999998</v>
      </c>
      <c r="F189">
        <v>2.5874000000000001</v>
      </c>
      <c r="G189">
        <v>3.2160000000000002</v>
      </c>
      <c r="H189">
        <f t="shared" ca="1" si="34"/>
        <v>0.43750412677451311</v>
      </c>
      <c r="I189">
        <f t="shared" ca="1" si="34"/>
        <v>0.34674760584018</v>
      </c>
      <c r="J189">
        <f t="shared" ca="1" si="34"/>
        <v>0.26091750344556014</v>
      </c>
      <c r="K189">
        <f t="shared" ca="1" si="34"/>
        <v>0.21712282170704891</v>
      </c>
      <c r="L189">
        <f t="shared" ca="1" si="34"/>
        <v>0.16337861783815702</v>
      </c>
      <c r="M189">
        <f t="shared" ca="1" si="34"/>
        <v>0.28149806635456937</v>
      </c>
      <c r="N189">
        <f t="shared" ca="1" si="34"/>
        <v>0.19733650416171217</v>
      </c>
      <c r="O189">
        <f t="shared" ca="1" si="34"/>
        <v>0.15609371923607018</v>
      </c>
      <c r="P189">
        <f t="shared" ca="1" si="34"/>
        <v>0.18853745541022607</v>
      </c>
      <c r="Q189">
        <f t="shared" ca="1" si="34"/>
        <v>0.27529689561775139</v>
      </c>
      <c r="R189">
        <f t="shared" ca="1" si="31"/>
        <v>0.58038984051978737</v>
      </c>
      <c r="S189">
        <f t="shared" ca="1" si="31"/>
        <v>0.31947233707422723</v>
      </c>
      <c r="T189">
        <f t="shared" ca="1" si="31"/>
        <v>0.38587395957193821</v>
      </c>
      <c r="V189" s="4">
        <f t="shared" si="28"/>
        <v>41862</v>
      </c>
      <c r="W189" s="5">
        <f t="shared" ca="1" si="27"/>
        <v>0.28149806635456937</v>
      </c>
      <c r="Z189" s="4" t="e">
        <f>IF(Sheet3!$A189="",MATCH("Error",AF189,0),Sheet3!$A189)</f>
        <v>#N/A</v>
      </c>
      <c r="AA189" s="5" t="str">
        <f ca="1">IF(OFFSET(Sheet3!$A$1,0,MATCH(W$1,Sheet3!$1:$1,0)-1,300)="","",OFFSET(Sheet3!$A$1,0,MATCH(W$1,Sheet3!$1:$1,0)-1,300))</f>
        <v/>
      </c>
      <c r="AB189" s="5" t="str">
        <f ca="1">IF(OFFSET(Sheet3!$A$1,0,MATCH(X$1,Sheet3!$1:$1,0)-1,300)="","",OFFSET(Sheet3!$A$1,0,MATCH(X$1,Sheet3!$1:$1,0)-1,300))</f>
        <v/>
      </c>
      <c r="AC189" t="str">
        <f t="shared" ca="1" si="24"/>
        <v/>
      </c>
      <c r="AD189" t="str">
        <f t="shared" ca="1" si="25"/>
        <v/>
      </c>
    </row>
    <row r="190" spans="1:30" x14ac:dyDescent="0.25">
      <c r="A190" s="4">
        <v>41859</v>
      </c>
      <c r="B190">
        <v>0.67649999999999999</v>
      </c>
      <c r="C190" s="5">
        <v>1.1179999999999999</v>
      </c>
      <c r="D190">
        <v>1.7890000000000001</v>
      </c>
      <c r="E190">
        <v>2.1924999999999999</v>
      </c>
      <c r="F190">
        <v>2.5794999999999999</v>
      </c>
      <c r="G190">
        <v>3.2023000000000001</v>
      </c>
      <c r="H190">
        <f t="shared" ca="1" si="34"/>
        <v>0.44261213720316639</v>
      </c>
      <c r="I190">
        <f t="shared" ca="1" si="34"/>
        <v>0.35260115606936432</v>
      </c>
      <c r="J190">
        <f t="shared" ca="1" si="34"/>
        <v>0.2656584052577402</v>
      </c>
      <c r="K190">
        <f t="shared" ca="1" si="34"/>
        <v>0.21203363110877549</v>
      </c>
      <c r="L190">
        <f t="shared" ca="1" si="34"/>
        <v>0.15975136590387193</v>
      </c>
      <c r="M190">
        <f t="shared" ca="1" si="34"/>
        <v>0.27608621279507339</v>
      </c>
      <c r="N190">
        <f t="shared" ca="1" si="34"/>
        <v>0.19359017415919</v>
      </c>
      <c r="O190">
        <f t="shared" ca="1" si="34"/>
        <v>0.15321878216802595</v>
      </c>
      <c r="P190">
        <f t="shared" ca="1" si="34"/>
        <v>0.18567384733483661</v>
      </c>
      <c r="Q190">
        <f t="shared" ca="1" si="34"/>
        <v>0.27382721290596479</v>
      </c>
      <c r="R190">
        <f t="shared" ca="1" si="31"/>
        <v>0.57862855332963803</v>
      </c>
      <c r="S190">
        <f t="shared" ca="1" si="31"/>
        <v>0.31297014807189788</v>
      </c>
      <c r="T190">
        <f t="shared" ca="1" si="31"/>
        <v>0.3792640214940266</v>
      </c>
      <c r="V190" s="4">
        <f t="shared" si="28"/>
        <v>41859</v>
      </c>
      <c r="W190" s="5">
        <f t="shared" ca="1" si="27"/>
        <v>0.27608621279507339</v>
      </c>
      <c r="Z190" s="4" t="e">
        <f>IF(Sheet3!$A190="",MATCH("Error",AF190,0),Sheet3!$A190)</f>
        <v>#N/A</v>
      </c>
      <c r="AA190" s="5" t="str">
        <f ca="1">IF(OFFSET(Sheet3!$A$1,0,MATCH(W$1,Sheet3!$1:$1,0)-1,300)="","",OFFSET(Sheet3!$A$1,0,MATCH(W$1,Sheet3!$1:$1,0)-1,300))</f>
        <v/>
      </c>
      <c r="AB190" s="5" t="str">
        <f ca="1">IF(OFFSET(Sheet3!$A$1,0,MATCH(X$1,Sheet3!$1:$1,0)-1,300)="","",OFFSET(Sheet3!$A$1,0,MATCH(X$1,Sheet3!$1:$1,0)-1,300))</f>
        <v/>
      </c>
      <c r="AC190" t="str">
        <f t="shared" ca="1" si="24"/>
        <v/>
      </c>
      <c r="AD190" t="str">
        <f t="shared" ca="1" si="25"/>
        <v/>
      </c>
    </row>
    <row r="191" spans="1:30" x14ac:dyDescent="0.25">
      <c r="A191" s="4">
        <v>41858</v>
      </c>
      <c r="B191">
        <v>0.6663</v>
      </c>
      <c r="C191" s="5">
        <v>1.097</v>
      </c>
      <c r="D191">
        <v>1.7614999999999998</v>
      </c>
      <c r="E191">
        <v>2.1720000000000002</v>
      </c>
      <c r="F191">
        <v>2.5649999999999999</v>
      </c>
      <c r="G191">
        <v>3.1974999999999998</v>
      </c>
      <c r="H191">
        <f t="shared" ca="1" si="34"/>
        <v>0.44132297270372572</v>
      </c>
      <c r="I191">
        <f t="shared" ca="1" si="34"/>
        <v>0.34997629957339227</v>
      </c>
      <c r="J191">
        <f t="shared" ca="1" si="34"/>
        <v>0.26252370417193427</v>
      </c>
      <c r="K191">
        <f t="shared" ca="1" si="34"/>
        <v>0.21620055827671583</v>
      </c>
      <c r="L191">
        <f t="shared" ca="1" si="34"/>
        <v>0.16217604298356525</v>
      </c>
      <c r="M191">
        <f t="shared" ca="1" si="34"/>
        <v>0.27963215258855606</v>
      </c>
      <c r="N191">
        <f t="shared" ca="1" si="34"/>
        <v>0.19542965960485614</v>
      </c>
      <c r="O191">
        <f t="shared" ca="1" si="34"/>
        <v>0.15526232616940575</v>
      </c>
      <c r="P191">
        <f t="shared" ca="1" si="34"/>
        <v>0.18709830992620796</v>
      </c>
      <c r="Q191">
        <f t="shared" ca="1" si="34"/>
        <v>0.27367688022284109</v>
      </c>
      <c r="R191">
        <f t="shared" ca="1" si="31"/>
        <v>0.57996207332490524</v>
      </c>
      <c r="S191">
        <f t="shared" ca="1" si="31"/>
        <v>0.31743836915297102</v>
      </c>
      <c r="T191">
        <f t="shared" ca="1" si="31"/>
        <v>0.3825279695310641</v>
      </c>
      <c r="V191" s="4">
        <f t="shared" si="28"/>
        <v>41858</v>
      </c>
      <c r="W191" s="5">
        <f t="shared" ca="1" si="27"/>
        <v>0.27963215258855606</v>
      </c>
      <c r="Z191" s="4" t="e">
        <f>IF(Sheet3!$A191="",MATCH("Error",AF191,0),Sheet3!$A191)</f>
        <v>#N/A</v>
      </c>
      <c r="AA191" s="5" t="str">
        <f ca="1">IF(OFFSET(Sheet3!$A$1,0,MATCH(W$1,Sheet3!$1:$1,0)-1,300)="","",OFFSET(Sheet3!$A$1,0,MATCH(W$1,Sheet3!$1:$1,0)-1,300))</f>
        <v/>
      </c>
      <c r="AB191" s="5" t="str">
        <f ca="1">IF(OFFSET(Sheet3!$A$1,0,MATCH(X$1,Sheet3!$1:$1,0)-1,300)="","",OFFSET(Sheet3!$A$1,0,MATCH(X$1,Sheet3!$1:$1,0)-1,300))</f>
        <v/>
      </c>
      <c r="AC191" t="str">
        <f t="shared" ca="1" si="24"/>
        <v/>
      </c>
      <c r="AD191" t="str">
        <f t="shared" ca="1" si="25"/>
        <v/>
      </c>
    </row>
    <row r="192" spans="1:30" x14ac:dyDescent="0.25">
      <c r="A192" s="4">
        <v>41857</v>
      </c>
      <c r="B192">
        <v>0.67400000000000004</v>
      </c>
      <c r="C192" s="5">
        <v>1.117</v>
      </c>
      <c r="D192">
        <v>1.7997999999999998</v>
      </c>
      <c r="E192">
        <v>2.2204999999999999</v>
      </c>
      <c r="F192">
        <v>2.6175000000000002</v>
      </c>
      <c r="G192">
        <v>3.2463000000000002</v>
      </c>
      <c r="H192">
        <f t="shared" ca="1" si="34"/>
        <v>0.44151309408341405</v>
      </c>
      <c r="I192">
        <f t="shared" ca="1" si="34"/>
        <v>0.35132492925135056</v>
      </c>
      <c r="J192">
        <f t="shared" ca="1" si="34"/>
        <v>0.26544337752206187</v>
      </c>
      <c r="K192">
        <f t="shared" ca="1" si="34"/>
        <v>0.21646514021095961</v>
      </c>
      <c r="L192">
        <f t="shared" ca="1" si="34"/>
        <v>0.16355013023364307</v>
      </c>
      <c r="M192">
        <f t="shared" ca="1" si="34"/>
        <v>0.28037320893035655</v>
      </c>
      <c r="N192">
        <f t="shared" ca="1" si="34"/>
        <v>0.19757666838867236</v>
      </c>
      <c r="O192">
        <f t="shared" ca="1" si="34"/>
        <v>0.15433658593476662</v>
      </c>
      <c r="P192">
        <f t="shared" ca="1" si="34"/>
        <v>0.18644624994129536</v>
      </c>
      <c r="Q192">
        <f t="shared" ca="1" si="34"/>
        <v>0.27445558244037344</v>
      </c>
      <c r="R192">
        <f t="shared" ca="1" si="31"/>
        <v>0.58333009369047162</v>
      </c>
      <c r="S192">
        <f t="shared" ca="1" si="31"/>
        <v>0.31788671616840969</v>
      </c>
      <c r="T192">
        <f t="shared" ca="1" si="31"/>
        <v>0.38402291832996771</v>
      </c>
      <c r="V192" s="4">
        <f t="shared" si="28"/>
        <v>41857</v>
      </c>
      <c r="W192" s="5">
        <f t="shared" ca="1" si="27"/>
        <v>0.28037320893035655</v>
      </c>
      <c r="Z192" s="4" t="e">
        <f>IF(Sheet3!$A192="",MATCH("Error",AF192,0),Sheet3!$A192)</f>
        <v>#N/A</v>
      </c>
      <c r="AA192" s="5" t="str">
        <f ca="1">IF(OFFSET(Sheet3!$A$1,0,MATCH(W$1,Sheet3!$1:$1,0)-1,300)="","",OFFSET(Sheet3!$A$1,0,MATCH(W$1,Sheet3!$1:$1,0)-1,300))</f>
        <v/>
      </c>
      <c r="AB192" s="5" t="str">
        <f ca="1">IF(OFFSET(Sheet3!$A$1,0,MATCH(X$1,Sheet3!$1:$1,0)-1,300)="","",OFFSET(Sheet3!$A$1,0,MATCH(X$1,Sheet3!$1:$1,0)-1,300))</f>
        <v/>
      </c>
      <c r="AC192" t="str">
        <f t="shared" ca="1" si="24"/>
        <v/>
      </c>
      <c r="AD192" t="str">
        <f t="shared" ca="1" si="25"/>
        <v/>
      </c>
    </row>
    <row r="193" spans="1:30" x14ac:dyDescent="0.25">
      <c r="A193" s="4">
        <v>41856</v>
      </c>
      <c r="B193">
        <v>0.6835</v>
      </c>
      <c r="C193" s="5">
        <v>1.1293</v>
      </c>
      <c r="D193">
        <v>1.8140000000000001</v>
      </c>
      <c r="E193">
        <v>2.2349999999999999</v>
      </c>
      <c r="F193">
        <v>2.6284999999999998</v>
      </c>
      <c r="G193">
        <v>3.2635000000000001</v>
      </c>
      <c r="H193">
        <f t="shared" ref="H193:Q202" ca="1" si="35">IF(ISERROR(ABS(OFFSET($A$11,ROW()-11,MATCH(LEFT(H$9,2),$A$11:$G$11,0)-1)-OFFSET($A$11,ROW()-11,MATCH(RIGHT(H$9,2),$A$11:$G$11,0)-1))/ABS(OFFSET($A$11,ROW()-11,MATCH(LEFT(H$10,2),$A$11:$G$11,0)-1)-OFFSET($A$11,ROW()-11,MATCH(RIGHT(H$10,2),$A$11:$G$11,0)-1))),"",ABS(OFFSET($A$11,ROW()-11,MATCH(LEFT(H$9,2),$A$11:$G$11,0)-1)-OFFSET($A$11,ROW()-11,MATCH(RIGHT(H$9,2),$A$11:$G$11,0)-1))/ABS(OFFSET($A$11,ROW()-11,MATCH(LEFT(H$10,2),$A$11:$G$11,0)-1)-OFFSET($A$11,ROW()-11,MATCH(RIGHT(H$10,2),$A$11:$G$11,0)-1)))</f>
        <v>0.44131485659039649</v>
      </c>
      <c r="I193">
        <f t="shared" ca="1" si="35"/>
        <v>0.35203084832904891</v>
      </c>
      <c r="J193">
        <f t="shared" ca="1" si="35"/>
        <v>0.26538759689922481</v>
      </c>
      <c r="K193">
        <f t="shared" ca="1" si="35"/>
        <v>0.21645244215938295</v>
      </c>
      <c r="L193">
        <f t="shared" ca="1" si="35"/>
        <v>0.16317829457364333</v>
      </c>
      <c r="M193">
        <f t="shared" ca="1" si="35"/>
        <v>0.28081643543223045</v>
      </c>
      <c r="N193">
        <f t="shared" ca="1" si="35"/>
        <v>0.19726361165776396</v>
      </c>
      <c r="O193">
        <f t="shared" ca="1" si="35"/>
        <v>0.15251937984496122</v>
      </c>
      <c r="P193">
        <f t="shared" ca="1" si="35"/>
        <v>0.18437822134757753</v>
      </c>
      <c r="Q193">
        <f t="shared" ca="1" si="35"/>
        <v>0.27147292169713694</v>
      </c>
      <c r="R193">
        <f t="shared" ca="1" si="31"/>
        <v>0.58108527131782939</v>
      </c>
      <c r="S193">
        <f t="shared" ca="1" si="31"/>
        <v>0.31569767441860458</v>
      </c>
      <c r="T193">
        <f t="shared" ca="1" si="31"/>
        <v>0.38164183300534149</v>
      </c>
      <c r="V193" s="4">
        <f t="shared" si="28"/>
        <v>41856</v>
      </c>
      <c r="W193" s="5">
        <f t="shared" ca="1" si="27"/>
        <v>0.28081643543223045</v>
      </c>
      <c r="Z193" s="4" t="e">
        <f>IF(Sheet3!$A193="",MATCH("Error",AF193,0),Sheet3!$A193)</f>
        <v>#N/A</v>
      </c>
      <c r="AA193" s="5" t="str">
        <f ca="1">IF(OFFSET(Sheet3!$A$1,0,MATCH(W$1,Sheet3!$1:$1,0)-1,300)="","",OFFSET(Sheet3!$A$1,0,MATCH(W$1,Sheet3!$1:$1,0)-1,300))</f>
        <v/>
      </c>
      <c r="AB193" s="5" t="str">
        <f ca="1">IF(OFFSET(Sheet3!$A$1,0,MATCH(X$1,Sheet3!$1:$1,0)-1,300)="","",OFFSET(Sheet3!$A$1,0,MATCH(X$1,Sheet3!$1:$1,0)-1,300))</f>
        <v/>
      </c>
      <c r="AC193" t="str">
        <f t="shared" ca="1" si="24"/>
        <v/>
      </c>
      <c r="AD193" t="str">
        <f t="shared" ca="1" si="25"/>
        <v/>
      </c>
    </row>
    <row r="194" spans="1:30" x14ac:dyDescent="0.25">
      <c r="A194" s="4">
        <v>41855</v>
      </c>
      <c r="B194">
        <v>0.67649999999999999</v>
      </c>
      <c r="C194" s="5">
        <v>1.1154999999999999</v>
      </c>
      <c r="D194">
        <v>1.792</v>
      </c>
      <c r="E194">
        <v>2.218</v>
      </c>
      <c r="F194">
        <v>2.6215000000000002</v>
      </c>
      <c r="G194">
        <v>3.2679999999999998</v>
      </c>
      <c r="H194">
        <f t="shared" ca="1" si="35"/>
        <v>0.43885825494648073</v>
      </c>
      <c r="I194">
        <f t="shared" ca="1" si="35"/>
        <v>0.34781491002570697</v>
      </c>
      <c r="J194">
        <f t="shared" ca="1" si="35"/>
        <v>0.26104572641327423</v>
      </c>
      <c r="K194">
        <f t="shared" ca="1" si="35"/>
        <v>0.21902313624678657</v>
      </c>
      <c r="L194">
        <f t="shared" ca="1" si="35"/>
        <v>0.16438356164383561</v>
      </c>
      <c r="M194">
        <f t="shared" ca="1" si="35"/>
        <v>0.28286852589641426</v>
      </c>
      <c r="N194">
        <f t="shared" ca="1" si="35"/>
        <v>0.19790940766550522</v>
      </c>
      <c r="O194">
        <f t="shared" ca="1" si="35"/>
        <v>0.15570133127532326</v>
      </c>
      <c r="P194">
        <f t="shared" ca="1" si="35"/>
        <v>0.18745644599303146</v>
      </c>
      <c r="Q194">
        <f t="shared" ca="1" si="35"/>
        <v>0.27337398373983757</v>
      </c>
      <c r="R194">
        <f t="shared" ca="1" si="31"/>
        <v>0.58113061933243304</v>
      </c>
      <c r="S194">
        <f t="shared" ca="1" si="31"/>
        <v>0.32008489291915887</v>
      </c>
      <c r="T194">
        <f t="shared" ca="1" si="31"/>
        <v>0.38536585365853665</v>
      </c>
      <c r="V194" s="4">
        <f t="shared" si="28"/>
        <v>41855</v>
      </c>
      <c r="W194" s="5">
        <f t="shared" ca="1" si="27"/>
        <v>0.28286852589641426</v>
      </c>
      <c r="Z194" s="4" t="e">
        <f>IF(Sheet3!$A194="",MATCH("Error",AF194,0),Sheet3!$A194)</f>
        <v>#N/A</v>
      </c>
      <c r="AA194" s="5" t="str">
        <f ca="1">IF(OFFSET(Sheet3!$A$1,0,MATCH(W$1,Sheet3!$1:$1,0)-1,300)="","",OFFSET(Sheet3!$A$1,0,MATCH(W$1,Sheet3!$1:$1,0)-1,300))</f>
        <v/>
      </c>
      <c r="AB194" s="5" t="str">
        <f ca="1">IF(OFFSET(Sheet3!$A$1,0,MATCH(X$1,Sheet3!$1:$1,0)-1,300)="","",OFFSET(Sheet3!$A$1,0,MATCH(X$1,Sheet3!$1:$1,0)-1,300))</f>
        <v/>
      </c>
      <c r="AC194" t="str">
        <f t="shared" ca="1" si="24"/>
        <v/>
      </c>
      <c r="AD194" t="str">
        <f t="shared" ca="1" si="25"/>
        <v/>
      </c>
    </row>
    <row r="195" spans="1:30" x14ac:dyDescent="0.25">
      <c r="A195" s="4">
        <v>41852</v>
      </c>
      <c r="B195">
        <v>0.68210000000000004</v>
      </c>
      <c r="C195" s="5">
        <v>1.1325000000000001</v>
      </c>
      <c r="D195">
        <v>1.8054999999999999</v>
      </c>
      <c r="E195">
        <v>2.2334999999999998</v>
      </c>
      <c r="F195">
        <v>2.6348000000000003</v>
      </c>
      <c r="G195">
        <v>3.26</v>
      </c>
      <c r="H195">
        <f t="shared" ca="1" si="35"/>
        <v>0.43380172747196077</v>
      </c>
      <c r="I195">
        <f t="shared" ca="1" si="35"/>
        <v>0.34465099605674182</v>
      </c>
      <c r="J195">
        <f t="shared" ca="1" si="35"/>
        <v>0.26106520811513245</v>
      </c>
      <c r="K195">
        <f t="shared" ca="1" si="35"/>
        <v>0.21918369437189528</v>
      </c>
      <c r="L195">
        <f t="shared" ca="1" si="35"/>
        <v>0.16602661080724621</v>
      </c>
      <c r="M195">
        <f t="shared" ca="1" si="35"/>
        <v>0.28489649204553008</v>
      </c>
      <c r="N195">
        <f t="shared" ca="1" si="35"/>
        <v>0.20117508813160989</v>
      </c>
      <c r="O195">
        <f t="shared" ca="1" si="35"/>
        <v>0.15566934326389717</v>
      </c>
      <c r="P195">
        <f t="shared" ca="1" si="35"/>
        <v>0.1886251468860167</v>
      </c>
      <c r="Q195">
        <f t="shared" ca="1" si="35"/>
        <v>0.2759023719491237</v>
      </c>
      <c r="R195">
        <f t="shared" ca="1" si="31"/>
        <v>0.58276116218627583</v>
      </c>
      <c r="S195">
        <f t="shared" ca="1" si="31"/>
        <v>0.32169595407114338</v>
      </c>
      <c r="T195">
        <f t="shared" ca="1" si="31"/>
        <v>0.38980023501762656</v>
      </c>
      <c r="V195" s="4">
        <f t="shared" si="28"/>
        <v>41852</v>
      </c>
      <c r="W195" s="5">
        <f t="shared" ca="1" si="27"/>
        <v>0.28489649204553008</v>
      </c>
      <c r="Z195" s="4" t="e">
        <f>IF(Sheet3!$A195="",MATCH("Error",AF195,0),Sheet3!$A195)</f>
        <v>#N/A</v>
      </c>
      <c r="AA195" s="5" t="str">
        <f ca="1">IF(OFFSET(Sheet3!$A$1,0,MATCH(W$1,Sheet3!$1:$1,0)-1,300)="","",OFFSET(Sheet3!$A$1,0,MATCH(W$1,Sheet3!$1:$1,0)-1,300))</f>
        <v/>
      </c>
      <c r="AB195" s="5" t="str">
        <f ca="1">IF(OFFSET(Sheet3!$A$1,0,MATCH(X$1,Sheet3!$1:$1,0)-1,300)="","",OFFSET(Sheet3!$A$1,0,MATCH(X$1,Sheet3!$1:$1,0)-1,300))</f>
        <v/>
      </c>
      <c r="AC195" t="str">
        <f t="shared" ref="AC195:AC258" ca="1" si="36">IF(AND(AA195&lt;&gt;"",AB195&lt;&gt;""),ABS(AA195-AB195),"")</f>
        <v/>
      </c>
      <c r="AD195" t="str">
        <f t="shared" ref="AD195:AD258" ca="1" si="37">IF(ISNA(MATCH("",AC195:AC214,0)),AVERAGE(AC195:AC214),"")</f>
        <v/>
      </c>
    </row>
    <row r="196" spans="1:30" x14ac:dyDescent="0.25">
      <c r="A196" s="4">
        <v>41851</v>
      </c>
      <c r="B196">
        <v>0.72899999999999998</v>
      </c>
      <c r="C196" s="5">
        <v>1.1970000000000001</v>
      </c>
      <c r="D196">
        <v>1.8841999999999999</v>
      </c>
      <c r="E196">
        <v>2.306</v>
      </c>
      <c r="F196">
        <v>2.6973000000000003</v>
      </c>
      <c r="G196">
        <v>3.2993000000000001</v>
      </c>
      <c r="H196">
        <f t="shared" ca="1" si="35"/>
        <v>0.43576410906785024</v>
      </c>
      <c r="I196">
        <f t="shared" ca="1" si="35"/>
        <v>0.34913377025859865</v>
      </c>
      <c r="J196">
        <f t="shared" ca="1" si="35"/>
        <v>0.26736178656187987</v>
      </c>
      <c r="K196">
        <f t="shared" ca="1" si="35"/>
        <v>0.21429660112787691</v>
      </c>
      <c r="L196">
        <f t="shared" ca="1" si="35"/>
        <v>0.16410535735128201</v>
      </c>
      <c r="M196">
        <f t="shared" ca="1" si="35"/>
        <v>0.28114377124575091</v>
      </c>
      <c r="N196">
        <f t="shared" ca="1" si="35"/>
        <v>0.20063739713646966</v>
      </c>
      <c r="O196">
        <f t="shared" ca="1" si="35"/>
        <v>0.15223903824456297</v>
      </c>
      <c r="P196">
        <f t="shared" ca="1" si="35"/>
        <v>0.18612947723921427</v>
      </c>
      <c r="Q196">
        <f t="shared" ca="1" si="35"/>
        <v>0.27651756059642435</v>
      </c>
      <c r="R196">
        <f t="shared" ca="1" si="31"/>
        <v>0.58370618215772485</v>
      </c>
      <c r="S196">
        <f t="shared" ca="1" si="31"/>
        <v>0.31634439559584498</v>
      </c>
      <c r="T196">
        <f t="shared" ca="1" si="31"/>
        <v>0.38676687437568397</v>
      </c>
      <c r="V196" s="4">
        <f t="shared" si="28"/>
        <v>41851</v>
      </c>
      <c r="W196" s="5">
        <f t="shared" ca="1" si="27"/>
        <v>0.28114377124575091</v>
      </c>
      <c r="Z196" s="4" t="e">
        <f>IF(Sheet3!$A196="",MATCH("Error",AF196,0),Sheet3!$A196)</f>
        <v>#N/A</v>
      </c>
      <c r="AA196" s="5" t="str">
        <f ca="1">IF(OFFSET(Sheet3!$A$1,0,MATCH(W$1,Sheet3!$1:$1,0)-1,300)="","",OFFSET(Sheet3!$A$1,0,MATCH(W$1,Sheet3!$1:$1,0)-1,300))</f>
        <v/>
      </c>
      <c r="AB196" s="5" t="str">
        <f ca="1">IF(OFFSET(Sheet3!$A$1,0,MATCH(X$1,Sheet3!$1:$1,0)-1,300)="","",OFFSET(Sheet3!$A$1,0,MATCH(X$1,Sheet3!$1:$1,0)-1,300))</f>
        <v/>
      </c>
      <c r="AC196" t="str">
        <f t="shared" ca="1" si="36"/>
        <v/>
      </c>
      <c r="AD196" t="str">
        <f t="shared" ca="1" si="37"/>
        <v/>
      </c>
    </row>
    <row r="197" spans="1:30" x14ac:dyDescent="0.25">
      <c r="A197" s="4">
        <v>41850</v>
      </c>
      <c r="B197">
        <v>0.74050000000000005</v>
      </c>
      <c r="C197" s="5">
        <v>1.2046000000000001</v>
      </c>
      <c r="D197">
        <v>1.8862999999999999</v>
      </c>
      <c r="E197">
        <v>2.3010000000000002</v>
      </c>
      <c r="F197">
        <v>2.6865000000000001</v>
      </c>
      <c r="G197">
        <v>3.2894999999999999</v>
      </c>
      <c r="H197">
        <f t="shared" ca="1" si="35"/>
        <v>0.43684716437039389</v>
      </c>
      <c r="I197">
        <f t="shared" ca="1" si="35"/>
        <v>0.35030832476875629</v>
      </c>
      <c r="J197">
        <f t="shared" ca="1" si="35"/>
        <v>0.26743821106316196</v>
      </c>
      <c r="K197">
        <f t="shared" ca="1" si="35"/>
        <v>0.21310380267214812</v>
      </c>
      <c r="L197">
        <f t="shared" ca="1" si="35"/>
        <v>0.16269125147116528</v>
      </c>
      <c r="M197">
        <f t="shared" ca="1" si="35"/>
        <v>0.27984344422700608</v>
      </c>
      <c r="N197">
        <f t="shared" ca="1" si="35"/>
        <v>0.19890642237037764</v>
      </c>
      <c r="O197">
        <f t="shared" ca="1" si="35"/>
        <v>0.1512357787367595</v>
      </c>
      <c r="P197">
        <f t="shared" ca="1" si="35"/>
        <v>0.18490095448222937</v>
      </c>
      <c r="Q197">
        <f t="shared" ca="1" si="35"/>
        <v>0.27472919042189281</v>
      </c>
      <c r="R197">
        <f t="shared" ca="1" si="31"/>
        <v>0.58136524127108669</v>
      </c>
      <c r="S197">
        <f t="shared" ca="1" si="31"/>
        <v>0.31392703020792478</v>
      </c>
      <c r="T197">
        <f t="shared" ca="1" si="31"/>
        <v>0.38380737685260702</v>
      </c>
      <c r="V197" s="4">
        <f t="shared" si="28"/>
        <v>41850</v>
      </c>
      <c r="W197" s="5">
        <f t="shared" ca="1" si="27"/>
        <v>0.27984344422700608</v>
      </c>
      <c r="Z197" s="4" t="e">
        <f>IF(Sheet3!$A197="",MATCH("Error",AF197,0),Sheet3!$A197)</f>
        <v>#N/A</v>
      </c>
      <c r="AA197" s="5" t="str">
        <f ca="1">IF(OFFSET(Sheet3!$A$1,0,MATCH(W$1,Sheet3!$1:$1,0)-1,300)="","",OFFSET(Sheet3!$A$1,0,MATCH(W$1,Sheet3!$1:$1,0)-1,300))</f>
        <v/>
      </c>
      <c r="AB197" s="5" t="str">
        <f ca="1">IF(OFFSET(Sheet3!$A$1,0,MATCH(X$1,Sheet3!$1:$1,0)-1,300)="","",OFFSET(Sheet3!$A$1,0,MATCH(X$1,Sheet3!$1:$1,0)-1,300))</f>
        <v/>
      </c>
      <c r="AC197" t="str">
        <f t="shared" ca="1" si="36"/>
        <v/>
      </c>
      <c r="AD197" t="str">
        <f t="shared" ca="1" si="37"/>
        <v/>
      </c>
    </row>
    <row r="198" spans="1:30" x14ac:dyDescent="0.25">
      <c r="A198" s="4">
        <v>41849</v>
      </c>
      <c r="B198">
        <v>0.71150000000000002</v>
      </c>
      <c r="C198" s="5">
        <v>1.1608000000000001</v>
      </c>
      <c r="D198">
        <v>1.8174999999999999</v>
      </c>
      <c r="E198">
        <v>2.2149999999999999</v>
      </c>
      <c r="F198">
        <v>2.5897999999999999</v>
      </c>
      <c r="G198">
        <v>3.1985000000000001</v>
      </c>
      <c r="H198">
        <f t="shared" ca="1" si="35"/>
        <v>0.43678084469570994</v>
      </c>
      <c r="I198">
        <f t="shared" ca="1" si="35"/>
        <v>0.34962466059734859</v>
      </c>
      <c r="J198">
        <f t="shared" ca="1" si="35"/>
        <v>0.26405307599517486</v>
      </c>
      <c r="K198">
        <f t="shared" ca="1" si="35"/>
        <v>0.21162753553745409</v>
      </c>
      <c r="L198">
        <f t="shared" ca="1" si="35"/>
        <v>0.15983112183353435</v>
      </c>
      <c r="M198">
        <f t="shared" ca="1" si="35"/>
        <v>0.27816655003498952</v>
      </c>
      <c r="N198">
        <f t="shared" ca="1" si="35"/>
        <v>0.19507287628208272</v>
      </c>
      <c r="O198">
        <f t="shared" ca="1" si="35"/>
        <v>0.15070365902694008</v>
      </c>
      <c r="P198">
        <f t="shared" ca="1" si="35"/>
        <v>0.18393286548559651</v>
      </c>
      <c r="Q198">
        <f t="shared" ca="1" si="35"/>
        <v>0.27139753801593047</v>
      </c>
      <c r="R198">
        <f t="shared" ca="1" si="31"/>
        <v>0.57458785685564928</v>
      </c>
      <c r="S198">
        <f t="shared" ca="1" si="31"/>
        <v>0.31053478086047442</v>
      </c>
      <c r="T198">
        <f t="shared" ca="1" si="31"/>
        <v>0.37900574176767921</v>
      </c>
      <c r="V198" s="4">
        <f t="shared" si="28"/>
        <v>41849</v>
      </c>
      <c r="W198" s="5">
        <f t="shared" ca="1" si="27"/>
        <v>0.27816655003498952</v>
      </c>
      <c r="Z198" s="4" t="e">
        <f>IF(Sheet3!$A198="",MATCH("Error",AF198,0),Sheet3!$A198)</f>
        <v>#N/A</v>
      </c>
      <c r="AA198" s="5" t="str">
        <f ca="1">IF(OFFSET(Sheet3!$A$1,0,MATCH(W$1,Sheet3!$1:$1,0)-1,300)="","",OFFSET(Sheet3!$A$1,0,MATCH(W$1,Sheet3!$1:$1,0)-1,300))</f>
        <v/>
      </c>
      <c r="AB198" s="5" t="str">
        <f ca="1">IF(OFFSET(Sheet3!$A$1,0,MATCH(X$1,Sheet3!$1:$1,0)-1,300)="","",OFFSET(Sheet3!$A$1,0,MATCH(X$1,Sheet3!$1:$1,0)-1,300))</f>
        <v/>
      </c>
      <c r="AC198" t="str">
        <f t="shared" ca="1" si="36"/>
        <v/>
      </c>
      <c r="AD198" t="str">
        <f t="shared" ca="1" si="37"/>
        <v/>
      </c>
    </row>
    <row r="199" spans="1:30" x14ac:dyDescent="0.25">
      <c r="A199" s="4">
        <v>41848</v>
      </c>
      <c r="B199">
        <v>0.70950000000000002</v>
      </c>
      <c r="C199" s="5">
        <v>1.1615</v>
      </c>
      <c r="D199">
        <v>1.8304</v>
      </c>
      <c r="E199">
        <v>2.2330000000000001</v>
      </c>
      <c r="F199">
        <v>2.6109999999999998</v>
      </c>
      <c r="G199">
        <v>3.2240000000000002</v>
      </c>
      <c r="H199">
        <f t="shared" ca="1" si="35"/>
        <v>0.43905480800787661</v>
      </c>
      <c r="I199">
        <f t="shared" ca="1" si="35"/>
        <v>0.35177491454115178</v>
      </c>
      <c r="J199">
        <f t="shared" ca="1" si="35"/>
        <v>0.26601710081527147</v>
      </c>
      <c r="K199">
        <f t="shared" ca="1" si="35"/>
        <v>0.21172758348672108</v>
      </c>
      <c r="L199">
        <f t="shared" ca="1" si="35"/>
        <v>0.16011135414595351</v>
      </c>
      <c r="M199">
        <f t="shared" ca="1" si="35"/>
        <v>0.27775094860296662</v>
      </c>
      <c r="N199">
        <f t="shared" ca="1" si="35"/>
        <v>0.19520000000000004</v>
      </c>
      <c r="O199">
        <f t="shared" ca="1" si="35"/>
        <v>0.15032809703718419</v>
      </c>
      <c r="P199">
        <f t="shared" ca="1" si="35"/>
        <v>0.18327272727272712</v>
      </c>
      <c r="Q199">
        <f t="shared" ca="1" si="35"/>
        <v>0.27123995407577473</v>
      </c>
      <c r="R199">
        <f t="shared" ca="1" si="31"/>
        <v>0.57645655199840917</v>
      </c>
      <c r="S199">
        <f t="shared" ca="1" si="31"/>
        <v>0.3104394511831377</v>
      </c>
      <c r="T199">
        <f t="shared" ca="1" si="31"/>
        <v>0.37847272727272713</v>
      </c>
      <c r="V199" s="4">
        <f t="shared" si="28"/>
        <v>41848</v>
      </c>
      <c r="W199" s="5">
        <f t="shared" ca="1" si="27"/>
        <v>0.27775094860296662</v>
      </c>
      <c r="Z199" s="4" t="e">
        <f>IF(Sheet3!$A199="",MATCH("Error",AF199,0),Sheet3!$A199)</f>
        <v>#N/A</v>
      </c>
      <c r="AA199" s="5" t="str">
        <f ca="1">IF(OFFSET(Sheet3!$A$1,0,MATCH(W$1,Sheet3!$1:$1,0)-1,300)="","",OFFSET(Sheet3!$A$1,0,MATCH(W$1,Sheet3!$1:$1,0)-1,300))</f>
        <v/>
      </c>
      <c r="AB199" s="5" t="str">
        <f ca="1">IF(OFFSET(Sheet3!$A$1,0,MATCH(X$1,Sheet3!$1:$1,0)-1,300)="","",OFFSET(Sheet3!$A$1,0,MATCH(X$1,Sheet3!$1:$1,0)-1,300))</f>
        <v/>
      </c>
      <c r="AC199" t="str">
        <f t="shared" ca="1" si="36"/>
        <v/>
      </c>
      <c r="AD199" t="str">
        <f t="shared" ca="1" si="37"/>
        <v/>
      </c>
    </row>
    <row r="200" spans="1:30" x14ac:dyDescent="0.25">
      <c r="A200" s="4">
        <v>41845</v>
      </c>
      <c r="B200">
        <v>0.69159999999999999</v>
      </c>
      <c r="C200" s="5">
        <v>1.1375</v>
      </c>
      <c r="D200">
        <v>1.7970000000000002</v>
      </c>
      <c r="E200">
        <v>2.2050000000000001</v>
      </c>
      <c r="F200">
        <v>2.5895000000000001</v>
      </c>
      <c r="G200">
        <v>3.2040000000000002</v>
      </c>
      <c r="H200">
        <f t="shared" ca="1" si="35"/>
        <v>0.43577375446015604</v>
      </c>
      <c r="I200">
        <f t="shared" ca="1" si="35"/>
        <v>0.34748933031245066</v>
      </c>
      <c r="J200">
        <f t="shared" ca="1" si="35"/>
        <v>0.26249800987103966</v>
      </c>
      <c r="K200">
        <f t="shared" ca="1" si="35"/>
        <v>0.21497444543969646</v>
      </c>
      <c r="L200">
        <f t="shared" ca="1" si="35"/>
        <v>0.16239452316510103</v>
      </c>
      <c r="M200">
        <f t="shared" ca="1" si="35"/>
        <v>0.28099173553718998</v>
      </c>
      <c r="N200">
        <f t="shared" ca="1" si="35"/>
        <v>0.19743527703847077</v>
      </c>
      <c r="O200">
        <f t="shared" ca="1" si="35"/>
        <v>0.15304091705142495</v>
      </c>
      <c r="P200">
        <f t="shared" ca="1" si="35"/>
        <v>0.18606339220904911</v>
      </c>
      <c r="Q200">
        <f t="shared" ca="1" si="35"/>
        <v>0.27327647476901212</v>
      </c>
      <c r="R200">
        <f t="shared" ca="1" si="31"/>
        <v>0.57793345008756569</v>
      </c>
      <c r="S200">
        <f t="shared" ca="1" si="31"/>
        <v>0.31543544021652598</v>
      </c>
      <c r="T200">
        <f t="shared" ca="1" si="31"/>
        <v>0.38349866924751985</v>
      </c>
      <c r="V200" s="4">
        <f t="shared" si="28"/>
        <v>41845</v>
      </c>
      <c r="W200" s="5">
        <f t="shared" ca="1" si="27"/>
        <v>0.28099173553718998</v>
      </c>
      <c r="Z200" s="4" t="e">
        <f>IF(Sheet3!$A200="",MATCH("Error",AF200,0),Sheet3!$A200)</f>
        <v>#N/A</v>
      </c>
      <c r="AA200" s="5" t="str">
        <f ca="1">IF(OFFSET(Sheet3!$A$1,0,MATCH(W$1,Sheet3!$1:$1,0)-1,300)="","",OFFSET(Sheet3!$A$1,0,MATCH(W$1,Sheet3!$1:$1,0)-1,300))</f>
        <v/>
      </c>
      <c r="AB200" s="5" t="str">
        <f ca="1">IF(OFFSET(Sheet3!$A$1,0,MATCH(X$1,Sheet3!$1:$1,0)-1,300)="","",OFFSET(Sheet3!$A$1,0,MATCH(X$1,Sheet3!$1:$1,0)-1,300))</f>
        <v/>
      </c>
      <c r="AC200" t="str">
        <f t="shared" ca="1" si="36"/>
        <v/>
      </c>
      <c r="AD200" t="str">
        <f t="shared" ca="1" si="37"/>
        <v/>
      </c>
    </row>
    <row r="201" spans="1:30" x14ac:dyDescent="0.25">
      <c r="A201" s="4">
        <v>41844</v>
      </c>
      <c r="B201">
        <v>0.69199999999999995</v>
      </c>
      <c r="C201" s="5">
        <v>1.1415</v>
      </c>
      <c r="D201">
        <v>1.8195000000000001</v>
      </c>
      <c r="E201">
        <v>2.2347999999999999</v>
      </c>
      <c r="F201">
        <v>2.6269999999999998</v>
      </c>
      <c r="G201">
        <v>3.2645</v>
      </c>
      <c r="H201">
        <f t="shared" ca="1" si="35"/>
        <v>0.43946072076743598</v>
      </c>
      <c r="I201">
        <f t="shared" ca="1" si="35"/>
        <v>0.35038759689922494</v>
      </c>
      <c r="J201">
        <f t="shared" ca="1" si="35"/>
        <v>0.26355685131195344</v>
      </c>
      <c r="K201">
        <f t="shared" ca="1" si="35"/>
        <v>0.21462532299741593</v>
      </c>
      <c r="L201">
        <f t="shared" ca="1" si="35"/>
        <v>0.16143828960155485</v>
      </c>
      <c r="M201">
        <f t="shared" ca="1" si="35"/>
        <v>0.27956916863009079</v>
      </c>
      <c r="N201">
        <f t="shared" ca="1" si="35"/>
        <v>0.1956194065002354</v>
      </c>
      <c r="O201">
        <f t="shared" ca="1" si="35"/>
        <v>0.15245869776482018</v>
      </c>
      <c r="P201">
        <f t="shared" ca="1" si="35"/>
        <v>0.18473857748469141</v>
      </c>
      <c r="Q201">
        <f t="shared" ca="1" si="35"/>
        <v>0.27141868512110723</v>
      </c>
      <c r="R201">
        <f t="shared" ca="1" si="31"/>
        <v>0.57745383867832845</v>
      </c>
      <c r="S201">
        <f t="shared" ca="1" si="31"/>
        <v>0.313896987366375</v>
      </c>
      <c r="T201">
        <f t="shared" ca="1" si="31"/>
        <v>0.38035798398492682</v>
      </c>
      <c r="V201" s="4">
        <f t="shared" si="28"/>
        <v>41844</v>
      </c>
      <c r="W201" s="5">
        <f t="shared" ca="1" si="27"/>
        <v>0.27956916863009079</v>
      </c>
      <c r="Z201" s="4" t="e">
        <f>IF(Sheet3!$A201="",MATCH("Error",AF201,0),Sheet3!$A201)</f>
        <v>#N/A</v>
      </c>
      <c r="AA201" s="5" t="str">
        <f ca="1">IF(OFFSET(Sheet3!$A$1,0,MATCH(W$1,Sheet3!$1:$1,0)-1,300)="","",OFFSET(Sheet3!$A$1,0,MATCH(W$1,Sheet3!$1:$1,0)-1,300))</f>
        <v/>
      </c>
      <c r="AB201" s="5" t="str">
        <f ca="1">IF(OFFSET(Sheet3!$A$1,0,MATCH(X$1,Sheet3!$1:$1,0)-1,300)="","",OFFSET(Sheet3!$A$1,0,MATCH(X$1,Sheet3!$1:$1,0)-1,300))</f>
        <v/>
      </c>
      <c r="AC201" t="str">
        <f t="shared" ca="1" si="36"/>
        <v/>
      </c>
      <c r="AD201" t="str">
        <f t="shared" ca="1" si="37"/>
        <v/>
      </c>
    </row>
    <row r="202" spans="1:30" x14ac:dyDescent="0.25">
      <c r="A202" s="4">
        <v>41843</v>
      </c>
      <c r="B202">
        <v>0.66800000000000004</v>
      </c>
      <c r="C202" s="5">
        <v>1.1052999999999999</v>
      </c>
      <c r="D202">
        <v>1.7715000000000001</v>
      </c>
      <c r="E202">
        <v>2.1920000000000002</v>
      </c>
      <c r="F202">
        <v>2.59</v>
      </c>
      <c r="G202">
        <v>3.2364999999999999</v>
      </c>
      <c r="H202">
        <f t="shared" ca="1" si="35"/>
        <v>0.43713910761154862</v>
      </c>
      <c r="I202">
        <f t="shared" ca="1" si="35"/>
        <v>0.34661810613943822</v>
      </c>
      <c r="J202">
        <f t="shared" ca="1" si="35"/>
        <v>0.25937317500486673</v>
      </c>
      <c r="K202">
        <f t="shared" ca="1" si="35"/>
        <v>0.21878251821019779</v>
      </c>
      <c r="L202">
        <f t="shared" ca="1" si="35"/>
        <v>0.16371423009538646</v>
      </c>
      <c r="M202">
        <f t="shared" ca="1" si="35"/>
        <v>0.28322219977099761</v>
      </c>
      <c r="N202">
        <f t="shared" ca="1" si="35"/>
        <v>0.19730668168168175</v>
      </c>
      <c r="O202">
        <f t="shared" ca="1" si="35"/>
        <v>0.15495425345532401</v>
      </c>
      <c r="P202">
        <f t="shared" ca="1" si="35"/>
        <v>0.18674924924924913</v>
      </c>
      <c r="Q202">
        <f t="shared" ca="1" si="35"/>
        <v>0.27167235494880526</v>
      </c>
      <c r="R202">
        <f t="shared" ca="1" si="31"/>
        <v>0.57804165855557721</v>
      </c>
      <c r="S202">
        <f t="shared" ca="1" si="31"/>
        <v>0.31866848355071048</v>
      </c>
      <c r="T202">
        <f t="shared" ca="1" si="31"/>
        <v>0.38405593093093088</v>
      </c>
      <c r="V202" s="4">
        <f t="shared" si="28"/>
        <v>41843</v>
      </c>
      <c r="W202" s="5">
        <f t="shared" ca="1" si="27"/>
        <v>0.28322219977099761</v>
      </c>
      <c r="Z202" s="4" t="e">
        <f>IF(Sheet3!$A202="",MATCH("Error",AF202,0),Sheet3!$A202)</f>
        <v>#N/A</v>
      </c>
      <c r="AA202" s="5" t="str">
        <f ca="1">IF(OFFSET(Sheet3!$A$1,0,MATCH(W$1,Sheet3!$1:$1,0)-1,300)="","",OFFSET(Sheet3!$A$1,0,MATCH(W$1,Sheet3!$1:$1,0)-1,300))</f>
        <v/>
      </c>
      <c r="AB202" s="5" t="str">
        <f ca="1">IF(OFFSET(Sheet3!$A$1,0,MATCH(X$1,Sheet3!$1:$1,0)-1,300)="","",OFFSET(Sheet3!$A$1,0,MATCH(X$1,Sheet3!$1:$1,0)-1,300))</f>
        <v/>
      </c>
      <c r="AC202" t="str">
        <f t="shared" ca="1" si="36"/>
        <v/>
      </c>
      <c r="AD202" t="str">
        <f t="shared" ca="1" si="37"/>
        <v/>
      </c>
    </row>
    <row r="203" spans="1:30" x14ac:dyDescent="0.25">
      <c r="A203" s="4">
        <v>41842</v>
      </c>
      <c r="B203">
        <v>0.67589999999999995</v>
      </c>
      <c r="C203" s="5">
        <v>1.1157999999999999</v>
      </c>
      <c r="D203">
        <v>1.7749999999999999</v>
      </c>
      <c r="E203">
        <v>2.1920000000000002</v>
      </c>
      <c r="F203">
        <v>2.585</v>
      </c>
      <c r="G203">
        <v>3.2214999999999998</v>
      </c>
      <c r="H203">
        <f t="shared" ref="H203:Q212" ca="1" si="38">IF(ISERROR(ABS(OFFSET($A$11,ROW()-11,MATCH(LEFT(H$9,2),$A$11:$G$11,0)-1)-OFFSET($A$11,ROW()-11,MATCH(RIGHT(H$9,2),$A$11:$G$11,0)-1))/ABS(OFFSET($A$11,ROW()-11,MATCH(LEFT(H$10,2),$A$11:$G$11,0)-1)-OFFSET($A$11,ROW()-11,MATCH(RIGHT(H$10,2),$A$11:$G$11,0)-1))),"",ABS(OFFSET($A$11,ROW()-11,MATCH(LEFT(H$9,2),$A$11:$G$11,0)-1)-OFFSET($A$11,ROW()-11,MATCH(RIGHT(H$9,2),$A$11:$G$11,0)-1))/ABS(OFFSET($A$11,ROW()-11,MATCH(LEFT(H$10,2),$A$11:$G$11,0)-1)-OFFSET($A$11,ROW()-11,MATCH(RIGHT(H$10,2),$A$11:$G$11,0)-1)))</f>
        <v>0.43479981531561235</v>
      </c>
      <c r="I203">
        <f t="shared" ca="1" si="38"/>
        <v>0.34529359384002933</v>
      </c>
      <c r="J203">
        <f t="shared" ca="1" si="38"/>
        <v>0.25895663104965433</v>
      </c>
      <c r="K203">
        <f t="shared" ca="1" si="38"/>
        <v>0.21842753129747014</v>
      </c>
      <c r="L203">
        <f t="shared" ca="1" si="38"/>
        <v>0.16381206788183544</v>
      </c>
      <c r="M203">
        <f t="shared" ca="1" si="38"/>
        <v>0.28382793356928959</v>
      </c>
      <c r="N203">
        <f t="shared" ca="1" si="38"/>
        <v>0.19803390796409762</v>
      </c>
      <c r="O203">
        <f t="shared" ca="1" si="38"/>
        <v>0.1543840351979886</v>
      </c>
      <c r="P203">
        <f t="shared" ca="1" si="38"/>
        <v>0.18663627297335797</v>
      </c>
      <c r="Q203">
        <f t="shared" ca="1" si="38"/>
        <v>0.27169028689941227</v>
      </c>
      <c r="R203">
        <f t="shared" ca="1" si="31"/>
        <v>0.57715273412947832</v>
      </c>
      <c r="S203">
        <f t="shared" ca="1" si="31"/>
        <v>0.31819610307982404</v>
      </c>
      <c r="T203">
        <f t="shared" ca="1" si="31"/>
        <v>0.38467018093745559</v>
      </c>
      <c r="V203" s="4">
        <f t="shared" si="28"/>
        <v>41842</v>
      </c>
      <c r="W203" s="5">
        <f t="shared" ca="1" si="27"/>
        <v>0.28382793356928959</v>
      </c>
      <c r="Z203" s="4" t="e">
        <f>IF(Sheet3!$A203="",MATCH("Error",AF203,0),Sheet3!$A203)</f>
        <v>#N/A</v>
      </c>
      <c r="AA203" s="5" t="str">
        <f ca="1">IF(OFFSET(Sheet3!$A$1,0,MATCH(W$1,Sheet3!$1:$1,0)-1,300)="","",OFFSET(Sheet3!$A$1,0,MATCH(W$1,Sheet3!$1:$1,0)-1,300))</f>
        <v/>
      </c>
      <c r="AB203" s="5" t="str">
        <f ca="1">IF(OFFSET(Sheet3!$A$1,0,MATCH(X$1,Sheet3!$1:$1,0)-1,300)="","",OFFSET(Sheet3!$A$1,0,MATCH(X$1,Sheet3!$1:$1,0)-1,300))</f>
        <v/>
      </c>
      <c r="AC203" t="str">
        <f t="shared" ca="1" si="36"/>
        <v/>
      </c>
      <c r="AD203" t="str">
        <f t="shared" ca="1" si="37"/>
        <v/>
      </c>
    </row>
    <row r="204" spans="1:30" x14ac:dyDescent="0.25">
      <c r="A204" s="4">
        <v>41841</v>
      </c>
      <c r="B204">
        <v>0.68899999999999995</v>
      </c>
      <c r="C204" s="5">
        <v>1.1337999999999999</v>
      </c>
      <c r="D204">
        <v>1.798</v>
      </c>
      <c r="E204">
        <v>2.2044999999999999</v>
      </c>
      <c r="F204">
        <v>2.59</v>
      </c>
      <c r="G204">
        <v>3.2298</v>
      </c>
      <c r="H204">
        <f t="shared" ca="1" si="38"/>
        <v>0.43827119762454647</v>
      </c>
      <c r="I204">
        <f t="shared" ca="1" si="38"/>
        <v>0.34939505523408743</v>
      </c>
      <c r="J204">
        <f t="shared" ca="1" si="38"/>
        <v>0.26141372795969781</v>
      </c>
      <c r="K204">
        <f t="shared" ca="1" si="38"/>
        <v>0.21383482377695945</v>
      </c>
      <c r="L204">
        <f t="shared" ca="1" si="38"/>
        <v>0.15998897984886645</v>
      </c>
      <c r="M204">
        <f t="shared" ca="1" si="38"/>
        <v>0.27915121549237731</v>
      </c>
      <c r="N204">
        <f t="shared" ca="1" si="38"/>
        <v>0.19394083969465642</v>
      </c>
      <c r="O204">
        <f t="shared" ca="1" si="38"/>
        <v>0.15172386649874053</v>
      </c>
      <c r="P204">
        <f t="shared" ca="1" si="38"/>
        <v>0.18392175572519082</v>
      </c>
      <c r="Q204">
        <f t="shared" ca="1" si="38"/>
        <v>0.26924151417795777</v>
      </c>
      <c r="R204">
        <f t="shared" ca="1" si="31"/>
        <v>0.57312657430730474</v>
      </c>
      <c r="S204">
        <f t="shared" ca="1" si="31"/>
        <v>0.31171284634760699</v>
      </c>
      <c r="T204">
        <f t="shared" ca="1" si="31"/>
        <v>0.37786259541984724</v>
      </c>
      <c r="V204" s="4">
        <f t="shared" si="28"/>
        <v>41841</v>
      </c>
      <c r="W204" s="5">
        <f t="shared" ref="W204:W267" ca="1" si="39">OFFSET($H$12,0,MATCH(select,$H$12:$T$12,0)-1,300,1)</f>
        <v>0.27915121549237731</v>
      </c>
      <c r="Z204" s="4" t="e">
        <f>IF(Sheet3!$A204="",MATCH("Error",AF204,0),Sheet3!$A204)</f>
        <v>#N/A</v>
      </c>
      <c r="AA204" s="5" t="str">
        <f ca="1">IF(OFFSET(Sheet3!$A$1,0,MATCH(W$1,Sheet3!$1:$1,0)-1,300)="","",OFFSET(Sheet3!$A$1,0,MATCH(W$1,Sheet3!$1:$1,0)-1,300))</f>
        <v/>
      </c>
      <c r="AB204" s="5" t="str">
        <f ca="1">IF(OFFSET(Sheet3!$A$1,0,MATCH(X$1,Sheet3!$1:$1,0)-1,300)="","",OFFSET(Sheet3!$A$1,0,MATCH(X$1,Sheet3!$1:$1,0)-1,300))</f>
        <v/>
      </c>
      <c r="AC204" t="str">
        <f t="shared" ca="1" si="36"/>
        <v/>
      </c>
      <c r="AD204" t="str">
        <f t="shared" ca="1" si="37"/>
        <v/>
      </c>
    </row>
    <row r="205" spans="1:30" x14ac:dyDescent="0.25">
      <c r="A205" s="4">
        <v>41838</v>
      </c>
      <c r="B205">
        <v>0.66849999999999998</v>
      </c>
      <c r="C205" s="5">
        <v>1.1128</v>
      </c>
      <c r="D205">
        <v>1.7850000000000001</v>
      </c>
      <c r="E205">
        <v>2.2025000000000001</v>
      </c>
      <c r="F205">
        <v>2.5985</v>
      </c>
      <c r="G205">
        <v>3.2572999999999999</v>
      </c>
      <c r="H205">
        <f t="shared" ca="1" si="38"/>
        <v>0.43820078226857889</v>
      </c>
      <c r="I205">
        <f t="shared" ca="1" si="38"/>
        <v>0.34829015544041453</v>
      </c>
      <c r="J205">
        <f t="shared" ca="1" si="38"/>
        <v>0.2596569839307788</v>
      </c>
      <c r="K205">
        <f t="shared" ca="1" si="38"/>
        <v>0.21632124352331603</v>
      </c>
      <c r="L205">
        <f t="shared" ca="1" si="38"/>
        <v>0.16127163164400493</v>
      </c>
      <c r="M205">
        <f t="shared" ca="1" si="38"/>
        <v>0.28101231742612909</v>
      </c>
      <c r="N205">
        <f t="shared" ca="1" si="38"/>
        <v>0.19468407554208442</v>
      </c>
      <c r="O205">
        <f t="shared" ca="1" si="38"/>
        <v>0.15296662546353521</v>
      </c>
      <c r="P205">
        <f t="shared" ca="1" si="38"/>
        <v>0.18465842853812076</v>
      </c>
      <c r="Q205">
        <f t="shared" ca="1" si="38"/>
        <v>0.26896692250220744</v>
      </c>
      <c r="R205">
        <f t="shared" ca="1" si="31"/>
        <v>0.5738952410383189</v>
      </c>
      <c r="S205">
        <f t="shared" ca="1" si="31"/>
        <v>0.31423825710754011</v>
      </c>
      <c r="T205">
        <f t="shared" ca="1" si="31"/>
        <v>0.37934250408020515</v>
      </c>
      <c r="V205" s="4">
        <f t="shared" si="28"/>
        <v>41838</v>
      </c>
      <c r="W205" s="5">
        <f t="shared" ca="1" si="39"/>
        <v>0.28101231742612909</v>
      </c>
      <c r="Z205" s="4" t="e">
        <f>IF(Sheet3!$A205="",MATCH("Error",AF205,0),Sheet3!$A205)</f>
        <v>#N/A</v>
      </c>
      <c r="AA205" s="5" t="str">
        <f ca="1">IF(OFFSET(Sheet3!$A$1,0,MATCH(W$1,Sheet3!$1:$1,0)-1,300)="","",OFFSET(Sheet3!$A$1,0,MATCH(W$1,Sheet3!$1:$1,0)-1,300))</f>
        <v/>
      </c>
      <c r="AB205" s="5" t="str">
        <f ca="1">IF(OFFSET(Sheet3!$A$1,0,MATCH(X$1,Sheet3!$1:$1,0)-1,300)="","",OFFSET(Sheet3!$A$1,0,MATCH(X$1,Sheet3!$1:$1,0)-1,300))</f>
        <v/>
      </c>
      <c r="AC205" t="str">
        <f t="shared" ca="1" si="36"/>
        <v/>
      </c>
      <c r="AD205" t="str">
        <f t="shared" ca="1" si="37"/>
        <v/>
      </c>
    </row>
    <row r="206" spans="1:30" x14ac:dyDescent="0.25">
      <c r="A206" s="4">
        <v>41837</v>
      </c>
      <c r="B206">
        <v>0.64249999999999996</v>
      </c>
      <c r="C206" s="5">
        <v>1.0734999999999999</v>
      </c>
      <c r="D206">
        <v>1.7349999999999999</v>
      </c>
      <c r="E206">
        <v>2.1619999999999999</v>
      </c>
      <c r="F206">
        <v>2.5693000000000001</v>
      </c>
      <c r="G206">
        <v>3.2404999999999999</v>
      </c>
      <c r="H206">
        <f t="shared" ca="1" si="38"/>
        <v>0.43534057255676212</v>
      </c>
      <c r="I206">
        <f t="shared" ca="1" si="38"/>
        <v>0.34331534149885817</v>
      </c>
      <c r="J206">
        <f t="shared" ca="1" si="38"/>
        <v>0.25461893764434179</v>
      </c>
      <c r="K206">
        <f t="shared" ca="1" si="38"/>
        <v>0.22161096117915716</v>
      </c>
      <c r="L206">
        <f t="shared" ca="1" si="38"/>
        <v>0.16435719784449579</v>
      </c>
      <c r="M206">
        <f t="shared" ca="1" si="38"/>
        <v>0.285465971386549</v>
      </c>
      <c r="N206">
        <f t="shared" ca="1" si="38"/>
        <v>0.19704660821412096</v>
      </c>
      <c r="O206">
        <f t="shared" ca="1" si="38"/>
        <v>0.15677444187836806</v>
      </c>
      <c r="P206">
        <f t="shared" ca="1" si="38"/>
        <v>0.18795569912321192</v>
      </c>
      <c r="Q206">
        <f t="shared" ca="1" si="38"/>
        <v>0.2705413483892396</v>
      </c>
      <c r="R206">
        <f t="shared" ca="1" si="31"/>
        <v>0.5757505773672057</v>
      </c>
      <c r="S206">
        <f t="shared" ca="1" si="31"/>
        <v>0.32113163972286385</v>
      </c>
      <c r="T206">
        <f t="shared" ca="1" si="31"/>
        <v>0.38500230733733287</v>
      </c>
      <c r="V206" s="4">
        <f t="shared" ref="V206:V269" si="40">IF(A206&lt;&gt;"",A206,"")</f>
        <v>41837</v>
      </c>
      <c r="W206" s="5">
        <f t="shared" ca="1" si="39"/>
        <v>0.285465971386549</v>
      </c>
      <c r="Z206" s="4" t="e">
        <f>IF(Sheet3!$A206="",MATCH("Error",AF206,0),Sheet3!$A206)</f>
        <v>#N/A</v>
      </c>
      <c r="AA206" s="5" t="str">
        <f ca="1">IF(OFFSET(Sheet3!$A$1,0,MATCH(W$1,Sheet3!$1:$1,0)-1,300)="","",OFFSET(Sheet3!$A$1,0,MATCH(W$1,Sheet3!$1:$1,0)-1,300))</f>
        <v/>
      </c>
      <c r="AB206" s="5" t="str">
        <f ca="1">IF(OFFSET(Sheet3!$A$1,0,MATCH(X$1,Sheet3!$1:$1,0)-1,300)="","",OFFSET(Sheet3!$A$1,0,MATCH(X$1,Sheet3!$1:$1,0)-1,300))</f>
        <v/>
      </c>
      <c r="AC206" t="str">
        <f t="shared" ca="1" si="36"/>
        <v/>
      </c>
      <c r="AD206" t="str">
        <f t="shared" ca="1" si="37"/>
        <v/>
      </c>
    </row>
    <row r="207" spans="1:30" x14ac:dyDescent="0.25">
      <c r="A207" s="4">
        <v>41836</v>
      </c>
      <c r="B207">
        <v>0.66700000000000004</v>
      </c>
      <c r="C207" s="5">
        <v>1.1114999999999999</v>
      </c>
      <c r="D207">
        <v>1.7915000000000001</v>
      </c>
      <c r="E207">
        <v>2.226</v>
      </c>
      <c r="F207">
        <v>2.6355</v>
      </c>
      <c r="G207">
        <v>3.3058999999999998</v>
      </c>
      <c r="H207">
        <f t="shared" ca="1" si="38"/>
        <v>0.43617703656189877</v>
      </c>
      <c r="I207">
        <f t="shared" ca="1" si="38"/>
        <v>0.34544069088138185</v>
      </c>
      <c r="J207">
        <f t="shared" ca="1" si="38"/>
        <v>0.25768312554473466</v>
      </c>
      <c r="K207">
        <f t="shared" ca="1" si="38"/>
        <v>0.22072644145288287</v>
      </c>
      <c r="L207">
        <f t="shared" ca="1" si="38"/>
        <v>0.16465193830762817</v>
      </c>
      <c r="M207">
        <f t="shared" ca="1" si="38"/>
        <v>0.28510498687664032</v>
      </c>
      <c r="N207">
        <f t="shared" ca="1" si="38"/>
        <v>0.19800401020780165</v>
      </c>
      <c r="O207">
        <f t="shared" ca="1" si="38"/>
        <v>0.15517829398613059</v>
      </c>
      <c r="P207">
        <f t="shared" ca="1" si="38"/>
        <v>0.18661137440758294</v>
      </c>
      <c r="Q207">
        <f t="shared" ca="1" si="38"/>
        <v>0.27040412044374013</v>
      </c>
      <c r="R207">
        <f t="shared" ca="1" si="31"/>
        <v>0.57751335783849345</v>
      </c>
      <c r="S207">
        <f t="shared" ca="1" si="31"/>
        <v>0.31983023229375879</v>
      </c>
      <c r="T207">
        <f t="shared" ca="1" si="31"/>
        <v>0.38461538461538458</v>
      </c>
      <c r="V207" s="4">
        <f t="shared" si="40"/>
        <v>41836</v>
      </c>
      <c r="W207" s="5">
        <f t="shared" ca="1" si="39"/>
        <v>0.28510498687664032</v>
      </c>
      <c r="Z207" s="4" t="e">
        <f>IF(Sheet3!$A207="",MATCH("Error",AF207,0),Sheet3!$A207)</f>
        <v>#N/A</v>
      </c>
      <c r="AA207" s="5" t="str">
        <f ca="1">IF(OFFSET(Sheet3!$A$1,0,MATCH(W$1,Sheet3!$1:$1,0)-1,300)="","",OFFSET(Sheet3!$A$1,0,MATCH(W$1,Sheet3!$1:$1,0)-1,300))</f>
        <v/>
      </c>
      <c r="AB207" s="5" t="str">
        <f ca="1">IF(OFFSET(Sheet3!$A$1,0,MATCH(X$1,Sheet3!$1:$1,0)-1,300)="","",OFFSET(Sheet3!$A$1,0,MATCH(X$1,Sheet3!$1:$1,0)-1,300))</f>
        <v/>
      </c>
      <c r="AC207" t="str">
        <f t="shared" ca="1" si="36"/>
        <v/>
      </c>
      <c r="AD207" t="str">
        <f t="shared" ca="1" si="37"/>
        <v/>
      </c>
    </row>
    <row r="208" spans="1:30" x14ac:dyDescent="0.25">
      <c r="A208" s="4">
        <v>41835</v>
      </c>
      <c r="B208">
        <v>0.65800000000000003</v>
      </c>
      <c r="C208" s="5">
        <v>1.0965</v>
      </c>
      <c r="D208">
        <v>1.79</v>
      </c>
      <c r="E208">
        <v>2.2355</v>
      </c>
      <c r="F208">
        <v>2.6564999999999999</v>
      </c>
      <c r="G208">
        <v>3.3334999999999999</v>
      </c>
      <c r="H208">
        <f t="shared" ca="1" si="38"/>
        <v>0.4396196513470681</v>
      </c>
      <c r="I208">
        <f t="shared" ca="1" si="38"/>
        <v>0.34701025769326999</v>
      </c>
      <c r="J208">
        <f t="shared" ca="1" si="38"/>
        <v>0.25920388712390208</v>
      </c>
      <c r="K208">
        <f t="shared" ca="1" si="38"/>
        <v>0.22291718789091819</v>
      </c>
      <c r="L208">
        <f t="shared" ca="1" si="38"/>
        <v>0.1665109325359746</v>
      </c>
      <c r="M208">
        <f t="shared" ca="1" si="38"/>
        <v>0.28557692307692312</v>
      </c>
      <c r="N208">
        <f t="shared" ca="1" si="38"/>
        <v>0.19915064818953956</v>
      </c>
      <c r="O208">
        <f t="shared" ca="1" si="38"/>
        <v>0.15735376565128006</v>
      </c>
      <c r="P208">
        <f t="shared" ca="1" si="38"/>
        <v>0.18819848010728646</v>
      </c>
      <c r="Q208">
        <f t="shared" ca="1" si="38"/>
        <v>0.27275672173631349</v>
      </c>
      <c r="R208">
        <f t="shared" ca="1" si="31"/>
        <v>0.58306858531115668</v>
      </c>
      <c r="S208">
        <f t="shared" ca="1" si="31"/>
        <v>0.32386469818725466</v>
      </c>
      <c r="T208">
        <f t="shared" ca="1" si="31"/>
        <v>0.387349128296826</v>
      </c>
      <c r="V208" s="4">
        <f t="shared" si="40"/>
        <v>41835</v>
      </c>
      <c r="W208" s="5">
        <f t="shared" ca="1" si="39"/>
        <v>0.28557692307692312</v>
      </c>
      <c r="Z208" s="4" t="e">
        <f>IF(Sheet3!$A208="",MATCH("Error",AF208,0),Sheet3!$A208)</f>
        <v>#N/A</v>
      </c>
      <c r="AA208" s="5" t="str">
        <f ca="1">IF(OFFSET(Sheet3!$A$1,0,MATCH(W$1,Sheet3!$1:$1,0)-1,300)="","",OFFSET(Sheet3!$A$1,0,MATCH(W$1,Sheet3!$1:$1,0)-1,300))</f>
        <v/>
      </c>
      <c r="AB208" s="5" t="str">
        <f ca="1">IF(OFFSET(Sheet3!$A$1,0,MATCH(X$1,Sheet3!$1:$1,0)-1,300)="","",OFFSET(Sheet3!$A$1,0,MATCH(X$1,Sheet3!$1:$1,0)-1,300))</f>
        <v/>
      </c>
      <c r="AC208" t="str">
        <f t="shared" ca="1" si="36"/>
        <v/>
      </c>
      <c r="AD208" t="str">
        <f t="shared" ca="1" si="37"/>
        <v/>
      </c>
    </row>
    <row r="209" spans="1:30" x14ac:dyDescent="0.25">
      <c r="A209" s="4">
        <v>41834</v>
      </c>
      <c r="B209">
        <v>0.63400000000000001</v>
      </c>
      <c r="C209" s="5">
        <v>1.0685</v>
      </c>
      <c r="D209">
        <v>1.7690000000000001</v>
      </c>
      <c r="E209">
        <v>2.226</v>
      </c>
      <c r="F209">
        <v>2.6562000000000001</v>
      </c>
      <c r="G209">
        <v>3.3370000000000002</v>
      </c>
      <c r="H209">
        <f t="shared" ca="1" si="38"/>
        <v>0.44001256281407042</v>
      </c>
      <c r="I209">
        <f t="shared" ca="1" si="38"/>
        <v>0.34640490554841263</v>
      </c>
      <c r="J209">
        <f t="shared" ca="1" si="38"/>
        <v>0.25915649278579356</v>
      </c>
      <c r="K209">
        <f t="shared" ca="1" si="38"/>
        <v>0.2259914944120264</v>
      </c>
      <c r="L209">
        <f t="shared" ca="1" si="38"/>
        <v>0.16907140214576388</v>
      </c>
      <c r="M209">
        <f t="shared" ca="1" si="38"/>
        <v>0.28783775272406614</v>
      </c>
      <c r="N209">
        <f t="shared" ca="1" si="38"/>
        <v>0.20145470575269991</v>
      </c>
      <c r="O209">
        <f t="shared" ca="1" si="38"/>
        <v>0.15915649278579361</v>
      </c>
      <c r="P209">
        <f t="shared" ca="1" si="38"/>
        <v>0.18964073176107563</v>
      </c>
      <c r="Q209">
        <f t="shared" ca="1" si="38"/>
        <v>0.27436224489795924</v>
      </c>
      <c r="R209">
        <f t="shared" ca="1" si="31"/>
        <v>0.58738438771735102</v>
      </c>
      <c r="S209">
        <f t="shared" ca="1" si="31"/>
        <v>0.32822789493155746</v>
      </c>
      <c r="T209">
        <f t="shared" ca="1" si="31"/>
        <v>0.39109543751377557</v>
      </c>
      <c r="V209" s="4">
        <f t="shared" si="40"/>
        <v>41834</v>
      </c>
      <c r="W209" s="5">
        <f t="shared" ca="1" si="39"/>
        <v>0.28783775272406614</v>
      </c>
      <c r="Z209" s="4" t="e">
        <f>IF(Sheet3!$A209="",MATCH("Error",AF209,0),Sheet3!$A209)</f>
        <v>#N/A</v>
      </c>
      <c r="AA209" s="5" t="str">
        <f ca="1">IF(OFFSET(Sheet3!$A$1,0,MATCH(W$1,Sheet3!$1:$1,0)-1,300)="","",OFFSET(Sheet3!$A$1,0,MATCH(W$1,Sheet3!$1:$1,0)-1,300))</f>
        <v/>
      </c>
      <c r="AB209" s="5" t="str">
        <f ca="1">IF(OFFSET(Sheet3!$A$1,0,MATCH(X$1,Sheet3!$1:$1,0)-1,300)="","",OFFSET(Sheet3!$A$1,0,MATCH(X$1,Sheet3!$1:$1,0)-1,300))</f>
        <v/>
      </c>
      <c r="AC209" t="str">
        <f t="shared" ca="1" si="36"/>
        <v/>
      </c>
      <c r="AD209" t="str">
        <f t="shared" ca="1" si="37"/>
        <v/>
      </c>
    </row>
    <row r="210" spans="1:30" x14ac:dyDescent="0.25">
      <c r="A210" s="4">
        <v>41831</v>
      </c>
      <c r="B210">
        <v>0.61819999999999997</v>
      </c>
      <c r="C210" s="5">
        <v>1.044</v>
      </c>
      <c r="D210">
        <v>1.744</v>
      </c>
      <c r="E210">
        <v>2.2000000000000002</v>
      </c>
      <c r="F210">
        <v>2.6280000000000001</v>
      </c>
      <c r="G210">
        <v>3.3033000000000001</v>
      </c>
      <c r="H210">
        <f t="shared" ca="1" si="38"/>
        <v>0.4425338222278416</v>
      </c>
      <c r="I210">
        <f t="shared" ca="1" si="38"/>
        <v>0.34829336252363413</v>
      </c>
      <c r="J210">
        <f t="shared" ca="1" si="38"/>
        <v>0.2606979255893635</v>
      </c>
      <c r="K210">
        <f t="shared" ca="1" si="38"/>
        <v>0.22688824758682463</v>
      </c>
      <c r="L210">
        <f t="shared" ca="1" si="38"/>
        <v>0.16982607724107115</v>
      </c>
      <c r="M210">
        <f t="shared" ca="1" si="38"/>
        <v>0.28787878787878796</v>
      </c>
      <c r="N210">
        <f t="shared" ca="1" si="38"/>
        <v>0.20183242597264647</v>
      </c>
      <c r="O210">
        <f t="shared" ca="1" si="38"/>
        <v>0.1593981602174965</v>
      </c>
      <c r="P210">
        <f t="shared" ca="1" si="38"/>
        <v>0.18943920683397508</v>
      </c>
      <c r="Q210">
        <f t="shared" ca="1" si="38"/>
        <v>0.27448213942153527</v>
      </c>
      <c r="R210">
        <f t="shared" ca="1" si="31"/>
        <v>0.5899221630479311</v>
      </c>
      <c r="S210">
        <f t="shared" ca="1" si="31"/>
        <v>0.32922423745856766</v>
      </c>
      <c r="T210">
        <f t="shared" ca="1" si="31"/>
        <v>0.39127163280662158</v>
      </c>
      <c r="V210" s="4">
        <f t="shared" si="40"/>
        <v>41831</v>
      </c>
      <c r="W210" s="5">
        <f t="shared" ca="1" si="39"/>
        <v>0.28787878787878796</v>
      </c>
      <c r="Z210" s="4" t="e">
        <f>IF(Sheet3!$A210="",MATCH("Error",AF210,0),Sheet3!$A210)</f>
        <v>#N/A</v>
      </c>
      <c r="AA210" s="5" t="str">
        <f ca="1">IF(OFFSET(Sheet3!$A$1,0,MATCH(W$1,Sheet3!$1:$1,0)-1,300)="","",OFFSET(Sheet3!$A$1,0,MATCH(W$1,Sheet3!$1:$1,0)-1,300))</f>
        <v/>
      </c>
      <c r="AB210" s="5" t="str">
        <f ca="1">IF(OFFSET(Sheet3!$A$1,0,MATCH(X$1,Sheet3!$1:$1,0)-1,300)="","",OFFSET(Sheet3!$A$1,0,MATCH(X$1,Sheet3!$1:$1,0)-1,300))</f>
        <v/>
      </c>
      <c r="AC210" t="str">
        <f t="shared" ca="1" si="36"/>
        <v/>
      </c>
      <c r="AD210" t="str">
        <f t="shared" ca="1" si="37"/>
        <v/>
      </c>
    </row>
    <row r="211" spans="1:30" x14ac:dyDescent="0.25">
      <c r="A211" s="4">
        <v>41830</v>
      </c>
      <c r="B211">
        <v>0.625</v>
      </c>
      <c r="C211" s="5">
        <v>1.0545</v>
      </c>
      <c r="D211">
        <v>1.754</v>
      </c>
      <c r="E211">
        <v>2.214</v>
      </c>
      <c r="F211">
        <v>2.6478000000000002</v>
      </c>
      <c r="G211">
        <v>3.3412999999999999</v>
      </c>
      <c r="H211">
        <f t="shared" ca="1" si="38"/>
        <v>0.44021397105097548</v>
      </c>
      <c r="I211">
        <f t="shared" ca="1" si="38"/>
        <v>0.34580779118054178</v>
      </c>
      <c r="J211">
        <f t="shared" ca="1" si="38"/>
        <v>0.25751941979899129</v>
      </c>
      <c r="K211">
        <f t="shared" ca="1" si="38"/>
        <v>0.22740755388570294</v>
      </c>
      <c r="L211">
        <f t="shared" ca="1" si="38"/>
        <v>0.16934801016088061</v>
      </c>
      <c r="M211">
        <f t="shared" ca="1" si="38"/>
        <v>0.28870896880687874</v>
      </c>
      <c r="N211">
        <f t="shared" ca="1" si="38"/>
        <v>0.20115445163547313</v>
      </c>
      <c r="O211">
        <f t="shared" ca="1" si="38"/>
        <v>0.159702536538674</v>
      </c>
      <c r="P211">
        <f t="shared" ca="1" si="38"/>
        <v>0.18969739373797453</v>
      </c>
      <c r="Q211">
        <f t="shared" ca="1" si="38"/>
        <v>0.27329427329427342</v>
      </c>
      <c r="R211">
        <f t="shared" ca="1" si="31"/>
        <v>0.58656996649854587</v>
      </c>
      <c r="S211">
        <f t="shared" ca="1" si="31"/>
        <v>0.32905054669955458</v>
      </c>
      <c r="T211">
        <f t="shared" ca="1" si="31"/>
        <v>0.39085184537344769</v>
      </c>
      <c r="V211" s="4">
        <f t="shared" si="40"/>
        <v>41830</v>
      </c>
      <c r="W211" s="5">
        <f t="shared" ca="1" si="39"/>
        <v>0.28870896880687874</v>
      </c>
      <c r="Z211" s="4" t="e">
        <f>IF(Sheet3!$A211="",MATCH("Error",AF211,0),Sheet3!$A211)</f>
        <v>#N/A</v>
      </c>
      <c r="AA211" s="5" t="str">
        <f ca="1">IF(OFFSET(Sheet3!$A$1,0,MATCH(W$1,Sheet3!$1:$1,0)-1,300)="","",OFFSET(Sheet3!$A$1,0,MATCH(W$1,Sheet3!$1:$1,0)-1,300))</f>
        <v/>
      </c>
      <c r="AB211" s="5" t="str">
        <f ca="1">IF(OFFSET(Sheet3!$A$1,0,MATCH(X$1,Sheet3!$1:$1,0)-1,300)="","",OFFSET(Sheet3!$A$1,0,MATCH(X$1,Sheet3!$1:$1,0)-1,300))</f>
        <v/>
      </c>
      <c r="AC211" t="str">
        <f t="shared" ca="1" si="36"/>
        <v/>
      </c>
      <c r="AD211" t="str">
        <f t="shared" ca="1" si="37"/>
        <v/>
      </c>
    </row>
    <row r="212" spans="1:30" x14ac:dyDescent="0.25">
      <c r="A212" s="4">
        <v>41829</v>
      </c>
      <c r="B212">
        <v>0.61899999999999999</v>
      </c>
      <c r="C212" s="5">
        <v>1.0463</v>
      </c>
      <c r="D212">
        <v>1.7538</v>
      </c>
      <c r="E212">
        <v>2.218</v>
      </c>
      <c r="F212">
        <v>2.65</v>
      </c>
      <c r="G212">
        <v>3.3445</v>
      </c>
      <c r="H212">
        <f t="shared" ca="1" si="38"/>
        <v>0.44246404002501566</v>
      </c>
      <c r="I212">
        <f t="shared" ca="1" si="38"/>
        <v>0.34835056622353527</v>
      </c>
      <c r="J212">
        <f t="shared" ca="1" si="38"/>
        <v>0.25958539717483031</v>
      </c>
      <c r="K212">
        <f t="shared" ca="1" si="38"/>
        <v>0.22855736090595766</v>
      </c>
      <c r="L212">
        <f t="shared" ca="1" si="38"/>
        <v>0.17031737295909005</v>
      </c>
      <c r="M212">
        <f t="shared" ca="1" si="38"/>
        <v>0.2894556338467294</v>
      </c>
      <c r="N212">
        <f t="shared" ca="1" si="38"/>
        <v>0.20198416151770948</v>
      </c>
      <c r="O212">
        <f t="shared" ca="1" si="38"/>
        <v>0.15850302696752885</v>
      </c>
      <c r="P212">
        <f t="shared" ca="1" si="38"/>
        <v>0.18797319641458529</v>
      </c>
      <c r="Q212">
        <f t="shared" ca="1" si="38"/>
        <v>0.27157855032375677</v>
      </c>
      <c r="R212">
        <f t="shared" ca="1" si="31"/>
        <v>0.58840579710144914</v>
      </c>
      <c r="S212">
        <f t="shared" ca="1" si="31"/>
        <v>0.32882039992661888</v>
      </c>
      <c r="T212">
        <f t="shared" ca="1" si="31"/>
        <v>0.3899573579322948</v>
      </c>
      <c r="V212" s="4">
        <f t="shared" si="40"/>
        <v>41829</v>
      </c>
      <c r="W212" s="5">
        <f t="shared" ca="1" si="39"/>
        <v>0.2894556338467294</v>
      </c>
      <c r="Z212" s="4" t="e">
        <f>IF(Sheet3!$A212="",MATCH("Error",AF212,0),Sheet3!$A212)</f>
        <v>#N/A</v>
      </c>
      <c r="AA212" s="5" t="str">
        <f ca="1">IF(OFFSET(Sheet3!$A$1,0,MATCH(W$1,Sheet3!$1:$1,0)-1,300)="","",OFFSET(Sheet3!$A$1,0,MATCH(W$1,Sheet3!$1:$1,0)-1,300))</f>
        <v/>
      </c>
      <c r="AB212" s="5" t="str">
        <f ca="1">IF(OFFSET(Sheet3!$A$1,0,MATCH(X$1,Sheet3!$1:$1,0)-1,300)="","",OFFSET(Sheet3!$A$1,0,MATCH(X$1,Sheet3!$1:$1,0)-1,300))</f>
        <v/>
      </c>
      <c r="AC212" t="str">
        <f t="shared" ca="1" si="36"/>
        <v/>
      </c>
      <c r="AD212" t="str">
        <f t="shared" ca="1" si="37"/>
        <v/>
      </c>
    </row>
    <row r="213" spans="1:30" x14ac:dyDescent="0.25">
      <c r="A213" s="4">
        <v>41828</v>
      </c>
      <c r="B213">
        <v>0.64649999999999996</v>
      </c>
      <c r="C213" s="5">
        <v>1.0803</v>
      </c>
      <c r="D213">
        <v>1.7709999999999999</v>
      </c>
      <c r="E213">
        <v>2.2280000000000002</v>
      </c>
      <c r="F213">
        <v>2.6535000000000002</v>
      </c>
      <c r="G213">
        <v>3.3378000000000001</v>
      </c>
      <c r="H213">
        <f t="shared" ref="H213:Q222" ca="1" si="41">IF(ISERROR(ABS(OFFSET($A$11,ROW()-11,MATCH(LEFT(H$9,2),$A$11:$G$11,0)-1)-OFFSET($A$11,ROW()-11,MATCH(RIGHT(H$9,2),$A$11:$G$11,0)-1))/ABS(OFFSET($A$11,ROW()-11,MATCH(LEFT(H$10,2),$A$11:$G$11,0)-1)-OFFSET($A$11,ROW()-11,MATCH(RIGHT(H$10,2),$A$11:$G$11,0)-1))),"",ABS(OFFSET($A$11,ROW()-11,MATCH(LEFT(H$9,2),$A$11:$G$11,0)-1)-OFFSET($A$11,ROW()-11,MATCH(RIGHT(H$9,2),$A$11:$G$11,0)-1))/ABS(OFFSET($A$11,ROW()-11,MATCH(LEFT(H$10,2),$A$11:$G$11,0)-1)-OFFSET($A$11,ROW()-11,MATCH(RIGHT(H$10,2),$A$11:$G$11,0)-1)))</f>
        <v>0.43673727473917157</v>
      </c>
      <c r="I213">
        <f t="shared" ca="1" si="41"/>
        <v>0.34414549078226198</v>
      </c>
      <c r="J213">
        <f t="shared" ca="1" si="41"/>
        <v>0.25664177163452601</v>
      </c>
      <c r="K213">
        <f t="shared" ca="1" si="41"/>
        <v>0.22770303936223232</v>
      </c>
      <c r="L213">
        <f t="shared" ca="1" si="41"/>
        <v>0.16980641325753365</v>
      </c>
      <c r="M213">
        <f t="shared" ca="1" si="41"/>
        <v>0.29049071955250461</v>
      </c>
      <c r="N213">
        <f t="shared" ca="1" si="41"/>
        <v>0.20243632336655604</v>
      </c>
      <c r="O213">
        <f t="shared" ca="1" si="41"/>
        <v>0.15810203247501206</v>
      </c>
      <c r="P213">
        <f t="shared" ca="1" si="41"/>
        <v>0.18848283499446286</v>
      </c>
      <c r="Q213">
        <f t="shared" ca="1" si="41"/>
        <v>0.27157263211641558</v>
      </c>
      <c r="R213">
        <f t="shared" ca="1" si="31"/>
        <v>0.58455021736707169</v>
      </c>
      <c r="S213">
        <f t="shared" ca="1" si="31"/>
        <v>0.32790844573254574</v>
      </c>
      <c r="T213">
        <f t="shared" ca="1" si="31"/>
        <v>0.39091915836101893</v>
      </c>
      <c r="V213" s="4">
        <f t="shared" si="40"/>
        <v>41828</v>
      </c>
      <c r="W213" s="5">
        <f t="shared" ca="1" si="39"/>
        <v>0.29049071955250461</v>
      </c>
      <c r="Z213" s="4" t="e">
        <f>IF(Sheet3!$A213="",MATCH("Error",AF213,0),Sheet3!$A213)</f>
        <v>#N/A</v>
      </c>
      <c r="AA213" s="5" t="str">
        <f ca="1">IF(OFFSET(Sheet3!$A$1,0,MATCH(W$1,Sheet3!$1:$1,0)-1,300)="","",OFFSET(Sheet3!$A$1,0,MATCH(W$1,Sheet3!$1:$1,0)-1,300))</f>
        <v/>
      </c>
      <c r="AB213" s="5" t="str">
        <f ca="1">IF(OFFSET(Sheet3!$A$1,0,MATCH(X$1,Sheet3!$1:$1,0)-1,300)="","",OFFSET(Sheet3!$A$1,0,MATCH(X$1,Sheet3!$1:$1,0)-1,300))</f>
        <v/>
      </c>
      <c r="AC213" t="str">
        <f t="shared" ca="1" si="36"/>
        <v/>
      </c>
      <c r="AD213" t="str">
        <f t="shared" ca="1" si="37"/>
        <v/>
      </c>
    </row>
    <row r="214" spans="1:30" x14ac:dyDescent="0.25">
      <c r="A214" s="4">
        <v>41827</v>
      </c>
      <c r="B214">
        <v>0.66100000000000003</v>
      </c>
      <c r="C214" s="5">
        <v>1.1052999999999999</v>
      </c>
      <c r="D214">
        <v>1.8103</v>
      </c>
      <c r="E214">
        <v>2.2753000000000001</v>
      </c>
      <c r="F214">
        <v>2.7090999999999998</v>
      </c>
      <c r="G214">
        <v>3.3982999999999999</v>
      </c>
      <c r="H214">
        <f t="shared" ca="1" si="41"/>
        <v>0.43672179892213348</v>
      </c>
      <c r="I214">
        <f t="shared" ca="1" si="41"/>
        <v>0.34422147356086136</v>
      </c>
      <c r="J214">
        <f t="shared" ca="1" si="41"/>
        <v>0.25755306323749683</v>
      </c>
      <c r="K214">
        <f t="shared" ca="1" si="41"/>
        <v>0.22703969532737664</v>
      </c>
      <c r="L214">
        <f t="shared" ca="1" si="41"/>
        <v>0.16987542468856176</v>
      </c>
      <c r="M214">
        <f t="shared" ca="1" si="41"/>
        <v>0.28993640104751223</v>
      </c>
      <c r="N214">
        <f t="shared" ca="1" si="41"/>
        <v>0.20279110335804626</v>
      </c>
      <c r="O214">
        <f t="shared" ca="1" si="41"/>
        <v>0.15847733167720007</v>
      </c>
      <c r="P214">
        <f t="shared" ca="1" si="41"/>
        <v>0.18918447448757075</v>
      </c>
      <c r="Q214">
        <f t="shared" ca="1" si="41"/>
        <v>0.27317380352644821</v>
      </c>
      <c r="R214">
        <f t="shared" ca="1" si="31"/>
        <v>0.58590581960325872</v>
      </c>
      <c r="S214">
        <f t="shared" ca="1" si="31"/>
        <v>0.32835275636576183</v>
      </c>
      <c r="T214">
        <f t="shared" ca="1" si="31"/>
        <v>0.39197557784561698</v>
      </c>
      <c r="V214" s="4">
        <f t="shared" si="40"/>
        <v>41827</v>
      </c>
      <c r="W214" s="5">
        <f t="shared" ca="1" si="39"/>
        <v>0.28993640104751223</v>
      </c>
      <c r="Z214" s="4" t="e">
        <f>IF(Sheet3!$A214="",MATCH("Error",AF214,0),Sheet3!$A214)</f>
        <v>#N/A</v>
      </c>
      <c r="AA214" s="5" t="str">
        <f ca="1">IF(OFFSET(Sheet3!$A$1,0,MATCH(W$1,Sheet3!$1:$1,0)-1,300)="","",OFFSET(Sheet3!$A$1,0,MATCH(W$1,Sheet3!$1:$1,0)-1,300))</f>
        <v/>
      </c>
      <c r="AB214" s="5" t="str">
        <f ca="1">IF(OFFSET(Sheet3!$A$1,0,MATCH(X$1,Sheet3!$1:$1,0)-1,300)="","",OFFSET(Sheet3!$A$1,0,MATCH(X$1,Sheet3!$1:$1,0)-1,300))</f>
        <v/>
      </c>
      <c r="AC214" t="str">
        <f t="shared" ca="1" si="36"/>
        <v/>
      </c>
      <c r="AD214" t="str">
        <f t="shared" ca="1" si="37"/>
        <v/>
      </c>
    </row>
    <row r="215" spans="1:30" x14ac:dyDescent="0.25">
      <c r="A215" s="4">
        <v>41824</v>
      </c>
      <c r="B215">
        <v>0.65300000000000002</v>
      </c>
      <c r="C215" s="5">
        <v>1.1034999999999999</v>
      </c>
      <c r="D215">
        <v>1.819</v>
      </c>
      <c r="E215">
        <v>2.2930000000000001</v>
      </c>
      <c r="F215">
        <v>2.7359999999999998</v>
      </c>
      <c r="G215">
        <v>3.43</v>
      </c>
      <c r="H215">
        <f t="shared" ca="1" si="41"/>
        <v>0.43628048780487805</v>
      </c>
      <c r="I215">
        <f t="shared" ca="1" si="41"/>
        <v>0.34349495919347101</v>
      </c>
      <c r="J215">
        <f t="shared" ca="1" si="41"/>
        <v>0.25765214259992797</v>
      </c>
      <c r="K215">
        <f t="shared" ca="1" si="41"/>
        <v>0.22755640902544419</v>
      </c>
      <c r="L215">
        <f t="shared" ca="1" si="41"/>
        <v>0.17068779258192301</v>
      </c>
      <c r="M215">
        <f t="shared" ca="1" si="41"/>
        <v>0.29035222052067394</v>
      </c>
      <c r="N215">
        <f t="shared" ca="1" si="41"/>
        <v>0.20373952288845912</v>
      </c>
      <c r="O215">
        <f t="shared" ca="1" si="41"/>
        <v>0.15952466690673375</v>
      </c>
      <c r="P215">
        <f t="shared" ca="1" si="41"/>
        <v>0.19041478615946683</v>
      </c>
      <c r="Q215">
        <f t="shared" ca="1" si="41"/>
        <v>0.27498448168839201</v>
      </c>
      <c r="R215">
        <f t="shared" ca="1" si="31"/>
        <v>0.58786460208858471</v>
      </c>
      <c r="S215">
        <f t="shared" ca="1" si="31"/>
        <v>0.33021245948865674</v>
      </c>
      <c r="T215">
        <f t="shared" ca="1" si="31"/>
        <v>0.39415430904792598</v>
      </c>
      <c r="V215" s="4">
        <f t="shared" si="40"/>
        <v>41824</v>
      </c>
      <c r="W215" s="5">
        <f t="shared" ca="1" si="39"/>
        <v>0.29035222052067394</v>
      </c>
      <c r="Z215" s="4" t="e">
        <f>IF(Sheet3!$A215="",MATCH("Error",AF215,0),Sheet3!$A215)</f>
        <v>#N/A</v>
      </c>
      <c r="AA215" s="5" t="str">
        <f ca="1">IF(OFFSET(Sheet3!$A$1,0,MATCH(W$1,Sheet3!$1:$1,0)-1,300)="","",OFFSET(Sheet3!$A$1,0,MATCH(W$1,Sheet3!$1:$1,0)-1,300))</f>
        <v/>
      </c>
      <c r="AB215" s="5" t="str">
        <f ca="1">IF(OFFSET(Sheet3!$A$1,0,MATCH(X$1,Sheet3!$1:$1,0)-1,300)="","",OFFSET(Sheet3!$A$1,0,MATCH(X$1,Sheet3!$1:$1,0)-1,300))</f>
        <v/>
      </c>
      <c r="AC215" t="str">
        <f t="shared" ca="1" si="36"/>
        <v/>
      </c>
      <c r="AD215" t="str">
        <f t="shared" ca="1" si="37"/>
        <v/>
      </c>
    </row>
    <row r="216" spans="1:30" x14ac:dyDescent="0.25">
      <c r="A216" s="4">
        <v>41823</v>
      </c>
      <c r="B216">
        <v>0.64549999999999996</v>
      </c>
      <c r="C216" s="5">
        <v>1.0920000000000001</v>
      </c>
      <c r="D216">
        <v>1.8185</v>
      </c>
      <c r="E216">
        <v>2.2965</v>
      </c>
      <c r="F216">
        <v>2.7389999999999999</v>
      </c>
      <c r="G216">
        <v>3.4306999999999999</v>
      </c>
      <c r="H216">
        <f t="shared" ca="1" si="41"/>
        <v>0.44003634161114469</v>
      </c>
      <c r="I216">
        <f t="shared" ca="1" si="41"/>
        <v>0.34702651062813472</v>
      </c>
      <c r="J216">
        <f t="shared" ca="1" si="41"/>
        <v>0.26084302743070514</v>
      </c>
      <c r="K216">
        <f t="shared" ca="1" si="41"/>
        <v>0.22832577024122286</v>
      </c>
      <c r="L216">
        <f t="shared" ca="1" si="41"/>
        <v>0.17162142754559817</v>
      </c>
      <c r="M216">
        <f t="shared" ca="1" si="41"/>
        <v>0.29022465088038862</v>
      </c>
      <c r="N216">
        <f t="shared" ca="1" si="41"/>
        <v>0.2043870526360799</v>
      </c>
      <c r="O216">
        <f t="shared" ca="1" si="41"/>
        <v>0.15887548470486856</v>
      </c>
      <c r="P216">
        <f t="shared" ca="1" si="41"/>
        <v>0.18920767948005299</v>
      </c>
      <c r="Q216">
        <f t="shared" ca="1" si="41"/>
        <v>0.2744696687755861</v>
      </c>
      <c r="R216">
        <f t="shared" ca="1" si="31"/>
        <v>0.59133993968117193</v>
      </c>
      <c r="S216">
        <f t="shared" ca="1" si="31"/>
        <v>0.33049691225046673</v>
      </c>
      <c r="T216">
        <f t="shared" ca="1" si="31"/>
        <v>0.39359473211613288</v>
      </c>
      <c r="V216" s="4">
        <f t="shared" si="40"/>
        <v>41823</v>
      </c>
      <c r="W216" s="5">
        <f t="shared" ca="1" si="39"/>
        <v>0.29022465088038862</v>
      </c>
      <c r="Z216" s="4" t="e">
        <f>IF(Sheet3!$A216="",MATCH("Error",AF216,0),Sheet3!$A216)</f>
        <v>#N/A</v>
      </c>
      <c r="AA216" s="5" t="str">
        <f ca="1">IF(OFFSET(Sheet3!$A$1,0,MATCH(W$1,Sheet3!$1:$1,0)-1,300)="","",OFFSET(Sheet3!$A$1,0,MATCH(W$1,Sheet3!$1:$1,0)-1,300))</f>
        <v/>
      </c>
      <c r="AB216" s="5" t="str">
        <f ca="1">IF(OFFSET(Sheet3!$A$1,0,MATCH(X$1,Sheet3!$1:$1,0)-1,300)="","",OFFSET(Sheet3!$A$1,0,MATCH(X$1,Sheet3!$1:$1,0)-1,300))</f>
        <v/>
      </c>
      <c r="AC216" t="str">
        <f t="shared" ca="1" si="36"/>
        <v/>
      </c>
      <c r="AD216" t="str">
        <f t="shared" ca="1" si="37"/>
        <v/>
      </c>
    </row>
    <row r="217" spans="1:30" x14ac:dyDescent="0.25">
      <c r="A217" s="4">
        <v>41822</v>
      </c>
      <c r="B217">
        <v>0.61799999999999999</v>
      </c>
      <c r="C217" s="5">
        <v>1.0549999999999999</v>
      </c>
      <c r="D217">
        <v>1.79</v>
      </c>
      <c r="E217">
        <v>2.2770000000000001</v>
      </c>
      <c r="F217">
        <v>2.7290000000000001</v>
      </c>
      <c r="G217">
        <v>3.4234999999999998</v>
      </c>
      <c r="H217">
        <f t="shared" ca="1" si="41"/>
        <v>0.44303797468354428</v>
      </c>
      <c r="I217">
        <f t="shared" ca="1" si="41"/>
        <v>0.34817621980104219</v>
      </c>
      <c r="J217">
        <f t="shared" ca="1" si="41"/>
        <v>0.26198538584922476</v>
      </c>
      <c r="K217">
        <f t="shared" ca="1" si="41"/>
        <v>0.2306963524396021</v>
      </c>
      <c r="L217">
        <f t="shared" ca="1" si="41"/>
        <v>0.17358759579397617</v>
      </c>
      <c r="M217">
        <f t="shared" ca="1" si="41"/>
        <v>0.29091995221027483</v>
      </c>
      <c r="N217">
        <f t="shared" ca="1" si="41"/>
        <v>0.20561536837660971</v>
      </c>
      <c r="O217">
        <f t="shared" ca="1" si="41"/>
        <v>0.1611121012297273</v>
      </c>
      <c r="P217">
        <f t="shared" ca="1" si="41"/>
        <v>0.19083808317500525</v>
      </c>
      <c r="Q217">
        <f t="shared" ca="1" si="41"/>
        <v>0.27670645852464038</v>
      </c>
      <c r="R217">
        <f t="shared" ca="1" si="31"/>
        <v>0.59668508287292821</v>
      </c>
      <c r="S217">
        <f t="shared" ca="1" si="31"/>
        <v>0.33469969702370345</v>
      </c>
      <c r="T217">
        <f t="shared" ca="1" si="31"/>
        <v>0.39645345155161499</v>
      </c>
      <c r="V217" s="4">
        <f t="shared" si="40"/>
        <v>41822</v>
      </c>
      <c r="W217" s="5">
        <f t="shared" ca="1" si="39"/>
        <v>0.29091995221027483</v>
      </c>
      <c r="Z217" s="4" t="e">
        <f>IF(Sheet3!$A217="",MATCH("Error",AF217,0),Sheet3!$A217)</f>
        <v>#N/A</v>
      </c>
      <c r="AA217" s="5" t="str">
        <f ca="1">IF(OFFSET(Sheet3!$A$1,0,MATCH(W$1,Sheet3!$1:$1,0)-1,300)="","",OFFSET(Sheet3!$A$1,0,MATCH(W$1,Sheet3!$1:$1,0)-1,300))</f>
        <v/>
      </c>
      <c r="AB217" s="5" t="str">
        <f ca="1">IF(OFFSET(Sheet3!$A$1,0,MATCH(X$1,Sheet3!$1:$1,0)-1,300)="","",OFFSET(Sheet3!$A$1,0,MATCH(X$1,Sheet3!$1:$1,0)-1,300))</f>
        <v/>
      </c>
      <c r="AC217" t="str">
        <f t="shared" ca="1" si="36"/>
        <v/>
      </c>
      <c r="AD217" t="str">
        <f t="shared" ca="1" si="37"/>
        <v/>
      </c>
    </row>
    <row r="218" spans="1:30" x14ac:dyDescent="0.25">
      <c r="A218" s="4">
        <v>41821</v>
      </c>
      <c r="B218">
        <v>0.59689999999999999</v>
      </c>
      <c r="C218" s="5">
        <v>1.0189999999999999</v>
      </c>
      <c r="D218">
        <v>1.7339</v>
      </c>
      <c r="E218">
        <v>2.2170000000000001</v>
      </c>
      <c r="F218">
        <v>2.665</v>
      </c>
      <c r="G218">
        <v>3.3673000000000002</v>
      </c>
      <c r="H218">
        <f t="shared" ca="1" si="41"/>
        <v>0.44126905746558859</v>
      </c>
      <c r="I218">
        <f t="shared" ca="1" si="41"/>
        <v>0.34567960930322517</v>
      </c>
      <c r="J218">
        <f t="shared" ca="1" si="41"/>
        <v>0.2580493791510251</v>
      </c>
      <c r="K218">
        <f t="shared" ca="1" si="41"/>
        <v>0.23359605434940284</v>
      </c>
      <c r="L218">
        <f t="shared" ca="1" si="41"/>
        <v>0.17437915102512272</v>
      </c>
      <c r="M218">
        <f t="shared" ca="1" si="41"/>
        <v>0.29349939246658568</v>
      </c>
      <c r="N218">
        <f t="shared" ca="1" si="41"/>
        <v>0.20572328918792321</v>
      </c>
      <c r="O218">
        <f t="shared" ca="1" si="41"/>
        <v>0.16170950043315041</v>
      </c>
      <c r="P218">
        <f t="shared" ca="1" si="41"/>
        <v>0.19077630626410594</v>
      </c>
      <c r="Q218">
        <f t="shared" ca="1" si="41"/>
        <v>0.27427451940737108</v>
      </c>
      <c r="R218">
        <f t="shared" ca="1" si="31"/>
        <v>0.59413803060929826</v>
      </c>
      <c r="S218">
        <f t="shared" ca="1" si="31"/>
        <v>0.33608865145827316</v>
      </c>
      <c r="T218">
        <f t="shared" ca="1" si="31"/>
        <v>0.39649959545202912</v>
      </c>
      <c r="V218" s="4">
        <f t="shared" si="40"/>
        <v>41821</v>
      </c>
      <c r="W218" s="5">
        <f t="shared" ca="1" si="39"/>
        <v>0.29349939246658568</v>
      </c>
      <c r="Z218" s="4" t="e">
        <f>IF(Sheet3!$A218="",MATCH("Error",AF218,0),Sheet3!$A218)</f>
        <v>#N/A</v>
      </c>
      <c r="AA218" s="5" t="str">
        <f ca="1">IF(OFFSET(Sheet3!$A$1,0,MATCH(W$1,Sheet3!$1:$1,0)-1,300)="","",OFFSET(Sheet3!$A$1,0,MATCH(W$1,Sheet3!$1:$1,0)-1,300))</f>
        <v/>
      </c>
      <c r="AB218" s="5" t="str">
        <f ca="1">IF(OFFSET(Sheet3!$A$1,0,MATCH(X$1,Sheet3!$1:$1,0)-1,300)="","",OFFSET(Sheet3!$A$1,0,MATCH(X$1,Sheet3!$1:$1,0)-1,300))</f>
        <v/>
      </c>
      <c r="AC218" t="str">
        <f t="shared" ca="1" si="36"/>
        <v/>
      </c>
      <c r="AD218" t="str">
        <f t="shared" ca="1" si="37"/>
        <v/>
      </c>
    </row>
    <row r="219" spans="1:30" x14ac:dyDescent="0.25">
      <c r="A219" s="4">
        <v>41820</v>
      </c>
      <c r="B219">
        <v>0.58250000000000002</v>
      </c>
      <c r="C219" s="5">
        <v>0.998</v>
      </c>
      <c r="D219">
        <v>1.7018</v>
      </c>
      <c r="E219">
        <v>2.1802999999999999</v>
      </c>
      <c r="F219">
        <v>2.6307999999999998</v>
      </c>
      <c r="G219">
        <v>3.331</v>
      </c>
      <c r="H219">
        <f t="shared" ca="1" si="41"/>
        <v>0.44048066090874954</v>
      </c>
      <c r="I219">
        <f t="shared" ca="1" si="41"/>
        <v>0.34360201142410784</v>
      </c>
      <c r="J219">
        <f t="shared" ca="1" si="41"/>
        <v>0.25606694560669457</v>
      </c>
      <c r="K219">
        <f t="shared" ca="1" si="41"/>
        <v>0.2336083581506615</v>
      </c>
      <c r="L219">
        <f t="shared" ca="1" si="41"/>
        <v>0.17409496088775694</v>
      </c>
      <c r="M219">
        <f t="shared" ca="1" si="41"/>
        <v>0.2930548750612445</v>
      </c>
      <c r="N219">
        <f t="shared" ca="1" si="41"/>
        <v>0.20510072867552503</v>
      </c>
      <c r="O219">
        <f t="shared" ca="1" si="41"/>
        <v>0.16390758595597596</v>
      </c>
      <c r="P219">
        <f t="shared" ca="1" si="41"/>
        <v>0.19309901414487779</v>
      </c>
      <c r="Q219">
        <f t="shared" ca="1" si="41"/>
        <v>0.27651608151239865</v>
      </c>
      <c r="R219">
        <f t="shared" ca="1" si="31"/>
        <v>0.59406949245042739</v>
      </c>
      <c r="S219">
        <f t="shared" ca="1" si="31"/>
        <v>0.33800254684373288</v>
      </c>
      <c r="T219">
        <f t="shared" ca="1" si="31"/>
        <v>0.39819974282040282</v>
      </c>
      <c r="V219" s="4">
        <f t="shared" si="40"/>
        <v>41820</v>
      </c>
      <c r="W219" s="5">
        <f t="shared" ca="1" si="39"/>
        <v>0.2930548750612445</v>
      </c>
      <c r="Z219" s="4" t="e">
        <f>IF(Sheet3!$A219="",MATCH("Error",AF219,0),Sheet3!$A219)</f>
        <v>#N/A</v>
      </c>
      <c r="AA219" s="5" t="str">
        <f ca="1">IF(OFFSET(Sheet3!$A$1,0,MATCH(W$1,Sheet3!$1:$1,0)-1,300)="","",OFFSET(Sheet3!$A$1,0,MATCH(W$1,Sheet3!$1:$1,0)-1,300))</f>
        <v/>
      </c>
      <c r="AB219" s="5" t="str">
        <f ca="1">IF(OFFSET(Sheet3!$A$1,0,MATCH(X$1,Sheet3!$1:$1,0)-1,300)="","",OFFSET(Sheet3!$A$1,0,MATCH(X$1,Sheet3!$1:$1,0)-1,300))</f>
        <v/>
      </c>
      <c r="AC219" t="str">
        <f t="shared" ca="1" si="36"/>
        <v/>
      </c>
      <c r="AD219" t="str">
        <f t="shared" ca="1" si="37"/>
        <v/>
      </c>
    </row>
    <row r="220" spans="1:30" x14ac:dyDescent="0.25">
      <c r="A220" s="4">
        <v>41817</v>
      </c>
      <c r="B220">
        <v>0.58799999999999997</v>
      </c>
      <c r="C220" s="5">
        <v>1.0069999999999999</v>
      </c>
      <c r="D220">
        <v>1.7103000000000002</v>
      </c>
      <c r="E220">
        <v>2.1892999999999998</v>
      </c>
      <c r="F220">
        <v>2.64</v>
      </c>
      <c r="G220">
        <v>3.3437999999999999</v>
      </c>
      <c r="H220">
        <f t="shared" ca="1" si="41"/>
        <v>0.43920564541310209</v>
      </c>
      <c r="I220">
        <f t="shared" ca="1" si="41"/>
        <v>0.34273879142300206</v>
      </c>
      <c r="J220">
        <f t="shared" ca="1" si="41"/>
        <v>0.25520719936134711</v>
      </c>
      <c r="K220">
        <f t="shared" ca="1" si="41"/>
        <v>0.23343079922027274</v>
      </c>
      <c r="L220">
        <f t="shared" ca="1" si="41"/>
        <v>0.17381522606865507</v>
      </c>
      <c r="M220">
        <f t="shared" ca="1" si="41"/>
        <v>0.29332516840171435</v>
      </c>
      <c r="N220">
        <f t="shared" ca="1" si="41"/>
        <v>0.2049811708319067</v>
      </c>
      <c r="O220">
        <f t="shared" ca="1" si="41"/>
        <v>0.16354597576021496</v>
      </c>
      <c r="P220">
        <f t="shared" ca="1" si="41"/>
        <v>0.19287059226292377</v>
      </c>
      <c r="Q220">
        <f t="shared" ca="1" si="41"/>
        <v>0.27591062136516709</v>
      </c>
      <c r="R220">
        <f t="shared" ca="1" si="31"/>
        <v>0.59256840119021714</v>
      </c>
      <c r="S220">
        <f t="shared" ca="1" si="31"/>
        <v>0.33736120182887003</v>
      </c>
      <c r="T220">
        <f t="shared" ca="1" si="31"/>
        <v>0.3978517630948305</v>
      </c>
      <c r="V220" s="4">
        <f t="shared" si="40"/>
        <v>41817</v>
      </c>
      <c r="W220" s="5">
        <f t="shared" ca="1" si="39"/>
        <v>0.29332516840171435</v>
      </c>
      <c r="Z220" s="4" t="e">
        <f>IF(Sheet3!$A220="",MATCH("Error",AF220,0),Sheet3!$A220)</f>
        <v>#N/A</v>
      </c>
      <c r="AA220" s="5" t="str">
        <f ca="1">IF(OFFSET(Sheet3!$A$1,0,MATCH(W$1,Sheet3!$1:$1,0)-1,300)="","",OFFSET(Sheet3!$A$1,0,MATCH(W$1,Sheet3!$1:$1,0)-1,300))</f>
        <v/>
      </c>
      <c r="AB220" s="5" t="str">
        <f ca="1">IF(OFFSET(Sheet3!$A$1,0,MATCH(X$1,Sheet3!$1:$1,0)-1,300)="","",OFFSET(Sheet3!$A$1,0,MATCH(X$1,Sheet3!$1:$1,0)-1,300))</f>
        <v/>
      </c>
      <c r="AC220" t="str">
        <f t="shared" ca="1" si="36"/>
        <v/>
      </c>
      <c r="AD220" t="str">
        <f t="shared" ca="1" si="37"/>
        <v/>
      </c>
    </row>
    <row r="221" spans="1:30" x14ac:dyDescent="0.25">
      <c r="A221" s="4">
        <v>41816</v>
      </c>
      <c r="B221">
        <v>0.58699999999999997</v>
      </c>
      <c r="C221" s="5">
        <v>1.0055000000000001</v>
      </c>
      <c r="D221">
        <v>1.7185000000000001</v>
      </c>
      <c r="E221">
        <v>2.1945000000000001</v>
      </c>
      <c r="F221">
        <v>2.637</v>
      </c>
      <c r="G221">
        <v>3.3334999999999999</v>
      </c>
      <c r="H221">
        <f t="shared" ca="1" si="41"/>
        <v>0.44354587869362366</v>
      </c>
      <c r="I221">
        <f t="shared" ca="1" si="41"/>
        <v>0.34780487804878057</v>
      </c>
      <c r="J221">
        <f t="shared" ca="1" si="41"/>
        <v>0.25960313125796469</v>
      </c>
      <c r="K221">
        <f t="shared" ca="1" si="41"/>
        <v>0.23219512195121952</v>
      </c>
      <c r="L221">
        <f t="shared" ca="1" si="41"/>
        <v>0.17331148734753321</v>
      </c>
      <c r="M221">
        <f t="shared" ca="1" si="41"/>
        <v>0.29175605271222799</v>
      </c>
      <c r="N221">
        <f t="shared" ca="1" si="41"/>
        <v>0.20446735395189003</v>
      </c>
      <c r="O221">
        <f t="shared" ca="1" si="41"/>
        <v>0.16111414527580553</v>
      </c>
      <c r="P221">
        <f t="shared" ca="1" si="41"/>
        <v>0.19007731958762883</v>
      </c>
      <c r="Q221">
        <f t="shared" ca="1" si="41"/>
        <v>0.2739938080495356</v>
      </c>
      <c r="R221">
        <f t="shared" ref="R221:T274" ca="1" si="42">IF(ISERROR(ABS(OFFSET($A$11,ROW()-11,MATCH(LEFT(R$9,2),$A$11:$G$11,0)-1)-OFFSET($A$11,ROW()-11,MATCH(RIGHT(R$9,2),$A$11:$G$11,0)-1))/ABS(OFFSET($A$11,ROW()-11,MATCH(LEFT(R$10,2),$A$11:$G$11,0)-1)-OFFSET($A$11,ROW()-11,MATCH(RIGHT(R$10,2),$A$11:$G$11,0)-1))),"",ABS(OFFSET($A$11,ROW()-11,MATCH(LEFT(R$9,2),$A$11:$G$11,0)-1)-OFFSET($A$11,ROW()-11,MATCH(RIGHT(R$9,2),$A$11:$G$11,0)-1))/ABS(OFFSET($A$11,ROW()-11,MATCH(LEFT(R$10,2),$A$11:$G$11,0)-1)-OFFSET($A$11,ROW()-11,MATCH(RIGHT(R$10,2),$A$11:$G$11,0)-1)))</f>
        <v>0.59402876388130343</v>
      </c>
      <c r="S221">
        <f t="shared" ca="1" si="42"/>
        <v>0.33442563262333874</v>
      </c>
      <c r="T221">
        <f t="shared" ca="1" si="42"/>
        <v>0.39454467353951889</v>
      </c>
      <c r="V221" s="4">
        <f t="shared" si="40"/>
        <v>41816</v>
      </c>
      <c r="W221" s="5">
        <f t="shared" ca="1" si="39"/>
        <v>0.29175605271222799</v>
      </c>
      <c r="Z221" s="4" t="e">
        <f>IF(Sheet3!$A221="",MATCH("Error",AF221,0),Sheet3!$A221)</f>
        <v>#N/A</v>
      </c>
      <c r="AA221" s="5" t="str">
        <f ca="1">IF(OFFSET(Sheet3!$A$1,0,MATCH(W$1,Sheet3!$1:$1,0)-1,300)="","",OFFSET(Sheet3!$A$1,0,MATCH(W$1,Sheet3!$1:$1,0)-1,300))</f>
        <v/>
      </c>
      <c r="AB221" s="5" t="str">
        <f ca="1">IF(OFFSET(Sheet3!$A$1,0,MATCH(X$1,Sheet3!$1:$1,0)-1,300)="","",OFFSET(Sheet3!$A$1,0,MATCH(X$1,Sheet3!$1:$1,0)-1,300))</f>
        <v/>
      </c>
      <c r="AC221" t="str">
        <f t="shared" ca="1" si="36"/>
        <v/>
      </c>
      <c r="AD221" t="str">
        <f t="shared" ca="1" si="37"/>
        <v/>
      </c>
    </row>
    <row r="222" spans="1:30" x14ac:dyDescent="0.25">
      <c r="A222" s="4">
        <v>41815</v>
      </c>
      <c r="B222">
        <v>0.60299999999999998</v>
      </c>
      <c r="C222" s="5">
        <v>1.0314000000000001</v>
      </c>
      <c r="D222">
        <v>1.7513000000000001</v>
      </c>
      <c r="E222">
        <v>2.222</v>
      </c>
      <c r="F222">
        <v>2.66</v>
      </c>
      <c r="G222">
        <v>3.3540000000000001</v>
      </c>
      <c r="H222">
        <f t="shared" ca="1" si="41"/>
        <v>0.44465719579987645</v>
      </c>
      <c r="I222">
        <f t="shared" ca="1" si="41"/>
        <v>0.34997569275644136</v>
      </c>
      <c r="J222">
        <f t="shared" ca="1" si="41"/>
        <v>0.26168665939658303</v>
      </c>
      <c r="K222">
        <f t="shared" ca="1" si="41"/>
        <v>0.22882839086047632</v>
      </c>
      <c r="L222">
        <f t="shared" ca="1" si="41"/>
        <v>0.1711014176663031</v>
      </c>
      <c r="M222">
        <f t="shared" ca="1" si="41"/>
        <v>0.28902124524131151</v>
      </c>
      <c r="N222">
        <f t="shared" ca="1" si="41"/>
        <v>0.20266081115990695</v>
      </c>
      <c r="O222">
        <f t="shared" ca="1" si="41"/>
        <v>0.15921483097055619</v>
      </c>
      <c r="P222">
        <f t="shared" ca="1" si="41"/>
        <v>0.18858176181865158</v>
      </c>
      <c r="Q222">
        <f t="shared" ca="1" si="41"/>
        <v>0.27328882510763097</v>
      </c>
      <c r="R222">
        <f t="shared" ca="1" si="42"/>
        <v>0.59200290803344235</v>
      </c>
      <c r="S222">
        <f t="shared" ca="1" si="42"/>
        <v>0.33031624863685932</v>
      </c>
      <c r="T222">
        <f t="shared" ca="1" si="42"/>
        <v>0.39124257297855852</v>
      </c>
      <c r="V222" s="4">
        <f t="shared" si="40"/>
        <v>41815</v>
      </c>
      <c r="W222" s="5">
        <f t="shared" ca="1" si="39"/>
        <v>0.28902124524131151</v>
      </c>
      <c r="Z222" s="4" t="e">
        <f>IF(Sheet3!$A222="",MATCH("Error",AF222,0),Sheet3!$A222)</f>
        <v>#N/A</v>
      </c>
      <c r="AA222" s="5" t="str">
        <f ca="1">IF(OFFSET(Sheet3!$A$1,0,MATCH(W$1,Sheet3!$1:$1,0)-1,300)="","",OFFSET(Sheet3!$A$1,0,MATCH(W$1,Sheet3!$1:$1,0)-1,300))</f>
        <v/>
      </c>
      <c r="AB222" s="5" t="str">
        <f ca="1">IF(OFFSET(Sheet3!$A$1,0,MATCH(X$1,Sheet3!$1:$1,0)-1,300)="","",OFFSET(Sheet3!$A$1,0,MATCH(X$1,Sheet3!$1:$1,0)-1,300))</f>
        <v/>
      </c>
      <c r="AC222" t="str">
        <f t="shared" ca="1" si="36"/>
        <v/>
      </c>
      <c r="AD222" t="str">
        <f t="shared" ca="1" si="37"/>
        <v/>
      </c>
    </row>
    <row r="223" spans="1:30" x14ac:dyDescent="0.25">
      <c r="A223" s="4">
        <v>41814</v>
      </c>
      <c r="B223">
        <v>0.61250000000000004</v>
      </c>
      <c r="C223" s="5">
        <v>1.0495000000000001</v>
      </c>
      <c r="D223">
        <v>1.7624</v>
      </c>
      <c r="E223">
        <v>2.238</v>
      </c>
      <c r="F223">
        <v>2.6760000000000002</v>
      </c>
      <c r="G223">
        <v>3.3662999999999998</v>
      </c>
      <c r="H223">
        <f t="shared" ref="H223:Q232" ca="1" si="43">IF(ISERROR(ABS(OFFSET($A$11,ROW()-11,MATCH(LEFT(H$9,2),$A$11:$G$11,0)-1)-OFFSET($A$11,ROW()-11,MATCH(RIGHT(H$9,2),$A$11:$G$11,0)-1))/ABS(OFFSET($A$11,ROW()-11,MATCH(LEFT(H$10,2),$A$11:$G$11,0)-1)-OFFSET($A$11,ROW()-11,MATCH(RIGHT(H$10,2),$A$11:$G$11,0)-1))),"",ABS(OFFSET($A$11,ROW()-11,MATCH(LEFT(H$9,2),$A$11:$G$11,0)-1)-OFFSET($A$11,ROW()-11,MATCH(RIGHT(H$9,2),$A$11:$G$11,0)-1))/ABS(OFFSET($A$11,ROW()-11,MATCH(LEFT(H$10,2),$A$11:$G$11,0)-1)-OFFSET($A$11,ROW()-11,MATCH(RIGHT(H$10,2),$A$11:$G$11,0)-1)))</f>
        <v>0.43857274684712388</v>
      </c>
      <c r="I223">
        <f t="shared" ca="1" si="43"/>
        <v>0.34548097891931173</v>
      </c>
      <c r="J223">
        <f t="shared" ca="1" si="43"/>
        <v>0.25887864042414116</v>
      </c>
      <c r="K223">
        <f t="shared" ca="1" si="43"/>
        <v>0.23048219045311361</v>
      </c>
      <c r="L223">
        <f t="shared" ca="1" si="43"/>
        <v>0.17270680514198564</v>
      </c>
      <c r="M223">
        <f t="shared" ca="1" si="43"/>
        <v>0.29240700891484783</v>
      </c>
      <c r="N223">
        <f t="shared" ca="1" si="43"/>
        <v>0.20528314917127075</v>
      </c>
      <c r="O223">
        <f t="shared" ca="1" si="43"/>
        <v>0.159052945021425</v>
      </c>
      <c r="P223">
        <f t="shared" ca="1" si="43"/>
        <v>0.18905386740331501</v>
      </c>
      <c r="Q223">
        <f t="shared" ca="1" si="43"/>
        <v>0.27308435688010485</v>
      </c>
      <c r="R223">
        <f t="shared" ca="1" si="42"/>
        <v>0.59063839058755174</v>
      </c>
      <c r="S223">
        <f t="shared" ca="1" si="42"/>
        <v>0.33175975016341064</v>
      </c>
      <c r="T223">
        <f t="shared" ca="1" si="42"/>
        <v>0.39433701657458575</v>
      </c>
      <c r="V223" s="4">
        <f t="shared" si="40"/>
        <v>41814</v>
      </c>
      <c r="W223" s="5">
        <f t="shared" ca="1" si="39"/>
        <v>0.29240700891484783</v>
      </c>
      <c r="Z223" s="4" t="e">
        <f>IF(Sheet3!$A223="",MATCH("Error",AF223,0),Sheet3!$A223)</f>
        <v>#N/A</v>
      </c>
      <c r="AA223" s="5" t="str">
        <f ca="1">IF(OFFSET(Sheet3!$A$1,0,MATCH(W$1,Sheet3!$1:$1,0)-1,300)="","",OFFSET(Sheet3!$A$1,0,MATCH(W$1,Sheet3!$1:$1,0)-1,300))</f>
        <v/>
      </c>
      <c r="AB223" s="5" t="str">
        <f ca="1">IF(OFFSET(Sheet3!$A$1,0,MATCH(X$1,Sheet3!$1:$1,0)-1,300)="","",OFFSET(Sheet3!$A$1,0,MATCH(X$1,Sheet3!$1:$1,0)-1,300))</f>
        <v/>
      </c>
      <c r="AC223" t="str">
        <f t="shared" ca="1" si="36"/>
        <v/>
      </c>
      <c r="AD223" t="str">
        <f t="shared" ca="1" si="37"/>
        <v/>
      </c>
    </row>
    <row r="224" spans="1:30" x14ac:dyDescent="0.25">
      <c r="A224" s="4">
        <v>41813</v>
      </c>
      <c r="B224">
        <v>0.62</v>
      </c>
      <c r="C224" s="5">
        <v>1.0634999999999999</v>
      </c>
      <c r="D224">
        <v>1.792</v>
      </c>
      <c r="E224">
        <v>2.2720000000000002</v>
      </c>
      <c r="F224">
        <v>2.7160000000000002</v>
      </c>
      <c r="G224">
        <v>3.4119999999999999</v>
      </c>
      <c r="H224">
        <f t="shared" ca="1" si="43"/>
        <v>0.44098062953995165</v>
      </c>
      <c r="I224">
        <f t="shared" ca="1" si="43"/>
        <v>0.34756679389312983</v>
      </c>
      <c r="J224">
        <f t="shared" ca="1" si="43"/>
        <v>0.26092406876790836</v>
      </c>
      <c r="K224">
        <f t="shared" ca="1" si="43"/>
        <v>0.22900763358778634</v>
      </c>
      <c r="L224">
        <f t="shared" ca="1" si="43"/>
        <v>0.17191977077363904</v>
      </c>
      <c r="M224">
        <f t="shared" ca="1" si="43"/>
        <v>0.29046898638426633</v>
      </c>
      <c r="N224">
        <f t="shared" ca="1" si="43"/>
        <v>0.20438577815627004</v>
      </c>
      <c r="O224">
        <f t="shared" ca="1" si="43"/>
        <v>0.15902578796561603</v>
      </c>
      <c r="P224">
        <f t="shared" ca="1" si="43"/>
        <v>0.18905684479454968</v>
      </c>
      <c r="Q224">
        <f t="shared" ca="1" si="43"/>
        <v>0.27407407407407408</v>
      </c>
      <c r="R224">
        <f t="shared" ca="1" si="42"/>
        <v>0.59186962750716343</v>
      </c>
      <c r="S224">
        <f t="shared" ca="1" si="42"/>
        <v>0.33094555873925507</v>
      </c>
      <c r="T224">
        <f t="shared" ca="1" si="42"/>
        <v>0.39344262295081972</v>
      </c>
      <c r="V224" s="4">
        <f t="shared" si="40"/>
        <v>41813</v>
      </c>
      <c r="W224" s="5">
        <f t="shared" ca="1" si="39"/>
        <v>0.29046898638426633</v>
      </c>
      <c r="Z224" s="4" t="e">
        <f>IF(Sheet3!$A224="",MATCH("Error",AF224,0),Sheet3!$A224)</f>
        <v>#N/A</v>
      </c>
      <c r="AA224" s="5" t="str">
        <f ca="1">IF(OFFSET(Sheet3!$A$1,0,MATCH(W$1,Sheet3!$1:$1,0)-1,300)="","",OFFSET(Sheet3!$A$1,0,MATCH(W$1,Sheet3!$1:$1,0)-1,300))</f>
        <v/>
      </c>
      <c r="AB224" s="5" t="str">
        <f ca="1">IF(OFFSET(Sheet3!$A$1,0,MATCH(X$1,Sheet3!$1:$1,0)-1,300)="","",OFFSET(Sheet3!$A$1,0,MATCH(X$1,Sheet3!$1:$1,0)-1,300))</f>
        <v/>
      </c>
      <c r="AC224" t="str">
        <f t="shared" ca="1" si="36"/>
        <v/>
      </c>
      <c r="AD224" t="str">
        <f t="shared" ca="1" si="37"/>
        <v/>
      </c>
    </row>
    <row r="225" spans="1:30" x14ac:dyDescent="0.25">
      <c r="A225" s="4">
        <v>41810</v>
      </c>
      <c r="B225">
        <v>0.60499999999999998</v>
      </c>
      <c r="C225" s="5">
        <v>1.0449999999999999</v>
      </c>
      <c r="D225">
        <v>1.7705</v>
      </c>
      <c r="E225">
        <v>2.2519999999999998</v>
      </c>
      <c r="F225">
        <v>2.6962999999999999</v>
      </c>
      <c r="G225">
        <v>3.3927999999999998</v>
      </c>
      <c r="H225">
        <f t="shared" ca="1" si="43"/>
        <v>0.44049787492410453</v>
      </c>
      <c r="I225">
        <f t="shared" ca="1" si="43"/>
        <v>0.34691340314636832</v>
      </c>
      <c r="J225">
        <f t="shared" ca="1" si="43"/>
        <v>0.26024105029055172</v>
      </c>
      <c r="K225">
        <f t="shared" ca="1" si="43"/>
        <v>0.23023956390761718</v>
      </c>
      <c r="L225">
        <f t="shared" ca="1" si="43"/>
        <v>0.17271683764975962</v>
      </c>
      <c r="M225">
        <f t="shared" ca="1" si="43"/>
        <v>0.29158844546720752</v>
      </c>
      <c r="N225">
        <f t="shared" ca="1" si="43"/>
        <v>0.20508561206235618</v>
      </c>
      <c r="O225">
        <f t="shared" ca="1" si="43"/>
        <v>0.15937298227993404</v>
      </c>
      <c r="P225">
        <f t="shared" ca="1" si="43"/>
        <v>0.18924099156657304</v>
      </c>
      <c r="Q225">
        <f t="shared" ca="1" si="43"/>
        <v>0.27387043086975293</v>
      </c>
      <c r="R225">
        <f t="shared" ca="1" si="42"/>
        <v>0.59233087022024533</v>
      </c>
      <c r="S225">
        <f t="shared" ca="1" si="42"/>
        <v>0.33208981992969366</v>
      </c>
      <c r="T225">
        <f t="shared" ca="1" si="42"/>
        <v>0.39432660362892918</v>
      </c>
      <c r="V225" s="4">
        <f t="shared" si="40"/>
        <v>41810</v>
      </c>
      <c r="W225" s="5">
        <f t="shared" ca="1" si="39"/>
        <v>0.29158844546720752</v>
      </c>
      <c r="Z225" s="4" t="e">
        <f>IF(Sheet3!$A225="",MATCH("Error",AF225,0),Sheet3!$A225)</f>
        <v>#N/A</v>
      </c>
      <c r="AA225" s="5" t="str">
        <f ca="1">IF(OFFSET(Sheet3!$A$1,0,MATCH(W$1,Sheet3!$1:$1,0)-1,300)="","",OFFSET(Sheet3!$A$1,0,MATCH(W$1,Sheet3!$1:$1,0)-1,300))</f>
        <v/>
      </c>
      <c r="AB225" s="5" t="str">
        <f ca="1">IF(OFFSET(Sheet3!$A$1,0,MATCH(X$1,Sheet3!$1:$1,0)-1,300)="","",OFFSET(Sheet3!$A$1,0,MATCH(X$1,Sheet3!$1:$1,0)-1,300))</f>
        <v/>
      </c>
      <c r="AC225" t="str">
        <f t="shared" ca="1" si="36"/>
        <v/>
      </c>
      <c r="AD225" t="str">
        <f t="shared" ca="1" si="37"/>
        <v/>
      </c>
    </row>
    <row r="226" spans="1:30" x14ac:dyDescent="0.25">
      <c r="A226" s="4">
        <v>41809</v>
      </c>
      <c r="B226">
        <v>0.60399999999999998</v>
      </c>
      <c r="C226" s="5">
        <v>1.0409999999999999</v>
      </c>
      <c r="D226">
        <v>1.7694000000000001</v>
      </c>
      <c r="E226">
        <v>2.258</v>
      </c>
      <c r="F226">
        <v>2.7109999999999999</v>
      </c>
      <c r="G226">
        <v>3.4249999999999998</v>
      </c>
      <c r="H226">
        <f t="shared" ca="1" si="43"/>
        <v>0.44038694074969781</v>
      </c>
      <c r="I226">
        <f t="shared" ca="1" si="43"/>
        <v>0.34570479354532524</v>
      </c>
      <c r="J226">
        <f t="shared" ca="1" si="43"/>
        <v>0.25820630981921311</v>
      </c>
      <c r="K226">
        <f t="shared" ca="1" si="43"/>
        <v>0.23189368770764118</v>
      </c>
      <c r="L226">
        <f t="shared" ca="1" si="43"/>
        <v>0.17320099255583127</v>
      </c>
      <c r="M226">
        <f t="shared" ca="1" si="43"/>
        <v>0.29257485029940117</v>
      </c>
      <c r="N226">
        <f t="shared" ca="1" si="43"/>
        <v>0.20494966442953017</v>
      </c>
      <c r="O226">
        <f t="shared" ca="1" si="43"/>
        <v>0.1605813541297412</v>
      </c>
      <c r="P226">
        <f t="shared" ca="1" si="43"/>
        <v>0.19001677852348989</v>
      </c>
      <c r="Q226">
        <f t="shared" ca="1" si="43"/>
        <v>0.27361681565595547</v>
      </c>
      <c r="R226">
        <f t="shared" ca="1" si="42"/>
        <v>0.5919886565047856</v>
      </c>
      <c r="S226">
        <f t="shared" ca="1" si="42"/>
        <v>0.33378234668557244</v>
      </c>
      <c r="T226">
        <f t="shared" ca="1" si="42"/>
        <v>0.39496644295302008</v>
      </c>
      <c r="V226" s="4">
        <f t="shared" si="40"/>
        <v>41809</v>
      </c>
      <c r="W226" s="5">
        <f t="shared" ca="1" si="39"/>
        <v>0.29257485029940117</v>
      </c>
      <c r="Z226" s="4" t="e">
        <f>IF(Sheet3!$A226="",MATCH("Error",AF226,0),Sheet3!$A226)</f>
        <v>#N/A</v>
      </c>
      <c r="AA226" s="5" t="str">
        <f ca="1">IF(OFFSET(Sheet3!$A$1,0,MATCH(W$1,Sheet3!$1:$1,0)-1,300)="","",OFFSET(Sheet3!$A$1,0,MATCH(W$1,Sheet3!$1:$1,0)-1,300))</f>
        <v/>
      </c>
      <c r="AB226" s="5" t="str">
        <f ca="1">IF(OFFSET(Sheet3!$A$1,0,MATCH(X$1,Sheet3!$1:$1,0)-1,300)="","",OFFSET(Sheet3!$A$1,0,MATCH(X$1,Sheet3!$1:$1,0)-1,300))</f>
        <v/>
      </c>
      <c r="AC226" t="str">
        <f t="shared" ca="1" si="36"/>
        <v/>
      </c>
      <c r="AD226" t="str">
        <f t="shared" ca="1" si="37"/>
        <v/>
      </c>
    </row>
    <row r="227" spans="1:30" x14ac:dyDescent="0.25">
      <c r="A227" s="4">
        <v>41808</v>
      </c>
      <c r="B227">
        <v>0.60599999999999998</v>
      </c>
      <c r="C227" s="5">
        <v>1.0429999999999999</v>
      </c>
      <c r="D227">
        <v>1.7587999999999999</v>
      </c>
      <c r="E227">
        <v>2.2404999999999999</v>
      </c>
      <c r="F227">
        <v>2.6790000000000003</v>
      </c>
      <c r="G227">
        <v>3.3662999999999998</v>
      </c>
      <c r="H227">
        <f t="shared" ca="1" si="43"/>
        <v>0.43793208932395228</v>
      </c>
      <c r="I227">
        <f t="shared" ca="1" si="43"/>
        <v>0.34529667149059329</v>
      </c>
      <c r="J227">
        <f t="shared" ca="1" si="43"/>
        <v>0.25931963916965545</v>
      </c>
      <c r="K227">
        <f t="shared" ca="1" si="43"/>
        <v>0.23236854799807038</v>
      </c>
      <c r="L227">
        <f t="shared" ca="1" si="43"/>
        <v>0.17451001702713473</v>
      </c>
      <c r="M227">
        <f t="shared" ca="1" si="43"/>
        <v>0.29443765281173589</v>
      </c>
      <c r="N227">
        <f t="shared" ca="1" si="43"/>
        <v>0.20733439504153578</v>
      </c>
      <c r="O227">
        <f t="shared" ca="1" si="43"/>
        <v>0.15885954425243645</v>
      </c>
      <c r="P227">
        <f t="shared" ca="1" si="43"/>
        <v>0.1887401540911636</v>
      </c>
      <c r="Q227">
        <f t="shared" ca="1" si="43"/>
        <v>0.27278382581648547</v>
      </c>
      <c r="R227">
        <f t="shared" ca="1" si="42"/>
        <v>0.59268920044922668</v>
      </c>
      <c r="S227">
        <f t="shared" ca="1" si="42"/>
        <v>0.33336956127957118</v>
      </c>
      <c r="T227">
        <f t="shared" ca="1" si="42"/>
        <v>0.3960745491326994</v>
      </c>
      <c r="V227" s="4">
        <f t="shared" si="40"/>
        <v>41808</v>
      </c>
      <c r="W227" s="5">
        <f t="shared" ca="1" si="39"/>
        <v>0.29443765281173589</v>
      </c>
      <c r="Z227" s="4" t="e">
        <f>IF(Sheet3!$A227="",MATCH("Error",AF227,0),Sheet3!$A227)</f>
        <v>#N/A</v>
      </c>
      <c r="AA227" s="5" t="str">
        <f ca="1">IF(OFFSET(Sheet3!$A$1,0,MATCH(W$1,Sheet3!$1:$1,0)-1,300)="","",OFFSET(Sheet3!$A$1,0,MATCH(W$1,Sheet3!$1:$1,0)-1,300))</f>
        <v/>
      </c>
      <c r="AB227" s="5" t="str">
        <f ca="1">IF(OFFSET(Sheet3!$A$1,0,MATCH(X$1,Sheet3!$1:$1,0)-1,300)="","",OFFSET(Sheet3!$A$1,0,MATCH(X$1,Sheet3!$1:$1,0)-1,300))</f>
        <v/>
      </c>
      <c r="AC227" t="str">
        <f t="shared" ca="1" si="36"/>
        <v/>
      </c>
      <c r="AD227" t="str">
        <f t="shared" ca="1" si="37"/>
        <v/>
      </c>
    </row>
    <row r="228" spans="1:30" x14ac:dyDescent="0.25">
      <c r="A228" s="4">
        <v>41807</v>
      </c>
      <c r="B228">
        <v>0.63500000000000001</v>
      </c>
      <c r="C228" s="5">
        <v>1.085</v>
      </c>
      <c r="D228">
        <v>1.8260000000000001</v>
      </c>
      <c r="E228">
        <v>2.3079999999999998</v>
      </c>
      <c r="F228">
        <v>2.7450000000000001</v>
      </c>
      <c r="G228">
        <v>3.4068000000000001</v>
      </c>
      <c r="H228">
        <f t="shared" ca="1" si="43"/>
        <v>0.44291691572026309</v>
      </c>
      <c r="I228">
        <f t="shared" ca="1" si="43"/>
        <v>0.35118483412322277</v>
      </c>
      <c r="J228">
        <f t="shared" ca="1" si="43"/>
        <v>0.26733530557760304</v>
      </c>
      <c r="K228">
        <f t="shared" ca="1" si="43"/>
        <v>0.22843601895734583</v>
      </c>
      <c r="L228">
        <f t="shared" ca="1" si="43"/>
        <v>0.17389422036221941</v>
      </c>
      <c r="M228">
        <f t="shared" ca="1" si="43"/>
        <v>0.29036144578313239</v>
      </c>
      <c r="N228">
        <f t="shared" ca="1" si="43"/>
        <v>0.20759755362218957</v>
      </c>
      <c r="O228">
        <f t="shared" ca="1" si="43"/>
        <v>0.15765928277653521</v>
      </c>
      <c r="P228">
        <f t="shared" ca="1" si="43"/>
        <v>0.18821603927986919</v>
      </c>
      <c r="Q228">
        <f t="shared" ca="1" si="43"/>
        <v>0.27644230769230788</v>
      </c>
      <c r="R228">
        <f t="shared" ca="1" si="42"/>
        <v>0.59888880871635775</v>
      </c>
      <c r="S228">
        <f t="shared" ca="1" si="42"/>
        <v>0.33155350313875465</v>
      </c>
      <c r="T228">
        <f t="shared" ca="1" si="42"/>
        <v>0.39581359290205875</v>
      </c>
      <c r="V228" s="4">
        <f t="shared" si="40"/>
        <v>41807</v>
      </c>
      <c r="W228" s="5">
        <f t="shared" ca="1" si="39"/>
        <v>0.29036144578313239</v>
      </c>
      <c r="Z228" s="4" t="e">
        <f>IF(Sheet3!$A228="",MATCH("Error",AF228,0),Sheet3!$A228)</f>
        <v>#N/A</v>
      </c>
      <c r="AA228" s="5" t="str">
        <f ca="1">IF(OFFSET(Sheet3!$A$1,0,MATCH(W$1,Sheet3!$1:$1,0)-1,300)="","",OFFSET(Sheet3!$A$1,0,MATCH(W$1,Sheet3!$1:$1,0)-1,300))</f>
        <v/>
      </c>
      <c r="AB228" s="5" t="str">
        <f ca="1">IF(OFFSET(Sheet3!$A$1,0,MATCH(X$1,Sheet3!$1:$1,0)-1,300)="","",OFFSET(Sheet3!$A$1,0,MATCH(X$1,Sheet3!$1:$1,0)-1,300))</f>
        <v/>
      </c>
      <c r="AC228" t="str">
        <f t="shared" ca="1" si="36"/>
        <v/>
      </c>
      <c r="AD228" t="str">
        <f t="shared" ca="1" si="37"/>
        <v/>
      </c>
    </row>
    <row r="229" spans="1:30" x14ac:dyDescent="0.25">
      <c r="A229" s="4">
        <v>41806</v>
      </c>
      <c r="B229">
        <v>0.61629999999999996</v>
      </c>
      <c r="C229" s="5">
        <v>1.052</v>
      </c>
      <c r="D229">
        <v>1.7770000000000001</v>
      </c>
      <c r="E229">
        <v>2.2589999999999999</v>
      </c>
      <c r="F229">
        <v>2.6974999999999998</v>
      </c>
      <c r="G229">
        <v>3.3624999999999998</v>
      </c>
      <c r="H229">
        <f t="shared" ca="1" si="43"/>
        <v>0.44134656358434288</v>
      </c>
      <c r="I229">
        <f t="shared" ca="1" si="43"/>
        <v>0.34835671727849321</v>
      </c>
      <c r="J229">
        <f t="shared" ca="1" si="43"/>
        <v>0.26400116524652251</v>
      </c>
      <c r="K229">
        <f t="shared" ca="1" si="43"/>
        <v>0.23159715548721879</v>
      </c>
      <c r="L229">
        <f t="shared" ca="1" si="43"/>
        <v>0.17551525744665347</v>
      </c>
      <c r="M229">
        <f t="shared" ca="1" si="43"/>
        <v>0.29292008508052253</v>
      </c>
      <c r="N229">
        <f t="shared" ca="1" si="43"/>
        <v>0.20861285436052796</v>
      </c>
      <c r="O229">
        <f t="shared" ca="1" si="43"/>
        <v>0.15967518753186216</v>
      </c>
      <c r="P229">
        <f t="shared" ca="1" si="43"/>
        <v>0.18978576065786623</v>
      </c>
      <c r="Q229">
        <f t="shared" ca="1" si="43"/>
        <v>0.27656890570797854</v>
      </c>
      <c r="R229">
        <f t="shared" ca="1" si="42"/>
        <v>0.5991916102250382</v>
      </c>
      <c r="S229">
        <f t="shared" ca="1" si="42"/>
        <v>0.33519044497851563</v>
      </c>
      <c r="T229">
        <f t="shared" ca="1" si="42"/>
        <v>0.39839861501839419</v>
      </c>
      <c r="V229" s="4">
        <f t="shared" si="40"/>
        <v>41806</v>
      </c>
      <c r="W229" s="5">
        <f t="shared" ca="1" si="39"/>
        <v>0.29292008508052253</v>
      </c>
      <c r="Z229" s="4" t="e">
        <f>IF(Sheet3!$A229="",MATCH("Error",AF229,0),Sheet3!$A229)</f>
        <v>#N/A</v>
      </c>
      <c r="AA229" s="5" t="str">
        <f ca="1">IF(OFFSET(Sheet3!$A$1,0,MATCH(W$1,Sheet3!$1:$1,0)-1,300)="","",OFFSET(Sheet3!$A$1,0,MATCH(W$1,Sheet3!$1:$1,0)-1,300))</f>
        <v/>
      </c>
      <c r="AB229" s="5" t="str">
        <f ca="1">IF(OFFSET(Sheet3!$A$1,0,MATCH(X$1,Sheet3!$1:$1,0)-1,300)="","",OFFSET(Sheet3!$A$1,0,MATCH(X$1,Sheet3!$1:$1,0)-1,300))</f>
        <v/>
      </c>
      <c r="AC229" t="str">
        <f t="shared" ca="1" si="36"/>
        <v/>
      </c>
      <c r="AD229" t="str">
        <f t="shared" ca="1" si="37"/>
        <v/>
      </c>
    </row>
    <row r="230" spans="1:30" x14ac:dyDescent="0.25">
      <c r="A230" s="4">
        <v>41803</v>
      </c>
      <c r="B230">
        <v>0.59550000000000003</v>
      </c>
      <c r="C230" s="5">
        <v>1.0335000000000001</v>
      </c>
      <c r="D230">
        <v>1.776</v>
      </c>
      <c r="E230">
        <v>2.262</v>
      </c>
      <c r="F230">
        <v>2.7050000000000001</v>
      </c>
      <c r="G230">
        <v>3.379</v>
      </c>
      <c r="H230">
        <f t="shared" ca="1" si="43"/>
        <v>0.4455445544554455</v>
      </c>
      <c r="I230">
        <f t="shared" ca="1" si="43"/>
        <v>0.35197914197677171</v>
      </c>
      <c r="J230">
        <f t="shared" ca="1" si="43"/>
        <v>0.26675049398239625</v>
      </c>
      <c r="K230">
        <f t="shared" ca="1" si="43"/>
        <v>0.23038634747570513</v>
      </c>
      <c r="L230">
        <f t="shared" ca="1" si="43"/>
        <v>0.17460032333393208</v>
      </c>
      <c r="M230">
        <f t="shared" ca="1" si="43"/>
        <v>0.2907568052647323</v>
      </c>
      <c r="N230">
        <f t="shared" ca="1" si="43"/>
        <v>0.20720528671924962</v>
      </c>
      <c r="O230">
        <f t="shared" ca="1" si="43"/>
        <v>0.15915214657804924</v>
      </c>
      <c r="P230">
        <f t="shared" ca="1" si="43"/>
        <v>0.18887230867618848</v>
      </c>
      <c r="Q230">
        <f t="shared" ca="1" si="43"/>
        <v>0.27635683094198382</v>
      </c>
      <c r="R230">
        <f t="shared" ca="1" si="42"/>
        <v>0.60050296389437752</v>
      </c>
      <c r="S230">
        <f t="shared" ca="1" si="42"/>
        <v>0.33375246991198132</v>
      </c>
      <c r="T230">
        <f t="shared" ca="1" si="42"/>
        <v>0.39607759539543813</v>
      </c>
      <c r="V230" s="4">
        <f t="shared" si="40"/>
        <v>41803</v>
      </c>
      <c r="W230" s="5">
        <f t="shared" ca="1" si="39"/>
        <v>0.2907568052647323</v>
      </c>
      <c r="Z230" s="4" t="e">
        <f>IF(Sheet3!$A230="",MATCH("Error",AF230,0),Sheet3!$A230)</f>
        <v>#N/A</v>
      </c>
      <c r="AA230" s="5" t="str">
        <f ca="1">IF(OFFSET(Sheet3!$A$1,0,MATCH(W$1,Sheet3!$1:$1,0)-1,300)="","",OFFSET(Sheet3!$A$1,0,MATCH(W$1,Sheet3!$1:$1,0)-1,300))</f>
        <v/>
      </c>
      <c r="AB230" s="5" t="str">
        <f ca="1">IF(OFFSET(Sheet3!$A$1,0,MATCH(X$1,Sheet3!$1:$1,0)-1,300)="","",OFFSET(Sheet3!$A$1,0,MATCH(X$1,Sheet3!$1:$1,0)-1,300))</f>
        <v/>
      </c>
      <c r="AC230" t="str">
        <f t="shared" ca="1" si="36"/>
        <v/>
      </c>
      <c r="AD230" t="str">
        <f t="shared" ca="1" si="37"/>
        <v/>
      </c>
    </row>
    <row r="231" spans="1:30" x14ac:dyDescent="0.25">
      <c r="A231" s="4">
        <v>41802</v>
      </c>
      <c r="B231">
        <v>0.58550000000000002</v>
      </c>
      <c r="C231" s="5">
        <v>1.022</v>
      </c>
      <c r="D231">
        <v>1.7669999999999999</v>
      </c>
      <c r="E231">
        <v>2.2519999999999998</v>
      </c>
      <c r="F231">
        <v>2.6970000000000001</v>
      </c>
      <c r="G231">
        <v>3.3740000000000001</v>
      </c>
      <c r="H231">
        <f t="shared" ca="1" si="43"/>
        <v>0.44704470447044709</v>
      </c>
      <c r="I231">
        <f t="shared" ca="1" si="43"/>
        <v>0.35282974188965188</v>
      </c>
      <c r="J231">
        <f t="shared" ca="1" si="43"/>
        <v>0.26716872870719022</v>
      </c>
      <c r="K231">
        <f t="shared" ca="1" si="43"/>
        <v>0.22969452995500825</v>
      </c>
      <c r="L231">
        <f t="shared" ca="1" si="43"/>
        <v>0.17392863546709697</v>
      </c>
      <c r="M231">
        <f t="shared" ca="1" si="43"/>
        <v>0.28955223880597009</v>
      </c>
      <c r="N231">
        <f t="shared" ca="1" si="43"/>
        <v>0.20620748299319719</v>
      </c>
      <c r="O231">
        <f t="shared" ca="1" si="43"/>
        <v>0.159584005737852</v>
      </c>
      <c r="P231">
        <f t="shared" ca="1" si="43"/>
        <v>0.18920068027210893</v>
      </c>
      <c r="Q231">
        <f t="shared" ca="1" si="43"/>
        <v>0.27691350342252657</v>
      </c>
      <c r="R231">
        <f t="shared" ca="1" si="42"/>
        <v>0.60068136991213916</v>
      </c>
      <c r="S231">
        <f t="shared" ca="1" si="42"/>
        <v>0.33351264120494895</v>
      </c>
      <c r="T231">
        <f t="shared" ca="1" si="42"/>
        <v>0.39540816326530615</v>
      </c>
      <c r="V231" s="4">
        <f t="shared" si="40"/>
        <v>41802</v>
      </c>
      <c r="W231" s="5">
        <f t="shared" ca="1" si="39"/>
        <v>0.28955223880597009</v>
      </c>
      <c r="Z231" s="4" t="e">
        <f>IF(Sheet3!$A231="",MATCH("Error",AF231,0),Sheet3!$A231)</f>
        <v>#N/A</v>
      </c>
      <c r="AA231" s="5" t="str">
        <f ca="1">IF(OFFSET(Sheet3!$A$1,0,MATCH(W$1,Sheet3!$1:$1,0)-1,300)="","",OFFSET(Sheet3!$A$1,0,MATCH(W$1,Sheet3!$1:$1,0)-1,300))</f>
        <v/>
      </c>
      <c r="AB231" s="5" t="str">
        <f ca="1">IF(OFFSET(Sheet3!$A$1,0,MATCH(X$1,Sheet3!$1:$1,0)-1,300)="","",OFFSET(Sheet3!$A$1,0,MATCH(X$1,Sheet3!$1:$1,0)-1,300))</f>
        <v/>
      </c>
      <c r="AC231" t="str">
        <f t="shared" ca="1" si="36"/>
        <v/>
      </c>
      <c r="AD231" t="str">
        <f t="shared" ca="1" si="37"/>
        <v/>
      </c>
    </row>
    <row r="232" spans="1:30" x14ac:dyDescent="0.25">
      <c r="A232" s="4">
        <v>41801</v>
      </c>
      <c r="B232">
        <v>0.57799999999999996</v>
      </c>
      <c r="C232" s="5">
        <v>1.0209999999999999</v>
      </c>
      <c r="D232">
        <v>1.7795000000000001</v>
      </c>
      <c r="E232">
        <v>2.2875000000000001</v>
      </c>
      <c r="F232">
        <v>2.7444999999999999</v>
      </c>
      <c r="G232">
        <v>3.4342000000000001</v>
      </c>
      <c r="H232">
        <f t="shared" ca="1" si="43"/>
        <v>0.44369698742322322</v>
      </c>
      <c r="I232">
        <f t="shared" ca="1" si="43"/>
        <v>0.3501038541426264</v>
      </c>
      <c r="J232">
        <f t="shared" ca="1" si="43"/>
        <v>0.26556263566977106</v>
      </c>
      <c r="K232">
        <f t="shared" ca="1" si="43"/>
        <v>0.23447957535195013</v>
      </c>
      <c r="L232">
        <f t="shared" ca="1" si="43"/>
        <v>0.17785869336881169</v>
      </c>
      <c r="M232">
        <f t="shared" ca="1" si="43"/>
        <v>0.29474905715114591</v>
      </c>
      <c r="N232">
        <f t="shared" ca="1" si="43"/>
        <v>0.21050886789325376</v>
      </c>
      <c r="O232">
        <f t="shared" ca="1" si="43"/>
        <v>0.16000280092430494</v>
      </c>
      <c r="P232">
        <f t="shared" ca="1" si="43"/>
        <v>0.18937510359688373</v>
      </c>
      <c r="Q232">
        <f t="shared" ca="1" si="43"/>
        <v>0.27618299389617446</v>
      </c>
      <c r="R232">
        <f t="shared" ca="1" si="42"/>
        <v>0.60342412996288775</v>
      </c>
      <c r="S232">
        <f t="shared" ca="1" si="42"/>
        <v>0.33786149429311663</v>
      </c>
      <c r="T232">
        <f t="shared" ca="1" si="42"/>
        <v>0.39988397149013749</v>
      </c>
      <c r="V232" s="4">
        <f t="shared" si="40"/>
        <v>41801</v>
      </c>
      <c r="W232" s="5">
        <f t="shared" ca="1" si="39"/>
        <v>0.29474905715114591</v>
      </c>
      <c r="Z232" s="4" t="e">
        <f>IF(Sheet3!$A232="",MATCH("Error",AF232,0),Sheet3!$A232)</f>
        <v>#N/A</v>
      </c>
      <c r="AA232" s="5" t="str">
        <f ca="1">IF(OFFSET(Sheet3!$A$1,0,MATCH(W$1,Sheet3!$1:$1,0)-1,300)="","",OFFSET(Sheet3!$A$1,0,MATCH(W$1,Sheet3!$1:$1,0)-1,300))</f>
        <v/>
      </c>
      <c r="AB232" s="5" t="str">
        <f ca="1">IF(OFFSET(Sheet3!$A$1,0,MATCH(X$1,Sheet3!$1:$1,0)-1,300)="","",OFFSET(Sheet3!$A$1,0,MATCH(X$1,Sheet3!$1:$1,0)-1,300))</f>
        <v/>
      </c>
      <c r="AC232" t="str">
        <f t="shared" ca="1" si="36"/>
        <v/>
      </c>
      <c r="AD232" t="str">
        <f t="shared" ca="1" si="37"/>
        <v/>
      </c>
    </row>
    <row r="233" spans="1:30" x14ac:dyDescent="0.25">
      <c r="A233" s="4">
        <v>41800</v>
      </c>
      <c r="B233">
        <v>0.58050000000000002</v>
      </c>
      <c r="C233" s="5">
        <v>1.024</v>
      </c>
      <c r="D233">
        <v>1.7932999999999999</v>
      </c>
      <c r="E233">
        <v>2.3018000000000001</v>
      </c>
      <c r="F233">
        <v>2.758</v>
      </c>
      <c r="G233">
        <v>3.4550000000000001</v>
      </c>
      <c r="H233">
        <f t="shared" ref="H233:Q242" ca="1" si="44">IF(ISERROR(ABS(OFFSET($A$11,ROW()-11,MATCH(LEFT(H$9,2),$A$11:$G$11,0)-1)-OFFSET($A$11,ROW()-11,MATCH(RIGHT(H$9,2),$A$11:$G$11,0)-1))/ABS(OFFSET($A$11,ROW()-11,MATCH(LEFT(H$10,2),$A$11:$G$11,0)-1)-OFFSET($A$11,ROW()-11,MATCH(RIGHT(H$10,2),$A$11:$G$11,0)-1))),"",ABS(OFFSET($A$11,ROW()-11,MATCH(LEFT(H$9,2),$A$11:$G$11,0)-1)-OFFSET($A$11,ROW()-11,MATCH(RIGHT(H$9,2),$A$11:$G$11,0)-1))/ABS(OFFSET($A$11,ROW()-11,MATCH(LEFT(H$10,2),$A$11:$G$11,0)-1)-OFFSET($A$11,ROW()-11,MATCH(RIGHT(H$10,2),$A$11:$G$11,0)-1)))</f>
        <v>0.44692964619764125</v>
      </c>
      <c r="I233">
        <f t="shared" ca="1" si="44"/>
        <v>0.35329506314580933</v>
      </c>
      <c r="J233">
        <f t="shared" ca="1" si="44"/>
        <v>0.2676291528961558</v>
      </c>
      <c r="K233">
        <f t="shared" ca="1" si="44"/>
        <v>0.23352468427095299</v>
      </c>
      <c r="L233">
        <f t="shared" ca="1" si="44"/>
        <v>0.17690033049225956</v>
      </c>
      <c r="M233">
        <f t="shared" ca="1" si="44"/>
        <v>0.29325259515570945</v>
      </c>
      <c r="N233">
        <f t="shared" ca="1" si="44"/>
        <v>0.20917317976141511</v>
      </c>
      <c r="O233">
        <f t="shared" ca="1" si="44"/>
        <v>0.15870586188902414</v>
      </c>
      <c r="P233">
        <f t="shared" ca="1" si="44"/>
        <v>0.18765939942410528</v>
      </c>
      <c r="Q233">
        <f t="shared" ca="1" si="44"/>
        <v>0.27453812360835284</v>
      </c>
      <c r="R233">
        <f t="shared" ca="1" si="42"/>
        <v>0.60323534527743949</v>
      </c>
      <c r="S233">
        <f t="shared" ca="1" si="42"/>
        <v>0.3356061923812837</v>
      </c>
      <c r="T233">
        <f t="shared" ca="1" si="42"/>
        <v>0.3968325791855204</v>
      </c>
      <c r="V233" s="4">
        <f t="shared" si="40"/>
        <v>41800</v>
      </c>
      <c r="W233" s="5">
        <f t="shared" ca="1" si="39"/>
        <v>0.29325259515570945</v>
      </c>
      <c r="Z233" s="4" t="e">
        <f>IF(Sheet3!$A233="",MATCH("Error",AF233,0),Sheet3!$A233)</f>
        <v>#N/A</v>
      </c>
      <c r="AA233" s="5" t="str">
        <f ca="1">IF(OFFSET(Sheet3!$A$1,0,MATCH(W$1,Sheet3!$1:$1,0)-1,300)="","",OFFSET(Sheet3!$A$1,0,MATCH(W$1,Sheet3!$1:$1,0)-1,300))</f>
        <v/>
      </c>
      <c r="AB233" s="5" t="str">
        <f ca="1">IF(OFFSET(Sheet3!$A$1,0,MATCH(X$1,Sheet3!$1:$1,0)-1,300)="","",OFFSET(Sheet3!$A$1,0,MATCH(X$1,Sheet3!$1:$1,0)-1,300))</f>
        <v/>
      </c>
      <c r="AC233" t="str">
        <f t="shared" ca="1" si="36"/>
        <v/>
      </c>
      <c r="AD233" t="str">
        <f t="shared" ca="1" si="37"/>
        <v/>
      </c>
    </row>
    <row r="234" spans="1:30" x14ac:dyDescent="0.25">
      <c r="A234" s="4">
        <v>41799</v>
      </c>
      <c r="B234">
        <v>0.5655</v>
      </c>
      <c r="C234" s="5">
        <v>1.0015000000000001</v>
      </c>
      <c r="D234">
        <v>1.7608000000000001</v>
      </c>
      <c r="E234">
        <v>2.2663000000000002</v>
      </c>
      <c r="F234">
        <v>2.7214999999999998</v>
      </c>
      <c r="G234">
        <v>3.4239999999999999</v>
      </c>
      <c r="H234">
        <f t="shared" ca="1" si="44"/>
        <v>0.44643697083725309</v>
      </c>
      <c r="I234">
        <f t="shared" ca="1" si="44"/>
        <v>0.35217996289424869</v>
      </c>
      <c r="J234">
        <f t="shared" ca="1" si="44"/>
        <v>0.26562882630750401</v>
      </c>
      <c r="K234">
        <f t="shared" ca="1" si="44"/>
        <v>0.2344619666048238</v>
      </c>
      <c r="L234">
        <f t="shared" ca="1" si="44"/>
        <v>0.17684100052475077</v>
      </c>
      <c r="M234">
        <f t="shared" ca="1" si="44"/>
        <v>0.29389534883720936</v>
      </c>
      <c r="N234">
        <f t="shared" ca="1" si="44"/>
        <v>0.20866873065015484</v>
      </c>
      <c r="O234">
        <f t="shared" ca="1" si="44"/>
        <v>0.15924435892950836</v>
      </c>
      <c r="P234">
        <f t="shared" ca="1" si="44"/>
        <v>0.18790505675954577</v>
      </c>
      <c r="Q234">
        <f t="shared" ca="1" si="44"/>
        <v>0.27368927368927348</v>
      </c>
      <c r="R234">
        <f t="shared" ca="1" si="42"/>
        <v>0.60171418576176317</v>
      </c>
      <c r="S234">
        <f t="shared" ca="1" si="42"/>
        <v>0.33608535945425916</v>
      </c>
      <c r="T234">
        <f t="shared" ca="1" si="42"/>
        <v>0.39657378740970062</v>
      </c>
      <c r="V234" s="4">
        <f t="shared" si="40"/>
        <v>41799</v>
      </c>
      <c r="W234" s="5">
        <f t="shared" ca="1" si="39"/>
        <v>0.29389534883720936</v>
      </c>
      <c r="Z234" s="4" t="e">
        <f>IF(Sheet3!$A234="",MATCH("Error",AF234,0),Sheet3!$A234)</f>
        <v>#N/A</v>
      </c>
      <c r="AA234" s="5" t="str">
        <f ca="1">IF(OFFSET(Sheet3!$A$1,0,MATCH(W$1,Sheet3!$1:$1,0)-1,300)="","",OFFSET(Sheet3!$A$1,0,MATCH(W$1,Sheet3!$1:$1,0)-1,300))</f>
        <v/>
      </c>
      <c r="AB234" s="5" t="str">
        <f ca="1">IF(OFFSET(Sheet3!$A$1,0,MATCH(X$1,Sheet3!$1:$1,0)-1,300)="","",OFFSET(Sheet3!$A$1,0,MATCH(X$1,Sheet3!$1:$1,0)-1,300))</f>
        <v/>
      </c>
      <c r="AC234" t="str">
        <f t="shared" ca="1" si="36"/>
        <v/>
      </c>
      <c r="AD234" t="str">
        <f t="shared" ca="1" si="37"/>
        <v/>
      </c>
    </row>
    <row r="235" spans="1:30" x14ac:dyDescent="0.25">
      <c r="A235" s="4">
        <v>41796</v>
      </c>
      <c r="B235">
        <v>0.54100000000000004</v>
      </c>
      <c r="C235" s="5">
        <v>0.96930000000000005</v>
      </c>
      <c r="D235">
        <v>1.7242999999999999</v>
      </c>
      <c r="E235">
        <v>2.2393000000000001</v>
      </c>
      <c r="F235">
        <v>2.7058</v>
      </c>
      <c r="G235">
        <v>3.4154999999999998</v>
      </c>
      <c r="H235">
        <f t="shared" ca="1" si="44"/>
        <v>0.44456220926809153</v>
      </c>
      <c r="I235">
        <f t="shared" ca="1" si="44"/>
        <v>0.34876201034737614</v>
      </c>
      <c r="J235">
        <f t="shared" ca="1" si="44"/>
        <v>0.26265437467385633</v>
      </c>
      <c r="K235">
        <f t="shared" ca="1" si="44"/>
        <v>0.23789726533628977</v>
      </c>
      <c r="L235">
        <f t="shared" ca="1" si="44"/>
        <v>0.17916159332057754</v>
      </c>
      <c r="M235">
        <f t="shared" ca="1" si="44"/>
        <v>0.29657356752087538</v>
      </c>
      <c r="N235">
        <f t="shared" ca="1" si="44"/>
        <v>0.21053061891913996</v>
      </c>
      <c r="O235">
        <f t="shared" ca="1" si="44"/>
        <v>0.16228909375543571</v>
      </c>
      <c r="P235">
        <f t="shared" ca="1" si="44"/>
        <v>0.19070394898209467</v>
      </c>
      <c r="Q235">
        <f t="shared" ca="1" si="44"/>
        <v>0.27583964049195836</v>
      </c>
      <c r="R235">
        <f t="shared" ca="1" si="42"/>
        <v>0.60410506174986955</v>
      </c>
      <c r="S235">
        <f t="shared" ca="1" si="42"/>
        <v>0.34145068707601323</v>
      </c>
      <c r="T235">
        <f t="shared" ca="1" si="42"/>
        <v>0.40123456790123463</v>
      </c>
      <c r="V235" s="4">
        <f t="shared" si="40"/>
        <v>41796</v>
      </c>
      <c r="W235" s="5">
        <f t="shared" ca="1" si="39"/>
        <v>0.29657356752087538</v>
      </c>
      <c r="Z235" s="4" t="e">
        <f>IF(Sheet3!$A235="",MATCH("Error",AF235,0),Sheet3!$A235)</f>
        <v>#N/A</v>
      </c>
      <c r="AA235" s="5" t="str">
        <f ca="1">IF(OFFSET(Sheet3!$A$1,0,MATCH(W$1,Sheet3!$1:$1,0)-1,300)="","",OFFSET(Sheet3!$A$1,0,MATCH(W$1,Sheet3!$1:$1,0)-1,300))</f>
        <v/>
      </c>
      <c r="AB235" s="5" t="str">
        <f ca="1">IF(OFFSET(Sheet3!$A$1,0,MATCH(X$1,Sheet3!$1:$1,0)-1,300)="","",OFFSET(Sheet3!$A$1,0,MATCH(X$1,Sheet3!$1:$1,0)-1,300))</f>
        <v/>
      </c>
      <c r="AC235" t="str">
        <f t="shared" ca="1" si="36"/>
        <v/>
      </c>
      <c r="AD235" t="str">
        <f t="shared" ca="1" si="37"/>
        <v/>
      </c>
    </row>
    <row r="236" spans="1:30" x14ac:dyDescent="0.25">
      <c r="A236" s="4">
        <v>41795</v>
      </c>
      <c r="B236">
        <v>0.52300000000000002</v>
      </c>
      <c r="C236" s="5">
        <v>0.94099999999999995</v>
      </c>
      <c r="D236">
        <v>1.7122999999999999</v>
      </c>
      <c r="E236">
        <v>2.2315</v>
      </c>
      <c r="F236">
        <v>2.7048000000000001</v>
      </c>
      <c r="G236">
        <v>3.4245000000000001</v>
      </c>
      <c r="H236">
        <f t="shared" ca="1" si="44"/>
        <v>0.45144863915715544</v>
      </c>
      <c r="I236">
        <f t="shared" ca="1" si="44"/>
        <v>0.3535154459620497</v>
      </c>
      <c r="J236">
        <f t="shared" ca="1" si="44"/>
        <v>0.26582801998966049</v>
      </c>
      <c r="K236">
        <f t="shared" ca="1" si="44"/>
        <v>0.23796864973874787</v>
      </c>
      <c r="L236">
        <f t="shared" ca="1" si="44"/>
        <v>0.17894192658969502</v>
      </c>
      <c r="M236">
        <f t="shared" ca="1" si="44"/>
        <v>0.29436444041274523</v>
      </c>
      <c r="N236">
        <f t="shared" ca="1" si="44"/>
        <v>0.20905979464465474</v>
      </c>
      <c r="O236">
        <f t="shared" ca="1" si="44"/>
        <v>0.16312252283301742</v>
      </c>
      <c r="P236">
        <f t="shared" ca="1" si="44"/>
        <v>0.19057781356955908</v>
      </c>
      <c r="Q236">
        <f t="shared" ca="1" si="44"/>
        <v>0.27642798738465135</v>
      </c>
      <c r="R236">
        <f t="shared" ca="1" si="42"/>
        <v>0.60789246941237296</v>
      </c>
      <c r="S236">
        <f t="shared" ca="1" si="42"/>
        <v>0.34206444942271247</v>
      </c>
      <c r="T236">
        <f t="shared" ca="1" si="42"/>
        <v>0.39963760821421385</v>
      </c>
      <c r="V236" s="4">
        <f t="shared" si="40"/>
        <v>41795</v>
      </c>
      <c r="W236" s="5">
        <f t="shared" ca="1" si="39"/>
        <v>0.29436444041274523</v>
      </c>
      <c r="Z236" s="4" t="e">
        <f>IF(Sheet3!$A236="",MATCH("Error",AF236,0),Sheet3!$A236)</f>
        <v>#N/A</v>
      </c>
      <c r="AA236" s="5" t="str">
        <f ca="1">IF(OFFSET(Sheet3!$A$1,0,MATCH(W$1,Sheet3!$1:$1,0)-1,300)="","",OFFSET(Sheet3!$A$1,0,MATCH(W$1,Sheet3!$1:$1,0)-1,300))</f>
        <v/>
      </c>
      <c r="AB236" s="5" t="str">
        <f ca="1">IF(OFFSET(Sheet3!$A$1,0,MATCH(X$1,Sheet3!$1:$1,0)-1,300)="","",OFFSET(Sheet3!$A$1,0,MATCH(X$1,Sheet3!$1:$1,0)-1,300))</f>
        <v/>
      </c>
      <c r="AC236" t="str">
        <f t="shared" ca="1" si="36"/>
        <v/>
      </c>
      <c r="AD236" t="str">
        <f t="shared" ca="1" si="37"/>
        <v/>
      </c>
    </row>
    <row r="237" spans="1:30" x14ac:dyDescent="0.25">
      <c r="A237" s="4">
        <v>41794</v>
      </c>
      <c r="B237">
        <v>0.53</v>
      </c>
      <c r="C237" s="5">
        <v>0.95499999999999996</v>
      </c>
      <c r="D237">
        <v>1.7229999999999999</v>
      </c>
      <c r="E237">
        <v>2.2469999999999999</v>
      </c>
      <c r="F237">
        <v>2.7210000000000001</v>
      </c>
      <c r="G237">
        <v>3.43</v>
      </c>
      <c r="H237">
        <f t="shared" ca="1" si="44"/>
        <v>0.4472917880023296</v>
      </c>
      <c r="I237">
        <f t="shared" ca="1" si="44"/>
        <v>0.3505248744865358</v>
      </c>
      <c r="J237">
        <f t="shared" ca="1" si="44"/>
        <v>0.2648275862068965</v>
      </c>
      <c r="K237">
        <f t="shared" ca="1" si="44"/>
        <v>0.23916020082154271</v>
      </c>
      <c r="L237">
        <f t="shared" ca="1" si="44"/>
        <v>0.18068965517241378</v>
      </c>
      <c r="M237">
        <f t="shared" ca="1" si="44"/>
        <v>0.2967157417893545</v>
      </c>
      <c r="N237">
        <f t="shared" ca="1" si="44"/>
        <v>0.21171717171717172</v>
      </c>
      <c r="O237">
        <f t="shared" ca="1" si="44"/>
        <v>0.163448275862069</v>
      </c>
      <c r="P237">
        <f t="shared" ca="1" si="44"/>
        <v>0.19151515151515158</v>
      </c>
      <c r="Q237">
        <f t="shared" ca="1" si="44"/>
        <v>0.27768014059753959</v>
      </c>
      <c r="R237">
        <f t="shared" ca="1" si="42"/>
        <v>0.60896551724137926</v>
      </c>
      <c r="S237">
        <f t="shared" ca="1" si="42"/>
        <v>0.34413793103448281</v>
      </c>
      <c r="T237">
        <f t="shared" ca="1" si="42"/>
        <v>0.40323232323232333</v>
      </c>
      <c r="V237" s="4">
        <f t="shared" si="40"/>
        <v>41794</v>
      </c>
      <c r="W237" s="5">
        <f t="shared" ca="1" si="39"/>
        <v>0.2967157417893545</v>
      </c>
      <c r="Z237" s="4" t="e">
        <f>IF(Sheet3!$A237="",MATCH("Error",AF237,0),Sheet3!$A237)</f>
        <v>#N/A</v>
      </c>
      <c r="AA237" s="5" t="str">
        <f ca="1">IF(OFFSET(Sheet3!$A$1,0,MATCH(W$1,Sheet3!$1:$1,0)-1,300)="","",OFFSET(Sheet3!$A$1,0,MATCH(W$1,Sheet3!$1:$1,0)-1,300))</f>
        <v/>
      </c>
      <c r="AB237" s="5" t="str">
        <f ca="1">IF(OFFSET(Sheet3!$A$1,0,MATCH(X$1,Sheet3!$1:$1,0)-1,300)="","",OFFSET(Sheet3!$A$1,0,MATCH(X$1,Sheet3!$1:$1,0)-1,300))</f>
        <v/>
      </c>
      <c r="AC237" t="str">
        <f t="shared" ca="1" si="36"/>
        <v/>
      </c>
      <c r="AD237" t="str">
        <f t="shared" ca="1" si="37"/>
        <v/>
      </c>
    </row>
    <row r="238" spans="1:30" x14ac:dyDescent="0.25">
      <c r="A238" s="4">
        <v>41793</v>
      </c>
      <c r="B238">
        <v>0.53700000000000003</v>
      </c>
      <c r="C238" s="5">
        <v>0.96</v>
      </c>
      <c r="D238">
        <v>1.7248000000000001</v>
      </c>
      <c r="E238">
        <v>2.2408000000000001</v>
      </c>
      <c r="F238">
        <v>2.7107999999999999</v>
      </c>
      <c r="G238">
        <v>3.4260000000000002</v>
      </c>
      <c r="H238">
        <f t="shared" ca="1" si="44"/>
        <v>0.44887897640568147</v>
      </c>
      <c r="I238">
        <f t="shared" ca="1" si="44"/>
        <v>0.35182629496733836</v>
      </c>
      <c r="J238">
        <f t="shared" ca="1" si="44"/>
        <v>0.26472827968155072</v>
      </c>
      <c r="K238">
        <f t="shared" ca="1" si="44"/>
        <v>0.23737234336185484</v>
      </c>
      <c r="L238">
        <f t="shared" ca="1" si="44"/>
        <v>0.17860851505711317</v>
      </c>
      <c r="M238">
        <f t="shared" ca="1" si="44"/>
        <v>0.29472241261137766</v>
      </c>
      <c r="N238">
        <f t="shared" ca="1" si="44"/>
        <v>0.20924574209245742</v>
      </c>
      <c r="O238">
        <f t="shared" ca="1" si="44"/>
        <v>0.16268605053651772</v>
      </c>
      <c r="P238">
        <f t="shared" ca="1" si="44"/>
        <v>0.19059205190592041</v>
      </c>
      <c r="Q238">
        <f t="shared" ca="1" si="44"/>
        <v>0.27627557018575111</v>
      </c>
      <c r="R238">
        <f t="shared" ca="1" si="42"/>
        <v>0.60602284527518169</v>
      </c>
      <c r="S238">
        <f t="shared" ca="1" si="42"/>
        <v>0.34129456559363092</v>
      </c>
      <c r="T238">
        <f t="shared" ca="1" si="42"/>
        <v>0.39983779399837782</v>
      </c>
      <c r="V238" s="4">
        <f t="shared" si="40"/>
        <v>41793</v>
      </c>
      <c r="W238" s="5">
        <f t="shared" ca="1" si="39"/>
        <v>0.29472241261137766</v>
      </c>
      <c r="Z238" s="4" t="e">
        <f>IF(Sheet3!$A238="",MATCH("Error",AF238,0),Sheet3!$A238)</f>
        <v>#N/A</v>
      </c>
      <c r="AA238" s="5" t="str">
        <f ca="1">IF(OFFSET(Sheet3!$A$1,0,MATCH(W$1,Sheet3!$1:$1,0)-1,300)="","",OFFSET(Sheet3!$A$1,0,MATCH(W$1,Sheet3!$1:$1,0)-1,300))</f>
        <v/>
      </c>
      <c r="AB238" s="5" t="str">
        <f ca="1">IF(OFFSET(Sheet3!$A$1,0,MATCH(X$1,Sheet3!$1:$1,0)-1,300)="","",OFFSET(Sheet3!$A$1,0,MATCH(X$1,Sheet3!$1:$1,0)-1,300))</f>
        <v/>
      </c>
      <c r="AC238" t="str">
        <f t="shared" ca="1" si="36"/>
        <v/>
      </c>
      <c r="AD238" t="str">
        <f t="shared" ca="1" si="37"/>
        <v/>
      </c>
    </row>
    <row r="239" spans="1:30" x14ac:dyDescent="0.25">
      <c r="A239" s="4">
        <v>41792</v>
      </c>
      <c r="B239">
        <v>0.52700000000000002</v>
      </c>
      <c r="C239" s="5">
        <v>0.9365</v>
      </c>
      <c r="D239">
        <v>1.6705000000000001</v>
      </c>
      <c r="E239">
        <v>2.1715</v>
      </c>
      <c r="F239">
        <v>2.637</v>
      </c>
      <c r="G239">
        <v>3.3567999999999998</v>
      </c>
      <c r="H239">
        <f t="shared" ca="1" si="44"/>
        <v>0.44633627242322904</v>
      </c>
      <c r="I239">
        <f t="shared" ca="1" si="44"/>
        <v>0.34786729857819909</v>
      </c>
      <c r="J239">
        <f t="shared" ca="1" si="44"/>
        <v>0.25938228850095418</v>
      </c>
      <c r="K239">
        <f t="shared" ca="1" si="44"/>
        <v>0.23744075829383882</v>
      </c>
      <c r="L239">
        <f t="shared" ca="1" si="44"/>
        <v>0.1770443140858011</v>
      </c>
      <c r="M239">
        <f t="shared" ca="1" si="44"/>
        <v>0.29461922963834164</v>
      </c>
      <c r="N239">
        <f t="shared" ca="1" si="44"/>
        <v>0.20699913233896622</v>
      </c>
      <c r="O239">
        <f t="shared" ca="1" si="44"/>
        <v>0.1644992578980847</v>
      </c>
      <c r="P239">
        <f t="shared" ca="1" si="44"/>
        <v>0.19233152914927906</v>
      </c>
      <c r="Q239">
        <f t="shared" ca="1" si="44"/>
        <v>0.27604815276048161</v>
      </c>
      <c r="R239">
        <f t="shared" ca="1" si="42"/>
        <v>0.60092586048483998</v>
      </c>
      <c r="S239">
        <f t="shared" ca="1" si="42"/>
        <v>0.3415435719838858</v>
      </c>
      <c r="T239">
        <f t="shared" ca="1" si="42"/>
        <v>0.39933066148824525</v>
      </c>
      <c r="V239" s="4">
        <f t="shared" si="40"/>
        <v>41792</v>
      </c>
      <c r="W239" s="5">
        <f t="shared" ca="1" si="39"/>
        <v>0.29461922963834164</v>
      </c>
      <c r="Z239" s="4" t="e">
        <f>IF(Sheet3!$A239="",MATCH("Error",AF239,0),Sheet3!$A239)</f>
        <v>#N/A</v>
      </c>
      <c r="AA239" s="5" t="str">
        <f ca="1">IF(OFFSET(Sheet3!$A$1,0,MATCH(W$1,Sheet3!$1:$1,0)-1,300)="","",OFFSET(Sheet3!$A$1,0,MATCH(W$1,Sheet3!$1:$1,0)-1,300))</f>
        <v/>
      </c>
      <c r="AB239" s="5" t="str">
        <f ca="1">IF(OFFSET(Sheet3!$A$1,0,MATCH(X$1,Sheet3!$1:$1,0)-1,300)="","",OFFSET(Sheet3!$A$1,0,MATCH(X$1,Sheet3!$1:$1,0)-1,300))</f>
        <v/>
      </c>
      <c r="AC239" t="str">
        <f t="shared" ca="1" si="36"/>
        <v/>
      </c>
      <c r="AD239" t="str">
        <f t="shared" ca="1" si="37"/>
        <v/>
      </c>
    </row>
    <row r="240" spans="1:30" x14ac:dyDescent="0.25">
      <c r="A240" s="4">
        <v>41789</v>
      </c>
      <c r="B240">
        <v>0.51319999999999999</v>
      </c>
      <c r="C240" s="5">
        <v>0.91059999999999997</v>
      </c>
      <c r="D240">
        <v>1.6205000000000001</v>
      </c>
      <c r="E240">
        <v>2.1189999999999998</v>
      </c>
      <c r="F240">
        <v>2.5880000000000001</v>
      </c>
      <c r="G240">
        <v>3.3077999999999999</v>
      </c>
      <c r="H240">
        <f t="shared" ca="1" si="44"/>
        <v>0.44208494208494215</v>
      </c>
      <c r="I240">
        <f t="shared" ca="1" si="44"/>
        <v>0.34215346057451324</v>
      </c>
      <c r="J240">
        <f t="shared" ca="1" si="44"/>
        <v>0.25402562084019181</v>
      </c>
      <c r="K240">
        <f t="shared" ca="1" si="44"/>
        <v>0.24026412184306906</v>
      </c>
      <c r="L240">
        <f t="shared" ca="1" si="44"/>
        <v>0.17837973234094315</v>
      </c>
      <c r="M240">
        <f t="shared" ca="1" si="44"/>
        <v>0.29718612137832345</v>
      </c>
      <c r="N240">
        <f t="shared" ca="1" si="44"/>
        <v>0.2079509427665609</v>
      </c>
      <c r="O240">
        <f t="shared" ca="1" si="44"/>
        <v>0.16782365991555154</v>
      </c>
      <c r="P240">
        <f t="shared" ca="1" si="44"/>
        <v>0.19564491907225109</v>
      </c>
      <c r="Q240">
        <f t="shared" ca="1" si="44"/>
        <v>0.27795886919931273</v>
      </c>
      <c r="R240">
        <f t="shared" ca="1" si="42"/>
        <v>0.60022901309668653</v>
      </c>
      <c r="S240">
        <f t="shared" ca="1" si="42"/>
        <v>0.34620339225649466</v>
      </c>
      <c r="T240">
        <f t="shared" ca="1" si="42"/>
        <v>0.40359586183881202</v>
      </c>
      <c r="V240" s="4">
        <f t="shared" si="40"/>
        <v>41789</v>
      </c>
      <c r="W240" s="5">
        <f t="shared" ca="1" si="39"/>
        <v>0.29718612137832345</v>
      </c>
      <c r="Z240" s="4" t="e">
        <f>IF(Sheet3!$A240="",MATCH("Error",AF240,0),Sheet3!$A240)</f>
        <v>#N/A</v>
      </c>
      <c r="AA240" s="5" t="str">
        <f ca="1">IF(OFFSET(Sheet3!$A$1,0,MATCH(W$1,Sheet3!$1:$1,0)-1,300)="","",OFFSET(Sheet3!$A$1,0,MATCH(W$1,Sheet3!$1:$1,0)-1,300))</f>
        <v/>
      </c>
      <c r="AB240" s="5" t="str">
        <f ca="1">IF(OFFSET(Sheet3!$A$1,0,MATCH(X$1,Sheet3!$1:$1,0)-1,300)="","",OFFSET(Sheet3!$A$1,0,MATCH(X$1,Sheet3!$1:$1,0)-1,300))</f>
        <v/>
      </c>
      <c r="AC240" t="str">
        <f t="shared" ca="1" si="36"/>
        <v/>
      </c>
      <c r="AD240" t="str">
        <f t="shared" ca="1" si="37"/>
        <v/>
      </c>
    </row>
    <row r="241" spans="1:30" x14ac:dyDescent="0.25">
      <c r="A241" s="4">
        <v>41788</v>
      </c>
      <c r="B241">
        <v>0.50700000000000001</v>
      </c>
      <c r="C241" s="5">
        <v>0.88949999999999996</v>
      </c>
      <c r="D241">
        <v>1.6040000000000001</v>
      </c>
      <c r="E241">
        <v>2.0985</v>
      </c>
      <c r="F241">
        <v>2.5670000000000002</v>
      </c>
      <c r="G241">
        <v>3.2995000000000001</v>
      </c>
      <c r="H241">
        <f t="shared" ca="1" si="44"/>
        <v>0.44894753377317009</v>
      </c>
      <c r="I241">
        <f t="shared" ca="1" si="44"/>
        <v>0.34684466019417481</v>
      </c>
      <c r="J241">
        <f t="shared" ca="1" si="44"/>
        <v>0.25586392121754703</v>
      </c>
      <c r="K241">
        <f t="shared" ca="1" si="44"/>
        <v>0.24004854368932035</v>
      </c>
      <c r="L241">
        <f t="shared" ca="1" si="44"/>
        <v>0.17708146821844223</v>
      </c>
      <c r="M241">
        <f t="shared" ca="1" si="44"/>
        <v>0.29478390461997012</v>
      </c>
      <c r="N241">
        <f t="shared" ca="1" si="44"/>
        <v>0.20518672199170121</v>
      </c>
      <c r="O241">
        <f t="shared" ca="1" si="44"/>
        <v>0.16777081468218447</v>
      </c>
      <c r="P241">
        <f t="shared" ca="1" si="44"/>
        <v>0.19439834024896271</v>
      </c>
      <c r="Q241">
        <f t="shared" ca="1" si="44"/>
        <v>0.27631966971394878</v>
      </c>
      <c r="R241">
        <f t="shared" ca="1" si="42"/>
        <v>0.60071620411817372</v>
      </c>
      <c r="S241">
        <f t="shared" ca="1" si="42"/>
        <v>0.34485228290062669</v>
      </c>
      <c r="T241">
        <f t="shared" ca="1" si="42"/>
        <v>0.39958506224066392</v>
      </c>
      <c r="V241" s="4">
        <f t="shared" si="40"/>
        <v>41788</v>
      </c>
      <c r="W241" s="5">
        <f t="shared" ca="1" si="39"/>
        <v>0.29478390461997012</v>
      </c>
      <c r="Z241" s="4" t="e">
        <f>IF(Sheet3!$A241="",MATCH("Error",AF241,0),Sheet3!$A241)</f>
        <v>#N/A</v>
      </c>
      <c r="AA241" s="5" t="str">
        <f ca="1">IF(OFFSET(Sheet3!$A$1,0,MATCH(W$1,Sheet3!$1:$1,0)-1,300)="","",OFFSET(Sheet3!$A$1,0,MATCH(W$1,Sheet3!$1:$1,0)-1,300))</f>
        <v/>
      </c>
      <c r="AB241" s="5" t="str">
        <f ca="1">IF(OFFSET(Sheet3!$A$1,0,MATCH(X$1,Sheet3!$1:$1,0)-1,300)="","",OFFSET(Sheet3!$A$1,0,MATCH(X$1,Sheet3!$1:$1,0)-1,300))</f>
        <v/>
      </c>
      <c r="AC241" t="str">
        <f t="shared" ca="1" si="36"/>
        <v/>
      </c>
      <c r="AD241" t="str">
        <f t="shared" ca="1" si="37"/>
        <v/>
      </c>
    </row>
    <row r="242" spans="1:30" x14ac:dyDescent="0.25">
      <c r="A242" s="4">
        <v>41787</v>
      </c>
      <c r="B242">
        <v>0.49149999999999999</v>
      </c>
      <c r="C242" s="5">
        <v>0.86599999999999999</v>
      </c>
      <c r="D242">
        <v>1.5754999999999999</v>
      </c>
      <c r="E242">
        <v>2.0699999999999998</v>
      </c>
      <c r="F242">
        <v>2.54</v>
      </c>
      <c r="G242">
        <v>3.2675000000000001</v>
      </c>
      <c r="H242">
        <f t="shared" ca="1" si="44"/>
        <v>0.44947735191637633</v>
      </c>
      <c r="I242">
        <f t="shared" ca="1" si="44"/>
        <v>0.34635098852819129</v>
      </c>
      <c r="J242">
        <f t="shared" ca="1" si="44"/>
        <v>0.25558357348703165</v>
      </c>
      <c r="K242">
        <f t="shared" ca="1" si="44"/>
        <v>0.24139614351964847</v>
      </c>
      <c r="L242">
        <f t="shared" ca="1" si="44"/>
        <v>0.17813400576368874</v>
      </c>
      <c r="M242">
        <f t="shared" ca="1" si="44"/>
        <v>0.29540023894862605</v>
      </c>
      <c r="N242">
        <f t="shared" ca="1" si="44"/>
        <v>0.20591297105975429</v>
      </c>
      <c r="O242">
        <f t="shared" ca="1" si="44"/>
        <v>0.16930835734870323</v>
      </c>
      <c r="P242">
        <f t="shared" ca="1" si="44"/>
        <v>0.1957110139496149</v>
      </c>
      <c r="Q242">
        <f t="shared" ca="1" si="44"/>
        <v>0.27777777777777785</v>
      </c>
      <c r="R242">
        <f t="shared" ca="1" si="42"/>
        <v>0.60302593659942361</v>
      </c>
      <c r="S242">
        <f t="shared" ca="1" si="42"/>
        <v>0.34744236311239196</v>
      </c>
      <c r="T242">
        <f t="shared" ca="1" si="42"/>
        <v>0.40162398500936919</v>
      </c>
      <c r="V242" s="4">
        <f t="shared" si="40"/>
        <v>41787</v>
      </c>
      <c r="W242" s="5">
        <f t="shared" ca="1" si="39"/>
        <v>0.29540023894862605</v>
      </c>
      <c r="Z242" s="4" t="e">
        <f>IF(Sheet3!$A242="",MATCH("Error",AF242,0),Sheet3!$A242)</f>
        <v>#N/A</v>
      </c>
      <c r="AA242" s="5" t="str">
        <f ca="1">IF(OFFSET(Sheet3!$A$1,0,MATCH(W$1,Sheet3!$1:$1,0)-1,300)="","",OFFSET(Sheet3!$A$1,0,MATCH(W$1,Sheet3!$1:$1,0)-1,300))</f>
        <v/>
      </c>
      <c r="AB242" s="5" t="str">
        <f ca="1">IF(OFFSET(Sheet3!$A$1,0,MATCH(X$1,Sheet3!$1:$1,0)-1,300)="","",OFFSET(Sheet3!$A$1,0,MATCH(X$1,Sheet3!$1:$1,0)-1,300))</f>
        <v/>
      </c>
      <c r="AC242" t="str">
        <f t="shared" ca="1" si="36"/>
        <v/>
      </c>
      <c r="AD242" t="str">
        <f t="shared" ca="1" si="37"/>
        <v/>
      </c>
    </row>
    <row r="243" spans="1:30" x14ac:dyDescent="0.25">
      <c r="A243" s="4">
        <v>41786</v>
      </c>
      <c r="B243">
        <v>0.50700000000000001</v>
      </c>
      <c r="C243" s="5">
        <v>0.89700000000000002</v>
      </c>
      <c r="D243">
        <v>1.6219999999999999</v>
      </c>
      <c r="E243">
        <v>2.1320000000000001</v>
      </c>
      <c r="F243">
        <v>2.609</v>
      </c>
      <c r="G243">
        <v>3.3265000000000002</v>
      </c>
      <c r="H243">
        <f t="shared" ref="H243:Q252" ca="1" si="45">IF(ISERROR(ABS(OFFSET($A$11,ROW()-11,MATCH(LEFT(H$9,2),$A$11:$G$11,0)-1)-OFFSET($A$11,ROW()-11,MATCH(RIGHT(H$9,2),$A$11:$G$11,0)-1))/ABS(OFFSET($A$11,ROW()-11,MATCH(LEFT(H$10,2),$A$11:$G$11,0)-1)-OFFSET($A$11,ROW()-11,MATCH(RIGHT(H$10,2),$A$11:$G$11,0)-1))),"",ABS(OFFSET($A$11,ROW()-11,MATCH(LEFT(H$9,2),$A$11:$G$11,0)-1)-OFFSET($A$11,ROW()-11,MATCH(RIGHT(H$9,2),$A$11:$G$11,0)-1))/ABS(OFFSET($A$11,ROW()-11,MATCH(LEFT(H$10,2),$A$11:$G$11,0)-1)-OFFSET($A$11,ROW()-11,MATCH(RIGHT(H$10,2),$A$11:$G$11,0)-1)))</f>
        <v>0.44615384615384607</v>
      </c>
      <c r="I243">
        <f t="shared" ca="1" si="45"/>
        <v>0.34490960989533775</v>
      </c>
      <c r="J243">
        <f t="shared" ca="1" si="45"/>
        <v>0.25713779038836665</v>
      </c>
      <c r="K243">
        <f t="shared" ca="1" si="45"/>
        <v>0.24262607040913428</v>
      </c>
      <c r="L243">
        <f t="shared" ca="1" si="45"/>
        <v>0.18088313530767874</v>
      </c>
      <c r="M243">
        <f t="shared" ca="1" si="45"/>
        <v>0.29789719626168237</v>
      </c>
      <c r="N243">
        <f t="shared" ca="1" si="45"/>
        <v>0.20991973657131108</v>
      </c>
      <c r="O243">
        <f t="shared" ca="1" si="45"/>
        <v>0.16917893243482882</v>
      </c>
      <c r="P243">
        <f t="shared" ca="1" si="45"/>
        <v>0.19633669479316726</v>
      </c>
      <c r="Q243">
        <f t="shared" ca="1" si="45"/>
        <v>0.27984746259900251</v>
      </c>
      <c r="R243">
        <f t="shared" ca="1" si="42"/>
        <v>0.60719985813087418</v>
      </c>
      <c r="S243">
        <f t="shared" ca="1" si="42"/>
        <v>0.35006206774250753</v>
      </c>
      <c r="T243">
        <f t="shared" ca="1" si="42"/>
        <v>0.40625643136447831</v>
      </c>
      <c r="V243" s="4">
        <f t="shared" si="40"/>
        <v>41786</v>
      </c>
      <c r="W243" s="5">
        <f t="shared" ca="1" si="39"/>
        <v>0.29789719626168237</v>
      </c>
      <c r="Z243" s="4" t="e">
        <f>IF(Sheet3!$A243="",MATCH("Error",AF243,0),Sheet3!$A243)</f>
        <v>#N/A</v>
      </c>
      <c r="AA243" s="5" t="str">
        <f ca="1">IF(OFFSET(Sheet3!$A$1,0,MATCH(W$1,Sheet3!$1:$1,0)-1,300)="","",OFFSET(Sheet3!$A$1,0,MATCH(W$1,Sheet3!$1:$1,0)-1,300))</f>
        <v/>
      </c>
      <c r="AB243" s="5" t="str">
        <f ca="1">IF(OFFSET(Sheet3!$A$1,0,MATCH(X$1,Sheet3!$1:$1,0)-1,300)="","",OFFSET(Sheet3!$A$1,0,MATCH(X$1,Sheet3!$1:$1,0)-1,300))</f>
        <v/>
      </c>
      <c r="AC243" t="str">
        <f t="shared" ca="1" si="36"/>
        <v/>
      </c>
      <c r="AD243" t="str">
        <f t="shared" ca="1" si="37"/>
        <v/>
      </c>
    </row>
    <row r="244" spans="1:30" x14ac:dyDescent="0.25">
      <c r="A244" s="4">
        <v>41785</v>
      </c>
      <c r="B244">
        <v>0.50800000000000001</v>
      </c>
      <c r="C244" s="5">
        <v>0.89400000000000002</v>
      </c>
      <c r="D244">
        <v>1.62</v>
      </c>
      <c r="E244">
        <v>2.1390000000000002</v>
      </c>
      <c r="F244">
        <v>2.625</v>
      </c>
      <c r="G244">
        <v>3.3570000000000002</v>
      </c>
      <c r="H244">
        <f t="shared" ca="1" si="45"/>
        <v>0.4451256897608829</v>
      </c>
      <c r="I244">
        <f t="shared" ca="1" si="45"/>
        <v>0.3429381199811054</v>
      </c>
      <c r="J244">
        <f t="shared" ca="1" si="45"/>
        <v>0.25482625482625482</v>
      </c>
      <c r="K244">
        <f t="shared" ca="1" si="45"/>
        <v>0.24515824279641008</v>
      </c>
      <c r="L244">
        <f t="shared" ca="1" si="45"/>
        <v>0.18216918216918221</v>
      </c>
      <c r="M244">
        <f t="shared" ca="1" si="45"/>
        <v>0.29982668977469679</v>
      </c>
      <c r="N244">
        <f t="shared" ca="1" si="45"/>
        <v>0.21071863580998787</v>
      </c>
      <c r="O244">
        <f t="shared" ca="1" si="45"/>
        <v>0.17058617058617048</v>
      </c>
      <c r="P244">
        <f t="shared" ca="1" si="45"/>
        <v>0.19732034104750296</v>
      </c>
      <c r="Q244">
        <f t="shared" ca="1" si="45"/>
        <v>0.27979274611398947</v>
      </c>
      <c r="R244">
        <f t="shared" ca="1" si="42"/>
        <v>0.60758160758160751</v>
      </c>
      <c r="S244">
        <f t="shared" ca="1" si="42"/>
        <v>0.35275535275535269</v>
      </c>
      <c r="T244">
        <f t="shared" ca="1" si="42"/>
        <v>0.4080389768574908</v>
      </c>
      <c r="V244" s="4">
        <f t="shared" si="40"/>
        <v>41785</v>
      </c>
      <c r="W244" s="5">
        <f t="shared" ca="1" si="39"/>
        <v>0.29982668977469679</v>
      </c>
      <c r="Z244" s="4" t="e">
        <f>IF(Sheet3!$A244="",MATCH("Error",AF244,0),Sheet3!$A244)</f>
        <v>#N/A</v>
      </c>
      <c r="AA244" s="5" t="str">
        <f ca="1">IF(OFFSET(Sheet3!$A$1,0,MATCH(W$1,Sheet3!$1:$1,0)-1,300)="","",OFFSET(Sheet3!$A$1,0,MATCH(W$1,Sheet3!$1:$1,0)-1,300))</f>
        <v/>
      </c>
      <c r="AB244" s="5" t="str">
        <f ca="1">IF(OFFSET(Sheet3!$A$1,0,MATCH(X$1,Sheet3!$1:$1,0)-1,300)="","",OFFSET(Sheet3!$A$1,0,MATCH(X$1,Sheet3!$1:$1,0)-1,300))</f>
        <v/>
      </c>
      <c r="AC244" t="str">
        <f t="shared" ca="1" si="36"/>
        <v/>
      </c>
      <c r="AD244" t="str">
        <f t="shared" ca="1" si="37"/>
        <v/>
      </c>
    </row>
    <row r="245" spans="1:30" x14ac:dyDescent="0.25">
      <c r="A245" s="4">
        <v>41782</v>
      </c>
      <c r="B245">
        <v>0.50649999999999995</v>
      </c>
      <c r="C245" s="5">
        <v>0.89549999999999996</v>
      </c>
      <c r="D245">
        <v>1.62</v>
      </c>
      <c r="E245">
        <v>2.137</v>
      </c>
      <c r="F245">
        <v>2.6219999999999999</v>
      </c>
      <c r="G245">
        <v>3.3555000000000001</v>
      </c>
      <c r="H245">
        <f t="shared" ca="1" si="45"/>
        <v>0.44434222631094761</v>
      </c>
      <c r="I245">
        <f t="shared" ca="1" si="45"/>
        <v>0.34247222878752076</v>
      </c>
      <c r="J245">
        <f t="shared" ca="1" si="45"/>
        <v>0.25429975429975432</v>
      </c>
      <c r="K245">
        <f t="shared" ca="1" si="45"/>
        <v>0.24438666981800988</v>
      </c>
      <c r="L245">
        <f t="shared" ca="1" si="45"/>
        <v>0.18146718146718141</v>
      </c>
      <c r="M245">
        <f t="shared" ca="1" si="45"/>
        <v>0.29944975383724293</v>
      </c>
      <c r="N245">
        <f t="shared" ca="1" si="45"/>
        <v>0.21016260162601622</v>
      </c>
      <c r="O245">
        <f t="shared" ca="1" si="45"/>
        <v>0.17023517023517018</v>
      </c>
      <c r="P245">
        <f t="shared" ca="1" si="45"/>
        <v>0.19715447154471541</v>
      </c>
      <c r="Q245">
        <f t="shared" ca="1" si="45"/>
        <v>0.27945836934600971</v>
      </c>
      <c r="R245">
        <f t="shared" ca="1" si="42"/>
        <v>0.60600210600210591</v>
      </c>
      <c r="S245">
        <f t="shared" ca="1" si="42"/>
        <v>0.35170235170235159</v>
      </c>
      <c r="T245">
        <f t="shared" ca="1" si="42"/>
        <v>0.40731707317073162</v>
      </c>
      <c r="V245" s="4">
        <f t="shared" si="40"/>
        <v>41782</v>
      </c>
      <c r="W245" s="5">
        <f t="shared" ca="1" si="39"/>
        <v>0.29944975383724293</v>
      </c>
      <c r="Z245" s="4" t="e">
        <f>IF(Sheet3!$A245="",MATCH("Error",AF245,0),Sheet3!$A245)</f>
        <v>#N/A</v>
      </c>
      <c r="AA245" s="5" t="str">
        <f ca="1">IF(OFFSET(Sheet3!$A$1,0,MATCH(W$1,Sheet3!$1:$1,0)-1,300)="","",OFFSET(Sheet3!$A$1,0,MATCH(W$1,Sheet3!$1:$1,0)-1,300))</f>
        <v/>
      </c>
      <c r="AB245" s="5" t="str">
        <f ca="1">IF(OFFSET(Sheet3!$A$1,0,MATCH(X$1,Sheet3!$1:$1,0)-1,300)="","",OFFSET(Sheet3!$A$1,0,MATCH(X$1,Sheet3!$1:$1,0)-1,300))</f>
        <v/>
      </c>
      <c r="AC245" t="str">
        <f t="shared" ca="1" si="36"/>
        <v/>
      </c>
      <c r="AD245" t="str">
        <f t="shared" ca="1" si="37"/>
        <v/>
      </c>
    </row>
    <row r="246" spans="1:30" x14ac:dyDescent="0.25">
      <c r="A246" s="4">
        <v>41781</v>
      </c>
      <c r="B246">
        <v>0.50119999999999998</v>
      </c>
      <c r="C246" s="5">
        <v>0.90049999999999997</v>
      </c>
      <c r="D246">
        <v>1.6393</v>
      </c>
      <c r="E246">
        <v>2.1595</v>
      </c>
      <c r="F246">
        <v>2.6470000000000002</v>
      </c>
      <c r="G246">
        <v>3.3895</v>
      </c>
      <c r="H246">
        <f t="shared" ca="1" si="45"/>
        <v>0.44551649279382499</v>
      </c>
      <c r="I246">
        <f t="shared" ca="1" si="45"/>
        <v>0.34430049398825607</v>
      </c>
      <c r="J246">
        <f t="shared" ca="1" si="45"/>
        <v>0.25579060346916871</v>
      </c>
      <c r="K246">
        <f t="shared" ca="1" si="45"/>
        <v>0.24242706682822254</v>
      </c>
      <c r="L246">
        <f t="shared" ca="1" si="45"/>
        <v>0.18010594467333724</v>
      </c>
      <c r="M246">
        <f t="shared" ca="1" si="45"/>
        <v>0.29785284855425131</v>
      </c>
      <c r="N246">
        <f t="shared" ca="1" si="45"/>
        <v>0.20899959823222178</v>
      </c>
      <c r="O246">
        <f t="shared" ca="1" si="45"/>
        <v>0.16878440605200298</v>
      </c>
      <c r="P246">
        <f t="shared" ca="1" si="45"/>
        <v>0.19586179188429101</v>
      </c>
      <c r="Q246">
        <f t="shared" ca="1" si="45"/>
        <v>0.27853959547480306</v>
      </c>
      <c r="R246">
        <f t="shared" ca="1" si="42"/>
        <v>0.60468095419450896</v>
      </c>
      <c r="S246">
        <f t="shared" ca="1" si="42"/>
        <v>0.34889035072534025</v>
      </c>
      <c r="T246">
        <f t="shared" ca="1" si="42"/>
        <v>0.40486139011651279</v>
      </c>
      <c r="V246" s="4">
        <f t="shared" si="40"/>
        <v>41781</v>
      </c>
      <c r="W246" s="5">
        <f t="shared" ca="1" si="39"/>
        <v>0.29785284855425131</v>
      </c>
      <c r="Z246" s="4" t="e">
        <f>IF(Sheet3!$A246="",MATCH("Error",AF246,0),Sheet3!$A246)</f>
        <v>#N/A</v>
      </c>
      <c r="AA246" s="5" t="str">
        <f ca="1">IF(OFFSET(Sheet3!$A$1,0,MATCH(W$1,Sheet3!$1:$1,0)-1,300)="","",OFFSET(Sheet3!$A$1,0,MATCH(W$1,Sheet3!$1:$1,0)-1,300))</f>
        <v/>
      </c>
      <c r="AB246" s="5" t="str">
        <f ca="1">IF(OFFSET(Sheet3!$A$1,0,MATCH(X$1,Sheet3!$1:$1,0)-1,300)="","",OFFSET(Sheet3!$A$1,0,MATCH(X$1,Sheet3!$1:$1,0)-1,300))</f>
        <v/>
      </c>
      <c r="AC246" t="str">
        <f t="shared" ca="1" si="36"/>
        <v/>
      </c>
      <c r="AD246" t="str">
        <f t="shared" ca="1" si="37"/>
        <v/>
      </c>
    </row>
    <row r="247" spans="1:30" x14ac:dyDescent="0.25">
      <c r="A247" s="4">
        <v>41780</v>
      </c>
      <c r="B247">
        <v>0.49</v>
      </c>
      <c r="C247" s="5">
        <v>0.88200000000000001</v>
      </c>
      <c r="D247">
        <v>1.6177999999999999</v>
      </c>
      <c r="E247">
        <v>2.1375000000000002</v>
      </c>
      <c r="F247">
        <v>2.6269999999999998</v>
      </c>
      <c r="G247">
        <v>3.3740000000000001</v>
      </c>
      <c r="H247">
        <f t="shared" ca="1" si="45"/>
        <v>0.44661608497723815</v>
      </c>
      <c r="I247">
        <f t="shared" ca="1" si="45"/>
        <v>0.3443144595226954</v>
      </c>
      <c r="J247">
        <f t="shared" ca="1" si="45"/>
        <v>0.25513176144244099</v>
      </c>
      <c r="K247">
        <f t="shared" ca="1" si="45"/>
        <v>0.24319138979878352</v>
      </c>
      <c r="L247">
        <f t="shared" ca="1" si="45"/>
        <v>0.18020110957004168</v>
      </c>
      <c r="M247">
        <f t="shared" ca="1" si="45"/>
        <v>0.29782234957020076</v>
      </c>
      <c r="N247">
        <f t="shared" ca="1" si="45"/>
        <v>0.20854735152487971</v>
      </c>
      <c r="O247">
        <f t="shared" ca="1" si="45"/>
        <v>0.16972954230235768</v>
      </c>
      <c r="P247">
        <f t="shared" ca="1" si="45"/>
        <v>0.19642857142857126</v>
      </c>
      <c r="Q247">
        <f t="shared" ca="1" si="45"/>
        <v>0.2787267964924266</v>
      </c>
      <c r="R247">
        <f t="shared" ca="1" si="42"/>
        <v>0.60506241331484034</v>
      </c>
      <c r="S247">
        <f t="shared" ca="1" si="42"/>
        <v>0.34993065187239936</v>
      </c>
      <c r="T247">
        <f t="shared" ca="1" si="42"/>
        <v>0.40497592295345097</v>
      </c>
      <c r="V247" s="4">
        <f t="shared" si="40"/>
        <v>41780</v>
      </c>
      <c r="W247" s="5">
        <f t="shared" ca="1" si="39"/>
        <v>0.29782234957020076</v>
      </c>
      <c r="Z247" s="4" t="e">
        <f>IF(Sheet3!$A247="",MATCH("Error",AF247,0),Sheet3!$A247)</f>
        <v>#N/A</v>
      </c>
      <c r="AA247" s="5" t="str">
        <f ca="1">IF(OFFSET(Sheet3!$A$1,0,MATCH(W$1,Sheet3!$1:$1,0)-1,300)="","",OFFSET(Sheet3!$A$1,0,MATCH(W$1,Sheet3!$1:$1,0)-1,300))</f>
        <v/>
      </c>
      <c r="AB247" s="5" t="str">
        <f ca="1">IF(OFFSET(Sheet3!$A$1,0,MATCH(X$1,Sheet3!$1:$1,0)-1,300)="","",OFFSET(Sheet3!$A$1,0,MATCH(X$1,Sheet3!$1:$1,0)-1,300))</f>
        <v/>
      </c>
      <c r="AC247" t="str">
        <f t="shared" ca="1" si="36"/>
        <v/>
      </c>
      <c r="AD247" t="str">
        <f t="shared" ca="1" si="37"/>
        <v/>
      </c>
    </row>
    <row r="248" spans="1:30" x14ac:dyDescent="0.25">
      <c r="A248" s="4">
        <v>41779</v>
      </c>
      <c r="B248">
        <v>0.48799999999999999</v>
      </c>
      <c r="C248" s="5">
        <v>0.88</v>
      </c>
      <c r="D248">
        <v>1.6097999999999999</v>
      </c>
      <c r="E248">
        <v>2.1265000000000001</v>
      </c>
      <c r="F248">
        <v>2.6122999999999998</v>
      </c>
      <c r="G248">
        <v>3.3542999999999998</v>
      </c>
      <c r="H248">
        <f t="shared" ca="1" si="45"/>
        <v>0.44540738480317354</v>
      </c>
      <c r="I248">
        <f t="shared" ca="1" si="45"/>
        <v>0.34354846302311348</v>
      </c>
      <c r="J248">
        <f t="shared" ca="1" si="45"/>
        <v>0.25461396225098559</v>
      </c>
      <c r="K248">
        <f t="shared" ca="1" si="45"/>
        <v>0.24323306500965033</v>
      </c>
      <c r="L248">
        <f t="shared" ca="1" si="45"/>
        <v>0.18026724348463183</v>
      </c>
      <c r="M248">
        <f t="shared" ca="1" si="45"/>
        <v>0.2982739710211858</v>
      </c>
      <c r="N248">
        <f t="shared" ca="1" si="45"/>
        <v>0.20882673887564165</v>
      </c>
      <c r="O248">
        <f t="shared" ca="1" si="45"/>
        <v>0.16948679482259352</v>
      </c>
      <c r="P248">
        <f t="shared" ca="1" si="45"/>
        <v>0.19633835832356619</v>
      </c>
      <c r="Q248">
        <f t="shared" ca="1" si="45"/>
        <v>0.27847520779592994</v>
      </c>
      <c r="R248">
        <f t="shared" ca="1" si="42"/>
        <v>0.60436800055821094</v>
      </c>
      <c r="S248">
        <f t="shared" ca="1" si="42"/>
        <v>0.34975403830722535</v>
      </c>
      <c r="T248">
        <f t="shared" ca="1" si="42"/>
        <v>0.40516509719920785</v>
      </c>
      <c r="V248" s="4">
        <f t="shared" si="40"/>
        <v>41779</v>
      </c>
      <c r="W248" s="5">
        <f t="shared" ca="1" si="39"/>
        <v>0.2982739710211858</v>
      </c>
      <c r="Z248" s="4" t="e">
        <f>IF(Sheet3!$A248="",MATCH("Error",AF248,0),Sheet3!$A248)</f>
        <v>#N/A</v>
      </c>
      <c r="AA248" s="5" t="str">
        <f ca="1">IF(OFFSET(Sheet3!$A$1,0,MATCH(W$1,Sheet3!$1:$1,0)-1,300)="","",OFFSET(Sheet3!$A$1,0,MATCH(W$1,Sheet3!$1:$1,0)-1,300))</f>
        <v/>
      </c>
      <c r="AB248" s="5" t="str">
        <f ca="1">IF(OFFSET(Sheet3!$A$1,0,MATCH(X$1,Sheet3!$1:$1,0)-1,300)="","",OFFSET(Sheet3!$A$1,0,MATCH(X$1,Sheet3!$1:$1,0)-1,300))</f>
        <v/>
      </c>
      <c r="AC248" t="str">
        <f t="shared" ca="1" si="36"/>
        <v/>
      </c>
      <c r="AD248" t="str">
        <f t="shared" ca="1" si="37"/>
        <v/>
      </c>
    </row>
    <row r="249" spans="1:30" x14ac:dyDescent="0.25">
      <c r="A249" s="4">
        <v>41778</v>
      </c>
      <c r="B249">
        <v>0.499</v>
      </c>
      <c r="C249" s="5">
        <v>0.90400000000000003</v>
      </c>
      <c r="D249">
        <v>1.6459999999999999</v>
      </c>
      <c r="E249">
        <v>2.1627999999999998</v>
      </c>
      <c r="F249">
        <v>2.6459999999999999</v>
      </c>
      <c r="G249">
        <v>3.3628</v>
      </c>
      <c r="H249">
        <f t="shared" ca="1" si="45"/>
        <v>0.44596706334896019</v>
      </c>
      <c r="I249">
        <f t="shared" ca="1" si="45"/>
        <v>0.34559850954820676</v>
      </c>
      <c r="J249">
        <f t="shared" ca="1" si="45"/>
        <v>0.25909630560793351</v>
      </c>
      <c r="K249">
        <f t="shared" ca="1" si="45"/>
        <v>0.24070796460176991</v>
      </c>
      <c r="L249">
        <f t="shared" ca="1" si="45"/>
        <v>0.18045952929673859</v>
      </c>
      <c r="M249">
        <f t="shared" ca="1" si="45"/>
        <v>0.29667049368541903</v>
      </c>
      <c r="N249">
        <f t="shared" ca="1" si="45"/>
        <v>0.21018382951033021</v>
      </c>
      <c r="O249">
        <f t="shared" ca="1" si="45"/>
        <v>0.16872686640128504</v>
      </c>
      <c r="P249">
        <f t="shared" ca="1" si="45"/>
        <v>0.19651862697250694</v>
      </c>
      <c r="Q249">
        <f t="shared" ca="1" si="45"/>
        <v>0.28145386766076425</v>
      </c>
      <c r="R249">
        <f t="shared" ca="1" si="42"/>
        <v>0.60828270130595719</v>
      </c>
      <c r="S249">
        <f t="shared" ca="1" si="42"/>
        <v>0.34918639569802362</v>
      </c>
      <c r="T249">
        <f t="shared" ca="1" si="42"/>
        <v>0.40670245648283715</v>
      </c>
      <c r="V249" s="4">
        <f t="shared" si="40"/>
        <v>41778</v>
      </c>
      <c r="W249" s="5">
        <f t="shared" ca="1" si="39"/>
        <v>0.29667049368541903</v>
      </c>
      <c r="Z249" s="4" t="e">
        <f>IF(Sheet3!$A249="",MATCH("Error",AF249,0),Sheet3!$A249)</f>
        <v>#N/A</v>
      </c>
      <c r="AA249" s="5" t="str">
        <f ca="1">IF(OFFSET(Sheet3!$A$1,0,MATCH(W$1,Sheet3!$1:$1,0)-1,300)="","",OFFSET(Sheet3!$A$1,0,MATCH(W$1,Sheet3!$1:$1,0)-1,300))</f>
        <v/>
      </c>
      <c r="AB249" s="5" t="str">
        <f ca="1">IF(OFFSET(Sheet3!$A$1,0,MATCH(X$1,Sheet3!$1:$1,0)-1,300)="","",OFFSET(Sheet3!$A$1,0,MATCH(X$1,Sheet3!$1:$1,0)-1,300))</f>
        <v/>
      </c>
      <c r="AC249" t="str">
        <f t="shared" ca="1" si="36"/>
        <v/>
      </c>
      <c r="AD249" t="str">
        <f t="shared" ca="1" si="37"/>
        <v/>
      </c>
    </row>
    <row r="250" spans="1:30" x14ac:dyDescent="0.25">
      <c r="A250" s="4">
        <v>41775</v>
      </c>
      <c r="B250">
        <v>0.51049999999999995</v>
      </c>
      <c r="C250" s="5">
        <v>0.92300000000000004</v>
      </c>
      <c r="D250">
        <v>1.6539999999999999</v>
      </c>
      <c r="E250">
        <v>2.1560000000000001</v>
      </c>
      <c r="F250">
        <v>2.6230000000000002</v>
      </c>
      <c r="G250">
        <v>3.3214999999999999</v>
      </c>
      <c r="H250">
        <f t="shared" ca="1" si="45"/>
        <v>0.44424187177149788</v>
      </c>
      <c r="I250">
        <f t="shared" ca="1" si="45"/>
        <v>0.34603550295857977</v>
      </c>
      <c r="J250">
        <f t="shared" ca="1" si="45"/>
        <v>0.26004980434009245</v>
      </c>
      <c r="K250">
        <f t="shared" ca="1" si="45"/>
        <v>0.23763313609467462</v>
      </c>
      <c r="L250">
        <f t="shared" ca="1" si="45"/>
        <v>0.17858413376022775</v>
      </c>
      <c r="M250">
        <f t="shared" ca="1" si="45"/>
        <v>0.29529411764705893</v>
      </c>
      <c r="N250">
        <f t="shared" ca="1" si="45"/>
        <v>0.20929747759016062</v>
      </c>
      <c r="O250">
        <f t="shared" ca="1" si="45"/>
        <v>0.16613304873710427</v>
      </c>
      <c r="P250">
        <f t="shared" ca="1" si="45"/>
        <v>0.19470502397331671</v>
      </c>
      <c r="Q250">
        <f t="shared" ca="1" si="45"/>
        <v>0.28005997001499255</v>
      </c>
      <c r="R250">
        <f t="shared" ca="1" si="42"/>
        <v>0.60476698683742447</v>
      </c>
      <c r="S250">
        <f t="shared" ca="1" si="42"/>
        <v>0.34471718249733202</v>
      </c>
      <c r="T250">
        <f t="shared" ca="1" si="42"/>
        <v>0.40400250156347733</v>
      </c>
      <c r="V250" s="4">
        <f t="shared" si="40"/>
        <v>41775</v>
      </c>
      <c r="W250" s="5">
        <f t="shared" ca="1" si="39"/>
        <v>0.29529411764705893</v>
      </c>
      <c r="Z250" s="4" t="e">
        <f>IF(Sheet3!$A250="",MATCH("Error",AF250,0),Sheet3!$A250)</f>
        <v>#N/A</v>
      </c>
      <c r="AA250" s="5" t="str">
        <f ca="1">IF(OFFSET(Sheet3!$A$1,0,MATCH(W$1,Sheet3!$1:$1,0)-1,300)="","",OFFSET(Sheet3!$A$1,0,MATCH(W$1,Sheet3!$1:$1,0)-1,300))</f>
        <v/>
      </c>
      <c r="AB250" s="5" t="str">
        <f ca="1">IF(OFFSET(Sheet3!$A$1,0,MATCH(X$1,Sheet3!$1:$1,0)-1,300)="","",OFFSET(Sheet3!$A$1,0,MATCH(X$1,Sheet3!$1:$1,0)-1,300))</f>
        <v/>
      </c>
      <c r="AC250" t="str">
        <f t="shared" ca="1" si="36"/>
        <v/>
      </c>
      <c r="AD250" t="str">
        <f t="shared" ca="1" si="37"/>
        <v/>
      </c>
    </row>
    <row r="251" spans="1:30" x14ac:dyDescent="0.25">
      <c r="A251" s="4">
        <v>41774</v>
      </c>
      <c r="B251">
        <v>0.496</v>
      </c>
      <c r="C251" s="5">
        <v>0.90049999999999997</v>
      </c>
      <c r="D251">
        <v>1.6205000000000001</v>
      </c>
      <c r="E251">
        <v>2.1164999999999998</v>
      </c>
      <c r="F251">
        <v>2.5840000000000001</v>
      </c>
      <c r="G251">
        <v>3.2970000000000002</v>
      </c>
      <c r="H251">
        <f t="shared" ca="1" si="45"/>
        <v>0.44430731255785261</v>
      </c>
      <c r="I251">
        <f t="shared" ca="1" si="45"/>
        <v>0.34482758620689657</v>
      </c>
      <c r="J251">
        <f t="shared" ca="1" si="45"/>
        <v>0.25705105319528743</v>
      </c>
      <c r="K251">
        <f t="shared" ca="1" si="45"/>
        <v>0.23754789272030641</v>
      </c>
      <c r="L251">
        <f t="shared" ca="1" si="45"/>
        <v>0.17707961442342013</v>
      </c>
      <c r="M251">
        <f t="shared" ca="1" si="45"/>
        <v>0.29462429462429451</v>
      </c>
      <c r="N251">
        <f t="shared" ca="1" si="45"/>
        <v>0.20696849572292916</v>
      </c>
      <c r="O251">
        <f t="shared" ca="1" si="45"/>
        <v>0.16690467690110683</v>
      </c>
      <c r="P251">
        <f t="shared" ca="1" si="45"/>
        <v>0.19507615272272072</v>
      </c>
      <c r="Q251">
        <f t="shared" ca="1" si="45"/>
        <v>0.27885475693408901</v>
      </c>
      <c r="R251">
        <f t="shared" ca="1" si="42"/>
        <v>0.60103534451981433</v>
      </c>
      <c r="S251">
        <f t="shared" ca="1" si="42"/>
        <v>0.34398429132452696</v>
      </c>
      <c r="T251">
        <f t="shared" ca="1" si="42"/>
        <v>0.40204464844564991</v>
      </c>
      <c r="V251" s="4">
        <f t="shared" si="40"/>
        <v>41774</v>
      </c>
      <c r="W251" s="5">
        <f t="shared" ca="1" si="39"/>
        <v>0.29462429462429451</v>
      </c>
      <c r="Z251" s="4" t="e">
        <f>IF(Sheet3!$A251="",MATCH("Error",AF251,0),Sheet3!$A251)</f>
        <v>#N/A</v>
      </c>
      <c r="AA251" s="5" t="str">
        <f ca="1">IF(OFFSET(Sheet3!$A$1,0,MATCH(W$1,Sheet3!$1:$1,0)-1,300)="","",OFFSET(Sheet3!$A$1,0,MATCH(W$1,Sheet3!$1:$1,0)-1,300))</f>
        <v/>
      </c>
      <c r="AB251" s="5" t="str">
        <f ca="1">IF(OFFSET(Sheet3!$A$1,0,MATCH(X$1,Sheet3!$1:$1,0)-1,300)="","",OFFSET(Sheet3!$A$1,0,MATCH(X$1,Sheet3!$1:$1,0)-1,300))</f>
        <v/>
      </c>
      <c r="AC251" t="str">
        <f t="shared" ca="1" si="36"/>
        <v/>
      </c>
      <c r="AD251" t="str">
        <f t="shared" ca="1" si="37"/>
        <v/>
      </c>
    </row>
    <row r="252" spans="1:30" x14ac:dyDescent="0.25">
      <c r="A252" s="4">
        <v>41773</v>
      </c>
      <c r="B252">
        <v>0.50129999999999997</v>
      </c>
      <c r="C252" s="5">
        <v>0.91300000000000003</v>
      </c>
      <c r="D252">
        <v>1.6553</v>
      </c>
      <c r="E252">
        <v>2.1627999999999998</v>
      </c>
      <c r="F252">
        <v>2.6334999999999997</v>
      </c>
      <c r="G252">
        <v>3.3517999999999999</v>
      </c>
      <c r="H252">
        <f t="shared" ca="1" si="45"/>
        <v>0.44676497141137528</v>
      </c>
      <c r="I252">
        <f t="shared" ca="1" si="45"/>
        <v>0.34813807335146801</v>
      </c>
      <c r="J252">
        <f t="shared" ca="1" si="45"/>
        <v>0.26041045430626208</v>
      </c>
      <c r="K252">
        <f t="shared" ca="1" si="45"/>
        <v>0.23801707156927113</v>
      </c>
      <c r="L252">
        <f t="shared" ca="1" si="45"/>
        <v>0.1780389405367479</v>
      </c>
      <c r="M252">
        <f t="shared" ca="1" si="45"/>
        <v>0.29497239174658524</v>
      </c>
      <c r="N252">
        <f t="shared" ca="1" si="45"/>
        <v>0.20809414466130879</v>
      </c>
      <c r="O252">
        <f t="shared" ca="1" si="45"/>
        <v>0.16512892475004382</v>
      </c>
      <c r="P252">
        <f t="shared" ca="1" si="45"/>
        <v>0.19300475643759224</v>
      </c>
      <c r="Q252">
        <f t="shared" ca="1" si="45"/>
        <v>0.27745358090185673</v>
      </c>
      <c r="R252">
        <f t="shared" ca="1" si="42"/>
        <v>0.60357831959305375</v>
      </c>
      <c r="S252">
        <f t="shared" ca="1" si="42"/>
        <v>0.34316786528679172</v>
      </c>
      <c r="T252">
        <f t="shared" ca="1" si="42"/>
        <v>0.40109890109890106</v>
      </c>
      <c r="V252" s="4">
        <f t="shared" si="40"/>
        <v>41773</v>
      </c>
      <c r="W252" s="5">
        <f t="shared" ca="1" si="39"/>
        <v>0.29497239174658524</v>
      </c>
      <c r="Z252" s="4" t="e">
        <f>IF(Sheet3!$A252="",MATCH("Error",AF252,0),Sheet3!$A252)</f>
        <v>#N/A</v>
      </c>
      <c r="AA252" s="5" t="str">
        <f ca="1">IF(OFFSET(Sheet3!$A$1,0,MATCH(W$1,Sheet3!$1:$1,0)-1,300)="","",OFFSET(Sheet3!$A$1,0,MATCH(W$1,Sheet3!$1:$1,0)-1,300))</f>
        <v/>
      </c>
      <c r="AB252" s="5" t="str">
        <f ca="1">IF(OFFSET(Sheet3!$A$1,0,MATCH(X$1,Sheet3!$1:$1,0)-1,300)="","",OFFSET(Sheet3!$A$1,0,MATCH(X$1,Sheet3!$1:$1,0)-1,300))</f>
        <v/>
      </c>
      <c r="AC252" t="str">
        <f t="shared" ca="1" si="36"/>
        <v/>
      </c>
      <c r="AD252" t="str">
        <f t="shared" ca="1" si="37"/>
        <v/>
      </c>
    </row>
    <row r="253" spans="1:30" x14ac:dyDescent="0.25">
      <c r="A253" s="4">
        <v>41772</v>
      </c>
      <c r="B253">
        <v>0.51980000000000004</v>
      </c>
      <c r="C253" s="5">
        <v>0.94799999999999995</v>
      </c>
      <c r="D253">
        <v>1.7050000000000001</v>
      </c>
      <c r="E253">
        <v>2.2210000000000001</v>
      </c>
      <c r="F253">
        <v>2.694</v>
      </c>
      <c r="G253">
        <v>3.4154999999999998</v>
      </c>
      <c r="H253">
        <f t="shared" ref="H253:Q262" ca="1" si="46">IF(ISERROR(ABS(OFFSET($A$11,ROW()-11,MATCH(LEFT(H$9,2),$A$11:$G$11,0)-1)-OFFSET($A$11,ROW()-11,MATCH(RIGHT(H$9,2),$A$11:$G$11,0)-1))/ABS(OFFSET($A$11,ROW()-11,MATCH(LEFT(H$10,2),$A$11:$G$11,0)-1)-OFFSET($A$11,ROW()-11,MATCH(RIGHT(H$10,2),$A$11:$G$11,0)-1))),"",ABS(OFFSET($A$11,ROW()-11,MATCH(LEFT(H$9,2),$A$11:$G$11,0)-1)-OFFSET($A$11,ROW()-11,MATCH(RIGHT(H$9,2),$A$11:$G$11,0)-1))/ABS(OFFSET($A$11,ROW()-11,MATCH(LEFT(H$10,2),$A$11:$G$11,0)-1)-OFFSET($A$11,ROW()-11,MATCH(RIGHT(H$10,2),$A$11:$G$11,0)-1)))</f>
        <v>0.44498001410768873</v>
      </c>
      <c r="I253">
        <f t="shared" ca="1" si="46"/>
        <v>0.34817404102658456</v>
      </c>
      <c r="J253">
        <f t="shared" ca="1" si="46"/>
        <v>0.26142210864385129</v>
      </c>
      <c r="K253">
        <f t="shared" ca="1" si="46"/>
        <v>0.23732867261521481</v>
      </c>
      <c r="L253">
        <f t="shared" ca="1" si="46"/>
        <v>0.17819525503332528</v>
      </c>
      <c r="M253">
        <f t="shared" ca="1" si="46"/>
        <v>0.29553264604810997</v>
      </c>
      <c r="N253">
        <f t="shared" ca="1" si="46"/>
        <v>0.20911854103343466</v>
      </c>
      <c r="O253">
        <f t="shared" ca="1" si="46"/>
        <v>0.1633456504472148</v>
      </c>
      <c r="P253">
        <f t="shared" ca="1" si="46"/>
        <v>0.19169199594731506</v>
      </c>
      <c r="Q253">
        <f t="shared" ca="1" si="46"/>
        <v>0.27652733118971057</v>
      </c>
      <c r="R253">
        <f t="shared" ca="1" si="42"/>
        <v>0.60296301412439135</v>
      </c>
      <c r="S253">
        <f t="shared" ca="1" si="42"/>
        <v>0.34154090548054011</v>
      </c>
      <c r="T253">
        <f t="shared" ca="1" si="42"/>
        <v>0.40081053698074975</v>
      </c>
      <c r="V253" s="4">
        <f t="shared" si="40"/>
        <v>41772</v>
      </c>
      <c r="W253" s="5">
        <f t="shared" ca="1" si="39"/>
        <v>0.29553264604810997</v>
      </c>
      <c r="Z253" s="4" t="e">
        <f>IF(Sheet3!$A253="",MATCH("Error",AF253,0),Sheet3!$A253)</f>
        <v>#N/A</v>
      </c>
      <c r="AA253" s="5" t="str">
        <f ca="1">IF(OFFSET(Sheet3!$A$1,0,MATCH(W$1,Sheet3!$1:$1,0)-1,300)="","",OFFSET(Sheet3!$A$1,0,MATCH(W$1,Sheet3!$1:$1,0)-1,300))</f>
        <v/>
      </c>
      <c r="AB253" s="5" t="str">
        <f ca="1">IF(OFFSET(Sheet3!$A$1,0,MATCH(X$1,Sheet3!$1:$1,0)-1,300)="","",OFFSET(Sheet3!$A$1,0,MATCH(X$1,Sheet3!$1:$1,0)-1,300))</f>
        <v/>
      </c>
      <c r="AC253" t="str">
        <f t="shared" ca="1" si="36"/>
        <v/>
      </c>
      <c r="AD253" t="str">
        <f t="shared" ca="1" si="37"/>
        <v/>
      </c>
    </row>
    <row r="254" spans="1:30" x14ac:dyDescent="0.25">
      <c r="A254" s="4">
        <v>41771</v>
      </c>
      <c r="B254">
        <v>0.54049999999999998</v>
      </c>
      <c r="C254" s="5">
        <v>0.97950000000000004</v>
      </c>
      <c r="D254">
        <v>1.7515000000000001</v>
      </c>
      <c r="E254">
        <v>2.2673000000000001</v>
      </c>
      <c r="F254">
        <v>2.7410000000000001</v>
      </c>
      <c r="G254">
        <v>3.4613</v>
      </c>
      <c r="H254">
        <f t="shared" ca="1" si="46"/>
        <v>0.44706972434561038</v>
      </c>
      <c r="I254">
        <f t="shared" ca="1" si="46"/>
        <v>0.35082935696432632</v>
      </c>
      <c r="J254">
        <f t="shared" ca="1" si="46"/>
        <v>0.26431114763078611</v>
      </c>
      <c r="K254">
        <f t="shared" ca="1" si="46"/>
        <v>0.23440127243808229</v>
      </c>
      <c r="L254">
        <f t="shared" ca="1" si="46"/>
        <v>0.17659545330046564</v>
      </c>
      <c r="M254">
        <f t="shared" ca="1" si="46"/>
        <v>0.29281862049389723</v>
      </c>
      <c r="N254">
        <f t="shared" ca="1" si="46"/>
        <v>0.20783302441776133</v>
      </c>
      <c r="O254">
        <f t="shared" ca="1" si="46"/>
        <v>0.16218159408381266</v>
      </c>
      <c r="P254">
        <f t="shared" ca="1" si="46"/>
        <v>0.19086953017970829</v>
      </c>
      <c r="Q254">
        <f t="shared" ca="1" si="46"/>
        <v>0.27704994736226463</v>
      </c>
      <c r="R254">
        <f t="shared" ca="1" si="42"/>
        <v>0.60308819501506439</v>
      </c>
      <c r="S254">
        <f t="shared" ca="1" si="42"/>
        <v>0.33877704738427833</v>
      </c>
      <c r="T254">
        <f t="shared" ca="1" si="42"/>
        <v>0.39870255459746962</v>
      </c>
      <c r="V254" s="4">
        <f t="shared" si="40"/>
        <v>41771</v>
      </c>
      <c r="W254" s="5">
        <f t="shared" ca="1" si="39"/>
        <v>0.29281862049389723</v>
      </c>
      <c r="Z254" s="4" t="e">
        <f>IF(Sheet3!$A254="",MATCH("Error",AF254,0),Sheet3!$A254)</f>
        <v>#N/A</v>
      </c>
      <c r="AA254" s="5" t="str">
        <f ca="1">IF(OFFSET(Sheet3!$A$1,0,MATCH(W$1,Sheet3!$1:$1,0)-1,300)="","",OFFSET(Sheet3!$A$1,0,MATCH(W$1,Sheet3!$1:$1,0)-1,300))</f>
        <v/>
      </c>
      <c r="AB254" s="5" t="str">
        <f ca="1">IF(OFFSET(Sheet3!$A$1,0,MATCH(X$1,Sheet3!$1:$1,0)-1,300)="","",OFFSET(Sheet3!$A$1,0,MATCH(X$1,Sheet3!$1:$1,0)-1,300))</f>
        <v/>
      </c>
      <c r="AC254" t="str">
        <f t="shared" ca="1" si="36"/>
        <v/>
      </c>
      <c r="AD254" t="str">
        <f t="shared" ca="1" si="37"/>
        <v/>
      </c>
    </row>
    <row r="255" spans="1:30" x14ac:dyDescent="0.25">
      <c r="A255" s="4">
        <v>41768</v>
      </c>
      <c r="B255">
        <v>0.52</v>
      </c>
      <c r="C255" s="5">
        <v>0.95750000000000002</v>
      </c>
      <c r="D255">
        <v>1.7170000000000001</v>
      </c>
      <c r="E255">
        <v>2.2309999999999999</v>
      </c>
      <c r="F255">
        <v>2.7063000000000001</v>
      </c>
      <c r="G255">
        <v>3.4340000000000002</v>
      </c>
      <c r="H255">
        <f t="shared" ca="1" si="46"/>
        <v>0.44389246054938641</v>
      </c>
      <c r="I255">
        <f t="shared" ca="1" si="46"/>
        <v>0.34739056854045647</v>
      </c>
      <c r="J255">
        <f t="shared" ca="1" si="46"/>
        <v>0.26063829787234044</v>
      </c>
      <c r="K255">
        <f t="shared" ca="1" si="46"/>
        <v>0.23510039793258006</v>
      </c>
      <c r="L255">
        <f t="shared" ca="1" si="46"/>
        <v>0.17638984214138634</v>
      </c>
      <c r="M255">
        <f t="shared" ca="1" si="46"/>
        <v>0.2939158279963402</v>
      </c>
      <c r="N255">
        <f t="shared" ca="1" si="46"/>
        <v>0.20755097920452242</v>
      </c>
      <c r="O255">
        <f t="shared" ca="1" si="46"/>
        <v>0.16310912834591634</v>
      </c>
      <c r="P255">
        <f t="shared" ca="1" si="46"/>
        <v>0.19192408641227549</v>
      </c>
      <c r="Q255">
        <f t="shared" ca="1" si="46"/>
        <v>0.27682003494467111</v>
      </c>
      <c r="R255">
        <f t="shared" ca="1" si="42"/>
        <v>0.60013726835964309</v>
      </c>
      <c r="S255">
        <f t="shared" ca="1" si="42"/>
        <v>0.33949897048730271</v>
      </c>
      <c r="T255">
        <f t="shared" ca="1" si="42"/>
        <v>0.39947506561679791</v>
      </c>
      <c r="V255" s="4">
        <f t="shared" si="40"/>
        <v>41768</v>
      </c>
      <c r="W255" s="5">
        <f t="shared" ca="1" si="39"/>
        <v>0.2939158279963402</v>
      </c>
      <c r="Z255" s="4" t="e">
        <f>IF(Sheet3!$A255="",MATCH("Error",AF255,0),Sheet3!$A255)</f>
        <v>#N/A</v>
      </c>
      <c r="AA255" s="5" t="str">
        <f ca="1">IF(OFFSET(Sheet3!$A$1,0,MATCH(W$1,Sheet3!$1:$1,0)-1,300)="","",OFFSET(Sheet3!$A$1,0,MATCH(W$1,Sheet3!$1:$1,0)-1,300))</f>
        <v/>
      </c>
      <c r="AB255" s="5" t="str">
        <f ca="1">IF(OFFSET(Sheet3!$A$1,0,MATCH(X$1,Sheet3!$1:$1,0)-1,300)="","",OFFSET(Sheet3!$A$1,0,MATCH(X$1,Sheet3!$1:$1,0)-1,300))</f>
        <v/>
      </c>
      <c r="AC255" t="str">
        <f t="shared" ca="1" si="36"/>
        <v/>
      </c>
      <c r="AD255" t="str">
        <f t="shared" ca="1" si="37"/>
        <v/>
      </c>
    </row>
    <row r="256" spans="1:30" x14ac:dyDescent="0.25">
      <c r="A256" s="4">
        <v>41767</v>
      </c>
      <c r="B256">
        <v>0.52349999999999997</v>
      </c>
      <c r="C256" s="5">
        <v>0.95699999999999996</v>
      </c>
      <c r="D256">
        <v>1.7135</v>
      </c>
      <c r="E256">
        <v>2.2233000000000001</v>
      </c>
      <c r="F256">
        <v>2.6898</v>
      </c>
      <c r="G256">
        <v>3.4178000000000002</v>
      </c>
      <c r="H256">
        <f t="shared" ca="1" si="46"/>
        <v>0.44505235910107072</v>
      </c>
      <c r="I256">
        <f t="shared" ca="1" si="46"/>
        <v>0.34921294372893874</v>
      </c>
      <c r="J256">
        <f t="shared" ca="1" si="46"/>
        <v>0.26137580762187745</v>
      </c>
      <c r="K256">
        <f t="shared" ca="1" si="46"/>
        <v>0.23533213313022203</v>
      </c>
      <c r="L256">
        <f t="shared" ca="1" si="46"/>
        <v>0.1761393082956155</v>
      </c>
      <c r="M256">
        <f t="shared" ca="1" si="46"/>
        <v>0.29420590951061865</v>
      </c>
      <c r="N256">
        <f t="shared" ca="1" si="46"/>
        <v>0.20716840052015603</v>
      </c>
      <c r="O256">
        <f t="shared" ca="1" si="46"/>
        <v>0.16117886881111146</v>
      </c>
      <c r="P256">
        <f t="shared" ca="1" si="46"/>
        <v>0.18957249674902465</v>
      </c>
      <c r="Q256">
        <f t="shared" ca="1" si="46"/>
        <v>0.27371941559584573</v>
      </c>
      <c r="R256">
        <f t="shared" ca="1" si="42"/>
        <v>0.59869398472860447</v>
      </c>
      <c r="S256">
        <f t="shared" ca="1" si="42"/>
        <v>0.33731817710672696</v>
      </c>
      <c r="T256">
        <f t="shared" ca="1" si="42"/>
        <v>0.39674089726918066</v>
      </c>
      <c r="V256" s="4">
        <f t="shared" si="40"/>
        <v>41767</v>
      </c>
      <c r="W256" s="5">
        <f t="shared" ca="1" si="39"/>
        <v>0.29420590951061865</v>
      </c>
      <c r="Z256" s="4" t="e">
        <f>IF(Sheet3!$A256="",MATCH("Error",AF256,0),Sheet3!$A256)</f>
        <v>#N/A</v>
      </c>
      <c r="AA256" s="5" t="str">
        <f ca="1">IF(OFFSET(Sheet3!$A$1,0,MATCH(W$1,Sheet3!$1:$1,0)-1,300)="","",OFFSET(Sheet3!$A$1,0,MATCH(W$1,Sheet3!$1:$1,0)-1,300))</f>
        <v/>
      </c>
      <c r="AB256" s="5" t="str">
        <f ca="1">IF(OFFSET(Sheet3!$A$1,0,MATCH(X$1,Sheet3!$1:$1,0)-1,300)="","",OFFSET(Sheet3!$A$1,0,MATCH(X$1,Sheet3!$1:$1,0)-1,300))</f>
        <v/>
      </c>
      <c r="AC256" t="str">
        <f t="shared" ca="1" si="36"/>
        <v/>
      </c>
      <c r="AD256" t="str">
        <f t="shared" ca="1" si="37"/>
        <v/>
      </c>
    </row>
    <row r="257" spans="1:30" x14ac:dyDescent="0.25">
      <c r="A257" s="4">
        <v>41766</v>
      </c>
      <c r="B257">
        <v>0.53500000000000003</v>
      </c>
      <c r="C257" s="5">
        <v>0.97899999999999998</v>
      </c>
      <c r="D257">
        <v>1.7370000000000001</v>
      </c>
      <c r="E257">
        <v>2.2397999999999998</v>
      </c>
      <c r="F257">
        <v>2.6970000000000001</v>
      </c>
      <c r="G257">
        <v>3.3935</v>
      </c>
      <c r="H257">
        <f t="shared" ca="1" si="46"/>
        <v>0.44462693571093398</v>
      </c>
      <c r="I257">
        <f t="shared" ca="1" si="46"/>
        <v>0.35060129509713234</v>
      </c>
      <c r="J257">
        <f t="shared" ca="1" si="46"/>
        <v>0.26517404232989333</v>
      </c>
      <c r="K257">
        <f t="shared" ca="1" si="46"/>
        <v>0.2325624421831636</v>
      </c>
      <c r="L257">
        <f t="shared" ca="1" si="46"/>
        <v>0.17589644918663624</v>
      </c>
      <c r="M257">
        <f t="shared" ca="1" si="46"/>
        <v>0.29266589057043058</v>
      </c>
      <c r="N257">
        <f t="shared" ca="1" si="46"/>
        <v>0.20824187202319308</v>
      </c>
      <c r="O257">
        <f t="shared" ca="1" si="46"/>
        <v>0.15994402658737111</v>
      </c>
      <c r="P257">
        <f t="shared" ca="1" si="46"/>
        <v>0.18935597432180587</v>
      </c>
      <c r="Q257">
        <f t="shared" ca="1" si="46"/>
        <v>0.27600362209477836</v>
      </c>
      <c r="R257">
        <f t="shared" ca="1" si="42"/>
        <v>0.60101451810390072</v>
      </c>
      <c r="S257">
        <f t="shared" ca="1" si="42"/>
        <v>0.33584047577400733</v>
      </c>
      <c r="T257">
        <f t="shared" ca="1" si="42"/>
        <v>0.39759784634499895</v>
      </c>
      <c r="V257" s="4">
        <f t="shared" si="40"/>
        <v>41766</v>
      </c>
      <c r="W257" s="5">
        <f t="shared" ca="1" si="39"/>
        <v>0.29266589057043058</v>
      </c>
      <c r="Z257" s="4" t="e">
        <f>IF(Sheet3!$A257="",MATCH("Error",AF257,0),Sheet3!$A257)</f>
        <v>#N/A</v>
      </c>
      <c r="AA257" s="5" t="str">
        <f ca="1">IF(OFFSET(Sheet3!$A$1,0,MATCH(W$1,Sheet3!$1:$1,0)-1,300)="","",OFFSET(Sheet3!$A$1,0,MATCH(W$1,Sheet3!$1:$1,0)-1,300))</f>
        <v/>
      </c>
      <c r="AB257" s="5" t="str">
        <f ca="1">IF(OFFSET(Sheet3!$A$1,0,MATCH(X$1,Sheet3!$1:$1,0)-1,300)="","",OFFSET(Sheet3!$A$1,0,MATCH(X$1,Sheet3!$1:$1,0)-1,300))</f>
        <v/>
      </c>
      <c r="AC257" t="str">
        <f t="shared" ca="1" si="36"/>
        <v/>
      </c>
      <c r="AD257" t="str">
        <f t="shared" ca="1" si="37"/>
        <v/>
      </c>
    </row>
    <row r="258" spans="1:30" x14ac:dyDescent="0.25">
      <c r="A258" s="4">
        <v>41765</v>
      </c>
      <c r="B258">
        <v>0.56120000000000003</v>
      </c>
      <c r="C258" s="5">
        <v>1.0109999999999999</v>
      </c>
      <c r="D258">
        <v>1.7645</v>
      </c>
      <c r="E258">
        <v>2.2629999999999999</v>
      </c>
      <c r="F258">
        <v>2.7109999999999999</v>
      </c>
      <c r="G258">
        <v>3.3769999999999998</v>
      </c>
      <c r="H258">
        <f t="shared" ca="1" si="46"/>
        <v>0.44276648254789053</v>
      </c>
      <c r="I258">
        <f t="shared" ca="1" si="46"/>
        <v>0.3504977207182064</v>
      </c>
      <c r="J258">
        <f t="shared" ca="1" si="46"/>
        <v>0.26759713047801692</v>
      </c>
      <c r="K258">
        <f t="shared" ca="1" si="46"/>
        <v>0.23188203553818959</v>
      </c>
      <c r="L258">
        <f t="shared" ca="1" si="46"/>
        <v>0.17703672135805099</v>
      </c>
      <c r="M258">
        <f t="shared" ca="1" si="46"/>
        <v>0.29323529411764704</v>
      </c>
      <c r="N258">
        <f t="shared" ca="1" si="46"/>
        <v>0.21069315300084532</v>
      </c>
      <c r="O258">
        <f t="shared" ca="1" si="46"/>
        <v>0.15910220896370481</v>
      </c>
      <c r="P258">
        <f t="shared" ca="1" si="46"/>
        <v>0.1893491124260355</v>
      </c>
      <c r="Q258">
        <f t="shared" ca="1" si="46"/>
        <v>0.27782945736434111</v>
      </c>
      <c r="R258">
        <f t="shared" ca="1" si="42"/>
        <v>0.60373606079977271</v>
      </c>
      <c r="S258">
        <f t="shared" ca="1" si="42"/>
        <v>0.33613893032175579</v>
      </c>
      <c r="T258">
        <f t="shared" ca="1" si="42"/>
        <v>0.40004226542688082</v>
      </c>
      <c r="V258" s="4">
        <f t="shared" si="40"/>
        <v>41765</v>
      </c>
      <c r="W258" s="5">
        <f t="shared" ca="1" si="39"/>
        <v>0.29323529411764704</v>
      </c>
      <c r="Z258" s="4" t="e">
        <f>IF(Sheet3!$A258="",MATCH("Error",AF258,0),Sheet3!$A258)</f>
        <v>#N/A</v>
      </c>
      <c r="AA258" s="5" t="str">
        <f ca="1">IF(OFFSET(Sheet3!$A$1,0,MATCH(W$1,Sheet3!$1:$1,0)-1,300)="","",OFFSET(Sheet3!$A$1,0,MATCH(W$1,Sheet3!$1:$1,0)-1,300))</f>
        <v/>
      </c>
      <c r="AB258" s="5" t="str">
        <f ca="1">IF(OFFSET(Sheet3!$A$1,0,MATCH(X$1,Sheet3!$1:$1,0)-1,300)="","",OFFSET(Sheet3!$A$1,0,MATCH(X$1,Sheet3!$1:$1,0)-1,300))</f>
        <v/>
      </c>
      <c r="AC258" t="str">
        <f t="shared" ca="1" si="36"/>
        <v/>
      </c>
      <c r="AD258" t="str">
        <f t="shared" ca="1" si="37"/>
        <v/>
      </c>
    </row>
    <row r="259" spans="1:30" x14ac:dyDescent="0.25">
      <c r="A259" s="4">
        <v>41764</v>
      </c>
      <c r="B259">
        <v>0.56100000000000005</v>
      </c>
      <c r="C259" s="5">
        <v>1.0109999999999999</v>
      </c>
      <c r="D259">
        <v>1.7692999999999999</v>
      </c>
      <c r="E259">
        <v>2.2755000000000001</v>
      </c>
      <c r="F259">
        <v>2.7309999999999999</v>
      </c>
      <c r="G259">
        <v>3.4053</v>
      </c>
      <c r="H259">
        <f t="shared" ca="1" si="46"/>
        <v>0.44228638086905797</v>
      </c>
      <c r="I259">
        <f t="shared" ca="1" si="46"/>
        <v>0.34944700460829492</v>
      </c>
      <c r="J259">
        <f t="shared" ca="1" si="46"/>
        <v>0.2666033822030025</v>
      </c>
      <c r="K259">
        <f t="shared" ca="1" si="46"/>
        <v>0.23327188940092175</v>
      </c>
      <c r="L259">
        <f t="shared" ca="1" si="46"/>
        <v>0.17796997503779496</v>
      </c>
      <c r="M259">
        <f t="shared" ca="1" si="46"/>
        <v>0.29430232558139546</v>
      </c>
      <c r="N259">
        <f t="shared" ca="1" si="46"/>
        <v>0.21141878628409144</v>
      </c>
      <c r="O259">
        <f t="shared" ca="1" si="46"/>
        <v>0.16014485110572013</v>
      </c>
      <c r="P259">
        <f t="shared" ca="1" si="46"/>
        <v>0.19024349496721368</v>
      </c>
      <c r="Q259">
        <f t="shared" ca="1" si="46"/>
        <v>0.27842298288508543</v>
      </c>
      <c r="R259">
        <f t="shared" ca="1" si="42"/>
        <v>0.60471820834651757</v>
      </c>
      <c r="S259">
        <f t="shared" ca="1" si="42"/>
        <v>0.33811482614351507</v>
      </c>
      <c r="T259">
        <f t="shared" ca="1" si="42"/>
        <v>0.40166228125130515</v>
      </c>
      <c r="V259" s="4">
        <f t="shared" si="40"/>
        <v>41764</v>
      </c>
      <c r="W259" s="5">
        <f t="shared" ca="1" si="39"/>
        <v>0.29430232558139546</v>
      </c>
      <c r="Z259" s="4" t="e">
        <f>IF(Sheet3!$A259="",MATCH("Error",AF259,0),Sheet3!$A259)</f>
        <v>#N/A</v>
      </c>
      <c r="AA259" s="5" t="str">
        <f ca="1">IF(OFFSET(Sheet3!$A$1,0,MATCH(W$1,Sheet3!$1:$1,0)-1,300)="","",OFFSET(Sheet3!$A$1,0,MATCH(W$1,Sheet3!$1:$1,0)-1,300))</f>
        <v/>
      </c>
      <c r="AB259" s="5" t="str">
        <f ca="1">IF(OFFSET(Sheet3!$A$1,0,MATCH(X$1,Sheet3!$1:$1,0)-1,300)="","",OFFSET(Sheet3!$A$1,0,MATCH(X$1,Sheet3!$1:$1,0)-1,300))</f>
        <v/>
      </c>
      <c r="AC259" t="str">
        <f t="shared" ref="AC259:AC300" ca="1" si="47">IF(AND(AA259&lt;&gt;"",AB259&lt;&gt;""),ABS(AA259-AB259),"")</f>
        <v/>
      </c>
      <c r="AD259" t="str">
        <f t="shared" ref="AD259:AD300" ca="1" si="48">IF(ISNA(MATCH("",AC259:AC278,0)),AVERAGE(AC259:AC278),"")</f>
        <v/>
      </c>
    </row>
    <row r="260" spans="1:30" x14ac:dyDescent="0.25">
      <c r="A260" s="4">
        <v>41761</v>
      </c>
      <c r="B260">
        <v>0.55549999999999999</v>
      </c>
      <c r="C260" s="5">
        <v>1.0024999999999999</v>
      </c>
      <c r="D260">
        <v>1.7518</v>
      </c>
      <c r="E260">
        <v>2.2519999999999998</v>
      </c>
      <c r="F260">
        <v>2.7042999999999999</v>
      </c>
      <c r="G260">
        <v>3.3677999999999999</v>
      </c>
      <c r="H260">
        <f t="shared" ca="1" si="46"/>
        <v>0.44167403477748313</v>
      </c>
      <c r="I260">
        <f t="shared" ca="1" si="46"/>
        <v>0.34870625465376026</v>
      </c>
      <c r="J260">
        <f t="shared" ca="1" si="46"/>
        <v>0.26643672438928995</v>
      </c>
      <c r="K260">
        <f t="shared" ca="1" si="46"/>
        <v>0.23278108711839154</v>
      </c>
      <c r="L260">
        <f t="shared" ca="1" si="46"/>
        <v>0.17786153682039602</v>
      </c>
      <c r="M260">
        <f t="shared" ca="1" si="46"/>
        <v>0.29392408038547407</v>
      </c>
      <c r="N260">
        <f t="shared" ca="1" si="46"/>
        <v>0.21147423159852863</v>
      </c>
      <c r="O260">
        <f t="shared" ca="1" si="46"/>
        <v>0.16082921452192162</v>
      </c>
      <c r="P260">
        <f t="shared" ca="1" si="46"/>
        <v>0.19122310066376363</v>
      </c>
      <c r="Q260">
        <f t="shared" ca="1" si="46"/>
        <v>0.27988861386138625</v>
      </c>
      <c r="R260">
        <f t="shared" ca="1" si="42"/>
        <v>0.60512747573160752</v>
      </c>
      <c r="S260">
        <f t="shared" ca="1" si="42"/>
        <v>0.33869075134231763</v>
      </c>
      <c r="T260">
        <f t="shared" ca="1" si="42"/>
        <v>0.40269733226229226</v>
      </c>
      <c r="V260" s="4">
        <f t="shared" si="40"/>
        <v>41761</v>
      </c>
      <c r="W260" s="5">
        <f t="shared" ca="1" si="39"/>
        <v>0.29392408038547407</v>
      </c>
      <c r="Z260" s="4" t="e">
        <f>IF(Sheet3!$A260="",MATCH("Error",AF260,0),Sheet3!$A260)</f>
        <v>#N/A</v>
      </c>
      <c r="AA260" s="5" t="str">
        <f ca="1">IF(OFFSET(Sheet3!$A$1,0,MATCH(W$1,Sheet3!$1:$1,0)-1,300)="","",OFFSET(Sheet3!$A$1,0,MATCH(W$1,Sheet3!$1:$1,0)-1,300))</f>
        <v/>
      </c>
      <c r="AB260" s="5" t="str">
        <f ca="1">IF(OFFSET(Sheet3!$A$1,0,MATCH(X$1,Sheet3!$1:$1,0)-1,300)="","",OFFSET(Sheet3!$A$1,0,MATCH(X$1,Sheet3!$1:$1,0)-1,300))</f>
        <v/>
      </c>
      <c r="AC260" t="str">
        <f t="shared" ca="1" si="47"/>
        <v/>
      </c>
      <c r="AD260" t="str">
        <f t="shared" ca="1" si="48"/>
        <v/>
      </c>
    </row>
    <row r="261" spans="1:30" x14ac:dyDescent="0.25">
      <c r="A261" s="4">
        <v>41760</v>
      </c>
      <c r="B261">
        <v>0.53400000000000003</v>
      </c>
      <c r="C261" s="5">
        <v>0.97550000000000003</v>
      </c>
      <c r="D261">
        <v>1.7515000000000001</v>
      </c>
      <c r="E261">
        <v>2.2679999999999998</v>
      </c>
      <c r="F261">
        <v>2.7330000000000001</v>
      </c>
      <c r="G261">
        <v>3.4081999999999999</v>
      </c>
      <c r="H261">
        <f t="shared" ca="1" si="46"/>
        <v>0.44752018454440606</v>
      </c>
      <c r="I261">
        <f t="shared" ca="1" si="46"/>
        <v>0.35288767621646205</v>
      </c>
      <c r="J261">
        <f t="shared" ca="1" si="46"/>
        <v>0.2699881706213903</v>
      </c>
      <c r="K261">
        <f t="shared" ca="1" si="46"/>
        <v>0.23487949067758063</v>
      </c>
      <c r="L261">
        <f t="shared" ca="1" si="46"/>
        <v>0.17970217799735569</v>
      </c>
      <c r="M261">
        <f t="shared" ca="1" si="46"/>
        <v>0.29388335704125162</v>
      </c>
      <c r="N261">
        <f t="shared" ca="1" si="46"/>
        <v>0.212315534180129</v>
      </c>
      <c r="O261">
        <f t="shared" ca="1" si="46"/>
        <v>0.16178414863266311</v>
      </c>
      <c r="P261">
        <f t="shared" ca="1" si="46"/>
        <v>0.19114564064619574</v>
      </c>
      <c r="Q261">
        <f t="shared" ca="1" si="46"/>
        <v>0.28067845717390011</v>
      </c>
      <c r="R261">
        <f t="shared" ca="1" si="42"/>
        <v>0.61147449725140912</v>
      </c>
      <c r="S261">
        <f t="shared" ca="1" si="42"/>
        <v>0.34148632663001877</v>
      </c>
      <c r="T261">
        <f t="shared" ca="1" si="42"/>
        <v>0.40346117482632471</v>
      </c>
      <c r="V261" s="4">
        <f t="shared" si="40"/>
        <v>41760</v>
      </c>
      <c r="W261" s="5">
        <f t="shared" ca="1" si="39"/>
        <v>0.29388335704125162</v>
      </c>
      <c r="Z261" s="4" t="e">
        <f>IF(Sheet3!$A261="",MATCH("Error",AF261,0),Sheet3!$A261)</f>
        <v>#N/A</v>
      </c>
      <c r="AA261" s="5" t="str">
        <f ca="1">IF(OFFSET(Sheet3!$A$1,0,MATCH(W$1,Sheet3!$1:$1,0)-1,300)="","",OFFSET(Sheet3!$A$1,0,MATCH(W$1,Sheet3!$1:$1,0)-1,300))</f>
        <v/>
      </c>
      <c r="AB261" s="5" t="str">
        <f ca="1">IF(OFFSET(Sheet3!$A$1,0,MATCH(X$1,Sheet3!$1:$1,0)-1,300)="","",OFFSET(Sheet3!$A$1,0,MATCH(X$1,Sheet3!$1:$1,0)-1,300))</f>
        <v/>
      </c>
      <c r="AC261" t="str">
        <f t="shared" ca="1" si="47"/>
        <v/>
      </c>
      <c r="AD261" t="str">
        <f t="shared" ca="1" si="48"/>
        <v/>
      </c>
    </row>
    <row r="262" spans="1:30" x14ac:dyDescent="0.25">
      <c r="A262" s="4">
        <v>41759</v>
      </c>
      <c r="B262">
        <v>0.53100000000000003</v>
      </c>
      <c r="C262" s="5">
        <v>0.97299999999999998</v>
      </c>
      <c r="D262">
        <v>1.7570000000000001</v>
      </c>
      <c r="E262">
        <v>2.2824999999999998</v>
      </c>
      <c r="F262">
        <v>2.754</v>
      </c>
      <c r="G262">
        <v>3.4485000000000001</v>
      </c>
      <c r="H262">
        <f t="shared" ca="1" si="46"/>
        <v>0.44761632886097646</v>
      </c>
      <c r="I262">
        <f t="shared" ca="1" si="46"/>
        <v>0.3526765632028791</v>
      </c>
      <c r="J262">
        <f t="shared" ca="1" si="46"/>
        <v>0.2687232219365896</v>
      </c>
      <c r="K262">
        <f t="shared" ca="1" si="46"/>
        <v>0.23639226270805203</v>
      </c>
      <c r="L262">
        <f t="shared" ca="1" si="46"/>
        <v>0.18011996572407871</v>
      </c>
      <c r="M262">
        <f t="shared" ca="1" si="46"/>
        <v>0.29505895564289703</v>
      </c>
      <c r="N262">
        <f t="shared" ca="1" si="46"/>
        <v>0.21228034740456456</v>
      </c>
      <c r="O262">
        <f t="shared" ca="1" si="46"/>
        <v>0.16161096829477301</v>
      </c>
      <c r="P262">
        <f t="shared" ca="1" si="46"/>
        <v>0.19046657240961432</v>
      </c>
      <c r="Q262">
        <f t="shared" ca="1" si="46"/>
        <v>0.27874667454921681</v>
      </c>
      <c r="R262">
        <f t="shared" ca="1" si="42"/>
        <v>0.61045415595544139</v>
      </c>
      <c r="S262">
        <f t="shared" ca="1" si="42"/>
        <v>0.34173093401885174</v>
      </c>
      <c r="T262">
        <f t="shared" ca="1" si="42"/>
        <v>0.40274691981417887</v>
      </c>
      <c r="V262" s="4">
        <f t="shared" si="40"/>
        <v>41759</v>
      </c>
      <c r="W262" s="5">
        <f t="shared" ca="1" si="39"/>
        <v>0.29505895564289703</v>
      </c>
      <c r="Z262" s="4" t="e">
        <f>IF(Sheet3!$A262="",MATCH("Error",AF262,0),Sheet3!$A262)</f>
        <v>#N/A</v>
      </c>
      <c r="AA262" s="5" t="str">
        <f ca="1">IF(OFFSET(Sheet3!$A$1,0,MATCH(W$1,Sheet3!$1:$1,0)-1,300)="","",OFFSET(Sheet3!$A$1,0,MATCH(W$1,Sheet3!$1:$1,0)-1,300))</f>
        <v/>
      </c>
      <c r="AB262" s="5" t="str">
        <f ca="1">IF(OFFSET(Sheet3!$A$1,0,MATCH(X$1,Sheet3!$1:$1,0)-1,300)="","",OFFSET(Sheet3!$A$1,0,MATCH(X$1,Sheet3!$1:$1,0)-1,300))</f>
        <v/>
      </c>
      <c r="AC262" t="str">
        <f t="shared" ca="1" si="47"/>
        <v/>
      </c>
      <c r="AD262" t="str">
        <f t="shared" ca="1" si="48"/>
        <v/>
      </c>
    </row>
    <row r="263" spans="1:30" x14ac:dyDescent="0.25">
      <c r="A263" s="4">
        <v>41758</v>
      </c>
      <c r="B263">
        <v>0.55300000000000005</v>
      </c>
      <c r="C263" s="5">
        <v>1.008</v>
      </c>
      <c r="D263">
        <v>1.8080000000000001</v>
      </c>
      <c r="E263">
        <v>2.3319999999999999</v>
      </c>
      <c r="F263">
        <v>2.7932999999999999</v>
      </c>
      <c r="G263">
        <v>3.4763000000000002</v>
      </c>
      <c r="H263">
        <f t="shared" ref="H263:Q274" ca="1" si="49">IF(ISERROR(ABS(OFFSET($A$11,ROW()-11,MATCH(LEFT(H$9,2),$A$11:$G$11,0)-1)-OFFSET($A$11,ROW()-11,MATCH(RIGHT(H$9,2),$A$11:$G$11,0)-1))/ABS(OFFSET($A$11,ROW()-11,MATCH(LEFT(H$10,2),$A$11:$G$11,0)-1)-OFFSET($A$11,ROW()-11,MATCH(RIGHT(H$10,2),$A$11:$G$11,0)-1))),"",ABS(OFFSET($A$11,ROW()-11,MATCH(LEFT(H$9,2),$A$11:$G$11,0)-1)-OFFSET($A$11,ROW()-11,MATCH(RIGHT(H$9,2),$A$11:$G$11,0)-1))/ABS(OFFSET($A$11,ROW()-11,MATCH(LEFT(H$10,2),$A$11:$G$11,0)-1)-OFFSET($A$11,ROW()-11,MATCH(RIGHT(H$10,2),$A$11:$G$11,0)-1)))</f>
        <v>0.44969083754918499</v>
      </c>
      <c r="I263">
        <f t="shared" ca="1" si="49"/>
        <v>0.35709503191536851</v>
      </c>
      <c r="J263">
        <f t="shared" ca="1" si="49"/>
        <v>0.2736633256935655</v>
      </c>
      <c r="K263">
        <f t="shared" ca="1" si="49"/>
        <v>0.23389724590456626</v>
      </c>
      <c r="L263">
        <f t="shared" ca="1" si="49"/>
        <v>0.17924947832928531</v>
      </c>
      <c r="M263">
        <f t="shared" ca="1" si="49"/>
        <v>0.29350809387777954</v>
      </c>
      <c r="N263">
        <f t="shared" ca="1" si="49"/>
        <v>0.21229186079487897</v>
      </c>
      <c r="O263">
        <f t="shared" ca="1" si="49"/>
        <v>0.1578011151780522</v>
      </c>
      <c r="P263">
        <f t="shared" ca="1" si="49"/>
        <v>0.18688976218449946</v>
      </c>
      <c r="Q263">
        <f t="shared" ca="1" si="49"/>
        <v>0.2765090211592639</v>
      </c>
      <c r="R263">
        <f t="shared" ca="1" si="42"/>
        <v>0.61071391920090301</v>
      </c>
      <c r="S263">
        <f t="shared" ca="1" si="42"/>
        <v>0.33705059350733751</v>
      </c>
      <c r="T263">
        <f t="shared" ca="1" si="42"/>
        <v>0.39918162297937843</v>
      </c>
      <c r="V263" s="4">
        <f t="shared" si="40"/>
        <v>41758</v>
      </c>
      <c r="W263" s="5">
        <f t="shared" ca="1" si="39"/>
        <v>0.29350809387777954</v>
      </c>
      <c r="Z263" s="4" t="e">
        <f>IF(Sheet3!$A263="",MATCH("Error",AF263,0),Sheet3!$A263)</f>
        <v>#N/A</v>
      </c>
      <c r="AA263" s="5" t="str">
        <f ca="1">IF(OFFSET(Sheet3!$A$1,0,MATCH(W$1,Sheet3!$1:$1,0)-1,300)="","",OFFSET(Sheet3!$A$1,0,MATCH(W$1,Sheet3!$1:$1,0)-1,300))</f>
        <v/>
      </c>
      <c r="AB263" s="5" t="str">
        <f ca="1">IF(OFFSET(Sheet3!$A$1,0,MATCH(X$1,Sheet3!$1:$1,0)-1,300)="","",OFFSET(Sheet3!$A$1,0,MATCH(X$1,Sheet3!$1:$1,0)-1,300))</f>
        <v/>
      </c>
      <c r="AC263" t="str">
        <f t="shared" ca="1" si="47"/>
        <v/>
      </c>
      <c r="AD263" t="str">
        <f t="shared" ca="1" si="48"/>
        <v/>
      </c>
    </row>
    <row r="264" spans="1:30" x14ac:dyDescent="0.25">
      <c r="A264" s="4">
        <v>41757</v>
      </c>
      <c r="B264">
        <v>0.54600000000000004</v>
      </c>
      <c r="C264" s="5">
        <v>1.0024999999999999</v>
      </c>
      <c r="D264">
        <v>1.8149999999999999</v>
      </c>
      <c r="E264">
        <v>2.3412999999999999</v>
      </c>
      <c r="F264">
        <v>2.8045</v>
      </c>
      <c r="G264">
        <v>3.4797000000000002</v>
      </c>
      <c r="H264">
        <f t="shared" ca="1" si="49"/>
        <v>0.45257060101375818</v>
      </c>
      <c r="I264">
        <f t="shared" ca="1" si="49"/>
        <v>0.35975204781934916</v>
      </c>
      <c r="J264">
        <f t="shared" ca="1" si="49"/>
        <v>0.27695401711149742</v>
      </c>
      <c r="K264">
        <f t="shared" ca="1" si="49"/>
        <v>0.2330307726367058</v>
      </c>
      <c r="L264">
        <f t="shared" ca="1" si="49"/>
        <v>0.17939802979173058</v>
      </c>
      <c r="M264">
        <f t="shared" ca="1" si="49"/>
        <v>0.29206437291897891</v>
      </c>
      <c r="N264">
        <f t="shared" ca="1" si="49"/>
        <v>0.21245761343452282</v>
      </c>
      <c r="O264">
        <f t="shared" ca="1" si="49"/>
        <v>0.15788935473974847</v>
      </c>
      <c r="P264">
        <f t="shared" ca="1" si="49"/>
        <v>0.18698530599063459</v>
      </c>
      <c r="Q264">
        <f t="shared" ca="1" si="49"/>
        <v>0.27824833303297891</v>
      </c>
      <c r="R264">
        <f t="shared" ca="1" si="42"/>
        <v>0.61424140164297647</v>
      </c>
      <c r="S264">
        <f t="shared" ca="1" si="42"/>
        <v>0.33728738453147905</v>
      </c>
      <c r="T264">
        <f t="shared" ca="1" si="42"/>
        <v>0.39944291942515742</v>
      </c>
      <c r="V264" s="4">
        <f t="shared" si="40"/>
        <v>41757</v>
      </c>
      <c r="W264" s="5">
        <f t="shared" ca="1" si="39"/>
        <v>0.29206437291897891</v>
      </c>
      <c r="Z264" s="4" t="e">
        <f>IF(Sheet3!$A264="",MATCH("Error",AF264,0),Sheet3!$A264)</f>
        <v>#N/A</v>
      </c>
      <c r="AA264" s="5" t="str">
        <f ca="1">IF(OFFSET(Sheet3!$A$1,0,MATCH(W$1,Sheet3!$1:$1,0)-1,300)="","",OFFSET(Sheet3!$A$1,0,MATCH(W$1,Sheet3!$1:$1,0)-1,300))</f>
        <v/>
      </c>
      <c r="AB264" s="5" t="str">
        <f ca="1">IF(OFFSET(Sheet3!$A$1,0,MATCH(X$1,Sheet3!$1:$1,0)-1,300)="","",OFFSET(Sheet3!$A$1,0,MATCH(X$1,Sheet3!$1:$1,0)-1,300))</f>
        <v/>
      </c>
      <c r="AC264" t="str">
        <f t="shared" ca="1" si="47"/>
        <v/>
      </c>
      <c r="AD264" t="str">
        <f t="shared" ca="1" si="48"/>
        <v/>
      </c>
    </row>
    <row r="265" spans="1:30" x14ac:dyDescent="0.25">
      <c r="A265" s="4">
        <v>41754</v>
      </c>
      <c r="B265">
        <v>0.54400000000000004</v>
      </c>
      <c r="C265" s="5">
        <v>0.99809999999999999</v>
      </c>
      <c r="D265">
        <v>1.8029999999999999</v>
      </c>
      <c r="E265">
        <v>2.3180000000000001</v>
      </c>
      <c r="F265">
        <v>2.7725</v>
      </c>
      <c r="G265">
        <v>3.4394999999999998</v>
      </c>
      <c r="H265">
        <f t="shared" ca="1" si="49"/>
        <v>0.45372040586245771</v>
      </c>
      <c r="I265">
        <f t="shared" ca="1" si="49"/>
        <v>0.36118465335427419</v>
      </c>
      <c r="J265">
        <f t="shared" ca="1" si="49"/>
        <v>0.27798307718874116</v>
      </c>
      <c r="K265">
        <f t="shared" ca="1" si="49"/>
        <v>0.23109715054969718</v>
      </c>
      <c r="L265">
        <f t="shared" ca="1" si="49"/>
        <v>0.17786219996546371</v>
      </c>
      <c r="M265">
        <f t="shared" ca="1" si="49"/>
        <v>0.29023895401262406</v>
      </c>
      <c r="N265">
        <f t="shared" ca="1" si="49"/>
        <v>0.21094454001802251</v>
      </c>
      <c r="O265">
        <f t="shared" ca="1" si="49"/>
        <v>0.15696770851321012</v>
      </c>
      <c r="P265">
        <f t="shared" ca="1" si="49"/>
        <v>0.18616367657901201</v>
      </c>
      <c r="Q265">
        <f t="shared" ca="1" si="49"/>
        <v>0.27772685609532538</v>
      </c>
      <c r="R265">
        <f t="shared" ca="1" si="42"/>
        <v>0.61281298566741504</v>
      </c>
      <c r="S265">
        <f t="shared" ca="1" si="42"/>
        <v>0.33482990847867383</v>
      </c>
      <c r="T265">
        <f t="shared" ca="1" si="42"/>
        <v>0.39710821659703455</v>
      </c>
      <c r="V265" s="4">
        <f t="shared" si="40"/>
        <v>41754</v>
      </c>
      <c r="W265" s="5">
        <f t="shared" ca="1" si="39"/>
        <v>0.29023895401262406</v>
      </c>
      <c r="Z265" s="4" t="e">
        <f>IF(Sheet3!$A265="",MATCH("Error",AF265,0),Sheet3!$A265)</f>
        <v>#N/A</v>
      </c>
      <c r="AA265" s="5" t="str">
        <f ca="1">IF(OFFSET(Sheet3!$A$1,0,MATCH(W$1,Sheet3!$1:$1,0)-1,300)="","",OFFSET(Sheet3!$A$1,0,MATCH(W$1,Sheet3!$1:$1,0)-1,300))</f>
        <v/>
      </c>
      <c r="AB265" s="5" t="str">
        <f ca="1">IF(OFFSET(Sheet3!$A$1,0,MATCH(X$1,Sheet3!$1:$1,0)-1,300)="","",OFFSET(Sheet3!$A$1,0,MATCH(X$1,Sheet3!$1:$1,0)-1,300))</f>
        <v/>
      </c>
      <c r="AC265" t="str">
        <f t="shared" ca="1" si="47"/>
        <v/>
      </c>
      <c r="AD265" t="str">
        <f t="shared" ca="1" si="48"/>
        <v/>
      </c>
    </row>
    <row r="266" spans="1:30" x14ac:dyDescent="0.25">
      <c r="A266" s="4">
        <v>41753</v>
      </c>
      <c r="B266">
        <v>0.54449999999999998</v>
      </c>
      <c r="C266" s="5">
        <v>1.0069999999999999</v>
      </c>
      <c r="D266">
        <v>1.8149999999999999</v>
      </c>
      <c r="E266">
        <v>2.3330000000000002</v>
      </c>
      <c r="F266">
        <v>2.7885</v>
      </c>
      <c r="G266">
        <v>3.4430000000000001</v>
      </c>
      <c r="H266">
        <f t="shared" ca="1" si="49"/>
        <v>0.45177523064020125</v>
      </c>
      <c r="I266">
        <f t="shared" ca="1" si="49"/>
        <v>0.36007130124777187</v>
      </c>
      <c r="J266">
        <f t="shared" ca="1" si="49"/>
        <v>0.27876487838537173</v>
      </c>
      <c r="K266">
        <f t="shared" ca="1" si="49"/>
        <v>0.23083778966131921</v>
      </c>
      <c r="L266">
        <f t="shared" ca="1" si="49"/>
        <v>0.17871312747973095</v>
      </c>
      <c r="M266">
        <f t="shared" ca="1" si="49"/>
        <v>0.29076620825147359</v>
      </c>
      <c r="N266">
        <f t="shared" ca="1" si="49"/>
        <v>0.21264367816091964</v>
      </c>
      <c r="O266">
        <f t="shared" ca="1" si="49"/>
        <v>0.15715025012937717</v>
      </c>
      <c r="P266">
        <f t="shared" ca="1" si="49"/>
        <v>0.18698686371100157</v>
      </c>
      <c r="Q266">
        <f t="shared" ca="1" si="49"/>
        <v>0.27979115479115463</v>
      </c>
      <c r="R266">
        <f t="shared" ca="1" si="42"/>
        <v>0.6146282559944799</v>
      </c>
      <c r="S266">
        <f t="shared" ca="1" si="42"/>
        <v>0.33586337760910812</v>
      </c>
      <c r="T266">
        <f t="shared" ca="1" si="42"/>
        <v>0.39963054187192121</v>
      </c>
      <c r="V266" s="4">
        <f t="shared" si="40"/>
        <v>41753</v>
      </c>
      <c r="W266" s="5">
        <f t="shared" ca="1" si="39"/>
        <v>0.29076620825147359</v>
      </c>
      <c r="Z266" s="4" t="e">
        <f>IF(Sheet3!$A266="",MATCH("Error",AF266,0),Sheet3!$A266)</f>
        <v>#N/A</v>
      </c>
      <c r="AA266" s="5" t="str">
        <f ca="1">IF(OFFSET(Sheet3!$A$1,0,MATCH(W$1,Sheet3!$1:$1,0)-1,300)="","",OFFSET(Sheet3!$A$1,0,MATCH(W$1,Sheet3!$1:$1,0)-1,300))</f>
        <v/>
      </c>
      <c r="AB266" s="5" t="str">
        <f ca="1">IF(OFFSET(Sheet3!$A$1,0,MATCH(X$1,Sheet3!$1:$1,0)-1,300)="","",OFFSET(Sheet3!$A$1,0,MATCH(X$1,Sheet3!$1:$1,0)-1,300))</f>
        <v/>
      </c>
      <c r="AC266" t="str">
        <f t="shared" ca="1" si="47"/>
        <v/>
      </c>
      <c r="AD266" t="str">
        <f t="shared" ca="1" si="48"/>
        <v/>
      </c>
    </row>
    <row r="267" spans="1:30" x14ac:dyDescent="0.25">
      <c r="A267" s="4">
        <v>41752</v>
      </c>
      <c r="B267">
        <v>0.54139999999999999</v>
      </c>
      <c r="C267" s="5">
        <v>1.0044999999999999</v>
      </c>
      <c r="D267">
        <v>1.8220000000000001</v>
      </c>
      <c r="E267">
        <v>2.3449999999999998</v>
      </c>
      <c r="F267">
        <v>2.8045</v>
      </c>
      <c r="G267">
        <v>3.4685000000000001</v>
      </c>
      <c r="H267">
        <f t="shared" ca="1" si="49"/>
        <v>0.45326014637391893</v>
      </c>
      <c r="I267">
        <f t="shared" ca="1" si="49"/>
        <v>0.36123017100437455</v>
      </c>
      <c r="J267">
        <f t="shared" ca="1" si="49"/>
        <v>0.27928666598339658</v>
      </c>
      <c r="K267">
        <f t="shared" ca="1" si="49"/>
        <v>0.23109893508903701</v>
      </c>
      <c r="L267">
        <f t="shared" ca="1" si="49"/>
        <v>0.17867513921628903</v>
      </c>
      <c r="M267">
        <f t="shared" ca="1" si="49"/>
        <v>0.2905555555555554</v>
      </c>
      <c r="N267">
        <f t="shared" ca="1" si="49"/>
        <v>0.21225649350649334</v>
      </c>
      <c r="O267">
        <f t="shared" ca="1" si="49"/>
        <v>0.15698131256192144</v>
      </c>
      <c r="P267">
        <f t="shared" ca="1" si="49"/>
        <v>0.18648538961038968</v>
      </c>
      <c r="Q267">
        <f t="shared" ca="1" si="49"/>
        <v>0.27907682963862751</v>
      </c>
      <c r="R267">
        <f t="shared" ca="1" si="42"/>
        <v>0.61494311776160704</v>
      </c>
      <c r="S267">
        <f t="shared" ca="1" si="42"/>
        <v>0.33565645177821046</v>
      </c>
      <c r="T267">
        <f t="shared" ca="1" si="42"/>
        <v>0.39874188311688302</v>
      </c>
      <c r="V267" s="4">
        <f t="shared" si="40"/>
        <v>41752</v>
      </c>
      <c r="W267" s="5">
        <f t="shared" ca="1" si="39"/>
        <v>0.2905555555555554</v>
      </c>
      <c r="Z267" s="4" t="e">
        <f>IF(Sheet3!$A267="",MATCH("Error",AF267,0),Sheet3!$A267)</f>
        <v>#N/A</v>
      </c>
      <c r="AA267" s="5" t="str">
        <f ca="1">IF(OFFSET(Sheet3!$A$1,0,MATCH(W$1,Sheet3!$1:$1,0)-1,300)="","",OFFSET(Sheet3!$A$1,0,MATCH(W$1,Sheet3!$1:$1,0)-1,300))</f>
        <v/>
      </c>
      <c r="AB267" s="5" t="str">
        <f ca="1">IF(OFFSET(Sheet3!$A$1,0,MATCH(X$1,Sheet3!$1:$1,0)-1,300)="","",OFFSET(Sheet3!$A$1,0,MATCH(X$1,Sheet3!$1:$1,0)-1,300))</f>
        <v/>
      </c>
      <c r="AC267" t="str">
        <f t="shared" ca="1" si="47"/>
        <v/>
      </c>
      <c r="AD267" t="str">
        <f t="shared" ca="1" si="48"/>
        <v/>
      </c>
    </row>
    <row r="268" spans="1:30" x14ac:dyDescent="0.25">
      <c r="A268" s="4">
        <v>41751</v>
      </c>
      <c r="B268">
        <v>0.54649999999999999</v>
      </c>
      <c r="C268" s="5">
        <v>1.0154000000000001</v>
      </c>
      <c r="D268">
        <v>1.83</v>
      </c>
      <c r="E268">
        <v>2.3570000000000002</v>
      </c>
      <c r="F268">
        <v>2.8182999999999998</v>
      </c>
      <c r="G268">
        <v>3.4838</v>
      </c>
      <c r="H268">
        <f t="shared" ca="1" si="49"/>
        <v>0.44993095829881241</v>
      </c>
      <c r="I268">
        <f t="shared" ca="1" si="49"/>
        <v>0.3585702966810459</v>
      </c>
      <c r="J268">
        <f t="shared" ca="1" si="49"/>
        <v>0.27732952030776564</v>
      </c>
      <c r="K268">
        <f t="shared" ca="1" si="49"/>
        <v>0.2319746456554275</v>
      </c>
      <c r="L268">
        <f t="shared" ca="1" si="49"/>
        <v>0.17941647090865764</v>
      </c>
      <c r="M268">
        <f t="shared" ca="1" si="49"/>
        <v>0.29230683898164078</v>
      </c>
      <c r="N268">
        <f t="shared" ca="1" si="49"/>
        <v>0.21349862258953173</v>
      </c>
      <c r="O268">
        <f t="shared" ca="1" si="49"/>
        <v>0.15704899056957056</v>
      </c>
      <c r="P268">
        <f t="shared" ca="1" si="49"/>
        <v>0.18688219089288594</v>
      </c>
      <c r="Q268">
        <f t="shared" ca="1" si="49"/>
        <v>0.27893336558229509</v>
      </c>
      <c r="R268">
        <f t="shared" ca="1" si="42"/>
        <v>0.61379498178599379</v>
      </c>
      <c r="S268">
        <f t="shared" ca="1" si="42"/>
        <v>0.3364654614782282</v>
      </c>
      <c r="T268">
        <f t="shared" ca="1" si="42"/>
        <v>0.40038081348241766</v>
      </c>
      <c r="V268" s="4">
        <f t="shared" si="40"/>
        <v>41751</v>
      </c>
      <c r="W268" s="5">
        <f t="shared" ref="W268:W274" ca="1" si="50">OFFSET($H$12,0,MATCH(select,$H$12:$T$12,0)-1,300,1)</f>
        <v>0.29230683898164078</v>
      </c>
      <c r="Z268" s="4" t="e">
        <f>IF(Sheet3!$A268="",MATCH("Error",AF268,0),Sheet3!$A268)</f>
        <v>#N/A</v>
      </c>
      <c r="AA268" s="5" t="str">
        <f ca="1">IF(OFFSET(Sheet3!$A$1,0,MATCH(W$1,Sheet3!$1:$1,0)-1,300)="","",OFFSET(Sheet3!$A$1,0,MATCH(W$1,Sheet3!$1:$1,0)-1,300))</f>
        <v/>
      </c>
      <c r="AB268" s="5" t="str">
        <f ca="1">IF(OFFSET(Sheet3!$A$1,0,MATCH(X$1,Sheet3!$1:$1,0)-1,300)="","",OFFSET(Sheet3!$A$1,0,MATCH(X$1,Sheet3!$1:$1,0)-1,300))</f>
        <v/>
      </c>
      <c r="AC268" t="str">
        <f t="shared" ca="1" si="47"/>
        <v/>
      </c>
      <c r="AD268" t="str">
        <f t="shared" ca="1" si="48"/>
        <v/>
      </c>
    </row>
    <row r="269" spans="1:30" x14ac:dyDescent="0.25">
      <c r="A269" s="4">
        <v>41750</v>
      </c>
      <c r="B269">
        <v>0.53690000000000004</v>
      </c>
      <c r="C269" s="5">
        <v>1.0015000000000001</v>
      </c>
      <c r="D269">
        <v>1.819</v>
      </c>
      <c r="E269">
        <v>2.3517999999999999</v>
      </c>
      <c r="F269">
        <v>2.82</v>
      </c>
      <c r="G269">
        <v>3.5098000000000003</v>
      </c>
      <c r="H269">
        <f t="shared" ca="1" si="49"/>
        <v>0.45043804066339743</v>
      </c>
      <c r="I269">
        <f t="shared" ca="1" si="49"/>
        <v>0.35806578774473302</v>
      </c>
      <c r="J269">
        <f t="shared" ca="1" si="49"/>
        <v>0.27498402233509361</v>
      </c>
      <c r="K269">
        <f t="shared" ca="1" si="49"/>
        <v>0.2333669134072095</v>
      </c>
      <c r="L269">
        <f t="shared" ca="1" si="49"/>
        <v>0.17921894446500047</v>
      </c>
      <c r="M269">
        <f t="shared" ca="1" si="49"/>
        <v>0.29298872697277978</v>
      </c>
      <c r="N269">
        <f t="shared" ca="1" si="49"/>
        <v>0.21241478292070323</v>
      </c>
      <c r="O269">
        <f t="shared" ca="1" si="49"/>
        <v>0.15748932019240469</v>
      </c>
      <c r="P269">
        <f t="shared" ca="1" si="49"/>
        <v>0.1866602878443567</v>
      </c>
      <c r="Q269">
        <f t="shared" ca="1" si="49"/>
        <v>0.27691033830139572</v>
      </c>
      <c r="R269">
        <f t="shared" ca="1" si="42"/>
        <v>0.61169228699249878</v>
      </c>
      <c r="S269">
        <f t="shared" ca="1" si="42"/>
        <v>0.33670826465740517</v>
      </c>
      <c r="T269">
        <f t="shared" ca="1" si="42"/>
        <v>0.39907507076505994</v>
      </c>
      <c r="V269" s="4">
        <f t="shared" si="40"/>
        <v>41750</v>
      </c>
      <c r="W269" s="5">
        <f t="shared" ca="1" si="50"/>
        <v>0.29298872697277978</v>
      </c>
      <c r="Z269" s="4" t="e">
        <f>IF(Sheet3!$A269="",MATCH("Error",AF269,0),Sheet3!$A269)</f>
        <v>#N/A</v>
      </c>
      <c r="AA269" s="5" t="str">
        <f ca="1">IF(OFFSET(Sheet3!$A$1,0,MATCH(W$1,Sheet3!$1:$1,0)-1,300)="","",OFFSET(Sheet3!$A$1,0,MATCH(W$1,Sheet3!$1:$1,0)-1,300))</f>
        <v/>
      </c>
      <c r="AB269" s="5" t="str">
        <f ca="1">IF(OFFSET(Sheet3!$A$1,0,MATCH(X$1,Sheet3!$1:$1,0)-1,300)="","",OFFSET(Sheet3!$A$1,0,MATCH(X$1,Sheet3!$1:$1,0)-1,300))</f>
        <v/>
      </c>
      <c r="AC269" t="str">
        <f t="shared" ca="1" si="47"/>
        <v/>
      </c>
      <c r="AD269" t="str">
        <f t="shared" ca="1" si="48"/>
        <v/>
      </c>
    </row>
    <row r="270" spans="1:30" x14ac:dyDescent="0.25">
      <c r="A270" s="4">
        <v>41747</v>
      </c>
      <c r="B270">
        <v>0.54749999999999999</v>
      </c>
      <c r="C270" s="5">
        <v>1.0135000000000001</v>
      </c>
      <c r="D270">
        <v>1.8359999999999999</v>
      </c>
      <c r="E270">
        <v>2.371</v>
      </c>
      <c r="F270">
        <v>2.8449999999999998</v>
      </c>
      <c r="G270">
        <v>3.5190000000000001</v>
      </c>
      <c r="H270">
        <f t="shared" ca="1" si="49"/>
        <v>0.45105566218809967</v>
      </c>
      <c r="I270">
        <f t="shared" ca="1" si="49"/>
        <v>0.35799782372143629</v>
      </c>
      <c r="J270">
        <f t="shared" ca="1" si="49"/>
        <v>0.27679623085983501</v>
      </c>
      <c r="K270">
        <f t="shared" ca="1" si="49"/>
        <v>0.2328618063112079</v>
      </c>
      <c r="L270">
        <f t="shared" ca="1" si="49"/>
        <v>0.18004374894834263</v>
      </c>
      <c r="M270">
        <f t="shared" ca="1" si="49"/>
        <v>0.29211029211029221</v>
      </c>
      <c r="N270">
        <f t="shared" ca="1" si="49"/>
        <v>0.21353023348633013</v>
      </c>
      <c r="O270">
        <f t="shared" ca="1" si="49"/>
        <v>0.15951539626451278</v>
      </c>
      <c r="P270">
        <f t="shared" ca="1" si="49"/>
        <v>0.18918379564957083</v>
      </c>
      <c r="Q270">
        <f t="shared" ca="1" si="49"/>
        <v>0.28163992869875204</v>
      </c>
      <c r="R270">
        <f t="shared" ca="1" si="42"/>
        <v>0.61635537607269042</v>
      </c>
      <c r="S270">
        <f t="shared" ca="1" si="42"/>
        <v>0.33955914521285541</v>
      </c>
      <c r="T270">
        <f t="shared" ca="1" si="42"/>
        <v>0.40271402913590099</v>
      </c>
      <c r="V270" s="4">
        <f>IF(A270&lt;&gt;"",A270,"")</f>
        <v>41747</v>
      </c>
      <c r="W270" s="5">
        <f t="shared" ca="1" si="50"/>
        <v>0.29211029211029221</v>
      </c>
      <c r="Z270" s="4" t="e">
        <f>IF(Sheet3!$A270="",MATCH("Error",AF270,0),Sheet3!$A270)</f>
        <v>#N/A</v>
      </c>
      <c r="AA270" s="5" t="str">
        <f ca="1">IF(OFFSET(Sheet3!$A$1,0,MATCH(W$1,Sheet3!$1:$1,0)-1,300)="","",OFFSET(Sheet3!$A$1,0,MATCH(W$1,Sheet3!$1:$1,0)-1,300))</f>
        <v/>
      </c>
      <c r="AB270" s="5" t="str">
        <f ca="1">IF(OFFSET(Sheet3!$A$1,0,MATCH(X$1,Sheet3!$1:$1,0)-1,300)="","",OFFSET(Sheet3!$A$1,0,MATCH(X$1,Sheet3!$1:$1,0)-1,300))</f>
        <v/>
      </c>
      <c r="AC270" t="str">
        <f t="shared" ca="1" si="47"/>
        <v/>
      </c>
      <c r="AD270" t="str">
        <f t="shared" ca="1" si="48"/>
        <v/>
      </c>
    </row>
    <row r="271" spans="1:30" x14ac:dyDescent="0.25">
      <c r="A271" s="4">
        <v>41746</v>
      </c>
      <c r="B271">
        <v>0.54800000000000004</v>
      </c>
      <c r="C271" s="5">
        <v>1.014</v>
      </c>
      <c r="D271">
        <v>1.8359999999999999</v>
      </c>
      <c r="E271">
        <v>2.371</v>
      </c>
      <c r="F271">
        <v>2.8449999999999998</v>
      </c>
      <c r="G271">
        <v>3.5244999999999997</v>
      </c>
      <c r="H271">
        <f t="shared" ca="1" si="49"/>
        <v>0.4509051014810751</v>
      </c>
      <c r="I271">
        <f t="shared" ca="1" si="49"/>
        <v>0.3578580757509795</v>
      </c>
      <c r="J271">
        <f t="shared" ca="1" si="49"/>
        <v>0.27616327901898202</v>
      </c>
      <c r="K271">
        <f t="shared" ca="1" si="49"/>
        <v>0.23291249455811938</v>
      </c>
      <c r="L271">
        <f t="shared" ca="1" si="49"/>
        <v>0.17974130690408205</v>
      </c>
      <c r="M271">
        <f t="shared" ca="1" si="49"/>
        <v>0.29219006007646109</v>
      </c>
      <c r="N271">
        <f t="shared" ca="1" si="49"/>
        <v>0.2131049591714799</v>
      </c>
      <c r="O271">
        <f t="shared" ca="1" si="49"/>
        <v>0.15924743826642024</v>
      </c>
      <c r="P271">
        <f t="shared" ca="1" si="49"/>
        <v>0.18880701055566615</v>
      </c>
      <c r="Q271">
        <f t="shared" ca="1" si="49"/>
        <v>0.2807225347941959</v>
      </c>
      <c r="R271">
        <f t="shared" ca="1" si="42"/>
        <v>0.61515202418948423</v>
      </c>
      <c r="S271">
        <f t="shared" ca="1" si="42"/>
        <v>0.33898874517050226</v>
      </c>
      <c r="T271">
        <f t="shared" ca="1" si="42"/>
        <v>0.40191196972714605</v>
      </c>
      <c r="V271" s="4">
        <f>IF(A271&lt;&gt;"",A271,"")</f>
        <v>41746</v>
      </c>
      <c r="W271" s="5">
        <f t="shared" ca="1" si="50"/>
        <v>0.29219006007646109</v>
      </c>
      <c r="Z271" s="4" t="e">
        <f>IF(Sheet3!$A271="",MATCH("Error",AF271,0),Sheet3!$A271)</f>
        <v>#N/A</v>
      </c>
      <c r="AA271" s="5" t="str">
        <f ca="1">IF(OFFSET(Sheet3!$A$1,0,MATCH(W$1,Sheet3!$1:$1,0)-1,300)="","",OFFSET(Sheet3!$A$1,0,MATCH(W$1,Sheet3!$1:$1,0)-1,300))</f>
        <v/>
      </c>
      <c r="AB271" s="5" t="str">
        <f ca="1">IF(OFFSET(Sheet3!$A$1,0,MATCH(X$1,Sheet3!$1:$1,0)-1,300)="","",OFFSET(Sheet3!$A$1,0,MATCH(X$1,Sheet3!$1:$1,0)-1,300))</f>
        <v/>
      </c>
      <c r="AC271" t="str">
        <f t="shared" ca="1" si="47"/>
        <v/>
      </c>
      <c r="AD271" t="str">
        <f t="shared" ca="1" si="48"/>
        <v/>
      </c>
    </row>
    <row r="272" spans="1:30" x14ac:dyDescent="0.25">
      <c r="A272" s="4">
        <v>41745</v>
      </c>
      <c r="B272">
        <v>0.52</v>
      </c>
      <c r="C272" s="5">
        <v>0.97130000000000005</v>
      </c>
      <c r="D272">
        <v>1.7610000000000001</v>
      </c>
      <c r="E272">
        <v>2.2854999999999999</v>
      </c>
      <c r="F272">
        <v>2.758</v>
      </c>
      <c r="G272">
        <v>3.4409999999999998</v>
      </c>
      <c r="H272">
        <f t="shared" ca="1" si="49"/>
        <v>0.44729538374398198</v>
      </c>
      <c r="I272">
        <f t="shared" ca="1" si="49"/>
        <v>0.3528596961572833</v>
      </c>
      <c r="J272">
        <f t="shared" ca="1" si="49"/>
        <v>0.27035261896610752</v>
      </c>
      <c r="K272">
        <f t="shared" ca="1" si="49"/>
        <v>0.23436103663985691</v>
      </c>
      <c r="L272">
        <f t="shared" ca="1" si="49"/>
        <v>0.17956179390619642</v>
      </c>
      <c r="M272">
        <f t="shared" ca="1" si="49"/>
        <v>0.29355795600828327</v>
      </c>
      <c r="N272">
        <f t="shared" ca="1" si="49"/>
        <v>0.21237397254727289</v>
      </c>
      <c r="O272">
        <f t="shared" ca="1" si="49"/>
        <v>0.16175967134542971</v>
      </c>
      <c r="P272">
        <f t="shared" ca="1" si="49"/>
        <v>0.19131878365793425</v>
      </c>
      <c r="Q272">
        <f t="shared" ca="1" si="49"/>
        <v>0.28125000000000011</v>
      </c>
      <c r="R272">
        <f t="shared" ca="1" si="42"/>
        <v>0.61167408421773373</v>
      </c>
      <c r="S272">
        <f t="shared" ca="1" si="42"/>
        <v>0.34132146525162615</v>
      </c>
      <c r="T272">
        <f t="shared" ca="1" si="42"/>
        <v>0.40369275620520712</v>
      </c>
      <c r="V272" s="4">
        <f>IF(A272&lt;&gt;"",A272,"")</f>
        <v>41745</v>
      </c>
      <c r="W272" s="5">
        <f t="shared" ca="1" si="50"/>
        <v>0.29355795600828327</v>
      </c>
      <c r="Z272" s="4" t="e">
        <f>IF(Sheet3!$A272="",MATCH("Error",AF272,0),Sheet3!$A272)</f>
        <v>#N/A</v>
      </c>
      <c r="AA272" s="5" t="str">
        <f ca="1">IF(OFFSET(Sheet3!$A$1,0,MATCH(W$1,Sheet3!$1:$1,0)-1,300)="","",OFFSET(Sheet3!$A$1,0,MATCH(W$1,Sheet3!$1:$1,0)-1,300))</f>
        <v/>
      </c>
      <c r="AB272" s="5" t="str">
        <f ca="1">IF(OFFSET(Sheet3!$A$1,0,MATCH(X$1,Sheet3!$1:$1,0)-1,300)="","",OFFSET(Sheet3!$A$1,0,MATCH(X$1,Sheet3!$1:$1,0)-1,300))</f>
        <v/>
      </c>
      <c r="AC272" t="str">
        <f t="shared" ca="1" si="47"/>
        <v/>
      </c>
      <c r="AD272" t="str">
        <f t="shared" ca="1" si="48"/>
        <v/>
      </c>
    </row>
    <row r="273" spans="1:30" x14ac:dyDescent="0.25">
      <c r="A273" s="4">
        <v>41744</v>
      </c>
      <c r="B273">
        <v>0.50949999999999995</v>
      </c>
      <c r="C273" s="5">
        <v>0.94450000000000001</v>
      </c>
      <c r="D273">
        <v>1.7305000000000001</v>
      </c>
      <c r="E273">
        <v>2.2679999999999998</v>
      </c>
      <c r="F273">
        <v>2.7509999999999999</v>
      </c>
      <c r="G273">
        <v>3.4540000000000002</v>
      </c>
      <c r="H273">
        <f t="shared" ca="1" si="49"/>
        <v>0.44697185100938314</v>
      </c>
      <c r="I273">
        <f t="shared" ca="1" si="49"/>
        <v>0.35065804149007368</v>
      </c>
      <c r="J273">
        <f t="shared" ca="1" si="49"/>
        <v>0.26693835965359147</v>
      </c>
      <c r="K273">
        <f t="shared" ca="1" si="49"/>
        <v>0.23979478028106166</v>
      </c>
      <c r="L273">
        <f t="shared" ca="1" si="49"/>
        <v>0.18254372559008308</v>
      </c>
      <c r="M273">
        <f t="shared" ca="1" si="49"/>
        <v>0.29753667312482684</v>
      </c>
      <c r="N273">
        <f t="shared" ca="1" si="49"/>
        <v>0.21418609284718057</v>
      </c>
      <c r="O273">
        <f t="shared" ca="1" si="49"/>
        <v>0.16403464085583294</v>
      </c>
      <c r="P273">
        <f t="shared" ca="1" si="49"/>
        <v>0.19246861924686195</v>
      </c>
      <c r="Q273">
        <f t="shared" ca="1" si="49"/>
        <v>0.28024369016536121</v>
      </c>
      <c r="R273">
        <f t="shared" ca="1" si="42"/>
        <v>0.61351672609950747</v>
      </c>
      <c r="S273">
        <f t="shared" ca="1" si="42"/>
        <v>0.346578366445916</v>
      </c>
      <c r="T273">
        <f t="shared" ca="1" si="42"/>
        <v>0.40665471209404253</v>
      </c>
      <c r="V273" s="4">
        <f>IF(A273&lt;&gt;"",A273,"")</f>
        <v>41744</v>
      </c>
      <c r="W273" s="5">
        <f t="shared" ca="1" si="50"/>
        <v>0.29753667312482684</v>
      </c>
      <c r="Z273" s="4" t="e">
        <f>IF(Sheet3!$A273="",MATCH("Error",AF273,0),Sheet3!$A273)</f>
        <v>#N/A</v>
      </c>
      <c r="AA273" s="5" t="str">
        <f ca="1">IF(OFFSET(Sheet3!$A$1,0,MATCH(W$1,Sheet3!$1:$1,0)-1,300)="","",OFFSET(Sheet3!$A$1,0,MATCH(W$1,Sheet3!$1:$1,0)-1,300))</f>
        <v/>
      </c>
      <c r="AB273" s="5" t="str">
        <f ca="1">IF(OFFSET(Sheet3!$A$1,0,MATCH(X$1,Sheet3!$1:$1,0)-1,300)="","",OFFSET(Sheet3!$A$1,0,MATCH(X$1,Sheet3!$1:$1,0)-1,300))</f>
        <v/>
      </c>
      <c r="AC273" t="str">
        <f t="shared" ca="1" si="47"/>
        <v/>
      </c>
      <c r="AD273" t="str">
        <f t="shared" ca="1" si="48"/>
        <v/>
      </c>
    </row>
    <row r="274" spans="1:30" x14ac:dyDescent="0.25">
      <c r="A274" s="4">
        <v>41743</v>
      </c>
      <c r="B274">
        <v>0.50600000000000001</v>
      </c>
      <c r="C274" s="5">
        <v>0.93020000000000003</v>
      </c>
      <c r="D274">
        <v>1.7202999999999999</v>
      </c>
      <c r="E274">
        <v>2.2685</v>
      </c>
      <c r="F274">
        <v>2.7664999999999997</v>
      </c>
      <c r="G274">
        <v>3.4790000000000001</v>
      </c>
      <c r="H274">
        <f t="shared" ca="1" si="49"/>
        <v>0.4482836879432624</v>
      </c>
      <c r="I274">
        <f t="shared" ca="1" si="49"/>
        <v>0.34952444149524448</v>
      </c>
      <c r="J274">
        <f t="shared" ca="1" si="49"/>
        <v>0.26575849310460814</v>
      </c>
      <c r="K274">
        <f t="shared" ca="1" si="49"/>
        <v>0.24251271842512725</v>
      </c>
      <c r="L274">
        <f t="shared" ca="1" si="49"/>
        <v>0.18439286915573497</v>
      </c>
      <c r="M274">
        <f t="shared" ca="1" si="49"/>
        <v>0.29853509775091225</v>
      </c>
      <c r="N274">
        <f t="shared" ca="1" si="49"/>
        <v>0.2150816070307596</v>
      </c>
      <c r="O274">
        <f t="shared" ca="1" si="49"/>
        <v>0.16750756811301709</v>
      </c>
      <c r="P274">
        <f t="shared" ca="1" si="49"/>
        <v>0.19538606403013173</v>
      </c>
      <c r="Q274">
        <f t="shared" ca="1" si="49"/>
        <v>0.28316370046056732</v>
      </c>
      <c r="R274">
        <f t="shared" ca="1" si="42"/>
        <v>0.61765893037336017</v>
      </c>
      <c r="S274">
        <f t="shared" ca="1" si="42"/>
        <v>0.35190043726875203</v>
      </c>
      <c r="T274">
        <f t="shared" ca="1" si="42"/>
        <v>0.41046767106089133</v>
      </c>
      <c r="V274" s="4">
        <f>IF(A274&lt;&gt;"",A274,"")</f>
        <v>41743</v>
      </c>
      <c r="W274" s="5">
        <f t="shared" ca="1" si="50"/>
        <v>0.29853509775091225</v>
      </c>
      <c r="Z274" s="4" t="e">
        <f>IF(Sheet3!$A274="",MATCH("Error",AF274,0),Sheet3!$A274)</f>
        <v>#N/A</v>
      </c>
      <c r="AA274" s="5" t="str">
        <f ca="1">IF(OFFSET(Sheet3!$A$1,0,MATCH(W$1,Sheet3!$1:$1,0)-1,300)="","",OFFSET(Sheet3!$A$1,0,MATCH(W$1,Sheet3!$1:$1,0)-1,300))</f>
        <v/>
      </c>
      <c r="AB274" s="5" t="str">
        <f ca="1">IF(OFFSET(Sheet3!$A$1,0,MATCH(X$1,Sheet3!$1:$1,0)-1,300)="","",OFFSET(Sheet3!$A$1,0,MATCH(X$1,Sheet3!$1:$1,0)-1,300))</f>
        <v/>
      </c>
      <c r="AC274" t="str">
        <f t="shared" ca="1" si="47"/>
        <v/>
      </c>
      <c r="AD274" t="str">
        <f t="shared" ca="1" si="48"/>
        <v/>
      </c>
    </row>
    <row r="275" spans="1:30" x14ac:dyDescent="0.25">
      <c r="A275" s="4">
        <v>41740</v>
      </c>
      <c r="B275">
        <v>0.49080000000000001</v>
      </c>
      <c r="C275" s="5">
        <v>0.90429999999999999</v>
      </c>
      <c r="D275">
        <v>1.6853</v>
      </c>
      <c r="E275">
        <v>2.2387999999999999</v>
      </c>
      <c r="F275">
        <v>2.7427999999999999</v>
      </c>
      <c r="G275">
        <v>3.4683000000000002</v>
      </c>
      <c r="Z275" s="4" t="e">
        <f>IF(Sheet3!$A275="",MATCH("Error",AF275,0),Sheet3!$A275)</f>
        <v>#N/A</v>
      </c>
      <c r="AA275" s="5" t="str">
        <f ca="1">IF(OFFSET(Sheet3!$A$1,0,MATCH(W$1,Sheet3!$1:$1,0)-1,300)="","",OFFSET(Sheet3!$A$1,0,MATCH(W$1,Sheet3!$1:$1,0)-1,300))</f>
        <v/>
      </c>
      <c r="AB275" s="5" t="str">
        <f ca="1">IF(OFFSET(Sheet3!$A$1,0,MATCH(X$1,Sheet3!$1:$1,0)-1,300)="","",OFFSET(Sheet3!$A$1,0,MATCH(X$1,Sheet3!$1:$1,0)-1,300))</f>
        <v/>
      </c>
      <c r="AC275" t="str">
        <f t="shared" ca="1" si="47"/>
        <v/>
      </c>
      <c r="AD275" t="str">
        <f t="shared" ca="1" si="48"/>
        <v/>
      </c>
    </row>
    <row r="276" spans="1:30" x14ac:dyDescent="0.25">
      <c r="A276" s="4">
        <v>41739</v>
      </c>
      <c r="B276">
        <v>0.4899</v>
      </c>
      <c r="C276" s="5">
        <v>0.91149999999999998</v>
      </c>
      <c r="D276">
        <v>1.7010000000000001</v>
      </c>
      <c r="E276">
        <v>2.2589999999999999</v>
      </c>
      <c r="F276">
        <v>2.77</v>
      </c>
      <c r="G276">
        <v>3.5070000000000001</v>
      </c>
      <c r="Z276" s="4" t="e">
        <f>IF(Sheet3!$A276="",MATCH("Error",AF276,0),Sheet3!$A276)</f>
        <v>#N/A</v>
      </c>
      <c r="AA276" s="5" t="str">
        <f ca="1">IF(OFFSET(Sheet3!$A$1,0,MATCH(W$1,Sheet3!$1:$1,0)-1,300)="","",OFFSET(Sheet3!$A$1,0,MATCH(W$1,Sheet3!$1:$1,0)-1,300))</f>
        <v/>
      </c>
      <c r="AB276" s="5" t="str">
        <f ca="1">IF(OFFSET(Sheet3!$A$1,0,MATCH(X$1,Sheet3!$1:$1,0)-1,300)="","",OFFSET(Sheet3!$A$1,0,MATCH(X$1,Sheet3!$1:$1,0)-1,300))</f>
        <v/>
      </c>
      <c r="AC276" t="str">
        <f t="shared" ca="1" si="47"/>
        <v/>
      </c>
      <c r="AD276" t="str">
        <f t="shared" ca="1" si="48"/>
        <v/>
      </c>
    </row>
    <row r="277" spans="1:30" x14ac:dyDescent="0.25">
      <c r="A277" s="4">
        <v>41738</v>
      </c>
      <c r="B277">
        <v>0.4965</v>
      </c>
      <c r="C277" s="5">
        <v>0.92079999999999995</v>
      </c>
      <c r="D277">
        <v>1.72</v>
      </c>
      <c r="E277">
        <v>2.2869999999999999</v>
      </c>
      <c r="F277">
        <v>2.8029999999999999</v>
      </c>
      <c r="G277">
        <v>3.5579999999999998</v>
      </c>
      <c r="Z277" s="4" t="e">
        <f>IF(Sheet3!$A277="",MATCH("Error",AF277,0),Sheet3!$A277)</f>
        <v>#N/A</v>
      </c>
      <c r="AA277" s="5" t="str">
        <f ca="1">IF(OFFSET(Sheet3!$A$1,0,MATCH(W$1,Sheet3!$1:$1,0)-1,300)="","",OFFSET(Sheet3!$A$1,0,MATCH(W$1,Sheet3!$1:$1,0)-1,300))</f>
        <v/>
      </c>
      <c r="AB277" s="5" t="str">
        <f ca="1">IF(OFFSET(Sheet3!$A$1,0,MATCH(X$1,Sheet3!$1:$1,0)-1,300)="","",OFFSET(Sheet3!$A$1,0,MATCH(X$1,Sheet3!$1:$1,0)-1,300))</f>
        <v/>
      </c>
      <c r="AC277" t="str">
        <f t="shared" ca="1" si="47"/>
        <v/>
      </c>
      <c r="AD277" t="str">
        <f t="shared" ca="1" si="48"/>
        <v/>
      </c>
    </row>
    <row r="278" spans="1:30" x14ac:dyDescent="0.25">
      <c r="A278" s="4">
        <v>41737</v>
      </c>
      <c r="B278">
        <v>0.52849999999999997</v>
      </c>
      <c r="C278" s="5">
        <v>0.97250000000000003</v>
      </c>
      <c r="D278">
        <v>1.7669999999999999</v>
      </c>
      <c r="E278">
        <v>2.3130000000000002</v>
      </c>
      <c r="F278">
        <v>2.7989999999999999</v>
      </c>
      <c r="G278">
        <v>3.5270000000000001</v>
      </c>
      <c r="Z278" s="4" t="e">
        <f>IF(Sheet3!$A278="",MATCH("Error",AF278,0),Sheet3!$A278)</f>
        <v>#N/A</v>
      </c>
      <c r="AA278" s="5" t="str">
        <f ca="1">IF(OFFSET(Sheet3!$A$1,0,MATCH(W$1,Sheet3!$1:$1,0)-1,300)="","",OFFSET(Sheet3!$A$1,0,MATCH(W$1,Sheet3!$1:$1,0)-1,300))</f>
        <v/>
      </c>
      <c r="AB278" s="5" t="str">
        <f ca="1">IF(OFFSET(Sheet3!$A$1,0,MATCH(X$1,Sheet3!$1:$1,0)-1,300)="","",OFFSET(Sheet3!$A$1,0,MATCH(X$1,Sheet3!$1:$1,0)-1,300))</f>
        <v/>
      </c>
      <c r="AC278" t="str">
        <f t="shared" ca="1" si="47"/>
        <v/>
      </c>
      <c r="AD278" t="str">
        <f t="shared" ca="1" si="48"/>
        <v/>
      </c>
    </row>
    <row r="279" spans="1:30" x14ac:dyDescent="0.25">
      <c r="A279" s="4">
        <v>41736</v>
      </c>
      <c r="B279">
        <v>0.52600000000000002</v>
      </c>
      <c r="C279" s="5">
        <v>0.97150000000000003</v>
      </c>
      <c r="D279">
        <v>1.7774999999999999</v>
      </c>
      <c r="E279">
        <v>2.33</v>
      </c>
      <c r="F279">
        <v>2.8203</v>
      </c>
      <c r="G279">
        <v>3.5465</v>
      </c>
      <c r="Z279" s="4" t="e">
        <f>IF(Sheet3!$A279="",MATCH("Error",AF279,0),Sheet3!$A279)</f>
        <v>#N/A</v>
      </c>
      <c r="AA279" s="5" t="str">
        <f ca="1">IF(OFFSET(Sheet3!$A$1,0,MATCH(W$1,Sheet3!$1:$1,0)-1,300)="","",OFFSET(Sheet3!$A$1,0,MATCH(W$1,Sheet3!$1:$1,0)-1,300))</f>
        <v/>
      </c>
      <c r="AB279" s="5" t="str">
        <f ca="1">IF(OFFSET(Sheet3!$A$1,0,MATCH(X$1,Sheet3!$1:$1,0)-1,300)="","",OFFSET(Sheet3!$A$1,0,MATCH(X$1,Sheet3!$1:$1,0)-1,300))</f>
        <v/>
      </c>
      <c r="AC279" t="str">
        <f t="shared" ca="1" si="47"/>
        <v/>
      </c>
      <c r="AD279" t="str">
        <f t="shared" ca="1" si="48"/>
        <v/>
      </c>
    </row>
    <row r="280" spans="1:30" x14ac:dyDescent="0.25">
      <c r="A280" s="4">
        <v>41733</v>
      </c>
      <c r="B280">
        <v>0.53839999999999999</v>
      </c>
      <c r="C280" s="5">
        <v>0.99229999999999996</v>
      </c>
      <c r="D280">
        <v>1.7930000000000001</v>
      </c>
      <c r="E280">
        <v>2.3462999999999998</v>
      </c>
      <c r="F280">
        <v>2.8348</v>
      </c>
      <c r="G280">
        <v>3.5703</v>
      </c>
      <c r="Z280" s="4" t="e">
        <f>IF(Sheet3!$A280="",MATCH("Error",AF280,0),Sheet3!$A280)</f>
        <v>#N/A</v>
      </c>
      <c r="AA280" s="5" t="str">
        <f ca="1">IF(OFFSET(Sheet3!$A$1,0,MATCH(W$1,Sheet3!$1:$1,0)-1,300)="","",OFFSET(Sheet3!$A$1,0,MATCH(W$1,Sheet3!$1:$1,0)-1,300))</f>
        <v/>
      </c>
      <c r="AB280" s="5" t="str">
        <f ca="1">IF(OFFSET(Sheet3!$A$1,0,MATCH(X$1,Sheet3!$1:$1,0)-1,300)="","",OFFSET(Sheet3!$A$1,0,MATCH(X$1,Sheet3!$1:$1,0)-1,300))</f>
        <v/>
      </c>
      <c r="AC280" t="str">
        <f t="shared" ca="1" si="47"/>
        <v/>
      </c>
      <c r="AD280" t="str">
        <f t="shared" ca="1" si="48"/>
        <v/>
      </c>
    </row>
    <row r="281" spans="1:30" x14ac:dyDescent="0.25">
      <c r="A281" s="4">
        <v>41732</v>
      </c>
      <c r="B281">
        <v>0.57750000000000001</v>
      </c>
      <c r="C281" s="5">
        <v>1.05</v>
      </c>
      <c r="D281">
        <v>1.8879999999999999</v>
      </c>
      <c r="E281">
        <v>2.4398</v>
      </c>
      <c r="F281">
        <v>2.9195000000000002</v>
      </c>
      <c r="G281">
        <v>3.6168</v>
      </c>
      <c r="Z281" s="4" t="e">
        <f>IF(Sheet3!$A281="",MATCH("Error",AF281,0),Sheet3!$A281)</f>
        <v>#N/A</v>
      </c>
      <c r="AA281" s="5" t="str">
        <f ca="1">IF(OFFSET(Sheet3!$A$1,0,MATCH(W$1,Sheet3!$1:$1,0)-1,300)="","",OFFSET(Sheet3!$A$1,0,MATCH(W$1,Sheet3!$1:$1,0)-1,300))</f>
        <v/>
      </c>
      <c r="AB281" s="5" t="str">
        <f ca="1">IF(OFFSET(Sheet3!$A$1,0,MATCH(X$1,Sheet3!$1:$1,0)-1,300)="","",OFFSET(Sheet3!$A$1,0,MATCH(X$1,Sheet3!$1:$1,0)-1,300))</f>
        <v/>
      </c>
      <c r="AC281" t="str">
        <f t="shared" ca="1" si="47"/>
        <v/>
      </c>
      <c r="AD281" t="str">
        <f t="shared" ca="1" si="48"/>
        <v/>
      </c>
    </row>
    <row r="282" spans="1:30" x14ac:dyDescent="0.25">
      <c r="A282" s="4">
        <v>41731</v>
      </c>
      <c r="B282">
        <v>0.57299999999999995</v>
      </c>
      <c r="C282" s="5">
        <v>1.0409999999999999</v>
      </c>
      <c r="D282">
        <v>1.8774999999999999</v>
      </c>
      <c r="E282">
        <v>2.4365000000000001</v>
      </c>
      <c r="F282">
        <v>2.9234999999999998</v>
      </c>
      <c r="G282">
        <v>3.6310000000000002</v>
      </c>
      <c r="Z282" s="4" t="e">
        <f>IF(Sheet3!$A282="",MATCH("Error",AF282,0),Sheet3!$A282)</f>
        <v>#N/A</v>
      </c>
      <c r="AA282" s="5" t="str">
        <f ca="1">IF(OFFSET(Sheet3!$A$1,0,MATCH(W$1,Sheet3!$1:$1,0)-1,300)="","",OFFSET(Sheet3!$A$1,0,MATCH(W$1,Sheet3!$1:$1,0)-1,300))</f>
        <v/>
      </c>
      <c r="AB282" s="5" t="str">
        <f ca="1">IF(OFFSET(Sheet3!$A$1,0,MATCH(X$1,Sheet3!$1:$1,0)-1,300)="","",OFFSET(Sheet3!$A$1,0,MATCH(X$1,Sheet3!$1:$1,0)-1,300))</f>
        <v/>
      </c>
      <c r="AC282" t="str">
        <f t="shared" ca="1" si="47"/>
        <v/>
      </c>
      <c r="AD282" t="str">
        <f t="shared" ca="1" si="48"/>
        <v/>
      </c>
    </row>
    <row r="283" spans="1:30" x14ac:dyDescent="0.25">
      <c r="A283" s="4">
        <v>41730</v>
      </c>
      <c r="B283">
        <v>0.55100000000000005</v>
      </c>
      <c r="C283" s="5">
        <v>1.0003</v>
      </c>
      <c r="D283">
        <v>1.8199999999999998</v>
      </c>
      <c r="E283">
        <v>2.3818000000000001</v>
      </c>
      <c r="F283">
        <v>2.8773</v>
      </c>
      <c r="G283">
        <v>3.5912999999999999</v>
      </c>
      <c r="Z283" s="4" t="e">
        <f>IF(Sheet3!$A283="",MATCH("Error",AF283,0),Sheet3!$A283)</f>
        <v>#N/A</v>
      </c>
      <c r="AA283" s="5" t="str">
        <f ca="1">IF(OFFSET(Sheet3!$A$1,0,MATCH(W$1,Sheet3!$1:$1,0)-1,300)="","",OFFSET(Sheet3!$A$1,0,MATCH(W$1,Sheet3!$1:$1,0)-1,300))</f>
        <v/>
      </c>
      <c r="AB283" s="5" t="str">
        <f ca="1">IF(OFFSET(Sheet3!$A$1,0,MATCH(X$1,Sheet3!$1:$1,0)-1,300)="","",OFFSET(Sheet3!$A$1,0,MATCH(X$1,Sheet3!$1:$1,0)-1,300))</f>
        <v/>
      </c>
      <c r="AC283" t="str">
        <f t="shared" ca="1" si="47"/>
        <v/>
      </c>
      <c r="AD283" t="str">
        <f t="shared" ca="1" si="48"/>
        <v/>
      </c>
    </row>
    <row r="284" spans="1:30" x14ac:dyDescent="0.25">
      <c r="A284" s="4">
        <v>41729</v>
      </c>
      <c r="B284">
        <v>0.54500000000000004</v>
      </c>
      <c r="C284" s="5">
        <v>0.99180000000000001</v>
      </c>
      <c r="D284">
        <v>1.8025</v>
      </c>
      <c r="E284">
        <v>2.3555000000000001</v>
      </c>
      <c r="F284">
        <v>2.8420000000000001</v>
      </c>
      <c r="G284">
        <v>3.5415000000000001</v>
      </c>
      <c r="Z284" s="4" t="e">
        <f>IF(Sheet3!$A284="",MATCH("Error",AF284,0),Sheet3!$A284)</f>
        <v>#N/A</v>
      </c>
      <c r="AA284" s="5" t="str">
        <f ca="1">IF(OFFSET(Sheet3!$A$1,0,MATCH(W$1,Sheet3!$1:$1,0)-1,300)="","",OFFSET(Sheet3!$A$1,0,MATCH(W$1,Sheet3!$1:$1,0)-1,300))</f>
        <v/>
      </c>
      <c r="AB284" s="5" t="str">
        <f ca="1">IF(OFFSET(Sheet3!$A$1,0,MATCH(X$1,Sheet3!$1:$1,0)-1,300)="","",OFFSET(Sheet3!$A$1,0,MATCH(X$1,Sheet3!$1:$1,0)-1,300))</f>
        <v/>
      </c>
      <c r="AC284" t="str">
        <f t="shared" ca="1" si="47"/>
        <v/>
      </c>
      <c r="AD284" t="str">
        <f t="shared" ca="1" si="48"/>
        <v/>
      </c>
    </row>
    <row r="285" spans="1:30" x14ac:dyDescent="0.25">
      <c r="A285" s="4">
        <v>41726</v>
      </c>
      <c r="B285">
        <v>0.57130000000000003</v>
      </c>
      <c r="C285" s="5">
        <v>1.0318000000000001</v>
      </c>
      <c r="D285">
        <v>1.827</v>
      </c>
      <c r="E285">
        <v>2.3639999999999999</v>
      </c>
      <c r="F285">
        <v>2.8414999999999999</v>
      </c>
      <c r="G285">
        <v>3.524</v>
      </c>
      <c r="Z285" s="4" t="e">
        <f>IF(Sheet3!$A285="",MATCH("Error",AF285,0),Sheet3!$A285)</f>
        <v>#N/A</v>
      </c>
      <c r="AA285" s="5" t="str">
        <f ca="1">IF(OFFSET(Sheet3!$A$1,0,MATCH(W$1,Sheet3!$1:$1,0)-1,300)="","",OFFSET(Sheet3!$A$1,0,MATCH(W$1,Sheet3!$1:$1,0)-1,300))</f>
        <v/>
      </c>
      <c r="AB285" s="5" t="str">
        <f ca="1">IF(OFFSET(Sheet3!$A$1,0,MATCH(X$1,Sheet3!$1:$1,0)-1,300)="","",OFFSET(Sheet3!$A$1,0,MATCH(X$1,Sheet3!$1:$1,0)-1,300))</f>
        <v/>
      </c>
      <c r="AC285" t="str">
        <f t="shared" ca="1" si="47"/>
        <v/>
      </c>
      <c r="AD285" t="str">
        <f t="shared" ca="1" si="48"/>
        <v/>
      </c>
    </row>
    <row r="286" spans="1:30" x14ac:dyDescent="0.25">
      <c r="A286" s="4">
        <v>41725</v>
      </c>
      <c r="B286">
        <v>0.56279999999999997</v>
      </c>
      <c r="C286" s="5">
        <v>1.0113000000000001</v>
      </c>
      <c r="D286">
        <v>1.7948</v>
      </c>
      <c r="E286">
        <v>2.327</v>
      </c>
      <c r="F286">
        <v>2.8035000000000001</v>
      </c>
      <c r="G286">
        <v>3.5047999999999999</v>
      </c>
      <c r="Z286" s="4" t="e">
        <f>IF(Sheet3!$A286="",MATCH("Error",AF286,0),Sheet3!$A286)</f>
        <v>#N/A</v>
      </c>
      <c r="AA286" s="5" t="str">
        <f ca="1">IF(OFFSET(Sheet3!$A$1,0,MATCH(W$1,Sheet3!$1:$1,0)-1,300)="","",OFFSET(Sheet3!$A$1,0,MATCH(W$1,Sheet3!$1:$1,0)-1,300))</f>
        <v/>
      </c>
      <c r="AB286" s="5" t="str">
        <f ca="1">IF(OFFSET(Sheet3!$A$1,0,MATCH(X$1,Sheet3!$1:$1,0)-1,300)="","",OFFSET(Sheet3!$A$1,0,MATCH(X$1,Sheet3!$1:$1,0)-1,300))</f>
        <v/>
      </c>
      <c r="AC286" t="str">
        <f t="shared" ca="1" si="47"/>
        <v/>
      </c>
      <c r="AD286" t="str">
        <f t="shared" ca="1" si="48"/>
        <v/>
      </c>
    </row>
    <row r="287" spans="1:30" x14ac:dyDescent="0.25">
      <c r="A287" s="4">
        <v>41724</v>
      </c>
      <c r="B287">
        <v>0.55200000000000005</v>
      </c>
      <c r="C287" s="5">
        <v>0.98980000000000001</v>
      </c>
      <c r="D287">
        <v>1.7745</v>
      </c>
      <c r="E287">
        <v>2.3210000000000002</v>
      </c>
      <c r="F287">
        <v>2.8134999999999999</v>
      </c>
      <c r="G287">
        <v>3.5217999999999998</v>
      </c>
      <c r="Z287" s="4" t="e">
        <f>IF(Sheet3!$A287="",MATCH("Error",AF287,0),Sheet3!$A287)</f>
        <v>#N/A</v>
      </c>
      <c r="AA287" s="5" t="str">
        <f ca="1">IF(OFFSET(Sheet3!$A$1,0,MATCH(W$1,Sheet3!$1:$1,0)-1,300)="","",OFFSET(Sheet3!$A$1,0,MATCH(W$1,Sheet3!$1:$1,0)-1,300))</f>
        <v/>
      </c>
      <c r="AB287" s="5" t="str">
        <f ca="1">IF(OFFSET(Sheet3!$A$1,0,MATCH(X$1,Sheet3!$1:$1,0)-1,300)="","",OFFSET(Sheet3!$A$1,0,MATCH(X$1,Sheet3!$1:$1,0)-1,300))</f>
        <v/>
      </c>
      <c r="AC287" t="str">
        <f t="shared" ca="1" si="47"/>
        <v/>
      </c>
      <c r="AD287" t="str">
        <f t="shared" ca="1" si="48"/>
        <v/>
      </c>
    </row>
    <row r="288" spans="1:30" x14ac:dyDescent="0.25">
      <c r="A288" s="4">
        <v>41723</v>
      </c>
      <c r="B288">
        <v>0.57020000000000004</v>
      </c>
      <c r="C288" s="5">
        <v>1.0189999999999999</v>
      </c>
      <c r="D288">
        <v>1.8233000000000001</v>
      </c>
      <c r="E288">
        <v>2.3759999999999999</v>
      </c>
      <c r="F288">
        <v>2.8689999999999998</v>
      </c>
      <c r="G288">
        <v>3.5705</v>
      </c>
      <c r="Z288" s="4" t="e">
        <f>IF(Sheet3!$A288="",MATCH("Error",AF288,0),Sheet3!$A288)</f>
        <v>#N/A</v>
      </c>
      <c r="AA288" s="5" t="str">
        <f ca="1">IF(OFFSET(Sheet3!$A$1,0,MATCH(W$1,Sheet3!$1:$1,0)-1,300)="","",OFFSET(Sheet3!$A$1,0,MATCH(W$1,Sheet3!$1:$1,0)-1,300))</f>
        <v/>
      </c>
      <c r="AB288" s="5" t="str">
        <f ca="1">IF(OFFSET(Sheet3!$A$1,0,MATCH(X$1,Sheet3!$1:$1,0)-1,300)="","",OFFSET(Sheet3!$A$1,0,MATCH(X$1,Sheet3!$1:$1,0)-1,300))</f>
        <v/>
      </c>
      <c r="AC288" t="str">
        <f t="shared" ca="1" si="47"/>
        <v/>
      </c>
      <c r="AD288" t="str">
        <f t="shared" ca="1" si="48"/>
        <v/>
      </c>
    </row>
    <row r="289" spans="1:30" x14ac:dyDescent="0.25">
      <c r="A289" s="4">
        <v>41722</v>
      </c>
      <c r="B289">
        <v>0.57750000000000001</v>
      </c>
      <c r="C289" s="5">
        <v>1.028</v>
      </c>
      <c r="D289">
        <v>1.8195000000000001</v>
      </c>
      <c r="E289">
        <v>2.3609999999999998</v>
      </c>
      <c r="F289">
        <v>2.8460000000000001</v>
      </c>
      <c r="G289">
        <v>3.5432999999999999</v>
      </c>
      <c r="Z289" s="4" t="e">
        <f>IF(Sheet3!$A289="",MATCH("Error",AF289,0),Sheet3!$A289)</f>
        <v>#N/A</v>
      </c>
      <c r="AA289" s="5" t="str">
        <f ca="1">IF(OFFSET(Sheet3!$A$1,0,MATCH(W$1,Sheet3!$1:$1,0)-1,300)="","",OFFSET(Sheet3!$A$1,0,MATCH(W$1,Sheet3!$1:$1,0)-1,300))</f>
        <v/>
      </c>
      <c r="AB289" s="5" t="str">
        <f ca="1">IF(OFFSET(Sheet3!$A$1,0,MATCH(X$1,Sheet3!$1:$1,0)-1,300)="","",OFFSET(Sheet3!$A$1,0,MATCH(X$1,Sheet3!$1:$1,0)-1,300))</f>
        <v/>
      </c>
      <c r="AC289" t="str">
        <f t="shared" ca="1" si="47"/>
        <v/>
      </c>
      <c r="AD289" t="str">
        <f t="shared" ca="1" si="48"/>
        <v/>
      </c>
    </row>
    <row r="290" spans="1:30" x14ac:dyDescent="0.25">
      <c r="A290" s="4">
        <v>41719</v>
      </c>
      <c r="B290">
        <v>0.56179999999999997</v>
      </c>
      <c r="C290" s="5">
        <v>1.0023</v>
      </c>
      <c r="D290">
        <v>1.7995000000000001</v>
      </c>
      <c r="E290">
        <v>2.3570000000000002</v>
      </c>
      <c r="F290">
        <v>2.8588</v>
      </c>
      <c r="G290">
        <v>3.5792999999999999</v>
      </c>
      <c r="Z290" s="4" t="e">
        <f>IF(Sheet3!$A290="",MATCH("Error",AF290,0),Sheet3!$A290)</f>
        <v>#N/A</v>
      </c>
      <c r="AA290" s="5" t="str">
        <f ca="1">IF(OFFSET(Sheet3!$A$1,0,MATCH(W$1,Sheet3!$1:$1,0)-1,300)="","",OFFSET(Sheet3!$A$1,0,MATCH(W$1,Sheet3!$1:$1,0)-1,300))</f>
        <v/>
      </c>
      <c r="AB290" s="5" t="str">
        <f ca="1">IF(OFFSET(Sheet3!$A$1,0,MATCH(X$1,Sheet3!$1:$1,0)-1,300)="","",OFFSET(Sheet3!$A$1,0,MATCH(X$1,Sheet3!$1:$1,0)-1,300))</f>
        <v/>
      </c>
      <c r="AC290" t="str">
        <f t="shared" ca="1" si="47"/>
        <v/>
      </c>
      <c r="AD290" t="str">
        <f t="shared" ca="1" si="48"/>
        <v/>
      </c>
    </row>
    <row r="291" spans="1:30" x14ac:dyDescent="0.25">
      <c r="A291" s="4">
        <v>41718</v>
      </c>
      <c r="B291">
        <v>0.55249999999999999</v>
      </c>
      <c r="C291" s="5">
        <v>0.98750000000000004</v>
      </c>
      <c r="D291">
        <v>1.8</v>
      </c>
      <c r="E291">
        <v>2.3725000000000001</v>
      </c>
      <c r="F291">
        <v>2.8919999999999999</v>
      </c>
      <c r="G291">
        <v>3.6452999999999998</v>
      </c>
      <c r="Z291" s="4" t="e">
        <f>IF(Sheet3!$A291="",MATCH("Error",AF291,0),Sheet3!$A291)</f>
        <v>#N/A</v>
      </c>
      <c r="AA291" s="5" t="str">
        <f ca="1">IF(OFFSET(Sheet3!$A$1,0,MATCH(W$1,Sheet3!$1:$1,0)-1,300)="","",OFFSET(Sheet3!$A$1,0,MATCH(W$1,Sheet3!$1:$1,0)-1,300))</f>
        <v/>
      </c>
      <c r="AB291" s="5" t="str">
        <f ca="1">IF(OFFSET(Sheet3!$A$1,0,MATCH(X$1,Sheet3!$1:$1,0)-1,300)="","",OFFSET(Sheet3!$A$1,0,MATCH(X$1,Sheet3!$1:$1,0)-1,300))</f>
        <v/>
      </c>
      <c r="AC291" t="str">
        <f t="shared" ca="1" si="47"/>
        <v/>
      </c>
      <c r="AD291" t="str">
        <f t="shared" ca="1" si="48"/>
        <v/>
      </c>
    </row>
    <row r="292" spans="1:30" x14ac:dyDescent="0.25">
      <c r="A292" s="4">
        <v>41717</v>
      </c>
      <c r="B292">
        <v>0.55000000000000004</v>
      </c>
      <c r="C292" s="5">
        <v>0.98899999999999999</v>
      </c>
      <c r="D292">
        <v>1.8023</v>
      </c>
      <c r="E292">
        <v>2.3755000000000002</v>
      </c>
      <c r="F292">
        <v>2.891</v>
      </c>
      <c r="G292">
        <v>3.6375000000000002</v>
      </c>
      <c r="Z292" s="4" t="e">
        <f>IF(Sheet3!$A292="",MATCH("Error",AF292,0),Sheet3!$A292)</f>
        <v>#N/A</v>
      </c>
      <c r="AA292" s="5" t="str">
        <f ca="1">IF(OFFSET(Sheet3!$A$1,0,MATCH(W$1,Sheet3!$1:$1,0)-1,300)="","",OFFSET(Sheet3!$A$1,0,MATCH(W$1,Sheet3!$1:$1,0)-1,300))</f>
        <v/>
      </c>
      <c r="AB292" s="5" t="str">
        <f ca="1">IF(OFFSET(Sheet3!$A$1,0,MATCH(X$1,Sheet3!$1:$1,0)-1,300)="","",OFFSET(Sheet3!$A$1,0,MATCH(X$1,Sheet3!$1:$1,0)-1,300))</f>
        <v/>
      </c>
      <c r="AC292" t="str">
        <f t="shared" ca="1" si="47"/>
        <v/>
      </c>
      <c r="AD292" t="str">
        <f t="shared" ca="1" si="48"/>
        <v/>
      </c>
    </row>
    <row r="293" spans="1:30" x14ac:dyDescent="0.25">
      <c r="A293" s="4">
        <v>41716</v>
      </c>
      <c r="B293">
        <v>0.48480000000000001</v>
      </c>
      <c r="C293" s="5">
        <v>0.86050000000000004</v>
      </c>
      <c r="D293">
        <v>1.6440000000000001</v>
      </c>
      <c r="E293">
        <v>2.2389999999999999</v>
      </c>
      <c r="F293">
        <v>2.7880000000000003</v>
      </c>
      <c r="G293">
        <v>3.5869999999999997</v>
      </c>
      <c r="Z293" s="4" t="e">
        <f>IF(Sheet3!$A293="",MATCH("Error",AF293,0),Sheet3!$A293)</f>
        <v>#N/A</v>
      </c>
      <c r="AA293" s="5" t="str">
        <f ca="1">IF(OFFSET(Sheet3!$A$1,0,MATCH(W$1,Sheet3!$1:$1,0)-1,300)="","",OFFSET(Sheet3!$A$1,0,MATCH(W$1,Sheet3!$1:$1,0)-1,300))</f>
        <v/>
      </c>
      <c r="AB293" s="5" t="str">
        <f ca="1">IF(OFFSET(Sheet3!$A$1,0,MATCH(X$1,Sheet3!$1:$1,0)-1,300)="","",OFFSET(Sheet3!$A$1,0,MATCH(X$1,Sheet3!$1:$1,0)-1,300))</f>
        <v/>
      </c>
      <c r="AC293" t="str">
        <f t="shared" ca="1" si="47"/>
        <v/>
      </c>
      <c r="AD293" t="str">
        <f t="shared" ca="1" si="48"/>
        <v/>
      </c>
    </row>
    <row r="294" spans="1:30" x14ac:dyDescent="0.25">
      <c r="A294" s="4">
        <v>41715</v>
      </c>
      <c r="B294">
        <v>0.4975</v>
      </c>
      <c r="C294" s="5">
        <v>0.87780000000000002</v>
      </c>
      <c r="D294">
        <v>1.6675</v>
      </c>
      <c r="E294">
        <v>2.2599999999999998</v>
      </c>
      <c r="F294">
        <v>2.8075000000000001</v>
      </c>
      <c r="G294">
        <v>3.6013000000000002</v>
      </c>
      <c r="Z294" s="4" t="e">
        <f>IF(Sheet3!$A294="",MATCH("Error",AF294,0),Sheet3!$A294)</f>
        <v>#N/A</v>
      </c>
      <c r="AA294" s="5" t="str">
        <f ca="1">IF(OFFSET(Sheet3!$A$1,0,MATCH(W$1,Sheet3!$1:$1,0)-1,300)="","",OFFSET(Sheet3!$A$1,0,MATCH(W$1,Sheet3!$1:$1,0)-1,300))</f>
        <v/>
      </c>
      <c r="AB294" s="5" t="str">
        <f ca="1">IF(OFFSET(Sheet3!$A$1,0,MATCH(X$1,Sheet3!$1:$1,0)-1,300)="","",OFFSET(Sheet3!$A$1,0,MATCH(X$1,Sheet3!$1:$1,0)-1,300))</f>
        <v/>
      </c>
      <c r="AC294" t="str">
        <f t="shared" ca="1" si="47"/>
        <v/>
      </c>
      <c r="AD294" t="str">
        <f t="shared" ca="1" si="48"/>
        <v/>
      </c>
    </row>
    <row r="295" spans="1:30" x14ac:dyDescent="0.25">
      <c r="A295" s="4">
        <v>41712</v>
      </c>
      <c r="B295">
        <v>0.48199999999999998</v>
      </c>
      <c r="C295" s="5">
        <v>0.84850000000000003</v>
      </c>
      <c r="D295">
        <v>1.6345000000000001</v>
      </c>
      <c r="E295">
        <v>2.2229999999999999</v>
      </c>
      <c r="F295">
        <v>2.7692999999999999</v>
      </c>
      <c r="G295">
        <v>3.5688</v>
      </c>
      <c r="Z295" s="4" t="e">
        <f>IF(Sheet3!$A295="",MATCH("Error",AF295,0),Sheet3!$A295)</f>
        <v>#N/A</v>
      </c>
      <c r="AA295" s="5" t="str">
        <f ca="1">IF(OFFSET(Sheet3!$A$1,0,MATCH(W$1,Sheet3!$1:$1,0)-1,300)="","",OFFSET(Sheet3!$A$1,0,MATCH(W$1,Sheet3!$1:$1,0)-1,300))</f>
        <v/>
      </c>
      <c r="AB295" s="5" t="str">
        <f ca="1">IF(OFFSET(Sheet3!$A$1,0,MATCH(X$1,Sheet3!$1:$1,0)-1,300)="","",OFFSET(Sheet3!$A$1,0,MATCH(X$1,Sheet3!$1:$1,0)-1,300))</f>
        <v/>
      </c>
      <c r="AC295" t="str">
        <f t="shared" ca="1" si="47"/>
        <v/>
      </c>
      <c r="AD295" t="str">
        <f t="shared" ca="1" si="48"/>
        <v/>
      </c>
    </row>
    <row r="296" spans="1:30" x14ac:dyDescent="0.25">
      <c r="A296" s="4">
        <v>41711</v>
      </c>
      <c r="B296">
        <v>0.48299999999999998</v>
      </c>
      <c r="C296" s="5">
        <v>0.84699999999999998</v>
      </c>
      <c r="D296">
        <v>1.6198000000000001</v>
      </c>
      <c r="E296">
        <v>2.2065000000000001</v>
      </c>
      <c r="F296">
        <v>2.7545000000000002</v>
      </c>
      <c r="G296">
        <v>3.5579999999999998</v>
      </c>
      <c r="Z296" s="4" t="e">
        <f>IF(Sheet3!$A296="",MATCH("Error",AF296,0),Sheet3!$A296)</f>
        <v>#N/A</v>
      </c>
      <c r="AA296" s="5" t="str">
        <f ca="1">IF(OFFSET(Sheet3!$A$1,0,MATCH(W$1,Sheet3!$1:$1,0)-1,300)="","",OFFSET(Sheet3!$A$1,0,MATCH(W$1,Sheet3!$1:$1,0)-1,300))</f>
        <v/>
      </c>
      <c r="AB296" s="5" t="str">
        <f ca="1">IF(OFFSET(Sheet3!$A$1,0,MATCH(X$1,Sheet3!$1:$1,0)-1,300)="","",OFFSET(Sheet3!$A$1,0,MATCH(X$1,Sheet3!$1:$1,0)-1,300))</f>
        <v/>
      </c>
      <c r="AC296" t="str">
        <f t="shared" ca="1" si="47"/>
        <v/>
      </c>
      <c r="AD296" t="str">
        <f t="shared" ca="1" si="48"/>
        <v/>
      </c>
    </row>
    <row r="297" spans="1:30" x14ac:dyDescent="0.25">
      <c r="A297" s="4">
        <v>41710</v>
      </c>
      <c r="B297">
        <v>0.50049999999999994</v>
      </c>
      <c r="C297" s="5">
        <v>0.88480000000000003</v>
      </c>
      <c r="D297">
        <v>1.6793</v>
      </c>
      <c r="E297">
        <v>2.2787999999999999</v>
      </c>
      <c r="F297">
        <v>2.8319999999999999</v>
      </c>
      <c r="G297">
        <v>3.6372999999999998</v>
      </c>
      <c r="Z297" s="4" t="e">
        <f>IF(Sheet3!$A297="",MATCH("Error",AF297,0),Sheet3!$A297)</f>
        <v>#N/A</v>
      </c>
      <c r="AA297" s="5" t="str">
        <f ca="1">IF(OFFSET(Sheet3!$A$1,0,MATCH(W$1,Sheet3!$1:$1,0)-1,300)="","",OFFSET(Sheet3!$A$1,0,MATCH(W$1,Sheet3!$1:$1,0)-1,300))</f>
        <v/>
      </c>
      <c r="AB297" s="5" t="str">
        <f ca="1">IF(OFFSET(Sheet3!$A$1,0,MATCH(X$1,Sheet3!$1:$1,0)-1,300)="","",OFFSET(Sheet3!$A$1,0,MATCH(X$1,Sheet3!$1:$1,0)-1,300))</f>
        <v/>
      </c>
      <c r="AC297" t="str">
        <f t="shared" ca="1" si="47"/>
        <v/>
      </c>
      <c r="AD297" t="str">
        <f t="shared" ca="1" si="48"/>
        <v/>
      </c>
    </row>
    <row r="298" spans="1:30" x14ac:dyDescent="0.25">
      <c r="A298" s="4">
        <v>41709</v>
      </c>
      <c r="B298">
        <v>0.51049999999999995</v>
      </c>
      <c r="C298" s="5">
        <v>0.89949999999999997</v>
      </c>
      <c r="D298">
        <v>1.7050000000000001</v>
      </c>
      <c r="E298">
        <v>2.3115000000000001</v>
      </c>
      <c r="F298">
        <v>2.87</v>
      </c>
      <c r="G298">
        <v>3.6715</v>
      </c>
      <c r="Z298" s="4" t="e">
        <f>IF(Sheet3!$A298="",MATCH("Error",AF298,0),Sheet3!$A298)</f>
        <v>#N/A</v>
      </c>
      <c r="AA298" s="5" t="str">
        <f ca="1">IF(OFFSET(Sheet3!$A$1,0,MATCH(W$1,Sheet3!$1:$1,0)-1,300)="","",OFFSET(Sheet3!$A$1,0,MATCH(W$1,Sheet3!$1:$1,0)-1,300))</f>
        <v/>
      </c>
      <c r="AB298" s="5" t="str">
        <f ca="1">IF(OFFSET(Sheet3!$A$1,0,MATCH(X$1,Sheet3!$1:$1,0)-1,300)="","",OFFSET(Sheet3!$A$1,0,MATCH(X$1,Sheet3!$1:$1,0)-1,300))</f>
        <v/>
      </c>
      <c r="AC298" t="str">
        <f t="shared" ca="1" si="47"/>
        <v/>
      </c>
      <c r="AD298" t="str">
        <f t="shared" ca="1" si="48"/>
        <v/>
      </c>
    </row>
    <row r="299" spans="1:30" x14ac:dyDescent="0.25">
      <c r="A299" s="4">
        <v>41708</v>
      </c>
      <c r="B299">
        <v>0.50600000000000001</v>
      </c>
      <c r="C299" s="5">
        <v>0.89800000000000002</v>
      </c>
      <c r="D299">
        <v>1.71</v>
      </c>
      <c r="E299">
        <v>2.3182999999999998</v>
      </c>
      <c r="F299">
        <v>2.8780000000000001</v>
      </c>
      <c r="G299">
        <v>3.6855000000000002</v>
      </c>
      <c r="Z299" s="4" t="e">
        <f>IF(Sheet3!$A299="",MATCH("Error",AF299,0),Sheet3!$A299)</f>
        <v>#N/A</v>
      </c>
      <c r="AA299" s="5" t="str">
        <f ca="1">IF(OFFSET(Sheet3!$A$1,0,MATCH(W$1,Sheet3!$1:$1,0)-1,300)="","",OFFSET(Sheet3!$A$1,0,MATCH(W$1,Sheet3!$1:$1,0)-1,300))</f>
        <v/>
      </c>
      <c r="AB299" s="5" t="str">
        <f ca="1">IF(OFFSET(Sheet3!$A$1,0,MATCH(X$1,Sheet3!$1:$1,0)-1,300)="","",OFFSET(Sheet3!$A$1,0,MATCH(X$1,Sheet3!$1:$1,0)-1,300))</f>
        <v/>
      </c>
      <c r="AC299" t="str">
        <f t="shared" ca="1" si="47"/>
        <v/>
      </c>
      <c r="AD299" t="str">
        <f t="shared" ca="1" si="48"/>
        <v/>
      </c>
    </row>
    <row r="300" spans="1:30" x14ac:dyDescent="0.25">
      <c r="A300" s="4">
        <v>41705</v>
      </c>
      <c r="B300">
        <v>0.50900000000000001</v>
      </c>
      <c r="C300" s="5">
        <v>0.91080000000000005</v>
      </c>
      <c r="D300">
        <v>1.7305000000000001</v>
      </c>
      <c r="E300">
        <v>2.3359999999999999</v>
      </c>
      <c r="F300">
        <v>2.8919999999999999</v>
      </c>
      <c r="G300">
        <v>3.6909999999999998</v>
      </c>
      <c r="Z300" s="4" t="e">
        <f>IF(Sheet3!$A300="",MATCH("Error",AF300,0),Sheet3!$A300)</f>
        <v>#N/A</v>
      </c>
      <c r="AA300" s="5" t="str">
        <f ca="1">IF(OFFSET(Sheet3!$A$1,0,MATCH(W$1,Sheet3!$1:$1,0)-1,300)="","",OFFSET(Sheet3!$A$1,0,MATCH(W$1,Sheet3!$1:$1,0)-1,300))</f>
        <v/>
      </c>
      <c r="AB300" s="5" t="str">
        <f ca="1">IF(OFFSET(Sheet3!$A$1,0,MATCH(X$1,Sheet3!$1:$1,0)-1,300)="","",OFFSET(Sheet3!$A$1,0,MATCH(X$1,Sheet3!$1:$1,0)-1,300))</f>
        <v/>
      </c>
      <c r="AC300" t="str">
        <f t="shared" ca="1" si="47"/>
        <v/>
      </c>
      <c r="AD300" t="str">
        <f t="shared" ca="1" si="48"/>
        <v/>
      </c>
    </row>
    <row r="301" spans="1:30" x14ac:dyDescent="0.25">
      <c r="A301" s="4">
        <v>41704</v>
      </c>
      <c r="B301">
        <v>0.47799999999999998</v>
      </c>
      <c r="C301" s="5">
        <v>0.85499999999999998</v>
      </c>
      <c r="D301">
        <v>1.667</v>
      </c>
      <c r="E301">
        <v>2.2785000000000002</v>
      </c>
      <c r="F301">
        <v>2.8485</v>
      </c>
      <c r="G301">
        <v>3.6654999999999998</v>
      </c>
    </row>
    <row r="302" spans="1:30" x14ac:dyDescent="0.25">
      <c r="A302" s="4">
        <v>41703</v>
      </c>
      <c r="B302">
        <v>0.46500000000000002</v>
      </c>
      <c r="C302" s="5">
        <v>0.83479999999999999</v>
      </c>
      <c r="D302">
        <v>1.637</v>
      </c>
      <c r="E302">
        <v>2.2465000000000002</v>
      </c>
      <c r="F302">
        <v>2.8128000000000002</v>
      </c>
      <c r="G302">
        <v>3.6204000000000001</v>
      </c>
    </row>
    <row r="303" spans="1:30" x14ac:dyDescent="0.25">
      <c r="A303" s="4">
        <v>41702</v>
      </c>
      <c r="B303">
        <v>0.46700000000000003</v>
      </c>
      <c r="C303" s="5">
        <v>0.83399999999999996</v>
      </c>
      <c r="D303">
        <v>1.6388</v>
      </c>
      <c r="E303">
        <v>2.2458</v>
      </c>
      <c r="F303">
        <v>2.8115000000000001</v>
      </c>
      <c r="G303">
        <v>3.63</v>
      </c>
    </row>
    <row r="304" spans="1:30" x14ac:dyDescent="0.25">
      <c r="A304" s="4">
        <v>41701</v>
      </c>
      <c r="B304">
        <v>0.44400000000000001</v>
      </c>
      <c r="C304" s="5">
        <v>0.78939999999999999</v>
      </c>
      <c r="D304">
        <v>1.5659999999999998</v>
      </c>
      <c r="E304">
        <v>2.1644999999999999</v>
      </c>
      <c r="F304">
        <v>2.726</v>
      </c>
      <c r="G304">
        <v>3.54</v>
      </c>
    </row>
    <row r="305" spans="1:7" x14ac:dyDescent="0.25">
      <c r="A305" s="4">
        <v>41698</v>
      </c>
      <c r="B305">
        <v>0.45</v>
      </c>
      <c r="C305" s="5">
        <v>0.81299999999999994</v>
      </c>
      <c r="D305">
        <v>1.6015000000000001</v>
      </c>
      <c r="E305">
        <v>2.2004999999999999</v>
      </c>
      <c r="F305">
        <v>2.7610000000000001</v>
      </c>
      <c r="G305">
        <v>3.5709999999999997</v>
      </c>
    </row>
    <row r="306" spans="1:7" x14ac:dyDescent="0.25">
      <c r="A306" s="4">
        <v>41697</v>
      </c>
      <c r="B306">
        <v>0.44450000000000001</v>
      </c>
      <c r="C306" s="5">
        <v>0.79300000000000004</v>
      </c>
      <c r="D306">
        <v>1.5777999999999999</v>
      </c>
      <c r="E306">
        <v>2.1798000000000002</v>
      </c>
      <c r="F306">
        <v>2.7473000000000001</v>
      </c>
      <c r="G306">
        <v>3.5653000000000001</v>
      </c>
    </row>
    <row r="307" spans="1:7" x14ac:dyDescent="0.25">
      <c r="A307" s="4">
        <v>41696</v>
      </c>
      <c r="B307">
        <v>0.438</v>
      </c>
      <c r="C307" s="5">
        <v>0.79279999999999995</v>
      </c>
      <c r="D307">
        <v>1.5865</v>
      </c>
      <c r="E307">
        <v>2.1924999999999999</v>
      </c>
      <c r="F307">
        <v>2.7627999999999999</v>
      </c>
      <c r="G307">
        <v>3.5935000000000001</v>
      </c>
    </row>
    <row r="308" spans="1:7" x14ac:dyDescent="0.25">
      <c r="A308" s="4">
        <v>41695</v>
      </c>
      <c r="B308">
        <v>0.44700000000000001</v>
      </c>
      <c r="C308" s="5">
        <v>0.80800000000000005</v>
      </c>
      <c r="D308">
        <v>1.6158000000000001</v>
      </c>
      <c r="E308">
        <v>2.226</v>
      </c>
      <c r="F308">
        <v>2.7965</v>
      </c>
      <c r="G308">
        <v>3.6225000000000001</v>
      </c>
    </row>
    <row r="309" spans="1:7" x14ac:dyDescent="0.25">
      <c r="A309" s="4">
        <v>41694</v>
      </c>
      <c r="B309">
        <v>0.45650000000000002</v>
      </c>
      <c r="C309" s="5">
        <v>0.82899999999999996</v>
      </c>
      <c r="D309">
        <v>1.645</v>
      </c>
      <c r="E309">
        <v>2.2599999999999998</v>
      </c>
      <c r="F309">
        <v>2.8330000000000002</v>
      </c>
      <c r="G309">
        <v>3.6642000000000001</v>
      </c>
    </row>
    <row r="310" spans="1:7" x14ac:dyDescent="0.25">
      <c r="A310" s="4">
        <v>41691</v>
      </c>
      <c r="B310">
        <v>0.45200000000000001</v>
      </c>
      <c r="C310" s="5">
        <v>0.82179999999999997</v>
      </c>
      <c r="D310">
        <v>1.6404999999999998</v>
      </c>
      <c r="E310">
        <v>2.2570000000000001</v>
      </c>
      <c r="F310">
        <v>2.83</v>
      </c>
      <c r="G310">
        <v>3.6627999999999998</v>
      </c>
    </row>
    <row r="311" spans="1:7" x14ac:dyDescent="0.25">
      <c r="A311" s="4">
        <v>41690</v>
      </c>
      <c r="B311">
        <v>0.45700000000000002</v>
      </c>
      <c r="C311" s="5">
        <v>0.82779999999999998</v>
      </c>
      <c r="D311">
        <v>1.651</v>
      </c>
      <c r="E311">
        <v>2.2745000000000002</v>
      </c>
      <c r="F311">
        <v>2.8565</v>
      </c>
      <c r="G311">
        <v>3.6959999999999997</v>
      </c>
    </row>
    <row r="312" spans="1:7" x14ac:dyDescent="0.25">
      <c r="A312" s="4">
        <v>41689</v>
      </c>
      <c r="B312">
        <v>0.45100000000000001</v>
      </c>
      <c r="C312" s="5">
        <v>0.81379999999999997</v>
      </c>
      <c r="D312">
        <v>1.6360000000000001</v>
      </c>
      <c r="E312">
        <v>2.2635000000000001</v>
      </c>
      <c r="F312">
        <v>2.85</v>
      </c>
      <c r="G312">
        <v>3.6989999999999998</v>
      </c>
    </row>
    <row r="313" spans="1:7" x14ac:dyDescent="0.25">
      <c r="A313" s="4">
        <v>41688</v>
      </c>
      <c r="B313">
        <v>0.434</v>
      </c>
      <c r="C313" s="5">
        <v>0.78749999999999998</v>
      </c>
      <c r="D313">
        <v>1.6002999999999998</v>
      </c>
      <c r="E313">
        <v>2.2303000000000002</v>
      </c>
      <c r="F313">
        <v>2.819</v>
      </c>
      <c r="G313">
        <v>3.6677999999999997</v>
      </c>
    </row>
    <row r="314" spans="1:7" x14ac:dyDescent="0.25">
      <c r="A314" s="4">
        <v>41687</v>
      </c>
      <c r="B314">
        <v>0.44800000000000001</v>
      </c>
      <c r="C314" s="5">
        <v>0.82250000000000001</v>
      </c>
      <c r="D314">
        <v>1.6419999999999999</v>
      </c>
      <c r="E314">
        <v>2.2720000000000002</v>
      </c>
      <c r="F314">
        <v>2.8565</v>
      </c>
      <c r="G314">
        <v>3.6819999999999999</v>
      </c>
    </row>
    <row r="315" spans="1:7" x14ac:dyDescent="0.25">
      <c r="A315" s="4">
        <v>41684</v>
      </c>
      <c r="B315">
        <v>0.44800000000000001</v>
      </c>
      <c r="C315" s="5">
        <v>0.81899999999999995</v>
      </c>
      <c r="D315">
        <v>1.6413</v>
      </c>
      <c r="E315">
        <v>2.266</v>
      </c>
      <c r="F315">
        <v>2.85</v>
      </c>
      <c r="G315">
        <v>3.6816</v>
      </c>
    </row>
    <row r="316" spans="1:7" x14ac:dyDescent="0.25">
      <c r="A316" s="4">
        <v>41683</v>
      </c>
      <c r="B316">
        <v>0.438</v>
      </c>
      <c r="C316" s="5">
        <v>0.80900000000000005</v>
      </c>
      <c r="D316">
        <v>1.6202999999999999</v>
      </c>
      <c r="E316">
        <v>2.2469999999999999</v>
      </c>
      <c r="F316">
        <v>2.8340000000000001</v>
      </c>
      <c r="G316">
        <v>3.6734999999999998</v>
      </c>
    </row>
    <row r="317" spans="1:7" x14ac:dyDescent="0.25">
      <c r="A317" s="4">
        <v>41682</v>
      </c>
      <c r="B317">
        <v>0.46179999999999999</v>
      </c>
      <c r="C317" s="5">
        <v>0.83550000000000002</v>
      </c>
      <c r="D317">
        <v>1.6665000000000001</v>
      </c>
      <c r="E317">
        <v>2.3005</v>
      </c>
      <c r="F317">
        <v>2.8860000000000001</v>
      </c>
      <c r="G317">
        <v>3.7114000000000003</v>
      </c>
    </row>
    <row r="318" spans="1:7" x14ac:dyDescent="0.25">
      <c r="A318" s="4">
        <v>41681</v>
      </c>
      <c r="B318">
        <v>0.44900000000000001</v>
      </c>
      <c r="C318" s="5">
        <v>0.80900000000000005</v>
      </c>
      <c r="D318">
        <v>1.637</v>
      </c>
      <c r="E318">
        <v>2.2690000000000001</v>
      </c>
      <c r="F318">
        <v>2.8494999999999999</v>
      </c>
      <c r="G318">
        <v>3.6814999999999998</v>
      </c>
    </row>
    <row r="319" spans="1:7" x14ac:dyDescent="0.25">
      <c r="A319" s="4">
        <v>41680</v>
      </c>
      <c r="B319">
        <v>0.42699999999999999</v>
      </c>
      <c r="C319" s="5">
        <v>0.77200000000000002</v>
      </c>
      <c r="D319">
        <v>1.5758000000000001</v>
      </c>
      <c r="E319">
        <v>2.2042999999999999</v>
      </c>
      <c r="F319">
        <v>2.7907000000000002</v>
      </c>
      <c r="G319">
        <v>3.6360000000000001</v>
      </c>
    </row>
    <row r="320" spans="1:7" x14ac:dyDescent="0.25">
      <c r="A320" s="4">
        <v>41677</v>
      </c>
      <c r="B320">
        <v>0.42499999999999999</v>
      </c>
      <c r="C320" s="5">
        <v>0.77049999999999996</v>
      </c>
      <c r="D320">
        <v>1.5803</v>
      </c>
      <c r="E320">
        <v>2.218</v>
      </c>
      <c r="F320">
        <v>2.8149999999999999</v>
      </c>
      <c r="G320">
        <v>3.6663999999999999</v>
      </c>
    </row>
    <row r="321" spans="1:7" x14ac:dyDescent="0.25">
      <c r="A321" s="4">
        <v>41676</v>
      </c>
      <c r="B321">
        <v>0.45250000000000001</v>
      </c>
      <c r="C321" s="5">
        <v>0.81179999999999997</v>
      </c>
      <c r="D321">
        <v>1.633</v>
      </c>
      <c r="E321">
        <v>2.2587999999999999</v>
      </c>
      <c r="F321">
        <v>2.839</v>
      </c>
      <c r="G321">
        <v>3.6705000000000001</v>
      </c>
    </row>
    <row r="322" spans="1:7" x14ac:dyDescent="0.25">
      <c r="A322" s="4">
        <v>41675</v>
      </c>
      <c r="B322">
        <v>0.44350000000000001</v>
      </c>
      <c r="C322" s="5">
        <v>0.79200000000000004</v>
      </c>
      <c r="D322">
        <v>1.6034999999999999</v>
      </c>
      <c r="E322">
        <v>2.2290000000000001</v>
      </c>
      <c r="F322">
        <v>2.8090000000000002</v>
      </c>
      <c r="G322">
        <v>3.6494999999999997</v>
      </c>
    </row>
    <row r="323" spans="1:7" x14ac:dyDescent="0.25">
      <c r="A323" s="4">
        <v>41674</v>
      </c>
      <c r="B323">
        <v>0.4405</v>
      </c>
      <c r="C323" s="5">
        <v>0.78480000000000005</v>
      </c>
      <c r="D323">
        <v>1.5845</v>
      </c>
      <c r="E323">
        <v>2.2004999999999999</v>
      </c>
      <c r="F323">
        <v>2.7730000000000001</v>
      </c>
      <c r="G323">
        <v>3.6015000000000001</v>
      </c>
    </row>
    <row r="324" spans="1:7" x14ac:dyDescent="0.25">
      <c r="A324" s="4">
        <v>41673</v>
      </c>
      <c r="B324">
        <v>0.4345</v>
      </c>
      <c r="C324" s="5">
        <v>0.77449999999999997</v>
      </c>
      <c r="D324">
        <v>1.5563</v>
      </c>
      <c r="E324">
        <v>2.1598000000000002</v>
      </c>
      <c r="F324">
        <v>2.7199999999999998</v>
      </c>
      <c r="G324">
        <v>3.5285000000000002</v>
      </c>
    </row>
    <row r="325" spans="1:7" x14ac:dyDescent="0.25">
      <c r="A325" s="4">
        <v>41670</v>
      </c>
      <c r="B325">
        <v>0.45900000000000002</v>
      </c>
      <c r="C325" s="5">
        <v>0.81830000000000003</v>
      </c>
      <c r="D325">
        <v>1.607</v>
      </c>
      <c r="E325">
        <v>2.2185000000000001</v>
      </c>
      <c r="F325">
        <v>2.7854999999999999</v>
      </c>
      <c r="G325">
        <v>3.5963000000000003</v>
      </c>
    </row>
    <row r="326" spans="1:7" x14ac:dyDescent="0.25">
      <c r="A326" s="4">
        <v>41669</v>
      </c>
      <c r="B326">
        <v>0.47649999999999998</v>
      </c>
      <c r="C326" s="5">
        <v>0.83499999999999996</v>
      </c>
      <c r="D326">
        <v>1.6455</v>
      </c>
      <c r="E326">
        <v>2.262</v>
      </c>
      <c r="F326">
        <v>2.831</v>
      </c>
      <c r="G326">
        <v>3.6337999999999999</v>
      </c>
    </row>
    <row r="327" spans="1:7" x14ac:dyDescent="0.25">
      <c r="A327" s="4">
        <v>41668</v>
      </c>
      <c r="B327">
        <v>0.47199999999999998</v>
      </c>
      <c r="C327" s="5">
        <v>0.83179999999999998</v>
      </c>
      <c r="D327">
        <v>1.633</v>
      </c>
      <c r="E327">
        <v>2.2452999999999999</v>
      </c>
      <c r="F327">
        <v>2.8140000000000001</v>
      </c>
      <c r="G327">
        <v>3.6124999999999998</v>
      </c>
    </row>
    <row r="328" spans="1:7" x14ac:dyDescent="0.25">
      <c r="A328" s="4">
        <v>41667</v>
      </c>
      <c r="B328">
        <v>0.48599999999999999</v>
      </c>
      <c r="C328" s="5">
        <v>0.85650000000000004</v>
      </c>
      <c r="D328">
        <v>1.6779999999999999</v>
      </c>
      <c r="E328">
        <v>2.3054999999999999</v>
      </c>
      <c r="F328">
        <v>2.8763000000000001</v>
      </c>
      <c r="G328">
        <v>3.6692999999999998</v>
      </c>
    </row>
    <row r="329" spans="1:7" x14ac:dyDescent="0.25">
      <c r="A329" s="4">
        <v>41666</v>
      </c>
      <c r="B329">
        <v>0.497</v>
      </c>
      <c r="C329" s="5">
        <v>0.87</v>
      </c>
      <c r="D329">
        <v>1.6909999999999998</v>
      </c>
      <c r="E329">
        <v>2.3077999999999999</v>
      </c>
      <c r="F329">
        <v>2.8714</v>
      </c>
      <c r="G329">
        <v>3.6520999999999999</v>
      </c>
    </row>
    <row r="330" spans="1:7" x14ac:dyDescent="0.25">
      <c r="A330" s="4">
        <v>41663</v>
      </c>
      <c r="B330">
        <v>0.49</v>
      </c>
      <c r="C330" s="5">
        <v>0.85029999999999994</v>
      </c>
      <c r="D330">
        <v>1.6648000000000001</v>
      </c>
      <c r="E330">
        <v>2.2759999999999998</v>
      </c>
      <c r="F330">
        <v>2.839</v>
      </c>
      <c r="G330">
        <v>3.6215000000000002</v>
      </c>
    </row>
    <row r="331" spans="1:7" x14ac:dyDescent="0.25">
      <c r="A331" s="4">
        <v>41662</v>
      </c>
      <c r="B331">
        <v>0.503</v>
      </c>
      <c r="C331" s="5">
        <v>0.88229999999999997</v>
      </c>
      <c r="D331">
        <v>1.7187999999999999</v>
      </c>
      <c r="E331">
        <v>2.3355000000000001</v>
      </c>
      <c r="F331">
        <v>2.899</v>
      </c>
      <c r="G331">
        <v>3.6814999999999998</v>
      </c>
    </row>
    <row r="332" spans="1:7" x14ac:dyDescent="0.25">
      <c r="A332" s="4">
        <v>41661</v>
      </c>
      <c r="B332">
        <v>0.52800000000000002</v>
      </c>
      <c r="C332" s="5">
        <v>0.94979999999999998</v>
      </c>
      <c r="D332">
        <v>1.8035000000000001</v>
      </c>
      <c r="E332">
        <v>2.4209999999999998</v>
      </c>
      <c r="F332">
        <v>2.976</v>
      </c>
      <c r="G332">
        <v>3.7480000000000002</v>
      </c>
    </row>
    <row r="333" spans="1:7" x14ac:dyDescent="0.25">
      <c r="A333" s="4">
        <v>41660</v>
      </c>
      <c r="B333">
        <v>0.51180000000000003</v>
      </c>
      <c r="C333" s="5">
        <v>0.91200000000000003</v>
      </c>
      <c r="D333">
        <v>1.7488000000000001</v>
      </c>
      <c r="E333">
        <v>2.3693</v>
      </c>
      <c r="F333">
        <v>2.9333</v>
      </c>
      <c r="G333">
        <v>3.7286999999999999</v>
      </c>
    </row>
    <row r="334" spans="1:7" x14ac:dyDescent="0.25">
      <c r="A334" s="4">
        <v>41659</v>
      </c>
      <c r="B334">
        <v>0.50549999999999995</v>
      </c>
      <c r="C334" s="5">
        <v>0.89449999999999996</v>
      </c>
      <c r="D334">
        <v>1.7315</v>
      </c>
      <c r="E334">
        <v>2.3559999999999999</v>
      </c>
      <c r="F334">
        <v>2.93</v>
      </c>
      <c r="G334">
        <v>3.7345000000000002</v>
      </c>
    </row>
    <row r="335" spans="1:7" x14ac:dyDescent="0.25">
      <c r="A335" s="4">
        <v>41656</v>
      </c>
      <c r="B335">
        <v>0.504</v>
      </c>
      <c r="C335" s="5">
        <v>0.90349999999999997</v>
      </c>
      <c r="D335">
        <v>1.7315</v>
      </c>
      <c r="E335">
        <v>2.3559999999999999</v>
      </c>
      <c r="F335">
        <v>2.93</v>
      </c>
      <c r="G335">
        <v>3.7349999999999999</v>
      </c>
    </row>
    <row r="336" spans="1:7" x14ac:dyDescent="0.25">
      <c r="A336" s="4">
        <v>41655</v>
      </c>
      <c r="B336">
        <v>0.51100000000000001</v>
      </c>
      <c r="C336" s="5">
        <v>0.90580000000000005</v>
      </c>
      <c r="D336">
        <v>1.7404999999999999</v>
      </c>
      <c r="E336">
        <v>2.3725000000000001</v>
      </c>
      <c r="F336">
        <v>2.9510000000000001</v>
      </c>
      <c r="G336">
        <v>3.76</v>
      </c>
    </row>
    <row r="337" spans="1:7" x14ac:dyDescent="0.25">
      <c r="A337" s="4">
        <v>41654</v>
      </c>
      <c r="B337">
        <v>0.51849999999999996</v>
      </c>
      <c r="C337" s="5">
        <v>0.91249999999999998</v>
      </c>
      <c r="D337">
        <v>1.7629999999999999</v>
      </c>
      <c r="E337">
        <v>2.4058000000000002</v>
      </c>
      <c r="F337">
        <v>2.9910000000000001</v>
      </c>
      <c r="G337">
        <v>3.8094999999999999</v>
      </c>
    </row>
    <row r="338" spans="1:7" x14ac:dyDescent="0.25">
      <c r="A338" s="4">
        <v>41653</v>
      </c>
      <c r="B338">
        <v>0.5</v>
      </c>
      <c r="C338" s="5">
        <v>0.87849999999999995</v>
      </c>
      <c r="D338">
        <v>1.7358</v>
      </c>
      <c r="E338">
        <v>2.379</v>
      </c>
      <c r="F338">
        <v>2.9634999999999998</v>
      </c>
      <c r="G338">
        <v>3.786</v>
      </c>
    </row>
    <row r="339" spans="1:7" x14ac:dyDescent="0.25">
      <c r="A339" s="4">
        <v>41652</v>
      </c>
      <c r="B339">
        <v>0.47739999999999999</v>
      </c>
      <c r="C339" s="5">
        <v>0.84279999999999999</v>
      </c>
      <c r="D339">
        <v>1.677</v>
      </c>
      <c r="E339">
        <v>2.3199999999999998</v>
      </c>
      <c r="F339">
        <v>2.9104999999999999</v>
      </c>
      <c r="G339">
        <v>3.7490000000000001</v>
      </c>
    </row>
    <row r="340" spans="1:7" x14ac:dyDescent="0.25">
      <c r="A340" s="4">
        <v>41649</v>
      </c>
      <c r="B340">
        <v>0.49199999999999999</v>
      </c>
      <c r="C340" s="5">
        <v>0.87050000000000005</v>
      </c>
      <c r="D340">
        <v>1.712</v>
      </c>
      <c r="E340">
        <v>2.3582999999999998</v>
      </c>
      <c r="F340">
        <v>2.9515000000000002</v>
      </c>
      <c r="G340">
        <v>3.7814999999999999</v>
      </c>
    </row>
    <row r="341" spans="1:7" x14ac:dyDescent="0.25">
      <c r="A341" s="4">
        <v>41648</v>
      </c>
      <c r="B341">
        <v>0.54600000000000004</v>
      </c>
      <c r="C341" s="5">
        <v>0.95399999999999996</v>
      </c>
      <c r="D341">
        <v>1.8319999999999999</v>
      </c>
      <c r="E341">
        <v>2.4765000000000001</v>
      </c>
      <c r="F341">
        <v>3.052</v>
      </c>
      <c r="G341">
        <v>3.8525</v>
      </c>
    </row>
    <row r="342" spans="1:7" x14ac:dyDescent="0.25">
      <c r="A342" s="4">
        <v>41647</v>
      </c>
      <c r="B342">
        <v>0.53500000000000003</v>
      </c>
      <c r="C342" s="5">
        <v>0.95199999999999996</v>
      </c>
      <c r="D342">
        <v>1.8279999999999998</v>
      </c>
      <c r="E342">
        <v>2.4834999999999998</v>
      </c>
      <c r="F342">
        <v>3.0649999999999999</v>
      </c>
      <c r="G342">
        <v>3.8702999999999999</v>
      </c>
    </row>
    <row r="343" spans="1:7" x14ac:dyDescent="0.25">
      <c r="A343" s="4">
        <v>41646</v>
      </c>
      <c r="B343">
        <v>0.4985</v>
      </c>
      <c r="C343" s="5">
        <v>0.87350000000000005</v>
      </c>
      <c r="D343">
        <v>1.7375</v>
      </c>
      <c r="E343">
        <v>2.4064999999999999</v>
      </c>
      <c r="F343">
        <v>3.0097999999999998</v>
      </c>
      <c r="G343">
        <v>3.8580000000000001</v>
      </c>
    </row>
    <row r="344" spans="1:7" x14ac:dyDescent="0.25">
      <c r="A344" s="4">
        <v>41645</v>
      </c>
      <c r="B344">
        <v>0.5</v>
      </c>
      <c r="C344" s="5">
        <v>0.876</v>
      </c>
      <c r="D344">
        <v>1.7467999999999999</v>
      </c>
      <c r="E344">
        <v>2.4203000000000001</v>
      </c>
      <c r="F344">
        <v>3.0259999999999998</v>
      </c>
      <c r="G344">
        <v>3.8738000000000001</v>
      </c>
    </row>
    <row r="345" spans="1:7" x14ac:dyDescent="0.25">
      <c r="A345" s="4">
        <v>41642</v>
      </c>
      <c r="B345">
        <v>0.51129999999999998</v>
      </c>
      <c r="C345" s="5">
        <v>0.9</v>
      </c>
      <c r="D345">
        <v>1.792</v>
      </c>
      <c r="E345">
        <v>2.4647999999999999</v>
      </c>
      <c r="F345">
        <v>3.0665</v>
      </c>
      <c r="G345">
        <v>3.8952999999999998</v>
      </c>
    </row>
    <row r="346" spans="1:7" x14ac:dyDescent="0.25">
      <c r="A346" s="4">
        <v>41641</v>
      </c>
      <c r="B346">
        <v>0.49030000000000001</v>
      </c>
      <c r="C346" s="5">
        <v>0.87050000000000005</v>
      </c>
      <c r="D346">
        <v>1.774</v>
      </c>
      <c r="E346">
        <v>2.4540000000000002</v>
      </c>
      <c r="F346">
        <v>3.0609999999999999</v>
      </c>
      <c r="G346">
        <v>3.895</v>
      </c>
    </row>
    <row r="347" spans="1:7" x14ac:dyDescent="0.25">
      <c r="A347" s="4">
        <v>41640</v>
      </c>
      <c r="B347">
        <v>0.49099999999999999</v>
      </c>
      <c r="C347" s="5">
        <v>0.87549999999999994</v>
      </c>
      <c r="D347">
        <v>1.7925</v>
      </c>
      <c r="E347">
        <v>2.4815</v>
      </c>
      <c r="F347">
        <v>3.0939999999999999</v>
      </c>
      <c r="G347">
        <v>3.9290000000000003</v>
      </c>
    </row>
    <row r="348" spans="1:7" x14ac:dyDescent="0.25">
      <c r="A348" s="4">
        <v>41639</v>
      </c>
      <c r="B348">
        <v>0.48899999999999999</v>
      </c>
      <c r="C348" s="5">
        <v>0.87549999999999994</v>
      </c>
      <c r="D348">
        <v>1.786</v>
      </c>
      <c r="E348">
        <v>2.4815</v>
      </c>
      <c r="F348">
        <v>3.0859999999999999</v>
      </c>
      <c r="G348">
        <v>3.9290000000000003</v>
      </c>
    </row>
    <row r="349" spans="1:7" x14ac:dyDescent="0.25">
      <c r="A349" s="4">
        <v>41638</v>
      </c>
      <c r="B349">
        <v>0.47599999999999998</v>
      </c>
      <c r="C349" s="5">
        <v>0.85550000000000004</v>
      </c>
      <c r="D349">
        <v>1.746</v>
      </c>
      <c r="E349">
        <v>2.4260000000000002</v>
      </c>
      <c r="F349">
        <v>3.0314999999999999</v>
      </c>
      <c r="G349">
        <v>3.8624999999999998</v>
      </c>
    </row>
    <row r="350" spans="1:7" x14ac:dyDescent="0.25">
      <c r="A350" s="4">
        <v>41635</v>
      </c>
      <c r="B350">
        <v>0.48499999999999999</v>
      </c>
      <c r="C350" s="5">
        <v>0.871</v>
      </c>
      <c r="D350">
        <v>1.7755000000000001</v>
      </c>
      <c r="E350">
        <v>2.4535</v>
      </c>
      <c r="F350">
        <v>3.056</v>
      </c>
      <c r="G350">
        <v>3.8929999999999998</v>
      </c>
    </row>
    <row r="351" spans="1:7" x14ac:dyDescent="0.25">
      <c r="A351" s="4">
        <v>41634</v>
      </c>
      <c r="B351">
        <v>0.505</v>
      </c>
      <c r="C351" s="5">
        <v>0.89239999999999997</v>
      </c>
      <c r="D351">
        <v>1.7915000000000001</v>
      </c>
      <c r="E351">
        <v>2.4609999999999999</v>
      </c>
      <c r="F351">
        <v>3.0569999999999999</v>
      </c>
      <c r="G351">
        <v>3.8885000000000001</v>
      </c>
    </row>
    <row r="352" spans="1:7" x14ac:dyDescent="0.25">
      <c r="A352" s="4">
        <v>41633</v>
      </c>
      <c r="B352">
        <v>0.497</v>
      </c>
      <c r="C352" s="5">
        <v>0.89100000000000001</v>
      </c>
      <c r="D352">
        <v>1.74</v>
      </c>
      <c r="E352">
        <v>2.4529999999999998</v>
      </c>
      <c r="F352">
        <v>3.0489999999999999</v>
      </c>
      <c r="G352">
        <v>3.8580000000000001</v>
      </c>
    </row>
    <row r="353" spans="1:7" x14ac:dyDescent="0.25">
      <c r="A353" s="4">
        <v>41632</v>
      </c>
      <c r="B353">
        <v>0.48699999999999999</v>
      </c>
      <c r="C353" s="5">
        <v>0.89100000000000001</v>
      </c>
      <c r="D353">
        <v>1.74</v>
      </c>
      <c r="E353">
        <v>2.4529999999999998</v>
      </c>
      <c r="F353">
        <v>3.0489999999999999</v>
      </c>
      <c r="G353">
        <v>3.8580000000000001</v>
      </c>
    </row>
    <row r="354" spans="1:7" x14ac:dyDescent="0.25">
      <c r="A354" s="4">
        <v>41631</v>
      </c>
      <c r="B354">
        <v>0.47449999999999998</v>
      </c>
      <c r="C354" s="5">
        <v>0.84850000000000003</v>
      </c>
      <c r="D354">
        <v>1.736</v>
      </c>
      <c r="E354">
        <v>2.403</v>
      </c>
      <c r="F354">
        <v>2.9965000000000002</v>
      </c>
      <c r="G354">
        <v>3.8109999999999999</v>
      </c>
    </row>
    <row r="355" spans="1:7" x14ac:dyDescent="0.25">
      <c r="A355" s="4">
        <v>41628</v>
      </c>
      <c r="B355">
        <v>0.45500000000000002</v>
      </c>
      <c r="C355" s="5">
        <v>0.8105</v>
      </c>
      <c r="D355">
        <v>1.7035</v>
      </c>
      <c r="E355">
        <v>2.3650000000000002</v>
      </c>
      <c r="F355">
        <v>2.9538000000000002</v>
      </c>
      <c r="G355">
        <v>3.7749999999999999</v>
      </c>
    </row>
    <row r="356" spans="1:7" x14ac:dyDescent="0.25">
      <c r="A356" s="4">
        <v>41627</v>
      </c>
      <c r="B356">
        <v>0.441</v>
      </c>
      <c r="C356" s="5">
        <v>0.77849999999999997</v>
      </c>
      <c r="D356">
        <v>1.6667999999999998</v>
      </c>
      <c r="E356">
        <v>2.3618000000000001</v>
      </c>
      <c r="F356">
        <v>2.9943</v>
      </c>
      <c r="G356">
        <v>3.8559999999999999</v>
      </c>
    </row>
    <row r="357" spans="1:7" x14ac:dyDescent="0.25">
      <c r="A357" s="4">
        <v>41626</v>
      </c>
      <c r="B357">
        <v>0.40300000000000002</v>
      </c>
      <c r="C357" s="5">
        <v>0.71599999999999997</v>
      </c>
      <c r="D357">
        <v>1.6065</v>
      </c>
      <c r="E357">
        <v>2.3075000000000001</v>
      </c>
      <c r="F357">
        <v>2.9489999999999998</v>
      </c>
      <c r="G357">
        <v>3.8266</v>
      </c>
    </row>
    <row r="358" spans="1:7" x14ac:dyDescent="0.25">
      <c r="A358" s="4">
        <v>41625</v>
      </c>
      <c r="B358">
        <v>0.39979999999999999</v>
      </c>
      <c r="C358" s="5">
        <v>0.70930000000000004</v>
      </c>
      <c r="D358">
        <v>1.5669999999999999</v>
      </c>
      <c r="E358">
        <v>2.2534999999999998</v>
      </c>
      <c r="F358">
        <v>2.8875000000000002</v>
      </c>
      <c r="G358">
        <v>3.7789999999999999</v>
      </c>
    </row>
    <row r="359" spans="1:7" x14ac:dyDescent="0.25">
      <c r="A359" s="4">
        <v>41624</v>
      </c>
      <c r="B359">
        <v>0.42349999999999999</v>
      </c>
      <c r="C359" s="5">
        <v>0.746</v>
      </c>
      <c r="D359">
        <v>1.6154999999999999</v>
      </c>
      <c r="E359">
        <v>2.3012999999999999</v>
      </c>
      <c r="F359">
        <v>2.9355000000000002</v>
      </c>
      <c r="G359">
        <v>3.8040000000000003</v>
      </c>
    </row>
    <row r="360" spans="1:7" x14ac:dyDescent="0.25">
      <c r="A360" s="4">
        <v>41621</v>
      </c>
      <c r="B360">
        <v>0.42799999999999999</v>
      </c>
      <c r="C360" s="5">
        <v>0.75829999999999997</v>
      </c>
      <c r="D360">
        <v>1.6175000000000002</v>
      </c>
      <c r="E360">
        <v>2.2995000000000001</v>
      </c>
      <c r="F360">
        <v>2.9257999999999997</v>
      </c>
      <c r="G360">
        <v>3.7848000000000002</v>
      </c>
    </row>
    <row r="361" spans="1:7" x14ac:dyDescent="0.25">
      <c r="A361" s="4">
        <v>41620</v>
      </c>
      <c r="B361">
        <v>0.42399999999999999</v>
      </c>
      <c r="C361" s="5">
        <v>0.76100000000000001</v>
      </c>
      <c r="D361">
        <v>1.6242999999999999</v>
      </c>
      <c r="E361">
        <v>2.3094999999999999</v>
      </c>
      <c r="F361">
        <v>2.9390000000000001</v>
      </c>
      <c r="G361">
        <v>3.798</v>
      </c>
    </row>
    <row r="362" spans="1:7" x14ac:dyDescent="0.25">
      <c r="A362" s="4">
        <v>41619</v>
      </c>
      <c r="B362">
        <v>0.4078</v>
      </c>
      <c r="C362" s="5">
        <v>0.73429999999999995</v>
      </c>
      <c r="D362">
        <v>1.5895000000000001</v>
      </c>
      <c r="E362">
        <v>2.2810000000000001</v>
      </c>
      <c r="F362">
        <v>2.9169999999999998</v>
      </c>
      <c r="G362">
        <v>3.7934999999999999</v>
      </c>
    </row>
    <row r="363" spans="1:7" x14ac:dyDescent="0.25">
      <c r="A363" s="4">
        <v>41618</v>
      </c>
      <c r="B363">
        <v>0.39400000000000002</v>
      </c>
      <c r="C363" s="5">
        <v>0.70199999999999996</v>
      </c>
      <c r="D363">
        <v>1.5405</v>
      </c>
      <c r="E363">
        <v>2.2320000000000002</v>
      </c>
      <c r="F363">
        <v>2.8694999999999999</v>
      </c>
      <c r="G363">
        <v>3.7513000000000001</v>
      </c>
    </row>
    <row r="364" spans="1:7" x14ac:dyDescent="0.25">
      <c r="A364" s="4">
        <v>41617</v>
      </c>
      <c r="B364">
        <v>0.39450000000000002</v>
      </c>
      <c r="C364" s="5">
        <v>0.71250000000000002</v>
      </c>
      <c r="D364">
        <v>1.5603</v>
      </c>
      <c r="E364">
        <v>2.2587999999999999</v>
      </c>
      <c r="F364">
        <v>2.8993000000000002</v>
      </c>
      <c r="G364">
        <v>3.7770000000000001</v>
      </c>
    </row>
    <row r="365" spans="1:7" x14ac:dyDescent="0.25">
      <c r="A365" s="4">
        <v>41614</v>
      </c>
      <c r="B365">
        <v>0.39879999999999999</v>
      </c>
      <c r="C365" s="5">
        <v>0.72130000000000005</v>
      </c>
      <c r="D365">
        <v>1.573</v>
      </c>
      <c r="E365">
        <v>2.2797999999999998</v>
      </c>
      <c r="F365">
        <v>2.9224999999999999</v>
      </c>
      <c r="G365">
        <v>3.8073999999999999</v>
      </c>
    </row>
    <row r="366" spans="1:7" x14ac:dyDescent="0.25">
      <c r="A366" s="4">
        <v>41613</v>
      </c>
      <c r="B366">
        <v>0.39100000000000001</v>
      </c>
      <c r="C366" s="5">
        <v>0.70530000000000004</v>
      </c>
      <c r="D366">
        <v>1.5714999999999999</v>
      </c>
      <c r="E366">
        <v>2.2869999999999999</v>
      </c>
      <c r="F366">
        <v>2.9428000000000001</v>
      </c>
      <c r="G366">
        <v>3.8355000000000001</v>
      </c>
    </row>
    <row r="367" spans="1:7" x14ac:dyDescent="0.25">
      <c r="A367" s="4">
        <v>41612</v>
      </c>
      <c r="B367">
        <v>0.38600000000000001</v>
      </c>
      <c r="C367" s="5">
        <v>0.6875</v>
      </c>
      <c r="D367">
        <v>1.5365</v>
      </c>
      <c r="E367">
        <v>2.2524999999999999</v>
      </c>
      <c r="F367">
        <v>2.9085000000000001</v>
      </c>
      <c r="G367">
        <v>3.8214999999999999</v>
      </c>
    </row>
    <row r="368" spans="1:7" x14ac:dyDescent="0.25">
      <c r="A368" s="4">
        <v>41611</v>
      </c>
      <c r="B368">
        <v>0.38</v>
      </c>
      <c r="C368" s="5">
        <v>0.66500000000000004</v>
      </c>
      <c r="D368">
        <v>1.4975000000000001</v>
      </c>
      <c r="E368">
        <v>2.2149999999999999</v>
      </c>
      <c r="F368">
        <v>2.8734999999999999</v>
      </c>
      <c r="G368">
        <v>3.7800000000000002</v>
      </c>
    </row>
    <row r="369" spans="1:7" x14ac:dyDescent="0.25">
      <c r="A369" s="4">
        <v>41610</v>
      </c>
      <c r="B369">
        <v>0.38400000000000001</v>
      </c>
      <c r="C369" s="5">
        <v>0.67600000000000005</v>
      </c>
      <c r="D369">
        <v>1.5145</v>
      </c>
      <c r="E369">
        <v>2.2307999999999999</v>
      </c>
      <c r="F369">
        <v>2.8864999999999998</v>
      </c>
      <c r="G369">
        <v>3.7925</v>
      </c>
    </row>
    <row r="370" spans="1:7" x14ac:dyDescent="0.25">
      <c r="A370" s="4">
        <v>41607</v>
      </c>
      <c r="B370">
        <v>0.378</v>
      </c>
      <c r="C370" s="5">
        <v>0.65200000000000002</v>
      </c>
      <c r="D370">
        <v>1.474</v>
      </c>
      <c r="E370">
        <v>2.165</v>
      </c>
      <c r="F370">
        <v>2.823</v>
      </c>
      <c r="G370">
        <v>3.7450000000000001</v>
      </c>
    </row>
    <row r="371" spans="1:7" x14ac:dyDescent="0.25">
      <c r="A371" s="4">
        <v>41606</v>
      </c>
      <c r="B371">
        <v>0.373</v>
      </c>
      <c r="C371" s="5">
        <v>0.64800000000000002</v>
      </c>
      <c r="D371">
        <v>1.4550000000000001</v>
      </c>
      <c r="E371">
        <v>2.1615000000000002</v>
      </c>
      <c r="F371">
        <v>2.8159999999999998</v>
      </c>
      <c r="G371">
        <v>3.7429999999999999</v>
      </c>
    </row>
    <row r="372" spans="1:7" x14ac:dyDescent="0.25">
      <c r="A372" s="4">
        <v>41605</v>
      </c>
      <c r="B372">
        <v>0.3735</v>
      </c>
      <c r="C372" s="5">
        <v>0.64329999999999998</v>
      </c>
      <c r="D372">
        <v>1.458</v>
      </c>
      <c r="E372">
        <v>2.165</v>
      </c>
      <c r="F372">
        <v>2.8174999999999999</v>
      </c>
      <c r="G372">
        <v>3.7433999999999998</v>
      </c>
    </row>
    <row r="373" spans="1:7" x14ac:dyDescent="0.25">
      <c r="A373" s="4">
        <v>41604</v>
      </c>
      <c r="B373">
        <v>0.376</v>
      </c>
      <c r="C373" s="5">
        <v>0.63500000000000001</v>
      </c>
      <c r="D373">
        <v>1.429</v>
      </c>
      <c r="E373">
        <v>2.1315</v>
      </c>
      <c r="F373">
        <v>2.7827999999999999</v>
      </c>
      <c r="G373">
        <v>3.7151999999999998</v>
      </c>
    </row>
    <row r="374" spans="1:7" x14ac:dyDescent="0.25">
      <c r="A374" s="4">
        <v>41603</v>
      </c>
      <c r="B374">
        <v>0.378</v>
      </c>
      <c r="C374" s="5">
        <v>0.64429999999999998</v>
      </c>
      <c r="D374">
        <v>1.4424999999999999</v>
      </c>
      <c r="E374">
        <v>2.1444999999999999</v>
      </c>
      <c r="F374">
        <v>2.7945000000000002</v>
      </c>
      <c r="G374">
        <v>3.7265000000000001</v>
      </c>
    </row>
    <row r="375" spans="1:7" x14ac:dyDescent="0.25">
      <c r="A375" s="4">
        <v>41600</v>
      </c>
      <c r="B375">
        <v>0.379</v>
      </c>
      <c r="C375" s="5">
        <v>0.64380000000000004</v>
      </c>
      <c r="D375">
        <v>1.45</v>
      </c>
      <c r="E375">
        <v>2.1575000000000002</v>
      </c>
      <c r="F375">
        <v>2.8090000000000002</v>
      </c>
      <c r="G375">
        <v>3.7477999999999998</v>
      </c>
    </row>
    <row r="376" spans="1:7" x14ac:dyDescent="0.25">
      <c r="A376" s="4">
        <v>41599</v>
      </c>
      <c r="B376">
        <v>0.375</v>
      </c>
      <c r="C376" s="5">
        <v>0.63449999999999995</v>
      </c>
      <c r="D376">
        <v>1.4558</v>
      </c>
      <c r="E376">
        <v>2.17</v>
      </c>
      <c r="F376">
        <v>2.8298000000000001</v>
      </c>
      <c r="G376">
        <v>3.7730000000000001</v>
      </c>
    </row>
    <row r="377" spans="1:7" x14ac:dyDescent="0.25">
      <c r="A377" s="4">
        <v>41598</v>
      </c>
      <c r="B377">
        <v>0.378</v>
      </c>
      <c r="C377" s="5">
        <v>0.63780000000000003</v>
      </c>
      <c r="D377">
        <v>1.4584999999999999</v>
      </c>
      <c r="E377">
        <v>2.1705000000000001</v>
      </c>
      <c r="F377">
        <v>2.8405</v>
      </c>
      <c r="G377">
        <v>3.7965</v>
      </c>
    </row>
    <row r="378" spans="1:7" x14ac:dyDescent="0.25">
      <c r="A378" s="4">
        <v>41597</v>
      </c>
      <c r="B378">
        <v>0.39950000000000002</v>
      </c>
      <c r="C378" s="5">
        <v>0.65949999999999998</v>
      </c>
      <c r="D378">
        <v>1.4502999999999999</v>
      </c>
      <c r="E378">
        <v>2.1238000000000001</v>
      </c>
      <c r="F378">
        <v>2.758</v>
      </c>
      <c r="G378">
        <v>3.6935000000000002</v>
      </c>
    </row>
    <row r="379" spans="1:7" x14ac:dyDescent="0.25">
      <c r="A379" s="4">
        <v>41596</v>
      </c>
      <c r="B379">
        <v>0.38850000000000001</v>
      </c>
      <c r="C379" s="5">
        <v>0.6401</v>
      </c>
      <c r="D379">
        <v>1.4123000000000001</v>
      </c>
      <c r="E379">
        <v>2.0869</v>
      </c>
      <c r="F379">
        <v>2.7269999999999999</v>
      </c>
      <c r="G379">
        <v>3.6642000000000001</v>
      </c>
    </row>
    <row r="380" spans="1:7" x14ac:dyDescent="0.25">
      <c r="A380" s="4">
        <v>41593</v>
      </c>
      <c r="B380">
        <v>0.39600000000000002</v>
      </c>
      <c r="C380" s="5">
        <v>0.65900000000000003</v>
      </c>
      <c r="D380">
        <v>1.4485000000000001</v>
      </c>
      <c r="E380">
        <v>2.1269999999999998</v>
      </c>
      <c r="F380">
        <v>2.7675000000000001</v>
      </c>
      <c r="G380">
        <v>3.6987000000000001</v>
      </c>
    </row>
    <row r="381" spans="1:7" x14ac:dyDescent="0.25">
      <c r="A381" s="4">
        <v>41592</v>
      </c>
      <c r="B381">
        <v>0.39700000000000002</v>
      </c>
      <c r="C381" s="5">
        <v>0.65349999999999997</v>
      </c>
      <c r="D381">
        <v>1.4424999999999999</v>
      </c>
      <c r="E381">
        <v>2.1234999999999999</v>
      </c>
      <c r="F381">
        <v>2.7755000000000001</v>
      </c>
      <c r="G381">
        <v>3.7237</v>
      </c>
    </row>
    <row r="382" spans="1:7" x14ac:dyDescent="0.25">
      <c r="A382" s="4">
        <v>41591</v>
      </c>
      <c r="B382">
        <v>0.41049999999999998</v>
      </c>
      <c r="C382" s="5">
        <v>0.67149999999999999</v>
      </c>
      <c r="D382">
        <v>1.466</v>
      </c>
      <c r="E382">
        <v>2.1555</v>
      </c>
      <c r="F382">
        <v>2.8134999999999999</v>
      </c>
      <c r="G382">
        <v>3.7570000000000001</v>
      </c>
    </row>
    <row r="383" spans="1:7" x14ac:dyDescent="0.25">
      <c r="A383" s="4">
        <v>41590</v>
      </c>
      <c r="B383">
        <v>0.4395</v>
      </c>
      <c r="C383" s="5">
        <v>0.73699999999999999</v>
      </c>
      <c r="D383">
        <v>1.5739999999999998</v>
      </c>
      <c r="E383">
        <v>2.2574999999999998</v>
      </c>
      <c r="F383">
        <v>2.8940000000000001</v>
      </c>
      <c r="G383">
        <v>3.8109999999999999</v>
      </c>
    </row>
    <row r="384" spans="1:7" x14ac:dyDescent="0.25">
      <c r="A384" s="4">
        <v>41589</v>
      </c>
      <c r="B384">
        <v>0.42249999999999999</v>
      </c>
      <c r="C384" s="5">
        <v>0.71150000000000002</v>
      </c>
      <c r="D384">
        <v>1.5369999999999999</v>
      </c>
      <c r="E384">
        <v>2.226</v>
      </c>
      <c r="F384">
        <v>2.8660000000000001</v>
      </c>
      <c r="G384">
        <v>3.794</v>
      </c>
    </row>
    <row r="385" spans="1:7" x14ac:dyDescent="0.25">
      <c r="A385" s="4">
        <v>41586</v>
      </c>
      <c r="B385">
        <v>0.42749999999999999</v>
      </c>
      <c r="C385" s="5">
        <v>0.71150000000000002</v>
      </c>
      <c r="D385">
        <v>1.5390000000000001</v>
      </c>
      <c r="E385">
        <v>2.2250000000000001</v>
      </c>
      <c r="F385">
        <v>2.8734999999999999</v>
      </c>
      <c r="G385">
        <v>3.7995000000000001</v>
      </c>
    </row>
    <row r="386" spans="1:7" x14ac:dyDescent="0.25">
      <c r="A386" s="4">
        <v>41585</v>
      </c>
      <c r="B386">
        <v>0.40450000000000003</v>
      </c>
      <c r="C386" s="5">
        <v>0.66</v>
      </c>
      <c r="D386">
        <v>1.4370000000000001</v>
      </c>
      <c r="E386">
        <v>2.0979999999999999</v>
      </c>
      <c r="F386">
        <v>2.7349999999999999</v>
      </c>
      <c r="G386">
        <v>3.6654999999999998</v>
      </c>
    </row>
    <row r="387" spans="1:7" x14ac:dyDescent="0.25">
      <c r="A387" s="4">
        <v>41584</v>
      </c>
      <c r="B387">
        <v>0.40949999999999998</v>
      </c>
      <c r="C387" s="5">
        <v>0.67300000000000004</v>
      </c>
      <c r="D387">
        <v>1.466</v>
      </c>
      <c r="E387">
        <v>2.1343999999999999</v>
      </c>
      <c r="F387">
        <v>2.7755000000000001</v>
      </c>
      <c r="G387">
        <v>3.7317</v>
      </c>
    </row>
    <row r="388" spans="1:7" x14ac:dyDescent="0.25">
      <c r="A388" s="4">
        <v>41583</v>
      </c>
      <c r="B388">
        <v>0.42149999999999999</v>
      </c>
      <c r="C388" s="5">
        <v>0.70699999999999996</v>
      </c>
      <c r="D388">
        <v>1.5158</v>
      </c>
      <c r="E388">
        <v>2.1795</v>
      </c>
      <c r="F388">
        <v>2.8129999999999997</v>
      </c>
      <c r="G388">
        <v>3.7423000000000002</v>
      </c>
    </row>
    <row r="389" spans="1:7" x14ac:dyDescent="0.25">
      <c r="A389" s="4">
        <v>41582</v>
      </c>
      <c r="B389">
        <v>0.41949999999999998</v>
      </c>
      <c r="C389" s="5">
        <v>0.70550000000000002</v>
      </c>
      <c r="D389">
        <v>1.4875</v>
      </c>
      <c r="E389">
        <v>2.13</v>
      </c>
      <c r="F389">
        <v>2.7484999999999999</v>
      </c>
      <c r="G389">
        <v>3.669</v>
      </c>
    </row>
    <row r="390" spans="1:7" x14ac:dyDescent="0.25">
      <c r="A390" s="4">
        <v>41579</v>
      </c>
      <c r="B390">
        <v>0.42899999999999999</v>
      </c>
      <c r="C390" s="5">
        <v>0.72050000000000003</v>
      </c>
      <c r="D390">
        <v>1.5070000000000001</v>
      </c>
      <c r="E390">
        <v>2.1495000000000002</v>
      </c>
      <c r="F390">
        <v>2.766</v>
      </c>
      <c r="G390">
        <v>3.6680000000000001</v>
      </c>
    </row>
    <row r="391" spans="1:7" x14ac:dyDescent="0.25">
      <c r="A391" s="4">
        <v>41578</v>
      </c>
      <c r="B391">
        <v>0.42549999999999999</v>
      </c>
      <c r="C391" s="5">
        <v>0.69799999999999995</v>
      </c>
      <c r="D391">
        <v>1.4647999999999999</v>
      </c>
      <c r="E391">
        <v>2.0945</v>
      </c>
      <c r="F391">
        <v>2.6995</v>
      </c>
      <c r="G391">
        <v>3.6025</v>
      </c>
    </row>
    <row r="392" spans="1:7" x14ac:dyDescent="0.25">
      <c r="A392" s="4">
        <v>41577</v>
      </c>
      <c r="B392">
        <v>0.43259999999999998</v>
      </c>
      <c r="C392" s="5">
        <v>0.70150000000000001</v>
      </c>
      <c r="D392">
        <v>1.4525000000000001</v>
      </c>
      <c r="E392">
        <v>2.0754999999999999</v>
      </c>
      <c r="F392">
        <v>2.6814999999999998</v>
      </c>
      <c r="G392">
        <v>3.6025</v>
      </c>
    </row>
    <row r="393" spans="1:7" x14ac:dyDescent="0.25">
      <c r="A393" s="4">
        <v>41576</v>
      </c>
      <c r="B393">
        <v>0.43</v>
      </c>
      <c r="C393" s="5">
        <v>0.69099999999999995</v>
      </c>
      <c r="D393">
        <v>1.4195</v>
      </c>
      <c r="E393">
        <v>2.0415000000000001</v>
      </c>
      <c r="F393">
        <v>2.6515</v>
      </c>
      <c r="G393">
        <v>3.5762</v>
      </c>
    </row>
    <row r="394" spans="1:7" x14ac:dyDescent="0.25">
      <c r="A394" s="4">
        <v>41575</v>
      </c>
      <c r="B394">
        <v>0.437</v>
      </c>
      <c r="C394" s="5">
        <v>0.70199999999999996</v>
      </c>
      <c r="D394">
        <v>1.4418</v>
      </c>
      <c r="E394">
        <v>2.0648</v>
      </c>
      <c r="F394">
        <v>2.6707999999999998</v>
      </c>
      <c r="G394">
        <v>3.5878000000000001</v>
      </c>
    </row>
    <row r="395" spans="1:7" x14ac:dyDescent="0.25">
      <c r="A395" s="4">
        <v>41572</v>
      </c>
      <c r="B395">
        <v>0.43149999999999999</v>
      </c>
      <c r="C395" s="5">
        <v>0.70099999999999996</v>
      </c>
      <c r="D395">
        <v>1.4368000000000001</v>
      </c>
      <c r="E395">
        <v>2.0569999999999999</v>
      </c>
      <c r="F395">
        <v>2.6635</v>
      </c>
      <c r="G395">
        <v>3.5788000000000002</v>
      </c>
    </row>
    <row r="396" spans="1:7" x14ac:dyDescent="0.25">
      <c r="A396" s="4">
        <v>41571</v>
      </c>
      <c r="B396">
        <v>0.438</v>
      </c>
      <c r="C396" s="5">
        <v>0.71150000000000002</v>
      </c>
      <c r="D396">
        <v>1.456</v>
      </c>
      <c r="E396">
        <v>2.0724999999999998</v>
      </c>
      <c r="F396">
        <v>2.6728000000000001</v>
      </c>
      <c r="G396">
        <v>3.5798000000000001</v>
      </c>
    </row>
    <row r="397" spans="1:7" x14ac:dyDescent="0.25">
      <c r="A397" s="4">
        <v>41570</v>
      </c>
      <c r="B397">
        <v>0.441</v>
      </c>
      <c r="C397" s="5">
        <v>0.70979999999999999</v>
      </c>
      <c r="D397">
        <v>1.4408000000000001</v>
      </c>
      <c r="E397">
        <v>2.0554999999999999</v>
      </c>
      <c r="F397">
        <v>2.6494999999999997</v>
      </c>
      <c r="G397">
        <v>3.5655000000000001</v>
      </c>
    </row>
    <row r="398" spans="1:7" x14ac:dyDescent="0.25">
      <c r="A398" s="4">
        <v>41569</v>
      </c>
      <c r="B398">
        <v>0.42749999999999999</v>
      </c>
      <c r="C398" s="5">
        <v>0.69950000000000001</v>
      </c>
      <c r="D398">
        <v>1.4375</v>
      </c>
      <c r="E398">
        <v>2.0569999999999999</v>
      </c>
      <c r="F398">
        <v>2.6564999999999999</v>
      </c>
      <c r="G398">
        <v>3.5830000000000002</v>
      </c>
    </row>
    <row r="399" spans="1:7" x14ac:dyDescent="0.25">
      <c r="A399" s="4">
        <v>41568</v>
      </c>
      <c r="B399">
        <v>0.44850000000000001</v>
      </c>
      <c r="C399" s="5">
        <v>0.74350000000000005</v>
      </c>
      <c r="D399">
        <v>1.5105</v>
      </c>
      <c r="E399">
        <v>2.1402999999999999</v>
      </c>
      <c r="F399">
        <v>2.7444999999999999</v>
      </c>
      <c r="G399">
        <v>3.649</v>
      </c>
    </row>
    <row r="400" spans="1:7" x14ac:dyDescent="0.25">
      <c r="A400" s="4">
        <v>41565</v>
      </c>
      <c r="B400">
        <v>0.44500000000000001</v>
      </c>
      <c r="C400" s="5">
        <v>0.73050000000000004</v>
      </c>
      <c r="D400">
        <v>1.4964999999999999</v>
      </c>
      <c r="E400">
        <v>2.1230000000000002</v>
      </c>
      <c r="F400">
        <v>2.7240000000000002</v>
      </c>
      <c r="G400">
        <v>3.629</v>
      </c>
    </row>
    <row r="401" spans="1:7" x14ac:dyDescent="0.25">
      <c r="A401" s="4">
        <v>41564</v>
      </c>
      <c r="B401">
        <v>0.44550000000000001</v>
      </c>
      <c r="C401" s="5">
        <v>0.72950000000000004</v>
      </c>
      <c r="D401">
        <v>1.4924999999999999</v>
      </c>
      <c r="E401">
        <v>2.1225000000000001</v>
      </c>
      <c r="F401">
        <v>2.7305000000000001</v>
      </c>
      <c r="G401">
        <v>3.6435</v>
      </c>
    </row>
    <row r="402" spans="1:7" x14ac:dyDescent="0.25">
      <c r="A402" s="4">
        <v>41563</v>
      </c>
      <c r="B402">
        <v>0.46200000000000002</v>
      </c>
      <c r="C402" s="5">
        <v>0.75680000000000003</v>
      </c>
      <c r="D402">
        <v>1.5478000000000001</v>
      </c>
      <c r="E402">
        <v>2.1888000000000001</v>
      </c>
      <c r="F402">
        <v>2.7993000000000001</v>
      </c>
      <c r="G402">
        <v>3.7025000000000001</v>
      </c>
    </row>
    <row r="403" spans="1:7" x14ac:dyDescent="0.25">
      <c r="A403" s="4">
        <v>41562</v>
      </c>
      <c r="B403">
        <v>0.47949999999999998</v>
      </c>
      <c r="C403" s="5">
        <v>0.77749999999999997</v>
      </c>
      <c r="D403">
        <v>1.5840000000000001</v>
      </c>
      <c r="E403">
        <v>2.238</v>
      </c>
      <c r="F403">
        <v>2.8603000000000001</v>
      </c>
      <c r="G403">
        <v>3.7605</v>
      </c>
    </row>
    <row r="404" spans="1:7" x14ac:dyDescent="0.25">
      <c r="A404" s="4">
        <v>41561</v>
      </c>
      <c r="B404">
        <v>0.48249999999999998</v>
      </c>
      <c r="C404" s="5">
        <v>0.78700000000000003</v>
      </c>
      <c r="D404">
        <v>1.5765</v>
      </c>
      <c r="E404">
        <v>2.2124999999999999</v>
      </c>
      <c r="F404">
        <v>2.8235000000000001</v>
      </c>
      <c r="G404">
        <v>3.7149999999999999</v>
      </c>
    </row>
    <row r="405" spans="1:7" x14ac:dyDescent="0.25">
      <c r="A405" s="4">
        <v>41558</v>
      </c>
      <c r="B405">
        <v>0.47799999999999998</v>
      </c>
      <c r="C405" s="5">
        <v>0.77649999999999997</v>
      </c>
      <c r="D405">
        <v>1.569</v>
      </c>
      <c r="E405">
        <v>2.2084999999999999</v>
      </c>
      <c r="F405">
        <v>2.8224999999999998</v>
      </c>
      <c r="G405">
        <v>3.7124999999999999</v>
      </c>
    </row>
    <row r="406" spans="1:7" x14ac:dyDescent="0.25">
      <c r="A406" s="4">
        <v>41557</v>
      </c>
      <c r="B406">
        <v>0.4773</v>
      </c>
      <c r="C406" s="5">
        <v>0.78249999999999997</v>
      </c>
      <c r="D406">
        <v>1.5745</v>
      </c>
      <c r="E406">
        <v>2.2118000000000002</v>
      </c>
      <c r="F406">
        <v>2.8174999999999999</v>
      </c>
      <c r="G406">
        <v>3.6978</v>
      </c>
    </row>
    <row r="407" spans="1:7" x14ac:dyDescent="0.25">
      <c r="A407" s="4">
        <v>41556</v>
      </c>
      <c r="B407">
        <v>0.48749999999999999</v>
      </c>
      <c r="C407" s="5">
        <v>0.78979999999999995</v>
      </c>
      <c r="D407">
        <v>1.575</v>
      </c>
      <c r="E407">
        <v>2.2054999999999998</v>
      </c>
      <c r="F407">
        <v>2.8085</v>
      </c>
      <c r="G407">
        <v>3.7063000000000001</v>
      </c>
    </row>
    <row r="408" spans="1:7" x14ac:dyDescent="0.25">
      <c r="A408" s="4">
        <v>41555</v>
      </c>
      <c r="B408">
        <v>0.50149999999999995</v>
      </c>
      <c r="C408" s="5">
        <v>0.80800000000000005</v>
      </c>
      <c r="D408">
        <v>1.5685</v>
      </c>
      <c r="E408">
        <v>2.1855000000000002</v>
      </c>
      <c r="F408">
        <v>2.7755000000000001</v>
      </c>
      <c r="G408">
        <v>3.6555</v>
      </c>
    </row>
    <row r="409" spans="1:7" x14ac:dyDescent="0.25">
      <c r="A409" s="4">
        <v>41554</v>
      </c>
      <c r="B409">
        <v>0.47199999999999998</v>
      </c>
      <c r="C409" s="5">
        <v>0.77900000000000003</v>
      </c>
      <c r="D409">
        <v>1.5594999999999999</v>
      </c>
      <c r="E409">
        <v>2.1850000000000001</v>
      </c>
      <c r="F409">
        <v>2.7845</v>
      </c>
      <c r="G409">
        <v>3.6625000000000001</v>
      </c>
    </row>
    <row r="410" spans="1:7" x14ac:dyDescent="0.25">
      <c r="A410" s="4">
        <v>41551</v>
      </c>
      <c r="B410">
        <v>0.46250000000000002</v>
      </c>
      <c r="C410" s="5">
        <v>0.77749999999999997</v>
      </c>
      <c r="D410">
        <v>1.5699999999999998</v>
      </c>
      <c r="E410">
        <v>2.2035</v>
      </c>
      <c r="F410">
        <v>2.8115000000000001</v>
      </c>
      <c r="G410">
        <v>3.6981999999999999</v>
      </c>
    </row>
    <row r="411" spans="1:7" x14ac:dyDescent="0.25">
      <c r="A411" s="4">
        <v>41550</v>
      </c>
      <c r="B411">
        <v>0.44979999999999998</v>
      </c>
      <c r="C411" s="5">
        <v>0.745</v>
      </c>
      <c r="D411">
        <v>1.5255000000000001</v>
      </c>
      <c r="E411">
        <v>2.1568000000000001</v>
      </c>
      <c r="F411">
        <v>2.7705000000000002</v>
      </c>
      <c r="G411">
        <v>3.6840000000000002</v>
      </c>
    </row>
    <row r="412" spans="1:7" x14ac:dyDescent="0.25">
      <c r="A412" s="4">
        <v>41549</v>
      </c>
      <c r="B412">
        <v>0.45900000000000002</v>
      </c>
      <c r="C412" s="5">
        <v>0.75549999999999995</v>
      </c>
      <c r="D412">
        <v>1.5390000000000001</v>
      </c>
      <c r="E412">
        <v>2.1734999999999998</v>
      </c>
      <c r="F412">
        <v>2.7835000000000001</v>
      </c>
      <c r="G412">
        <v>3.6825000000000001</v>
      </c>
    </row>
    <row r="413" spans="1:7" x14ac:dyDescent="0.25">
      <c r="A413" s="4">
        <v>41548</v>
      </c>
      <c r="B413">
        <v>0.46700000000000003</v>
      </c>
      <c r="C413" s="5">
        <v>0.78549999999999998</v>
      </c>
      <c r="D413">
        <v>1.583</v>
      </c>
      <c r="E413">
        <v>2.2118000000000002</v>
      </c>
      <c r="F413">
        <v>2.8079999999999998</v>
      </c>
      <c r="G413">
        <v>3.6859999999999999</v>
      </c>
    </row>
    <row r="414" spans="1:7" x14ac:dyDescent="0.25">
      <c r="A414" s="4">
        <v>41547</v>
      </c>
      <c r="B414">
        <v>0.46</v>
      </c>
      <c r="C414" s="5">
        <v>0.76300000000000001</v>
      </c>
      <c r="D414">
        <v>1.5369999999999999</v>
      </c>
      <c r="E414">
        <v>2.1629999999999998</v>
      </c>
      <c r="F414">
        <v>2.7650000000000001</v>
      </c>
      <c r="G414">
        <v>3.6585000000000001</v>
      </c>
    </row>
    <row r="415" spans="1:7" x14ac:dyDescent="0.25">
      <c r="A415" s="4">
        <v>41544</v>
      </c>
      <c r="B415">
        <v>0.46750000000000003</v>
      </c>
      <c r="C415" s="5">
        <v>0.77600000000000002</v>
      </c>
      <c r="D415">
        <v>1.552</v>
      </c>
      <c r="E415">
        <v>2.1795</v>
      </c>
      <c r="F415">
        <v>2.7800000000000002</v>
      </c>
      <c r="G415">
        <v>3.6621000000000001</v>
      </c>
    </row>
    <row r="416" spans="1:7" x14ac:dyDescent="0.25">
      <c r="A416" s="4">
        <v>41543</v>
      </c>
      <c r="B416">
        <v>0.47349999999999998</v>
      </c>
      <c r="C416" s="5">
        <v>0.79400000000000004</v>
      </c>
      <c r="D416">
        <v>1.5775000000000001</v>
      </c>
      <c r="E416">
        <v>2.2050000000000001</v>
      </c>
      <c r="F416">
        <v>2.8010000000000002</v>
      </c>
      <c r="G416">
        <v>3.6749999999999998</v>
      </c>
    </row>
    <row r="417" spans="1:7" x14ac:dyDescent="0.25">
      <c r="A417" s="4">
        <v>41542</v>
      </c>
      <c r="B417">
        <v>0.47020000000000001</v>
      </c>
      <c r="C417" s="5">
        <v>0.78449999999999998</v>
      </c>
      <c r="D417">
        <v>1.5625</v>
      </c>
      <c r="E417">
        <v>2.1865000000000001</v>
      </c>
      <c r="F417">
        <v>2.7795000000000001</v>
      </c>
      <c r="G417">
        <v>3.6484999999999999</v>
      </c>
    </row>
    <row r="418" spans="1:7" x14ac:dyDescent="0.25">
      <c r="A418" s="4">
        <v>41541</v>
      </c>
      <c r="B418">
        <v>0.48099999999999998</v>
      </c>
      <c r="C418" s="5">
        <v>0.80479999999999996</v>
      </c>
      <c r="D418">
        <v>1.5988</v>
      </c>
      <c r="E418">
        <v>2.2233000000000001</v>
      </c>
      <c r="F418">
        <v>2.8098000000000001</v>
      </c>
      <c r="G418">
        <v>3.6520000000000001</v>
      </c>
    </row>
    <row r="419" spans="1:7" x14ac:dyDescent="0.25">
      <c r="A419" s="4">
        <v>41540</v>
      </c>
      <c r="B419">
        <v>0.47849999999999998</v>
      </c>
      <c r="C419" s="5">
        <v>0.81599999999999995</v>
      </c>
      <c r="D419">
        <v>1.6225000000000001</v>
      </c>
      <c r="E419">
        <v>2.2534999999999998</v>
      </c>
      <c r="F419">
        <v>2.851</v>
      </c>
      <c r="G419">
        <v>3.7050000000000001</v>
      </c>
    </row>
    <row r="420" spans="1:7" x14ac:dyDescent="0.25">
      <c r="A420" s="4">
        <v>41537</v>
      </c>
      <c r="B420">
        <v>0.48749999999999999</v>
      </c>
      <c r="C420" s="5">
        <v>0.83230000000000004</v>
      </c>
      <c r="D420">
        <v>1.6575</v>
      </c>
      <c r="E420">
        <v>2.2948</v>
      </c>
      <c r="F420">
        <v>2.8919999999999999</v>
      </c>
      <c r="G420">
        <v>3.7433000000000001</v>
      </c>
    </row>
    <row r="421" spans="1:7" x14ac:dyDescent="0.25">
      <c r="A421" s="4">
        <v>41536</v>
      </c>
      <c r="B421">
        <v>0.4975</v>
      </c>
      <c r="C421" s="5">
        <v>0.84199999999999997</v>
      </c>
      <c r="D421">
        <v>1.67</v>
      </c>
      <c r="E421">
        <v>2.3075000000000001</v>
      </c>
      <c r="F421">
        <v>2.9104999999999999</v>
      </c>
      <c r="G421">
        <v>3.7835000000000001</v>
      </c>
    </row>
    <row r="422" spans="1:7" x14ac:dyDescent="0.25">
      <c r="A422" s="4">
        <v>41535</v>
      </c>
      <c r="B422">
        <v>0.48299999999999998</v>
      </c>
      <c r="C422" s="5">
        <v>0.80330000000000001</v>
      </c>
      <c r="D422">
        <v>1.603</v>
      </c>
      <c r="E422">
        <v>2.234</v>
      </c>
      <c r="F422">
        <v>2.8410000000000002</v>
      </c>
      <c r="G422">
        <v>3.7213000000000003</v>
      </c>
    </row>
    <row r="423" spans="1:7" x14ac:dyDescent="0.25">
      <c r="A423" s="4">
        <v>41534</v>
      </c>
      <c r="B423">
        <v>0.53149999999999997</v>
      </c>
      <c r="C423" s="5">
        <v>0.92200000000000004</v>
      </c>
      <c r="D423">
        <v>1.7814999999999999</v>
      </c>
      <c r="E423">
        <v>2.415</v>
      </c>
      <c r="F423">
        <v>2.9965000000000002</v>
      </c>
      <c r="G423">
        <v>3.8149999999999999</v>
      </c>
    </row>
    <row r="424" spans="1:7" x14ac:dyDescent="0.25">
      <c r="A424" s="4">
        <v>41533</v>
      </c>
      <c r="B424">
        <v>0.54700000000000004</v>
      </c>
      <c r="C424" s="5">
        <v>0.9365</v>
      </c>
      <c r="D424">
        <v>1.7903</v>
      </c>
      <c r="E424">
        <v>2.4285000000000001</v>
      </c>
      <c r="F424">
        <v>3.02</v>
      </c>
      <c r="G424">
        <v>3.8544999999999998</v>
      </c>
    </row>
    <row r="425" spans="1:7" x14ac:dyDescent="0.25">
      <c r="A425" s="4">
        <v>41530</v>
      </c>
      <c r="B425">
        <v>0.59299999999999997</v>
      </c>
      <c r="C425" s="5">
        <v>1.0089999999999999</v>
      </c>
      <c r="D425">
        <v>1.8643000000000001</v>
      </c>
      <c r="E425">
        <v>2.4845000000000002</v>
      </c>
      <c r="F425">
        <v>3.048</v>
      </c>
      <c r="G425">
        <v>3.8414999999999999</v>
      </c>
    </row>
    <row r="426" spans="1:7" x14ac:dyDescent="0.25">
      <c r="A426" s="4">
        <v>41529</v>
      </c>
      <c r="B426">
        <v>0.59450000000000003</v>
      </c>
      <c r="C426" s="5">
        <v>1.008</v>
      </c>
      <c r="D426">
        <v>1.871</v>
      </c>
      <c r="E426">
        <v>2.4975000000000001</v>
      </c>
      <c r="F426">
        <v>3.0674999999999999</v>
      </c>
      <c r="G426">
        <v>3.8475000000000001</v>
      </c>
    </row>
    <row r="427" spans="1:7" x14ac:dyDescent="0.25">
      <c r="A427" s="4">
        <v>41528</v>
      </c>
      <c r="B427">
        <v>0.59570000000000001</v>
      </c>
      <c r="C427" s="5">
        <v>1.0014000000000001</v>
      </c>
      <c r="D427">
        <v>1.8658000000000001</v>
      </c>
      <c r="E427">
        <v>2.5019999999999998</v>
      </c>
      <c r="F427">
        <v>3.0779999999999998</v>
      </c>
      <c r="G427">
        <v>3.8573</v>
      </c>
    </row>
    <row r="428" spans="1:7" x14ac:dyDescent="0.25">
      <c r="A428" s="4">
        <v>41527</v>
      </c>
      <c r="B428">
        <v>0.62280000000000002</v>
      </c>
      <c r="C428" s="5">
        <v>1.0427999999999999</v>
      </c>
      <c r="D428">
        <v>1.9165000000000001</v>
      </c>
      <c r="E428">
        <v>2.5545</v>
      </c>
      <c r="F428">
        <v>3.1259000000000001</v>
      </c>
      <c r="G428">
        <v>3.9016999999999999</v>
      </c>
    </row>
    <row r="429" spans="1:7" x14ac:dyDescent="0.25">
      <c r="A429" s="4">
        <v>41526</v>
      </c>
      <c r="B429">
        <v>0.60140000000000005</v>
      </c>
      <c r="C429" s="5">
        <v>1.01</v>
      </c>
      <c r="D429">
        <v>1.8639999999999999</v>
      </c>
      <c r="E429">
        <v>2.5034999999999998</v>
      </c>
      <c r="F429">
        <v>3.0844999999999998</v>
      </c>
      <c r="G429">
        <v>3.871</v>
      </c>
    </row>
    <row r="430" spans="1:7" x14ac:dyDescent="0.25">
      <c r="A430" s="4">
        <v>41523</v>
      </c>
      <c r="B430">
        <v>0.61560000000000004</v>
      </c>
      <c r="C430" s="5">
        <v>1.0488</v>
      </c>
      <c r="D430">
        <v>1.9095</v>
      </c>
      <c r="E430">
        <v>2.5449999999999999</v>
      </c>
      <c r="F430">
        <v>3.1179999999999999</v>
      </c>
      <c r="G430">
        <v>3.891</v>
      </c>
    </row>
    <row r="431" spans="1:7" x14ac:dyDescent="0.25">
      <c r="A431" s="4">
        <v>41522</v>
      </c>
      <c r="B431">
        <v>0.66969999999999996</v>
      </c>
      <c r="C431" s="5">
        <v>1.1259999999999999</v>
      </c>
      <c r="D431">
        <v>2.0053999999999998</v>
      </c>
      <c r="E431">
        <v>2.6315</v>
      </c>
      <c r="F431">
        <v>3.1846999999999999</v>
      </c>
      <c r="G431">
        <v>3.9186000000000001</v>
      </c>
    </row>
    <row r="432" spans="1:7" x14ac:dyDescent="0.25">
      <c r="A432" s="4">
        <v>41521</v>
      </c>
      <c r="B432">
        <v>0.625</v>
      </c>
      <c r="C432" s="5">
        <v>1.0401</v>
      </c>
      <c r="D432">
        <v>1.8919999999999999</v>
      </c>
      <c r="E432">
        <v>2.5154999999999998</v>
      </c>
      <c r="F432">
        <v>3.0804999999999998</v>
      </c>
      <c r="G432">
        <v>3.7858999999999998</v>
      </c>
    </row>
    <row r="433" spans="1:7" x14ac:dyDescent="0.25">
      <c r="A433" s="4">
        <v>41520</v>
      </c>
      <c r="B433">
        <v>0.58799999999999997</v>
      </c>
      <c r="C433" s="5">
        <v>0.98950000000000005</v>
      </c>
      <c r="D433">
        <v>1.8294999999999999</v>
      </c>
      <c r="E433">
        <v>2.4645000000000001</v>
      </c>
      <c r="F433">
        <v>3.0345</v>
      </c>
      <c r="G433">
        <v>3.798</v>
      </c>
    </row>
    <row r="434" spans="1:7" x14ac:dyDescent="0.25">
      <c r="A434" s="4">
        <v>41519</v>
      </c>
      <c r="B434">
        <v>0.58699999999999997</v>
      </c>
      <c r="C434" s="5">
        <v>0.997</v>
      </c>
      <c r="D434">
        <v>1.8075000000000001</v>
      </c>
      <c r="E434">
        <v>2.4249999999999998</v>
      </c>
      <c r="F434">
        <v>2.98</v>
      </c>
      <c r="G434">
        <v>3.7235</v>
      </c>
    </row>
    <row r="435" spans="1:7" x14ac:dyDescent="0.25">
      <c r="A435" s="4">
        <v>41516</v>
      </c>
      <c r="B435">
        <v>0.56640000000000001</v>
      </c>
      <c r="C435" s="5">
        <v>0.97060000000000002</v>
      </c>
      <c r="D435">
        <v>1.8075000000000001</v>
      </c>
      <c r="E435">
        <v>2.4260000000000002</v>
      </c>
      <c r="F435">
        <v>2.9809999999999999</v>
      </c>
      <c r="G435">
        <v>3.7210000000000001</v>
      </c>
    </row>
    <row r="436" spans="1:7" x14ac:dyDescent="0.25">
      <c r="A436" s="4">
        <v>41515</v>
      </c>
      <c r="B436">
        <v>0.56489999999999996</v>
      </c>
      <c r="C436" s="5">
        <v>0.9526</v>
      </c>
      <c r="D436">
        <v>1.7709999999999999</v>
      </c>
      <c r="E436">
        <v>2.3904999999999998</v>
      </c>
      <c r="F436">
        <v>2.9554999999999998</v>
      </c>
      <c r="G436">
        <v>3.7231999999999998</v>
      </c>
    </row>
    <row r="437" spans="1:7" x14ac:dyDescent="0.25">
      <c r="A437" s="4">
        <v>41514</v>
      </c>
      <c r="B437">
        <v>0.55940000000000001</v>
      </c>
      <c r="C437" s="5">
        <v>0.94340000000000002</v>
      </c>
      <c r="D437">
        <v>1.764</v>
      </c>
      <c r="E437">
        <v>2.3855</v>
      </c>
      <c r="F437">
        <v>2.9542999999999999</v>
      </c>
      <c r="G437">
        <v>3.7427999999999999</v>
      </c>
    </row>
    <row r="438" spans="1:7" x14ac:dyDescent="0.25">
      <c r="A438" s="4">
        <v>41513</v>
      </c>
      <c r="B438">
        <v>0.53720000000000001</v>
      </c>
      <c r="C438" s="5">
        <v>0.90700000000000003</v>
      </c>
      <c r="D438">
        <v>1.7069999999999999</v>
      </c>
      <c r="E438">
        <v>2.3265000000000002</v>
      </c>
      <c r="F438">
        <v>2.8959999999999999</v>
      </c>
      <c r="G438">
        <v>3.6905000000000001</v>
      </c>
    </row>
    <row r="439" spans="1:7" x14ac:dyDescent="0.25">
      <c r="A439" s="4">
        <v>41512</v>
      </c>
      <c r="B439">
        <v>0.54849999999999999</v>
      </c>
      <c r="C439" s="5">
        <v>0.93740000000000001</v>
      </c>
      <c r="D439">
        <v>1.7709999999999999</v>
      </c>
      <c r="E439">
        <v>2.4039999999999999</v>
      </c>
      <c r="F439">
        <v>2.9713000000000003</v>
      </c>
      <c r="G439">
        <v>3.762</v>
      </c>
    </row>
    <row r="440" spans="1:7" x14ac:dyDescent="0.25">
      <c r="A440" s="4">
        <v>41509</v>
      </c>
      <c r="B440">
        <v>0.56069999999999998</v>
      </c>
      <c r="C440" s="5">
        <v>0.96209999999999996</v>
      </c>
      <c r="D440">
        <v>1.8085</v>
      </c>
      <c r="E440">
        <v>2.4445000000000001</v>
      </c>
      <c r="F440">
        <v>3.0095000000000001</v>
      </c>
      <c r="G440">
        <v>3.7907999999999999</v>
      </c>
    </row>
    <row r="441" spans="1:7" x14ac:dyDescent="0.25">
      <c r="A441" s="4">
        <v>41508</v>
      </c>
      <c r="B441">
        <v>0.58040000000000003</v>
      </c>
      <c r="C441" s="5">
        <v>0.99719999999999998</v>
      </c>
      <c r="D441">
        <v>1.8705000000000001</v>
      </c>
      <c r="E441">
        <v>2.5108000000000001</v>
      </c>
      <c r="F441">
        <v>3.0880000000000001</v>
      </c>
      <c r="G441">
        <v>3.8715000000000002</v>
      </c>
    </row>
    <row r="442" spans="1:7" x14ac:dyDescent="0.25">
      <c r="A442" s="4">
        <v>41507</v>
      </c>
      <c r="B442">
        <v>0.55449999999999999</v>
      </c>
      <c r="C442" s="5">
        <v>0.94640000000000002</v>
      </c>
      <c r="D442">
        <v>1.8359999999999999</v>
      </c>
      <c r="E442">
        <v>2.4990000000000001</v>
      </c>
      <c r="F442">
        <v>3.0859999999999999</v>
      </c>
      <c r="G442">
        <v>3.907</v>
      </c>
    </row>
    <row r="443" spans="1:7" x14ac:dyDescent="0.25">
      <c r="A443" s="4">
        <v>41506</v>
      </c>
      <c r="B443">
        <v>0.52769999999999995</v>
      </c>
      <c r="C443" s="5">
        <v>0.88819999999999999</v>
      </c>
      <c r="D443">
        <v>1.7355</v>
      </c>
      <c r="E443">
        <v>2.3995000000000002</v>
      </c>
      <c r="F443">
        <v>3.0001000000000002</v>
      </c>
      <c r="G443">
        <v>3.8319999999999999</v>
      </c>
    </row>
    <row r="444" spans="1:7" x14ac:dyDescent="0.25">
      <c r="A444" s="4">
        <v>41505</v>
      </c>
      <c r="B444">
        <v>0.54420000000000002</v>
      </c>
      <c r="C444" s="5">
        <v>0.92669999999999997</v>
      </c>
      <c r="D444">
        <v>1.7985</v>
      </c>
      <c r="E444">
        <v>2.4660000000000002</v>
      </c>
      <c r="F444">
        <v>3.0609999999999999</v>
      </c>
      <c r="G444">
        <v>3.8665000000000003</v>
      </c>
    </row>
    <row r="445" spans="1:7" x14ac:dyDescent="0.25">
      <c r="A445" s="4">
        <v>41502</v>
      </c>
      <c r="B445">
        <v>0.52849999999999997</v>
      </c>
      <c r="C445" s="5">
        <v>0.90159999999999996</v>
      </c>
      <c r="D445">
        <v>1.7475000000000001</v>
      </c>
      <c r="E445">
        <v>2.3986000000000001</v>
      </c>
      <c r="F445">
        <v>2.9950000000000001</v>
      </c>
      <c r="G445">
        <v>3.8079999999999998</v>
      </c>
    </row>
    <row r="446" spans="1:7" x14ac:dyDescent="0.25">
      <c r="A446" s="4">
        <v>41501</v>
      </c>
      <c r="B446">
        <v>0.52590000000000003</v>
      </c>
      <c r="C446" s="5">
        <v>0.88049999999999995</v>
      </c>
      <c r="D446">
        <v>1.7029999999999998</v>
      </c>
      <c r="E446">
        <v>2.3435000000000001</v>
      </c>
      <c r="F446">
        <v>2.93</v>
      </c>
      <c r="G446">
        <v>3.7685</v>
      </c>
    </row>
    <row r="447" spans="1:7" x14ac:dyDescent="0.25">
      <c r="A447" s="4">
        <v>41500</v>
      </c>
      <c r="B447">
        <v>0.50609999999999999</v>
      </c>
      <c r="C447" s="5">
        <v>0.83830000000000005</v>
      </c>
      <c r="D447">
        <v>1.6539999999999999</v>
      </c>
      <c r="E447">
        <v>2.2852000000000001</v>
      </c>
      <c r="F447">
        <v>2.8845000000000001</v>
      </c>
      <c r="G447">
        <v>3.7244999999999999</v>
      </c>
    </row>
    <row r="448" spans="1:7" x14ac:dyDescent="0.25">
      <c r="A448" s="4">
        <v>41499</v>
      </c>
      <c r="B448">
        <v>0.50980000000000003</v>
      </c>
      <c r="C448" s="5">
        <v>0.84019999999999995</v>
      </c>
      <c r="D448">
        <v>1.655</v>
      </c>
      <c r="E448">
        <v>2.2955999999999999</v>
      </c>
      <c r="F448">
        <v>2.89</v>
      </c>
      <c r="G448">
        <v>3.742</v>
      </c>
    </row>
    <row r="449" spans="1:7" x14ac:dyDescent="0.25">
      <c r="A449" s="4">
        <v>41498</v>
      </c>
      <c r="B449">
        <v>0.48070000000000002</v>
      </c>
      <c r="C449" s="5">
        <v>0.78449999999999998</v>
      </c>
      <c r="D449">
        <v>1.5594999999999999</v>
      </c>
      <c r="E449">
        <v>2.194</v>
      </c>
      <c r="F449">
        <v>2.7930000000000001</v>
      </c>
      <c r="G449">
        <v>3.6710000000000003</v>
      </c>
    </row>
    <row r="450" spans="1:7" x14ac:dyDescent="0.25">
      <c r="A450" s="4">
        <v>41495</v>
      </c>
      <c r="B450">
        <v>0.47399999999999998</v>
      </c>
      <c r="C450" s="5">
        <v>0.77259999999999995</v>
      </c>
      <c r="D450">
        <v>1.5274999999999999</v>
      </c>
      <c r="E450">
        <v>2.153</v>
      </c>
      <c r="F450">
        <v>2.7469999999999999</v>
      </c>
      <c r="G450">
        <v>3.6185999999999998</v>
      </c>
    </row>
    <row r="451" spans="1:7" x14ac:dyDescent="0.25">
      <c r="A451" s="4">
        <v>41494</v>
      </c>
      <c r="B451">
        <v>0.47960000000000003</v>
      </c>
      <c r="C451" s="5">
        <v>0.77590000000000003</v>
      </c>
      <c r="D451">
        <v>1.5365</v>
      </c>
      <c r="E451">
        <v>2.1661999999999999</v>
      </c>
      <c r="F451">
        <v>2.7645</v>
      </c>
      <c r="G451">
        <v>3.6375000000000002</v>
      </c>
    </row>
    <row r="452" spans="1:7" x14ac:dyDescent="0.25">
      <c r="A452" s="4">
        <v>41493</v>
      </c>
      <c r="B452">
        <v>0.4803</v>
      </c>
      <c r="C452" s="5">
        <v>0.77700000000000002</v>
      </c>
      <c r="D452">
        <v>1.5430000000000001</v>
      </c>
      <c r="E452">
        <v>2.1819999999999999</v>
      </c>
      <c r="F452">
        <v>2.7800000000000002</v>
      </c>
      <c r="G452">
        <v>3.65</v>
      </c>
    </row>
    <row r="453" spans="1:7" x14ac:dyDescent="0.25">
      <c r="A453" s="4">
        <v>41492</v>
      </c>
      <c r="B453">
        <v>0.48420000000000002</v>
      </c>
      <c r="C453" s="5">
        <v>0.78449999999999998</v>
      </c>
      <c r="D453">
        <v>1.571</v>
      </c>
      <c r="E453">
        <v>2.222</v>
      </c>
      <c r="F453">
        <v>2.8275000000000001</v>
      </c>
      <c r="G453">
        <v>3.6997999999999998</v>
      </c>
    </row>
    <row r="454" spans="1:7" x14ac:dyDescent="0.25">
      <c r="A454" s="4">
        <v>41491</v>
      </c>
      <c r="B454">
        <v>0.47910000000000003</v>
      </c>
      <c r="C454" s="5">
        <v>0.77680000000000005</v>
      </c>
      <c r="D454">
        <v>1.5566</v>
      </c>
      <c r="E454">
        <v>2.1989000000000001</v>
      </c>
      <c r="F454">
        <v>2.8109999999999999</v>
      </c>
      <c r="G454">
        <v>3.6920000000000002</v>
      </c>
    </row>
    <row r="455" spans="1:7" x14ac:dyDescent="0.25">
      <c r="A455" s="4">
        <v>41488</v>
      </c>
      <c r="B455">
        <v>0.46850000000000003</v>
      </c>
      <c r="C455" s="5">
        <v>0.75949999999999995</v>
      </c>
      <c r="D455">
        <v>1.5305</v>
      </c>
      <c r="E455">
        <v>2.1734999999999998</v>
      </c>
      <c r="F455">
        <v>2.7709999999999999</v>
      </c>
      <c r="G455">
        <v>3.6429999999999998</v>
      </c>
    </row>
    <row r="456" spans="1:7" x14ac:dyDescent="0.25">
      <c r="A456" s="4">
        <v>41487</v>
      </c>
      <c r="B456">
        <v>0.499</v>
      </c>
      <c r="C456" s="5">
        <v>0.82550000000000001</v>
      </c>
      <c r="D456">
        <v>1.6625000000000001</v>
      </c>
      <c r="E456">
        <v>2.3075000000000001</v>
      </c>
      <c r="F456">
        <v>2.8940000000000001</v>
      </c>
      <c r="G456">
        <v>3.7294999999999998</v>
      </c>
    </row>
    <row r="457" spans="1:7" x14ac:dyDescent="0.25">
      <c r="A457" s="4">
        <v>41486</v>
      </c>
      <c r="B457">
        <v>0.47749999999999998</v>
      </c>
      <c r="C457" s="5">
        <v>0.76900000000000002</v>
      </c>
      <c r="D457">
        <v>1.5525</v>
      </c>
      <c r="E457">
        <v>2.1814999999999998</v>
      </c>
      <c r="F457">
        <v>2.7694999999999999</v>
      </c>
      <c r="G457">
        <v>3.6185999999999998</v>
      </c>
    </row>
    <row r="458" spans="1:7" x14ac:dyDescent="0.25">
      <c r="A458" s="4">
        <v>41485</v>
      </c>
      <c r="B458">
        <v>0.47849999999999998</v>
      </c>
      <c r="C458" s="5">
        <v>0.77300000000000002</v>
      </c>
      <c r="D458">
        <v>1.5580000000000001</v>
      </c>
      <c r="E458">
        <v>2.2004999999999999</v>
      </c>
      <c r="F458">
        <v>2.8010000000000002</v>
      </c>
      <c r="G458">
        <v>3.6654999999999998</v>
      </c>
    </row>
    <row r="459" spans="1:7" x14ac:dyDescent="0.25">
      <c r="A459" s="4">
        <v>41484</v>
      </c>
      <c r="B459">
        <v>0.47749999999999998</v>
      </c>
      <c r="C459" s="5">
        <v>0.77049999999999996</v>
      </c>
      <c r="D459">
        <v>1.5565</v>
      </c>
      <c r="E459">
        <v>2.1945000000000001</v>
      </c>
      <c r="F459">
        <v>2.7955000000000001</v>
      </c>
      <c r="G459">
        <v>3.6545000000000001</v>
      </c>
    </row>
    <row r="460" spans="1:7" x14ac:dyDescent="0.25">
      <c r="A460" s="4">
        <v>41481</v>
      </c>
      <c r="B460">
        <v>0.47470000000000001</v>
      </c>
      <c r="C460" s="5">
        <v>0.76300000000000001</v>
      </c>
      <c r="D460">
        <v>1.5405</v>
      </c>
      <c r="E460">
        <v>2.1718000000000002</v>
      </c>
      <c r="F460">
        <v>2.7625000000000002</v>
      </c>
      <c r="G460">
        <v>3.6034999999999999</v>
      </c>
    </row>
    <row r="461" spans="1:7" x14ac:dyDescent="0.25">
      <c r="A461" s="4">
        <v>41480</v>
      </c>
      <c r="B461">
        <v>0.47660000000000002</v>
      </c>
      <c r="C461" s="5">
        <v>0.76759999999999995</v>
      </c>
      <c r="D461">
        <v>1.5413000000000001</v>
      </c>
      <c r="E461">
        <v>2.1760999999999999</v>
      </c>
      <c r="F461">
        <v>2.7721</v>
      </c>
      <c r="G461">
        <v>3.6215000000000002</v>
      </c>
    </row>
    <row r="462" spans="1:7" x14ac:dyDescent="0.25">
      <c r="A462" s="4">
        <v>41479</v>
      </c>
      <c r="B462">
        <v>0.50800000000000001</v>
      </c>
      <c r="C462" s="5">
        <v>0.80069999999999997</v>
      </c>
      <c r="D462">
        <v>1.5662</v>
      </c>
      <c r="E462">
        <v>2.1884000000000001</v>
      </c>
      <c r="F462">
        <v>2.7850000000000001</v>
      </c>
      <c r="G462">
        <v>3.6230000000000002</v>
      </c>
    </row>
    <row r="463" spans="1:7" x14ac:dyDescent="0.25">
      <c r="A463" s="4">
        <v>41478</v>
      </c>
      <c r="B463">
        <v>0.48480000000000001</v>
      </c>
      <c r="C463" s="5">
        <v>0.75780000000000003</v>
      </c>
      <c r="D463">
        <v>1.498</v>
      </c>
      <c r="E463">
        <v>2.1092</v>
      </c>
      <c r="F463">
        <v>2.7069999999999999</v>
      </c>
      <c r="G463">
        <v>3.5577999999999999</v>
      </c>
    </row>
    <row r="464" spans="1:7" x14ac:dyDescent="0.25">
      <c r="A464" s="4">
        <v>41477</v>
      </c>
      <c r="B464">
        <v>0.47760000000000002</v>
      </c>
      <c r="C464" s="5">
        <v>0.74960000000000004</v>
      </c>
      <c r="D464">
        <v>1.4844999999999999</v>
      </c>
      <c r="E464">
        <v>2.1</v>
      </c>
      <c r="F464">
        <v>2.6890000000000001</v>
      </c>
      <c r="G464">
        <v>3.532</v>
      </c>
    </row>
    <row r="465" spans="1:7" x14ac:dyDescent="0.25">
      <c r="A465" s="4">
        <v>41474</v>
      </c>
      <c r="B465">
        <v>0.47489999999999999</v>
      </c>
      <c r="C465" s="5">
        <v>0.74780000000000002</v>
      </c>
      <c r="D465">
        <v>1.4786000000000001</v>
      </c>
      <c r="E465">
        <v>2.0928</v>
      </c>
      <c r="F465">
        <v>2.69</v>
      </c>
      <c r="G465">
        <v>3.5375000000000001</v>
      </c>
    </row>
    <row r="466" spans="1:7" x14ac:dyDescent="0.25">
      <c r="A466" s="4">
        <v>41473</v>
      </c>
      <c r="B466">
        <v>0.47949999999999998</v>
      </c>
      <c r="C466" s="5">
        <v>0.7581</v>
      </c>
      <c r="D466">
        <v>1.5081</v>
      </c>
      <c r="E466">
        <v>2.1263000000000001</v>
      </c>
      <c r="F466">
        <v>2.7330000000000001</v>
      </c>
      <c r="G466">
        <v>3.609</v>
      </c>
    </row>
    <row r="467" spans="1:7" x14ac:dyDescent="0.25">
      <c r="A467" s="4">
        <v>41472</v>
      </c>
      <c r="B467">
        <v>0.47549999999999998</v>
      </c>
      <c r="C467" s="5">
        <v>0.75149999999999995</v>
      </c>
      <c r="D467">
        <v>1.4884999999999999</v>
      </c>
      <c r="E467">
        <v>2.1038999999999999</v>
      </c>
      <c r="F467">
        <v>2.6907999999999999</v>
      </c>
      <c r="G467">
        <v>3.5563000000000002</v>
      </c>
    </row>
    <row r="468" spans="1:7" x14ac:dyDescent="0.25">
      <c r="A468" s="4">
        <v>41471</v>
      </c>
      <c r="B468">
        <v>0.49509999999999998</v>
      </c>
      <c r="C468" s="5">
        <v>0.79190000000000005</v>
      </c>
      <c r="D468">
        <v>1.5565</v>
      </c>
      <c r="E468">
        <v>2.169</v>
      </c>
      <c r="F468">
        <v>2.7450000000000001</v>
      </c>
      <c r="G468">
        <v>3.5709</v>
      </c>
    </row>
    <row r="469" spans="1:7" x14ac:dyDescent="0.25">
      <c r="A469" s="4">
        <v>41470</v>
      </c>
      <c r="B469">
        <v>0.51</v>
      </c>
      <c r="C469" s="5">
        <v>0.80710000000000004</v>
      </c>
      <c r="D469">
        <v>1.5645</v>
      </c>
      <c r="E469">
        <v>2.1741999999999999</v>
      </c>
      <c r="F469">
        <v>2.7555000000000001</v>
      </c>
      <c r="G469">
        <v>3.5783</v>
      </c>
    </row>
    <row r="470" spans="1:7" x14ac:dyDescent="0.25">
      <c r="A470" s="4">
        <v>41467</v>
      </c>
      <c r="B470">
        <v>0.52580000000000005</v>
      </c>
      <c r="C470" s="5">
        <v>0.84</v>
      </c>
      <c r="D470">
        <v>1.6080999999999999</v>
      </c>
      <c r="E470">
        <v>2.2254</v>
      </c>
      <c r="F470">
        <v>2.8054000000000001</v>
      </c>
      <c r="G470">
        <v>3.6126</v>
      </c>
    </row>
    <row r="471" spans="1:7" x14ac:dyDescent="0.25">
      <c r="A471" s="4">
        <v>41466</v>
      </c>
      <c r="B471">
        <v>0.49819999999999998</v>
      </c>
      <c r="C471" s="5">
        <v>0.79800000000000004</v>
      </c>
      <c r="D471">
        <v>1.5695999999999999</v>
      </c>
      <c r="E471">
        <v>2.1978</v>
      </c>
      <c r="F471">
        <v>2.7904999999999998</v>
      </c>
      <c r="G471">
        <v>3.6080000000000001</v>
      </c>
    </row>
    <row r="472" spans="1:7" x14ac:dyDescent="0.25">
      <c r="A472" s="4">
        <v>41465</v>
      </c>
      <c r="B472">
        <v>0.51619999999999999</v>
      </c>
      <c r="C472" s="5">
        <v>0.83160000000000001</v>
      </c>
      <c r="D472">
        <v>1.6259999999999999</v>
      </c>
      <c r="E472">
        <v>2.2599999999999998</v>
      </c>
      <c r="F472">
        <v>2.8384999999999998</v>
      </c>
      <c r="G472">
        <v>3.6353999999999997</v>
      </c>
    </row>
    <row r="473" spans="1:7" x14ac:dyDescent="0.25">
      <c r="A473" s="4">
        <v>41464</v>
      </c>
      <c r="B473">
        <v>0.53569999999999995</v>
      </c>
      <c r="C473" s="5">
        <v>0.86119999999999997</v>
      </c>
      <c r="D473">
        <v>1.6695</v>
      </c>
      <c r="E473">
        <v>2.2968000000000002</v>
      </c>
      <c r="F473">
        <v>2.8620000000000001</v>
      </c>
      <c r="G473">
        <v>3.6383999999999999</v>
      </c>
    </row>
    <row r="474" spans="1:7" x14ac:dyDescent="0.25">
      <c r="A474" s="4">
        <v>41463</v>
      </c>
      <c r="B474">
        <v>0.53910000000000002</v>
      </c>
      <c r="C474" s="5">
        <v>0.87490000000000001</v>
      </c>
      <c r="D474">
        <v>1.6945999999999999</v>
      </c>
      <c r="E474">
        <v>2.3191999999999999</v>
      </c>
      <c r="F474">
        <v>2.8820000000000001</v>
      </c>
      <c r="G474">
        <v>3.6465000000000001</v>
      </c>
    </row>
    <row r="475" spans="1:7" x14ac:dyDescent="0.25">
      <c r="A475" s="4">
        <v>41460</v>
      </c>
      <c r="B475">
        <v>0.58499999999999996</v>
      </c>
      <c r="C475" s="5">
        <v>0.94969999999999999</v>
      </c>
      <c r="D475">
        <v>1.8195999999999999</v>
      </c>
      <c r="E475">
        <v>2.4420999999999999</v>
      </c>
      <c r="F475">
        <v>2.9939999999999998</v>
      </c>
      <c r="G475">
        <v>3.7284000000000002</v>
      </c>
    </row>
    <row r="476" spans="1:7" x14ac:dyDescent="0.25">
      <c r="A476" s="4">
        <v>41459</v>
      </c>
      <c r="B476">
        <v>0.52</v>
      </c>
      <c r="C476" s="5">
        <v>0.85199999999999998</v>
      </c>
      <c r="D476">
        <v>1.6132</v>
      </c>
      <c r="E476">
        <v>2.1930000000000001</v>
      </c>
      <c r="F476">
        <v>2.734</v>
      </c>
      <c r="G476">
        <v>3.4710000000000001</v>
      </c>
    </row>
    <row r="477" spans="1:7" x14ac:dyDescent="0.25">
      <c r="A477" s="4">
        <v>41458</v>
      </c>
      <c r="B477">
        <v>0.54900000000000004</v>
      </c>
      <c r="C477" s="5">
        <v>0.86799999999999999</v>
      </c>
      <c r="D477">
        <v>1.6132</v>
      </c>
      <c r="E477">
        <v>2.1985000000000001</v>
      </c>
      <c r="F477">
        <v>2.7364999999999999</v>
      </c>
      <c r="G477">
        <v>3.4714999999999998</v>
      </c>
    </row>
    <row r="478" spans="1:7" x14ac:dyDescent="0.25">
      <c r="A478" s="4">
        <v>41457</v>
      </c>
      <c r="B478">
        <v>0.52259999999999995</v>
      </c>
      <c r="C478" s="5">
        <v>0.81710000000000005</v>
      </c>
      <c r="D478">
        <v>1.5615999999999999</v>
      </c>
      <c r="E478">
        <v>2.1415000000000002</v>
      </c>
      <c r="F478">
        <v>2.6871</v>
      </c>
      <c r="G478">
        <v>3.4407999999999999</v>
      </c>
    </row>
    <row r="479" spans="1:7" x14ac:dyDescent="0.25">
      <c r="A479" s="4">
        <v>41456</v>
      </c>
      <c r="B479">
        <v>0.51739999999999997</v>
      </c>
      <c r="C479" s="5">
        <v>0.81640000000000001</v>
      </c>
      <c r="D479">
        <v>1.5565</v>
      </c>
      <c r="E479">
        <v>2.1402999999999999</v>
      </c>
      <c r="F479">
        <v>2.6949999999999998</v>
      </c>
      <c r="G479">
        <v>3.4314999999999998</v>
      </c>
    </row>
    <row r="480" spans="1:7" x14ac:dyDescent="0.25">
      <c r="A480" s="4">
        <v>41453</v>
      </c>
      <c r="B480">
        <v>0.51</v>
      </c>
      <c r="C480" s="5">
        <v>0.81779999999999997</v>
      </c>
      <c r="D480">
        <v>1.5659999999999998</v>
      </c>
      <c r="E480">
        <v>2.1454</v>
      </c>
      <c r="F480">
        <v>2.6970000000000001</v>
      </c>
      <c r="G480">
        <v>3.4481999999999999</v>
      </c>
    </row>
    <row r="481" spans="1:7" x14ac:dyDescent="0.25">
      <c r="A481" s="4">
        <v>41452</v>
      </c>
      <c r="B481">
        <v>0.50560000000000005</v>
      </c>
      <c r="C481" s="5">
        <v>0.80310000000000004</v>
      </c>
      <c r="D481">
        <v>1.544</v>
      </c>
      <c r="E481">
        <v>2.1179999999999999</v>
      </c>
      <c r="F481">
        <v>2.6755</v>
      </c>
      <c r="G481">
        <v>3.4577999999999998</v>
      </c>
    </row>
    <row r="482" spans="1:7" x14ac:dyDescent="0.25">
      <c r="A482" s="4">
        <v>41451</v>
      </c>
      <c r="B482">
        <v>0.53349999999999997</v>
      </c>
      <c r="C482" s="5">
        <v>0.84730000000000005</v>
      </c>
      <c r="D482">
        <v>1.6099999999999999</v>
      </c>
      <c r="E482">
        <v>2.1943000000000001</v>
      </c>
      <c r="F482">
        <v>2.7515000000000001</v>
      </c>
      <c r="G482">
        <v>3.5070000000000001</v>
      </c>
    </row>
    <row r="483" spans="1:7" x14ac:dyDescent="0.25">
      <c r="A483" s="4">
        <v>41450</v>
      </c>
      <c r="B483">
        <v>0.58399999999999996</v>
      </c>
      <c r="C483" s="5">
        <v>0.90539999999999998</v>
      </c>
      <c r="D483">
        <v>1.6890000000000001</v>
      </c>
      <c r="E483">
        <v>2.2806999999999999</v>
      </c>
      <c r="F483">
        <v>2.8315000000000001</v>
      </c>
      <c r="G483">
        <v>3.5430000000000001</v>
      </c>
    </row>
    <row r="484" spans="1:7" x14ac:dyDescent="0.25">
      <c r="A484" s="4">
        <v>41449</v>
      </c>
      <c r="B484">
        <v>0.57889999999999997</v>
      </c>
      <c r="C484" s="5">
        <v>0.89400000000000002</v>
      </c>
      <c r="D484">
        <v>1.659</v>
      </c>
      <c r="E484">
        <v>2.2313999999999998</v>
      </c>
      <c r="F484">
        <v>2.7640000000000002</v>
      </c>
      <c r="G484">
        <v>3.4653</v>
      </c>
    </row>
    <row r="485" spans="1:7" x14ac:dyDescent="0.25">
      <c r="A485" s="4">
        <v>41446</v>
      </c>
      <c r="B485">
        <v>0.56610000000000005</v>
      </c>
      <c r="C485" s="5">
        <v>0.89300000000000002</v>
      </c>
      <c r="D485">
        <v>1.6484999999999999</v>
      </c>
      <c r="E485">
        <v>2.2227000000000001</v>
      </c>
      <c r="F485">
        <v>2.7610000000000001</v>
      </c>
      <c r="G485">
        <v>3.488</v>
      </c>
    </row>
    <row r="486" spans="1:7" x14ac:dyDescent="0.25">
      <c r="A486" s="4">
        <v>41445</v>
      </c>
      <c r="B486">
        <v>0.50760000000000005</v>
      </c>
      <c r="C486" s="5">
        <v>0.81189999999999996</v>
      </c>
      <c r="D486">
        <v>1.5354999999999999</v>
      </c>
      <c r="E486">
        <v>2.1000999999999999</v>
      </c>
      <c r="F486">
        <v>2.6435</v>
      </c>
      <c r="G486">
        <v>3.4209999999999998</v>
      </c>
    </row>
    <row r="487" spans="1:7" x14ac:dyDescent="0.25">
      <c r="A487" s="4">
        <v>41444</v>
      </c>
      <c r="B487">
        <v>0.47270000000000001</v>
      </c>
      <c r="C487" s="5">
        <v>0.75780000000000003</v>
      </c>
      <c r="D487">
        <v>1.4750000000000001</v>
      </c>
      <c r="E487">
        <v>2.0225</v>
      </c>
      <c r="F487">
        <v>2.5619000000000001</v>
      </c>
      <c r="G487">
        <v>3.3231999999999999</v>
      </c>
    </row>
    <row r="488" spans="1:7" x14ac:dyDescent="0.25">
      <c r="A488" s="4">
        <v>41443</v>
      </c>
      <c r="B488">
        <v>0.4239</v>
      </c>
      <c r="C488" s="5">
        <v>0.64529999999999998</v>
      </c>
      <c r="D488">
        <v>1.2549999999999999</v>
      </c>
      <c r="E488">
        <v>1.7970999999999999</v>
      </c>
      <c r="F488">
        <v>2.3689999999999998</v>
      </c>
      <c r="G488">
        <v>3.2439999999999998</v>
      </c>
    </row>
    <row r="489" spans="1:7" x14ac:dyDescent="0.25">
      <c r="A489" s="4">
        <v>41442</v>
      </c>
      <c r="B489">
        <v>0.4264</v>
      </c>
      <c r="C489" s="5">
        <v>0.64729999999999999</v>
      </c>
      <c r="D489">
        <v>1.2490000000000001</v>
      </c>
      <c r="E489">
        <v>1.7865</v>
      </c>
      <c r="F489">
        <v>2.3578000000000001</v>
      </c>
      <c r="G489">
        <v>3.2414000000000001</v>
      </c>
    </row>
    <row r="490" spans="1:7" x14ac:dyDescent="0.25">
      <c r="A490" s="4">
        <v>41439</v>
      </c>
      <c r="B490">
        <v>0.43</v>
      </c>
      <c r="C490" s="5">
        <v>0.64700000000000002</v>
      </c>
      <c r="D490">
        <v>1.22</v>
      </c>
      <c r="E490">
        <v>1.746</v>
      </c>
      <c r="F490">
        <v>2.3079999999999998</v>
      </c>
      <c r="G490">
        <v>3.2000999999999999</v>
      </c>
    </row>
    <row r="491" spans="1:7" x14ac:dyDescent="0.25">
      <c r="A491" s="4">
        <v>41438</v>
      </c>
      <c r="B491">
        <v>0.44440000000000002</v>
      </c>
      <c r="C491" s="5">
        <v>0.66</v>
      </c>
      <c r="D491">
        <v>1.24</v>
      </c>
      <c r="E491">
        <v>1.7671999999999999</v>
      </c>
      <c r="F491">
        <v>2.3288000000000002</v>
      </c>
      <c r="G491">
        <v>3.2115</v>
      </c>
    </row>
    <row r="492" spans="1:7" x14ac:dyDescent="0.25">
      <c r="A492" s="4">
        <v>41437</v>
      </c>
      <c r="B492">
        <v>0.50080000000000002</v>
      </c>
      <c r="C492" s="5">
        <v>0.74380000000000002</v>
      </c>
      <c r="D492">
        <v>1.3435000000000001</v>
      </c>
      <c r="E492">
        <v>1.8714</v>
      </c>
      <c r="F492">
        <v>2.4222000000000001</v>
      </c>
      <c r="G492">
        <v>3.2726999999999999</v>
      </c>
    </row>
    <row r="493" spans="1:7" x14ac:dyDescent="0.25">
      <c r="A493" s="4">
        <v>41436</v>
      </c>
      <c r="B493">
        <v>0.501</v>
      </c>
      <c r="C493" s="5">
        <v>0.73640000000000005</v>
      </c>
      <c r="D493">
        <v>1.3192999999999999</v>
      </c>
      <c r="E493">
        <v>1.8401000000000001</v>
      </c>
      <c r="F493">
        <v>2.383</v>
      </c>
      <c r="G493">
        <v>3.226</v>
      </c>
    </row>
    <row r="494" spans="1:7" x14ac:dyDescent="0.25">
      <c r="A494" s="4">
        <v>41435</v>
      </c>
      <c r="B494">
        <v>0.49349999999999999</v>
      </c>
      <c r="C494" s="5">
        <v>0.73650000000000004</v>
      </c>
      <c r="D494">
        <v>1.3351</v>
      </c>
      <c r="E494">
        <v>1.8639999999999999</v>
      </c>
      <c r="F494">
        <v>2.4180000000000001</v>
      </c>
      <c r="G494">
        <v>3.2963</v>
      </c>
    </row>
    <row r="495" spans="1:7" x14ac:dyDescent="0.25">
      <c r="A495" s="4">
        <v>41432</v>
      </c>
      <c r="B495">
        <v>0.4844</v>
      </c>
      <c r="C495" s="5">
        <v>0.72050000000000003</v>
      </c>
      <c r="D495">
        <v>1.2890999999999999</v>
      </c>
      <c r="E495">
        <v>1.8140000000000001</v>
      </c>
      <c r="F495">
        <v>2.3666</v>
      </c>
      <c r="G495">
        <v>3.2566999999999999</v>
      </c>
    </row>
    <row r="496" spans="1:7" x14ac:dyDescent="0.25">
      <c r="A496" s="4">
        <v>41431</v>
      </c>
      <c r="B496">
        <v>0.46329999999999999</v>
      </c>
      <c r="C496" s="5">
        <v>0.66510000000000002</v>
      </c>
      <c r="D496">
        <v>1.2053</v>
      </c>
      <c r="E496">
        <v>1.7159</v>
      </c>
      <c r="F496">
        <v>2.27</v>
      </c>
      <c r="G496">
        <v>3.1703999999999999</v>
      </c>
    </row>
    <row r="497" spans="1:7" x14ac:dyDescent="0.25">
      <c r="A497" s="4">
        <v>41430</v>
      </c>
      <c r="B497">
        <v>0.45860000000000001</v>
      </c>
      <c r="C497" s="5">
        <v>0.66149999999999998</v>
      </c>
      <c r="D497">
        <v>1.21</v>
      </c>
      <c r="E497">
        <v>1.7269999999999999</v>
      </c>
      <c r="F497">
        <v>2.2808000000000002</v>
      </c>
      <c r="G497">
        <v>3.1842999999999999</v>
      </c>
    </row>
    <row r="498" spans="1:7" x14ac:dyDescent="0.25">
      <c r="A498" s="4">
        <v>41429</v>
      </c>
      <c r="B498">
        <v>0.46550000000000002</v>
      </c>
      <c r="C498" s="5">
        <v>0.67359999999999998</v>
      </c>
      <c r="D498">
        <v>1.2454000000000001</v>
      </c>
      <c r="E498">
        <v>1.7782</v>
      </c>
      <c r="F498">
        <v>2.3425000000000002</v>
      </c>
      <c r="G498">
        <v>3.2565</v>
      </c>
    </row>
    <row r="499" spans="1:7" x14ac:dyDescent="0.25">
      <c r="A499" s="4">
        <v>41428</v>
      </c>
      <c r="B499">
        <v>0.45540000000000003</v>
      </c>
      <c r="C499" s="5">
        <v>0.66069999999999995</v>
      </c>
      <c r="D499">
        <v>1.2184999999999999</v>
      </c>
      <c r="E499">
        <v>1.7396</v>
      </c>
      <c r="F499">
        <v>2.302</v>
      </c>
      <c r="G499">
        <v>3.2092999999999998</v>
      </c>
    </row>
    <row r="500" spans="1:7" x14ac:dyDescent="0.25">
      <c r="A500" s="4">
        <v>41425</v>
      </c>
      <c r="B500">
        <v>0.45850000000000002</v>
      </c>
      <c r="C500" s="5">
        <v>0.65649999999999997</v>
      </c>
      <c r="D500">
        <v>1.2057</v>
      </c>
      <c r="E500">
        <v>1.7342</v>
      </c>
      <c r="F500">
        <v>2.3041999999999998</v>
      </c>
      <c r="G500">
        <v>3.2149000000000001</v>
      </c>
    </row>
    <row r="501" spans="1:7" x14ac:dyDescent="0.25">
      <c r="A501" s="4">
        <v>41424</v>
      </c>
      <c r="B501">
        <v>0.4572</v>
      </c>
      <c r="C501" s="5">
        <v>0.65159999999999996</v>
      </c>
      <c r="D501">
        <v>1.1919999999999999</v>
      </c>
      <c r="E501">
        <v>1.7124999999999999</v>
      </c>
      <c r="F501">
        <v>2.2800000000000002</v>
      </c>
      <c r="G501">
        <v>3.1968999999999999</v>
      </c>
    </row>
    <row r="502" spans="1:7" x14ac:dyDescent="0.25">
      <c r="A502" s="4">
        <v>41423</v>
      </c>
      <c r="B502">
        <v>0.45579999999999998</v>
      </c>
      <c r="C502" s="5">
        <v>0.65100000000000002</v>
      </c>
      <c r="D502">
        <v>1.1910000000000001</v>
      </c>
      <c r="E502">
        <v>1.7107999999999999</v>
      </c>
      <c r="F502">
        <v>2.2759999999999998</v>
      </c>
      <c r="G502">
        <v>3.1863000000000001</v>
      </c>
    </row>
    <row r="503" spans="1:7" x14ac:dyDescent="0.25">
      <c r="A503" s="4">
        <v>41422</v>
      </c>
      <c r="B503">
        <v>0.47089999999999999</v>
      </c>
      <c r="C503" s="5">
        <v>0.67210000000000003</v>
      </c>
      <c r="D503">
        <v>1.2304999999999999</v>
      </c>
      <c r="E503">
        <v>1.7593000000000001</v>
      </c>
      <c r="F503">
        <v>2.3340000000000001</v>
      </c>
      <c r="G503">
        <v>3.2559</v>
      </c>
    </row>
    <row r="504" spans="1:7" x14ac:dyDescent="0.25">
      <c r="A504" s="4">
        <v>41421</v>
      </c>
      <c r="B504">
        <v>0.40500000000000003</v>
      </c>
      <c r="C504" s="5">
        <v>0.57750000000000001</v>
      </c>
      <c r="D504">
        <v>1.0620000000000001</v>
      </c>
      <c r="E504">
        <v>1.575</v>
      </c>
      <c r="F504">
        <v>2.1560000000000001</v>
      </c>
      <c r="G504">
        <v>3.09</v>
      </c>
    </row>
    <row r="505" spans="1:7" x14ac:dyDescent="0.25">
      <c r="A505" s="4">
        <v>41418</v>
      </c>
      <c r="B505">
        <v>0.40500000000000003</v>
      </c>
      <c r="C505" s="5">
        <v>0.57550000000000001</v>
      </c>
      <c r="D505">
        <v>1.07</v>
      </c>
      <c r="E505">
        <v>1.5895000000000001</v>
      </c>
      <c r="F505">
        <v>2.1625000000000001</v>
      </c>
      <c r="G505">
        <v>3.097</v>
      </c>
    </row>
    <row r="506" spans="1:7" x14ac:dyDescent="0.25">
      <c r="A506" s="4">
        <v>41417</v>
      </c>
      <c r="B506">
        <v>0.3992</v>
      </c>
      <c r="C506" s="5">
        <v>0.56100000000000005</v>
      </c>
      <c r="D506">
        <v>1.0620000000000001</v>
      </c>
      <c r="E506">
        <v>1.5758999999999999</v>
      </c>
      <c r="F506">
        <v>2.1547999999999998</v>
      </c>
      <c r="G506">
        <v>3.1059999999999999</v>
      </c>
    </row>
    <row r="507" spans="1:7" x14ac:dyDescent="0.25">
      <c r="A507" s="4">
        <v>41416</v>
      </c>
      <c r="B507">
        <v>0.39400000000000002</v>
      </c>
      <c r="C507" s="5">
        <v>0.55900000000000005</v>
      </c>
      <c r="D507">
        <v>1.0620000000000001</v>
      </c>
      <c r="E507">
        <v>1.5857000000000001</v>
      </c>
      <c r="F507">
        <v>2.1722000000000001</v>
      </c>
      <c r="G507">
        <v>3.1366000000000001</v>
      </c>
    </row>
    <row r="508" spans="1:7" x14ac:dyDescent="0.25">
      <c r="A508" s="4">
        <v>41415</v>
      </c>
      <c r="B508">
        <v>0.38100000000000001</v>
      </c>
      <c r="C508" s="5">
        <v>0.52159999999999995</v>
      </c>
      <c r="D508">
        <v>0.98140000000000005</v>
      </c>
      <c r="E508">
        <v>1.4802999999999999</v>
      </c>
      <c r="F508">
        <v>2.0537999999999998</v>
      </c>
      <c r="G508">
        <v>3.0413000000000001</v>
      </c>
    </row>
    <row r="509" spans="1:7" x14ac:dyDescent="0.25">
      <c r="A509" s="4">
        <v>41414</v>
      </c>
      <c r="B509">
        <v>0.38600000000000001</v>
      </c>
      <c r="C509" s="5">
        <v>0.53120000000000001</v>
      </c>
      <c r="D509">
        <v>1.0001</v>
      </c>
      <c r="E509">
        <v>1.5110999999999999</v>
      </c>
      <c r="F509">
        <v>2.0979999999999999</v>
      </c>
      <c r="G509">
        <v>3.0931999999999999</v>
      </c>
    </row>
    <row r="510" spans="1:7" x14ac:dyDescent="0.25">
      <c r="A510" s="4">
        <v>41411</v>
      </c>
      <c r="B510">
        <v>0.38979999999999998</v>
      </c>
      <c r="C510" s="5">
        <v>0.52780000000000005</v>
      </c>
      <c r="D510">
        <v>0.99270000000000003</v>
      </c>
      <c r="E510">
        <v>1.5004999999999999</v>
      </c>
      <c r="F510">
        <v>2.0870000000000002</v>
      </c>
      <c r="G510">
        <v>3.0865</v>
      </c>
    </row>
    <row r="511" spans="1:7" x14ac:dyDescent="0.25">
      <c r="A511" s="4">
        <v>41410</v>
      </c>
      <c r="B511">
        <v>0.374</v>
      </c>
      <c r="C511" s="5">
        <v>0.50490000000000002</v>
      </c>
      <c r="D511">
        <v>0.94940000000000002</v>
      </c>
      <c r="E511">
        <v>1.4379</v>
      </c>
      <c r="F511">
        <v>2.0089999999999999</v>
      </c>
      <c r="G511">
        <v>3.0105</v>
      </c>
    </row>
    <row r="512" spans="1:7" x14ac:dyDescent="0.25">
      <c r="A512" s="4">
        <v>41409</v>
      </c>
      <c r="B512">
        <v>0.38200000000000001</v>
      </c>
      <c r="C512" s="5">
        <v>0.52400000000000002</v>
      </c>
      <c r="D512">
        <v>0.98799999999999999</v>
      </c>
      <c r="E512">
        <v>1.4895</v>
      </c>
      <c r="F512">
        <v>2.0672999999999999</v>
      </c>
      <c r="G512">
        <v>3.0766</v>
      </c>
    </row>
    <row r="513" spans="1:7" x14ac:dyDescent="0.25">
      <c r="A513" s="4">
        <v>41408</v>
      </c>
      <c r="B513">
        <v>0.3876</v>
      </c>
      <c r="C513" s="5">
        <v>0.53610000000000002</v>
      </c>
      <c r="D513">
        <v>1.0197000000000001</v>
      </c>
      <c r="E513">
        <v>1.5322</v>
      </c>
      <c r="F513">
        <v>2.1166</v>
      </c>
      <c r="G513">
        <v>3.121</v>
      </c>
    </row>
    <row r="514" spans="1:7" x14ac:dyDescent="0.25">
      <c r="A514" s="4">
        <v>41407</v>
      </c>
      <c r="B514">
        <v>0.38100000000000001</v>
      </c>
      <c r="C514" s="5">
        <v>0.52</v>
      </c>
      <c r="D514">
        <v>0.98250000000000004</v>
      </c>
      <c r="E514">
        <v>1.4835</v>
      </c>
      <c r="F514">
        <v>2.0628000000000002</v>
      </c>
      <c r="G514">
        <v>3.0619999999999998</v>
      </c>
    </row>
    <row r="515" spans="1:7" x14ac:dyDescent="0.25">
      <c r="A515" s="4">
        <v>41404</v>
      </c>
      <c r="B515">
        <v>0.37069999999999997</v>
      </c>
      <c r="C515" s="5">
        <v>0.50749999999999995</v>
      </c>
      <c r="D515">
        <v>0.97489999999999999</v>
      </c>
      <c r="E515">
        <v>1.4685999999999999</v>
      </c>
      <c r="F515">
        <v>2.0409999999999999</v>
      </c>
      <c r="G515">
        <v>3.0240999999999998</v>
      </c>
    </row>
    <row r="516" spans="1:7" x14ac:dyDescent="0.25">
      <c r="A516" s="4">
        <v>41403</v>
      </c>
      <c r="B516">
        <v>0.3579</v>
      </c>
      <c r="C516" s="5">
        <v>0.48299999999999998</v>
      </c>
      <c r="D516">
        <v>0.91149999999999998</v>
      </c>
      <c r="E516">
        <v>1.3916999999999999</v>
      </c>
      <c r="F516">
        <v>1.9617</v>
      </c>
      <c r="G516">
        <v>2.9384999999999999</v>
      </c>
    </row>
    <row r="517" spans="1:7" x14ac:dyDescent="0.25">
      <c r="A517" s="4">
        <v>41402</v>
      </c>
      <c r="B517">
        <v>0.35809999999999997</v>
      </c>
      <c r="C517" s="5">
        <v>0.47749999999999998</v>
      </c>
      <c r="D517">
        <v>0.90459999999999996</v>
      </c>
      <c r="E517">
        <v>1.3832</v>
      </c>
      <c r="F517">
        <v>1.9491000000000001</v>
      </c>
      <c r="G517">
        <v>2.9268000000000001</v>
      </c>
    </row>
    <row r="518" spans="1:7" x14ac:dyDescent="0.25">
      <c r="A518" s="4">
        <v>41401</v>
      </c>
      <c r="B518">
        <v>0.36459999999999998</v>
      </c>
      <c r="C518" s="5">
        <v>0.48630000000000001</v>
      </c>
      <c r="D518">
        <v>0.9113</v>
      </c>
      <c r="E518">
        <v>1.3928</v>
      </c>
      <c r="F518">
        <v>1.9560999999999999</v>
      </c>
      <c r="G518">
        <v>2.9304999999999999</v>
      </c>
    </row>
    <row r="519" spans="1:7" x14ac:dyDescent="0.25">
      <c r="A519" s="4">
        <v>41400</v>
      </c>
      <c r="B519">
        <v>0.3584</v>
      </c>
      <c r="C519" s="5">
        <v>0.47910000000000003</v>
      </c>
      <c r="D519">
        <v>0.90049999999999997</v>
      </c>
      <c r="E519">
        <v>1.377</v>
      </c>
      <c r="F519">
        <v>1.9390000000000001</v>
      </c>
      <c r="G519">
        <v>2.915</v>
      </c>
    </row>
    <row r="520" spans="1:7" x14ac:dyDescent="0.25">
      <c r="A520" s="4">
        <v>41397</v>
      </c>
      <c r="B520">
        <v>0.35670000000000002</v>
      </c>
      <c r="C520" s="5">
        <v>0.4733</v>
      </c>
      <c r="D520">
        <v>0.88729999999999998</v>
      </c>
      <c r="E520">
        <v>1.3595999999999999</v>
      </c>
      <c r="F520">
        <v>1.9175</v>
      </c>
      <c r="G520">
        <v>2.8883000000000001</v>
      </c>
    </row>
    <row r="521" spans="1:7" x14ac:dyDescent="0.25">
      <c r="A521" s="4">
        <v>41396</v>
      </c>
      <c r="B521">
        <v>0.3382</v>
      </c>
      <c r="C521" s="5">
        <v>0.43669999999999998</v>
      </c>
      <c r="D521">
        <v>0.81399999999999995</v>
      </c>
      <c r="E521">
        <v>1.2669000000000001</v>
      </c>
      <c r="F521">
        <v>1.8090000000000002</v>
      </c>
      <c r="G521">
        <v>2.76</v>
      </c>
    </row>
    <row r="522" spans="1:7" x14ac:dyDescent="0.25">
      <c r="A522" s="4">
        <v>41395</v>
      </c>
      <c r="B522">
        <v>0.34200000000000003</v>
      </c>
      <c r="C522" s="5">
        <v>0.44019999999999998</v>
      </c>
      <c r="D522">
        <v>0.8175</v>
      </c>
      <c r="E522">
        <v>1.2744</v>
      </c>
      <c r="F522">
        <v>1.8195000000000001</v>
      </c>
      <c r="G522">
        <v>2.7744999999999997</v>
      </c>
    </row>
    <row r="523" spans="1:7" x14ac:dyDescent="0.25">
      <c r="A523" s="4">
        <v>41394</v>
      </c>
      <c r="B523">
        <v>0.34839999999999999</v>
      </c>
      <c r="C523" s="5">
        <v>0.45319999999999999</v>
      </c>
      <c r="D523">
        <v>0.83599999999999997</v>
      </c>
      <c r="E523">
        <v>1.2993000000000001</v>
      </c>
      <c r="F523">
        <v>1.8479999999999999</v>
      </c>
      <c r="G523">
        <v>2.8102999999999998</v>
      </c>
    </row>
    <row r="524" spans="1:7" x14ac:dyDescent="0.25">
      <c r="A524" s="4">
        <v>41393</v>
      </c>
      <c r="B524">
        <v>0.34599999999999997</v>
      </c>
      <c r="C524" s="5">
        <v>0.45100000000000001</v>
      </c>
      <c r="D524">
        <v>0.82650000000000001</v>
      </c>
      <c r="E524">
        <v>1.29</v>
      </c>
      <c r="F524">
        <v>1.843</v>
      </c>
      <c r="G524">
        <v>2.8115000000000001</v>
      </c>
    </row>
    <row r="525" spans="1:7" x14ac:dyDescent="0.25">
      <c r="A525" s="4">
        <v>41390</v>
      </c>
      <c r="B525">
        <v>0.35899999999999999</v>
      </c>
      <c r="C525" s="5">
        <v>0.46100000000000002</v>
      </c>
      <c r="D525">
        <v>0.84199999999999997</v>
      </c>
      <c r="E525">
        <v>1.2989999999999999</v>
      </c>
      <c r="F525">
        <v>1.8445</v>
      </c>
      <c r="G525">
        <v>2.7960000000000003</v>
      </c>
    </row>
    <row r="526" spans="1:7" x14ac:dyDescent="0.25">
      <c r="A526" s="4">
        <v>41389</v>
      </c>
      <c r="B526">
        <v>0.36309999999999998</v>
      </c>
      <c r="C526" s="5">
        <v>0.47149999999999997</v>
      </c>
      <c r="D526">
        <v>0.86339999999999995</v>
      </c>
      <c r="E526">
        <v>1.3320000000000001</v>
      </c>
      <c r="F526">
        <v>1.8835</v>
      </c>
      <c r="G526">
        <v>2.8420000000000001</v>
      </c>
    </row>
    <row r="527" spans="1:7" x14ac:dyDescent="0.25">
      <c r="A527" s="4">
        <v>41388</v>
      </c>
      <c r="B527">
        <v>0.3604</v>
      </c>
      <c r="C527" s="5">
        <v>0.4677</v>
      </c>
      <c r="D527">
        <v>0.86270000000000002</v>
      </c>
      <c r="E527">
        <v>1.3309</v>
      </c>
      <c r="F527">
        <v>1.8805000000000001</v>
      </c>
      <c r="G527">
        <v>2.8317999999999999</v>
      </c>
    </row>
    <row r="528" spans="1:7" x14ac:dyDescent="0.25">
      <c r="A528" s="4">
        <v>41387</v>
      </c>
      <c r="B528">
        <v>0.36370000000000002</v>
      </c>
      <c r="C528" s="5">
        <v>0.47310000000000002</v>
      </c>
      <c r="D528">
        <v>0.877</v>
      </c>
      <c r="E528">
        <v>1.3452</v>
      </c>
      <c r="F528">
        <v>1.8972</v>
      </c>
      <c r="G528">
        <v>2.8414999999999999</v>
      </c>
    </row>
    <row r="529" spans="1:7" x14ac:dyDescent="0.25">
      <c r="A529" s="4">
        <v>41386</v>
      </c>
      <c r="B529">
        <v>0.36199999999999999</v>
      </c>
      <c r="C529" s="5">
        <v>0.4703</v>
      </c>
      <c r="D529">
        <v>0.86150000000000004</v>
      </c>
      <c r="E529">
        <v>1.3239000000000001</v>
      </c>
      <c r="F529">
        <v>1.8679999999999999</v>
      </c>
      <c r="G529">
        <v>2.8010000000000002</v>
      </c>
    </row>
    <row r="530" spans="1:7" x14ac:dyDescent="0.25">
      <c r="A530" s="4">
        <v>41383</v>
      </c>
      <c r="B530">
        <v>0.37040000000000001</v>
      </c>
      <c r="C530" s="5">
        <v>0.48199999999999998</v>
      </c>
      <c r="D530">
        <v>0.875</v>
      </c>
      <c r="E530">
        <v>1.3342000000000001</v>
      </c>
      <c r="F530">
        <v>1.8734999999999999</v>
      </c>
      <c r="G530">
        <v>2.8016000000000001</v>
      </c>
    </row>
    <row r="531" spans="1:7" x14ac:dyDescent="0.25">
      <c r="A531" s="4">
        <v>41382</v>
      </c>
      <c r="B531">
        <v>0.36599999999999999</v>
      </c>
      <c r="C531" s="5">
        <v>0.47360000000000002</v>
      </c>
      <c r="D531">
        <v>0.86240000000000006</v>
      </c>
      <c r="E531">
        <v>1.3161</v>
      </c>
      <c r="F531">
        <v>1.8508</v>
      </c>
      <c r="G531">
        <v>2.7721999999999998</v>
      </c>
    </row>
    <row r="532" spans="1:7" x14ac:dyDescent="0.25">
      <c r="A532" s="4">
        <v>41381</v>
      </c>
      <c r="B532">
        <v>0.37080000000000002</v>
      </c>
      <c r="C532" s="5">
        <v>0.47539999999999999</v>
      </c>
      <c r="D532">
        <v>0.86199999999999999</v>
      </c>
      <c r="E532">
        <v>1.323</v>
      </c>
      <c r="F532">
        <v>1.8622000000000001</v>
      </c>
      <c r="G532">
        <v>2.7949999999999999</v>
      </c>
    </row>
    <row r="533" spans="1:7" x14ac:dyDescent="0.25">
      <c r="A533" s="4">
        <v>41380</v>
      </c>
      <c r="B533">
        <v>0.36780000000000002</v>
      </c>
      <c r="C533" s="5">
        <v>0.47470000000000001</v>
      </c>
      <c r="D533">
        <v>0.87450000000000006</v>
      </c>
      <c r="E533">
        <v>1.3474999999999999</v>
      </c>
      <c r="F533">
        <v>1.8965000000000001</v>
      </c>
      <c r="G533">
        <v>2.839</v>
      </c>
    </row>
    <row r="534" spans="1:7" x14ac:dyDescent="0.25">
      <c r="A534" s="4">
        <v>41379</v>
      </c>
      <c r="B534">
        <v>0.36799999999999999</v>
      </c>
      <c r="C534" s="5">
        <v>0.46700000000000003</v>
      </c>
      <c r="D534">
        <v>0.85399999999999998</v>
      </c>
      <c r="E534">
        <v>1.3129999999999999</v>
      </c>
      <c r="F534">
        <v>1.8526</v>
      </c>
      <c r="G534">
        <v>2.7862</v>
      </c>
    </row>
    <row r="535" spans="1:7" x14ac:dyDescent="0.25">
      <c r="A535" s="4"/>
      <c r="C535" s="5"/>
    </row>
    <row r="536" spans="1:7" x14ac:dyDescent="0.25">
      <c r="A536" s="4"/>
    </row>
  </sheetData>
  <phoneticPr fontId="5" type="noConversion"/>
  <pageMargins left="0.7" right="0.7" top="0.75" bottom="0.75" header="0.3" footer="0.3"/>
  <pageSetup orientation="portrait"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DW508"/>
  <sheetViews>
    <sheetView topLeftCell="A4" workbookViewId="0">
      <selection activeCell="A65" sqref="A65"/>
    </sheetView>
  </sheetViews>
  <sheetFormatPr defaultRowHeight="15" x14ac:dyDescent="0.25"/>
  <cols>
    <col min="1" max="1" width="10.7109375" bestFit="1" customWidth="1"/>
    <col min="2" max="2" width="13.42578125" bestFit="1" customWidth="1"/>
    <col min="3" max="3" width="9.7109375" bestFit="1" customWidth="1"/>
  </cols>
  <sheetData>
    <row r="1" spans="1:127" x14ac:dyDescent="0.25">
      <c r="A1" s="9" t="e">
        <f ca="1">MID([1]!getformula(A2),SEARCH("rows=",[1]!getformula(A2),1)+5,LEN([1]!getformula(A2))-SEARCH("rows=",[1]!getformula(A2),1)-6)</f>
        <v>#VALUE!</v>
      </c>
      <c r="B1" t="str">
        <f ca="1">USA!G43</f>
        <v>EDM5</v>
      </c>
      <c r="C1" t="str">
        <f ca="1">USA!H43</f>
        <v>EDU5</v>
      </c>
      <c r="D1" t="str">
        <f ca="1">USA!I43</f>
        <v>EDZ5</v>
      </c>
      <c r="E1" t="str">
        <f ca="1">USA!J43</f>
        <v>EDH6</v>
      </c>
      <c r="F1" t="str">
        <f ca="1">USA!K43</f>
        <v>EDM6</v>
      </c>
      <c r="G1" t="str">
        <f ca="1">USA!L43</f>
        <v>EDU6</v>
      </c>
      <c r="H1" t="str">
        <f ca="1">USA!M43</f>
        <v>EDZ6</v>
      </c>
      <c r="I1" t="str">
        <f ca="1">USA!N43</f>
        <v>EDH7</v>
      </c>
      <c r="J1" t="str">
        <f ca="1">USA!O43</f>
        <v>EDM7</v>
      </c>
      <c r="K1" t="str">
        <f ca="1">USA!P43</f>
        <v>EDU7</v>
      </c>
      <c r="L1" t="str">
        <f ca="1">USA!Q43</f>
        <v>EDZ7</v>
      </c>
      <c r="M1" t="str">
        <f ca="1">USA!R43</f>
        <v>EDH8</v>
      </c>
      <c r="N1" t="str">
        <f ca="1">USA!S43</f>
        <v>EDM8</v>
      </c>
      <c r="O1" t="str">
        <f ca="1">USA!T43</f>
        <v>EDU8</v>
      </c>
      <c r="P1" t="str">
        <f ca="1">USA!U43</f>
        <v>EDZ8</v>
      </c>
      <c r="Q1" t="str">
        <f ca="1">USA!V43</f>
        <v>EDH9</v>
      </c>
      <c r="R1" t="str">
        <f ca="1">USA!W43</f>
        <v>EDM9</v>
      </c>
      <c r="S1" t="str">
        <f ca="1">USA!X43</f>
        <v>EDU9</v>
      </c>
      <c r="T1" t="str">
        <f ca="1">USA!Y43</f>
        <v>EDZ9</v>
      </c>
      <c r="U1" t="str">
        <f ca="1">USA!Z43</f>
        <v>EDH0</v>
      </c>
      <c r="W1" s="4"/>
      <c r="X1" s="4"/>
      <c r="Y1" s="4"/>
      <c r="Z1" s="4"/>
      <c r="AA1" s="4"/>
      <c r="AB1" s="4"/>
      <c r="AC1" s="4"/>
      <c r="AD1" s="4"/>
      <c r="AE1" s="4"/>
      <c r="AF1" s="4"/>
      <c r="AG1" s="4"/>
      <c r="AH1" s="4"/>
      <c r="AI1" s="4"/>
      <c r="AJ1" s="4"/>
      <c r="AK1" s="4"/>
      <c r="AL1" s="4"/>
      <c r="AM1" s="4"/>
      <c r="AN1" s="4"/>
      <c r="AO1" s="4"/>
      <c r="AP1" s="4"/>
      <c r="AQ1" s="4"/>
      <c r="AR1" s="4"/>
      <c r="AS1" s="4"/>
      <c r="AT1" s="4"/>
      <c r="AU1" s="4"/>
      <c r="AV1" s="4"/>
      <c r="AW1" s="4"/>
      <c r="AX1" s="4"/>
      <c r="AY1" s="4"/>
      <c r="AZ1" s="4"/>
      <c r="BA1" s="4"/>
      <c r="BB1" s="4"/>
      <c r="BC1" s="4"/>
      <c r="BD1" s="4"/>
      <c r="BE1" s="4"/>
      <c r="BF1" s="4"/>
      <c r="BG1" s="4"/>
      <c r="BH1" s="4"/>
      <c r="BI1" s="4"/>
      <c r="BJ1" s="4"/>
      <c r="BK1" s="4"/>
      <c r="BL1" s="4"/>
      <c r="BM1" s="4"/>
      <c r="BN1" s="4"/>
      <c r="BO1" s="4"/>
      <c r="BP1" s="4"/>
      <c r="BQ1" s="4"/>
      <c r="BR1" s="4"/>
      <c r="BS1" s="4"/>
      <c r="BT1" s="4"/>
      <c r="BU1" s="4"/>
      <c r="BV1" s="4"/>
      <c r="BW1" s="4"/>
      <c r="BX1" s="4"/>
      <c r="BY1" s="4"/>
      <c r="BZ1" s="4"/>
      <c r="CA1" s="4"/>
      <c r="CB1" s="4"/>
      <c r="CC1" s="4"/>
      <c r="CD1" s="4"/>
      <c r="CE1" s="4"/>
      <c r="CF1" s="4"/>
      <c r="CG1" s="4"/>
      <c r="CH1" s="4"/>
      <c r="CI1" s="4"/>
      <c r="CJ1" s="4"/>
      <c r="CK1" s="4"/>
      <c r="CL1" s="4"/>
      <c r="CM1" s="4"/>
      <c r="CN1" s="4"/>
      <c r="CO1" s="4"/>
      <c r="CP1" s="4"/>
      <c r="CQ1" s="4"/>
      <c r="CR1" s="4"/>
      <c r="CS1" s="4"/>
      <c r="CT1" s="4"/>
      <c r="CU1" s="4"/>
      <c r="CV1" s="4"/>
      <c r="CW1" s="4"/>
      <c r="CX1" s="4"/>
      <c r="CY1" s="4"/>
      <c r="CZ1" s="4"/>
      <c r="DA1" s="4"/>
      <c r="DB1" s="4"/>
      <c r="DC1" s="4"/>
      <c r="DD1" s="4"/>
      <c r="DE1" s="4"/>
      <c r="DF1" s="4"/>
      <c r="DG1" s="4"/>
      <c r="DH1" s="4"/>
      <c r="DI1" s="4"/>
      <c r="DJ1" s="4"/>
      <c r="DK1" s="4"/>
      <c r="DL1" s="4"/>
      <c r="DM1" s="4"/>
      <c r="DN1" s="4"/>
      <c r="DO1" s="4"/>
      <c r="DP1" s="4"/>
      <c r="DQ1" s="4"/>
      <c r="DR1" s="4"/>
      <c r="DS1" s="4"/>
      <c r="DT1" s="4"/>
      <c r="DU1" s="4"/>
      <c r="DV1" s="4"/>
      <c r="DW1" s="4"/>
    </row>
    <row r="2" spans="1:127" x14ac:dyDescent="0.25">
      <c r="A2" s="13" t="str">
        <f ca="1">_xll.BDH(B1&amp;" comdty","px last",USA!$K$41,USA!$N$41,"Sort=D")</f>
        <v>#N/A Requesting Data...</v>
      </c>
      <c r="B2" s="17"/>
      <c r="C2" t="str">
        <f ca="1">_xll.BDH(C1&amp;" comdty","px last",USA!$K$41,USA!$N$41,"Dts=H","Sort=D")</f>
        <v>#N/A Requesting Data...</v>
      </c>
      <c r="D2" t="str">
        <f ca="1">_xll.BDH(D1&amp;" comdty","px last",USA!$K$41,USA!$N$41,"Dts=H","Sort=D")</f>
        <v>#N/A Requesting Data...</v>
      </c>
      <c r="E2" t="str">
        <f ca="1">_xll.BDH(E1&amp;" comdty","px last",USA!$K$41,USA!$N$41,"Dts=H","Sort=D")</f>
        <v>#N/A Requesting Data...</v>
      </c>
      <c r="F2" t="str">
        <f ca="1">_xll.BDH(F1&amp;" comdty","px last",USA!$K$41,USA!$N$41,"Dts=H","Sort=D")</f>
        <v>#N/A Requesting Data...</v>
      </c>
      <c r="G2" t="str">
        <f ca="1">_xll.BDH(G1&amp;" comdty","px last",USA!$K$41,USA!$N$41,"Dts=H","Sort=D")</f>
        <v>#N/A Requesting Data...</v>
      </c>
      <c r="H2" t="str">
        <f ca="1">_xll.BDH(H1&amp;" comdty","px last",USA!$K$41,USA!$N$41,"Dts=H","Sort=D")</f>
        <v>#N/A Requesting Data...</v>
      </c>
      <c r="I2" t="str">
        <f ca="1">_xll.BDH(I1&amp;" comdty","px last",USA!$K$41,USA!$N$41,"Dts=H","Sort=D")</f>
        <v>#N/A Requesting Data...</v>
      </c>
      <c r="J2" t="str">
        <f ca="1">_xll.BDH(J1&amp;" comdty","px last",USA!$K$41,USA!$N$41,"Dts=H","Sort=D")</f>
        <v>#N/A Requesting Data...</v>
      </c>
      <c r="K2" t="str">
        <f ca="1">_xll.BDH(K1&amp;" comdty","px last",USA!$K$41,USA!$N$41,"Dts=H","Sort=D")</f>
        <v>#N/A Requesting Data...</v>
      </c>
      <c r="L2" t="str">
        <f ca="1">_xll.BDH(L1&amp;" comdty","px last",USA!$K$41,USA!$N$41,"Dts=H","Sort=D")</f>
        <v>#N/A Requesting Data...</v>
      </c>
      <c r="M2" t="str">
        <f ca="1">_xll.BDH(M1&amp;" comdty","px last",USA!$K$41,USA!$N$41,"Dts=H","Sort=D")</f>
        <v>#N/A Requesting Data...</v>
      </c>
      <c r="N2" t="str">
        <f ca="1">_xll.BDH(N1&amp;" comdty","px last",USA!$K$41,USA!$N$41,"Dts=H","Sort=D")</f>
        <v>#N/A Requesting Data...</v>
      </c>
      <c r="O2" t="str">
        <f ca="1">_xll.BDH(O1&amp;" comdty","px last",USA!$K$41,USA!$N$41,"Dts=H","Sort=D")</f>
        <v>#N/A Requesting Data...</v>
      </c>
      <c r="P2" t="str">
        <f ca="1">_xll.BDH(P1&amp;" comdty","px last",USA!$K$41,USA!$N$41,"Dts=H","Sort=D")</f>
        <v>#N/A Requesting Data...</v>
      </c>
      <c r="Q2" t="str">
        <f ca="1">_xll.BDH(Q1&amp;" comdty","px last",USA!$K$41,USA!$N$41,"Dts=H","Sort=D")</f>
        <v>#N/A Requesting Data...</v>
      </c>
      <c r="R2" t="str">
        <f ca="1">_xll.BDH(R1&amp;" comdty","px last",USA!$K$41,USA!$N$41,"Dts=H","Sort=D")</f>
        <v>#N/A Requesting Data...</v>
      </c>
      <c r="S2" t="str">
        <f ca="1">_xll.BDH(S1&amp;" comdty","px last",USA!$K$41,USA!$N$41,"Dts=H","Sort=D")</f>
        <v>#N/A Requesting Data...</v>
      </c>
      <c r="T2" t="str">
        <f ca="1">_xll.BDH(T1&amp;" comdty","px last",USA!$K$41,USA!$N$41,"Dts=H","Sort=D")</f>
        <v>#N/A Requesting Data...</v>
      </c>
      <c r="U2" t="str">
        <f ca="1">_xll.BDH(U1&amp;" comdty","px last",USA!$K$41,USA!$N$41,"Dts=H","Sort=D")</f>
        <v>#N/A Requesting Data...</v>
      </c>
    </row>
    <row r="3" spans="1:127" x14ac:dyDescent="0.25">
      <c r="A3" s="4"/>
      <c r="B3" s="17"/>
    </row>
    <row r="4" spans="1:127" x14ac:dyDescent="0.25">
      <c r="A4" s="4"/>
      <c r="B4" s="17"/>
    </row>
    <row r="5" spans="1:127" x14ac:dyDescent="0.25">
      <c r="A5" s="4"/>
      <c r="B5" s="17"/>
    </row>
    <row r="6" spans="1:127" x14ac:dyDescent="0.25">
      <c r="A6" s="4"/>
      <c r="B6" s="17"/>
    </row>
    <row r="7" spans="1:127" x14ac:dyDescent="0.25">
      <c r="A7" s="4"/>
      <c r="B7" s="17"/>
    </row>
    <row r="8" spans="1:127" x14ac:dyDescent="0.25">
      <c r="A8" s="4"/>
      <c r="B8" s="17"/>
    </row>
    <row r="9" spans="1:127" x14ac:dyDescent="0.25">
      <c r="A9" s="4"/>
      <c r="B9" s="17"/>
    </row>
    <row r="10" spans="1:127" x14ac:dyDescent="0.25">
      <c r="A10" s="4"/>
      <c r="B10" s="17"/>
    </row>
    <row r="11" spans="1:127" x14ac:dyDescent="0.25">
      <c r="A11" s="4"/>
      <c r="B11" s="17"/>
    </row>
    <row r="12" spans="1:127" x14ac:dyDescent="0.25">
      <c r="A12" s="4"/>
      <c r="B12" s="17"/>
    </row>
    <row r="13" spans="1:127" x14ac:dyDescent="0.25">
      <c r="A13" s="4"/>
      <c r="B13" s="17"/>
    </row>
    <row r="14" spans="1:127" x14ac:dyDescent="0.25">
      <c r="A14" s="4"/>
      <c r="B14" s="17"/>
    </row>
    <row r="15" spans="1:127" x14ac:dyDescent="0.25">
      <c r="A15" s="4"/>
      <c r="B15" s="17"/>
    </row>
    <row r="16" spans="1:127" x14ac:dyDescent="0.25">
      <c r="A16" s="4"/>
      <c r="B16" s="17"/>
    </row>
    <row r="17" spans="1:2" x14ac:dyDescent="0.25">
      <c r="A17" s="4"/>
      <c r="B17" s="17"/>
    </row>
    <row r="18" spans="1:2" x14ac:dyDescent="0.25">
      <c r="A18" s="4"/>
      <c r="B18" s="17"/>
    </row>
    <row r="19" spans="1:2" x14ac:dyDescent="0.25">
      <c r="A19" s="4"/>
      <c r="B19" s="17"/>
    </row>
    <row r="20" spans="1:2" x14ac:dyDescent="0.25">
      <c r="A20" s="4"/>
      <c r="B20" s="17"/>
    </row>
    <row r="21" spans="1:2" x14ac:dyDescent="0.25">
      <c r="A21" s="4"/>
      <c r="B21" s="17"/>
    </row>
    <row r="22" spans="1:2" x14ac:dyDescent="0.25">
      <c r="A22" s="4"/>
      <c r="B22" s="17"/>
    </row>
    <row r="23" spans="1:2" x14ac:dyDescent="0.25">
      <c r="A23" s="4"/>
      <c r="B23" s="17"/>
    </row>
    <row r="24" spans="1:2" x14ac:dyDescent="0.25">
      <c r="A24" s="4"/>
      <c r="B24" s="17"/>
    </row>
    <row r="25" spans="1:2" x14ac:dyDescent="0.25">
      <c r="A25" s="4"/>
      <c r="B25" s="17"/>
    </row>
    <row r="26" spans="1:2" x14ac:dyDescent="0.25">
      <c r="A26" s="4"/>
      <c r="B26" s="17"/>
    </row>
    <row r="27" spans="1:2" x14ac:dyDescent="0.25">
      <c r="A27" s="4"/>
      <c r="B27" s="17"/>
    </row>
    <row r="28" spans="1:2" x14ac:dyDescent="0.25">
      <c r="A28" s="4"/>
      <c r="B28" s="17"/>
    </row>
    <row r="29" spans="1:2" x14ac:dyDescent="0.25">
      <c r="A29" s="4"/>
      <c r="B29" s="17"/>
    </row>
    <row r="30" spans="1:2" x14ac:dyDescent="0.25">
      <c r="A30" s="4"/>
      <c r="B30" s="17"/>
    </row>
    <row r="31" spans="1:2" x14ac:dyDescent="0.25">
      <c r="A31" s="4"/>
      <c r="B31" s="17"/>
    </row>
    <row r="32" spans="1:2" x14ac:dyDescent="0.25">
      <c r="A32" s="4"/>
      <c r="B32" s="17"/>
    </row>
    <row r="33" spans="1:2" x14ac:dyDescent="0.25">
      <c r="A33" s="4"/>
      <c r="B33" s="17"/>
    </row>
    <row r="34" spans="1:2" x14ac:dyDescent="0.25">
      <c r="A34" s="4"/>
      <c r="B34" s="17"/>
    </row>
    <row r="35" spans="1:2" x14ac:dyDescent="0.25">
      <c r="A35" s="4"/>
      <c r="B35" s="17"/>
    </row>
    <row r="36" spans="1:2" x14ac:dyDescent="0.25">
      <c r="A36" s="4"/>
      <c r="B36" s="17"/>
    </row>
    <row r="37" spans="1:2" x14ac:dyDescent="0.25">
      <c r="A37" s="4"/>
      <c r="B37" s="17"/>
    </row>
    <row r="38" spans="1:2" x14ac:dyDescent="0.25">
      <c r="A38" s="4"/>
      <c r="B38" s="17"/>
    </row>
    <row r="39" spans="1:2" x14ac:dyDescent="0.25">
      <c r="A39" s="4"/>
      <c r="B39" s="17"/>
    </row>
    <row r="40" spans="1:2" x14ac:dyDescent="0.25">
      <c r="A40" s="4"/>
      <c r="B40" s="17"/>
    </row>
    <row r="41" spans="1:2" x14ac:dyDescent="0.25">
      <c r="A41" s="4"/>
      <c r="B41" s="17"/>
    </row>
    <row r="42" spans="1:2" x14ac:dyDescent="0.25">
      <c r="A42" s="4"/>
      <c r="B42" s="17"/>
    </row>
    <row r="43" spans="1:2" x14ac:dyDescent="0.25">
      <c r="A43" s="4"/>
      <c r="B43" s="17"/>
    </row>
    <row r="44" spans="1:2" x14ac:dyDescent="0.25">
      <c r="A44" s="4"/>
      <c r="B44" s="17"/>
    </row>
    <row r="45" spans="1:2" x14ac:dyDescent="0.25">
      <c r="A45" s="4"/>
      <c r="B45" s="17"/>
    </row>
    <row r="46" spans="1:2" x14ac:dyDescent="0.25">
      <c r="A46" s="4"/>
      <c r="B46" s="17"/>
    </row>
    <row r="47" spans="1:2" x14ac:dyDescent="0.25">
      <c r="A47" s="4"/>
      <c r="B47" s="17"/>
    </row>
    <row r="48" spans="1:2" x14ac:dyDescent="0.25">
      <c r="A48" s="4"/>
      <c r="B48" s="17"/>
    </row>
    <row r="49" spans="1:21" x14ac:dyDescent="0.25">
      <c r="A49" s="4"/>
      <c r="B49" s="17"/>
    </row>
    <row r="50" spans="1:21" x14ac:dyDescent="0.25">
      <c r="A50" s="4"/>
      <c r="B50" s="17"/>
    </row>
    <row r="51" spans="1:21" x14ac:dyDescent="0.25">
      <c r="A51" s="4"/>
      <c r="B51" s="17"/>
    </row>
    <row r="52" spans="1:21" x14ac:dyDescent="0.25">
      <c r="A52" s="4"/>
      <c r="B52" s="17"/>
    </row>
    <row r="53" spans="1:21" x14ac:dyDescent="0.25">
      <c r="A53" s="4"/>
      <c r="B53" s="17"/>
    </row>
    <row r="54" spans="1:21" x14ac:dyDescent="0.25">
      <c r="A54" s="4"/>
      <c r="B54" s="17"/>
    </row>
    <row r="55" spans="1:21" x14ac:dyDescent="0.25">
      <c r="A55" s="4"/>
      <c r="B55" s="17"/>
    </row>
    <row r="56" spans="1:21" x14ac:dyDescent="0.25">
      <c r="A56" s="4"/>
      <c r="B56" s="17"/>
    </row>
    <row r="57" spans="1:21" x14ac:dyDescent="0.25">
      <c r="A57" s="4"/>
      <c r="B57" s="17"/>
    </row>
    <row r="58" spans="1:21" x14ac:dyDescent="0.25">
      <c r="A58" s="4"/>
      <c r="B58" s="17"/>
    </row>
    <row r="59" spans="1:21" x14ac:dyDescent="0.25">
      <c r="A59" s="4"/>
      <c r="B59" s="17"/>
    </row>
    <row r="60" spans="1:21" x14ac:dyDescent="0.25">
      <c r="A60" s="4"/>
      <c r="B60" s="17"/>
    </row>
    <row r="61" spans="1:21" x14ac:dyDescent="0.25">
      <c r="A61" s="4"/>
      <c r="B61" s="17"/>
    </row>
    <row r="62" spans="1:21" x14ac:dyDescent="0.25">
      <c r="A62" s="4"/>
      <c r="B62" s="17"/>
    </row>
    <row r="63" spans="1:21" x14ac:dyDescent="0.25">
      <c r="A63" s="4">
        <v>42009</v>
      </c>
      <c r="B63" s="17">
        <v>2.9630999999999998</v>
      </c>
      <c r="C63">
        <v>2.9630999999999998</v>
      </c>
      <c r="D63">
        <v>2.9630999999999998</v>
      </c>
      <c r="E63">
        <v>2.9630999999999998</v>
      </c>
      <c r="F63">
        <v>2.9630999999999998</v>
      </c>
      <c r="G63">
        <v>2.9630999999999998</v>
      </c>
      <c r="H63">
        <v>2.9630999999999998</v>
      </c>
      <c r="K63">
        <v>2.9630999999999998</v>
      </c>
      <c r="N63">
        <v>2.9630999999999998</v>
      </c>
      <c r="T63">
        <v>2.9630999999999998</v>
      </c>
      <c r="U63">
        <v>2.9630999999999998</v>
      </c>
    </row>
    <row r="64" spans="1:21" x14ac:dyDescent="0.25">
      <c r="A64" s="4">
        <v>42006</v>
      </c>
      <c r="B64">
        <v>3.0194000000000001</v>
      </c>
      <c r="C64">
        <v>3.0194000000000001</v>
      </c>
      <c r="D64">
        <v>3.0194000000000001</v>
      </c>
      <c r="E64">
        <v>3.0194000000000001</v>
      </c>
      <c r="F64">
        <v>3.0194000000000001</v>
      </c>
      <c r="G64">
        <v>3.0194000000000001</v>
      </c>
      <c r="H64">
        <v>3.0194000000000001</v>
      </c>
      <c r="K64">
        <v>3.0194000000000001</v>
      </c>
      <c r="N64">
        <v>3.0194000000000001</v>
      </c>
      <c r="T64">
        <v>3.0194000000000001</v>
      </c>
      <c r="U64">
        <v>3.0194000000000001</v>
      </c>
    </row>
    <row r="65" spans="1:1" x14ac:dyDescent="0.25">
      <c r="A65" s="4"/>
    </row>
    <row r="66" spans="1:1" x14ac:dyDescent="0.25">
      <c r="A66" s="4"/>
    </row>
    <row r="67" spans="1:1" x14ac:dyDescent="0.25">
      <c r="A67" s="4"/>
    </row>
    <row r="68" spans="1:1" x14ac:dyDescent="0.25">
      <c r="A68" s="4"/>
    </row>
    <row r="69" spans="1:1" x14ac:dyDescent="0.25">
      <c r="A69" s="4"/>
    </row>
    <row r="70" spans="1:1" x14ac:dyDescent="0.25">
      <c r="A70" s="4"/>
    </row>
    <row r="71" spans="1:1" x14ac:dyDescent="0.25">
      <c r="A71" s="4"/>
    </row>
    <row r="72" spans="1:1" x14ac:dyDescent="0.25">
      <c r="A72" s="4"/>
    </row>
    <row r="73" spans="1:1" x14ac:dyDescent="0.25">
      <c r="A73" s="4"/>
    </row>
    <row r="74" spans="1:1" x14ac:dyDescent="0.25">
      <c r="A74" s="4"/>
    </row>
    <row r="75" spans="1:1" x14ac:dyDescent="0.25">
      <c r="A75" s="4"/>
    </row>
    <row r="76" spans="1:1" x14ac:dyDescent="0.25">
      <c r="A76" s="4"/>
    </row>
    <row r="77" spans="1:1" x14ac:dyDescent="0.25">
      <c r="A77" s="4"/>
    </row>
    <row r="78" spans="1:1" x14ac:dyDescent="0.25">
      <c r="A78" s="4"/>
    </row>
    <row r="79" spans="1:1" x14ac:dyDescent="0.25">
      <c r="A79" s="4"/>
    </row>
    <row r="80" spans="1:1" x14ac:dyDescent="0.25">
      <c r="A80" s="4"/>
    </row>
    <row r="81" spans="1:1" x14ac:dyDescent="0.25">
      <c r="A81" s="4"/>
    </row>
    <row r="82" spans="1:1" x14ac:dyDescent="0.25">
      <c r="A82" s="4"/>
    </row>
    <row r="83" spans="1:1" x14ac:dyDescent="0.25">
      <c r="A83" s="4"/>
    </row>
    <row r="84" spans="1:1" x14ac:dyDescent="0.25">
      <c r="A84" s="4"/>
    </row>
    <row r="85" spans="1:1" x14ac:dyDescent="0.25">
      <c r="A85" s="4"/>
    </row>
    <row r="86" spans="1:1" x14ac:dyDescent="0.25">
      <c r="A86" s="4"/>
    </row>
    <row r="87" spans="1:1" x14ac:dyDescent="0.25">
      <c r="A87" s="4"/>
    </row>
    <row r="88" spans="1:1" x14ac:dyDescent="0.25">
      <c r="A88" s="4"/>
    </row>
    <row r="89" spans="1:1" x14ac:dyDescent="0.25">
      <c r="A89" s="4"/>
    </row>
    <row r="90" spans="1:1" x14ac:dyDescent="0.25">
      <c r="A90" s="4"/>
    </row>
    <row r="91" spans="1:1" x14ac:dyDescent="0.25">
      <c r="A91" s="4"/>
    </row>
    <row r="92" spans="1:1" x14ac:dyDescent="0.25">
      <c r="A92" s="4"/>
    </row>
    <row r="93" spans="1:1" x14ac:dyDescent="0.25">
      <c r="A93" s="4"/>
    </row>
    <row r="94" spans="1:1" x14ac:dyDescent="0.25">
      <c r="A94" s="4"/>
    </row>
    <row r="95" spans="1:1" x14ac:dyDescent="0.25">
      <c r="A95" s="4"/>
    </row>
    <row r="96" spans="1:1" x14ac:dyDescent="0.25">
      <c r="A96" s="4"/>
    </row>
    <row r="97" spans="1:1" x14ac:dyDescent="0.25">
      <c r="A97" s="4"/>
    </row>
    <row r="98" spans="1:1" x14ac:dyDescent="0.25">
      <c r="A98" s="4"/>
    </row>
    <row r="99" spans="1:1" x14ac:dyDescent="0.25">
      <c r="A99" s="4"/>
    </row>
    <row r="100" spans="1:1" x14ac:dyDescent="0.25">
      <c r="A100" s="4"/>
    </row>
    <row r="101" spans="1:1" x14ac:dyDescent="0.25">
      <c r="A101" s="4"/>
    </row>
    <row r="102" spans="1:1" x14ac:dyDescent="0.25">
      <c r="A102" s="4"/>
    </row>
    <row r="103" spans="1:1" x14ac:dyDescent="0.25">
      <c r="A103" s="4"/>
    </row>
    <row r="104" spans="1:1" x14ac:dyDescent="0.25">
      <c r="A104" s="4"/>
    </row>
    <row r="105" spans="1:1" x14ac:dyDescent="0.25">
      <c r="A105" s="4"/>
    </row>
    <row r="106" spans="1:1" x14ac:dyDescent="0.25">
      <c r="A106" s="4"/>
    </row>
    <row r="107" spans="1:1" x14ac:dyDescent="0.25">
      <c r="A107" s="4"/>
    </row>
    <row r="108" spans="1:1" x14ac:dyDescent="0.25">
      <c r="A108" s="4"/>
    </row>
    <row r="109" spans="1:1" x14ac:dyDescent="0.25">
      <c r="A109" s="4"/>
    </row>
    <row r="110" spans="1:1" x14ac:dyDescent="0.25">
      <c r="A110" s="4"/>
    </row>
    <row r="111" spans="1:1" x14ac:dyDescent="0.25">
      <c r="A111" s="4"/>
    </row>
    <row r="112" spans="1:1" x14ac:dyDescent="0.25">
      <c r="A112" s="4"/>
    </row>
    <row r="113" spans="1:1" x14ac:dyDescent="0.25">
      <c r="A113" s="4"/>
    </row>
    <row r="114" spans="1:1" x14ac:dyDescent="0.25">
      <c r="A114" s="4"/>
    </row>
    <row r="115" spans="1:1" x14ac:dyDescent="0.25">
      <c r="A115" s="4"/>
    </row>
    <row r="116" spans="1:1" x14ac:dyDescent="0.25">
      <c r="A116" s="4"/>
    </row>
    <row r="117" spans="1:1" x14ac:dyDescent="0.25">
      <c r="A117" s="4"/>
    </row>
    <row r="118" spans="1:1" x14ac:dyDescent="0.25">
      <c r="A118" s="4"/>
    </row>
    <row r="119" spans="1:1" x14ac:dyDescent="0.25">
      <c r="A119" s="4"/>
    </row>
    <row r="120" spans="1:1" x14ac:dyDescent="0.25">
      <c r="A120" s="4"/>
    </row>
    <row r="121" spans="1:1" x14ac:dyDescent="0.25">
      <c r="A121" s="4"/>
    </row>
    <row r="122" spans="1:1" x14ac:dyDescent="0.25">
      <c r="A122" s="4"/>
    </row>
    <row r="123" spans="1:1" x14ac:dyDescent="0.25">
      <c r="A123" s="4"/>
    </row>
    <row r="124" spans="1:1" x14ac:dyDescent="0.25">
      <c r="A124" s="4"/>
    </row>
    <row r="125" spans="1:1" x14ac:dyDescent="0.25">
      <c r="A125" s="4"/>
    </row>
    <row r="126" spans="1:1" x14ac:dyDescent="0.25">
      <c r="A126" s="4"/>
    </row>
    <row r="127" spans="1:1" x14ac:dyDescent="0.25">
      <c r="A127" s="4"/>
    </row>
    <row r="128" spans="1:1" x14ac:dyDescent="0.25">
      <c r="A128" s="4"/>
    </row>
    <row r="129" spans="1:1" x14ac:dyDescent="0.25">
      <c r="A129" s="4"/>
    </row>
    <row r="130" spans="1:1" x14ac:dyDescent="0.25">
      <c r="A130" s="4"/>
    </row>
    <row r="131" spans="1:1" x14ac:dyDescent="0.25">
      <c r="A131" s="4"/>
    </row>
    <row r="132" spans="1:1" x14ac:dyDescent="0.25">
      <c r="A132" s="4"/>
    </row>
    <row r="133" spans="1:1" x14ac:dyDescent="0.25">
      <c r="A133" s="4"/>
    </row>
    <row r="134" spans="1:1" x14ac:dyDescent="0.25">
      <c r="A134" s="4"/>
    </row>
    <row r="135" spans="1:1" x14ac:dyDescent="0.25">
      <c r="A135" s="4"/>
    </row>
    <row r="136" spans="1:1" x14ac:dyDescent="0.25">
      <c r="A136" s="4"/>
    </row>
    <row r="137" spans="1:1" x14ac:dyDescent="0.25">
      <c r="A137" s="4"/>
    </row>
    <row r="138" spans="1:1" x14ac:dyDescent="0.25">
      <c r="A138" s="4"/>
    </row>
    <row r="139" spans="1:1" x14ac:dyDescent="0.25">
      <c r="A139" s="4"/>
    </row>
    <row r="140" spans="1:1" x14ac:dyDescent="0.25">
      <c r="A140" s="4"/>
    </row>
    <row r="141" spans="1:1" x14ac:dyDescent="0.25">
      <c r="A141" s="4"/>
    </row>
    <row r="142" spans="1:1" x14ac:dyDescent="0.25">
      <c r="A142" s="4"/>
    </row>
    <row r="143" spans="1:1" x14ac:dyDescent="0.25">
      <c r="A143" s="4"/>
    </row>
    <row r="144" spans="1:1" x14ac:dyDescent="0.25">
      <c r="A144" s="4"/>
    </row>
    <row r="145" spans="1:1" x14ac:dyDescent="0.25">
      <c r="A145" s="4"/>
    </row>
    <row r="146" spans="1:1" x14ac:dyDescent="0.25">
      <c r="A146" s="4"/>
    </row>
    <row r="147" spans="1:1" x14ac:dyDescent="0.25">
      <c r="A147" s="4"/>
    </row>
    <row r="148" spans="1:1" x14ac:dyDescent="0.25">
      <c r="A148" s="4"/>
    </row>
    <row r="149" spans="1:1" x14ac:dyDescent="0.25">
      <c r="A149" s="4"/>
    </row>
    <row r="150" spans="1:1" x14ac:dyDescent="0.25">
      <c r="A150" s="4"/>
    </row>
    <row r="151" spans="1:1" x14ac:dyDescent="0.25">
      <c r="A151" s="4"/>
    </row>
    <row r="152" spans="1:1" x14ac:dyDescent="0.25">
      <c r="A152" s="4"/>
    </row>
    <row r="153" spans="1:1" x14ac:dyDescent="0.25">
      <c r="A153" s="4"/>
    </row>
    <row r="154" spans="1:1" x14ac:dyDescent="0.25">
      <c r="A154" s="4"/>
    </row>
    <row r="155" spans="1:1" x14ac:dyDescent="0.25">
      <c r="A155" s="4"/>
    </row>
    <row r="156" spans="1:1" x14ac:dyDescent="0.25">
      <c r="A156" s="4"/>
    </row>
    <row r="157" spans="1:1" x14ac:dyDescent="0.25">
      <c r="A157" s="4"/>
    </row>
    <row r="158" spans="1:1" x14ac:dyDescent="0.25">
      <c r="A158" s="4"/>
    </row>
    <row r="159" spans="1:1" x14ac:dyDescent="0.25">
      <c r="A159" s="4"/>
    </row>
    <row r="160" spans="1:1" x14ac:dyDescent="0.25">
      <c r="A160" s="4"/>
    </row>
    <row r="161" spans="1:1" x14ac:dyDescent="0.25">
      <c r="A161" s="4"/>
    </row>
    <row r="162" spans="1:1" x14ac:dyDescent="0.25">
      <c r="A162" s="4"/>
    </row>
    <row r="163" spans="1:1" x14ac:dyDescent="0.25">
      <c r="A163" s="4"/>
    </row>
    <row r="164" spans="1:1" x14ac:dyDescent="0.25">
      <c r="A164" s="4"/>
    </row>
    <row r="165" spans="1:1" x14ac:dyDescent="0.25">
      <c r="A165" s="4"/>
    </row>
    <row r="166" spans="1:1" x14ac:dyDescent="0.25">
      <c r="A166" s="4"/>
    </row>
    <row r="167" spans="1:1" x14ac:dyDescent="0.25">
      <c r="A167" s="4"/>
    </row>
    <row r="168" spans="1:1" x14ac:dyDescent="0.25">
      <c r="A168" s="4"/>
    </row>
    <row r="169" spans="1:1" x14ac:dyDescent="0.25">
      <c r="A169" s="4"/>
    </row>
    <row r="170" spans="1:1" x14ac:dyDescent="0.25">
      <c r="A170" s="4"/>
    </row>
    <row r="171" spans="1:1" x14ac:dyDescent="0.25">
      <c r="A171" s="4"/>
    </row>
    <row r="172" spans="1:1" x14ac:dyDescent="0.25">
      <c r="A172" s="4"/>
    </row>
    <row r="173" spans="1:1" x14ac:dyDescent="0.25">
      <c r="A173" s="4"/>
    </row>
    <row r="174" spans="1:1" x14ac:dyDescent="0.25">
      <c r="A174" s="4"/>
    </row>
    <row r="175" spans="1:1" x14ac:dyDescent="0.25">
      <c r="A175" s="4"/>
    </row>
    <row r="176" spans="1:1" x14ac:dyDescent="0.25">
      <c r="A176" s="4"/>
    </row>
    <row r="177" spans="1:1" x14ac:dyDescent="0.25">
      <c r="A177" s="4"/>
    </row>
    <row r="178" spans="1:1" x14ac:dyDescent="0.25">
      <c r="A178" s="4"/>
    </row>
    <row r="179" spans="1:1" x14ac:dyDescent="0.25">
      <c r="A179" s="4"/>
    </row>
    <row r="180" spans="1:1" x14ac:dyDescent="0.25">
      <c r="A180" s="4"/>
    </row>
    <row r="181" spans="1:1" x14ac:dyDescent="0.25">
      <c r="A181" s="4"/>
    </row>
    <row r="182" spans="1:1" x14ac:dyDescent="0.25">
      <c r="A182" s="4"/>
    </row>
    <row r="183" spans="1:1" x14ac:dyDescent="0.25">
      <c r="A183" s="4"/>
    </row>
    <row r="184" spans="1:1" x14ac:dyDescent="0.25">
      <c r="A184" s="4"/>
    </row>
    <row r="185" spans="1:1" x14ac:dyDescent="0.25">
      <c r="A185" s="4"/>
    </row>
    <row r="186" spans="1:1" x14ac:dyDescent="0.25">
      <c r="A186" s="4"/>
    </row>
    <row r="187" spans="1:1" x14ac:dyDescent="0.25">
      <c r="A187" s="4"/>
    </row>
    <row r="188" spans="1:1" x14ac:dyDescent="0.25">
      <c r="A188" s="4"/>
    </row>
    <row r="189" spans="1:1" x14ac:dyDescent="0.25">
      <c r="A189" s="4"/>
    </row>
    <row r="190" spans="1:1" x14ac:dyDescent="0.25">
      <c r="A190" s="4"/>
    </row>
    <row r="191" spans="1:1" x14ac:dyDescent="0.25">
      <c r="A191" s="4"/>
    </row>
    <row r="192" spans="1:1" x14ac:dyDescent="0.25">
      <c r="A192" s="4"/>
    </row>
    <row r="193" spans="1:1" x14ac:dyDescent="0.25">
      <c r="A193" s="4"/>
    </row>
    <row r="194" spans="1:1" x14ac:dyDescent="0.25">
      <c r="A194" s="4"/>
    </row>
    <row r="195" spans="1:1" x14ac:dyDescent="0.25">
      <c r="A195" s="4"/>
    </row>
    <row r="196" spans="1:1" x14ac:dyDescent="0.25">
      <c r="A196" s="4"/>
    </row>
    <row r="197" spans="1:1" x14ac:dyDescent="0.25">
      <c r="A197" s="4"/>
    </row>
    <row r="198" spans="1:1" x14ac:dyDescent="0.25">
      <c r="A198" s="4"/>
    </row>
    <row r="199" spans="1:1" x14ac:dyDescent="0.25">
      <c r="A199" s="4"/>
    </row>
    <row r="200" spans="1:1" x14ac:dyDescent="0.25">
      <c r="A200" s="4"/>
    </row>
    <row r="201" spans="1:1" x14ac:dyDescent="0.25">
      <c r="A201" s="4"/>
    </row>
    <row r="202" spans="1:1" x14ac:dyDescent="0.25">
      <c r="A202" s="4"/>
    </row>
    <row r="203" spans="1:1" x14ac:dyDescent="0.25">
      <c r="A203" s="4"/>
    </row>
    <row r="204" spans="1:1" x14ac:dyDescent="0.25">
      <c r="A204" s="4"/>
    </row>
    <row r="205" spans="1:1" x14ac:dyDescent="0.25">
      <c r="A205" s="4"/>
    </row>
    <row r="206" spans="1:1" x14ac:dyDescent="0.25">
      <c r="A206" s="4"/>
    </row>
    <row r="207" spans="1:1" x14ac:dyDescent="0.25">
      <c r="A207" s="4"/>
    </row>
    <row r="208" spans="1:1" x14ac:dyDescent="0.25">
      <c r="A208" s="4"/>
    </row>
    <row r="209" spans="1:1" x14ac:dyDescent="0.25">
      <c r="A209" s="4"/>
    </row>
    <row r="210" spans="1:1" x14ac:dyDescent="0.25">
      <c r="A210" s="4"/>
    </row>
    <row r="211" spans="1:1" x14ac:dyDescent="0.25">
      <c r="A211" s="4"/>
    </row>
    <row r="212" spans="1:1" x14ac:dyDescent="0.25">
      <c r="A212" s="4"/>
    </row>
    <row r="213" spans="1:1" x14ac:dyDescent="0.25">
      <c r="A213" s="4"/>
    </row>
    <row r="214" spans="1:1" x14ac:dyDescent="0.25">
      <c r="A214" s="4"/>
    </row>
    <row r="215" spans="1:1" x14ac:dyDescent="0.25">
      <c r="A215" s="4"/>
    </row>
    <row r="216" spans="1:1" x14ac:dyDescent="0.25">
      <c r="A216" s="4"/>
    </row>
    <row r="217" spans="1:1" x14ac:dyDescent="0.25">
      <c r="A217" s="4"/>
    </row>
    <row r="218" spans="1:1" x14ac:dyDescent="0.25">
      <c r="A218" s="4"/>
    </row>
    <row r="219" spans="1:1" x14ac:dyDescent="0.25">
      <c r="A219" s="4"/>
    </row>
    <row r="220" spans="1:1" x14ac:dyDescent="0.25">
      <c r="A220" s="4"/>
    </row>
    <row r="221" spans="1:1" x14ac:dyDescent="0.25">
      <c r="A221" s="4"/>
    </row>
    <row r="222" spans="1:1" x14ac:dyDescent="0.25">
      <c r="A222" s="4"/>
    </row>
    <row r="223" spans="1:1" x14ac:dyDescent="0.25">
      <c r="A223" s="4"/>
    </row>
    <row r="224" spans="1:1" x14ac:dyDescent="0.25">
      <c r="A224" s="4"/>
    </row>
    <row r="225" spans="1:1" x14ac:dyDescent="0.25">
      <c r="A225" s="4"/>
    </row>
    <row r="226" spans="1:1" x14ac:dyDescent="0.25">
      <c r="A226" s="4"/>
    </row>
    <row r="227" spans="1:1" x14ac:dyDescent="0.25">
      <c r="A227" s="4"/>
    </row>
    <row r="228" spans="1:1" x14ac:dyDescent="0.25">
      <c r="A228" s="4"/>
    </row>
    <row r="229" spans="1:1" x14ac:dyDescent="0.25">
      <c r="A229" s="4"/>
    </row>
    <row r="230" spans="1:1" x14ac:dyDescent="0.25">
      <c r="A230" s="4"/>
    </row>
    <row r="231" spans="1:1" x14ac:dyDescent="0.25">
      <c r="A231" s="4"/>
    </row>
    <row r="232" spans="1:1" x14ac:dyDescent="0.25">
      <c r="A232" s="4"/>
    </row>
    <row r="233" spans="1:1" x14ac:dyDescent="0.25">
      <c r="A233" s="4"/>
    </row>
    <row r="234" spans="1:1" x14ac:dyDescent="0.25">
      <c r="A234" s="4"/>
    </row>
    <row r="235" spans="1:1" x14ac:dyDescent="0.25">
      <c r="A235" s="4"/>
    </row>
    <row r="236" spans="1:1" x14ac:dyDescent="0.25">
      <c r="A236" s="4"/>
    </row>
    <row r="237" spans="1:1" x14ac:dyDescent="0.25">
      <c r="A237" s="4"/>
    </row>
    <row r="238" spans="1:1" x14ac:dyDescent="0.25">
      <c r="A238" s="4"/>
    </row>
    <row r="239" spans="1:1" x14ac:dyDescent="0.25">
      <c r="A239" s="4"/>
    </row>
    <row r="240" spans="1:1" x14ac:dyDescent="0.25">
      <c r="A240" s="4"/>
    </row>
    <row r="241" spans="1:1" x14ac:dyDescent="0.25">
      <c r="A241" s="4"/>
    </row>
    <row r="242" spans="1:1" x14ac:dyDescent="0.25">
      <c r="A242" s="4"/>
    </row>
    <row r="243" spans="1:1" x14ac:dyDescent="0.25">
      <c r="A243" s="4"/>
    </row>
    <row r="244" spans="1:1" x14ac:dyDescent="0.25">
      <c r="A244" s="4"/>
    </row>
    <row r="245" spans="1:1" x14ac:dyDescent="0.25">
      <c r="A245" s="4"/>
    </row>
    <row r="246" spans="1:1" x14ac:dyDescent="0.25">
      <c r="A246" s="4"/>
    </row>
    <row r="247" spans="1:1" x14ac:dyDescent="0.25">
      <c r="A247" s="4"/>
    </row>
    <row r="248" spans="1:1" x14ac:dyDescent="0.25">
      <c r="A248" s="4"/>
    </row>
    <row r="249" spans="1:1" x14ac:dyDescent="0.25">
      <c r="A249" s="4"/>
    </row>
    <row r="250" spans="1:1" x14ac:dyDescent="0.25">
      <c r="A250" s="4"/>
    </row>
    <row r="251" spans="1:1" x14ac:dyDescent="0.25">
      <c r="A251" s="4"/>
    </row>
    <row r="252" spans="1:1" x14ac:dyDescent="0.25">
      <c r="A252" s="4"/>
    </row>
    <row r="253" spans="1:1" x14ac:dyDescent="0.25">
      <c r="A253" s="4"/>
    </row>
    <row r="254" spans="1:1" x14ac:dyDescent="0.25">
      <c r="A254" s="4"/>
    </row>
    <row r="255" spans="1:1" x14ac:dyDescent="0.25">
      <c r="A255" s="4"/>
    </row>
    <row r="256" spans="1:1" x14ac:dyDescent="0.25">
      <c r="A256" s="4"/>
    </row>
    <row r="257" spans="1:1" x14ac:dyDescent="0.25">
      <c r="A257" s="4"/>
    </row>
    <row r="258" spans="1:1" x14ac:dyDescent="0.25">
      <c r="A258" s="4"/>
    </row>
    <row r="259" spans="1:1" x14ac:dyDescent="0.25">
      <c r="A259" s="4"/>
    </row>
    <row r="260" spans="1:1" x14ac:dyDescent="0.25">
      <c r="A260" s="4"/>
    </row>
    <row r="261" spans="1:1" x14ac:dyDescent="0.25">
      <c r="A261" s="4"/>
    </row>
    <row r="262" spans="1:1" x14ac:dyDescent="0.25">
      <c r="A262" s="4"/>
    </row>
    <row r="263" spans="1:1" x14ac:dyDescent="0.25">
      <c r="A263" s="4"/>
    </row>
    <row r="264" spans="1:1" x14ac:dyDescent="0.25">
      <c r="A264" s="4"/>
    </row>
    <row r="265" spans="1:1" x14ac:dyDescent="0.25">
      <c r="A265" s="4"/>
    </row>
    <row r="266" spans="1:1" x14ac:dyDescent="0.25">
      <c r="A266" s="4"/>
    </row>
    <row r="267" spans="1:1" x14ac:dyDescent="0.25">
      <c r="A267" s="4"/>
    </row>
    <row r="268" spans="1:1" x14ac:dyDescent="0.25">
      <c r="A268" s="4"/>
    </row>
    <row r="269" spans="1:1" x14ac:dyDescent="0.25">
      <c r="A269" s="4"/>
    </row>
    <row r="270" spans="1:1" x14ac:dyDescent="0.25">
      <c r="A270" s="4"/>
    </row>
    <row r="271" spans="1:1" x14ac:dyDescent="0.25">
      <c r="A271" s="4"/>
    </row>
    <row r="272" spans="1:1" x14ac:dyDescent="0.25">
      <c r="A272" s="4"/>
    </row>
    <row r="273" spans="1:1" x14ac:dyDescent="0.25">
      <c r="A273" s="4"/>
    </row>
    <row r="274" spans="1:1" x14ac:dyDescent="0.25">
      <c r="A274" s="4"/>
    </row>
    <row r="275" spans="1:1" x14ac:dyDescent="0.25">
      <c r="A275" s="4"/>
    </row>
    <row r="276" spans="1:1" x14ac:dyDescent="0.25">
      <c r="A276" s="4"/>
    </row>
    <row r="277" spans="1:1" x14ac:dyDescent="0.25">
      <c r="A277" s="4"/>
    </row>
    <row r="278" spans="1:1" x14ac:dyDescent="0.25">
      <c r="A278" s="4"/>
    </row>
    <row r="279" spans="1:1" x14ac:dyDescent="0.25">
      <c r="A279" s="4"/>
    </row>
    <row r="280" spans="1:1" x14ac:dyDescent="0.25">
      <c r="A280" s="4"/>
    </row>
    <row r="281" spans="1:1" x14ac:dyDescent="0.25">
      <c r="A281" s="4"/>
    </row>
    <row r="282" spans="1:1" x14ac:dyDescent="0.25">
      <c r="A282" s="4"/>
    </row>
    <row r="283" spans="1:1" x14ac:dyDescent="0.25">
      <c r="A283" s="4"/>
    </row>
    <row r="284" spans="1:1" x14ac:dyDescent="0.25">
      <c r="A284" s="4"/>
    </row>
    <row r="285" spans="1:1" x14ac:dyDescent="0.25">
      <c r="A285" s="4"/>
    </row>
    <row r="286" spans="1:1" x14ac:dyDescent="0.25">
      <c r="A286" s="4"/>
    </row>
    <row r="287" spans="1:1" x14ac:dyDescent="0.25">
      <c r="A287" s="4"/>
    </row>
    <row r="288" spans="1:1" x14ac:dyDescent="0.25">
      <c r="A288" s="4"/>
    </row>
    <row r="289" spans="1:1" x14ac:dyDescent="0.25">
      <c r="A289" s="4"/>
    </row>
    <row r="290" spans="1:1" x14ac:dyDescent="0.25">
      <c r="A290" s="4"/>
    </row>
    <row r="291" spans="1:1" x14ac:dyDescent="0.25">
      <c r="A291" s="4"/>
    </row>
    <row r="292" spans="1:1" x14ac:dyDescent="0.25">
      <c r="A292" s="4"/>
    </row>
    <row r="293" spans="1:1" x14ac:dyDescent="0.25">
      <c r="A293" s="4"/>
    </row>
    <row r="294" spans="1:1" x14ac:dyDescent="0.25">
      <c r="A294" s="4"/>
    </row>
    <row r="295" spans="1:1" x14ac:dyDescent="0.25">
      <c r="A295" s="4"/>
    </row>
    <row r="296" spans="1:1" x14ac:dyDescent="0.25">
      <c r="A296" s="4"/>
    </row>
    <row r="297" spans="1:1" x14ac:dyDescent="0.25">
      <c r="A297" s="4"/>
    </row>
    <row r="298" spans="1:1" x14ac:dyDescent="0.25">
      <c r="A298" s="4"/>
    </row>
    <row r="299" spans="1:1" x14ac:dyDescent="0.25">
      <c r="A299" s="4"/>
    </row>
    <row r="300" spans="1:1" x14ac:dyDescent="0.25">
      <c r="A300" s="4"/>
    </row>
    <row r="301" spans="1:1" x14ac:dyDescent="0.25">
      <c r="A301" s="4"/>
    </row>
    <row r="302" spans="1:1" x14ac:dyDescent="0.25">
      <c r="A302" s="4"/>
    </row>
    <row r="303" spans="1:1" x14ac:dyDescent="0.25">
      <c r="A303" s="4"/>
    </row>
    <row r="304" spans="1:1" x14ac:dyDescent="0.25">
      <c r="A304" s="4"/>
    </row>
    <row r="305" spans="1:1" x14ac:dyDescent="0.25">
      <c r="A305" s="4"/>
    </row>
    <row r="306" spans="1:1" x14ac:dyDescent="0.25">
      <c r="A306" s="4"/>
    </row>
    <row r="307" spans="1:1" x14ac:dyDescent="0.25">
      <c r="A307" s="4"/>
    </row>
    <row r="308" spans="1:1" x14ac:dyDescent="0.25">
      <c r="A308" s="4"/>
    </row>
    <row r="309" spans="1:1" x14ac:dyDescent="0.25">
      <c r="A309" s="4"/>
    </row>
    <row r="310" spans="1:1" x14ac:dyDescent="0.25">
      <c r="A310" s="4"/>
    </row>
    <row r="311" spans="1:1" x14ac:dyDescent="0.25">
      <c r="A311" s="4"/>
    </row>
    <row r="312" spans="1:1" x14ac:dyDescent="0.25">
      <c r="A312" s="4"/>
    </row>
    <row r="313" spans="1:1" x14ac:dyDescent="0.25">
      <c r="A313" s="4"/>
    </row>
    <row r="314" spans="1:1" x14ac:dyDescent="0.25">
      <c r="A314" s="4"/>
    </row>
    <row r="315" spans="1:1" x14ac:dyDescent="0.25">
      <c r="A315" s="4"/>
    </row>
    <row r="316" spans="1:1" x14ac:dyDescent="0.25">
      <c r="A316" s="4"/>
    </row>
    <row r="317" spans="1:1" x14ac:dyDescent="0.25">
      <c r="A317" s="4"/>
    </row>
    <row r="318" spans="1:1" x14ac:dyDescent="0.25">
      <c r="A318" s="4"/>
    </row>
    <row r="319" spans="1:1" x14ac:dyDescent="0.25">
      <c r="A319" s="4"/>
    </row>
    <row r="320" spans="1:1" x14ac:dyDescent="0.25">
      <c r="A320" s="4"/>
    </row>
    <row r="321" spans="1:1" x14ac:dyDescent="0.25">
      <c r="A321" s="4"/>
    </row>
    <row r="322" spans="1:1" x14ac:dyDescent="0.25">
      <c r="A322" s="4"/>
    </row>
    <row r="323" spans="1:1" x14ac:dyDescent="0.25">
      <c r="A323" s="4"/>
    </row>
    <row r="324" spans="1:1" x14ac:dyDescent="0.25">
      <c r="A324" s="4"/>
    </row>
    <row r="325" spans="1:1" x14ac:dyDescent="0.25">
      <c r="A325" s="4"/>
    </row>
    <row r="326" spans="1:1" x14ac:dyDescent="0.25">
      <c r="A326" s="4"/>
    </row>
    <row r="327" spans="1:1" x14ac:dyDescent="0.25">
      <c r="A327" s="4"/>
    </row>
    <row r="328" spans="1:1" x14ac:dyDescent="0.25">
      <c r="A328" s="4"/>
    </row>
    <row r="329" spans="1:1" x14ac:dyDescent="0.25">
      <c r="A329" s="4"/>
    </row>
    <row r="330" spans="1:1" x14ac:dyDescent="0.25">
      <c r="A330" s="4"/>
    </row>
    <row r="331" spans="1:1" x14ac:dyDescent="0.25">
      <c r="A331" s="4"/>
    </row>
    <row r="332" spans="1:1" x14ac:dyDescent="0.25">
      <c r="A332" s="4"/>
    </row>
    <row r="333" spans="1:1" x14ac:dyDescent="0.25">
      <c r="A333" s="4"/>
    </row>
    <row r="334" spans="1:1" x14ac:dyDescent="0.25">
      <c r="A334" s="4"/>
    </row>
    <row r="335" spans="1:1" x14ac:dyDescent="0.25">
      <c r="A335" s="4"/>
    </row>
    <row r="336" spans="1:1" x14ac:dyDescent="0.25">
      <c r="A336" s="4"/>
    </row>
    <row r="337" spans="1:1" x14ac:dyDescent="0.25">
      <c r="A337" s="4"/>
    </row>
    <row r="338" spans="1:1" x14ac:dyDescent="0.25">
      <c r="A338" s="4"/>
    </row>
    <row r="339" spans="1:1" x14ac:dyDescent="0.25">
      <c r="A339" s="4"/>
    </row>
    <row r="340" spans="1:1" x14ac:dyDescent="0.25">
      <c r="A340" s="4"/>
    </row>
    <row r="341" spans="1:1" x14ac:dyDescent="0.25">
      <c r="A341" s="4"/>
    </row>
    <row r="342" spans="1:1" x14ac:dyDescent="0.25">
      <c r="A342" s="4"/>
    </row>
    <row r="343" spans="1:1" x14ac:dyDescent="0.25">
      <c r="A343" s="4"/>
    </row>
    <row r="344" spans="1:1" x14ac:dyDescent="0.25">
      <c r="A344" s="4"/>
    </row>
    <row r="345" spans="1:1" x14ac:dyDescent="0.25">
      <c r="A345" s="4"/>
    </row>
    <row r="346" spans="1:1" x14ac:dyDescent="0.25">
      <c r="A346" s="4"/>
    </row>
    <row r="347" spans="1:1" x14ac:dyDescent="0.25">
      <c r="A347" s="4"/>
    </row>
    <row r="348" spans="1:1" x14ac:dyDescent="0.25">
      <c r="A348" s="4"/>
    </row>
    <row r="349" spans="1:1" x14ac:dyDescent="0.25">
      <c r="A349" s="4"/>
    </row>
    <row r="350" spans="1:1" x14ac:dyDescent="0.25">
      <c r="A350" s="4"/>
    </row>
    <row r="351" spans="1:1" x14ac:dyDescent="0.25">
      <c r="A351" s="4"/>
    </row>
    <row r="352" spans="1:1" x14ac:dyDescent="0.25">
      <c r="A352" s="4"/>
    </row>
    <row r="353" spans="1:1" x14ac:dyDescent="0.25">
      <c r="A353" s="4"/>
    </row>
    <row r="354" spans="1:1" x14ac:dyDescent="0.25">
      <c r="A354" s="4"/>
    </row>
    <row r="355" spans="1:1" x14ac:dyDescent="0.25">
      <c r="A355" s="4"/>
    </row>
    <row r="356" spans="1:1" x14ac:dyDescent="0.25">
      <c r="A356" s="4"/>
    </row>
    <row r="357" spans="1:1" x14ac:dyDescent="0.25">
      <c r="A357" s="4"/>
    </row>
    <row r="358" spans="1:1" x14ac:dyDescent="0.25">
      <c r="A358" s="4"/>
    </row>
    <row r="359" spans="1:1" x14ac:dyDescent="0.25">
      <c r="A359" s="4"/>
    </row>
    <row r="360" spans="1:1" x14ac:dyDescent="0.25">
      <c r="A360" s="4"/>
    </row>
    <row r="361" spans="1:1" x14ac:dyDescent="0.25">
      <c r="A361" s="4"/>
    </row>
    <row r="362" spans="1:1" x14ac:dyDescent="0.25">
      <c r="A362" s="4"/>
    </row>
    <row r="363" spans="1:1" x14ac:dyDescent="0.25">
      <c r="A363" s="4"/>
    </row>
    <row r="364" spans="1:1" x14ac:dyDescent="0.25">
      <c r="A364" s="4"/>
    </row>
    <row r="365" spans="1:1" x14ac:dyDescent="0.25">
      <c r="A365" s="4"/>
    </row>
    <row r="366" spans="1:1" x14ac:dyDescent="0.25">
      <c r="A366" s="4"/>
    </row>
    <row r="367" spans="1:1" x14ac:dyDescent="0.25">
      <c r="A367" s="4"/>
    </row>
    <row r="368" spans="1:1" x14ac:dyDescent="0.25">
      <c r="A368" s="4"/>
    </row>
    <row r="369" spans="1:1" x14ac:dyDescent="0.25">
      <c r="A369" s="4"/>
    </row>
    <row r="370" spans="1:1" x14ac:dyDescent="0.25">
      <c r="A370" s="4"/>
    </row>
    <row r="371" spans="1:1" x14ac:dyDescent="0.25">
      <c r="A371" s="4"/>
    </row>
    <row r="372" spans="1:1" x14ac:dyDescent="0.25">
      <c r="A372" s="4"/>
    </row>
    <row r="373" spans="1:1" x14ac:dyDescent="0.25">
      <c r="A373" s="4"/>
    </row>
    <row r="374" spans="1:1" x14ac:dyDescent="0.25">
      <c r="A374" s="4"/>
    </row>
    <row r="375" spans="1:1" x14ac:dyDescent="0.25">
      <c r="A375" s="4"/>
    </row>
    <row r="376" spans="1:1" x14ac:dyDescent="0.25">
      <c r="A376" s="4"/>
    </row>
    <row r="377" spans="1:1" x14ac:dyDescent="0.25">
      <c r="A377" s="4"/>
    </row>
    <row r="378" spans="1:1" x14ac:dyDescent="0.25">
      <c r="A378" s="4"/>
    </row>
    <row r="379" spans="1:1" x14ac:dyDescent="0.25">
      <c r="A379" s="4"/>
    </row>
    <row r="380" spans="1:1" x14ac:dyDescent="0.25">
      <c r="A380" s="4"/>
    </row>
    <row r="381" spans="1:1" x14ac:dyDescent="0.25">
      <c r="A381" s="4"/>
    </row>
    <row r="382" spans="1:1" x14ac:dyDescent="0.25">
      <c r="A382" s="4"/>
    </row>
    <row r="383" spans="1:1" x14ac:dyDescent="0.25">
      <c r="A383" s="4"/>
    </row>
    <row r="384" spans="1:1" x14ac:dyDescent="0.25">
      <c r="A384" s="4"/>
    </row>
    <row r="385" spans="1:1" x14ac:dyDescent="0.25">
      <c r="A385" s="4"/>
    </row>
    <row r="386" spans="1:1" x14ac:dyDescent="0.25">
      <c r="A386" s="4"/>
    </row>
    <row r="387" spans="1:1" x14ac:dyDescent="0.25">
      <c r="A387" s="4"/>
    </row>
    <row r="388" spans="1:1" x14ac:dyDescent="0.25">
      <c r="A388" s="4"/>
    </row>
    <row r="389" spans="1:1" x14ac:dyDescent="0.25">
      <c r="A389" s="4"/>
    </row>
    <row r="390" spans="1:1" x14ac:dyDescent="0.25">
      <c r="A390" s="4"/>
    </row>
    <row r="391" spans="1:1" x14ac:dyDescent="0.25">
      <c r="A391" s="4"/>
    </row>
    <row r="392" spans="1:1" x14ac:dyDescent="0.25">
      <c r="A392" s="4"/>
    </row>
    <row r="393" spans="1:1" x14ac:dyDescent="0.25">
      <c r="A393" s="4"/>
    </row>
    <row r="394" spans="1:1" x14ac:dyDescent="0.25">
      <c r="A394" s="4"/>
    </row>
    <row r="395" spans="1:1" x14ac:dyDescent="0.25">
      <c r="A395" s="4"/>
    </row>
    <row r="396" spans="1:1" x14ac:dyDescent="0.25">
      <c r="A396" s="4"/>
    </row>
    <row r="397" spans="1:1" x14ac:dyDescent="0.25">
      <c r="A397" s="4"/>
    </row>
    <row r="398" spans="1:1" x14ac:dyDescent="0.25">
      <c r="A398" s="4"/>
    </row>
    <row r="399" spans="1:1" x14ac:dyDescent="0.25">
      <c r="A399" s="4"/>
    </row>
    <row r="400" spans="1:1" x14ac:dyDescent="0.25">
      <c r="A400" s="4"/>
    </row>
    <row r="401" spans="1:1" x14ac:dyDescent="0.25">
      <c r="A401" s="4"/>
    </row>
    <row r="402" spans="1:1" x14ac:dyDescent="0.25">
      <c r="A402" s="4"/>
    </row>
    <row r="403" spans="1:1" x14ac:dyDescent="0.25">
      <c r="A403" s="4"/>
    </row>
    <row r="404" spans="1:1" x14ac:dyDescent="0.25">
      <c r="A404" s="4"/>
    </row>
    <row r="405" spans="1:1" x14ac:dyDescent="0.25">
      <c r="A405" s="4"/>
    </row>
    <row r="406" spans="1:1" x14ac:dyDescent="0.25">
      <c r="A406" s="4"/>
    </row>
    <row r="407" spans="1:1" x14ac:dyDescent="0.25">
      <c r="A407" s="4"/>
    </row>
    <row r="408" spans="1:1" x14ac:dyDescent="0.25">
      <c r="A408" s="4"/>
    </row>
    <row r="409" spans="1:1" x14ac:dyDescent="0.25">
      <c r="A409" s="4"/>
    </row>
    <row r="410" spans="1:1" x14ac:dyDescent="0.25">
      <c r="A410" s="4"/>
    </row>
    <row r="411" spans="1:1" x14ac:dyDescent="0.25">
      <c r="A411" s="4"/>
    </row>
    <row r="412" spans="1:1" x14ac:dyDescent="0.25">
      <c r="A412" s="4"/>
    </row>
    <row r="413" spans="1:1" x14ac:dyDescent="0.25">
      <c r="A413" s="4"/>
    </row>
    <row r="414" spans="1:1" x14ac:dyDescent="0.25">
      <c r="A414" s="4"/>
    </row>
    <row r="415" spans="1:1" x14ac:dyDescent="0.25">
      <c r="A415" s="4"/>
    </row>
    <row r="416" spans="1:1" x14ac:dyDescent="0.25">
      <c r="A416" s="4"/>
    </row>
    <row r="417" spans="1:1" x14ac:dyDescent="0.25">
      <c r="A417" s="4"/>
    </row>
    <row r="418" spans="1:1" x14ac:dyDescent="0.25">
      <c r="A418" s="4"/>
    </row>
    <row r="419" spans="1:1" x14ac:dyDescent="0.25">
      <c r="A419" s="4"/>
    </row>
    <row r="420" spans="1:1" x14ac:dyDescent="0.25">
      <c r="A420" s="4"/>
    </row>
    <row r="421" spans="1:1" x14ac:dyDescent="0.25">
      <c r="A421" s="4"/>
    </row>
    <row r="422" spans="1:1" x14ac:dyDescent="0.25">
      <c r="A422" s="4"/>
    </row>
    <row r="423" spans="1:1" x14ac:dyDescent="0.25">
      <c r="A423" s="4"/>
    </row>
    <row r="424" spans="1:1" x14ac:dyDescent="0.25">
      <c r="A424" s="4"/>
    </row>
    <row r="425" spans="1:1" x14ac:dyDescent="0.25">
      <c r="A425" s="4"/>
    </row>
    <row r="426" spans="1:1" x14ac:dyDescent="0.25">
      <c r="A426" s="4"/>
    </row>
    <row r="427" spans="1:1" x14ac:dyDescent="0.25">
      <c r="A427" s="4"/>
    </row>
    <row r="428" spans="1:1" x14ac:dyDescent="0.25">
      <c r="A428" s="4"/>
    </row>
    <row r="429" spans="1:1" x14ac:dyDescent="0.25">
      <c r="A429" s="4"/>
    </row>
    <row r="430" spans="1:1" x14ac:dyDescent="0.25">
      <c r="A430" s="4"/>
    </row>
    <row r="431" spans="1:1" x14ac:dyDescent="0.25">
      <c r="A431" s="4"/>
    </row>
    <row r="432" spans="1:1" x14ac:dyDescent="0.25">
      <c r="A432" s="4"/>
    </row>
    <row r="433" spans="1:1" x14ac:dyDescent="0.25">
      <c r="A433" s="4"/>
    </row>
    <row r="434" spans="1:1" x14ac:dyDescent="0.25">
      <c r="A434" s="4"/>
    </row>
    <row r="435" spans="1:1" x14ac:dyDescent="0.25">
      <c r="A435" s="4"/>
    </row>
    <row r="436" spans="1:1" x14ac:dyDescent="0.25">
      <c r="A436" s="4"/>
    </row>
    <row r="437" spans="1:1" x14ac:dyDescent="0.25">
      <c r="A437" s="4"/>
    </row>
    <row r="438" spans="1:1" x14ac:dyDescent="0.25">
      <c r="A438" s="4"/>
    </row>
    <row r="439" spans="1:1" x14ac:dyDescent="0.25">
      <c r="A439" s="4"/>
    </row>
    <row r="440" spans="1:1" x14ac:dyDescent="0.25">
      <c r="A440" s="4"/>
    </row>
    <row r="441" spans="1:1" x14ac:dyDescent="0.25">
      <c r="A441" s="4"/>
    </row>
    <row r="442" spans="1:1" x14ac:dyDescent="0.25">
      <c r="A442" s="4"/>
    </row>
    <row r="443" spans="1:1" x14ac:dyDescent="0.25">
      <c r="A443" s="4"/>
    </row>
    <row r="444" spans="1:1" x14ac:dyDescent="0.25">
      <c r="A444" s="4"/>
    </row>
    <row r="445" spans="1:1" x14ac:dyDescent="0.25">
      <c r="A445" s="4"/>
    </row>
    <row r="446" spans="1:1" x14ac:dyDescent="0.25">
      <c r="A446" s="4"/>
    </row>
    <row r="447" spans="1:1" x14ac:dyDescent="0.25">
      <c r="A447" s="4"/>
    </row>
    <row r="448" spans="1:1" x14ac:dyDescent="0.25">
      <c r="A448" s="4"/>
    </row>
    <row r="449" spans="1:1" x14ac:dyDescent="0.25">
      <c r="A449" s="4"/>
    </row>
    <row r="450" spans="1:1" x14ac:dyDescent="0.25">
      <c r="A450" s="4"/>
    </row>
    <row r="451" spans="1:1" x14ac:dyDescent="0.25">
      <c r="A451" s="4"/>
    </row>
    <row r="452" spans="1:1" x14ac:dyDescent="0.25">
      <c r="A452" s="4"/>
    </row>
    <row r="453" spans="1:1" x14ac:dyDescent="0.25">
      <c r="A453" s="4"/>
    </row>
    <row r="454" spans="1:1" x14ac:dyDescent="0.25">
      <c r="A454" s="4"/>
    </row>
    <row r="455" spans="1:1" x14ac:dyDescent="0.25">
      <c r="A455" s="4"/>
    </row>
    <row r="456" spans="1:1" x14ac:dyDescent="0.25">
      <c r="A456" s="4"/>
    </row>
    <row r="457" spans="1:1" x14ac:dyDescent="0.25">
      <c r="A457" s="4"/>
    </row>
    <row r="458" spans="1:1" x14ac:dyDescent="0.25">
      <c r="A458" s="4"/>
    </row>
    <row r="459" spans="1:1" x14ac:dyDescent="0.25">
      <c r="A459" s="4"/>
    </row>
    <row r="460" spans="1:1" x14ac:dyDescent="0.25">
      <c r="A460" s="4"/>
    </row>
    <row r="461" spans="1:1" x14ac:dyDescent="0.25">
      <c r="A461" s="4"/>
    </row>
    <row r="462" spans="1:1" x14ac:dyDescent="0.25">
      <c r="A462" s="4"/>
    </row>
    <row r="463" spans="1:1" x14ac:dyDescent="0.25">
      <c r="A463" s="4"/>
    </row>
    <row r="464" spans="1:1" x14ac:dyDescent="0.25">
      <c r="A464" s="4"/>
    </row>
    <row r="465" spans="1:1" x14ac:dyDescent="0.25">
      <c r="A465" s="4"/>
    </row>
    <row r="466" spans="1:1" x14ac:dyDescent="0.25">
      <c r="A466" s="4"/>
    </row>
    <row r="467" spans="1:1" x14ac:dyDescent="0.25">
      <c r="A467" s="4"/>
    </row>
    <row r="468" spans="1:1" x14ac:dyDescent="0.25">
      <c r="A468" s="4"/>
    </row>
    <row r="469" spans="1:1" x14ac:dyDescent="0.25">
      <c r="A469" s="4"/>
    </row>
    <row r="470" spans="1:1" x14ac:dyDescent="0.25">
      <c r="A470" s="4"/>
    </row>
    <row r="471" spans="1:1" x14ac:dyDescent="0.25">
      <c r="A471" s="4"/>
    </row>
    <row r="472" spans="1:1" x14ac:dyDescent="0.25">
      <c r="A472" s="4"/>
    </row>
    <row r="473" spans="1:1" x14ac:dyDescent="0.25">
      <c r="A473" s="4"/>
    </row>
    <row r="474" spans="1:1" x14ac:dyDescent="0.25">
      <c r="A474" s="4"/>
    </row>
    <row r="475" spans="1:1" x14ac:dyDescent="0.25">
      <c r="A475" s="4"/>
    </row>
    <row r="476" spans="1:1" x14ac:dyDescent="0.25">
      <c r="A476" s="4"/>
    </row>
    <row r="477" spans="1:1" x14ac:dyDescent="0.25">
      <c r="A477" s="4"/>
    </row>
    <row r="478" spans="1:1" x14ac:dyDescent="0.25">
      <c r="A478" s="4"/>
    </row>
    <row r="479" spans="1:1" x14ac:dyDescent="0.25">
      <c r="A479" s="4"/>
    </row>
    <row r="480" spans="1:1" x14ac:dyDescent="0.25">
      <c r="A480" s="4"/>
    </row>
    <row r="481" spans="1:1" x14ac:dyDescent="0.25">
      <c r="A481" s="4"/>
    </row>
    <row r="482" spans="1:1" x14ac:dyDescent="0.25">
      <c r="A482" s="4"/>
    </row>
    <row r="483" spans="1:1" x14ac:dyDescent="0.25">
      <c r="A483" s="4"/>
    </row>
    <row r="484" spans="1:1" x14ac:dyDescent="0.25">
      <c r="A484" s="4"/>
    </row>
    <row r="485" spans="1:1" x14ac:dyDescent="0.25">
      <c r="A485" s="4"/>
    </row>
    <row r="486" spans="1:1" x14ac:dyDescent="0.25">
      <c r="A486" s="4"/>
    </row>
    <row r="487" spans="1:1" x14ac:dyDescent="0.25">
      <c r="A487" s="4"/>
    </row>
    <row r="488" spans="1:1" x14ac:dyDescent="0.25">
      <c r="A488" s="4"/>
    </row>
    <row r="489" spans="1:1" x14ac:dyDescent="0.25">
      <c r="A489" s="4"/>
    </row>
    <row r="490" spans="1:1" x14ac:dyDescent="0.25">
      <c r="A490" s="4"/>
    </row>
    <row r="491" spans="1:1" x14ac:dyDescent="0.25">
      <c r="A491" s="4"/>
    </row>
    <row r="492" spans="1:1" x14ac:dyDescent="0.25">
      <c r="A492" s="4"/>
    </row>
    <row r="493" spans="1:1" x14ac:dyDescent="0.25">
      <c r="A493" s="4"/>
    </row>
    <row r="494" spans="1:1" x14ac:dyDescent="0.25">
      <c r="A494" s="4"/>
    </row>
    <row r="495" spans="1:1" x14ac:dyDescent="0.25">
      <c r="A495" s="4"/>
    </row>
    <row r="496" spans="1:1" x14ac:dyDescent="0.25">
      <c r="A496" s="4"/>
    </row>
    <row r="497" spans="1:1" x14ac:dyDescent="0.25">
      <c r="A497" s="4"/>
    </row>
    <row r="498" spans="1:1" x14ac:dyDescent="0.25">
      <c r="A498" s="4"/>
    </row>
    <row r="499" spans="1:1" x14ac:dyDescent="0.25">
      <c r="A499" s="4"/>
    </row>
    <row r="500" spans="1:1" x14ac:dyDescent="0.25">
      <c r="A500" s="4"/>
    </row>
    <row r="501" spans="1:1" x14ac:dyDescent="0.25">
      <c r="A501" s="4"/>
    </row>
    <row r="502" spans="1:1" x14ac:dyDescent="0.25">
      <c r="A502" s="4"/>
    </row>
    <row r="503" spans="1:1" x14ac:dyDescent="0.25">
      <c r="A503" s="4"/>
    </row>
    <row r="504" spans="1:1" x14ac:dyDescent="0.25">
      <c r="A504" s="4"/>
    </row>
    <row r="505" spans="1:1" x14ac:dyDescent="0.25">
      <c r="A505" s="4"/>
    </row>
    <row r="506" spans="1:1" x14ac:dyDescent="0.25">
      <c r="A506" s="4"/>
    </row>
    <row r="507" spans="1:1" x14ac:dyDescent="0.25">
      <c r="A507" s="4"/>
    </row>
    <row r="508" spans="1:1" x14ac:dyDescent="0.25">
      <c r="A508" s="4"/>
    </row>
  </sheetData>
  <phoneticPr fontId="5" type="noConversion"/>
  <pageMargins left="0.7" right="0.7" top="0.75" bottom="0.75" header="0.3" footer="0.3"/>
  <pageSetup orientation="portrait"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
  <dimension ref="A1:AX88"/>
  <sheetViews>
    <sheetView showGridLines="0" showRowColHeaders="0" topLeftCell="E1" zoomScaleNormal="100" workbookViewId="0">
      <pane ySplit="5" topLeftCell="A6" activePane="bottomLeft" state="frozen"/>
      <selection activeCell="E1" sqref="E1"/>
      <selection pane="bottomLeft" activeCell="H8" sqref="H8:M8"/>
    </sheetView>
  </sheetViews>
  <sheetFormatPr defaultRowHeight="15" customHeight="1" x14ac:dyDescent="0.25"/>
  <cols>
    <col min="1" max="3" width="9.140625" hidden="1" customWidth="1"/>
    <col min="4" max="4" width="9.140625" style="9" hidden="1" customWidth="1"/>
    <col min="5" max="5" width="1.7109375" customWidth="1"/>
    <col min="6" max="6" width="16.42578125" customWidth="1"/>
    <col min="7" max="7" width="10.140625" bestFit="1" customWidth="1"/>
    <col min="8" max="8" width="9.7109375" bestFit="1" customWidth="1"/>
    <col min="11" max="11" width="9.7109375" bestFit="1" customWidth="1"/>
  </cols>
  <sheetData>
    <row r="1" spans="1:18" ht="5.0999999999999996" customHeight="1" x14ac:dyDescent="0.25">
      <c r="P1" s="1"/>
      <c r="Q1" s="1"/>
      <c r="R1" s="1"/>
    </row>
    <row r="5" spans="1:18" ht="5.0999999999999996" customHeight="1" x14ac:dyDescent="0.25"/>
    <row r="7" spans="1:18" ht="15" hidden="1" customHeight="1" x14ac:dyDescent="0.25"/>
    <row r="8" spans="1:18" ht="15" customHeight="1" x14ac:dyDescent="0.25">
      <c r="A8" s="1" t="s">
        <v>10</v>
      </c>
      <c r="B8" s="1" t="s">
        <v>13</v>
      </c>
      <c r="C8" t="s">
        <v>98</v>
      </c>
      <c r="F8" s="93" t="s">
        <v>100</v>
      </c>
      <c r="G8" s="94"/>
      <c r="H8" s="97" t="s">
        <v>95</v>
      </c>
      <c r="I8" s="97"/>
      <c r="J8" s="97"/>
      <c r="K8" s="97"/>
      <c r="L8" s="97"/>
      <c r="M8" s="98"/>
    </row>
    <row r="9" spans="1:18" ht="15" customHeight="1" x14ac:dyDescent="0.25">
      <c r="A9" s="1" t="s">
        <v>10</v>
      </c>
      <c r="B9" s="1" t="s">
        <v>14</v>
      </c>
      <c r="C9" t="s">
        <v>95</v>
      </c>
      <c r="F9" s="95" t="s">
        <v>81</v>
      </c>
      <c r="G9" s="96"/>
      <c r="H9" s="99" t="s">
        <v>133</v>
      </c>
      <c r="I9" s="99"/>
      <c r="J9" s="99"/>
      <c r="K9" s="99"/>
      <c r="L9" s="99"/>
      <c r="M9" s="100"/>
    </row>
    <row r="10" spans="1:18" ht="15" customHeight="1" x14ac:dyDescent="0.25">
      <c r="A10" s="1" t="s">
        <v>10</v>
      </c>
      <c r="B10" s="1" t="s">
        <v>15</v>
      </c>
      <c r="C10" t="s">
        <v>99</v>
      </c>
    </row>
    <row r="11" spans="1:18" ht="15" hidden="1" customHeight="1" x14ac:dyDescent="0.25">
      <c r="A11" s="1" t="s">
        <v>11</v>
      </c>
      <c r="B11" s="1" t="s">
        <v>14</v>
      </c>
      <c r="F11" s="41" t="s">
        <v>98</v>
      </c>
      <c r="G11" s="23" t="s">
        <v>21</v>
      </c>
      <c r="H11" s="23" t="s">
        <v>28</v>
      </c>
      <c r="I11" s="23" t="s">
        <v>29</v>
      </c>
      <c r="J11" s="24" t="s">
        <v>30</v>
      </c>
      <c r="K11" s="24" t="s">
        <v>35</v>
      </c>
      <c r="L11" s="24" t="s">
        <v>36</v>
      </c>
      <c r="M11" s="24" t="s">
        <v>37</v>
      </c>
      <c r="N11" s="24" t="s">
        <v>38</v>
      </c>
      <c r="O11" s="25" t="s">
        <v>40</v>
      </c>
    </row>
    <row r="12" spans="1:18" ht="15" hidden="1" customHeight="1" x14ac:dyDescent="0.25">
      <c r="A12" s="1" t="s">
        <v>11</v>
      </c>
      <c r="B12" s="1" t="s">
        <v>15</v>
      </c>
      <c r="C12" t="str">
        <f>$F$11&amp;": "&amp;$F12</f>
        <v>TRSY: 03-05 vs 02-07</v>
      </c>
      <c r="F12" s="42" t="str">
        <f t="shared" ref="F12:F24" si="0">A8&amp;" vs "&amp;B8</f>
        <v>03-05 vs 02-07</v>
      </c>
      <c r="G12" s="26" t="str">
        <f ca="1">'TRSYS Canada'!H$13</f>
        <v/>
      </c>
      <c r="H12" s="26">
        <f ca="1">MAX('TRSYS Canada'!H$13:H$274)</f>
        <v>0.74402730375426673</v>
      </c>
      <c r="I12" s="26">
        <f ca="1">MIN('TRSYS Canada'!H$13:H$275)</f>
        <v>0.40899795501022485</v>
      </c>
      <c r="J12" s="26">
        <f ca="1">'TRSYS Canada'!H$14</f>
        <v>0.54838709677419373</v>
      </c>
      <c r="K12" s="26" t="e">
        <f ca="1">INDEX(CurrentRegionColumn(INDEX('TRSYS Canada'!$H$12:$T$12,MATCH(Canada!$F12,'TRSYS Canada'!$H$12:$T$12,0))),MATCH('TRSYS Canada'!$K$2,CurrentRegionColumn('TRSYS Canada'!$A$12),0))</f>
        <v>#VALUE!</v>
      </c>
      <c r="L12" s="26" t="e">
        <f ca="1">INDEX(CurrentRegionColumn(INDEX('TRSYS Canada'!$H$12:$T$12,MATCH(Canada!$F12,'TRSYS Canada'!$H$12:$T$12,0))),MATCH('TRSYS Canada'!$K$3,CurrentRegionColumn('TRSYS Canada'!$A$12),0))</f>
        <v>#VALUE!</v>
      </c>
      <c r="M12" s="26" t="e">
        <f ca="1">INDEX(CurrentRegionColumn(INDEX('TRSYS Canada'!$H$12:$T$12,MATCH(Canada!$F12,'TRSYS Canada'!$H$12:$T$12,0))),MATCH('TRSYS Canada'!$K$4,CurrentRegionColumn('TRSYS Canada'!$A$12),0))</f>
        <v>#VALUE!</v>
      </c>
      <c r="N12" s="26" t="e">
        <f ca="1">INDEX(CurrentRegionColumn(INDEX('TRSYS Canada'!$H$12:$T$12,MATCH(Canada!$F12,'TRSYS Canada'!$H$12:$T$12,0))),MATCH('TRSYS Canada'!$K$5,CurrentRegionColumn('TRSYS Canada'!$A$12),0))</f>
        <v>#VALUE!</v>
      </c>
      <c r="O12" s="27" t="e">
        <f ca="1">INDEX(CurrentRegionColumn(INDEX('TRSYS Canada'!$H$12:$T$12,MATCH(Canada!$F12,'TRSYS Canada'!$H$12:$T$12,0))),MATCH('TRSYS Canada'!$K$6,CurrentRegionColumn('TRSYS Canada'!$A$12),0))</f>
        <v>#VALUE!</v>
      </c>
    </row>
    <row r="13" spans="1:18" ht="15" hidden="1" customHeight="1" x14ac:dyDescent="0.25">
      <c r="A13" s="1" t="s">
        <v>11</v>
      </c>
      <c r="B13" s="1" t="s">
        <v>17</v>
      </c>
      <c r="C13" t="str">
        <f t="shared" ref="C13:C24" si="1">$F$11&amp;": "&amp;$F13</f>
        <v>TRSY: 03-05 vs 02-10</v>
      </c>
      <c r="F13" s="43" t="str">
        <f t="shared" si="0"/>
        <v>03-05 vs 02-10</v>
      </c>
      <c r="G13" s="28" t="str">
        <f ca="1">'TRSYS Canada'!I$13</f>
        <v/>
      </c>
      <c r="H13" s="28">
        <f ca="1">MAX('TRSYS Canada'!I$13:I$274)</f>
        <v>0.45846477392218732</v>
      </c>
      <c r="I13" s="28">
        <f ca="1">MIN('TRSYS Canada'!I$13:I$275)</f>
        <v>0.23781212841854926</v>
      </c>
      <c r="J13" s="28">
        <f ca="1">'TRSYS Canada'!I$14</f>
        <v>0.32731648616125147</v>
      </c>
      <c r="K13" s="28" t="e">
        <f ca="1">INDEX(CurrentRegionColumn(INDEX('TRSYS Canada'!$H$12:$T$12,MATCH(Canada!$F13,'TRSYS Canada'!$H$12:$T$12,0))),MATCH('TRSYS Canada'!$K$2,CurrentRegionColumn('TRSYS Canada'!$A$12),0))</f>
        <v>#VALUE!</v>
      </c>
      <c r="L13" s="28" t="e">
        <f ca="1">INDEX(CurrentRegionColumn(INDEX('TRSYS Canada'!$H$12:$T$12,MATCH(Canada!$F13,'TRSYS Canada'!$H$12:$T$12,0))),MATCH('TRSYS Canada'!$K$3,CurrentRegionColumn('TRSYS Canada'!$A$12),0))</f>
        <v>#VALUE!</v>
      </c>
      <c r="M13" s="28" t="e">
        <f ca="1">INDEX(CurrentRegionColumn(INDEX('TRSYS Canada'!$H$12:$T$12,MATCH(Canada!$F13,'TRSYS Canada'!$H$12:$T$12,0))),MATCH('TRSYS Canada'!$K$4,CurrentRegionColumn('TRSYS Canada'!$A$12),0))</f>
        <v>#VALUE!</v>
      </c>
      <c r="N13" s="28" t="e">
        <f ca="1">INDEX(CurrentRegionColumn(INDEX('TRSYS Canada'!$H$12:$T$12,MATCH(Canada!$F13,'TRSYS Canada'!$H$12:$T$12,0))),MATCH('TRSYS Canada'!$K$5,CurrentRegionColumn('TRSYS Canada'!$A$12),0))</f>
        <v>#VALUE!</v>
      </c>
      <c r="O13" s="29" t="e">
        <f ca="1">INDEX(CurrentRegionColumn(INDEX('TRSYS Canada'!$H$12:$T$12,MATCH(Canada!$F13,'TRSYS Canada'!$H$12:$T$12,0))),MATCH('TRSYS Canada'!$K$6,CurrentRegionColumn('TRSYS Canada'!$A$12),0))</f>
        <v>#VALUE!</v>
      </c>
    </row>
    <row r="14" spans="1:18" ht="15" hidden="1" customHeight="1" x14ac:dyDescent="0.25">
      <c r="A14" s="1" t="s">
        <v>11</v>
      </c>
      <c r="B14" s="1" t="s">
        <v>16</v>
      </c>
      <c r="C14" t="str">
        <f t="shared" si="1"/>
        <v>TRSY: 03-05 vs 02-30</v>
      </c>
      <c r="F14" s="43" t="str">
        <f t="shared" si="0"/>
        <v>03-05 vs 02-30</v>
      </c>
      <c r="G14" s="28" t="str">
        <f ca="1">'TRSYS Canada'!J$13</f>
        <v/>
      </c>
      <c r="H14" s="28">
        <f ca="1">MAX('TRSYS Canada'!J$13:J$274)</f>
        <v>0.2893165228931654</v>
      </c>
      <c r="I14" s="28">
        <f ca="1">MIN('TRSYS Canada'!J$13:J$275)</f>
        <v>0.13857374392220426</v>
      </c>
      <c r="J14" s="28">
        <f ca="1">'TRSYS Canada'!J$14</f>
        <v>0.18121252498334448</v>
      </c>
      <c r="K14" s="28" t="e">
        <f ca="1">INDEX(CurrentRegionColumn(INDEX('TRSYS Canada'!$H$12:$T$12,MATCH(Canada!$F14,'TRSYS Canada'!$H$12:$T$12,0))),MATCH('TRSYS Canada'!$K$2,CurrentRegionColumn('TRSYS Canada'!$A$12),0))</f>
        <v>#VALUE!</v>
      </c>
      <c r="L14" s="28" t="e">
        <f ca="1">INDEX(CurrentRegionColumn(INDEX('TRSYS Canada'!$H$12:$T$12,MATCH(Canada!$F14,'TRSYS Canada'!$H$12:$T$12,0))),MATCH('TRSYS Canada'!$K$3,CurrentRegionColumn('TRSYS Canada'!$A$12),0))</f>
        <v>#VALUE!</v>
      </c>
      <c r="M14" s="28" t="e">
        <f ca="1">INDEX(CurrentRegionColumn(INDEX('TRSYS Canada'!$H$12:$T$12,MATCH(Canada!$F14,'TRSYS Canada'!$H$12:$T$12,0))),MATCH('TRSYS Canada'!$K$4,CurrentRegionColumn('TRSYS Canada'!$A$12),0))</f>
        <v>#VALUE!</v>
      </c>
      <c r="N14" s="28" t="e">
        <f ca="1">INDEX(CurrentRegionColumn(INDEX('TRSYS Canada'!$H$12:$T$12,MATCH(Canada!$F14,'TRSYS Canada'!$H$12:$T$12,0))),MATCH('TRSYS Canada'!$K$5,CurrentRegionColumn('TRSYS Canada'!$A$12),0))</f>
        <v>#VALUE!</v>
      </c>
      <c r="O14" s="29" t="e">
        <f ca="1">INDEX(CurrentRegionColumn(INDEX('TRSYS Canada'!$H$12:$T$12,MATCH(Canada!$F14,'TRSYS Canada'!$H$12:$T$12,0))),MATCH('TRSYS Canada'!$K$6,CurrentRegionColumn('TRSYS Canada'!$A$12),0))</f>
        <v>#VALUE!</v>
      </c>
    </row>
    <row r="15" spans="1:18" ht="15" hidden="1" customHeight="1" x14ac:dyDescent="0.25">
      <c r="A15" s="1" t="s">
        <v>12</v>
      </c>
      <c r="B15" s="1" t="s">
        <v>15</v>
      </c>
      <c r="C15" t="str">
        <f t="shared" si="1"/>
        <v>TRSY: 05-07 vs 02-10</v>
      </c>
      <c r="F15" s="43" t="str">
        <f t="shared" si="0"/>
        <v>05-07 vs 02-10</v>
      </c>
      <c r="G15" s="28" t="str">
        <f ca="1">'TRSYS Canada'!K$13</f>
        <v/>
      </c>
      <c r="H15" s="28">
        <f ca="1">MAX('TRSYS Canada'!K$13:K$274)</f>
        <v>0.35132032146957531</v>
      </c>
      <c r="I15" s="28">
        <f ca="1">MIN('TRSYS Canada'!K$13:K$275)</f>
        <v>0.1344364012409513</v>
      </c>
      <c r="J15" s="28">
        <f ca="1">'TRSYS Canada'!K$14</f>
        <v>0.30204572803850765</v>
      </c>
      <c r="K15" s="28" t="e">
        <f ca="1">INDEX(CurrentRegionColumn(INDEX('TRSYS Canada'!$H$12:$T$12,MATCH(Canada!$F15,'TRSYS Canada'!$H$12:$T$12,0))),MATCH('TRSYS Canada'!$K$2,CurrentRegionColumn('TRSYS Canada'!$A$12),0))</f>
        <v>#VALUE!</v>
      </c>
      <c r="L15" s="28" t="e">
        <f ca="1">INDEX(CurrentRegionColumn(INDEX('TRSYS Canada'!$H$12:$T$12,MATCH(Canada!$F15,'TRSYS Canada'!$H$12:$T$12,0))),MATCH('TRSYS Canada'!$K$3,CurrentRegionColumn('TRSYS Canada'!$A$12),0))</f>
        <v>#VALUE!</v>
      </c>
      <c r="M15" s="28" t="e">
        <f ca="1">INDEX(CurrentRegionColumn(INDEX('TRSYS Canada'!$H$12:$T$12,MATCH(Canada!$F15,'TRSYS Canada'!$H$12:$T$12,0))),MATCH('TRSYS Canada'!$K$4,CurrentRegionColumn('TRSYS Canada'!$A$12),0))</f>
        <v>#VALUE!</v>
      </c>
      <c r="N15" s="28" t="e">
        <f ca="1">INDEX(CurrentRegionColumn(INDEX('TRSYS Canada'!$H$12:$T$12,MATCH(Canada!$F15,'TRSYS Canada'!$H$12:$T$12,0))),MATCH('TRSYS Canada'!$K$5,CurrentRegionColumn('TRSYS Canada'!$A$12),0))</f>
        <v>#VALUE!</v>
      </c>
      <c r="O15" s="29" t="e">
        <f ca="1">INDEX(CurrentRegionColumn(INDEX('TRSYS Canada'!$H$12:$T$12,MATCH(Canada!$F15,'TRSYS Canada'!$H$12:$T$12,0))),MATCH('TRSYS Canada'!$K$6,CurrentRegionColumn('TRSYS Canada'!$A$12),0))</f>
        <v>#VALUE!</v>
      </c>
    </row>
    <row r="16" spans="1:18" ht="15" hidden="1" customHeight="1" x14ac:dyDescent="0.25">
      <c r="A16" s="1" t="s">
        <v>12</v>
      </c>
      <c r="B16" s="1" t="s">
        <v>16</v>
      </c>
      <c r="C16" t="str">
        <f t="shared" si="1"/>
        <v>TRSY: 05-07 vs 02-30</v>
      </c>
      <c r="F16" s="43" t="str">
        <f t="shared" si="0"/>
        <v>05-07 vs 02-30</v>
      </c>
      <c r="G16" s="28" t="str">
        <f ca="1">'TRSYS Canada'!L$13</f>
        <v/>
      </c>
      <c r="H16" s="28">
        <f ca="1">MAX('TRSYS Canada'!L$13:L$274)</f>
        <v>0.2185430463576159</v>
      </c>
      <c r="I16" s="28">
        <f ca="1">MIN('TRSYS Canada'!L$13:L$275)</f>
        <v>8.3676268861453976E-2</v>
      </c>
      <c r="J16" s="28">
        <f ca="1">'TRSYS Canada'!L$14</f>
        <v>0.16722185209860088</v>
      </c>
      <c r="K16" s="28" t="e">
        <f ca="1">INDEX(CurrentRegionColumn(INDEX('TRSYS Canada'!$H$12:$T$12,MATCH(Canada!$F16,'TRSYS Canada'!$H$12:$T$12,0))),MATCH('TRSYS Canada'!$K$2,CurrentRegionColumn('TRSYS Canada'!$A$12),0))</f>
        <v>#VALUE!</v>
      </c>
      <c r="L16" s="28" t="e">
        <f ca="1">INDEX(CurrentRegionColumn(INDEX('TRSYS Canada'!$H$12:$T$12,MATCH(Canada!$F16,'TRSYS Canada'!$H$12:$T$12,0))),MATCH('TRSYS Canada'!$K$3,CurrentRegionColumn('TRSYS Canada'!$A$12),0))</f>
        <v>#VALUE!</v>
      </c>
      <c r="M16" s="28" t="e">
        <f ca="1">INDEX(CurrentRegionColumn(INDEX('TRSYS Canada'!$H$12:$T$12,MATCH(Canada!$F16,'TRSYS Canada'!$H$12:$T$12,0))),MATCH('TRSYS Canada'!$K$4,CurrentRegionColumn('TRSYS Canada'!$A$12),0))</f>
        <v>#VALUE!</v>
      </c>
      <c r="N16" s="28" t="e">
        <f ca="1">INDEX(CurrentRegionColumn(INDEX('TRSYS Canada'!$H$12:$T$12,MATCH(Canada!$F16,'TRSYS Canada'!$H$12:$T$12,0))),MATCH('TRSYS Canada'!$K$5,CurrentRegionColumn('TRSYS Canada'!$A$12),0))</f>
        <v>#VALUE!</v>
      </c>
      <c r="O16" s="29" t="e">
        <f ca="1">INDEX(CurrentRegionColumn(INDEX('TRSYS Canada'!$H$12:$T$12,MATCH(Canada!$F16,'TRSYS Canada'!$H$12:$T$12,0))),MATCH('TRSYS Canada'!$K$6,CurrentRegionColumn('TRSYS Canada'!$A$12),0))</f>
        <v>#VALUE!</v>
      </c>
    </row>
    <row r="17" spans="1:19" ht="15" hidden="1" customHeight="1" x14ac:dyDescent="0.25">
      <c r="A17" s="1" t="s">
        <v>12</v>
      </c>
      <c r="B17" s="1" t="s">
        <v>18</v>
      </c>
      <c r="C17" t="str">
        <f t="shared" si="1"/>
        <v>TRSY: 05-07 vs 03-10</v>
      </c>
      <c r="F17" s="43" t="str">
        <f t="shared" si="0"/>
        <v>05-07 vs 03-10</v>
      </c>
      <c r="G17" s="28" t="str">
        <f ca="1">'TRSYS Canada'!M$13</f>
        <v/>
      </c>
      <c r="H17" s="28">
        <f ca="1">MAX('TRSYS Canada'!M$13:M$274)</f>
        <v>0.35106382978723416</v>
      </c>
      <c r="I17" s="28">
        <f ca="1">MIN('TRSYS Canada'!M$13:M$275)</f>
        <v>0.14055793991416282</v>
      </c>
      <c r="J17" s="28">
        <f ca="1">'TRSYS Canada'!M$14</f>
        <v>0.2925407925407924</v>
      </c>
      <c r="K17" s="28" t="e">
        <f ca="1">INDEX(CurrentRegionColumn(INDEX('TRSYS Canada'!$H$12:$T$12,MATCH(Canada!$F17,'TRSYS Canada'!$H$12:$T$12,0))),MATCH('TRSYS Canada'!$K$2,CurrentRegionColumn('TRSYS Canada'!$A$12),0))</f>
        <v>#VALUE!</v>
      </c>
      <c r="L17" s="28" t="e">
        <f ca="1">INDEX(CurrentRegionColumn(INDEX('TRSYS Canada'!$H$12:$T$12,MATCH(Canada!$F17,'TRSYS Canada'!$H$12:$T$12,0))),MATCH('TRSYS Canada'!$K$3,CurrentRegionColumn('TRSYS Canada'!$A$12),0))</f>
        <v>#VALUE!</v>
      </c>
      <c r="M17" s="28" t="e">
        <f ca="1">INDEX(CurrentRegionColumn(INDEX('TRSYS Canada'!$H$12:$T$12,MATCH(Canada!$F17,'TRSYS Canada'!$H$12:$T$12,0))),MATCH('TRSYS Canada'!$K$4,CurrentRegionColumn('TRSYS Canada'!$A$12),0))</f>
        <v>#VALUE!</v>
      </c>
      <c r="N17" s="28" t="e">
        <f ca="1">INDEX(CurrentRegionColumn(INDEX('TRSYS Canada'!$H$12:$T$12,MATCH(Canada!$F17,'TRSYS Canada'!$H$12:$T$12,0))),MATCH('TRSYS Canada'!$K$5,CurrentRegionColumn('TRSYS Canada'!$A$12),0))</f>
        <v>#VALUE!</v>
      </c>
      <c r="O17" s="29" t="e">
        <f ca="1">INDEX(CurrentRegionColumn(INDEX('TRSYS Canada'!$H$12:$T$12,MATCH(Canada!$F17,'TRSYS Canada'!$H$12:$T$12,0))),MATCH('TRSYS Canada'!$K$6,CurrentRegionColumn('TRSYS Canada'!$A$12),0))</f>
        <v>#VALUE!</v>
      </c>
    </row>
    <row r="18" spans="1:19" ht="15" hidden="1" customHeight="1" x14ac:dyDescent="0.25">
      <c r="A18" s="1" t="s">
        <v>17</v>
      </c>
      <c r="B18" s="1" t="s">
        <v>15</v>
      </c>
      <c r="C18" t="str">
        <f t="shared" si="1"/>
        <v>TRSY: 05-07 vs 03-30</v>
      </c>
      <c r="F18" s="43" t="str">
        <f t="shared" si="0"/>
        <v>05-07 vs 03-30</v>
      </c>
      <c r="G18" s="28" t="str">
        <f ca="1">'TRSYS Canada'!N$13</f>
        <v/>
      </c>
      <c r="H18" s="28">
        <f ca="1">MAX('TRSYS Canada'!N$13:N$274)</f>
        <v>0.21926910299003324</v>
      </c>
      <c r="I18" s="28">
        <f ca="1">MIN('TRSYS Canada'!N$13:N$275)</f>
        <v>8.6625086625086625E-2</v>
      </c>
      <c r="J18" s="28">
        <f ca="1">'TRSYS Canada'!N$14</f>
        <v>0.16426701570680621</v>
      </c>
      <c r="K18" s="28" t="e">
        <f ca="1">INDEX(CurrentRegionColumn(INDEX('TRSYS Canada'!$H$12:$T$12,MATCH(Canada!$F18,'TRSYS Canada'!$H$12:$T$12,0))),MATCH('TRSYS Canada'!$K$2,CurrentRegionColumn('TRSYS Canada'!$A$12),0))</f>
        <v>#VALUE!</v>
      </c>
      <c r="L18" s="28" t="e">
        <f ca="1">INDEX(CurrentRegionColumn(INDEX('TRSYS Canada'!$H$12:$T$12,MATCH(Canada!$F18,'TRSYS Canada'!$H$12:$T$12,0))),MATCH('TRSYS Canada'!$K$3,CurrentRegionColumn('TRSYS Canada'!$A$12),0))</f>
        <v>#VALUE!</v>
      </c>
      <c r="M18" s="28" t="e">
        <f ca="1">INDEX(CurrentRegionColumn(INDEX('TRSYS Canada'!$H$12:$T$12,MATCH(Canada!$F18,'TRSYS Canada'!$H$12:$T$12,0))),MATCH('TRSYS Canada'!$K$4,CurrentRegionColumn('TRSYS Canada'!$A$12),0))</f>
        <v>#VALUE!</v>
      </c>
      <c r="N18" s="28" t="e">
        <f ca="1">INDEX(CurrentRegionColumn(INDEX('TRSYS Canada'!$H$12:$T$12,MATCH(Canada!$F18,'TRSYS Canada'!$H$12:$T$12,0))),MATCH('TRSYS Canada'!$K$5,CurrentRegionColumn('TRSYS Canada'!$A$12),0))</f>
        <v>#VALUE!</v>
      </c>
      <c r="O18" s="29" t="e">
        <f ca="1">INDEX(CurrentRegionColumn(INDEX('TRSYS Canada'!$H$12:$T$12,MATCH(Canada!$F18,'TRSYS Canada'!$H$12:$T$12,0))),MATCH('TRSYS Canada'!$K$6,CurrentRegionColumn('TRSYS Canada'!$A$12),0))</f>
        <v>#VALUE!</v>
      </c>
    </row>
    <row r="19" spans="1:19" ht="15" hidden="1" customHeight="1" x14ac:dyDescent="0.25">
      <c r="A19" s="1" t="s">
        <v>86</v>
      </c>
      <c r="B19" s="1" t="s">
        <v>15</v>
      </c>
      <c r="C19" t="str">
        <f t="shared" si="1"/>
        <v>TRSY: 07-10 vs 02-30</v>
      </c>
      <c r="F19" s="43" t="str">
        <f t="shared" si="0"/>
        <v>07-10 vs 02-30</v>
      </c>
      <c r="G19" s="28" t="str">
        <f ca="1">'TRSYS Canada'!O$13</f>
        <v/>
      </c>
      <c r="H19" s="28">
        <f ca="1">MAX('TRSYS Canada'!O$13:O$274)</f>
        <v>0.33333333333333337</v>
      </c>
      <c r="I19" s="28">
        <f ca="1">MIN('TRSYS Canada'!O$13:O$275)</f>
        <v>0.20633893919793012</v>
      </c>
      <c r="J19" s="28">
        <f ca="1">'TRSYS Canada'!O$14</f>
        <v>0.22318454363757509</v>
      </c>
      <c r="K19" s="28" t="e">
        <f ca="1">INDEX(CurrentRegionColumn(INDEX('TRSYS Canada'!$H$12:$T$12,MATCH(Canada!$F19,'TRSYS Canada'!$H$12:$T$12,0))),MATCH('TRSYS Canada'!$K$2,CurrentRegionColumn('TRSYS Canada'!$A$12),0))</f>
        <v>#VALUE!</v>
      </c>
      <c r="L19" s="28" t="e">
        <f ca="1">INDEX(CurrentRegionColumn(INDEX('TRSYS Canada'!$H$12:$T$12,MATCH(Canada!$F19,'TRSYS Canada'!$H$12:$T$12,0))),MATCH('TRSYS Canada'!$K$3,CurrentRegionColumn('TRSYS Canada'!$A$12),0))</f>
        <v>#VALUE!</v>
      </c>
      <c r="M19" s="28" t="e">
        <f ca="1">INDEX(CurrentRegionColumn(INDEX('TRSYS Canada'!$H$12:$T$12,MATCH(Canada!$F19,'TRSYS Canada'!$H$12:$T$12,0))),MATCH('TRSYS Canada'!$K$4,CurrentRegionColumn('TRSYS Canada'!$A$12),0))</f>
        <v>#VALUE!</v>
      </c>
      <c r="N19" s="28" t="e">
        <f ca="1">INDEX(CurrentRegionColumn(INDEX('TRSYS Canada'!$H$12:$T$12,MATCH(Canada!$F19,'TRSYS Canada'!$H$12:$T$12,0))),MATCH('TRSYS Canada'!$K$5,CurrentRegionColumn('TRSYS Canada'!$A$12),0))</f>
        <v>#VALUE!</v>
      </c>
      <c r="O19" s="29" t="e">
        <f ca="1">INDEX(CurrentRegionColumn(INDEX('TRSYS Canada'!$H$12:$T$12,MATCH(Canada!$F19,'TRSYS Canada'!$H$12:$T$12,0))),MATCH('TRSYS Canada'!$K$6,CurrentRegionColumn('TRSYS Canada'!$A$12),0))</f>
        <v>#VALUE!</v>
      </c>
    </row>
    <row r="20" spans="1:19" ht="15" hidden="1" customHeight="1" x14ac:dyDescent="0.25">
      <c r="A20" s="1" t="s">
        <v>86</v>
      </c>
      <c r="B20" s="1" t="s">
        <v>16</v>
      </c>
      <c r="C20" t="str">
        <f t="shared" si="1"/>
        <v>TRSY: 07-10 vs 03-30</v>
      </c>
      <c r="F20" s="43" t="str">
        <f t="shared" si="0"/>
        <v>07-10 vs 03-30</v>
      </c>
      <c r="G20" s="28" t="str">
        <f ca="1">'TRSYS Canada'!P$13</f>
        <v/>
      </c>
      <c r="H20" s="28">
        <f ca="1">MAX('TRSYS Canada'!P$13:P$274)</f>
        <v>0.3335579514824798</v>
      </c>
      <c r="I20" s="28">
        <f ca="1">MIN('TRSYS Canada'!P$13:P$275)</f>
        <v>0.21131339401820545</v>
      </c>
      <c r="J20" s="28">
        <f ca="1">'TRSYS Canada'!P$14</f>
        <v>0.21924083769633521</v>
      </c>
      <c r="K20" s="28" t="e">
        <f ca="1">INDEX(CurrentRegionColumn(INDEX('TRSYS Canada'!$H$12:$T$12,MATCH(Canada!$F20,'TRSYS Canada'!$H$12:$T$12,0))),MATCH('TRSYS Canada'!$K$2,CurrentRegionColumn('TRSYS Canada'!$A$12),0))</f>
        <v>#VALUE!</v>
      </c>
      <c r="L20" s="28" t="e">
        <f ca="1">INDEX(CurrentRegionColumn(INDEX('TRSYS Canada'!$H$12:$T$12,MATCH(Canada!$F20,'TRSYS Canada'!$H$12:$T$12,0))),MATCH('TRSYS Canada'!$K$3,CurrentRegionColumn('TRSYS Canada'!$A$12),0))</f>
        <v>#VALUE!</v>
      </c>
      <c r="M20" s="28" t="e">
        <f ca="1">INDEX(CurrentRegionColumn(INDEX('TRSYS Canada'!$H$12:$T$12,MATCH(Canada!$F20,'TRSYS Canada'!$H$12:$T$12,0))),MATCH('TRSYS Canada'!$K$4,CurrentRegionColumn('TRSYS Canada'!$A$12),0))</f>
        <v>#VALUE!</v>
      </c>
      <c r="N20" s="28" t="e">
        <f ca="1">INDEX(CurrentRegionColumn(INDEX('TRSYS Canada'!$H$12:$T$12,MATCH(Canada!$F20,'TRSYS Canada'!$H$12:$T$12,0))),MATCH('TRSYS Canada'!$K$5,CurrentRegionColumn('TRSYS Canada'!$A$12),0))</f>
        <v>#VALUE!</v>
      </c>
      <c r="O20" s="29" t="e">
        <f ca="1">INDEX(CurrentRegionColumn(INDEX('TRSYS Canada'!$H$12:$T$12,MATCH(Canada!$F20,'TRSYS Canada'!$H$12:$T$12,0))),MATCH('TRSYS Canada'!$K$6,CurrentRegionColumn('TRSYS Canada'!$A$12),0))</f>
        <v>#VALUE!</v>
      </c>
    </row>
    <row r="21" spans="1:19" ht="15" hidden="1" customHeight="1" x14ac:dyDescent="0.25">
      <c r="C21" t="str">
        <f>$F$11&amp;": "&amp;$F21</f>
        <v>TRSY: 07-10 vs 05-30</v>
      </c>
      <c r="F21" s="43" t="str">
        <f t="shared" si="0"/>
        <v>07-10 vs 05-30</v>
      </c>
      <c r="G21" s="28" t="str">
        <f ca="1">'TRSYS Canada'!Q$13</f>
        <v/>
      </c>
      <c r="H21" s="28">
        <f ca="1">MAX('TRSYS Canada'!Q$13:Q$274)</f>
        <v>0.40016168148746967</v>
      </c>
      <c r="I21" s="28">
        <f ca="1">MIN('TRSYS Canada'!Q$13:Q$275)</f>
        <v>0.26538768984812161</v>
      </c>
      <c r="J21" s="28">
        <f ca="1">'TRSYS Canada'!Q$14</f>
        <v>0.26671974522293007</v>
      </c>
      <c r="K21" s="28" t="e">
        <f ca="1">INDEX(CurrentRegionColumn(INDEX('TRSYS Canada'!$H$12:$T$12,MATCH(Canada!$F21,'TRSYS Canada'!$H$12:$T$12,0))),MATCH('TRSYS Canada'!$K$2,CurrentRegionColumn('TRSYS Canada'!$A$12),0))</f>
        <v>#VALUE!</v>
      </c>
      <c r="L21" s="28" t="e">
        <f ca="1">INDEX(CurrentRegionColumn(INDEX('TRSYS Canada'!$H$12:$T$12,MATCH(Canada!$F21,'TRSYS Canada'!$H$12:$T$12,0))),MATCH('TRSYS Canada'!$K$3,CurrentRegionColumn('TRSYS Canada'!$A$12),0))</f>
        <v>#VALUE!</v>
      </c>
      <c r="M21" s="28" t="e">
        <f ca="1">INDEX(CurrentRegionColumn(INDEX('TRSYS Canada'!$H$12:$T$12,MATCH(Canada!$F21,'TRSYS Canada'!$H$12:$T$12,0))),MATCH('TRSYS Canada'!$K$4,CurrentRegionColumn('TRSYS Canada'!$A$12),0))</f>
        <v>#VALUE!</v>
      </c>
      <c r="N21" s="28" t="e">
        <f ca="1">INDEX(CurrentRegionColumn(INDEX('TRSYS Canada'!$H$12:$T$12,MATCH(Canada!$F21,'TRSYS Canada'!$H$12:$T$12,0))),MATCH('TRSYS Canada'!$K$5,CurrentRegionColumn('TRSYS Canada'!$A$12),0))</f>
        <v>#VALUE!</v>
      </c>
      <c r="O21" s="29" t="e">
        <f ca="1">INDEX(CurrentRegionColumn(INDEX('TRSYS Canada'!$H$12:$T$12,MATCH(Canada!$F21,'TRSYS Canada'!$H$12:$T$12,0))),MATCH('TRSYS Canada'!$K$6,CurrentRegionColumn('TRSYS Canada'!$A$12),0))</f>
        <v>#VALUE!</v>
      </c>
    </row>
    <row r="22" spans="1:19" ht="15" hidden="1" customHeight="1" x14ac:dyDescent="0.25">
      <c r="C22" t="str">
        <f t="shared" si="1"/>
        <v>TRSY: 03-10 vs 02-30</v>
      </c>
      <c r="F22" s="43" t="str">
        <f t="shared" si="0"/>
        <v>03-10 vs 02-30</v>
      </c>
      <c r="G22" s="28" t="str">
        <f ca="1">'TRSYS Canada'!R$13</f>
        <v/>
      </c>
      <c r="H22" s="28">
        <f ca="1">MAX('TRSYS Canada'!R$13:R$274)</f>
        <v>0.66396542409508374</v>
      </c>
      <c r="I22" s="28">
        <f ca="1">MIN('TRSYS Canada'!R$13:R$275)</f>
        <v>0.50567260940032421</v>
      </c>
      <c r="J22" s="28">
        <f ca="1">'TRSYS Canada'!R$14</f>
        <v>0.57161892071952047</v>
      </c>
      <c r="K22" s="28" t="e">
        <f ca="1">INDEX(CurrentRegionColumn(INDEX('TRSYS Canada'!$H$12:$T$12,MATCH(Canada!$F22,'TRSYS Canada'!$H$12:$T$12,0))),MATCH('TRSYS Canada'!$K$2,CurrentRegionColumn('TRSYS Canada'!$A$12),0))</f>
        <v>#VALUE!</v>
      </c>
      <c r="L22" s="28" t="e">
        <f ca="1">INDEX(CurrentRegionColumn(INDEX('TRSYS Canada'!$H$12:$T$12,MATCH(Canada!$F22,'TRSYS Canada'!$H$12:$T$12,0))),MATCH('TRSYS Canada'!$K$3,CurrentRegionColumn('TRSYS Canada'!$A$12),0))</f>
        <v>#VALUE!</v>
      </c>
      <c r="M22" s="28" t="e">
        <f ca="1">INDEX(CurrentRegionColumn(INDEX('TRSYS Canada'!$H$12:$T$12,MATCH(Canada!$F22,'TRSYS Canada'!$H$12:$T$12,0))),MATCH('TRSYS Canada'!$K$4,CurrentRegionColumn('TRSYS Canada'!$A$12),0))</f>
        <v>#VALUE!</v>
      </c>
      <c r="N22" s="28" t="e">
        <f ca="1">INDEX(CurrentRegionColumn(INDEX('TRSYS Canada'!$H$12:$T$12,MATCH(Canada!$F22,'TRSYS Canada'!$H$12:$T$12,0))),MATCH('TRSYS Canada'!$K$5,CurrentRegionColumn('TRSYS Canada'!$A$12),0))</f>
        <v>#VALUE!</v>
      </c>
      <c r="O22" s="29" t="e">
        <f ca="1">INDEX(CurrentRegionColumn(INDEX('TRSYS Canada'!$H$12:$T$12,MATCH(Canada!$F22,'TRSYS Canada'!$H$12:$T$12,0))),MATCH('TRSYS Canada'!$K$6,CurrentRegionColumn('TRSYS Canada'!$A$12),0))</f>
        <v>#VALUE!</v>
      </c>
    </row>
    <row r="23" spans="1:19" ht="15" hidden="1" customHeight="1" x14ac:dyDescent="0.25">
      <c r="A23" s="1" t="s">
        <v>10</v>
      </c>
      <c r="B23" s="1" t="s">
        <v>13</v>
      </c>
      <c r="C23" t="str">
        <f t="shared" si="1"/>
        <v>TRSY: 05-10 vs 02-30</v>
      </c>
      <c r="D23" s="10"/>
      <c r="F23" s="43" t="str">
        <f t="shared" si="0"/>
        <v>05-10 vs 02-30</v>
      </c>
      <c r="G23" s="28" t="str">
        <f ca="1">'TRSYS Canada'!S$13</f>
        <v/>
      </c>
      <c r="H23" s="28">
        <f ca="1">MAX('TRSYS Canada'!S$13:S$274)</f>
        <v>0.45000000000000012</v>
      </c>
      <c r="I23" s="28">
        <f ca="1">MIN('TRSYS Canada'!S$13:S$275)</f>
        <v>0.31824062095730904</v>
      </c>
      <c r="J23" s="28">
        <f ca="1">'TRSYS Canada'!S$14</f>
        <v>0.39040639573617597</v>
      </c>
      <c r="K23" s="28" t="e">
        <f ca="1">INDEX(CurrentRegionColumn(INDEX('TRSYS Canada'!$H$12:$T$12,MATCH(Canada!$F23,'TRSYS Canada'!$H$12:$T$12,0))),MATCH('TRSYS Canada'!$K$2,CurrentRegionColumn('TRSYS Canada'!$A$12),0))</f>
        <v>#VALUE!</v>
      </c>
      <c r="L23" s="28" t="e">
        <f ca="1">INDEX(CurrentRegionColumn(INDEX('TRSYS Canada'!$H$12:$T$12,MATCH(Canada!$F23,'TRSYS Canada'!$H$12:$T$12,0))),MATCH('TRSYS Canada'!$K$3,CurrentRegionColumn('TRSYS Canada'!$A$12),0))</f>
        <v>#VALUE!</v>
      </c>
      <c r="M23" s="28" t="e">
        <f ca="1">INDEX(CurrentRegionColumn(INDEX('TRSYS Canada'!$H$12:$T$12,MATCH(Canada!$F23,'TRSYS Canada'!$H$12:$T$12,0))),MATCH('TRSYS Canada'!$K$4,CurrentRegionColumn('TRSYS Canada'!$A$12),0))</f>
        <v>#VALUE!</v>
      </c>
      <c r="N23" s="28" t="e">
        <f ca="1">INDEX(CurrentRegionColumn(INDEX('TRSYS Canada'!$H$12:$T$12,MATCH(Canada!$F23,'TRSYS Canada'!$H$12:$T$12,0))),MATCH('TRSYS Canada'!$K$5,CurrentRegionColumn('TRSYS Canada'!$A$12),0))</f>
        <v>#VALUE!</v>
      </c>
      <c r="O23" s="29" t="e">
        <f ca="1">INDEX(CurrentRegionColumn(INDEX('TRSYS Canada'!$H$12:$T$12,MATCH(Canada!$F23,'TRSYS Canada'!$H$12:$T$12,0))),MATCH('TRSYS Canada'!$K$6,CurrentRegionColumn('TRSYS Canada'!$A$12),0))</f>
        <v>#VALUE!</v>
      </c>
    </row>
    <row r="24" spans="1:19" ht="15" hidden="1" customHeight="1" x14ac:dyDescent="0.25">
      <c r="A24" s="1" t="s">
        <v>10</v>
      </c>
      <c r="B24" s="1" t="s">
        <v>14</v>
      </c>
      <c r="C24" t="str">
        <f t="shared" si="1"/>
        <v>TRSY: 05-10 vs 03-30</v>
      </c>
      <c r="D24" s="10"/>
      <c r="F24" s="44" t="str">
        <f t="shared" si="0"/>
        <v>05-10 vs 03-30</v>
      </c>
      <c r="G24" s="30" t="str">
        <f ca="1">'TRSYS Canada'!T$13</f>
        <v/>
      </c>
      <c r="H24" s="30">
        <f ca="1">MAX('TRSYS Canada'!T$13:T$274)</f>
        <v>0.44916943521594677</v>
      </c>
      <c r="I24" s="30">
        <f ca="1">MIN('TRSYS Canada'!T$13:T$275)</f>
        <v>0.33333333333333337</v>
      </c>
      <c r="J24" s="30">
        <f ca="1">'TRSYS Canada'!T$14</f>
        <v>0.38350785340314142</v>
      </c>
      <c r="K24" s="30" t="e">
        <f ca="1">INDEX(CurrentRegionColumn(INDEX('TRSYS Canada'!$H$12:$T$12,MATCH(Canada!$F24,'TRSYS Canada'!$H$12:$T$12,0))),MATCH('TRSYS Canada'!$K$2,CurrentRegionColumn('TRSYS Canada'!$A$12),0))</f>
        <v>#VALUE!</v>
      </c>
      <c r="L24" s="30" t="e">
        <f ca="1">INDEX(CurrentRegionColumn(INDEX('TRSYS Canada'!$H$12:$T$12,MATCH(Canada!$F24,'TRSYS Canada'!$H$12:$T$12,0))),MATCH('TRSYS Canada'!$K$3,CurrentRegionColumn('TRSYS Canada'!$A$12),0))</f>
        <v>#VALUE!</v>
      </c>
      <c r="M24" s="30" t="e">
        <f ca="1">INDEX(CurrentRegionColumn(INDEX('TRSYS Canada'!$H$12:$T$12,MATCH(Canada!$F24,'TRSYS Canada'!$H$12:$T$12,0))),MATCH('TRSYS Canada'!$K$4,CurrentRegionColumn('TRSYS Canada'!$A$12),0))</f>
        <v>#VALUE!</v>
      </c>
      <c r="N24" s="30" t="e">
        <f ca="1">INDEX(CurrentRegionColumn(INDEX('TRSYS Canada'!$H$12:$T$12,MATCH(Canada!$F24,'TRSYS Canada'!$H$12:$T$12,0))),MATCH('TRSYS Canada'!$K$5,CurrentRegionColumn('TRSYS Canada'!$A$12),0))</f>
        <v>#VALUE!</v>
      </c>
      <c r="O24" s="31" t="e">
        <f ca="1">INDEX(CurrentRegionColumn(INDEX('TRSYS Canada'!$H$12:$T$12,MATCH(Canada!$F24,'TRSYS Canada'!$H$12:$T$12,0))),MATCH('TRSYS Canada'!$K$6,CurrentRegionColumn('TRSYS Canada'!$A$12),0))</f>
        <v>#VALUE!</v>
      </c>
    </row>
    <row r="25" spans="1:19" ht="15" hidden="1" customHeight="1" x14ac:dyDescent="0.25">
      <c r="A25" s="1" t="s">
        <v>10</v>
      </c>
      <c r="B25" s="1" t="s">
        <v>15</v>
      </c>
      <c r="C25" s="1"/>
      <c r="D25" s="10"/>
      <c r="P25" s="1"/>
      <c r="Q25" s="1"/>
      <c r="R25" s="1"/>
      <c r="S25" s="1"/>
    </row>
    <row r="26" spans="1:19" ht="15" customHeight="1" x14ac:dyDescent="0.25">
      <c r="A26" s="1" t="s">
        <v>11</v>
      </c>
      <c r="B26" s="1" t="s">
        <v>14</v>
      </c>
      <c r="C26" s="1"/>
      <c r="D26" s="10"/>
      <c r="F26" s="45" t="s">
        <v>95</v>
      </c>
      <c r="G26" s="38" t="s">
        <v>21</v>
      </c>
      <c r="H26" s="38" t="s">
        <v>28</v>
      </c>
      <c r="I26" s="38" t="s">
        <v>29</v>
      </c>
      <c r="J26" s="39" t="s">
        <v>30</v>
      </c>
      <c r="K26" s="39" t="s">
        <v>35</v>
      </c>
      <c r="L26" s="39" t="s">
        <v>36</v>
      </c>
      <c r="M26" s="39" t="s">
        <v>37</v>
      </c>
      <c r="N26" s="39" t="s">
        <v>38</v>
      </c>
      <c r="O26" s="40" t="s">
        <v>40</v>
      </c>
      <c r="P26" s="3"/>
      <c r="Q26" s="3"/>
      <c r="R26" s="3"/>
      <c r="S26" s="3"/>
    </row>
    <row r="27" spans="1:19" ht="15" customHeight="1" x14ac:dyDescent="0.25">
      <c r="A27" s="1" t="s">
        <v>11</v>
      </c>
      <c r="B27" s="1" t="s">
        <v>15</v>
      </c>
      <c r="C27" t="str">
        <f>$F$26&amp;": "&amp;$F27</f>
        <v>SWAPS: 03-05 vs 02-07</v>
      </c>
      <c r="D27" s="10"/>
      <c r="F27" s="46" t="str">
        <f>A23&amp;" vs "&amp;B23</f>
        <v>03-05 vs 02-07</v>
      </c>
      <c r="G27" s="32" t="str">
        <f ca="1">'SWPS Canada'!H$13</f>
        <v/>
      </c>
      <c r="H27" s="32">
        <f ca="1">MAX('SWPS Canada'!H$13:H$274)</f>
        <v>0.4888586494301751</v>
      </c>
      <c r="I27" s="32">
        <f ca="1">MIN('SWPS Canada'!H$13:H$275)</f>
        <v>0.34753049390121976</v>
      </c>
      <c r="J27" s="32">
        <f ca="1">'SWPS Canada'!H$14</f>
        <v>0.40747330960854095</v>
      </c>
      <c r="K27" s="32" t="e">
        <f ca="1">INDEX(CurrentRegionColumn(INDEX('SWPS Canada'!$H$12:$T$12,MATCH(Canada!$F27,'SWPS Canada'!$H$12:$T$12,0))),MATCH('SWPS Canada'!$K$2,CurrentRegionColumn('SWPS Canada'!$A$12),0))</f>
        <v>#VALUE!</v>
      </c>
      <c r="L27" s="32" t="e">
        <f ca="1">INDEX(CurrentRegionColumn(INDEX('SWPS Canada'!$H$12:$T$12,MATCH(Canada!$F27,'SWPS Canada'!$H$12:$T$12,0))),MATCH('SWPS Canada'!$K$3,CurrentRegionColumn('SWPS Canada'!$A$12),0))</f>
        <v>#VALUE!</v>
      </c>
      <c r="M27" s="32" t="e">
        <f ca="1">INDEX(CurrentRegionColumn(INDEX('SWPS Canada'!$H$12:$T$12,MATCH(Canada!$F27,'SWPS Canada'!$H$12:$T$12,0))),MATCH('SWPS Canada'!$K$4,CurrentRegionColumn('SWPS Canada'!$A$12),0))</f>
        <v>#VALUE!</v>
      </c>
      <c r="N27" s="32" t="e">
        <f ca="1">INDEX(CurrentRegionColumn(INDEX('SWPS Canada'!$H$12:$T$12,MATCH(Canada!$F27,'SWPS Canada'!$H$12:$T$12,0))),MATCH('SWPS Canada'!$K$5,CurrentRegionColumn('SWPS Canada'!$A$12),0))</f>
        <v>#VALUE!</v>
      </c>
      <c r="O27" s="33" t="e">
        <f ca="1">INDEX(CurrentRegionColumn(INDEX('SWPS Canada'!$H$12:$T$12,MATCH(Canada!$F27,'SWPS Canada'!$H$12:$T$12,0))),MATCH('SWPS Canada'!$K$6,CurrentRegionColumn('SWPS Canada'!$A$12),0))</f>
        <v>#VALUE!</v>
      </c>
    </row>
    <row r="28" spans="1:19" ht="15" customHeight="1" x14ac:dyDescent="0.25">
      <c r="A28" s="1" t="s">
        <v>11</v>
      </c>
      <c r="B28" s="1" t="s">
        <v>17</v>
      </c>
      <c r="C28" t="str">
        <f t="shared" ref="C28:C39" si="2">$F$26&amp;": "&amp;$F28</f>
        <v>SWAPS: 03-05 vs 02-10</v>
      </c>
      <c r="D28" s="10"/>
      <c r="F28" s="47" t="str">
        <f t="shared" ref="F28:F39" si="3">A24&amp;" vs "&amp;B24</f>
        <v>03-05 vs 02-10</v>
      </c>
      <c r="G28" s="34" t="str">
        <f ca="1">'SWPS Canada'!I$13</f>
        <v/>
      </c>
      <c r="H28" s="34">
        <f ca="1">MAX('SWPS Canada'!I$13:I$274)</f>
        <v>0.32044469304992323</v>
      </c>
      <c r="I28" s="34">
        <f ca="1">MIN('SWPS Canada'!I$13:I$275)</f>
        <v>0.20604623592175453</v>
      </c>
      <c r="J28" s="34">
        <f ca="1">'SWPS Canada'!I$14</f>
        <v>0.25220264317180618</v>
      </c>
      <c r="K28" s="34" t="e">
        <f ca="1">INDEX(CurrentRegionColumn(INDEX('SWPS Canada'!$H$12:$T$12,MATCH(Canada!$F28,'SWPS Canada'!$H$12:$T$12,0))),MATCH('SWPS Canada'!$K$2,CurrentRegionColumn('SWPS Canada'!$A$12),0))</f>
        <v>#VALUE!</v>
      </c>
      <c r="L28" s="34" t="e">
        <f ca="1">INDEX(CurrentRegionColumn(INDEX('SWPS Canada'!$H$12:$T$12,MATCH(Canada!$F28,'SWPS Canada'!$H$12:$T$12,0))),MATCH('SWPS Canada'!$K$3,CurrentRegionColumn('SWPS Canada'!$A$12),0))</f>
        <v>#VALUE!</v>
      </c>
      <c r="M28" s="34" t="e">
        <f ca="1">INDEX(CurrentRegionColumn(INDEX('SWPS Canada'!$H$12:$T$12,MATCH(Canada!$F28,'SWPS Canada'!$H$12:$T$12,0))),MATCH('SWPS Canada'!$K$4,CurrentRegionColumn('SWPS Canada'!$A$12),0))</f>
        <v>#VALUE!</v>
      </c>
      <c r="N28" s="34" t="e">
        <f ca="1">INDEX(CurrentRegionColumn(INDEX('SWPS Canada'!$H$12:$T$12,MATCH(Canada!$F28,'SWPS Canada'!$H$12:$T$12,0))),MATCH('SWPS Canada'!$K$5,CurrentRegionColumn('SWPS Canada'!$A$12),0))</f>
        <v>#VALUE!</v>
      </c>
      <c r="O28" s="35" t="e">
        <f ca="1">INDEX(CurrentRegionColumn(INDEX('SWPS Canada'!$H$12:$T$12,MATCH(Canada!$F28,'SWPS Canada'!$H$12:$T$12,0))),MATCH('SWPS Canada'!$K$6,CurrentRegionColumn('SWPS Canada'!$A$12),0))</f>
        <v>#VALUE!</v>
      </c>
      <c r="P28" s="1"/>
      <c r="Q28" s="1"/>
      <c r="R28" s="1"/>
    </row>
    <row r="29" spans="1:19" ht="15" customHeight="1" x14ac:dyDescent="0.25">
      <c r="A29" s="1" t="s">
        <v>11</v>
      </c>
      <c r="B29" s="1" t="s">
        <v>16</v>
      </c>
      <c r="C29" t="str">
        <f t="shared" si="2"/>
        <v>SWAPS: 03-05 vs 02-30</v>
      </c>
      <c r="D29" s="10"/>
      <c r="F29" s="47" t="str">
        <f t="shared" si="3"/>
        <v>03-05 vs 02-30</v>
      </c>
      <c r="G29" s="34" t="str">
        <f ca="1">'SWPS Canada'!J$13</f>
        <v/>
      </c>
      <c r="H29" s="34">
        <f ca="1">MAX('SWPS Canada'!J$13:J$274)</f>
        <v>0.23261597807329212</v>
      </c>
      <c r="I29" s="34">
        <f ca="1">MIN('SWPS Canada'!J$13:J$275)</f>
        <v>0.12282685512367487</v>
      </c>
      <c r="J29" s="34">
        <f ca="1">'SWPS Canada'!J$14</f>
        <v>0.15309533360074876</v>
      </c>
      <c r="K29" s="34" t="e">
        <f ca="1">INDEX(CurrentRegionColumn(INDEX('SWPS Canada'!$H$12:$T$12,MATCH(Canada!$F29,'SWPS Canada'!$H$12:$T$12,0))),MATCH('SWPS Canada'!$K$2,CurrentRegionColumn('SWPS Canada'!$A$12),0))</f>
        <v>#VALUE!</v>
      </c>
      <c r="L29" s="34" t="e">
        <f ca="1">INDEX(CurrentRegionColumn(INDEX('SWPS Canada'!$H$12:$T$12,MATCH(Canada!$F29,'SWPS Canada'!$H$12:$T$12,0))),MATCH('SWPS Canada'!$K$3,CurrentRegionColumn('SWPS Canada'!$A$12),0))</f>
        <v>#VALUE!</v>
      </c>
      <c r="M29" s="34" t="e">
        <f ca="1">INDEX(CurrentRegionColumn(INDEX('SWPS Canada'!$H$12:$T$12,MATCH(Canada!$F29,'SWPS Canada'!$H$12:$T$12,0))),MATCH('SWPS Canada'!$K$4,CurrentRegionColumn('SWPS Canada'!$A$12),0))</f>
        <v>#VALUE!</v>
      </c>
      <c r="N29" s="34" t="e">
        <f ca="1">INDEX(CurrentRegionColumn(INDEX('SWPS Canada'!$H$12:$T$12,MATCH(Canada!$F29,'SWPS Canada'!$H$12:$T$12,0))),MATCH('SWPS Canada'!$K$5,CurrentRegionColumn('SWPS Canada'!$A$12),0))</f>
        <v>#VALUE!</v>
      </c>
      <c r="O29" s="35" t="e">
        <f ca="1">INDEX(CurrentRegionColumn(INDEX('SWPS Canada'!$H$12:$T$12,MATCH(Canada!$F29,'SWPS Canada'!$H$12:$T$12,0))),MATCH('SWPS Canada'!$K$6,CurrentRegionColumn('SWPS Canada'!$A$12),0))</f>
        <v>#VALUE!</v>
      </c>
      <c r="P29" s="3"/>
      <c r="Q29" s="3"/>
      <c r="R29" s="3"/>
    </row>
    <row r="30" spans="1:19" ht="15" customHeight="1" x14ac:dyDescent="0.25">
      <c r="A30" s="1" t="s">
        <v>12</v>
      </c>
      <c r="B30" s="1" t="s">
        <v>15</v>
      </c>
      <c r="C30" t="str">
        <f t="shared" si="2"/>
        <v>SWAPS: 05-07 vs 02-10</v>
      </c>
      <c r="D30" s="10"/>
      <c r="F30" s="47" t="str">
        <f t="shared" si="3"/>
        <v>05-07 vs 02-10</v>
      </c>
      <c r="G30" s="34" t="str">
        <f ca="1">'SWPS Canada'!K$13</f>
        <v/>
      </c>
      <c r="H30" s="34">
        <f ca="1">MAX('SWPS Canada'!K$13:K$274)</f>
        <v>0.30622406639004146</v>
      </c>
      <c r="I30" s="34">
        <f ca="1">MIN('SWPS Canada'!K$13:K$275)</f>
        <v>0.21602711271455124</v>
      </c>
      <c r="J30" s="34">
        <f ca="1">'SWPS Canada'!K$14</f>
        <v>0.27533039647577101</v>
      </c>
      <c r="K30" s="34" t="e">
        <f ca="1">INDEX(CurrentRegionColumn(INDEX('SWPS Canada'!$H$12:$T$12,MATCH(Canada!$F30,'SWPS Canada'!$H$12:$T$12,0))),MATCH('SWPS Canada'!$K$2,CurrentRegionColumn('SWPS Canada'!$A$12),0))</f>
        <v>#VALUE!</v>
      </c>
      <c r="L30" s="34" t="e">
        <f ca="1">INDEX(CurrentRegionColumn(INDEX('SWPS Canada'!$H$12:$T$12,MATCH(Canada!$F30,'SWPS Canada'!$H$12:$T$12,0))),MATCH('SWPS Canada'!$K$3,CurrentRegionColumn('SWPS Canada'!$A$12),0))</f>
        <v>#VALUE!</v>
      </c>
      <c r="M30" s="34" t="e">
        <f ca="1">INDEX(CurrentRegionColumn(INDEX('SWPS Canada'!$H$12:$T$12,MATCH(Canada!$F30,'SWPS Canada'!$H$12:$T$12,0))),MATCH('SWPS Canada'!$K$4,CurrentRegionColumn('SWPS Canada'!$A$12),0))</f>
        <v>#VALUE!</v>
      </c>
      <c r="N30" s="34" t="e">
        <f ca="1">INDEX(CurrentRegionColumn(INDEX('SWPS Canada'!$H$12:$T$12,MATCH(Canada!$F30,'SWPS Canada'!$H$12:$T$12,0))),MATCH('SWPS Canada'!$K$5,CurrentRegionColumn('SWPS Canada'!$A$12),0))</f>
        <v>#VALUE!</v>
      </c>
      <c r="O30" s="35" t="e">
        <f ca="1">INDEX(CurrentRegionColumn(INDEX('SWPS Canada'!$H$12:$T$12,MATCH(Canada!$F30,'SWPS Canada'!$H$12:$T$12,0))),MATCH('SWPS Canada'!$K$6,CurrentRegionColumn('SWPS Canada'!$A$12),0))</f>
        <v>#VALUE!</v>
      </c>
    </row>
    <row r="31" spans="1:19" ht="15" customHeight="1" x14ac:dyDescent="0.25">
      <c r="A31" s="1" t="s">
        <v>12</v>
      </c>
      <c r="B31" s="1" t="s">
        <v>16</v>
      </c>
      <c r="C31" t="str">
        <f t="shared" si="2"/>
        <v>SWAPS: 05-07 vs 02-30</v>
      </c>
      <c r="D31" s="10"/>
      <c r="F31" s="47" t="str">
        <f t="shared" si="3"/>
        <v>05-07 vs 02-30</v>
      </c>
      <c r="G31" s="34" t="str">
        <f ca="1">'SWPS Canada'!L$13</f>
        <v/>
      </c>
      <c r="H31" s="34">
        <f ca="1">MAX('SWPS Canada'!L$13:L$274)</f>
        <v>0.19465946282923804</v>
      </c>
      <c r="I31" s="34">
        <f ca="1">MIN('SWPS Canada'!L$13:L$275)</f>
        <v>0.143074361016581</v>
      </c>
      <c r="J31" s="34">
        <f ca="1">'SWPS Canada'!L$14</f>
        <v>0.16713464366893971</v>
      </c>
      <c r="K31" s="34" t="e">
        <f ca="1">INDEX(CurrentRegionColumn(INDEX('SWPS Canada'!$H$12:$T$12,MATCH(Canada!$F31,'SWPS Canada'!$H$12:$T$12,0))),MATCH('SWPS Canada'!$K$2,CurrentRegionColumn('SWPS Canada'!$A$12),0))</f>
        <v>#VALUE!</v>
      </c>
      <c r="L31" s="34" t="e">
        <f ca="1">INDEX(CurrentRegionColumn(INDEX('SWPS Canada'!$H$12:$T$12,MATCH(Canada!$F31,'SWPS Canada'!$H$12:$T$12,0))),MATCH('SWPS Canada'!$K$3,CurrentRegionColumn('SWPS Canada'!$A$12),0))</f>
        <v>#VALUE!</v>
      </c>
      <c r="M31" s="34" t="e">
        <f ca="1">INDEX(CurrentRegionColumn(INDEX('SWPS Canada'!$H$12:$T$12,MATCH(Canada!$F31,'SWPS Canada'!$H$12:$T$12,0))),MATCH('SWPS Canada'!$K$4,CurrentRegionColumn('SWPS Canada'!$A$12),0))</f>
        <v>#VALUE!</v>
      </c>
      <c r="N31" s="34" t="e">
        <f ca="1">INDEX(CurrentRegionColumn(INDEX('SWPS Canada'!$H$12:$T$12,MATCH(Canada!$F31,'SWPS Canada'!$H$12:$T$12,0))),MATCH('SWPS Canada'!$K$5,CurrentRegionColumn('SWPS Canada'!$A$12),0))</f>
        <v>#VALUE!</v>
      </c>
      <c r="O31" s="35" t="e">
        <f ca="1">INDEX(CurrentRegionColumn(INDEX('SWPS Canada'!$H$12:$T$12,MATCH(Canada!$F31,'SWPS Canada'!$H$12:$T$12,0))),MATCH('SWPS Canada'!$K$6,CurrentRegionColumn('SWPS Canada'!$A$12),0))</f>
        <v>#VALUE!</v>
      </c>
    </row>
    <row r="32" spans="1:19" ht="15" customHeight="1" x14ac:dyDescent="0.25">
      <c r="A32" s="1" t="s">
        <v>12</v>
      </c>
      <c r="B32" s="1" t="s">
        <v>18</v>
      </c>
      <c r="C32" t="str">
        <f t="shared" si="2"/>
        <v>SWAPS: 05-07 vs 03-10</v>
      </c>
      <c r="D32" s="10"/>
      <c r="F32" s="47" t="str">
        <f t="shared" si="3"/>
        <v>05-07 vs 03-10</v>
      </c>
      <c r="G32" s="34" t="str">
        <f ca="1">'SWPS Canada'!M$13</f>
        <v/>
      </c>
      <c r="H32" s="34">
        <f ca="1">MAX('SWPS Canada'!M$13:M$274)</f>
        <v>0.33307543520309468</v>
      </c>
      <c r="I32" s="34">
        <f ca="1">MIN('SWPS Canada'!M$13:M$275)</f>
        <v>0.24340970682434102</v>
      </c>
      <c r="J32" s="34">
        <f ca="1">'SWPS Canada'!M$14</f>
        <v>0.30303030303030309</v>
      </c>
      <c r="K32" s="34" t="e">
        <f ca="1">INDEX(CurrentRegionColumn(INDEX('SWPS Canada'!$H$12:$T$12,MATCH(Canada!$F32,'SWPS Canada'!$H$12:$T$12,0))),MATCH('SWPS Canada'!$K$2,CurrentRegionColumn('SWPS Canada'!$A$12),0))</f>
        <v>#VALUE!</v>
      </c>
      <c r="L32" s="34" t="e">
        <f ca="1">INDEX(CurrentRegionColumn(INDEX('SWPS Canada'!$H$12:$T$12,MATCH(Canada!$F32,'SWPS Canada'!$H$12:$T$12,0))),MATCH('SWPS Canada'!$K$3,CurrentRegionColumn('SWPS Canada'!$A$12),0))</f>
        <v>#VALUE!</v>
      </c>
      <c r="M32" s="34" t="e">
        <f ca="1">INDEX(CurrentRegionColumn(INDEX('SWPS Canada'!$H$12:$T$12,MATCH(Canada!$F32,'SWPS Canada'!$H$12:$T$12,0))),MATCH('SWPS Canada'!$K$4,CurrentRegionColumn('SWPS Canada'!$A$12),0))</f>
        <v>#VALUE!</v>
      </c>
      <c r="N32" s="34" t="e">
        <f ca="1">INDEX(CurrentRegionColumn(INDEX('SWPS Canada'!$H$12:$T$12,MATCH(Canada!$F32,'SWPS Canada'!$H$12:$T$12,0))),MATCH('SWPS Canada'!$K$5,CurrentRegionColumn('SWPS Canada'!$A$12),0))</f>
        <v>#VALUE!</v>
      </c>
      <c r="O32" s="35" t="e">
        <f ca="1">INDEX(CurrentRegionColumn(INDEX('SWPS Canada'!$H$12:$T$12,MATCH(Canada!$F32,'SWPS Canada'!$H$12:$T$12,0))),MATCH('SWPS Canada'!$K$6,CurrentRegionColumn('SWPS Canada'!$A$12),0))</f>
        <v>#VALUE!</v>
      </c>
    </row>
    <row r="33" spans="1:50" ht="15" customHeight="1" x14ac:dyDescent="0.25">
      <c r="A33" s="1" t="s">
        <v>17</v>
      </c>
      <c r="B33" s="1" t="s">
        <v>15</v>
      </c>
      <c r="C33" t="str">
        <f t="shared" si="2"/>
        <v>SWAPS: 05-07 vs 03-30</v>
      </c>
      <c r="F33" s="47" t="str">
        <f t="shared" si="3"/>
        <v>05-07 vs 03-30</v>
      </c>
      <c r="G33" s="34" t="str">
        <f ca="1">'SWPS Canada'!N$13</f>
        <v/>
      </c>
      <c r="H33" s="34">
        <f ca="1">MAX('SWPS Canada'!N$13:N$274)</f>
        <v>0.21786150357578943</v>
      </c>
      <c r="I33" s="34">
        <f ca="1">MIN('SWPS Canada'!N$13:N$275)</f>
        <v>0.15459239555625098</v>
      </c>
      <c r="J33" s="34">
        <f ca="1">'SWPS Canada'!N$14</f>
        <v>0.17695356738391849</v>
      </c>
      <c r="K33" s="34" t="e">
        <f ca="1">INDEX(CurrentRegionColumn(INDEX('SWPS Canada'!$H$12:$T$12,MATCH(Canada!$F33,'SWPS Canada'!$H$12:$T$12,0))),MATCH('SWPS Canada'!$K$2,CurrentRegionColumn('SWPS Canada'!$A$12),0))</f>
        <v>#VALUE!</v>
      </c>
      <c r="L33" s="34" t="e">
        <f ca="1">INDEX(CurrentRegionColumn(INDEX('SWPS Canada'!$H$12:$T$12,MATCH(Canada!$F33,'SWPS Canada'!$H$12:$T$12,0))),MATCH('SWPS Canada'!$K$3,CurrentRegionColumn('SWPS Canada'!$A$12),0))</f>
        <v>#VALUE!</v>
      </c>
      <c r="M33" s="34" t="e">
        <f ca="1">INDEX(CurrentRegionColumn(INDEX('SWPS Canada'!$H$12:$T$12,MATCH(Canada!$F33,'SWPS Canada'!$H$12:$T$12,0))),MATCH('SWPS Canada'!$K$4,CurrentRegionColumn('SWPS Canada'!$A$12),0))</f>
        <v>#VALUE!</v>
      </c>
      <c r="N33" s="34" t="e">
        <f ca="1">INDEX(CurrentRegionColumn(INDEX('SWPS Canada'!$H$12:$T$12,MATCH(Canada!$F33,'SWPS Canada'!$H$12:$T$12,0))),MATCH('SWPS Canada'!$K$5,CurrentRegionColumn('SWPS Canada'!$A$12),0))</f>
        <v>#VALUE!</v>
      </c>
      <c r="O33" s="35" t="e">
        <f ca="1">INDEX(CurrentRegionColumn(INDEX('SWPS Canada'!$H$12:$T$12,MATCH(Canada!$F33,'SWPS Canada'!$H$12:$T$12,0))),MATCH('SWPS Canada'!$K$6,CurrentRegionColumn('SWPS Canada'!$A$12),0))</f>
        <v>#VALUE!</v>
      </c>
    </row>
    <row r="34" spans="1:50" ht="15" customHeight="1" x14ac:dyDescent="0.25">
      <c r="A34" s="1" t="s">
        <v>86</v>
      </c>
      <c r="B34" s="1" t="s">
        <v>15</v>
      </c>
      <c r="C34" t="str">
        <f t="shared" si="2"/>
        <v>SWAPS: 07-10 vs 02-30</v>
      </c>
      <c r="F34" s="47" t="str">
        <f t="shared" si="3"/>
        <v>07-10 vs 02-30</v>
      </c>
      <c r="G34" s="34" t="str">
        <f ca="1">'SWPS Canada'!O$13</f>
        <v/>
      </c>
      <c r="H34" s="34">
        <f ca="1">MAX('SWPS Canada'!O$13:O$274)</f>
        <v>0.25864040660736992</v>
      </c>
      <c r="I34" s="34">
        <f ca="1">MIN('SWPS Canada'!O$13:O$275)</f>
        <v>0.19178165093197772</v>
      </c>
      <c r="J34" s="34">
        <f ca="1">'SWPS Canada'!O$14</f>
        <v>0.23131434683781243</v>
      </c>
      <c r="K34" s="34" t="e">
        <f ca="1">INDEX(CurrentRegionColumn(INDEX('SWPS Canada'!$H$12:$T$12,MATCH(Canada!$F34,'SWPS Canada'!$H$12:$T$12,0))),MATCH('SWPS Canada'!$K$2,CurrentRegionColumn('SWPS Canada'!$A$12),0))</f>
        <v>#VALUE!</v>
      </c>
      <c r="L34" s="34" t="e">
        <f ca="1">INDEX(CurrentRegionColumn(INDEX('SWPS Canada'!$H$12:$T$12,MATCH(Canada!$F34,'SWPS Canada'!$H$12:$T$12,0))),MATCH('SWPS Canada'!$K$3,CurrentRegionColumn('SWPS Canada'!$A$12),0))</f>
        <v>#VALUE!</v>
      </c>
      <c r="M34" s="34" t="e">
        <f ca="1">INDEX(CurrentRegionColumn(INDEX('SWPS Canada'!$H$12:$T$12,MATCH(Canada!$F34,'SWPS Canada'!$H$12:$T$12,0))),MATCH('SWPS Canada'!$K$4,CurrentRegionColumn('SWPS Canada'!$A$12),0))</f>
        <v>#VALUE!</v>
      </c>
      <c r="N34" s="34" t="e">
        <f ca="1">INDEX(CurrentRegionColumn(INDEX('SWPS Canada'!$H$12:$T$12,MATCH(Canada!$F34,'SWPS Canada'!$H$12:$T$12,0))),MATCH('SWPS Canada'!$K$5,CurrentRegionColumn('SWPS Canada'!$A$12),0))</f>
        <v>#VALUE!</v>
      </c>
      <c r="O34" s="35" t="e">
        <f ca="1">INDEX(CurrentRegionColumn(INDEX('SWPS Canada'!$H$12:$T$12,MATCH(Canada!$F34,'SWPS Canada'!$H$12:$T$12,0))),MATCH('SWPS Canada'!$K$6,CurrentRegionColumn('SWPS Canada'!$A$12),0))</f>
        <v>#VALUE!</v>
      </c>
    </row>
    <row r="35" spans="1:50" ht="15" customHeight="1" x14ac:dyDescent="0.25">
      <c r="A35" s="1" t="s">
        <v>86</v>
      </c>
      <c r="B35" s="1" t="s">
        <v>16</v>
      </c>
      <c r="C35" t="str">
        <f t="shared" si="2"/>
        <v>SWAPS: 07-10 vs 03-30</v>
      </c>
      <c r="F35" s="47" t="str">
        <f t="shared" si="3"/>
        <v>07-10 vs 03-30</v>
      </c>
      <c r="G35" s="34" t="str">
        <f ca="1">'SWPS Canada'!P$13</f>
        <v/>
      </c>
      <c r="H35" s="34">
        <f ca="1">MAX('SWPS Canada'!P$13:P$274)</f>
        <v>0.27386478304742701</v>
      </c>
      <c r="I35" s="34">
        <f ca="1">MIN('SWPS Canada'!P$13:P$275)</f>
        <v>0.21929278250640094</v>
      </c>
      <c r="J35" s="34">
        <f ca="1">'SWPS Canada'!P$14</f>
        <v>0.24490373725934309</v>
      </c>
      <c r="K35" s="34" t="e">
        <f ca="1">INDEX(CurrentRegionColumn(INDEX('SWPS Canada'!$H$12:$T$12,MATCH(Canada!$F35,'SWPS Canada'!$H$12:$T$12,0))),MATCH('SWPS Canada'!$K$2,CurrentRegionColumn('SWPS Canada'!$A$12),0))</f>
        <v>#VALUE!</v>
      </c>
      <c r="L35" s="34" t="e">
        <f ca="1">INDEX(CurrentRegionColumn(INDEX('SWPS Canada'!$H$12:$T$12,MATCH(Canada!$F35,'SWPS Canada'!$H$12:$T$12,0))),MATCH('SWPS Canada'!$K$3,CurrentRegionColumn('SWPS Canada'!$A$12),0))</f>
        <v>#VALUE!</v>
      </c>
      <c r="M35" s="34" t="e">
        <f ca="1">INDEX(CurrentRegionColumn(INDEX('SWPS Canada'!$H$12:$T$12,MATCH(Canada!$F35,'SWPS Canada'!$H$12:$T$12,0))),MATCH('SWPS Canada'!$K$4,CurrentRegionColumn('SWPS Canada'!$A$12),0))</f>
        <v>#VALUE!</v>
      </c>
      <c r="N35" s="34" t="e">
        <f ca="1">INDEX(CurrentRegionColumn(INDEX('SWPS Canada'!$H$12:$T$12,MATCH(Canada!$F35,'SWPS Canada'!$H$12:$T$12,0))),MATCH('SWPS Canada'!$K$5,CurrentRegionColumn('SWPS Canada'!$A$12),0))</f>
        <v>#VALUE!</v>
      </c>
      <c r="O35" s="35" t="e">
        <f ca="1">INDEX(CurrentRegionColumn(INDEX('SWPS Canada'!$H$12:$T$12,MATCH(Canada!$F35,'SWPS Canada'!$H$12:$T$12,0))),MATCH('SWPS Canada'!$K$6,CurrentRegionColumn('SWPS Canada'!$A$12),0))</f>
        <v>#VALUE!</v>
      </c>
    </row>
    <row r="36" spans="1:50" ht="15" customHeight="1" x14ac:dyDescent="0.25">
      <c r="C36" t="str">
        <f>$F$26&amp;": "&amp;$F36</f>
        <v>SWAPS: 07-10 vs 05-30</v>
      </c>
      <c r="F36" s="47" t="str">
        <f t="shared" si="3"/>
        <v>07-10 vs 05-30</v>
      </c>
      <c r="G36" s="34" t="str">
        <f ca="1">'SWPS Canada'!Q$13</f>
        <v/>
      </c>
      <c r="H36" s="34">
        <f ca="1">MAX('SWPS Canada'!Q$13:Q$274)</f>
        <v>0.3298344771901493</v>
      </c>
      <c r="I36" s="34">
        <f ca="1">MIN('SWPS Canada'!Q$13:Q$275)</f>
        <v>0.28004212743549256</v>
      </c>
      <c r="J36" s="34">
        <f ca="1">'SWPS Canada'!Q$14</f>
        <v>0.29227910119952683</v>
      </c>
      <c r="K36" s="34" t="e">
        <f ca="1">INDEX(CurrentRegionColumn(INDEX('SWPS Canada'!$H$12:$T$12,MATCH(Canada!$F36,'SWPS Canada'!$H$12:$T$12,0))),MATCH('SWPS Canada'!$K$2,CurrentRegionColumn('SWPS Canada'!$A$12),0))</f>
        <v>#VALUE!</v>
      </c>
      <c r="L36" s="34" t="e">
        <f ca="1">INDEX(CurrentRegionColumn(INDEX('SWPS Canada'!$H$12:$T$12,MATCH(Canada!$F36,'SWPS Canada'!$H$12:$T$12,0))),MATCH('SWPS Canada'!$K$3,CurrentRegionColumn('SWPS Canada'!$A$12),0))</f>
        <v>#VALUE!</v>
      </c>
      <c r="M36" s="34" t="e">
        <f ca="1">INDEX(CurrentRegionColumn(INDEX('SWPS Canada'!$H$12:$T$12,MATCH(Canada!$F36,'SWPS Canada'!$H$12:$T$12,0))),MATCH('SWPS Canada'!$K$4,CurrentRegionColumn('SWPS Canada'!$A$12),0))</f>
        <v>#VALUE!</v>
      </c>
      <c r="N36" s="34" t="e">
        <f ca="1">INDEX(CurrentRegionColumn(INDEX('SWPS Canada'!$H$12:$T$12,MATCH(Canada!$F36,'SWPS Canada'!$H$12:$T$12,0))),MATCH('SWPS Canada'!$K$5,CurrentRegionColumn('SWPS Canada'!$A$12),0))</f>
        <v>#VALUE!</v>
      </c>
      <c r="O36" s="35" t="e">
        <f ca="1">INDEX(CurrentRegionColumn(INDEX('SWPS Canada'!$H$12:$T$12,MATCH(Canada!$F36,'SWPS Canada'!$H$12:$T$12,0))),MATCH('SWPS Canada'!$K$6,CurrentRegionColumn('SWPS Canada'!$A$12),0))</f>
        <v>#VALUE!</v>
      </c>
    </row>
    <row r="37" spans="1:50" ht="15" customHeight="1" x14ac:dyDescent="0.25">
      <c r="C37" t="str">
        <f t="shared" si="2"/>
        <v>SWAPS: 03-10 vs 02-30</v>
      </c>
      <c r="E37" s="14"/>
      <c r="F37" s="47" t="str">
        <f t="shared" si="3"/>
        <v>03-10 vs 02-30</v>
      </c>
      <c r="G37" s="34" t="str">
        <f ca="1">'SWPS Canada'!R$13</f>
        <v/>
      </c>
      <c r="H37" s="34">
        <f ca="1">MAX('SWPS Canada'!R$13:R$274)</f>
        <v>0.61970393057682494</v>
      </c>
      <c r="I37" s="34">
        <f ca="1">MIN('SWPS Canada'!R$13:R$275)</f>
        <v>0.52102272727272725</v>
      </c>
      <c r="J37" s="34">
        <f ca="1">'SWPS Canada'!R$14</f>
        <v>0.55154432410750087</v>
      </c>
      <c r="K37" s="34" t="e">
        <f ca="1">INDEX(CurrentRegionColumn(INDEX('SWPS Canada'!$H$12:$T$12,MATCH(Canada!$F37,'SWPS Canada'!$H$12:$T$12,0))),MATCH('SWPS Canada'!$K$2,CurrentRegionColumn('SWPS Canada'!$A$12),0))</f>
        <v>#VALUE!</v>
      </c>
      <c r="L37" s="34" t="e">
        <f ca="1">INDEX(CurrentRegionColumn(INDEX('SWPS Canada'!$H$12:$T$12,MATCH(Canada!$F37,'SWPS Canada'!$H$12:$T$12,0))),MATCH('SWPS Canada'!$K$3,CurrentRegionColumn('SWPS Canada'!$A$12),0))</f>
        <v>#VALUE!</v>
      </c>
      <c r="M37" s="34" t="e">
        <f ca="1">INDEX(CurrentRegionColumn(INDEX('SWPS Canada'!$H$12:$T$12,MATCH(Canada!$F37,'SWPS Canada'!$H$12:$T$12,0))),MATCH('SWPS Canada'!$K$4,CurrentRegionColumn('SWPS Canada'!$A$12),0))</f>
        <v>#VALUE!</v>
      </c>
      <c r="N37" s="34" t="e">
        <f ca="1">INDEX(CurrentRegionColumn(INDEX('SWPS Canada'!$H$12:$T$12,MATCH(Canada!$F37,'SWPS Canada'!$H$12:$T$12,0))),MATCH('SWPS Canada'!$K$5,CurrentRegionColumn('SWPS Canada'!$A$12),0))</f>
        <v>#VALUE!</v>
      </c>
      <c r="O37" s="35" t="e">
        <f ca="1">INDEX(CurrentRegionColumn(INDEX('SWPS Canada'!$H$12:$T$12,MATCH(Canada!$F37,'SWPS Canada'!$H$12:$T$12,0))),MATCH('SWPS Canada'!$K$6,CurrentRegionColumn('SWPS Canada'!$A$12),0))</f>
        <v>#VALUE!</v>
      </c>
    </row>
    <row r="38" spans="1:50" ht="15" customHeight="1" x14ac:dyDescent="0.25">
      <c r="C38" t="str">
        <f t="shared" si="2"/>
        <v>SWAPS: 05-10 vs 02-30</v>
      </c>
      <c r="E38" s="14"/>
      <c r="F38" s="47" t="str">
        <f t="shared" si="3"/>
        <v>05-10 vs 02-30</v>
      </c>
      <c r="G38" s="34" t="str">
        <f ca="1">'SWPS Canada'!S$13</f>
        <v/>
      </c>
      <c r="H38" s="34">
        <f ca="1">MAX('SWPS Canada'!S$13:S$274)</f>
        <v>0.43452576304561863</v>
      </c>
      <c r="I38" s="34">
        <f ca="1">MIN('SWPS Canada'!S$13:S$275)</f>
        <v>0.35209392398934886</v>
      </c>
      <c r="J38" s="34">
        <f ca="1">'SWPS Canada'!S$14</f>
        <v>0.39844899050675214</v>
      </c>
      <c r="K38" s="34" t="e">
        <f ca="1">INDEX(CurrentRegionColumn(INDEX('SWPS Canada'!$H$12:$T$12,MATCH(Canada!$F38,'SWPS Canada'!$H$12:$T$12,0))),MATCH('SWPS Canada'!$K$2,CurrentRegionColumn('SWPS Canada'!$A$12),0))</f>
        <v>#VALUE!</v>
      </c>
      <c r="L38" s="34" t="e">
        <f ca="1">INDEX(CurrentRegionColumn(INDEX('SWPS Canada'!$H$12:$T$12,MATCH(Canada!$F38,'SWPS Canada'!$H$12:$T$12,0))),MATCH('SWPS Canada'!$K$3,CurrentRegionColumn('SWPS Canada'!$A$12),0))</f>
        <v>#VALUE!</v>
      </c>
      <c r="M38" s="34" t="e">
        <f ca="1">INDEX(CurrentRegionColumn(INDEX('SWPS Canada'!$H$12:$T$12,MATCH(Canada!$F38,'SWPS Canada'!$H$12:$T$12,0))),MATCH('SWPS Canada'!$K$4,CurrentRegionColumn('SWPS Canada'!$A$12),0))</f>
        <v>#VALUE!</v>
      </c>
      <c r="N38" s="34" t="e">
        <f ca="1">INDEX(CurrentRegionColumn(INDEX('SWPS Canada'!$H$12:$T$12,MATCH(Canada!$F38,'SWPS Canada'!$H$12:$T$12,0))),MATCH('SWPS Canada'!$K$5,CurrentRegionColumn('SWPS Canada'!$A$12),0))</f>
        <v>#VALUE!</v>
      </c>
      <c r="O38" s="35" t="e">
        <f ca="1">INDEX(CurrentRegionColumn(INDEX('SWPS Canada'!$H$12:$T$12,MATCH(Canada!$F38,'SWPS Canada'!$H$12:$T$12,0))),MATCH('SWPS Canada'!$K$6,CurrentRegionColumn('SWPS Canada'!$A$12),0))</f>
        <v>#VALUE!</v>
      </c>
    </row>
    <row r="39" spans="1:50" ht="15" customHeight="1" x14ac:dyDescent="0.25">
      <c r="A39" t="str">
        <f>'SWPS Canada'!W1</f>
        <v>BAH6</v>
      </c>
      <c r="B39" t="str">
        <f>'SWPS Canada'!X1</f>
        <v>BAZ6</v>
      </c>
      <c r="C39" t="str">
        <f t="shared" si="2"/>
        <v>SWAPS: 05-10 vs 03-30</v>
      </c>
      <c r="D39"/>
      <c r="E39" s="14"/>
      <c r="F39" s="48" t="str">
        <f t="shared" si="3"/>
        <v>05-10 vs 03-30</v>
      </c>
      <c r="G39" s="36" t="str">
        <f ca="1">'SWPS Canada'!T$13</f>
        <v/>
      </c>
      <c r="H39" s="36">
        <f ca="1">MAX('SWPS Canada'!T$13:T$274)</f>
        <v>0.45961974533403116</v>
      </c>
      <c r="I39" s="36">
        <f ca="1">MIN('SWPS Canada'!T$13:T$275)</f>
        <v>0.39332071389940515</v>
      </c>
      <c r="J39" s="36">
        <f ca="1">'SWPS Canada'!T$14</f>
        <v>0.42185730464326154</v>
      </c>
      <c r="K39" s="36" t="e">
        <f ca="1">INDEX(CurrentRegionColumn(INDEX('SWPS Canada'!$H$12:$T$12,MATCH(Canada!$F39,'SWPS Canada'!$H$12:$T$12,0))),MATCH('SWPS Canada'!$K$2,CurrentRegionColumn('SWPS Canada'!$A$12),0))</f>
        <v>#VALUE!</v>
      </c>
      <c r="L39" s="36" t="e">
        <f ca="1">INDEX(CurrentRegionColumn(INDEX('SWPS Canada'!$H$12:$T$12,MATCH(Canada!$F39,'SWPS Canada'!$H$12:$T$12,0))),MATCH('SWPS Canada'!$K$3,CurrentRegionColumn('SWPS Canada'!$A$12),0))</f>
        <v>#VALUE!</v>
      </c>
      <c r="M39" s="36" t="e">
        <f ca="1">INDEX(CurrentRegionColumn(INDEX('SWPS Canada'!$H$12:$T$12,MATCH(Canada!$F39,'SWPS Canada'!$H$12:$T$12,0))),MATCH('SWPS Canada'!$K$4,CurrentRegionColumn('SWPS Canada'!$A$12),0))</f>
        <v>#VALUE!</v>
      </c>
      <c r="N39" s="36" t="e">
        <f ca="1">INDEX(CurrentRegionColumn(INDEX('SWPS Canada'!$H$12:$T$12,MATCH(Canada!$F39,'SWPS Canada'!$H$12:$T$12,0))),MATCH('SWPS Canada'!$K$5,CurrentRegionColumn('SWPS Canada'!$A$12),0))</f>
        <v>#VALUE!</v>
      </c>
      <c r="O39" s="37" t="e">
        <f ca="1">INDEX(CurrentRegionColumn(INDEX('SWPS Canada'!$H$12:$T$12,MATCH(Canada!$F39,'SWPS Canada'!$H$12:$T$12,0))),MATCH('SWPS Canada'!$K$6,CurrentRegionColumn('SWPS Canada'!$A$12),0))</f>
        <v>#VALUE!</v>
      </c>
    </row>
    <row r="40" spans="1:50" ht="15" customHeight="1" x14ac:dyDescent="0.25">
      <c r="A40">
        <v>1</v>
      </c>
    </row>
    <row r="41" spans="1:50" ht="15" customHeight="1" x14ac:dyDescent="0.25">
      <c r="G41" s="72" t="s">
        <v>82</v>
      </c>
      <c r="H41" s="104" t="s">
        <v>84</v>
      </c>
      <c r="I41" s="105"/>
      <c r="J41" s="73" t="s">
        <v>80</v>
      </c>
      <c r="K41" s="102">
        <v>42005</v>
      </c>
      <c r="L41" s="105"/>
      <c r="M41" s="73" t="s">
        <v>79</v>
      </c>
      <c r="N41" s="102">
        <v>42094</v>
      </c>
      <c r="O41" s="103"/>
    </row>
    <row r="42" spans="1:50" s="11" customFormat="1" ht="5.0999999999999996" customHeight="1" x14ac:dyDescent="0.25">
      <c r="D42" s="51"/>
      <c r="G42" s="57"/>
      <c r="H42" s="58"/>
      <c r="I42" s="58"/>
      <c r="J42" s="57"/>
      <c r="K42" s="59"/>
      <c r="L42" s="58"/>
      <c r="M42" s="57"/>
      <c r="N42" s="59"/>
      <c r="O42" s="58"/>
    </row>
    <row r="43" spans="1:50" ht="15" customHeight="1" x14ac:dyDescent="0.25">
      <c r="C43">
        <v>0</v>
      </c>
      <c r="D43" s="9" t="e">
        <f>MATCH(20,C44:C87,0)</f>
        <v>#N/A</v>
      </c>
      <c r="F43" s="16" t="e">
        <f ca="1">SUM(G44:Q54)</f>
        <v>#VALUE!</v>
      </c>
      <c r="G43" s="74" t="str">
        <f ca="1">$F44</f>
        <v>#N/A Invalid Security</v>
      </c>
      <c r="H43" s="77" t="str">
        <f ca="1">$F45</f>
        <v>#N/A Invalid Security</v>
      </c>
      <c r="I43" s="77" t="str">
        <f ca="1">$F46</f>
        <v>BAZ5</v>
      </c>
      <c r="J43" s="77" t="str">
        <f ca="1">$F47</f>
        <v>BAH6</v>
      </c>
      <c r="K43" s="77" t="str">
        <f ca="1">$F48</f>
        <v>BAM6</v>
      </c>
      <c r="L43" s="77" t="str">
        <f ca="1">$F49</f>
        <v>BAU6</v>
      </c>
      <c r="M43" s="77" t="str">
        <f ca="1">$F50</f>
        <v>BAZ6</v>
      </c>
      <c r="N43" s="77" t="str">
        <f ca="1">$F51</f>
        <v>BAH7</v>
      </c>
      <c r="O43" s="77" t="str">
        <f ca="1">$F52</f>
        <v>BAM7</v>
      </c>
      <c r="P43" s="77" t="str">
        <f ca="1">$F53</f>
        <v>BAU7</v>
      </c>
      <c r="Q43" s="78" t="str">
        <f ca="1">$F54</f>
        <v>BAZ7</v>
      </c>
      <c r="R43" s="14"/>
      <c r="S43" s="14"/>
      <c r="T43" s="14"/>
      <c r="U43" s="14"/>
      <c r="V43" s="14"/>
      <c r="W43" s="14"/>
      <c r="X43" s="14"/>
      <c r="Y43" s="14"/>
      <c r="Z43" s="14"/>
      <c r="AC43" s="11"/>
      <c r="AD43" s="11"/>
      <c r="AE43" s="11"/>
      <c r="AF43" s="11"/>
      <c r="AG43" s="11"/>
      <c r="AH43" s="11"/>
      <c r="AI43" s="11"/>
      <c r="AJ43" s="11"/>
      <c r="AK43" s="11"/>
      <c r="AL43" s="11"/>
      <c r="AM43" s="11"/>
      <c r="AN43" s="11"/>
      <c r="AO43" s="11"/>
      <c r="AP43" s="11"/>
      <c r="AQ43" s="11"/>
      <c r="AR43" s="11"/>
      <c r="AS43" s="11"/>
      <c r="AT43" s="11"/>
      <c r="AU43" s="11"/>
      <c r="AV43" s="11"/>
      <c r="AW43" s="11"/>
      <c r="AX43" s="11"/>
    </row>
    <row r="44" spans="1:50" ht="15" customHeight="1" x14ac:dyDescent="0.25">
      <c r="A44" s="6" t="str">
        <f>_xll.BDS("baa comdty","fut chain","cols=1;rows=14")</f>
        <v>#N/A Requesting Data...</v>
      </c>
      <c r="B44" s="6" t="str">
        <f>_xll.BDP($A44,"last price")</f>
        <v>#N/A Invalid Security</v>
      </c>
      <c r="C44" s="8" t="str">
        <f>IF(OR(MID(A44,3,1)="H",MID(A44,3,1)="M",MID(A44,3,1)="U",MID(A44,3,1)="Z"),MAX($C$43:C43)+1,"")</f>
        <v/>
      </c>
      <c r="D44" s="9" t="str">
        <f ca="1">OFFSET($A$43,MATCH(1,$C$44:$C$87,0),0)</f>
        <v>BAM5 Comdty</v>
      </c>
      <c r="E44" s="11"/>
      <c r="F44" s="74" t="str">
        <f ca="1">_xll.BDP($D44,"TICKER")</f>
        <v>#N/A Invalid Security</v>
      </c>
      <c r="G44" s="79">
        <f ca="1">IF(datasetCanada="Correlation",CORREL(OFFSET('Calc Canada'!$B$2,0,MATCH(Canada!$F44,'Calc Canada'!$1:$1,0)-2,300,1),OFFSET('Calc Canada'!$B$2,0,MATCH(Canada!G$43,'Calc Canada'!$1:$1,0)-2,300,1)),ABS(OFFSET('Calc Canada'!$B$2,0,MATCH(Canada!$F44,'Calc Canada'!$A$1:$U$1,0)-2)-OFFSET('Calc Canada'!$B$2,0,MATCH(G$43,'Calc Canada'!$A$1:$U$1,0)-2)))</f>
        <v>0</v>
      </c>
      <c r="H44" s="79">
        <f ca="1">IF(datasetCanada="Correlation",CORREL(OFFSET('Calc Canada'!$B$2,0,MATCH(Canada!$F44,'Calc Canada'!$1:$1,0)-2,300,1),OFFSET('Calc Canada'!$B$2,0,MATCH(Canada!H$43,'Calc Canada'!$1:$1,0)-2,300,1)),ABS(OFFSET('Calc Canada'!$B$2,0,MATCH(Canada!$F44,'Calc Canada'!$A$1:$U$1,0)-2)-OFFSET('Calc Canada'!$B$2,0,MATCH(H$43,'Calc Canada'!$A$1:$U$1,0)-2)))</f>
        <v>0</v>
      </c>
      <c r="I44" s="79" t="e">
        <f ca="1">IF(datasetCanada="Correlation",CORREL(OFFSET('Calc Canada'!$B$2,0,MATCH(Canada!$F44,'Calc Canada'!$1:$1,0)-2,300,1),OFFSET('Calc Canada'!$B$2,0,MATCH(Canada!I$43,'Calc Canada'!$1:$1,0)-2,300,1)),ABS(OFFSET('Calc Canada'!$B$2,0,MATCH(Canada!$F44,'Calc Canada'!$A$1:$U$1,0)-2)-OFFSET('Calc Canada'!$B$2,0,MATCH(I$43,'Calc Canada'!$A$1:$U$1,0)-2)))</f>
        <v>#VALUE!</v>
      </c>
      <c r="J44" s="79" t="e">
        <f ca="1">IF(datasetCanada="Correlation",CORREL(OFFSET('Calc Canada'!$B$2,0,MATCH(Canada!$F44,'Calc Canada'!$1:$1,0)-2,300,1),OFFSET('Calc Canada'!$B$2,0,MATCH(Canada!J$43,'Calc Canada'!$1:$1,0)-2,300,1)),ABS(OFFSET('Calc Canada'!$B$2,0,MATCH(Canada!$F44,'Calc Canada'!$A$1:$U$1,0)-2)-OFFSET('Calc Canada'!$B$2,0,MATCH(J$43,'Calc Canada'!$A$1:$U$1,0)-2)))</f>
        <v>#VALUE!</v>
      </c>
      <c r="K44" s="79" t="e">
        <f ca="1">IF(datasetCanada="Correlation",CORREL(OFFSET('Calc Canada'!$B$2,0,MATCH(Canada!$F44,'Calc Canada'!$1:$1,0)-2,300,1),OFFSET('Calc Canada'!$B$2,0,MATCH(Canada!K$43,'Calc Canada'!$1:$1,0)-2,300,1)),ABS(OFFSET('Calc Canada'!$B$2,0,MATCH(Canada!$F44,'Calc Canada'!$A$1:$U$1,0)-2)-OFFSET('Calc Canada'!$B$2,0,MATCH(K$43,'Calc Canada'!$A$1:$U$1,0)-2)))</f>
        <v>#VALUE!</v>
      </c>
      <c r="L44" s="79" t="e">
        <f ca="1">IF(datasetCanada="Correlation",CORREL(OFFSET('Calc Canada'!$B$2,0,MATCH(Canada!$F44,'Calc Canada'!$1:$1,0)-2,300,1),OFFSET('Calc Canada'!$B$2,0,MATCH(Canada!L$43,'Calc Canada'!$1:$1,0)-2,300,1)),ABS(OFFSET('Calc Canada'!$B$2,0,MATCH(Canada!$F44,'Calc Canada'!$A$1:$U$1,0)-2)-OFFSET('Calc Canada'!$B$2,0,MATCH(L$43,'Calc Canada'!$A$1:$U$1,0)-2)))</f>
        <v>#VALUE!</v>
      </c>
      <c r="M44" s="79" t="e">
        <f ca="1">IF(datasetCanada="Correlation",CORREL(OFFSET('Calc Canada'!$B$2,0,MATCH(Canada!$F44,'Calc Canada'!$1:$1,0)-2,300,1),OFFSET('Calc Canada'!$B$2,0,MATCH(Canada!M$43,'Calc Canada'!$1:$1,0)-2,300,1)),ABS(OFFSET('Calc Canada'!$B$2,0,MATCH(Canada!$F44,'Calc Canada'!$A$1:$U$1,0)-2)-OFFSET('Calc Canada'!$B$2,0,MATCH(M$43,'Calc Canada'!$A$1:$U$1,0)-2)))</f>
        <v>#VALUE!</v>
      </c>
      <c r="N44" s="79" t="e">
        <f ca="1">IF(datasetCanada="Correlation",CORREL(OFFSET('Calc Canada'!$B$2,0,MATCH(Canada!$F44,'Calc Canada'!$1:$1,0)-2,300,1),OFFSET('Calc Canada'!$B$2,0,MATCH(Canada!N$43,'Calc Canada'!$1:$1,0)-2,300,1)),ABS(OFFSET('Calc Canada'!$B$2,0,MATCH(Canada!$F44,'Calc Canada'!$A$1:$U$1,0)-2)-OFFSET('Calc Canada'!$B$2,0,MATCH(N$43,'Calc Canada'!$A$1:$U$1,0)-2)))</f>
        <v>#VALUE!</v>
      </c>
      <c r="O44" s="79" t="e">
        <f ca="1">IF(datasetCanada="Correlation",CORREL(OFFSET('Calc Canada'!$B$2,0,MATCH(Canada!$F44,'Calc Canada'!$1:$1,0)-2,300,1),OFFSET('Calc Canada'!$B$2,0,MATCH(Canada!O$43,'Calc Canada'!$1:$1,0)-2,300,1)),ABS(OFFSET('Calc Canada'!$B$2,0,MATCH(Canada!$F44,'Calc Canada'!$A$1:$U$1,0)-2)-OFFSET('Calc Canada'!$B$2,0,MATCH(O$43,'Calc Canada'!$A$1:$U$1,0)-2)))</f>
        <v>#VALUE!</v>
      </c>
      <c r="P44" s="79" t="e">
        <f ca="1">IF(datasetCanada="Correlation",CORREL(OFFSET('Calc Canada'!$B$2,0,MATCH(Canada!$F44,'Calc Canada'!$1:$1,0)-2,300,1),OFFSET('Calc Canada'!$B$2,0,MATCH(Canada!P$43,'Calc Canada'!$1:$1,0)-2,300,1)),ABS(OFFSET('Calc Canada'!$B$2,0,MATCH(Canada!$F44,'Calc Canada'!$A$1:$U$1,0)-2)-OFFSET('Calc Canada'!$B$2,0,MATCH(P$43,'Calc Canada'!$A$1:$U$1,0)-2)))</f>
        <v>#VALUE!</v>
      </c>
      <c r="Q44" s="80" t="e">
        <f ca="1">IF(datasetCanada="Correlation",CORREL(OFFSET('Calc Canada'!$B$2,0,MATCH(Canada!$F44,'Calc Canada'!$1:$1,0)-2,300,1),OFFSET('Calc Canada'!$B$2,0,MATCH(Canada!Q$43,'Calc Canada'!$1:$1,0)-2,300,1)),ABS(OFFSET('Calc Canada'!$B$2,0,MATCH(Canada!$F44,'Calc Canada'!$A$1:$U$1,0)-2)-OFFSET('Calc Canada'!$B$2,0,MATCH(Q$43,'Calc Canada'!$A$1:$U$1,0)-2)))</f>
        <v>#VALUE!</v>
      </c>
      <c r="R44" s="22"/>
      <c r="S44" s="7"/>
      <c r="T44" s="7"/>
      <c r="U44" s="7"/>
      <c r="V44" s="7"/>
      <c r="W44" s="7"/>
      <c r="X44" s="7"/>
      <c r="Y44" s="7"/>
      <c r="Z44" s="7"/>
      <c r="AC44" s="7"/>
      <c r="AD44" s="7"/>
      <c r="AE44" s="7"/>
      <c r="AF44" s="7"/>
      <c r="AG44" s="7"/>
      <c r="AH44" s="7"/>
      <c r="AI44" s="7"/>
      <c r="AJ44" s="7"/>
      <c r="AK44" s="7"/>
      <c r="AL44" s="7"/>
      <c r="AM44" s="7"/>
      <c r="AN44" s="7"/>
      <c r="AO44" s="7"/>
      <c r="AP44" s="7"/>
      <c r="AQ44" s="7"/>
      <c r="AR44" s="7"/>
      <c r="AS44" s="7"/>
      <c r="AT44" s="7"/>
      <c r="AU44" s="7"/>
      <c r="AV44" s="7"/>
      <c r="AW44" s="7"/>
      <c r="AX44" s="7"/>
    </row>
    <row r="45" spans="1:50" ht="15" customHeight="1" x14ac:dyDescent="0.25">
      <c r="A45" s="6" t="s">
        <v>114</v>
      </c>
      <c r="B45" s="6" t="str">
        <f>_xll.BDP($A45,"last price")</f>
        <v>#N/A Requesting Data...</v>
      </c>
      <c r="C45" s="8">
        <f>IF(OR(MID(A45,3,1)="H",MID(A45,3,1)="M",MID(A45,3,1)="U",MID(A45,3,1)="Z"),MAX($C$43:C44)+1,"")</f>
        <v>1</v>
      </c>
      <c r="D45" s="9" t="str">
        <f ca="1">OFFSET($A$43,MATCH(2,$C$44:$C$87,0),0)</f>
        <v>BAU5 Comdty</v>
      </c>
      <c r="E45" s="11"/>
      <c r="F45" s="75" t="str">
        <f ca="1">_xll.BDP($D45,"TICKER")</f>
        <v>#N/A Invalid Security</v>
      </c>
      <c r="G45" s="83">
        <f ca="1">IF(datasetCanada="Correlation",CORREL(OFFSET('Calc Canada'!$B$2,0,MATCH(Canada!$F45,'Calc Canada'!$1:$1,0)-2,300,1),OFFSET('Calc Canada'!$B$2,0,MATCH(Canada!G$43,'Calc Canada'!$1:$1,0)-2,300,1)),ABS(OFFSET('Calc Canada'!$B$2,0,MATCH(Canada!$F45,'Calc Canada'!$A$1:$U$1,0)-2)-OFFSET('Calc Canada'!$B$2,0,MATCH(G$43,'Calc Canada'!$A$1:$U$1,0)-2)))</f>
        <v>0</v>
      </c>
      <c r="H45" s="83">
        <f ca="1">IF(datasetCanada="Correlation",CORREL(OFFSET('Calc Canada'!$B$2,0,MATCH(Canada!$F45,'Calc Canada'!$1:$1,0)-2,300,1),OFFSET('Calc Canada'!$B$2,0,MATCH(Canada!H$43,'Calc Canada'!$1:$1,0)-2,300,1)),ABS(OFFSET('Calc Canada'!$B$2,0,MATCH(Canada!$F45,'Calc Canada'!$A$1:$U$1,0)-2)-OFFSET('Calc Canada'!$B$2,0,MATCH(H$43,'Calc Canada'!$A$1:$U$1,0)-2)))</f>
        <v>0</v>
      </c>
      <c r="I45" s="83" t="e">
        <f ca="1">IF(datasetCanada="Correlation",CORREL(OFFSET('Calc Canada'!$B$2,0,MATCH(Canada!$F45,'Calc Canada'!$1:$1,0)-2,300,1),OFFSET('Calc Canada'!$B$2,0,MATCH(Canada!I$43,'Calc Canada'!$1:$1,0)-2,300,1)),ABS(OFFSET('Calc Canada'!$B$2,0,MATCH(Canada!$F45,'Calc Canada'!$A$1:$U$1,0)-2)-OFFSET('Calc Canada'!$B$2,0,MATCH(I$43,'Calc Canada'!$A$1:$U$1,0)-2)))</f>
        <v>#VALUE!</v>
      </c>
      <c r="J45" s="83" t="e">
        <f ca="1">IF(datasetCanada="Correlation",CORREL(OFFSET('Calc Canada'!$B$2,0,MATCH(Canada!$F45,'Calc Canada'!$1:$1,0)-2,300,1),OFFSET('Calc Canada'!$B$2,0,MATCH(Canada!J$43,'Calc Canada'!$1:$1,0)-2,300,1)),ABS(OFFSET('Calc Canada'!$B$2,0,MATCH(Canada!$F45,'Calc Canada'!$A$1:$U$1,0)-2)-OFFSET('Calc Canada'!$B$2,0,MATCH(J$43,'Calc Canada'!$A$1:$U$1,0)-2)))</f>
        <v>#VALUE!</v>
      </c>
      <c r="K45" s="83" t="e">
        <f ca="1">IF(datasetCanada="Correlation",CORREL(OFFSET('Calc Canada'!$B$2,0,MATCH(Canada!$F45,'Calc Canada'!$1:$1,0)-2,300,1),OFFSET('Calc Canada'!$B$2,0,MATCH(Canada!K$43,'Calc Canada'!$1:$1,0)-2,300,1)),ABS(OFFSET('Calc Canada'!$B$2,0,MATCH(Canada!$F45,'Calc Canada'!$A$1:$U$1,0)-2)-OFFSET('Calc Canada'!$B$2,0,MATCH(K$43,'Calc Canada'!$A$1:$U$1,0)-2)))</f>
        <v>#VALUE!</v>
      </c>
      <c r="L45" s="83" t="e">
        <f ca="1">IF(datasetCanada="Correlation",CORREL(OFFSET('Calc Canada'!$B$2,0,MATCH(Canada!$F45,'Calc Canada'!$1:$1,0)-2,300,1),OFFSET('Calc Canada'!$B$2,0,MATCH(Canada!L$43,'Calc Canada'!$1:$1,0)-2,300,1)),ABS(OFFSET('Calc Canada'!$B$2,0,MATCH(Canada!$F45,'Calc Canada'!$A$1:$U$1,0)-2)-OFFSET('Calc Canada'!$B$2,0,MATCH(L$43,'Calc Canada'!$A$1:$U$1,0)-2)))</f>
        <v>#VALUE!</v>
      </c>
      <c r="M45" s="83" t="e">
        <f ca="1">IF(datasetCanada="Correlation",CORREL(OFFSET('Calc Canada'!$B$2,0,MATCH(Canada!$F45,'Calc Canada'!$1:$1,0)-2,300,1),OFFSET('Calc Canada'!$B$2,0,MATCH(Canada!M$43,'Calc Canada'!$1:$1,0)-2,300,1)),ABS(OFFSET('Calc Canada'!$B$2,0,MATCH(Canada!$F45,'Calc Canada'!$A$1:$U$1,0)-2)-OFFSET('Calc Canada'!$B$2,0,MATCH(M$43,'Calc Canada'!$A$1:$U$1,0)-2)))</f>
        <v>#VALUE!</v>
      </c>
      <c r="N45" s="83" t="e">
        <f ca="1">IF(datasetCanada="Correlation",CORREL(OFFSET('Calc Canada'!$B$2,0,MATCH(Canada!$F45,'Calc Canada'!$1:$1,0)-2,300,1),OFFSET('Calc Canada'!$B$2,0,MATCH(Canada!N$43,'Calc Canada'!$1:$1,0)-2,300,1)),ABS(OFFSET('Calc Canada'!$B$2,0,MATCH(Canada!$F45,'Calc Canada'!$A$1:$U$1,0)-2)-OFFSET('Calc Canada'!$B$2,0,MATCH(N$43,'Calc Canada'!$A$1:$U$1,0)-2)))</f>
        <v>#VALUE!</v>
      </c>
      <c r="O45" s="83" t="e">
        <f ca="1">IF(datasetCanada="Correlation",CORREL(OFFSET('Calc Canada'!$B$2,0,MATCH(Canada!$F45,'Calc Canada'!$1:$1,0)-2,300,1),OFFSET('Calc Canada'!$B$2,0,MATCH(Canada!O$43,'Calc Canada'!$1:$1,0)-2,300,1)),ABS(OFFSET('Calc Canada'!$B$2,0,MATCH(Canada!$F45,'Calc Canada'!$A$1:$U$1,0)-2)-OFFSET('Calc Canada'!$B$2,0,MATCH(O$43,'Calc Canada'!$A$1:$U$1,0)-2)))</f>
        <v>#VALUE!</v>
      </c>
      <c r="P45" s="83" t="e">
        <f ca="1">IF(datasetCanada="Correlation",CORREL(OFFSET('Calc Canada'!$B$2,0,MATCH(Canada!$F45,'Calc Canada'!$1:$1,0)-2,300,1),OFFSET('Calc Canada'!$B$2,0,MATCH(Canada!P$43,'Calc Canada'!$1:$1,0)-2,300,1)),ABS(OFFSET('Calc Canada'!$B$2,0,MATCH(Canada!$F45,'Calc Canada'!$A$1:$U$1,0)-2)-OFFSET('Calc Canada'!$B$2,0,MATCH(P$43,'Calc Canada'!$A$1:$U$1,0)-2)))</f>
        <v>#VALUE!</v>
      </c>
      <c r="Q45" s="84" t="e">
        <f ca="1">IF(datasetCanada="Correlation",CORREL(OFFSET('Calc Canada'!$B$2,0,MATCH(Canada!$F45,'Calc Canada'!$1:$1,0)-2,300,1),OFFSET('Calc Canada'!$B$2,0,MATCH(Canada!Q$43,'Calc Canada'!$1:$1,0)-2,300,1)),ABS(OFFSET('Calc Canada'!$B$2,0,MATCH(Canada!$F45,'Calc Canada'!$A$1:$U$1,0)-2)-OFFSET('Calc Canada'!$B$2,0,MATCH(Q$43,'Calc Canada'!$A$1:$U$1,0)-2)))</f>
        <v>#VALUE!</v>
      </c>
      <c r="R45" s="22"/>
      <c r="S45" s="7"/>
      <c r="T45" s="7"/>
      <c r="U45" s="7"/>
      <c r="V45" s="7"/>
      <c r="W45" s="7"/>
      <c r="X45" s="7"/>
      <c r="Y45" s="7"/>
      <c r="Z45" s="7"/>
      <c r="AC45" s="7"/>
      <c r="AD45" s="7"/>
      <c r="AE45" s="7"/>
      <c r="AF45" s="7"/>
      <c r="AG45" s="7"/>
      <c r="AH45" s="7"/>
      <c r="AI45" s="7"/>
      <c r="AJ45" s="7"/>
      <c r="AK45" s="7"/>
      <c r="AL45" s="7"/>
      <c r="AM45" s="7"/>
      <c r="AN45" s="7"/>
      <c r="AO45" s="7"/>
      <c r="AP45" s="7"/>
      <c r="AQ45" s="7"/>
      <c r="AR45" s="7"/>
      <c r="AS45" s="7"/>
      <c r="AT45" s="7"/>
      <c r="AU45" s="7"/>
      <c r="AV45" s="7"/>
      <c r="AW45" s="7"/>
      <c r="AX45" s="7"/>
    </row>
    <row r="46" spans="1:50" ht="15" customHeight="1" x14ac:dyDescent="0.25">
      <c r="A46" s="6" t="s">
        <v>138</v>
      </c>
      <c r="B46" s="6" t="str">
        <f>_xll.BDP($A46,"last price")</f>
        <v>#N/A Requesting Data...</v>
      </c>
      <c r="C46" s="8" t="str">
        <f>IF(OR(MID(A46,3,1)="H",MID(A46,3,1)="M",MID(A46,3,1)="U",MID(A46,3,1)="Z"),MAX($C$43:C45)+1,"")</f>
        <v/>
      </c>
      <c r="D46" s="9" t="str">
        <f ca="1">OFFSET($A$43,MATCH(3,$C$44:$C$87,0),0)</f>
        <v>BAZ5 Comdty</v>
      </c>
      <c r="E46" s="11"/>
      <c r="F46" s="75" t="str">
        <f ca="1">_xll.BDP($D46,"TICKER")</f>
        <v>BAZ5</v>
      </c>
      <c r="G46" s="79" t="e">
        <f ca="1">IF(datasetCanada="Correlation",CORREL(OFFSET('Calc Canada'!$B$2,0,MATCH(Canada!$F46,'Calc Canada'!$1:$1,0)-2,300,1),OFFSET('Calc Canada'!$B$2,0,MATCH(Canada!G$43,'Calc Canada'!$1:$1,0)-2,300,1)),ABS(OFFSET('Calc Canada'!$B$2,0,MATCH(Canada!$F46,'Calc Canada'!$A$1:$U$1,0)-2)-OFFSET('Calc Canada'!$B$2,0,MATCH(G$43,'Calc Canada'!$A$1:$U$1,0)-2)))</f>
        <v>#VALUE!</v>
      </c>
      <c r="H46" s="79" t="e">
        <f ca="1">IF(datasetCanada="Correlation",CORREL(OFFSET('Calc Canada'!$B$2,0,MATCH(Canada!$F46,'Calc Canada'!$1:$1,0)-2,300,1),OFFSET('Calc Canada'!$B$2,0,MATCH(Canada!H$43,'Calc Canada'!$1:$1,0)-2,300,1)),ABS(OFFSET('Calc Canada'!$B$2,0,MATCH(Canada!$F46,'Calc Canada'!$A$1:$U$1,0)-2)-OFFSET('Calc Canada'!$B$2,0,MATCH(H$43,'Calc Canada'!$A$1:$U$1,0)-2)))</f>
        <v>#VALUE!</v>
      </c>
      <c r="I46" s="79" t="e">
        <f ca="1">IF(datasetCanada="Correlation",CORREL(OFFSET('Calc Canada'!$B$2,0,MATCH(Canada!$F46,'Calc Canada'!$1:$1,0)-2,300,1),OFFSET('Calc Canada'!$B$2,0,MATCH(Canada!I$43,'Calc Canada'!$1:$1,0)-2,300,1)),ABS(OFFSET('Calc Canada'!$B$2,0,MATCH(Canada!$F46,'Calc Canada'!$A$1:$U$1,0)-2)-OFFSET('Calc Canada'!$B$2,0,MATCH(I$43,'Calc Canada'!$A$1:$U$1,0)-2)))</f>
        <v>#VALUE!</v>
      </c>
      <c r="J46" s="79" t="e">
        <f ca="1">IF(datasetCanada="Correlation",CORREL(OFFSET('Calc Canada'!$B$2,0,MATCH(Canada!$F46,'Calc Canada'!$1:$1,0)-2,300,1),OFFSET('Calc Canada'!$B$2,0,MATCH(Canada!J$43,'Calc Canada'!$1:$1,0)-2,300,1)),ABS(OFFSET('Calc Canada'!$B$2,0,MATCH(Canada!$F46,'Calc Canada'!$A$1:$U$1,0)-2)-OFFSET('Calc Canada'!$B$2,0,MATCH(J$43,'Calc Canada'!$A$1:$U$1,0)-2)))</f>
        <v>#VALUE!</v>
      </c>
      <c r="K46" s="79" t="e">
        <f ca="1">IF(datasetCanada="Correlation",CORREL(OFFSET('Calc Canada'!$B$2,0,MATCH(Canada!$F46,'Calc Canada'!$1:$1,0)-2,300,1),OFFSET('Calc Canada'!$B$2,0,MATCH(Canada!K$43,'Calc Canada'!$1:$1,0)-2,300,1)),ABS(OFFSET('Calc Canada'!$B$2,0,MATCH(Canada!$F46,'Calc Canada'!$A$1:$U$1,0)-2)-OFFSET('Calc Canada'!$B$2,0,MATCH(K$43,'Calc Canada'!$A$1:$U$1,0)-2)))</f>
        <v>#VALUE!</v>
      </c>
      <c r="L46" s="79" t="e">
        <f ca="1">IF(datasetCanada="Correlation",CORREL(OFFSET('Calc Canada'!$B$2,0,MATCH(Canada!$F46,'Calc Canada'!$1:$1,0)-2,300,1),OFFSET('Calc Canada'!$B$2,0,MATCH(Canada!L$43,'Calc Canada'!$1:$1,0)-2,300,1)),ABS(OFFSET('Calc Canada'!$B$2,0,MATCH(Canada!$F46,'Calc Canada'!$A$1:$U$1,0)-2)-OFFSET('Calc Canada'!$B$2,0,MATCH(L$43,'Calc Canada'!$A$1:$U$1,0)-2)))</f>
        <v>#VALUE!</v>
      </c>
      <c r="M46" s="79" t="e">
        <f ca="1">IF(datasetCanada="Correlation",CORREL(OFFSET('Calc Canada'!$B$2,0,MATCH(Canada!$F46,'Calc Canada'!$1:$1,0)-2,300,1),OFFSET('Calc Canada'!$B$2,0,MATCH(Canada!M$43,'Calc Canada'!$1:$1,0)-2,300,1)),ABS(OFFSET('Calc Canada'!$B$2,0,MATCH(Canada!$F46,'Calc Canada'!$A$1:$U$1,0)-2)-OFFSET('Calc Canada'!$B$2,0,MATCH(M$43,'Calc Canada'!$A$1:$U$1,0)-2)))</f>
        <v>#VALUE!</v>
      </c>
      <c r="N46" s="79" t="e">
        <f ca="1">IF(datasetCanada="Correlation",CORREL(OFFSET('Calc Canada'!$B$2,0,MATCH(Canada!$F46,'Calc Canada'!$1:$1,0)-2,300,1),OFFSET('Calc Canada'!$B$2,0,MATCH(Canada!N$43,'Calc Canada'!$1:$1,0)-2,300,1)),ABS(OFFSET('Calc Canada'!$B$2,0,MATCH(Canada!$F46,'Calc Canada'!$A$1:$U$1,0)-2)-OFFSET('Calc Canada'!$B$2,0,MATCH(N$43,'Calc Canada'!$A$1:$U$1,0)-2)))</f>
        <v>#VALUE!</v>
      </c>
      <c r="O46" s="79" t="e">
        <f ca="1">IF(datasetCanada="Correlation",CORREL(OFFSET('Calc Canada'!$B$2,0,MATCH(Canada!$F46,'Calc Canada'!$1:$1,0)-2,300,1),OFFSET('Calc Canada'!$B$2,0,MATCH(Canada!O$43,'Calc Canada'!$1:$1,0)-2,300,1)),ABS(OFFSET('Calc Canada'!$B$2,0,MATCH(Canada!$F46,'Calc Canada'!$A$1:$U$1,0)-2)-OFFSET('Calc Canada'!$B$2,0,MATCH(O$43,'Calc Canada'!$A$1:$U$1,0)-2)))</f>
        <v>#VALUE!</v>
      </c>
      <c r="P46" s="79" t="e">
        <f ca="1">IF(datasetCanada="Correlation",CORREL(OFFSET('Calc Canada'!$B$2,0,MATCH(Canada!$F46,'Calc Canada'!$1:$1,0)-2,300,1),OFFSET('Calc Canada'!$B$2,0,MATCH(Canada!P$43,'Calc Canada'!$1:$1,0)-2,300,1)),ABS(OFFSET('Calc Canada'!$B$2,0,MATCH(Canada!$F46,'Calc Canada'!$A$1:$U$1,0)-2)-OFFSET('Calc Canada'!$B$2,0,MATCH(P$43,'Calc Canada'!$A$1:$U$1,0)-2)))</f>
        <v>#VALUE!</v>
      </c>
      <c r="Q46" s="80" t="e">
        <f ca="1">IF(datasetCanada="Correlation",CORREL(OFFSET('Calc Canada'!$B$2,0,MATCH(Canada!$F46,'Calc Canada'!$1:$1,0)-2,300,1),OFFSET('Calc Canada'!$B$2,0,MATCH(Canada!Q$43,'Calc Canada'!$1:$1,0)-2,300,1)),ABS(OFFSET('Calc Canada'!$B$2,0,MATCH(Canada!$F46,'Calc Canada'!$A$1:$U$1,0)-2)-OFFSET('Calc Canada'!$B$2,0,MATCH(Q$43,'Calc Canada'!$A$1:$U$1,0)-2)))</f>
        <v>#VALUE!</v>
      </c>
      <c r="R46" s="22"/>
      <c r="S46" s="7"/>
      <c r="T46" s="7"/>
      <c r="U46" s="7"/>
      <c r="V46" s="7"/>
      <c r="W46" s="7"/>
      <c r="X46" s="7"/>
      <c r="Y46" s="7"/>
      <c r="Z46" s="7"/>
      <c r="AC46" s="7"/>
      <c r="AD46" s="7"/>
      <c r="AE46" s="7"/>
      <c r="AF46" s="7"/>
      <c r="AG46" s="7"/>
      <c r="AH46" s="7"/>
      <c r="AI46" s="7"/>
      <c r="AJ46" s="7"/>
      <c r="AK46" s="7"/>
      <c r="AL46" s="7"/>
      <c r="AM46" s="7"/>
      <c r="AN46" s="7"/>
      <c r="AO46" s="7"/>
      <c r="AP46" s="7"/>
      <c r="AQ46" s="7"/>
      <c r="AR46" s="7"/>
      <c r="AS46" s="7"/>
      <c r="AT46" s="7"/>
      <c r="AU46" s="7"/>
      <c r="AV46" s="7"/>
      <c r="AW46" s="7"/>
      <c r="AX46" s="7"/>
    </row>
    <row r="47" spans="1:50" ht="15" customHeight="1" x14ac:dyDescent="0.25">
      <c r="A47" s="6" t="s">
        <v>115</v>
      </c>
      <c r="B47" s="6" t="str">
        <f>_xll.BDP($A47,"last price")</f>
        <v>#N/A Requesting Data...</v>
      </c>
      <c r="C47" s="8">
        <f>IF(OR(MID(A47,3,1)="H",MID(A47,3,1)="M",MID(A47,3,1)="U",MID(A47,3,1)="Z"),MAX($C$43:C46)+1,"")</f>
        <v>2</v>
      </c>
      <c r="D47" s="9" t="str">
        <f ca="1">OFFSET($A$43,MATCH(4,$C$44:$C$87,0),0)</f>
        <v>BAH6 Comdty</v>
      </c>
      <c r="E47" s="11"/>
      <c r="F47" s="75" t="str">
        <f ca="1">_xll.BDP($D47,"TICKER")</f>
        <v>BAH6</v>
      </c>
      <c r="G47" s="83" t="e">
        <f ca="1">IF(datasetCanada="Correlation",CORREL(OFFSET('Calc Canada'!$B$2,0,MATCH(Canada!$F47,'Calc Canada'!$1:$1,0)-2,300,1),OFFSET('Calc Canada'!$B$2,0,MATCH(Canada!G$43,'Calc Canada'!$1:$1,0)-2,300,1)),ABS(OFFSET('Calc Canada'!$B$2,0,MATCH(Canada!$F47,'Calc Canada'!$A$1:$U$1,0)-2)-OFFSET('Calc Canada'!$B$2,0,MATCH(G$43,'Calc Canada'!$A$1:$U$1,0)-2)))</f>
        <v>#VALUE!</v>
      </c>
      <c r="H47" s="83" t="e">
        <f ca="1">IF(datasetCanada="Correlation",CORREL(OFFSET('Calc Canada'!$B$2,0,MATCH(Canada!$F47,'Calc Canada'!$1:$1,0)-2,300,1),OFFSET('Calc Canada'!$B$2,0,MATCH(Canada!H$43,'Calc Canada'!$1:$1,0)-2,300,1)),ABS(OFFSET('Calc Canada'!$B$2,0,MATCH(Canada!$F47,'Calc Canada'!$A$1:$U$1,0)-2)-OFFSET('Calc Canada'!$B$2,0,MATCH(H$43,'Calc Canada'!$A$1:$U$1,0)-2)))</f>
        <v>#VALUE!</v>
      </c>
      <c r="I47" s="83" t="e">
        <f ca="1">IF(datasetCanada="Correlation",CORREL(OFFSET('Calc Canada'!$B$2,0,MATCH(Canada!$F47,'Calc Canada'!$1:$1,0)-2,300,1),OFFSET('Calc Canada'!$B$2,0,MATCH(Canada!I$43,'Calc Canada'!$1:$1,0)-2,300,1)),ABS(OFFSET('Calc Canada'!$B$2,0,MATCH(Canada!$F47,'Calc Canada'!$A$1:$U$1,0)-2)-OFFSET('Calc Canada'!$B$2,0,MATCH(I$43,'Calc Canada'!$A$1:$U$1,0)-2)))</f>
        <v>#VALUE!</v>
      </c>
      <c r="J47" s="83" t="e">
        <f ca="1">IF(datasetCanada="Correlation",CORREL(OFFSET('Calc Canada'!$B$2,0,MATCH(Canada!$F47,'Calc Canada'!$1:$1,0)-2,300,1),OFFSET('Calc Canada'!$B$2,0,MATCH(Canada!J$43,'Calc Canada'!$1:$1,0)-2,300,1)),ABS(OFFSET('Calc Canada'!$B$2,0,MATCH(Canada!$F47,'Calc Canada'!$A$1:$U$1,0)-2)-OFFSET('Calc Canada'!$B$2,0,MATCH(J$43,'Calc Canada'!$A$1:$U$1,0)-2)))</f>
        <v>#VALUE!</v>
      </c>
      <c r="K47" s="83" t="e">
        <f ca="1">IF(datasetCanada="Correlation",CORREL(OFFSET('Calc Canada'!$B$2,0,MATCH(Canada!$F47,'Calc Canada'!$1:$1,0)-2,300,1),OFFSET('Calc Canada'!$B$2,0,MATCH(Canada!K$43,'Calc Canada'!$1:$1,0)-2,300,1)),ABS(OFFSET('Calc Canada'!$B$2,0,MATCH(Canada!$F47,'Calc Canada'!$A$1:$U$1,0)-2)-OFFSET('Calc Canada'!$B$2,0,MATCH(K$43,'Calc Canada'!$A$1:$U$1,0)-2)))</f>
        <v>#VALUE!</v>
      </c>
      <c r="L47" s="83" t="e">
        <f ca="1">IF(datasetCanada="Correlation",CORREL(OFFSET('Calc Canada'!$B$2,0,MATCH(Canada!$F47,'Calc Canada'!$1:$1,0)-2,300,1),OFFSET('Calc Canada'!$B$2,0,MATCH(Canada!L$43,'Calc Canada'!$1:$1,0)-2,300,1)),ABS(OFFSET('Calc Canada'!$B$2,0,MATCH(Canada!$F47,'Calc Canada'!$A$1:$U$1,0)-2)-OFFSET('Calc Canada'!$B$2,0,MATCH(L$43,'Calc Canada'!$A$1:$U$1,0)-2)))</f>
        <v>#VALUE!</v>
      </c>
      <c r="M47" s="83" t="e">
        <f ca="1">IF(datasetCanada="Correlation",CORREL(OFFSET('Calc Canada'!$B$2,0,MATCH(Canada!$F47,'Calc Canada'!$1:$1,0)-2,300,1),OFFSET('Calc Canada'!$B$2,0,MATCH(Canada!M$43,'Calc Canada'!$1:$1,0)-2,300,1)),ABS(OFFSET('Calc Canada'!$B$2,0,MATCH(Canada!$F47,'Calc Canada'!$A$1:$U$1,0)-2)-OFFSET('Calc Canada'!$B$2,0,MATCH(M$43,'Calc Canada'!$A$1:$U$1,0)-2)))</f>
        <v>#VALUE!</v>
      </c>
      <c r="N47" s="83" t="e">
        <f ca="1">IF(datasetCanada="Correlation",CORREL(OFFSET('Calc Canada'!$B$2,0,MATCH(Canada!$F47,'Calc Canada'!$1:$1,0)-2,300,1),OFFSET('Calc Canada'!$B$2,0,MATCH(Canada!N$43,'Calc Canada'!$1:$1,0)-2,300,1)),ABS(OFFSET('Calc Canada'!$B$2,0,MATCH(Canada!$F47,'Calc Canada'!$A$1:$U$1,0)-2)-OFFSET('Calc Canada'!$B$2,0,MATCH(N$43,'Calc Canada'!$A$1:$U$1,0)-2)))</f>
        <v>#VALUE!</v>
      </c>
      <c r="O47" s="83" t="e">
        <f ca="1">IF(datasetCanada="Correlation",CORREL(OFFSET('Calc Canada'!$B$2,0,MATCH(Canada!$F47,'Calc Canada'!$1:$1,0)-2,300,1),OFFSET('Calc Canada'!$B$2,0,MATCH(Canada!O$43,'Calc Canada'!$1:$1,0)-2,300,1)),ABS(OFFSET('Calc Canada'!$B$2,0,MATCH(Canada!$F47,'Calc Canada'!$A$1:$U$1,0)-2)-OFFSET('Calc Canada'!$B$2,0,MATCH(O$43,'Calc Canada'!$A$1:$U$1,0)-2)))</f>
        <v>#VALUE!</v>
      </c>
      <c r="P47" s="83" t="e">
        <f ca="1">IF(datasetCanada="Correlation",CORREL(OFFSET('Calc Canada'!$B$2,0,MATCH(Canada!$F47,'Calc Canada'!$1:$1,0)-2,300,1),OFFSET('Calc Canada'!$B$2,0,MATCH(Canada!P$43,'Calc Canada'!$1:$1,0)-2,300,1)),ABS(OFFSET('Calc Canada'!$B$2,0,MATCH(Canada!$F47,'Calc Canada'!$A$1:$U$1,0)-2)-OFFSET('Calc Canada'!$B$2,0,MATCH(P$43,'Calc Canada'!$A$1:$U$1,0)-2)))</f>
        <v>#VALUE!</v>
      </c>
      <c r="Q47" s="84" t="e">
        <f ca="1">IF(datasetCanada="Correlation",CORREL(OFFSET('Calc Canada'!$B$2,0,MATCH(Canada!$F47,'Calc Canada'!$1:$1,0)-2,300,1),OFFSET('Calc Canada'!$B$2,0,MATCH(Canada!Q$43,'Calc Canada'!$1:$1,0)-2,300,1)),ABS(OFFSET('Calc Canada'!$B$2,0,MATCH(Canada!$F47,'Calc Canada'!$A$1:$U$1,0)-2)-OFFSET('Calc Canada'!$B$2,0,MATCH(Q$43,'Calc Canada'!$A$1:$U$1,0)-2)))</f>
        <v>#VALUE!</v>
      </c>
      <c r="R47" s="22"/>
      <c r="S47" s="7"/>
      <c r="T47" s="7"/>
      <c r="U47" s="7"/>
      <c r="V47" s="7"/>
      <c r="W47" s="7"/>
      <c r="X47" s="7"/>
      <c r="Y47" s="7"/>
      <c r="Z47" s="7"/>
      <c r="AC47" s="7"/>
      <c r="AD47" s="7"/>
      <c r="AE47" s="7"/>
      <c r="AF47" s="7"/>
      <c r="AG47" s="7"/>
      <c r="AH47" s="7"/>
      <c r="AI47" s="7"/>
      <c r="AJ47" s="7"/>
      <c r="AK47" s="7"/>
      <c r="AL47" s="7"/>
      <c r="AM47" s="7"/>
      <c r="AN47" s="7"/>
      <c r="AO47" s="7"/>
      <c r="AP47" s="7"/>
      <c r="AQ47" s="7"/>
      <c r="AR47" s="7"/>
      <c r="AS47" s="7"/>
      <c r="AT47" s="7"/>
      <c r="AU47" s="7"/>
      <c r="AV47" s="7"/>
      <c r="AW47" s="7"/>
      <c r="AX47" s="7"/>
    </row>
    <row r="48" spans="1:50" ht="15" customHeight="1" x14ac:dyDescent="0.25">
      <c r="A48" s="6" t="s">
        <v>116</v>
      </c>
      <c r="B48" s="6" t="str">
        <f>_xll.BDP($A48,"last price")</f>
        <v>#N/A Requesting Data...</v>
      </c>
      <c r="C48" s="8">
        <f>IF(OR(MID(A48,3,1)="H",MID(A48,3,1)="M",MID(A48,3,1)="U",MID(A48,3,1)="Z"),MAX($C$43:C47)+1,"")</f>
        <v>3</v>
      </c>
      <c r="D48" s="9" t="str">
        <f ca="1">OFFSET($A$43,MATCH(5,$C$44:$C$87,0),0)</f>
        <v>BAM6 Comdty</v>
      </c>
      <c r="E48" s="11"/>
      <c r="F48" s="75" t="str">
        <f ca="1">_xll.BDP($D48,"TICKER")</f>
        <v>BAM6</v>
      </c>
      <c r="G48" s="79" t="e">
        <f ca="1">IF(datasetCanada="Correlation",CORREL(OFFSET('Calc Canada'!$B$2,0,MATCH(Canada!$F48,'Calc Canada'!$1:$1,0)-2,300,1),OFFSET('Calc Canada'!$B$2,0,MATCH(Canada!G$43,'Calc Canada'!$1:$1,0)-2,300,1)),ABS(OFFSET('Calc Canada'!$B$2,0,MATCH(Canada!$F48,'Calc Canada'!$A$1:$U$1,0)-2)-OFFSET('Calc Canada'!$B$2,0,MATCH(G$43,'Calc Canada'!$A$1:$U$1,0)-2)))</f>
        <v>#VALUE!</v>
      </c>
      <c r="H48" s="79" t="e">
        <f ca="1">IF(datasetCanada="Correlation",CORREL(OFFSET('Calc Canada'!$B$2,0,MATCH(Canada!$F48,'Calc Canada'!$1:$1,0)-2,300,1),OFFSET('Calc Canada'!$B$2,0,MATCH(Canada!H$43,'Calc Canada'!$1:$1,0)-2,300,1)),ABS(OFFSET('Calc Canada'!$B$2,0,MATCH(Canada!$F48,'Calc Canada'!$A$1:$U$1,0)-2)-OFFSET('Calc Canada'!$B$2,0,MATCH(H$43,'Calc Canada'!$A$1:$U$1,0)-2)))</f>
        <v>#VALUE!</v>
      </c>
      <c r="I48" s="79" t="e">
        <f ca="1">IF(datasetCanada="Correlation",CORREL(OFFSET('Calc Canada'!$B$2,0,MATCH(Canada!$F48,'Calc Canada'!$1:$1,0)-2,300,1),OFFSET('Calc Canada'!$B$2,0,MATCH(Canada!I$43,'Calc Canada'!$1:$1,0)-2,300,1)),ABS(OFFSET('Calc Canada'!$B$2,0,MATCH(Canada!$F48,'Calc Canada'!$A$1:$U$1,0)-2)-OFFSET('Calc Canada'!$B$2,0,MATCH(I$43,'Calc Canada'!$A$1:$U$1,0)-2)))</f>
        <v>#VALUE!</v>
      </c>
      <c r="J48" s="79" t="e">
        <f ca="1">IF(datasetCanada="Correlation",CORREL(OFFSET('Calc Canada'!$B$2,0,MATCH(Canada!$F48,'Calc Canada'!$1:$1,0)-2,300,1),OFFSET('Calc Canada'!$B$2,0,MATCH(Canada!J$43,'Calc Canada'!$1:$1,0)-2,300,1)),ABS(OFFSET('Calc Canada'!$B$2,0,MATCH(Canada!$F48,'Calc Canada'!$A$1:$U$1,0)-2)-OFFSET('Calc Canada'!$B$2,0,MATCH(J$43,'Calc Canada'!$A$1:$U$1,0)-2)))</f>
        <v>#VALUE!</v>
      </c>
      <c r="K48" s="79" t="e">
        <f ca="1">IF(datasetCanada="Correlation",CORREL(OFFSET('Calc Canada'!$B$2,0,MATCH(Canada!$F48,'Calc Canada'!$1:$1,0)-2,300,1),OFFSET('Calc Canada'!$B$2,0,MATCH(Canada!K$43,'Calc Canada'!$1:$1,0)-2,300,1)),ABS(OFFSET('Calc Canada'!$B$2,0,MATCH(Canada!$F48,'Calc Canada'!$A$1:$U$1,0)-2)-OFFSET('Calc Canada'!$B$2,0,MATCH(K$43,'Calc Canada'!$A$1:$U$1,0)-2)))</f>
        <v>#VALUE!</v>
      </c>
      <c r="L48" s="79" t="e">
        <f ca="1">IF(datasetCanada="Correlation",CORREL(OFFSET('Calc Canada'!$B$2,0,MATCH(Canada!$F48,'Calc Canada'!$1:$1,0)-2,300,1),OFFSET('Calc Canada'!$B$2,0,MATCH(Canada!L$43,'Calc Canada'!$1:$1,0)-2,300,1)),ABS(OFFSET('Calc Canada'!$B$2,0,MATCH(Canada!$F48,'Calc Canada'!$A$1:$U$1,0)-2)-OFFSET('Calc Canada'!$B$2,0,MATCH(L$43,'Calc Canada'!$A$1:$U$1,0)-2)))</f>
        <v>#VALUE!</v>
      </c>
      <c r="M48" s="79" t="e">
        <f ca="1">IF(datasetCanada="Correlation",CORREL(OFFSET('Calc Canada'!$B$2,0,MATCH(Canada!$F48,'Calc Canada'!$1:$1,0)-2,300,1),OFFSET('Calc Canada'!$B$2,0,MATCH(Canada!M$43,'Calc Canada'!$1:$1,0)-2,300,1)),ABS(OFFSET('Calc Canada'!$B$2,0,MATCH(Canada!$F48,'Calc Canada'!$A$1:$U$1,0)-2)-OFFSET('Calc Canada'!$B$2,0,MATCH(M$43,'Calc Canada'!$A$1:$U$1,0)-2)))</f>
        <v>#VALUE!</v>
      </c>
      <c r="N48" s="79" t="e">
        <f ca="1">IF(datasetCanada="Correlation",CORREL(OFFSET('Calc Canada'!$B$2,0,MATCH(Canada!$F48,'Calc Canada'!$1:$1,0)-2,300,1),OFFSET('Calc Canada'!$B$2,0,MATCH(Canada!N$43,'Calc Canada'!$1:$1,0)-2,300,1)),ABS(OFFSET('Calc Canada'!$B$2,0,MATCH(Canada!$F48,'Calc Canada'!$A$1:$U$1,0)-2)-OFFSET('Calc Canada'!$B$2,0,MATCH(N$43,'Calc Canada'!$A$1:$U$1,0)-2)))</f>
        <v>#VALUE!</v>
      </c>
      <c r="O48" s="79" t="e">
        <f ca="1">IF(datasetCanada="Correlation",CORREL(OFFSET('Calc Canada'!$B$2,0,MATCH(Canada!$F48,'Calc Canada'!$1:$1,0)-2,300,1),OFFSET('Calc Canada'!$B$2,0,MATCH(Canada!O$43,'Calc Canada'!$1:$1,0)-2,300,1)),ABS(OFFSET('Calc Canada'!$B$2,0,MATCH(Canada!$F48,'Calc Canada'!$A$1:$U$1,0)-2)-OFFSET('Calc Canada'!$B$2,0,MATCH(O$43,'Calc Canada'!$A$1:$U$1,0)-2)))</f>
        <v>#VALUE!</v>
      </c>
      <c r="P48" s="79" t="e">
        <f ca="1">IF(datasetCanada="Correlation",CORREL(OFFSET('Calc Canada'!$B$2,0,MATCH(Canada!$F48,'Calc Canada'!$1:$1,0)-2,300,1),OFFSET('Calc Canada'!$B$2,0,MATCH(Canada!P$43,'Calc Canada'!$1:$1,0)-2,300,1)),ABS(OFFSET('Calc Canada'!$B$2,0,MATCH(Canada!$F48,'Calc Canada'!$A$1:$U$1,0)-2)-OFFSET('Calc Canada'!$B$2,0,MATCH(P$43,'Calc Canada'!$A$1:$U$1,0)-2)))</f>
        <v>#VALUE!</v>
      </c>
      <c r="Q48" s="80" t="e">
        <f ca="1">IF(datasetCanada="Correlation",CORREL(OFFSET('Calc Canada'!$B$2,0,MATCH(Canada!$F48,'Calc Canada'!$1:$1,0)-2,300,1),OFFSET('Calc Canada'!$B$2,0,MATCH(Canada!Q$43,'Calc Canada'!$1:$1,0)-2,300,1)),ABS(OFFSET('Calc Canada'!$B$2,0,MATCH(Canada!$F48,'Calc Canada'!$A$1:$U$1,0)-2)-OFFSET('Calc Canada'!$B$2,0,MATCH(Q$43,'Calc Canada'!$A$1:$U$1,0)-2)))</f>
        <v>#VALUE!</v>
      </c>
      <c r="R48" s="22"/>
      <c r="S48" s="7"/>
      <c r="T48" s="7"/>
      <c r="U48" s="7"/>
      <c r="V48" s="7"/>
      <c r="W48" s="7"/>
      <c r="X48" s="7"/>
      <c r="Y48" s="7"/>
      <c r="Z48" s="7"/>
      <c r="AC48" s="7"/>
      <c r="AD48" s="7"/>
      <c r="AE48" s="7"/>
      <c r="AF48" s="7"/>
      <c r="AG48" s="7"/>
      <c r="AH48" s="7"/>
      <c r="AI48" s="7"/>
      <c r="AJ48" s="7"/>
      <c r="AK48" s="7"/>
      <c r="AL48" s="7"/>
      <c r="AM48" s="7"/>
      <c r="AN48" s="7"/>
      <c r="AO48" s="7"/>
      <c r="AP48" s="7"/>
      <c r="AQ48" s="7"/>
      <c r="AR48" s="7"/>
      <c r="AS48" s="7"/>
      <c r="AT48" s="7"/>
      <c r="AU48" s="7"/>
      <c r="AV48" s="7"/>
      <c r="AW48" s="7"/>
      <c r="AX48" s="7"/>
    </row>
    <row r="49" spans="1:50" ht="15" customHeight="1" x14ac:dyDescent="0.25">
      <c r="A49" s="6" t="s">
        <v>117</v>
      </c>
      <c r="B49" s="6" t="str">
        <f>_xll.BDP($A49,"last price")</f>
        <v>#N/A Requesting Data...</v>
      </c>
      <c r="C49" s="8">
        <f>IF(OR(MID(A49,3,1)="H",MID(A49,3,1)="M",MID(A49,3,1)="U",MID(A49,3,1)="Z"),MAX($C$43:C48)+1,"")</f>
        <v>4</v>
      </c>
      <c r="D49" s="9" t="str">
        <f ca="1">OFFSET($A$43,MATCH(6,$C$44:$C$87,0),0)</f>
        <v>BAU6 Comdty</v>
      </c>
      <c r="E49" s="11"/>
      <c r="F49" s="75" t="str">
        <f ca="1">_xll.BDP($D49,"TICKER")</f>
        <v>BAU6</v>
      </c>
      <c r="G49" s="83" t="e">
        <f ca="1">IF(datasetCanada="Correlation",CORREL(OFFSET('Calc Canada'!$B$2,0,MATCH(Canada!$F49,'Calc Canada'!$1:$1,0)-2,300,1),OFFSET('Calc Canada'!$B$2,0,MATCH(Canada!G$43,'Calc Canada'!$1:$1,0)-2,300,1)),ABS(OFFSET('Calc Canada'!$B$2,0,MATCH(Canada!$F49,'Calc Canada'!$A$1:$U$1,0)-2)-OFFSET('Calc Canada'!$B$2,0,MATCH(G$43,'Calc Canada'!$A$1:$U$1,0)-2)))</f>
        <v>#VALUE!</v>
      </c>
      <c r="H49" s="83" t="e">
        <f ca="1">IF(datasetCanada="Correlation",CORREL(OFFSET('Calc Canada'!$B$2,0,MATCH(Canada!$F49,'Calc Canada'!$1:$1,0)-2,300,1),OFFSET('Calc Canada'!$B$2,0,MATCH(Canada!H$43,'Calc Canada'!$1:$1,0)-2,300,1)),ABS(OFFSET('Calc Canada'!$B$2,0,MATCH(Canada!$F49,'Calc Canada'!$A$1:$U$1,0)-2)-OFFSET('Calc Canada'!$B$2,0,MATCH(H$43,'Calc Canada'!$A$1:$U$1,0)-2)))</f>
        <v>#VALUE!</v>
      </c>
      <c r="I49" s="83" t="e">
        <f ca="1">IF(datasetCanada="Correlation",CORREL(OFFSET('Calc Canada'!$B$2,0,MATCH(Canada!$F49,'Calc Canada'!$1:$1,0)-2,300,1),OFFSET('Calc Canada'!$B$2,0,MATCH(Canada!I$43,'Calc Canada'!$1:$1,0)-2,300,1)),ABS(OFFSET('Calc Canada'!$B$2,0,MATCH(Canada!$F49,'Calc Canada'!$A$1:$U$1,0)-2)-OFFSET('Calc Canada'!$B$2,0,MATCH(I$43,'Calc Canada'!$A$1:$U$1,0)-2)))</f>
        <v>#VALUE!</v>
      </c>
      <c r="J49" s="83" t="e">
        <f ca="1">IF(datasetCanada="Correlation",CORREL(OFFSET('Calc Canada'!$B$2,0,MATCH(Canada!$F49,'Calc Canada'!$1:$1,0)-2,300,1),OFFSET('Calc Canada'!$B$2,0,MATCH(Canada!J$43,'Calc Canada'!$1:$1,0)-2,300,1)),ABS(OFFSET('Calc Canada'!$B$2,0,MATCH(Canada!$F49,'Calc Canada'!$A$1:$U$1,0)-2)-OFFSET('Calc Canada'!$B$2,0,MATCH(J$43,'Calc Canada'!$A$1:$U$1,0)-2)))</f>
        <v>#VALUE!</v>
      </c>
      <c r="K49" s="83" t="e">
        <f ca="1">IF(datasetCanada="Correlation",CORREL(OFFSET('Calc Canada'!$B$2,0,MATCH(Canada!$F49,'Calc Canada'!$1:$1,0)-2,300,1),OFFSET('Calc Canada'!$B$2,0,MATCH(Canada!K$43,'Calc Canada'!$1:$1,0)-2,300,1)),ABS(OFFSET('Calc Canada'!$B$2,0,MATCH(Canada!$F49,'Calc Canada'!$A$1:$U$1,0)-2)-OFFSET('Calc Canada'!$B$2,0,MATCH(K$43,'Calc Canada'!$A$1:$U$1,0)-2)))</f>
        <v>#VALUE!</v>
      </c>
      <c r="L49" s="83" t="e">
        <f ca="1">IF(datasetCanada="Correlation",CORREL(OFFSET('Calc Canada'!$B$2,0,MATCH(Canada!$F49,'Calc Canada'!$1:$1,0)-2,300,1),OFFSET('Calc Canada'!$B$2,0,MATCH(Canada!L$43,'Calc Canada'!$1:$1,0)-2,300,1)),ABS(OFFSET('Calc Canada'!$B$2,0,MATCH(Canada!$F49,'Calc Canada'!$A$1:$U$1,0)-2)-OFFSET('Calc Canada'!$B$2,0,MATCH(L$43,'Calc Canada'!$A$1:$U$1,0)-2)))</f>
        <v>#VALUE!</v>
      </c>
      <c r="M49" s="83" t="e">
        <f ca="1">IF(datasetCanada="Correlation",CORREL(OFFSET('Calc Canada'!$B$2,0,MATCH(Canada!$F49,'Calc Canada'!$1:$1,0)-2,300,1),OFFSET('Calc Canada'!$B$2,0,MATCH(Canada!M$43,'Calc Canada'!$1:$1,0)-2,300,1)),ABS(OFFSET('Calc Canada'!$B$2,0,MATCH(Canada!$F49,'Calc Canada'!$A$1:$U$1,0)-2)-OFFSET('Calc Canada'!$B$2,0,MATCH(M$43,'Calc Canada'!$A$1:$U$1,0)-2)))</f>
        <v>#VALUE!</v>
      </c>
      <c r="N49" s="83" t="e">
        <f ca="1">IF(datasetCanada="Correlation",CORREL(OFFSET('Calc Canada'!$B$2,0,MATCH(Canada!$F49,'Calc Canada'!$1:$1,0)-2,300,1),OFFSET('Calc Canada'!$B$2,0,MATCH(Canada!N$43,'Calc Canada'!$1:$1,0)-2,300,1)),ABS(OFFSET('Calc Canada'!$B$2,0,MATCH(Canada!$F49,'Calc Canada'!$A$1:$U$1,0)-2)-OFFSET('Calc Canada'!$B$2,0,MATCH(N$43,'Calc Canada'!$A$1:$U$1,0)-2)))</f>
        <v>#VALUE!</v>
      </c>
      <c r="O49" s="83" t="e">
        <f ca="1">IF(datasetCanada="Correlation",CORREL(OFFSET('Calc Canada'!$B$2,0,MATCH(Canada!$F49,'Calc Canada'!$1:$1,0)-2,300,1),OFFSET('Calc Canada'!$B$2,0,MATCH(Canada!O$43,'Calc Canada'!$1:$1,0)-2,300,1)),ABS(OFFSET('Calc Canada'!$B$2,0,MATCH(Canada!$F49,'Calc Canada'!$A$1:$U$1,0)-2)-OFFSET('Calc Canada'!$B$2,0,MATCH(O$43,'Calc Canada'!$A$1:$U$1,0)-2)))</f>
        <v>#VALUE!</v>
      </c>
      <c r="P49" s="83" t="e">
        <f ca="1">IF(datasetCanada="Correlation",CORREL(OFFSET('Calc Canada'!$B$2,0,MATCH(Canada!$F49,'Calc Canada'!$1:$1,0)-2,300,1),OFFSET('Calc Canada'!$B$2,0,MATCH(Canada!P$43,'Calc Canada'!$1:$1,0)-2,300,1)),ABS(OFFSET('Calc Canada'!$B$2,0,MATCH(Canada!$F49,'Calc Canada'!$A$1:$U$1,0)-2)-OFFSET('Calc Canada'!$B$2,0,MATCH(P$43,'Calc Canada'!$A$1:$U$1,0)-2)))</f>
        <v>#VALUE!</v>
      </c>
      <c r="Q49" s="84" t="e">
        <f ca="1">IF(datasetCanada="Correlation",CORREL(OFFSET('Calc Canada'!$B$2,0,MATCH(Canada!$F49,'Calc Canada'!$1:$1,0)-2,300,1),OFFSET('Calc Canada'!$B$2,0,MATCH(Canada!Q$43,'Calc Canada'!$1:$1,0)-2,300,1)),ABS(OFFSET('Calc Canada'!$B$2,0,MATCH(Canada!$F49,'Calc Canada'!$A$1:$U$1,0)-2)-OFFSET('Calc Canada'!$B$2,0,MATCH(Q$43,'Calc Canada'!$A$1:$U$1,0)-2)))</f>
        <v>#VALUE!</v>
      </c>
      <c r="R49" s="22"/>
      <c r="S49" s="7"/>
      <c r="T49" s="7"/>
      <c r="U49" s="7"/>
      <c r="V49" s="7"/>
      <c r="W49" s="7"/>
      <c r="X49" s="7"/>
      <c r="Y49" s="7"/>
      <c r="Z49" s="7"/>
      <c r="AC49" s="7"/>
      <c r="AD49" s="7"/>
      <c r="AE49" s="7"/>
      <c r="AF49" s="7"/>
      <c r="AG49" s="7"/>
      <c r="AH49" s="7"/>
      <c r="AI49" s="7"/>
      <c r="AJ49" s="7"/>
      <c r="AK49" s="7"/>
      <c r="AL49" s="7"/>
      <c r="AM49" s="7"/>
      <c r="AN49" s="7"/>
      <c r="AO49" s="7"/>
      <c r="AP49" s="7"/>
      <c r="AQ49" s="7"/>
      <c r="AR49" s="7"/>
      <c r="AS49" s="7"/>
      <c r="AT49" s="7"/>
      <c r="AU49" s="7"/>
      <c r="AV49" s="7"/>
      <c r="AW49" s="7"/>
      <c r="AX49" s="7"/>
    </row>
    <row r="50" spans="1:50" ht="15" customHeight="1" x14ac:dyDescent="0.25">
      <c r="A50" s="6" t="s">
        <v>118</v>
      </c>
      <c r="B50" s="6" t="str">
        <f>_xll.BDP($A50,"last price")</f>
        <v>#N/A Requesting Data...</v>
      </c>
      <c r="C50" s="8">
        <f>IF(OR(MID(A50,3,1)="H",MID(A50,3,1)="M",MID(A50,3,1)="U",MID(A50,3,1)="Z"),MAX($C$43:C49)+1,"")</f>
        <v>5</v>
      </c>
      <c r="D50" s="9" t="str">
        <f ca="1">OFFSET($A$43,MATCH(7,$C$44:$C$87,0),0)</f>
        <v>BAZ6 Comdty</v>
      </c>
      <c r="E50" s="11"/>
      <c r="F50" s="75" t="str">
        <f ca="1">_xll.BDP($D50,"TICKER")</f>
        <v>BAZ6</v>
      </c>
      <c r="G50" s="79" t="e">
        <f ca="1">IF(datasetCanada="Correlation",CORREL(OFFSET('Calc Canada'!$B$2,0,MATCH(Canada!$F50,'Calc Canada'!$1:$1,0)-2,300,1),OFFSET('Calc Canada'!$B$2,0,MATCH(Canada!G$43,'Calc Canada'!$1:$1,0)-2,300,1)),ABS(OFFSET('Calc Canada'!$B$2,0,MATCH(Canada!$F50,'Calc Canada'!$A$1:$U$1,0)-2)-OFFSET('Calc Canada'!$B$2,0,MATCH(G$43,'Calc Canada'!$A$1:$U$1,0)-2)))</f>
        <v>#VALUE!</v>
      </c>
      <c r="H50" s="79" t="e">
        <f ca="1">IF(datasetCanada="Correlation",CORREL(OFFSET('Calc Canada'!$B$2,0,MATCH(Canada!$F50,'Calc Canada'!$1:$1,0)-2,300,1),OFFSET('Calc Canada'!$B$2,0,MATCH(Canada!H$43,'Calc Canada'!$1:$1,0)-2,300,1)),ABS(OFFSET('Calc Canada'!$B$2,0,MATCH(Canada!$F50,'Calc Canada'!$A$1:$U$1,0)-2)-OFFSET('Calc Canada'!$B$2,0,MATCH(H$43,'Calc Canada'!$A$1:$U$1,0)-2)))</f>
        <v>#VALUE!</v>
      </c>
      <c r="I50" s="79" t="e">
        <f ca="1">IF(datasetCanada="Correlation",CORREL(OFFSET('Calc Canada'!$B$2,0,MATCH(Canada!$F50,'Calc Canada'!$1:$1,0)-2,300,1),OFFSET('Calc Canada'!$B$2,0,MATCH(Canada!I$43,'Calc Canada'!$1:$1,0)-2,300,1)),ABS(OFFSET('Calc Canada'!$B$2,0,MATCH(Canada!$F50,'Calc Canada'!$A$1:$U$1,0)-2)-OFFSET('Calc Canada'!$B$2,0,MATCH(I$43,'Calc Canada'!$A$1:$U$1,0)-2)))</f>
        <v>#VALUE!</v>
      </c>
      <c r="J50" s="79" t="e">
        <f ca="1">IF(datasetCanada="Correlation",CORREL(OFFSET('Calc Canada'!$B$2,0,MATCH(Canada!$F50,'Calc Canada'!$1:$1,0)-2,300,1),OFFSET('Calc Canada'!$B$2,0,MATCH(Canada!J$43,'Calc Canada'!$1:$1,0)-2,300,1)),ABS(OFFSET('Calc Canada'!$B$2,0,MATCH(Canada!$F50,'Calc Canada'!$A$1:$U$1,0)-2)-OFFSET('Calc Canada'!$B$2,0,MATCH(J$43,'Calc Canada'!$A$1:$U$1,0)-2)))</f>
        <v>#VALUE!</v>
      </c>
      <c r="K50" s="79" t="e">
        <f ca="1">IF(datasetCanada="Correlation",CORREL(OFFSET('Calc Canada'!$B$2,0,MATCH(Canada!$F50,'Calc Canada'!$1:$1,0)-2,300,1),OFFSET('Calc Canada'!$B$2,0,MATCH(Canada!K$43,'Calc Canada'!$1:$1,0)-2,300,1)),ABS(OFFSET('Calc Canada'!$B$2,0,MATCH(Canada!$F50,'Calc Canada'!$A$1:$U$1,0)-2)-OFFSET('Calc Canada'!$B$2,0,MATCH(K$43,'Calc Canada'!$A$1:$U$1,0)-2)))</f>
        <v>#VALUE!</v>
      </c>
      <c r="L50" s="79" t="e">
        <f ca="1">IF(datasetCanada="Correlation",CORREL(OFFSET('Calc Canada'!$B$2,0,MATCH(Canada!$F50,'Calc Canada'!$1:$1,0)-2,300,1),OFFSET('Calc Canada'!$B$2,0,MATCH(Canada!L$43,'Calc Canada'!$1:$1,0)-2,300,1)),ABS(OFFSET('Calc Canada'!$B$2,0,MATCH(Canada!$F50,'Calc Canada'!$A$1:$U$1,0)-2)-OFFSET('Calc Canada'!$B$2,0,MATCH(L$43,'Calc Canada'!$A$1:$U$1,0)-2)))</f>
        <v>#VALUE!</v>
      </c>
      <c r="M50" s="79" t="e">
        <f ca="1">IF(datasetCanada="Correlation",CORREL(OFFSET('Calc Canada'!$B$2,0,MATCH(Canada!$F50,'Calc Canada'!$1:$1,0)-2,300,1),OFFSET('Calc Canada'!$B$2,0,MATCH(Canada!M$43,'Calc Canada'!$1:$1,0)-2,300,1)),ABS(OFFSET('Calc Canada'!$B$2,0,MATCH(Canada!$F50,'Calc Canada'!$A$1:$U$1,0)-2)-OFFSET('Calc Canada'!$B$2,0,MATCH(M$43,'Calc Canada'!$A$1:$U$1,0)-2)))</f>
        <v>#VALUE!</v>
      </c>
      <c r="N50" s="79" t="e">
        <f ca="1">IF(datasetCanada="Correlation",CORREL(OFFSET('Calc Canada'!$B$2,0,MATCH(Canada!$F50,'Calc Canada'!$1:$1,0)-2,300,1),OFFSET('Calc Canada'!$B$2,0,MATCH(Canada!N$43,'Calc Canada'!$1:$1,0)-2,300,1)),ABS(OFFSET('Calc Canada'!$B$2,0,MATCH(Canada!$F50,'Calc Canada'!$A$1:$U$1,0)-2)-OFFSET('Calc Canada'!$B$2,0,MATCH(N$43,'Calc Canada'!$A$1:$U$1,0)-2)))</f>
        <v>#VALUE!</v>
      </c>
      <c r="O50" s="79" t="e">
        <f ca="1">IF(datasetCanada="Correlation",CORREL(OFFSET('Calc Canada'!$B$2,0,MATCH(Canada!$F50,'Calc Canada'!$1:$1,0)-2,300,1),OFFSET('Calc Canada'!$B$2,0,MATCH(Canada!O$43,'Calc Canada'!$1:$1,0)-2,300,1)),ABS(OFFSET('Calc Canada'!$B$2,0,MATCH(Canada!$F50,'Calc Canada'!$A$1:$U$1,0)-2)-OFFSET('Calc Canada'!$B$2,0,MATCH(O$43,'Calc Canada'!$A$1:$U$1,0)-2)))</f>
        <v>#VALUE!</v>
      </c>
      <c r="P50" s="79" t="e">
        <f ca="1">IF(datasetCanada="Correlation",CORREL(OFFSET('Calc Canada'!$B$2,0,MATCH(Canada!$F50,'Calc Canada'!$1:$1,0)-2,300,1),OFFSET('Calc Canada'!$B$2,0,MATCH(Canada!P$43,'Calc Canada'!$1:$1,0)-2,300,1)),ABS(OFFSET('Calc Canada'!$B$2,0,MATCH(Canada!$F50,'Calc Canada'!$A$1:$U$1,0)-2)-OFFSET('Calc Canada'!$B$2,0,MATCH(P$43,'Calc Canada'!$A$1:$U$1,0)-2)))</f>
        <v>#VALUE!</v>
      </c>
      <c r="Q50" s="80" t="e">
        <f ca="1">IF(datasetCanada="Correlation",CORREL(OFFSET('Calc Canada'!$B$2,0,MATCH(Canada!$F50,'Calc Canada'!$1:$1,0)-2,300,1),OFFSET('Calc Canada'!$B$2,0,MATCH(Canada!Q$43,'Calc Canada'!$1:$1,0)-2,300,1)),ABS(OFFSET('Calc Canada'!$B$2,0,MATCH(Canada!$F50,'Calc Canada'!$A$1:$U$1,0)-2)-OFFSET('Calc Canada'!$B$2,0,MATCH(Q$43,'Calc Canada'!$A$1:$U$1,0)-2)))</f>
        <v>#VALUE!</v>
      </c>
      <c r="R50" s="22"/>
      <c r="S50" s="7"/>
      <c r="T50" s="7"/>
      <c r="U50" s="7"/>
      <c r="V50" s="7"/>
      <c r="W50" s="7"/>
      <c r="X50" s="7"/>
      <c r="Y50" s="7"/>
      <c r="Z50" s="7"/>
      <c r="AC50" s="7"/>
      <c r="AD50" s="7"/>
      <c r="AE50" s="7"/>
      <c r="AF50" s="7"/>
      <c r="AG50" s="7"/>
      <c r="AH50" s="7"/>
      <c r="AI50" s="7"/>
      <c r="AJ50" s="7"/>
      <c r="AK50" s="7"/>
      <c r="AL50" s="7"/>
      <c r="AM50" s="7"/>
      <c r="AN50" s="7"/>
      <c r="AO50" s="7"/>
      <c r="AP50" s="7"/>
      <c r="AQ50" s="7"/>
      <c r="AR50" s="7"/>
      <c r="AS50" s="7"/>
      <c r="AT50" s="7"/>
      <c r="AU50" s="7"/>
      <c r="AV50" s="7"/>
      <c r="AW50" s="7"/>
      <c r="AX50" s="7"/>
    </row>
    <row r="51" spans="1:50" ht="15" customHeight="1" x14ac:dyDescent="0.25">
      <c r="A51" s="6" t="s">
        <v>119</v>
      </c>
      <c r="B51" s="6" t="str">
        <f>_xll.BDP($A51,"last price")</f>
        <v>#N/A Requesting Data...</v>
      </c>
      <c r="C51" s="8">
        <f>IF(OR(MID(A51,3,1)="H",MID(A51,3,1)="M",MID(A51,3,1)="U",MID(A51,3,1)="Z"),MAX($C$43:C50)+1,"")</f>
        <v>6</v>
      </c>
      <c r="D51" s="9" t="str">
        <f ca="1">OFFSET($A$43,MATCH(8,$C$44:$C$87,0),0)</f>
        <v>BAH7 Comdty</v>
      </c>
      <c r="E51" s="11"/>
      <c r="F51" s="75" t="str">
        <f ca="1">_xll.BDP($D51,"TICKER")</f>
        <v>BAH7</v>
      </c>
      <c r="G51" s="83" t="e">
        <f ca="1">IF(datasetCanada="Correlation",CORREL(OFFSET('Calc Canada'!$B$2,0,MATCH(Canada!$F51,'Calc Canada'!$1:$1,0)-2,300,1),OFFSET('Calc Canada'!$B$2,0,MATCH(Canada!G$43,'Calc Canada'!$1:$1,0)-2,300,1)),ABS(OFFSET('Calc Canada'!$B$2,0,MATCH(Canada!$F51,'Calc Canada'!$A$1:$U$1,0)-2)-OFFSET('Calc Canada'!$B$2,0,MATCH(G$43,'Calc Canada'!$A$1:$U$1,0)-2)))</f>
        <v>#VALUE!</v>
      </c>
      <c r="H51" s="83" t="e">
        <f ca="1">IF(datasetCanada="Correlation",CORREL(OFFSET('Calc Canada'!$B$2,0,MATCH(Canada!$F51,'Calc Canada'!$1:$1,0)-2,300,1),OFFSET('Calc Canada'!$B$2,0,MATCH(Canada!H$43,'Calc Canada'!$1:$1,0)-2,300,1)),ABS(OFFSET('Calc Canada'!$B$2,0,MATCH(Canada!$F51,'Calc Canada'!$A$1:$U$1,0)-2)-OFFSET('Calc Canada'!$B$2,0,MATCH(H$43,'Calc Canada'!$A$1:$U$1,0)-2)))</f>
        <v>#VALUE!</v>
      </c>
      <c r="I51" s="83" t="e">
        <f ca="1">IF(datasetCanada="Correlation",CORREL(OFFSET('Calc Canada'!$B$2,0,MATCH(Canada!$F51,'Calc Canada'!$1:$1,0)-2,300,1),OFFSET('Calc Canada'!$B$2,0,MATCH(Canada!I$43,'Calc Canada'!$1:$1,0)-2,300,1)),ABS(OFFSET('Calc Canada'!$B$2,0,MATCH(Canada!$F51,'Calc Canada'!$A$1:$U$1,0)-2)-OFFSET('Calc Canada'!$B$2,0,MATCH(I$43,'Calc Canada'!$A$1:$U$1,0)-2)))</f>
        <v>#VALUE!</v>
      </c>
      <c r="J51" s="83" t="e">
        <f ca="1">IF(datasetCanada="Correlation",CORREL(OFFSET('Calc Canada'!$B$2,0,MATCH(Canada!$F51,'Calc Canada'!$1:$1,0)-2,300,1),OFFSET('Calc Canada'!$B$2,0,MATCH(Canada!J$43,'Calc Canada'!$1:$1,0)-2,300,1)),ABS(OFFSET('Calc Canada'!$B$2,0,MATCH(Canada!$F51,'Calc Canada'!$A$1:$U$1,0)-2)-OFFSET('Calc Canada'!$B$2,0,MATCH(J$43,'Calc Canada'!$A$1:$U$1,0)-2)))</f>
        <v>#VALUE!</v>
      </c>
      <c r="K51" s="83" t="e">
        <f ca="1">IF(datasetCanada="Correlation",CORREL(OFFSET('Calc Canada'!$B$2,0,MATCH(Canada!$F51,'Calc Canada'!$1:$1,0)-2,300,1),OFFSET('Calc Canada'!$B$2,0,MATCH(Canada!K$43,'Calc Canada'!$1:$1,0)-2,300,1)),ABS(OFFSET('Calc Canada'!$B$2,0,MATCH(Canada!$F51,'Calc Canada'!$A$1:$U$1,0)-2)-OFFSET('Calc Canada'!$B$2,0,MATCH(K$43,'Calc Canada'!$A$1:$U$1,0)-2)))</f>
        <v>#VALUE!</v>
      </c>
      <c r="L51" s="83" t="e">
        <f ca="1">IF(datasetCanada="Correlation",CORREL(OFFSET('Calc Canada'!$B$2,0,MATCH(Canada!$F51,'Calc Canada'!$1:$1,0)-2,300,1),OFFSET('Calc Canada'!$B$2,0,MATCH(Canada!L$43,'Calc Canada'!$1:$1,0)-2,300,1)),ABS(OFFSET('Calc Canada'!$B$2,0,MATCH(Canada!$F51,'Calc Canada'!$A$1:$U$1,0)-2)-OFFSET('Calc Canada'!$B$2,0,MATCH(L$43,'Calc Canada'!$A$1:$U$1,0)-2)))</f>
        <v>#VALUE!</v>
      </c>
      <c r="M51" s="83" t="e">
        <f ca="1">IF(datasetCanada="Correlation",CORREL(OFFSET('Calc Canada'!$B$2,0,MATCH(Canada!$F51,'Calc Canada'!$1:$1,0)-2,300,1),OFFSET('Calc Canada'!$B$2,0,MATCH(Canada!M$43,'Calc Canada'!$1:$1,0)-2,300,1)),ABS(OFFSET('Calc Canada'!$B$2,0,MATCH(Canada!$F51,'Calc Canada'!$A$1:$U$1,0)-2)-OFFSET('Calc Canada'!$B$2,0,MATCH(M$43,'Calc Canada'!$A$1:$U$1,0)-2)))</f>
        <v>#VALUE!</v>
      </c>
      <c r="N51" s="83" t="e">
        <f ca="1">IF(datasetCanada="Correlation",CORREL(OFFSET('Calc Canada'!$B$2,0,MATCH(Canada!$F51,'Calc Canada'!$1:$1,0)-2,300,1),OFFSET('Calc Canada'!$B$2,0,MATCH(Canada!N$43,'Calc Canada'!$1:$1,0)-2,300,1)),ABS(OFFSET('Calc Canada'!$B$2,0,MATCH(Canada!$F51,'Calc Canada'!$A$1:$U$1,0)-2)-OFFSET('Calc Canada'!$B$2,0,MATCH(N$43,'Calc Canada'!$A$1:$U$1,0)-2)))</f>
        <v>#VALUE!</v>
      </c>
      <c r="O51" s="83" t="e">
        <f ca="1">IF(datasetCanada="Correlation",CORREL(OFFSET('Calc Canada'!$B$2,0,MATCH(Canada!$F51,'Calc Canada'!$1:$1,0)-2,300,1),OFFSET('Calc Canada'!$B$2,0,MATCH(Canada!O$43,'Calc Canada'!$1:$1,0)-2,300,1)),ABS(OFFSET('Calc Canada'!$B$2,0,MATCH(Canada!$F51,'Calc Canada'!$A$1:$U$1,0)-2)-OFFSET('Calc Canada'!$B$2,0,MATCH(O$43,'Calc Canada'!$A$1:$U$1,0)-2)))</f>
        <v>#VALUE!</v>
      </c>
      <c r="P51" s="83" t="e">
        <f ca="1">IF(datasetCanada="Correlation",CORREL(OFFSET('Calc Canada'!$B$2,0,MATCH(Canada!$F51,'Calc Canada'!$1:$1,0)-2,300,1),OFFSET('Calc Canada'!$B$2,0,MATCH(Canada!P$43,'Calc Canada'!$1:$1,0)-2,300,1)),ABS(OFFSET('Calc Canada'!$B$2,0,MATCH(Canada!$F51,'Calc Canada'!$A$1:$U$1,0)-2)-OFFSET('Calc Canada'!$B$2,0,MATCH(P$43,'Calc Canada'!$A$1:$U$1,0)-2)))</f>
        <v>#VALUE!</v>
      </c>
      <c r="Q51" s="84" t="e">
        <f ca="1">IF(datasetCanada="Correlation",CORREL(OFFSET('Calc Canada'!$B$2,0,MATCH(Canada!$F51,'Calc Canada'!$1:$1,0)-2,300,1),OFFSET('Calc Canada'!$B$2,0,MATCH(Canada!Q$43,'Calc Canada'!$1:$1,0)-2,300,1)),ABS(OFFSET('Calc Canada'!$B$2,0,MATCH(Canada!$F51,'Calc Canada'!$A$1:$U$1,0)-2)-OFFSET('Calc Canada'!$B$2,0,MATCH(Q$43,'Calc Canada'!$A$1:$U$1,0)-2)))</f>
        <v>#VALUE!</v>
      </c>
      <c r="R51" s="22"/>
      <c r="S51" s="7"/>
      <c r="T51" s="7"/>
      <c r="U51" s="7"/>
      <c r="V51" s="7"/>
      <c r="W51" s="7"/>
      <c r="X51" s="7"/>
      <c r="Y51" s="7"/>
      <c r="Z51" s="7"/>
      <c r="AC51" s="7"/>
      <c r="AD51" s="7"/>
      <c r="AE51" s="7"/>
      <c r="AF51" s="7"/>
      <c r="AG51" s="7"/>
      <c r="AH51" s="7"/>
      <c r="AI51" s="7"/>
      <c r="AJ51" s="7"/>
      <c r="AK51" s="7"/>
      <c r="AL51" s="7"/>
      <c r="AM51" s="7"/>
      <c r="AN51" s="7"/>
      <c r="AO51" s="7"/>
      <c r="AP51" s="7"/>
      <c r="AQ51" s="7"/>
      <c r="AR51" s="7"/>
      <c r="AS51" s="7"/>
      <c r="AT51" s="7"/>
      <c r="AU51" s="7"/>
      <c r="AV51" s="7"/>
      <c r="AW51" s="7"/>
      <c r="AX51" s="7"/>
    </row>
    <row r="52" spans="1:50" ht="15" customHeight="1" x14ac:dyDescent="0.25">
      <c r="A52" s="6" t="s">
        <v>120</v>
      </c>
      <c r="B52" s="6" t="str">
        <f>_xll.BDP($A52,"last price")</f>
        <v>#N/A Requesting Data...</v>
      </c>
      <c r="C52" s="8">
        <f>IF(OR(MID(A52,3,1)="H",MID(A52,3,1)="M",MID(A52,3,1)="U",MID(A52,3,1)="Z"),MAX($C$43:C51)+1,"")</f>
        <v>7</v>
      </c>
      <c r="D52" s="9" t="str">
        <f ca="1">OFFSET($A$43,MATCH(9,$C$44:$C$87,0),0)</f>
        <v>BAM7 Comdty</v>
      </c>
      <c r="E52" s="11"/>
      <c r="F52" s="75" t="str">
        <f ca="1">_xll.BDP($D52,"TICKER")</f>
        <v>BAM7</v>
      </c>
      <c r="G52" s="79" t="e">
        <f ca="1">IF(datasetCanada="Correlation",CORREL(OFFSET('Calc Canada'!$B$2,0,MATCH(Canada!$F52,'Calc Canada'!$1:$1,0)-2,300,1),OFFSET('Calc Canada'!$B$2,0,MATCH(Canada!G$43,'Calc Canada'!$1:$1,0)-2,300,1)),ABS(OFFSET('Calc Canada'!$B$2,0,MATCH(Canada!$F52,'Calc Canada'!$A$1:$U$1,0)-2)-OFFSET('Calc Canada'!$B$2,0,MATCH(G$43,'Calc Canada'!$A$1:$U$1,0)-2)))</f>
        <v>#VALUE!</v>
      </c>
      <c r="H52" s="79" t="e">
        <f ca="1">IF(datasetCanada="Correlation",CORREL(OFFSET('Calc Canada'!$B$2,0,MATCH(Canada!$F52,'Calc Canada'!$1:$1,0)-2,300,1),OFFSET('Calc Canada'!$B$2,0,MATCH(Canada!H$43,'Calc Canada'!$1:$1,0)-2,300,1)),ABS(OFFSET('Calc Canada'!$B$2,0,MATCH(Canada!$F52,'Calc Canada'!$A$1:$U$1,0)-2)-OFFSET('Calc Canada'!$B$2,0,MATCH(H$43,'Calc Canada'!$A$1:$U$1,0)-2)))</f>
        <v>#VALUE!</v>
      </c>
      <c r="I52" s="79" t="e">
        <f ca="1">IF(datasetCanada="Correlation",CORREL(OFFSET('Calc Canada'!$B$2,0,MATCH(Canada!$F52,'Calc Canada'!$1:$1,0)-2,300,1),OFFSET('Calc Canada'!$B$2,0,MATCH(Canada!I$43,'Calc Canada'!$1:$1,0)-2,300,1)),ABS(OFFSET('Calc Canada'!$B$2,0,MATCH(Canada!$F52,'Calc Canada'!$A$1:$U$1,0)-2)-OFFSET('Calc Canada'!$B$2,0,MATCH(I$43,'Calc Canada'!$A$1:$U$1,0)-2)))</f>
        <v>#VALUE!</v>
      </c>
      <c r="J52" s="79" t="e">
        <f ca="1">IF(datasetCanada="Correlation",CORREL(OFFSET('Calc Canada'!$B$2,0,MATCH(Canada!$F52,'Calc Canada'!$1:$1,0)-2,300,1),OFFSET('Calc Canada'!$B$2,0,MATCH(Canada!J$43,'Calc Canada'!$1:$1,0)-2,300,1)),ABS(OFFSET('Calc Canada'!$B$2,0,MATCH(Canada!$F52,'Calc Canada'!$A$1:$U$1,0)-2)-OFFSET('Calc Canada'!$B$2,0,MATCH(J$43,'Calc Canada'!$A$1:$U$1,0)-2)))</f>
        <v>#VALUE!</v>
      </c>
      <c r="K52" s="79" t="e">
        <f ca="1">IF(datasetCanada="Correlation",CORREL(OFFSET('Calc Canada'!$B$2,0,MATCH(Canada!$F52,'Calc Canada'!$1:$1,0)-2,300,1),OFFSET('Calc Canada'!$B$2,0,MATCH(Canada!K$43,'Calc Canada'!$1:$1,0)-2,300,1)),ABS(OFFSET('Calc Canada'!$B$2,0,MATCH(Canada!$F52,'Calc Canada'!$A$1:$U$1,0)-2)-OFFSET('Calc Canada'!$B$2,0,MATCH(K$43,'Calc Canada'!$A$1:$U$1,0)-2)))</f>
        <v>#VALUE!</v>
      </c>
      <c r="L52" s="79" t="e">
        <f ca="1">IF(datasetCanada="Correlation",CORREL(OFFSET('Calc Canada'!$B$2,0,MATCH(Canada!$F52,'Calc Canada'!$1:$1,0)-2,300,1),OFFSET('Calc Canada'!$B$2,0,MATCH(Canada!L$43,'Calc Canada'!$1:$1,0)-2,300,1)),ABS(OFFSET('Calc Canada'!$B$2,0,MATCH(Canada!$F52,'Calc Canada'!$A$1:$U$1,0)-2)-OFFSET('Calc Canada'!$B$2,0,MATCH(L$43,'Calc Canada'!$A$1:$U$1,0)-2)))</f>
        <v>#VALUE!</v>
      </c>
      <c r="M52" s="79" t="e">
        <f ca="1">IF(datasetCanada="Correlation",CORREL(OFFSET('Calc Canada'!$B$2,0,MATCH(Canada!$F52,'Calc Canada'!$1:$1,0)-2,300,1),OFFSET('Calc Canada'!$B$2,0,MATCH(Canada!M$43,'Calc Canada'!$1:$1,0)-2,300,1)),ABS(OFFSET('Calc Canada'!$B$2,0,MATCH(Canada!$F52,'Calc Canada'!$A$1:$U$1,0)-2)-OFFSET('Calc Canada'!$B$2,0,MATCH(M$43,'Calc Canada'!$A$1:$U$1,0)-2)))</f>
        <v>#VALUE!</v>
      </c>
      <c r="N52" s="79" t="e">
        <f ca="1">IF(datasetCanada="Correlation",CORREL(OFFSET('Calc Canada'!$B$2,0,MATCH(Canada!$F52,'Calc Canada'!$1:$1,0)-2,300,1),OFFSET('Calc Canada'!$B$2,0,MATCH(Canada!N$43,'Calc Canada'!$1:$1,0)-2,300,1)),ABS(OFFSET('Calc Canada'!$B$2,0,MATCH(Canada!$F52,'Calc Canada'!$A$1:$U$1,0)-2)-OFFSET('Calc Canada'!$B$2,0,MATCH(N$43,'Calc Canada'!$A$1:$U$1,0)-2)))</f>
        <v>#VALUE!</v>
      </c>
      <c r="O52" s="79" t="e">
        <f ca="1">IF(datasetCanada="Correlation",CORREL(OFFSET('Calc Canada'!$B$2,0,MATCH(Canada!$F52,'Calc Canada'!$1:$1,0)-2,300,1),OFFSET('Calc Canada'!$B$2,0,MATCH(Canada!O$43,'Calc Canada'!$1:$1,0)-2,300,1)),ABS(OFFSET('Calc Canada'!$B$2,0,MATCH(Canada!$F52,'Calc Canada'!$A$1:$U$1,0)-2)-OFFSET('Calc Canada'!$B$2,0,MATCH(O$43,'Calc Canada'!$A$1:$U$1,0)-2)))</f>
        <v>#VALUE!</v>
      </c>
      <c r="P52" s="79" t="e">
        <f ca="1">IF(datasetCanada="Correlation",CORREL(OFFSET('Calc Canada'!$B$2,0,MATCH(Canada!$F52,'Calc Canada'!$1:$1,0)-2,300,1),OFFSET('Calc Canada'!$B$2,0,MATCH(Canada!P$43,'Calc Canada'!$1:$1,0)-2,300,1)),ABS(OFFSET('Calc Canada'!$B$2,0,MATCH(Canada!$F52,'Calc Canada'!$A$1:$U$1,0)-2)-OFFSET('Calc Canada'!$B$2,0,MATCH(P$43,'Calc Canada'!$A$1:$U$1,0)-2)))</f>
        <v>#VALUE!</v>
      </c>
      <c r="Q52" s="80" t="e">
        <f ca="1">IF(datasetCanada="Correlation",CORREL(OFFSET('Calc Canada'!$B$2,0,MATCH(Canada!$F52,'Calc Canada'!$1:$1,0)-2,300,1),OFFSET('Calc Canada'!$B$2,0,MATCH(Canada!Q$43,'Calc Canada'!$1:$1,0)-2,300,1)),ABS(OFFSET('Calc Canada'!$B$2,0,MATCH(Canada!$F52,'Calc Canada'!$A$1:$U$1,0)-2)-OFFSET('Calc Canada'!$B$2,0,MATCH(Q$43,'Calc Canada'!$A$1:$U$1,0)-2)))</f>
        <v>#VALUE!</v>
      </c>
      <c r="R52" s="22"/>
      <c r="S52" s="7"/>
      <c r="T52" s="7"/>
      <c r="U52" s="7"/>
      <c r="V52" s="7"/>
      <c r="W52" s="7"/>
      <c r="X52" s="7"/>
      <c r="Y52" s="7"/>
      <c r="Z52" s="7"/>
      <c r="AC52" s="7"/>
      <c r="AD52" s="7"/>
      <c r="AE52" s="7"/>
      <c r="AF52" s="7"/>
      <c r="AG52" s="7"/>
      <c r="AH52" s="7"/>
      <c r="AI52" s="7"/>
      <c r="AJ52" s="7"/>
      <c r="AK52" s="7"/>
      <c r="AL52" s="7"/>
      <c r="AM52" s="7"/>
      <c r="AN52" s="7"/>
      <c r="AO52" s="7"/>
      <c r="AP52" s="7"/>
      <c r="AQ52" s="7"/>
      <c r="AR52" s="7"/>
      <c r="AS52" s="7"/>
      <c r="AT52" s="7"/>
      <c r="AU52" s="7"/>
      <c r="AV52" s="7"/>
      <c r="AW52" s="7"/>
      <c r="AX52" s="7"/>
    </row>
    <row r="53" spans="1:50" ht="15" customHeight="1" x14ac:dyDescent="0.25">
      <c r="A53" s="6" t="s">
        <v>121</v>
      </c>
      <c r="B53" s="6" t="str">
        <f>_xll.BDP($A53,"last price")</f>
        <v>#N/A Requesting Data...</v>
      </c>
      <c r="C53" s="8">
        <f>IF(OR(MID(A53,3,1)="H",MID(A53,3,1)="M",MID(A53,3,1)="U",MID(A53,3,1)="Z"),MAX($C$43:C52)+1,"")</f>
        <v>8</v>
      </c>
      <c r="D53" s="9" t="str">
        <f ca="1">OFFSET($A$43,MATCH(10,$C$44:$C$87,0),0)</f>
        <v>BAU7 Comdty</v>
      </c>
      <c r="E53" s="11"/>
      <c r="F53" s="75" t="str">
        <f ca="1">_xll.BDP($D53,"TICKER")</f>
        <v>BAU7</v>
      </c>
      <c r="G53" s="83" t="e">
        <f ca="1">IF(datasetCanada="Correlation",CORREL(OFFSET('Calc Canada'!$B$2,0,MATCH(Canada!$F53,'Calc Canada'!$1:$1,0)-2,300,1),OFFSET('Calc Canada'!$B$2,0,MATCH(Canada!G$43,'Calc Canada'!$1:$1,0)-2,300,1)),ABS(OFFSET('Calc Canada'!$B$2,0,MATCH(Canada!$F53,'Calc Canada'!$A$1:$U$1,0)-2)-OFFSET('Calc Canada'!$B$2,0,MATCH(G$43,'Calc Canada'!$A$1:$U$1,0)-2)))</f>
        <v>#VALUE!</v>
      </c>
      <c r="H53" s="83" t="e">
        <f ca="1">IF(datasetCanada="Correlation",CORREL(OFFSET('Calc Canada'!$B$2,0,MATCH(Canada!$F53,'Calc Canada'!$1:$1,0)-2,300,1),OFFSET('Calc Canada'!$B$2,0,MATCH(Canada!H$43,'Calc Canada'!$1:$1,0)-2,300,1)),ABS(OFFSET('Calc Canada'!$B$2,0,MATCH(Canada!$F53,'Calc Canada'!$A$1:$U$1,0)-2)-OFFSET('Calc Canada'!$B$2,0,MATCH(H$43,'Calc Canada'!$A$1:$U$1,0)-2)))</f>
        <v>#VALUE!</v>
      </c>
      <c r="I53" s="83" t="e">
        <f ca="1">IF(datasetCanada="Correlation",CORREL(OFFSET('Calc Canada'!$B$2,0,MATCH(Canada!$F53,'Calc Canada'!$1:$1,0)-2,300,1),OFFSET('Calc Canada'!$B$2,0,MATCH(Canada!I$43,'Calc Canada'!$1:$1,0)-2,300,1)),ABS(OFFSET('Calc Canada'!$B$2,0,MATCH(Canada!$F53,'Calc Canada'!$A$1:$U$1,0)-2)-OFFSET('Calc Canada'!$B$2,0,MATCH(I$43,'Calc Canada'!$A$1:$U$1,0)-2)))</f>
        <v>#VALUE!</v>
      </c>
      <c r="J53" s="83" t="e">
        <f ca="1">IF(datasetCanada="Correlation",CORREL(OFFSET('Calc Canada'!$B$2,0,MATCH(Canada!$F53,'Calc Canada'!$1:$1,0)-2,300,1),OFFSET('Calc Canada'!$B$2,0,MATCH(Canada!J$43,'Calc Canada'!$1:$1,0)-2,300,1)),ABS(OFFSET('Calc Canada'!$B$2,0,MATCH(Canada!$F53,'Calc Canada'!$A$1:$U$1,0)-2)-OFFSET('Calc Canada'!$B$2,0,MATCH(J$43,'Calc Canada'!$A$1:$U$1,0)-2)))</f>
        <v>#VALUE!</v>
      </c>
      <c r="K53" s="83" t="e">
        <f ca="1">IF(datasetCanada="Correlation",CORREL(OFFSET('Calc Canada'!$B$2,0,MATCH(Canada!$F53,'Calc Canada'!$1:$1,0)-2,300,1),OFFSET('Calc Canada'!$B$2,0,MATCH(Canada!K$43,'Calc Canada'!$1:$1,0)-2,300,1)),ABS(OFFSET('Calc Canada'!$B$2,0,MATCH(Canada!$F53,'Calc Canada'!$A$1:$U$1,0)-2)-OFFSET('Calc Canada'!$B$2,0,MATCH(K$43,'Calc Canada'!$A$1:$U$1,0)-2)))</f>
        <v>#VALUE!</v>
      </c>
      <c r="L53" s="83" t="e">
        <f ca="1">IF(datasetCanada="Correlation",CORREL(OFFSET('Calc Canada'!$B$2,0,MATCH(Canada!$F53,'Calc Canada'!$1:$1,0)-2,300,1),OFFSET('Calc Canada'!$B$2,0,MATCH(Canada!L$43,'Calc Canada'!$1:$1,0)-2,300,1)),ABS(OFFSET('Calc Canada'!$B$2,0,MATCH(Canada!$F53,'Calc Canada'!$A$1:$U$1,0)-2)-OFFSET('Calc Canada'!$B$2,0,MATCH(L$43,'Calc Canada'!$A$1:$U$1,0)-2)))</f>
        <v>#VALUE!</v>
      </c>
      <c r="M53" s="83" t="e">
        <f ca="1">IF(datasetCanada="Correlation",CORREL(OFFSET('Calc Canada'!$B$2,0,MATCH(Canada!$F53,'Calc Canada'!$1:$1,0)-2,300,1),OFFSET('Calc Canada'!$B$2,0,MATCH(Canada!M$43,'Calc Canada'!$1:$1,0)-2,300,1)),ABS(OFFSET('Calc Canada'!$B$2,0,MATCH(Canada!$F53,'Calc Canada'!$A$1:$U$1,0)-2)-OFFSET('Calc Canada'!$B$2,0,MATCH(M$43,'Calc Canada'!$A$1:$U$1,0)-2)))</f>
        <v>#VALUE!</v>
      </c>
      <c r="N53" s="83" t="e">
        <f ca="1">IF(datasetCanada="Correlation",CORREL(OFFSET('Calc Canada'!$B$2,0,MATCH(Canada!$F53,'Calc Canada'!$1:$1,0)-2,300,1),OFFSET('Calc Canada'!$B$2,0,MATCH(Canada!N$43,'Calc Canada'!$1:$1,0)-2,300,1)),ABS(OFFSET('Calc Canada'!$B$2,0,MATCH(Canada!$F53,'Calc Canada'!$A$1:$U$1,0)-2)-OFFSET('Calc Canada'!$B$2,0,MATCH(N$43,'Calc Canada'!$A$1:$U$1,0)-2)))</f>
        <v>#VALUE!</v>
      </c>
      <c r="O53" s="83" t="e">
        <f ca="1">IF(datasetCanada="Correlation",CORREL(OFFSET('Calc Canada'!$B$2,0,MATCH(Canada!$F53,'Calc Canada'!$1:$1,0)-2,300,1),OFFSET('Calc Canada'!$B$2,0,MATCH(Canada!O$43,'Calc Canada'!$1:$1,0)-2,300,1)),ABS(OFFSET('Calc Canada'!$B$2,0,MATCH(Canada!$F53,'Calc Canada'!$A$1:$U$1,0)-2)-OFFSET('Calc Canada'!$B$2,0,MATCH(O$43,'Calc Canada'!$A$1:$U$1,0)-2)))</f>
        <v>#VALUE!</v>
      </c>
      <c r="P53" s="83" t="e">
        <f ca="1">IF(datasetCanada="Correlation",CORREL(OFFSET('Calc Canada'!$B$2,0,MATCH(Canada!$F53,'Calc Canada'!$1:$1,0)-2,300,1),OFFSET('Calc Canada'!$B$2,0,MATCH(Canada!P$43,'Calc Canada'!$1:$1,0)-2,300,1)),ABS(OFFSET('Calc Canada'!$B$2,0,MATCH(Canada!$F53,'Calc Canada'!$A$1:$U$1,0)-2)-OFFSET('Calc Canada'!$B$2,0,MATCH(P$43,'Calc Canada'!$A$1:$U$1,0)-2)))</f>
        <v>#VALUE!</v>
      </c>
      <c r="Q53" s="84" t="e">
        <f ca="1">IF(datasetCanada="Correlation",CORREL(OFFSET('Calc Canada'!$B$2,0,MATCH(Canada!$F53,'Calc Canada'!$1:$1,0)-2,300,1),OFFSET('Calc Canada'!$B$2,0,MATCH(Canada!Q$43,'Calc Canada'!$1:$1,0)-2,300,1)),ABS(OFFSET('Calc Canada'!$B$2,0,MATCH(Canada!$F53,'Calc Canada'!$A$1:$U$1,0)-2)-OFFSET('Calc Canada'!$B$2,0,MATCH(Q$43,'Calc Canada'!$A$1:$U$1,0)-2)))</f>
        <v>#VALUE!</v>
      </c>
      <c r="R53" s="22"/>
      <c r="S53" s="7"/>
      <c r="T53" s="7"/>
      <c r="U53" s="7"/>
      <c r="V53" s="7"/>
      <c r="W53" s="7"/>
      <c r="X53" s="7"/>
      <c r="Y53" s="7"/>
      <c r="Z53" s="7"/>
      <c r="AC53" s="7"/>
      <c r="AD53" s="7"/>
      <c r="AE53" s="7"/>
      <c r="AF53" s="7"/>
      <c r="AG53" s="7"/>
      <c r="AH53" s="7"/>
      <c r="AI53" s="7"/>
      <c r="AJ53" s="7"/>
      <c r="AK53" s="7"/>
      <c r="AL53" s="7"/>
      <c r="AM53" s="7"/>
      <c r="AN53" s="7"/>
      <c r="AO53" s="7"/>
      <c r="AP53" s="7"/>
      <c r="AQ53" s="7"/>
      <c r="AR53" s="7"/>
      <c r="AS53" s="7"/>
      <c r="AT53" s="7"/>
      <c r="AU53" s="7"/>
      <c r="AV53" s="7"/>
      <c r="AW53" s="7"/>
      <c r="AX53" s="7"/>
    </row>
    <row r="54" spans="1:50" ht="15" customHeight="1" x14ac:dyDescent="0.25">
      <c r="A54" s="6" t="s">
        <v>122</v>
      </c>
      <c r="B54" s="6" t="str">
        <f>_xll.BDP($A54,"last price")</f>
        <v>#N/A Requesting Data...</v>
      </c>
      <c r="C54" s="8">
        <f>IF(OR(MID(A54,3,1)="H",MID(A54,3,1)="M",MID(A54,3,1)="U",MID(A54,3,1)="Z"),MAX($C$43:C53)+1,"")</f>
        <v>9</v>
      </c>
      <c r="D54" s="9" t="str">
        <f ca="1">OFFSET($A$43,MATCH(11,$C$44:$C$87,0),0)</f>
        <v>BAZ7 Comdty</v>
      </c>
      <c r="E54" s="11"/>
      <c r="F54" s="76" t="str">
        <f ca="1">_xll.BDP($D54,"TICKER")</f>
        <v>BAZ7</v>
      </c>
      <c r="G54" s="81" t="e">
        <f ca="1">IF(datasetCanada="Correlation",CORREL(OFFSET('Calc Canada'!$B$2,0,MATCH(Canada!$F54,'Calc Canada'!$1:$1,0)-2,300,1),OFFSET('Calc Canada'!$B$2,0,MATCH(Canada!G$43,'Calc Canada'!$1:$1,0)-2,300,1)),ABS(OFFSET('Calc Canada'!$B$2,0,MATCH(Canada!$F54,'Calc Canada'!$A$1:$U$1,0)-2)-OFFSET('Calc Canada'!$B$2,0,MATCH(G$43,'Calc Canada'!$A$1:$U$1,0)-2)))</f>
        <v>#VALUE!</v>
      </c>
      <c r="H54" s="81" t="e">
        <f ca="1">IF(datasetCanada="Correlation",CORREL(OFFSET('Calc Canada'!$B$2,0,MATCH(Canada!$F54,'Calc Canada'!$1:$1,0)-2,300,1),OFFSET('Calc Canada'!$B$2,0,MATCH(Canada!H$43,'Calc Canada'!$1:$1,0)-2,300,1)),ABS(OFFSET('Calc Canada'!$B$2,0,MATCH(Canada!$F54,'Calc Canada'!$A$1:$U$1,0)-2)-OFFSET('Calc Canada'!$B$2,0,MATCH(H$43,'Calc Canada'!$A$1:$U$1,0)-2)))</f>
        <v>#VALUE!</v>
      </c>
      <c r="I54" s="81" t="e">
        <f ca="1">IF(datasetCanada="Correlation",CORREL(OFFSET('Calc Canada'!$B$2,0,MATCH(Canada!$F54,'Calc Canada'!$1:$1,0)-2,300,1),OFFSET('Calc Canada'!$B$2,0,MATCH(Canada!I$43,'Calc Canada'!$1:$1,0)-2,300,1)),ABS(OFFSET('Calc Canada'!$B$2,0,MATCH(Canada!$F54,'Calc Canada'!$A$1:$U$1,0)-2)-OFFSET('Calc Canada'!$B$2,0,MATCH(I$43,'Calc Canada'!$A$1:$U$1,0)-2)))</f>
        <v>#VALUE!</v>
      </c>
      <c r="J54" s="81" t="e">
        <f ca="1">IF(datasetCanada="Correlation",CORREL(OFFSET('Calc Canada'!$B$2,0,MATCH(Canada!$F54,'Calc Canada'!$1:$1,0)-2,300,1),OFFSET('Calc Canada'!$B$2,0,MATCH(Canada!J$43,'Calc Canada'!$1:$1,0)-2,300,1)),ABS(OFFSET('Calc Canada'!$B$2,0,MATCH(Canada!$F54,'Calc Canada'!$A$1:$U$1,0)-2)-OFFSET('Calc Canada'!$B$2,0,MATCH(J$43,'Calc Canada'!$A$1:$U$1,0)-2)))</f>
        <v>#VALUE!</v>
      </c>
      <c r="K54" s="81" t="e">
        <f ca="1">IF(datasetCanada="Correlation",CORREL(OFFSET('Calc Canada'!$B$2,0,MATCH(Canada!$F54,'Calc Canada'!$1:$1,0)-2,300,1),OFFSET('Calc Canada'!$B$2,0,MATCH(Canada!K$43,'Calc Canada'!$1:$1,0)-2,300,1)),ABS(OFFSET('Calc Canada'!$B$2,0,MATCH(Canada!$F54,'Calc Canada'!$A$1:$U$1,0)-2)-OFFSET('Calc Canada'!$B$2,0,MATCH(K$43,'Calc Canada'!$A$1:$U$1,0)-2)))</f>
        <v>#VALUE!</v>
      </c>
      <c r="L54" s="81" t="e">
        <f ca="1">IF(datasetCanada="Correlation",CORREL(OFFSET('Calc Canada'!$B$2,0,MATCH(Canada!$F54,'Calc Canada'!$1:$1,0)-2,300,1),OFFSET('Calc Canada'!$B$2,0,MATCH(Canada!L$43,'Calc Canada'!$1:$1,0)-2,300,1)),ABS(OFFSET('Calc Canada'!$B$2,0,MATCH(Canada!$F54,'Calc Canada'!$A$1:$U$1,0)-2)-OFFSET('Calc Canada'!$B$2,0,MATCH(L$43,'Calc Canada'!$A$1:$U$1,0)-2)))</f>
        <v>#VALUE!</v>
      </c>
      <c r="M54" s="81" t="e">
        <f ca="1">IF(datasetCanada="Correlation",CORREL(OFFSET('Calc Canada'!$B$2,0,MATCH(Canada!$F54,'Calc Canada'!$1:$1,0)-2,300,1),OFFSET('Calc Canada'!$B$2,0,MATCH(Canada!M$43,'Calc Canada'!$1:$1,0)-2,300,1)),ABS(OFFSET('Calc Canada'!$B$2,0,MATCH(Canada!$F54,'Calc Canada'!$A$1:$U$1,0)-2)-OFFSET('Calc Canada'!$B$2,0,MATCH(M$43,'Calc Canada'!$A$1:$U$1,0)-2)))</f>
        <v>#VALUE!</v>
      </c>
      <c r="N54" s="81" t="e">
        <f ca="1">IF(datasetCanada="Correlation",CORREL(OFFSET('Calc Canada'!$B$2,0,MATCH(Canada!$F54,'Calc Canada'!$1:$1,0)-2,300,1),OFFSET('Calc Canada'!$B$2,0,MATCH(Canada!N$43,'Calc Canada'!$1:$1,0)-2,300,1)),ABS(OFFSET('Calc Canada'!$B$2,0,MATCH(Canada!$F54,'Calc Canada'!$A$1:$U$1,0)-2)-OFFSET('Calc Canada'!$B$2,0,MATCH(N$43,'Calc Canada'!$A$1:$U$1,0)-2)))</f>
        <v>#VALUE!</v>
      </c>
      <c r="O54" s="81" t="e">
        <f ca="1">IF(datasetCanada="Correlation",CORREL(OFFSET('Calc Canada'!$B$2,0,MATCH(Canada!$F54,'Calc Canada'!$1:$1,0)-2,300,1),OFFSET('Calc Canada'!$B$2,0,MATCH(Canada!O$43,'Calc Canada'!$1:$1,0)-2,300,1)),ABS(OFFSET('Calc Canada'!$B$2,0,MATCH(Canada!$F54,'Calc Canada'!$A$1:$U$1,0)-2)-OFFSET('Calc Canada'!$B$2,0,MATCH(O$43,'Calc Canada'!$A$1:$U$1,0)-2)))</f>
        <v>#VALUE!</v>
      </c>
      <c r="P54" s="81" t="e">
        <f ca="1">IF(datasetCanada="Correlation",CORREL(OFFSET('Calc Canada'!$B$2,0,MATCH(Canada!$F54,'Calc Canada'!$1:$1,0)-2,300,1),OFFSET('Calc Canada'!$B$2,0,MATCH(Canada!P$43,'Calc Canada'!$1:$1,0)-2,300,1)),ABS(OFFSET('Calc Canada'!$B$2,0,MATCH(Canada!$F54,'Calc Canada'!$A$1:$U$1,0)-2)-OFFSET('Calc Canada'!$B$2,0,MATCH(P$43,'Calc Canada'!$A$1:$U$1,0)-2)))</f>
        <v>#VALUE!</v>
      </c>
      <c r="Q54" s="82" t="e">
        <f ca="1">IF(datasetCanada="Correlation",CORREL(OFFSET('Calc Canada'!$B$2,0,MATCH(Canada!$F54,'Calc Canada'!$1:$1,0)-2,300,1),OFFSET('Calc Canada'!$B$2,0,MATCH(Canada!Q$43,'Calc Canada'!$1:$1,0)-2,300,1)),ABS(OFFSET('Calc Canada'!$B$2,0,MATCH(Canada!$F54,'Calc Canada'!$A$1:$U$1,0)-2)-OFFSET('Calc Canada'!$B$2,0,MATCH(Q$43,'Calc Canada'!$A$1:$U$1,0)-2)))</f>
        <v>#VALUE!</v>
      </c>
      <c r="R54" s="22"/>
      <c r="S54" s="7"/>
      <c r="T54" s="7"/>
      <c r="U54" s="7"/>
      <c r="V54" s="7"/>
      <c r="W54" s="7"/>
      <c r="X54" s="7"/>
      <c r="Y54" s="7"/>
      <c r="Z54" s="7"/>
      <c r="AC54" s="7"/>
      <c r="AD54" s="7"/>
      <c r="AE54" s="7"/>
      <c r="AF54" s="7"/>
      <c r="AG54" s="7"/>
      <c r="AH54" s="7"/>
      <c r="AI54" s="7"/>
      <c r="AJ54" s="7"/>
      <c r="AK54" s="7"/>
      <c r="AL54" s="7"/>
      <c r="AM54" s="7"/>
      <c r="AN54" s="7"/>
      <c r="AO54" s="7"/>
      <c r="AP54" s="7"/>
      <c r="AQ54" s="7"/>
      <c r="AR54" s="7"/>
      <c r="AS54" s="7"/>
      <c r="AT54" s="7"/>
      <c r="AU54" s="7"/>
      <c r="AV54" s="7"/>
      <c r="AW54" s="7"/>
      <c r="AX54" s="7"/>
    </row>
    <row r="55" spans="1:50" ht="15" hidden="1" customHeight="1" x14ac:dyDescent="0.25">
      <c r="A55" s="6" t="s">
        <v>123</v>
      </c>
      <c r="B55" s="6" t="str">
        <f>_xll.BDP($A55,"last price")</f>
        <v>#N/A Requesting Data...</v>
      </c>
      <c r="C55" s="8">
        <f>IF(OR(MID(A55,3,1)="H",MID(A55,3,1)="M",MID(A55,3,1)="U",MID(A55,3,1)="Z"),MAX($C$43:C54)+1,"")</f>
        <v>10</v>
      </c>
      <c r="D55" s="9" t="e">
        <f t="shared" ref="D55:D63" ca="1" si="4">OFFSET($A$43,MATCH(ROW()-42,$C$44:$C$87,0),0)</f>
        <v>#N/A</v>
      </c>
      <c r="E55" s="11"/>
      <c r="F55" s="12" t="e">
        <f ca="1">_xll.BDP($D55,"TICKER")</f>
        <v>#N/A</v>
      </c>
      <c r="G55" s="19" t="e">
        <f ca="1">IF(datasetCanada="Correlation",CORREL(OFFSET('Calc Canada'!$B$2,0,MATCH(Canada!$F55,'Calc Canada'!$1:$1,0)-2,300,1),OFFSET('Calc Canada'!$B$2,0,MATCH(Canada!G$43,'Calc Canada'!$1:$1,0)-2,300,1)),ABS(OFFSET('Calc Canada'!$B$2,0,MATCH(Canada!$F55,'Calc Canada'!$A$1:$U$1,0)-2)-OFFSET('Calc Canada'!$B$2,0,MATCH(G$43,'Calc Canada'!$A$1:$U$1,0)-2)))</f>
        <v>#N/A</v>
      </c>
      <c r="H55" s="19" t="e">
        <f ca="1">IF(datasetCanada="Correlation",CORREL(OFFSET('Calc Canada'!$B$2,0,MATCH(Canada!$F55,'Calc Canada'!$1:$1,0)-2,300,1),OFFSET('Calc Canada'!$B$2,0,MATCH(Canada!H$43,'Calc Canada'!$1:$1,0)-2,300,1)),ABS(OFFSET('Calc Canada'!$B$2,0,MATCH(Canada!$F55,'Calc Canada'!$A$1:$U$1,0)-2)-OFFSET('Calc Canada'!$B$2,0,MATCH(H$43,'Calc Canada'!$A$1:$U$1,0)-2)))</f>
        <v>#N/A</v>
      </c>
      <c r="I55" s="19" t="e">
        <f ca="1">IF(datasetCanada="Correlation",CORREL(OFFSET('Calc Canada'!$B$2,0,MATCH(Canada!$F55,'Calc Canada'!$1:$1,0)-2,300,1),OFFSET('Calc Canada'!$B$2,0,MATCH(Canada!I$43,'Calc Canada'!$1:$1,0)-2,300,1)),ABS(OFFSET('Calc Canada'!$B$2,0,MATCH(Canada!$F55,'Calc Canada'!$A$1:$U$1,0)-2)-OFFSET('Calc Canada'!$B$2,0,MATCH(I$43,'Calc Canada'!$A$1:$U$1,0)-2)))</f>
        <v>#N/A</v>
      </c>
      <c r="J55" s="19" t="e">
        <f ca="1">IF(datasetCanada="Correlation",CORREL(OFFSET('Calc Canada'!$B$2,0,MATCH(Canada!$F55,'Calc Canada'!$1:$1,0)-2,300,1),OFFSET('Calc Canada'!$B$2,0,MATCH(Canada!J$43,'Calc Canada'!$1:$1,0)-2,300,1)),ABS(OFFSET('Calc Canada'!$B$2,0,MATCH(Canada!$F55,'Calc Canada'!$A$1:$U$1,0)-2)-OFFSET('Calc Canada'!$B$2,0,MATCH(J$43,'Calc Canada'!$A$1:$U$1,0)-2)))</f>
        <v>#N/A</v>
      </c>
      <c r="K55" s="19" t="e">
        <f ca="1">IF(datasetCanada="Correlation",CORREL(OFFSET('Calc Canada'!$B$2,0,MATCH(Canada!$F55,'Calc Canada'!$1:$1,0)-2,300,1),OFFSET('Calc Canada'!$B$2,0,MATCH(Canada!K$43,'Calc Canada'!$1:$1,0)-2,300,1)),ABS(OFFSET('Calc Canada'!$B$2,0,MATCH(Canada!$F55,'Calc Canada'!$A$1:$U$1,0)-2)-OFFSET('Calc Canada'!$B$2,0,MATCH(K$43,'Calc Canada'!$A$1:$U$1,0)-2)))</f>
        <v>#N/A</v>
      </c>
      <c r="L55" s="19" t="e">
        <f ca="1">IF(datasetCanada="Correlation",CORREL(OFFSET('Calc Canada'!$B$2,0,MATCH(Canada!$F55,'Calc Canada'!$1:$1,0)-2,300,1),OFFSET('Calc Canada'!$B$2,0,MATCH(Canada!L$43,'Calc Canada'!$1:$1,0)-2,300,1)),ABS(OFFSET('Calc Canada'!$B$2,0,MATCH(Canada!$F55,'Calc Canada'!$A$1:$U$1,0)-2)-OFFSET('Calc Canada'!$B$2,0,MATCH(L$43,'Calc Canada'!$A$1:$U$1,0)-2)))</f>
        <v>#N/A</v>
      </c>
      <c r="M55" s="19" t="e">
        <f ca="1">IF(datasetCanada="Correlation",CORREL(OFFSET('Calc Canada'!$B$2,0,MATCH(Canada!$F55,'Calc Canada'!$1:$1,0)-2,300,1),OFFSET('Calc Canada'!$B$2,0,MATCH(Canada!M$43,'Calc Canada'!$1:$1,0)-2,300,1)),ABS(OFFSET('Calc Canada'!$B$2,0,MATCH(Canada!$F55,'Calc Canada'!$A$1:$U$1,0)-2)-OFFSET('Calc Canada'!$B$2,0,MATCH(M$43,'Calc Canada'!$A$1:$U$1,0)-2)))</f>
        <v>#N/A</v>
      </c>
      <c r="N55" s="19" t="e">
        <f ca="1">IF(datasetCanada="Correlation",CORREL(OFFSET('Calc Canada'!$B$2,0,MATCH(Canada!$F55,'Calc Canada'!$1:$1,0)-2,300,1),OFFSET('Calc Canada'!$B$2,0,MATCH(Canada!N$43,'Calc Canada'!$1:$1,0)-2,300,1)),ABS(OFFSET('Calc Canada'!$B$2,0,MATCH(Canada!$F55,'Calc Canada'!$A$1:$U$1,0)-2)-OFFSET('Calc Canada'!$B$2,0,MATCH(N$43,'Calc Canada'!$A$1:$U$1,0)-2)))</f>
        <v>#N/A</v>
      </c>
      <c r="O55" s="19" t="e">
        <f ca="1">IF(datasetCanada="Correlation",CORREL(OFFSET('Calc Canada'!$B$2,0,MATCH(Canada!$F55,'Calc Canada'!$1:$1,0)-2,300,1),OFFSET('Calc Canada'!$B$2,0,MATCH(Canada!O$43,'Calc Canada'!$1:$1,0)-2,300,1)),ABS(OFFSET('Calc Canada'!$B$2,0,MATCH(Canada!$F55,'Calc Canada'!$A$1:$U$1,0)-2)-OFFSET('Calc Canada'!$B$2,0,MATCH(O$43,'Calc Canada'!$A$1:$U$1,0)-2)))</f>
        <v>#N/A</v>
      </c>
      <c r="P55" s="19" t="e">
        <f ca="1">IF(datasetCanada="Correlation",CORREL(OFFSET('Calc Canada'!$B$2,0,MATCH(Canada!$F55,'Calc Canada'!$1:$1,0)-2,300,1),OFFSET('Calc Canada'!$B$2,0,MATCH(Canada!P$43,'Calc Canada'!$1:$1,0)-2,300,1)),ABS(OFFSET('Calc Canada'!$B$2,0,MATCH(Canada!$F55,'Calc Canada'!$A$1:$U$1,0)-2)-OFFSET('Calc Canada'!$B$2,0,MATCH(P$43,'Calc Canada'!$A$1:$U$1,0)-2)))</f>
        <v>#N/A</v>
      </c>
      <c r="Q55" s="19" t="e">
        <f ca="1">IF(datasetCanada="Correlation",CORREL(OFFSET('Calc Canada'!$B$2,0,MATCH(Canada!$F55,'Calc Canada'!$1:$1,0)-2,300,1),OFFSET('Calc Canada'!$B$2,0,MATCH(Canada!Q$43,'Calc Canada'!$1:$1,0)-2,300,1)),ABS(OFFSET('Calc Canada'!$B$2,0,MATCH(Canada!$F55,'Calc Canada'!$A$1:$U$1,0)-2)-OFFSET('Calc Canada'!$B$2,0,MATCH(Q$43,'Calc Canada'!$A$1:$U$1,0)-2)))</f>
        <v>#N/A</v>
      </c>
      <c r="R55" s="7" t="e">
        <f ca="1">IF(datasetCanada="Correlation",CORREL(OFFSET('Calc Canada'!$B$2,0,MATCH(Canada!$F55,'Calc Canada'!$1:$1,0)-2,300,1),OFFSET('Calc Canada'!$B$2,0,MATCH(Canada!R$43,'Calc Canada'!$1:$1,0)-2,300,1)),ABS(OFFSET('Calc Canada'!$B$2,0,MATCH(Canada!$F55,'Calc Canada'!$A$1:$U$1,0)-2)-OFFSET('Calc Canada'!$B$2,0,MATCH(R$43,'Calc Canada'!$A$1:$U$1,0)-2)))</f>
        <v>#N/A</v>
      </c>
      <c r="S55" s="7" t="e">
        <f ca="1">IF(datasetCanada="Correlation",CORREL(OFFSET('Calc Canada'!$B$2,0,MATCH(Canada!$F55,'Calc Canada'!$1:$1,0)-2,300,1),OFFSET('Calc Canada'!$B$2,0,MATCH(Canada!S$43,'Calc Canada'!$1:$1,0)-2,300,1)),ABS(OFFSET('Calc Canada'!$B$2,0,MATCH(Canada!$F55,'Calc Canada'!$A$1:$U$1,0)-2)-OFFSET('Calc Canada'!$B$2,0,MATCH(S$43,'Calc Canada'!$A$1:$U$1,0)-2)))</f>
        <v>#N/A</v>
      </c>
      <c r="T55" s="7" t="e">
        <f ca="1">IF(datasetCanada="Correlation",CORREL(OFFSET('Calc Canada'!$B$2,0,MATCH(Canada!$F55,'Calc Canada'!$1:$1,0)-2,300,1),OFFSET('Calc Canada'!$B$2,0,MATCH(Canada!T$43,'Calc Canada'!$1:$1,0)-2,300,1)),ABS(OFFSET('Calc Canada'!$B$2,0,MATCH(Canada!$F55,'Calc Canada'!$A$1:$U$1,0)-2)-OFFSET('Calc Canada'!$B$2,0,MATCH(T$43,'Calc Canada'!$A$1:$U$1,0)-2)))</f>
        <v>#N/A</v>
      </c>
      <c r="U55" s="7" t="e">
        <f ca="1">IF(datasetCanada="Correlation",CORREL(OFFSET('Calc Canada'!$B$2,0,MATCH(Canada!$F55,'Calc Canada'!$1:$1,0)-2,300,1),OFFSET('Calc Canada'!$B$2,0,MATCH(Canada!U$43,'Calc Canada'!$1:$1,0)-2,300,1)),ABS(OFFSET('Calc Canada'!$B$2,0,MATCH(Canada!$F55,'Calc Canada'!$A$1:$U$1,0)-2)-OFFSET('Calc Canada'!$B$2,0,MATCH(U$43,'Calc Canada'!$A$1:$U$1,0)-2)))</f>
        <v>#N/A</v>
      </c>
      <c r="V55" s="7" t="e">
        <f ca="1">IF(datasetCanada="Correlation",CORREL(OFFSET('Calc Canada'!$B$2,0,MATCH(Canada!$F55,'Calc Canada'!$1:$1,0)-2,300,1),OFFSET('Calc Canada'!$B$2,0,MATCH(Canada!V$43,'Calc Canada'!$1:$1,0)-2,300,1)),ABS(OFFSET('Calc Canada'!$B$2,0,MATCH(Canada!$F55,'Calc Canada'!$A$1:$U$1,0)-2)-OFFSET('Calc Canada'!$B$2,0,MATCH(V$43,'Calc Canada'!$A$1:$U$1,0)-2)))</f>
        <v>#N/A</v>
      </c>
      <c r="W55" s="7" t="e">
        <f ca="1">IF(datasetCanada="Correlation",CORREL(OFFSET('Calc Canada'!$B$2,0,MATCH(Canada!$F55,'Calc Canada'!$1:$1,0)-2,300,1),OFFSET('Calc Canada'!$B$2,0,MATCH(Canada!W$43,'Calc Canada'!$1:$1,0)-2,300,1)),ABS(OFFSET('Calc Canada'!$B$2,0,MATCH(Canada!$F55,'Calc Canada'!$A$1:$U$1,0)-2)-OFFSET('Calc Canada'!$B$2,0,MATCH(W$43,'Calc Canada'!$A$1:$U$1,0)-2)))</f>
        <v>#N/A</v>
      </c>
      <c r="X55" s="7" t="e">
        <f ca="1">IF(datasetCanada="Correlation",CORREL(OFFSET('Calc Canada'!$B$2,0,MATCH(Canada!$F55,'Calc Canada'!$1:$1,0)-2,300,1),OFFSET('Calc Canada'!$B$2,0,MATCH(Canada!X$43,'Calc Canada'!$1:$1,0)-2,300,1)),ABS(OFFSET('Calc Canada'!$B$2,0,MATCH(Canada!$F55,'Calc Canada'!$A$1:$U$1,0)-2)-OFFSET('Calc Canada'!$B$2,0,MATCH(X$43,'Calc Canada'!$A$1:$U$1,0)-2)))</f>
        <v>#N/A</v>
      </c>
      <c r="Y55" s="7" t="e">
        <f ca="1">IF(datasetCanada="Correlation",CORREL(OFFSET('Calc Canada'!$B$2,0,MATCH(Canada!$F55,'Calc Canada'!$1:$1,0)-2,300,1),OFFSET('Calc Canada'!$B$2,0,MATCH(Canada!Y$43,'Calc Canada'!$1:$1,0)-2,300,1)),ABS(OFFSET('Calc Canada'!$B$2,0,MATCH(Canada!$F55,'Calc Canada'!$A$1:$U$1,0)-2)-OFFSET('Calc Canada'!$B$2,0,MATCH(Y$43,'Calc Canada'!$A$1:$U$1,0)-2)))</f>
        <v>#N/A</v>
      </c>
      <c r="Z55" s="7" t="e">
        <f ca="1">IF(datasetCanada="Correlation",CORREL(OFFSET('Calc Canada'!$B$2,0,MATCH(Canada!$F55,'Calc Canada'!$1:$1,0)-2,300,1),OFFSET('Calc Canada'!$B$2,0,MATCH(Canada!Z$43,'Calc Canada'!$1:$1,0)-2,300,1)),ABS(OFFSET('Calc Canada'!$B$2,0,MATCH(Canada!$F55,'Calc Canada'!$A$1:$U$1,0)-2)-OFFSET('Calc Canada'!$B$2,0,MATCH(Z$43,'Calc Canada'!$A$1:$U$1,0)-2)))</f>
        <v>#N/A</v>
      </c>
      <c r="AC55" s="7"/>
      <c r="AD55" s="7"/>
      <c r="AE55" s="7"/>
      <c r="AF55" s="7"/>
      <c r="AG55" s="7"/>
      <c r="AH55" s="7"/>
      <c r="AI55" s="7"/>
      <c r="AJ55" s="7"/>
      <c r="AK55" s="7"/>
      <c r="AL55" s="7"/>
      <c r="AM55" s="7"/>
      <c r="AN55" s="7"/>
      <c r="AO55" s="7"/>
      <c r="AP55" s="7"/>
      <c r="AQ55" s="7"/>
      <c r="AR55" s="7"/>
      <c r="AS55" s="7"/>
      <c r="AT55" s="7"/>
      <c r="AU55" s="7"/>
      <c r="AV55" s="7"/>
      <c r="AW55" s="7"/>
      <c r="AX55" s="7"/>
    </row>
    <row r="56" spans="1:50" ht="15" hidden="1" customHeight="1" x14ac:dyDescent="0.25">
      <c r="A56" s="6" t="s">
        <v>124</v>
      </c>
      <c r="B56" s="6" t="str">
        <f>_xll.BDP($A56,"last price")</f>
        <v>#N/A Requesting Data...</v>
      </c>
      <c r="C56" s="8">
        <f>IF(OR(MID(A56,3,1)="H",MID(A56,3,1)="M",MID(A56,3,1)="U",MID(A56,3,1)="Z"),MAX($C$43:C55)+1,"")</f>
        <v>11</v>
      </c>
      <c r="D56" s="9" t="e">
        <f t="shared" ca="1" si="4"/>
        <v>#N/A</v>
      </c>
      <c r="E56" s="11"/>
      <c r="F56" s="6" t="e">
        <f ca="1">_xll.BDP($D56,"TICKER")</f>
        <v>#N/A</v>
      </c>
      <c r="G56" s="7" t="e">
        <f ca="1">IF(datasetCanada="Correlation",CORREL(OFFSET('Calc Canada'!$B$2,0,MATCH(Canada!$F56,'Calc Canada'!$1:$1,0)-2,300,1),OFFSET('Calc Canada'!$B$2,0,MATCH(Canada!G$43,'Calc Canada'!$1:$1,0)-2,300,1)),ABS(OFFSET('Calc Canada'!$B$2,0,MATCH(Canada!$F56,'Calc Canada'!$A$1:$U$1,0)-2)-OFFSET('Calc Canada'!$B$2,0,MATCH(G$43,'Calc Canada'!$A$1:$U$1,0)-2)))</f>
        <v>#N/A</v>
      </c>
      <c r="H56" s="7" t="e">
        <f ca="1">IF(datasetCanada="Correlation",CORREL(OFFSET('Calc Canada'!$B$2,0,MATCH(Canada!$F56,'Calc Canada'!$1:$1,0)-2,300,1),OFFSET('Calc Canada'!$B$2,0,MATCH(Canada!H$43,'Calc Canada'!$1:$1,0)-2,300,1)),ABS(OFFSET('Calc Canada'!$B$2,0,MATCH(Canada!$F56,'Calc Canada'!$A$1:$U$1,0)-2)-OFFSET('Calc Canada'!$B$2,0,MATCH(H$43,'Calc Canada'!$A$1:$U$1,0)-2)))</f>
        <v>#N/A</v>
      </c>
      <c r="I56" s="7" t="e">
        <f ca="1">IF(datasetCanada="Correlation",CORREL(OFFSET('Calc Canada'!$B$2,0,MATCH(Canada!$F56,'Calc Canada'!$1:$1,0)-2,300,1),OFFSET('Calc Canada'!$B$2,0,MATCH(Canada!I$43,'Calc Canada'!$1:$1,0)-2,300,1)),ABS(OFFSET('Calc Canada'!$B$2,0,MATCH(Canada!$F56,'Calc Canada'!$A$1:$U$1,0)-2)-OFFSET('Calc Canada'!$B$2,0,MATCH(I$43,'Calc Canada'!$A$1:$U$1,0)-2)))</f>
        <v>#N/A</v>
      </c>
      <c r="J56" s="7" t="e">
        <f ca="1">IF(datasetCanada="Correlation",CORREL(OFFSET('Calc Canada'!$B$2,0,MATCH(Canada!$F56,'Calc Canada'!$1:$1,0)-2,300,1),OFFSET('Calc Canada'!$B$2,0,MATCH(Canada!J$43,'Calc Canada'!$1:$1,0)-2,300,1)),ABS(OFFSET('Calc Canada'!$B$2,0,MATCH(Canada!$F56,'Calc Canada'!$A$1:$U$1,0)-2)-OFFSET('Calc Canada'!$B$2,0,MATCH(J$43,'Calc Canada'!$A$1:$U$1,0)-2)))</f>
        <v>#N/A</v>
      </c>
      <c r="K56" s="7" t="e">
        <f ca="1">IF(datasetCanada="Correlation",CORREL(OFFSET('Calc Canada'!$B$2,0,MATCH(Canada!$F56,'Calc Canada'!$1:$1,0)-2,300,1),OFFSET('Calc Canada'!$B$2,0,MATCH(Canada!K$43,'Calc Canada'!$1:$1,0)-2,300,1)),ABS(OFFSET('Calc Canada'!$B$2,0,MATCH(Canada!$F56,'Calc Canada'!$A$1:$U$1,0)-2)-OFFSET('Calc Canada'!$B$2,0,MATCH(K$43,'Calc Canada'!$A$1:$U$1,0)-2)))</f>
        <v>#N/A</v>
      </c>
      <c r="L56" s="7" t="e">
        <f ca="1">IF(datasetCanada="Correlation",CORREL(OFFSET('Calc Canada'!$B$2,0,MATCH(Canada!$F56,'Calc Canada'!$1:$1,0)-2,300,1),OFFSET('Calc Canada'!$B$2,0,MATCH(Canada!L$43,'Calc Canada'!$1:$1,0)-2,300,1)),ABS(OFFSET('Calc Canada'!$B$2,0,MATCH(Canada!$F56,'Calc Canada'!$A$1:$U$1,0)-2)-OFFSET('Calc Canada'!$B$2,0,MATCH(L$43,'Calc Canada'!$A$1:$U$1,0)-2)))</f>
        <v>#N/A</v>
      </c>
      <c r="M56" s="7" t="e">
        <f ca="1">IF(datasetCanada="Correlation",CORREL(OFFSET('Calc Canada'!$B$2,0,MATCH(Canada!$F56,'Calc Canada'!$1:$1,0)-2,300,1),OFFSET('Calc Canada'!$B$2,0,MATCH(Canada!M$43,'Calc Canada'!$1:$1,0)-2,300,1)),ABS(OFFSET('Calc Canada'!$B$2,0,MATCH(Canada!$F56,'Calc Canada'!$A$1:$U$1,0)-2)-OFFSET('Calc Canada'!$B$2,0,MATCH(M$43,'Calc Canada'!$A$1:$U$1,0)-2)))</f>
        <v>#N/A</v>
      </c>
      <c r="N56" s="7" t="e">
        <f ca="1">IF(datasetCanada="Correlation",CORREL(OFFSET('Calc Canada'!$B$2,0,MATCH(Canada!$F56,'Calc Canada'!$1:$1,0)-2,300,1),OFFSET('Calc Canada'!$B$2,0,MATCH(Canada!N$43,'Calc Canada'!$1:$1,0)-2,300,1)),ABS(OFFSET('Calc Canada'!$B$2,0,MATCH(Canada!$F56,'Calc Canada'!$A$1:$U$1,0)-2)-OFFSET('Calc Canada'!$B$2,0,MATCH(N$43,'Calc Canada'!$A$1:$U$1,0)-2)))</f>
        <v>#N/A</v>
      </c>
      <c r="O56" s="7" t="e">
        <f ca="1">IF(datasetCanada="Correlation",CORREL(OFFSET('Calc Canada'!$B$2,0,MATCH(Canada!$F56,'Calc Canada'!$1:$1,0)-2,300,1),OFFSET('Calc Canada'!$B$2,0,MATCH(Canada!O$43,'Calc Canada'!$1:$1,0)-2,300,1)),ABS(OFFSET('Calc Canada'!$B$2,0,MATCH(Canada!$F56,'Calc Canada'!$A$1:$U$1,0)-2)-OFFSET('Calc Canada'!$B$2,0,MATCH(O$43,'Calc Canada'!$A$1:$U$1,0)-2)))</f>
        <v>#N/A</v>
      </c>
      <c r="P56" s="7" t="e">
        <f ca="1">IF(datasetCanada="Correlation",CORREL(OFFSET('Calc Canada'!$B$2,0,MATCH(Canada!$F56,'Calc Canada'!$1:$1,0)-2,300,1),OFFSET('Calc Canada'!$B$2,0,MATCH(Canada!P$43,'Calc Canada'!$1:$1,0)-2,300,1)),ABS(OFFSET('Calc Canada'!$B$2,0,MATCH(Canada!$F56,'Calc Canada'!$A$1:$U$1,0)-2)-OFFSET('Calc Canada'!$B$2,0,MATCH(P$43,'Calc Canada'!$A$1:$U$1,0)-2)))</f>
        <v>#N/A</v>
      </c>
      <c r="Q56" s="7" t="e">
        <f ca="1">IF(datasetCanada="Correlation",CORREL(OFFSET('Calc Canada'!$B$2,0,MATCH(Canada!$F56,'Calc Canada'!$1:$1,0)-2,300,1),OFFSET('Calc Canada'!$B$2,0,MATCH(Canada!Q$43,'Calc Canada'!$1:$1,0)-2,300,1)),ABS(OFFSET('Calc Canada'!$B$2,0,MATCH(Canada!$F56,'Calc Canada'!$A$1:$U$1,0)-2)-OFFSET('Calc Canada'!$B$2,0,MATCH(Q$43,'Calc Canada'!$A$1:$U$1,0)-2)))</f>
        <v>#N/A</v>
      </c>
      <c r="R56" s="7" t="e">
        <f ca="1">IF(datasetCanada="Correlation",CORREL(OFFSET('Calc Canada'!$B$2,0,MATCH(Canada!$F56,'Calc Canada'!$1:$1,0)-2,300,1),OFFSET('Calc Canada'!$B$2,0,MATCH(Canada!R$43,'Calc Canada'!$1:$1,0)-2,300,1)),ABS(OFFSET('Calc Canada'!$B$2,0,MATCH(Canada!$F56,'Calc Canada'!$A$1:$U$1,0)-2)-OFFSET('Calc Canada'!$B$2,0,MATCH(R$43,'Calc Canada'!$A$1:$U$1,0)-2)))</f>
        <v>#N/A</v>
      </c>
      <c r="S56" s="7" t="e">
        <f ca="1">IF(datasetCanada="Correlation",CORREL(OFFSET('Calc Canada'!$B$2,0,MATCH(Canada!$F56,'Calc Canada'!$1:$1,0)-2,300,1),OFFSET('Calc Canada'!$B$2,0,MATCH(Canada!S$43,'Calc Canada'!$1:$1,0)-2,300,1)),ABS(OFFSET('Calc Canada'!$B$2,0,MATCH(Canada!$F56,'Calc Canada'!$A$1:$U$1,0)-2)-OFFSET('Calc Canada'!$B$2,0,MATCH(S$43,'Calc Canada'!$A$1:$U$1,0)-2)))</f>
        <v>#N/A</v>
      </c>
      <c r="T56" s="7" t="e">
        <f ca="1">IF(datasetCanada="Correlation",CORREL(OFFSET('Calc Canada'!$B$2,0,MATCH(Canada!$F56,'Calc Canada'!$1:$1,0)-2,300,1),OFFSET('Calc Canada'!$B$2,0,MATCH(Canada!T$43,'Calc Canada'!$1:$1,0)-2,300,1)),ABS(OFFSET('Calc Canada'!$B$2,0,MATCH(Canada!$F56,'Calc Canada'!$A$1:$U$1,0)-2)-OFFSET('Calc Canada'!$B$2,0,MATCH(T$43,'Calc Canada'!$A$1:$U$1,0)-2)))</f>
        <v>#N/A</v>
      </c>
      <c r="U56" s="7" t="e">
        <f ca="1">IF(datasetCanada="Correlation",CORREL(OFFSET('Calc Canada'!$B$2,0,MATCH(Canada!$F56,'Calc Canada'!$1:$1,0)-2,300,1),OFFSET('Calc Canada'!$B$2,0,MATCH(Canada!U$43,'Calc Canada'!$1:$1,0)-2,300,1)),ABS(OFFSET('Calc Canada'!$B$2,0,MATCH(Canada!$F56,'Calc Canada'!$A$1:$U$1,0)-2)-OFFSET('Calc Canada'!$B$2,0,MATCH(U$43,'Calc Canada'!$A$1:$U$1,0)-2)))</f>
        <v>#N/A</v>
      </c>
      <c r="V56" s="7" t="e">
        <f ca="1">IF(datasetCanada="Correlation",CORREL(OFFSET('Calc Canada'!$B$2,0,MATCH(Canada!$F56,'Calc Canada'!$1:$1,0)-2,300,1),OFFSET('Calc Canada'!$B$2,0,MATCH(Canada!V$43,'Calc Canada'!$1:$1,0)-2,300,1)),ABS(OFFSET('Calc Canada'!$B$2,0,MATCH(Canada!$F56,'Calc Canada'!$A$1:$U$1,0)-2)-OFFSET('Calc Canada'!$B$2,0,MATCH(V$43,'Calc Canada'!$A$1:$U$1,0)-2)))</f>
        <v>#N/A</v>
      </c>
      <c r="W56" s="7" t="e">
        <f ca="1">IF(datasetCanada="Correlation",CORREL(OFFSET('Calc Canada'!$B$2,0,MATCH(Canada!$F56,'Calc Canada'!$1:$1,0)-2,300,1),OFFSET('Calc Canada'!$B$2,0,MATCH(Canada!W$43,'Calc Canada'!$1:$1,0)-2,300,1)),ABS(OFFSET('Calc Canada'!$B$2,0,MATCH(Canada!$F56,'Calc Canada'!$A$1:$U$1,0)-2)-OFFSET('Calc Canada'!$B$2,0,MATCH(W$43,'Calc Canada'!$A$1:$U$1,0)-2)))</f>
        <v>#N/A</v>
      </c>
      <c r="X56" s="7" t="e">
        <f ca="1">IF(datasetCanada="Correlation",CORREL(OFFSET('Calc Canada'!$B$2,0,MATCH(Canada!$F56,'Calc Canada'!$1:$1,0)-2,300,1),OFFSET('Calc Canada'!$B$2,0,MATCH(Canada!X$43,'Calc Canada'!$1:$1,0)-2,300,1)),ABS(OFFSET('Calc Canada'!$B$2,0,MATCH(Canada!$F56,'Calc Canada'!$A$1:$U$1,0)-2)-OFFSET('Calc Canada'!$B$2,0,MATCH(X$43,'Calc Canada'!$A$1:$U$1,0)-2)))</f>
        <v>#N/A</v>
      </c>
      <c r="Y56" s="7" t="e">
        <f ca="1">IF(datasetCanada="Correlation",CORREL(OFFSET('Calc Canada'!$B$2,0,MATCH(Canada!$F56,'Calc Canada'!$1:$1,0)-2,300,1),OFFSET('Calc Canada'!$B$2,0,MATCH(Canada!Y$43,'Calc Canada'!$1:$1,0)-2,300,1)),ABS(OFFSET('Calc Canada'!$B$2,0,MATCH(Canada!$F56,'Calc Canada'!$A$1:$U$1,0)-2)-OFFSET('Calc Canada'!$B$2,0,MATCH(Y$43,'Calc Canada'!$A$1:$U$1,0)-2)))</f>
        <v>#N/A</v>
      </c>
      <c r="Z56" s="7" t="e">
        <f ca="1">IF(datasetCanada="Correlation",CORREL(OFFSET('Calc Canada'!$B$2,0,MATCH(Canada!$F56,'Calc Canada'!$1:$1,0)-2,300,1),OFFSET('Calc Canada'!$B$2,0,MATCH(Canada!Z$43,'Calc Canada'!$1:$1,0)-2,300,1)),ABS(OFFSET('Calc Canada'!$B$2,0,MATCH(Canada!$F56,'Calc Canada'!$A$1:$U$1,0)-2)-OFFSET('Calc Canada'!$B$2,0,MATCH(Z$43,'Calc Canada'!$A$1:$U$1,0)-2)))</f>
        <v>#N/A</v>
      </c>
      <c r="AC56" s="7"/>
      <c r="AD56" s="7"/>
      <c r="AE56" s="7"/>
      <c r="AF56" s="7"/>
      <c r="AG56" s="7"/>
      <c r="AH56" s="7"/>
      <c r="AI56" s="7"/>
      <c r="AJ56" s="7"/>
      <c r="AK56" s="7"/>
      <c r="AL56" s="7"/>
      <c r="AM56" s="7"/>
      <c r="AN56" s="7"/>
      <c r="AO56" s="7"/>
      <c r="AP56" s="7"/>
      <c r="AQ56" s="7"/>
      <c r="AR56" s="7"/>
      <c r="AS56" s="7"/>
      <c r="AT56" s="7"/>
      <c r="AU56" s="7"/>
      <c r="AV56" s="7"/>
      <c r="AW56" s="7"/>
      <c r="AX56" s="7"/>
    </row>
    <row r="57" spans="1:50" ht="15" hidden="1" customHeight="1" x14ac:dyDescent="0.25">
      <c r="A57" s="6" t="s">
        <v>125</v>
      </c>
      <c r="B57" s="6" t="str">
        <f>_xll.BDP($A57,"last price")</f>
        <v>#N/A Requesting Data...</v>
      </c>
      <c r="C57" s="8">
        <f>IF(OR(MID(A57,3,1)="H",MID(A57,3,1)="M",MID(A57,3,1)="U",MID(A57,3,1)="Z"),MAX($C$43:C56)+1,"")</f>
        <v>12</v>
      </c>
      <c r="D57" s="9" t="e">
        <f t="shared" ca="1" si="4"/>
        <v>#N/A</v>
      </c>
      <c r="E57" s="11"/>
      <c r="F57" s="12" t="e">
        <f ca="1">_xll.BDP($D57,"TICKER")</f>
        <v>#N/A</v>
      </c>
      <c r="G57" s="7" t="e">
        <f ca="1">IF(datasetCanada="Correlation",CORREL(OFFSET('Calc Canada'!$B$2,0,MATCH(Canada!$F57,'Calc Canada'!$1:$1,0)-2,300,1),OFFSET('Calc Canada'!$B$2,0,MATCH(Canada!G$43,'Calc Canada'!$1:$1,0)-2,300,1)),ABS(OFFSET('Calc Canada'!$B$2,0,MATCH(Canada!$F57,'Calc Canada'!$A$1:$U$1,0)-2)-OFFSET('Calc Canada'!$B$2,0,MATCH(G$43,'Calc Canada'!$A$1:$U$1,0)-2)))</f>
        <v>#N/A</v>
      </c>
      <c r="H57" s="7" t="e">
        <f ca="1">IF(datasetCanada="Correlation",CORREL(OFFSET('Calc Canada'!$B$2,0,MATCH(Canada!$F57,'Calc Canada'!$1:$1,0)-2,300,1),OFFSET('Calc Canada'!$B$2,0,MATCH(Canada!H$43,'Calc Canada'!$1:$1,0)-2,300,1)),ABS(OFFSET('Calc Canada'!$B$2,0,MATCH(Canada!$F57,'Calc Canada'!$A$1:$U$1,0)-2)-OFFSET('Calc Canada'!$B$2,0,MATCH(H$43,'Calc Canada'!$A$1:$U$1,0)-2)))</f>
        <v>#N/A</v>
      </c>
      <c r="I57" s="7" t="e">
        <f ca="1">IF(datasetCanada="Correlation",CORREL(OFFSET('Calc Canada'!$B$2,0,MATCH(Canada!$F57,'Calc Canada'!$1:$1,0)-2,300,1),OFFSET('Calc Canada'!$B$2,0,MATCH(Canada!I$43,'Calc Canada'!$1:$1,0)-2,300,1)),ABS(OFFSET('Calc Canada'!$B$2,0,MATCH(Canada!$F57,'Calc Canada'!$A$1:$U$1,0)-2)-OFFSET('Calc Canada'!$B$2,0,MATCH(I$43,'Calc Canada'!$A$1:$U$1,0)-2)))</f>
        <v>#N/A</v>
      </c>
      <c r="J57" s="7" t="e">
        <f ca="1">IF(datasetCanada="Correlation",CORREL(OFFSET('Calc Canada'!$B$2,0,MATCH(Canada!$F57,'Calc Canada'!$1:$1,0)-2,300,1),OFFSET('Calc Canada'!$B$2,0,MATCH(Canada!J$43,'Calc Canada'!$1:$1,0)-2,300,1)),ABS(OFFSET('Calc Canada'!$B$2,0,MATCH(Canada!$F57,'Calc Canada'!$A$1:$U$1,0)-2)-OFFSET('Calc Canada'!$B$2,0,MATCH(J$43,'Calc Canada'!$A$1:$U$1,0)-2)))</f>
        <v>#N/A</v>
      </c>
      <c r="K57" s="7" t="e">
        <f ca="1">IF(datasetCanada="Correlation",CORREL(OFFSET('Calc Canada'!$B$2,0,MATCH(Canada!$F57,'Calc Canada'!$1:$1,0)-2,300,1),OFFSET('Calc Canada'!$B$2,0,MATCH(Canada!K$43,'Calc Canada'!$1:$1,0)-2,300,1)),ABS(OFFSET('Calc Canada'!$B$2,0,MATCH(Canada!$F57,'Calc Canada'!$A$1:$U$1,0)-2)-OFFSET('Calc Canada'!$B$2,0,MATCH(K$43,'Calc Canada'!$A$1:$U$1,0)-2)))</f>
        <v>#N/A</v>
      </c>
      <c r="L57" s="7" t="e">
        <f ca="1">IF(datasetCanada="Correlation",CORREL(OFFSET('Calc Canada'!$B$2,0,MATCH(Canada!$F57,'Calc Canada'!$1:$1,0)-2,300,1),OFFSET('Calc Canada'!$B$2,0,MATCH(Canada!L$43,'Calc Canada'!$1:$1,0)-2,300,1)),ABS(OFFSET('Calc Canada'!$B$2,0,MATCH(Canada!$F57,'Calc Canada'!$A$1:$U$1,0)-2)-OFFSET('Calc Canada'!$B$2,0,MATCH(L$43,'Calc Canada'!$A$1:$U$1,0)-2)))</f>
        <v>#N/A</v>
      </c>
      <c r="M57" s="7" t="e">
        <f ca="1">IF(datasetCanada="Correlation",CORREL(OFFSET('Calc Canada'!$B$2,0,MATCH(Canada!$F57,'Calc Canada'!$1:$1,0)-2,300,1),OFFSET('Calc Canada'!$B$2,0,MATCH(Canada!M$43,'Calc Canada'!$1:$1,0)-2,300,1)),ABS(OFFSET('Calc Canada'!$B$2,0,MATCH(Canada!$F57,'Calc Canada'!$A$1:$U$1,0)-2)-OFFSET('Calc Canada'!$B$2,0,MATCH(M$43,'Calc Canada'!$A$1:$U$1,0)-2)))</f>
        <v>#N/A</v>
      </c>
      <c r="N57" s="7" t="e">
        <f ca="1">IF(datasetCanada="Correlation",CORREL(OFFSET('Calc Canada'!$B$2,0,MATCH(Canada!$F57,'Calc Canada'!$1:$1,0)-2,300,1),OFFSET('Calc Canada'!$B$2,0,MATCH(Canada!N$43,'Calc Canada'!$1:$1,0)-2,300,1)),ABS(OFFSET('Calc Canada'!$B$2,0,MATCH(Canada!$F57,'Calc Canada'!$A$1:$U$1,0)-2)-OFFSET('Calc Canada'!$B$2,0,MATCH(N$43,'Calc Canada'!$A$1:$U$1,0)-2)))</f>
        <v>#N/A</v>
      </c>
      <c r="O57" s="7" t="e">
        <f ca="1">IF(datasetCanada="Correlation",CORREL(OFFSET('Calc Canada'!$B$2,0,MATCH(Canada!$F57,'Calc Canada'!$1:$1,0)-2,300,1),OFFSET('Calc Canada'!$B$2,0,MATCH(Canada!O$43,'Calc Canada'!$1:$1,0)-2,300,1)),ABS(OFFSET('Calc Canada'!$B$2,0,MATCH(Canada!$F57,'Calc Canada'!$A$1:$U$1,0)-2)-OFFSET('Calc Canada'!$B$2,0,MATCH(O$43,'Calc Canada'!$A$1:$U$1,0)-2)))</f>
        <v>#N/A</v>
      </c>
      <c r="P57" s="7" t="e">
        <f ca="1">IF(datasetCanada="Correlation",CORREL(OFFSET('Calc Canada'!$B$2,0,MATCH(Canada!$F57,'Calc Canada'!$1:$1,0)-2,300,1),OFFSET('Calc Canada'!$B$2,0,MATCH(Canada!P$43,'Calc Canada'!$1:$1,0)-2,300,1)),ABS(OFFSET('Calc Canada'!$B$2,0,MATCH(Canada!$F57,'Calc Canada'!$A$1:$U$1,0)-2)-OFFSET('Calc Canada'!$B$2,0,MATCH(P$43,'Calc Canada'!$A$1:$U$1,0)-2)))</f>
        <v>#N/A</v>
      </c>
      <c r="Q57" s="7" t="e">
        <f ca="1">IF(datasetCanada="Correlation",CORREL(OFFSET('Calc Canada'!$B$2,0,MATCH(Canada!$F57,'Calc Canada'!$1:$1,0)-2,300,1),OFFSET('Calc Canada'!$B$2,0,MATCH(Canada!Q$43,'Calc Canada'!$1:$1,0)-2,300,1)),ABS(OFFSET('Calc Canada'!$B$2,0,MATCH(Canada!$F57,'Calc Canada'!$A$1:$U$1,0)-2)-OFFSET('Calc Canada'!$B$2,0,MATCH(Q$43,'Calc Canada'!$A$1:$U$1,0)-2)))</f>
        <v>#N/A</v>
      </c>
      <c r="R57" s="7" t="e">
        <f ca="1">IF(datasetCanada="Correlation",CORREL(OFFSET('Calc Canada'!$B$2,0,MATCH(Canada!$F57,'Calc Canada'!$1:$1,0)-2,300,1),OFFSET('Calc Canada'!$B$2,0,MATCH(Canada!R$43,'Calc Canada'!$1:$1,0)-2,300,1)),ABS(OFFSET('Calc Canada'!$B$2,0,MATCH(Canada!$F57,'Calc Canada'!$A$1:$U$1,0)-2)-OFFSET('Calc Canada'!$B$2,0,MATCH(R$43,'Calc Canada'!$A$1:$U$1,0)-2)))</f>
        <v>#N/A</v>
      </c>
      <c r="S57" s="7" t="e">
        <f ca="1">IF(datasetCanada="Correlation",CORREL(OFFSET('Calc Canada'!$B$2,0,MATCH(Canada!$F57,'Calc Canada'!$1:$1,0)-2,300,1),OFFSET('Calc Canada'!$B$2,0,MATCH(Canada!S$43,'Calc Canada'!$1:$1,0)-2,300,1)),ABS(OFFSET('Calc Canada'!$B$2,0,MATCH(Canada!$F57,'Calc Canada'!$A$1:$U$1,0)-2)-OFFSET('Calc Canada'!$B$2,0,MATCH(S$43,'Calc Canada'!$A$1:$U$1,0)-2)))</f>
        <v>#N/A</v>
      </c>
      <c r="T57" s="7" t="e">
        <f ca="1">IF(datasetCanada="Correlation",CORREL(OFFSET('Calc Canada'!$B$2,0,MATCH(Canada!$F57,'Calc Canada'!$1:$1,0)-2,300,1),OFFSET('Calc Canada'!$B$2,0,MATCH(Canada!T$43,'Calc Canada'!$1:$1,0)-2,300,1)),ABS(OFFSET('Calc Canada'!$B$2,0,MATCH(Canada!$F57,'Calc Canada'!$A$1:$U$1,0)-2)-OFFSET('Calc Canada'!$B$2,0,MATCH(T$43,'Calc Canada'!$A$1:$U$1,0)-2)))</f>
        <v>#N/A</v>
      </c>
      <c r="U57" s="7" t="e">
        <f ca="1">IF(datasetCanada="Correlation",CORREL(OFFSET('Calc Canada'!$B$2,0,MATCH(Canada!$F57,'Calc Canada'!$1:$1,0)-2,300,1),OFFSET('Calc Canada'!$B$2,0,MATCH(Canada!U$43,'Calc Canada'!$1:$1,0)-2,300,1)),ABS(OFFSET('Calc Canada'!$B$2,0,MATCH(Canada!$F57,'Calc Canada'!$A$1:$U$1,0)-2)-OFFSET('Calc Canada'!$B$2,0,MATCH(U$43,'Calc Canada'!$A$1:$U$1,0)-2)))</f>
        <v>#N/A</v>
      </c>
      <c r="V57" s="7" t="e">
        <f ca="1">IF(datasetCanada="Correlation",CORREL(OFFSET('Calc Canada'!$B$2,0,MATCH(Canada!$F57,'Calc Canada'!$1:$1,0)-2,300,1),OFFSET('Calc Canada'!$B$2,0,MATCH(Canada!V$43,'Calc Canada'!$1:$1,0)-2,300,1)),ABS(OFFSET('Calc Canada'!$B$2,0,MATCH(Canada!$F57,'Calc Canada'!$A$1:$U$1,0)-2)-OFFSET('Calc Canada'!$B$2,0,MATCH(V$43,'Calc Canada'!$A$1:$U$1,0)-2)))</f>
        <v>#N/A</v>
      </c>
      <c r="W57" s="7" t="e">
        <f ca="1">IF(datasetCanada="Correlation",CORREL(OFFSET('Calc Canada'!$B$2,0,MATCH(Canada!$F57,'Calc Canada'!$1:$1,0)-2,300,1),OFFSET('Calc Canada'!$B$2,0,MATCH(Canada!W$43,'Calc Canada'!$1:$1,0)-2,300,1)),ABS(OFFSET('Calc Canada'!$B$2,0,MATCH(Canada!$F57,'Calc Canada'!$A$1:$U$1,0)-2)-OFFSET('Calc Canada'!$B$2,0,MATCH(W$43,'Calc Canada'!$A$1:$U$1,0)-2)))</f>
        <v>#N/A</v>
      </c>
      <c r="X57" s="7" t="e">
        <f ca="1">IF(datasetCanada="Correlation",CORREL(OFFSET('Calc Canada'!$B$2,0,MATCH(Canada!$F57,'Calc Canada'!$1:$1,0)-2,300,1),OFFSET('Calc Canada'!$B$2,0,MATCH(Canada!X$43,'Calc Canada'!$1:$1,0)-2,300,1)),ABS(OFFSET('Calc Canada'!$B$2,0,MATCH(Canada!$F57,'Calc Canada'!$A$1:$U$1,0)-2)-OFFSET('Calc Canada'!$B$2,0,MATCH(X$43,'Calc Canada'!$A$1:$U$1,0)-2)))</f>
        <v>#N/A</v>
      </c>
      <c r="Y57" s="7" t="e">
        <f ca="1">IF(datasetCanada="Correlation",CORREL(OFFSET('Calc Canada'!$B$2,0,MATCH(Canada!$F57,'Calc Canada'!$1:$1,0)-2,300,1),OFFSET('Calc Canada'!$B$2,0,MATCH(Canada!Y$43,'Calc Canada'!$1:$1,0)-2,300,1)),ABS(OFFSET('Calc Canada'!$B$2,0,MATCH(Canada!$F57,'Calc Canada'!$A$1:$U$1,0)-2)-OFFSET('Calc Canada'!$B$2,0,MATCH(Y$43,'Calc Canada'!$A$1:$U$1,0)-2)))</f>
        <v>#N/A</v>
      </c>
      <c r="Z57" s="7" t="e">
        <f ca="1">IF(datasetCanada="Correlation",CORREL(OFFSET('Calc Canada'!$B$2,0,MATCH(Canada!$F57,'Calc Canada'!$1:$1,0)-2,300,1),OFFSET('Calc Canada'!$B$2,0,MATCH(Canada!Z$43,'Calc Canada'!$1:$1,0)-2,300,1)),ABS(OFFSET('Calc Canada'!$B$2,0,MATCH(Canada!$F57,'Calc Canada'!$A$1:$U$1,0)-2)-OFFSET('Calc Canada'!$B$2,0,MATCH(Z$43,'Calc Canada'!$A$1:$U$1,0)-2)))</f>
        <v>#N/A</v>
      </c>
      <c r="AC57" s="7"/>
      <c r="AD57" s="7"/>
      <c r="AE57" s="7"/>
      <c r="AF57" s="7"/>
      <c r="AG57" s="7"/>
      <c r="AH57" s="7"/>
      <c r="AI57" s="7"/>
      <c r="AJ57" s="7"/>
      <c r="AK57" s="7"/>
      <c r="AL57" s="7"/>
      <c r="AM57" s="7"/>
      <c r="AN57" s="7"/>
      <c r="AO57" s="7"/>
      <c r="AP57" s="7"/>
      <c r="AQ57" s="7"/>
      <c r="AR57" s="7"/>
      <c r="AS57" s="7"/>
      <c r="AT57" s="7"/>
      <c r="AU57" s="7"/>
      <c r="AV57" s="7"/>
      <c r="AW57" s="7"/>
      <c r="AX57" s="7"/>
    </row>
    <row r="58" spans="1:50" ht="15" hidden="1" customHeight="1" x14ac:dyDescent="0.25">
      <c r="A58" s="6"/>
      <c r="B58" s="6" t="str">
        <f>_xll.BDP($A58,"last price")</f>
        <v>#N/A Invalid Security</v>
      </c>
      <c r="C58" s="8" t="str">
        <f>IF(OR(MID(A58,3,1)="H",MID(A58,3,1)="M",MID(A58,3,1)="U",MID(A58,3,1)="Z"),MAX($C$43:C57)+1,"")</f>
        <v/>
      </c>
      <c r="D58" s="9" t="e">
        <f t="shared" ca="1" si="4"/>
        <v>#N/A</v>
      </c>
      <c r="E58" s="11"/>
      <c r="F58" s="6" t="e">
        <f ca="1">_xll.BDP($D58,"TICKER")</f>
        <v>#N/A</v>
      </c>
      <c r="G58" s="7" t="e">
        <f ca="1">IF(datasetCanada="Correlation",CORREL(OFFSET('Calc Canada'!$B$2,0,MATCH(Canada!$F58,'Calc Canada'!$1:$1,0)-2,300,1),OFFSET('Calc Canada'!$B$2,0,MATCH(Canada!G$43,'Calc Canada'!$1:$1,0)-2,300,1)),ABS(OFFSET('Calc Canada'!$B$2,0,MATCH(Canada!$F58,'Calc Canada'!$A$1:$U$1,0)-2)-OFFSET('Calc Canada'!$B$2,0,MATCH(G$43,'Calc Canada'!$A$1:$U$1,0)-2)))</f>
        <v>#N/A</v>
      </c>
      <c r="H58" s="7" t="e">
        <f ca="1">IF(datasetCanada="Correlation",CORREL(OFFSET('Calc Canada'!$B$2,0,MATCH(Canada!$F58,'Calc Canada'!$1:$1,0)-2,300,1),OFFSET('Calc Canada'!$B$2,0,MATCH(Canada!H$43,'Calc Canada'!$1:$1,0)-2,300,1)),ABS(OFFSET('Calc Canada'!$B$2,0,MATCH(Canada!$F58,'Calc Canada'!$A$1:$U$1,0)-2)-OFFSET('Calc Canada'!$B$2,0,MATCH(H$43,'Calc Canada'!$A$1:$U$1,0)-2)))</f>
        <v>#N/A</v>
      </c>
      <c r="I58" s="7" t="e">
        <f ca="1">IF(datasetCanada="Correlation",CORREL(OFFSET('Calc Canada'!$B$2,0,MATCH(Canada!$F58,'Calc Canada'!$1:$1,0)-2,300,1),OFFSET('Calc Canada'!$B$2,0,MATCH(Canada!I$43,'Calc Canada'!$1:$1,0)-2,300,1)),ABS(OFFSET('Calc Canada'!$B$2,0,MATCH(Canada!$F58,'Calc Canada'!$A$1:$U$1,0)-2)-OFFSET('Calc Canada'!$B$2,0,MATCH(I$43,'Calc Canada'!$A$1:$U$1,0)-2)))</f>
        <v>#N/A</v>
      </c>
      <c r="J58" s="7" t="e">
        <f ca="1">IF(datasetCanada="Correlation",CORREL(OFFSET('Calc Canada'!$B$2,0,MATCH(Canada!$F58,'Calc Canada'!$1:$1,0)-2,300,1),OFFSET('Calc Canada'!$B$2,0,MATCH(Canada!J$43,'Calc Canada'!$1:$1,0)-2,300,1)),ABS(OFFSET('Calc Canada'!$B$2,0,MATCH(Canada!$F58,'Calc Canada'!$A$1:$U$1,0)-2)-OFFSET('Calc Canada'!$B$2,0,MATCH(J$43,'Calc Canada'!$A$1:$U$1,0)-2)))</f>
        <v>#N/A</v>
      </c>
      <c r="K58" s="7" t="e">
        <f ca="1">IF(datasetCanada="Correlation",CORREL(OFFSET('Calc Canada'!$B$2,0,MATCH(Canada!$F58,'Calc Canada'!$1:$1,0)-2,300,1),OFFSET('Calc Canada'!$B$2,0,MATCH(Canada!K$43,'Calc Canada'!$1:$1,0)-2,300,1)),ABS(OFFSET('Calc Canada'!$B$2,0,MATCH(Canada!$F58,'Calc Canada'!$A$1:$U$1,0)-2)-OFFSET('Calc Canada'!$B$2,0,MATCH(K$43,'Calc Canada'!$A$1:$U$1,0)-2)))</f>
        <v>#N/A</v>
      </c>
      <c r="L58" s="7" t="e">
        <f ca="1">IF(datasetCanada="Correlation",CORREL(OFFSET('Calc Canada'!$B$2,0,MATCH(Canada!$F58,'Calc Canada'!$1:$1,0)-2,300,1),OFFSET('Calc Canada'!$B$2,0,MATCH(Canada!L$43,'Calc Canada'!$1:$1,0)-2,300,1)),ABS(OFFSET('Calc Canada'!$B$2,0,MATCH(Canada!$F58,'Calc Canada'!$A$1:$U$1,0)-2)-OFFSET('Calc Canada'!$B$2,0,MATCH(L$43,'Calc Canada'!$A$1:$U$1,0)-2)))</f>
        <v>#N/A</v>
      </c>
      <c r="M58" s="7" t="e">
        <f ca="1">IF(datasetCanada="Correlation",CORREL(OFFSET('Calc Canada'!$B$2,0,MATCH(Canada!$F58,'Calc Canada'!$1:$1,0)-2,300,1),OFFSET('Calc Canada'!$B$2,0,MATCH(Canada!M$43,'Calc Canada'!$1:$1,0)-2,300,1)),ABS(OFFSET('Calc Canada'!$B$2,0,MATCH(Canada!$F58,'Calc Canada'!$A$1:$U$1,0)-2)-OFFSET('Calc Canada'!$B$2,0,MATCH(M$43,'Calc Canada'!$A$1:$U$1,0)-2)))</f>
        <v>#N/A</v>
      </c>
      <c r="N58" s="7" t="e">
        <f ca="1">IF(datasetCanada="Correlation",CORREL(OFFSET('Calc Canada'!$B$2,0,MATCH(Canada!$F58,'Calc Canada'!$1:$1,0)-2,300,1),OFFSET('Calc Canada'!$B$2,0,MATCH(Canada!N$43,'Calc Canada'!$1:$1,0)-2,300,1)),ABS(OFFSET('Calc Canada'!$B$2,0,MATCH(Canada!$F58,'Calc Canada'!$A$1:$U$1,0)-2)-OFFSET('Calc Canada'!$B$2,0,MATCH(N$43,'Calc Canada'!$A$1:$U$1,0)-2)))</f>
        <v>#N/A</v>
      </c>
      <c r="O58" s="7" t="e">
        <f ca="1">IF(datasetCanada="Correlation",CORREL(OFFSET('Calc Canada'!$B$2,0,MATCH(Canada!$F58,'Calc Canada'!$1:$1,0)-2,300,1),OFFSET('Calc Canada'!$B$2,0,MATCH(Canada!O$43,'Calc Canada'!$1:$1,0)-2,300,1)),ABS(OFFSET('Calc Canada'!$B$2,0,MATCH(Canada!$F58,'Calc Canada'!$A$1:$U$1,0)-2)-OFFSET('Calc Canada'!$B$2,0,MATCH(O$43,'Calc Canada'!$A$1:$U$1,0)-2)))</f>
        <v>#N/A</v>
      </c>
      <c r="P58" s="7" t="e">
        <f ca="1">IF(datasetCanada="Correlation",CORREL(OFFSET('Calc Canada'!$B$2,0,MATCH(Canada!$F58,'Calc Canada'!$1:$1,0)-2,300,1),OFFSET('Calc Canada'!$B$2,0,MATCH(Canada!P$43,'Calc Canada'!$1:$1,0)-2,300,1)),ABS(OFFSET('Calc Canada'!$B$2,0,MATCH(Canada!$F58,'Calc Canada'!$A$1:$U$1,0)-2)-OFFSET('Calc Canada'!$B$2,0,MATCH(P$43,'Calc Canada'!$A$1:$U$1,0)-2)))</f>
        <v>#N/A</v>
      </c>
      <c r="Q58" s="7" t="e">
        <f ca="1">IF(datasetCanada="Correlation",CORREL(OFFSET('Calc Canada'!$B$2,0,MATCH(Canada!$F58,'Calc Canada'!$1:$1,0)-2,300,1),OFFSET('Calc Canada'!$B$2,0,MATCH(Canada!Q$43,'Calc Canada'!$1:$1,0)-2,300,1)),ABS(OFFSET('Calc Canada'!$B$2,0,MATCH(Canada!$F58,'Calc Canada'!$A$1:$U$1,0)-2)-OFFSET('Calc Canada'!$B$2,0,MATCH(Q$43,'Calc Canada'!$A$1:$U$1,0)-2)))</f>
        <v>#N/A</v>
      </c>
      <c r="R58" s="7" t="e">
        <f ca="1">IF(datasetCanada="Correlation",CORREL(OFFSET('Calc Canada'!$B$2,0,MATCH(Canada!$F58,'Calc Canada'!$1:$1,0)-2,300,1),OFFSET('Calc Canada'!$B$2,0,MATCH(Canada!R$43,'Calc Canada'!$1:$1,0)-2,300,1)),ABS(OFFSET('Calc Canada'!$B$2,0,MATCH(Canada!$F58,'Calc Canada'!$A$1:$U$1,0)-2)-OFFSET('Calc Canada'!$B$2,0,MATCH(R$43,'Calc Canada'!$A$1:$U$1,0)-2)))</f>
        <v>#N/A</v>
      </c>
      <c r="S58" s="7" t="e">
        <f ca="1">IF(datasetCanada="Correlation",CORREL(OFFSET('Calc Canada'!$B$2,0,MATCH(Canada!$F58,'Calc Canada'!$1:$1,0)-2,300,1),OFFSET('Calc Canada'!$B$2,0,MATCH(Canada!S$43,'Calc Canada'!$1:$1,0)-2,300,1)),ABS(OFFSET('Calc Canada'!$B$2,0,MATCH(Canada!$F58,'Calc Canada'!$A$1:$U$1,0)-2)-OFFSET('Calc Canada'!$B$2,0,MATCH(S$43,'Calc Canada'!$A$1:$U$1,0)-2)))</f>
        <v>#N/A</v>
      </c>
      <c r="T58" s="7" t="e">
        <f ca="1">IF(datasetCanada="Correlation",CORREL(OFFSET('Calc Canada'!$B$2,0,MATCH(Canada!$F58,'Calc Canada'!$1:$1,0)-2,300,1),OFFSET('Calc Canada'!$B$2,0,MATCH(Canada!T$43,'Calc Canada'!$1:$1,0)-2,300,1)),ABS(OFFSET('Calc Canada'!$B$2,0,MATCH(Canada!$F58,'Calc Canada'!$A$1:$U$1,0)-2)-OFFSET('Calc Canada'!$B$2,0,MATCH(T$43,'Calc Canada'!$A$1:$U$1,0)-2)))</f>
        <v>#N/A</v>
      </c>
      <c r="U58" s="7" t="e">
        <f ca="1">IF(datasetCanada="Correlation",CORREL(OFFSET('Calc Canada'!$B$2,0,MATCH(Canada!$F58,'Calc Canada'!$1:$1,0)-2,300,1),OFFSET('Calc Canada'!$B$2,0,MATCH(Canada!U$43,'Calc Canada'!$1:$1,0)-2,300,1)),ABS(OFFSET('Calc Canada'!$B$2,0,MATCH(Canada!$F58,'Calc Canada'!$A$1:$U$1,0)-2)-OFFSET('Calc Canada'!$B$2,0,MATCH(U$43,'Calc Canada'!$A$1:$U$1,0)-2)))</f>
        <v>#N/A</v>
      </c>
      <c r="V58" s="7" t="e">
        <f ca="1">IF(datasetCanada="Correlation",CORREL(OFFSET('Calc Canada'!$B$2,0,MATCH(Canada!$F58,'Calc Canada'!$1:$1,0)-2,300,1),OFFSET('Calc Canada'!$B$2,0,MATCH(Canada!V$43,'Calc Canada'!$1:$1,0)-2,300,1)),ABS(OFFSET('Calc Canada'!$B$2,0,MATCH(Canada!$F58,'Calc Canada'!$A$1:$U$1,0)-2)-OFFSET('Calc Canada'!$B$2,0,MATCH(V$43,'Calc Canada'!$A$1:$U$1,0)-2)))</f>
        <v>#N/A</v>
      </c>
      <c r="W58" s="7" t="e">
        <f ca="1">IF(datasetCanada="Correlation",CORREL(OFFSET('Calc Canada'!$B$2,0,MATCH(Canada!$F58,'Calc Canada'!$1:$1,0)-2,300,1),OFFSET('Calc Canada'!$B$2,0,MATCH(Canada!W$43,'Calc Canada'!$1:$1,0)-2,300,1)),ABS(OFFSET('Calc Canada'!$B$2,0,MATCH(Canada!$F58,'Calc Canada'!$A$1:$U$1,0)-2)-OFFSET('Calc Canada'!$B$2,0,MATCH(W$43,'Calc Canada'!$A$1:$U$1,0)-2)))</f>
        <v>#N/A</v>
      </c>
      <c r="X58" s="7" t="e">
        <f ca="1">IF(datasetCanada="Correlation",CORREL(OFFSET('Calc Canada'!$B$2,0,MATCH(Canada!$F58,'Calc Canada'!$1:$1,0)-2,300,1),OFFSET('Calc Canada'!$B$2,0,MATCH(Canada!X$43,'Calc Canada'!$1:$1,0)-2,300,1)),ABS(OFFSET('Calc Canada'!$B$2,0,MATCH(Canada!$F58,'Calc Canada'!$A$1:$U$1,0)-2)-OFFSET('Calc Canada'!$B$2,0,MATCH(X$43,'Calc Canada'!$A$1:$U$1,0)-2)))</f>
        <v>#N/A</v>
      </c>
      <c r="Y58" s="7" t="e">
        <f ca="1">IF(datasetCanada="Correlation",CORREL(OFFSET('Calc Canada'!$B$2,0,MATCH(Canada!$F58,'Calc Canada'!$1:$1,0)-2,300,1),OFFSET('Calc Canada'!$B$2,0,MATCH(Canada!Y$43,'Calc Canada'!$1:$1,0)-2,300,1)),ABS(OFFSET('Calc Canada'!$B$2,0,MATCH(Canada!$F58,'Calc Canada'!$A$1:$U$1,0)-2)-OFFSET('Calc Canada'!$B$2,0,MATCH(Y$43,'Calc Canada'!$A$1:$U$1,0)-2)))</f>
        <v>#N/A</v>
      </c>
      <c r="Z58" s="7" t="e">
        <f ca="1">IF(datasetCanada="Correlation",CORREL(OFFSET('Calc Canada'!$B$2,0,MATCH(Canada!$F58,'Calc Canada'!$1:$1,0)-2,300,1),OFFSET('Calc Canada'!$B$2,0,MATCH(Canada!Z$43,'Calc Canada'!$1:$1,0)-2,300,1)),ABS(OFFSET('Calc Canada'!$B$2,0,MATCH(Canada!$F58,'Calc Canada'!$A$1:$U$1,0)-2)-OFFSET('Calc Canada'!$B$2,0,MATCH(Z$43,'Calc Canada'!$A$1:$U$1,0)-2)))</f>
        <v>#N/A</v>
      </c>
      <c r="AC58" s="7"/>
      <c r="AD58" s="7"/>
      <c r="AE58" s="7"/>
      <c r="AF58" s="7"/>
      <c r="AG58" s="7"/>
      <c r="AH58" s="7"/>
      <c r="AI58" s="7"/>
      <c r="AJ58" s="7"/>
      <c r="AK58" s="7"/>
      <c r="AL58" s="7"/>
      <c r="AM58" s="7"/>
      <c r="AN58" s="7"/>
      <c r="AO58" s="7"/>
      <c r="AP58" s="7"/>
      <c r="AQ58" s="7"/>
      <c r="AR58" s="7"/>
      <c r="AS58" s="7"/>
      <c r="AT58" s="7"/>
      <c r="AU58" s="7"/>
      <c r="AV58" s="7"/>
      <c r="AW58" s="7"/>
      <c r="AX58" s="7"/>
    </row>
    <row r="59" spans="1:50" ht="15" hidden="1" customHeight="1" x14ac:dyDescent="0.25">
      <c r="A59" s="6"/>
      <c r="B59" s="6" t="str">
        <f>_xll.BDP($A59,"last price")</f>
        <v>#N/A Invalid Security</v>
      </c>
      <c r="C59" s="8" t="str">
        <f>IF(OR(MID(A59,3,1)="H",MID(A59,3,1)="M",MID(A59,3,1)="U",MID(A59,3,1)="Z"),MAX($C$43:C58)+1,"")</f>
        <v/>
      </c>
      <c r="D59" s="9" t="e">
        <f t="shared" ca="1" si="4"/>
        <v>#N/A</v>
      </c>
      <c r="E59" s="11"/>
      <c r="F59" s="12" t="e">
        <f ca="1">_xll.BDP($D59,"TICKER")</f>
        <v>#N/A</v>
      </c>
      <c r="G59" s="7" t="e">
        <f ca="1">IF(datasetCanada="Correlation",CORREL(OFFSET('Calc Canada'!$B$2,0,MATCH(Canada!$F59,'Calc Canada'!$1:$1,0)-2,300,1),OFFSET('Calc Canada'!$B$2,0,MATCH(Canada!G$43,'Calc Canada'!$1:$1,0)-2,300,1)),ABS(OFFSET('Calc Canada'!$B$2,0,MATCH(Canada!$F59,'Calc Canada'!$A$1:$U$1,0)-2)-OFFSET('Calc Canada'!$B$2,0,MATCH(G$43,'Calc Canada'!$A$1:$U$1,0)-2)))</f>
        <v>#N/A</v>
      </c>
      <c r="H59" s="7" t="e">
        <f ca="1">IF(datasetCanada="Correlation",CORREL(OFFSET('Calc Canada'!$B$2,0,MATCH(Canada!$F59,'Calc Canada'!$1:$1,0)-2,300,1),OFFSET('Calc Canada'!$B$2,0,MATCH(Canada!H$43,'Calc Canada'!$1:$1,0)-2,300,1)),ABS(OFFSET('Calc Canada'!$B$2,0,MATCH(Canada!$F59,'Calc Canada'!$A$1:$U$1,0)-2)-OFFSET('Calc Canada'!$B$2,0,MATCH(H$43,'Calc Canada'!$A$1:$U$1,0)-2)))</f>
        <v>#N/A</v>
      </c>
      <c r="I59" s="7" t="e">
        <f ca="1">IF(datasetCanada="Correlation",CORREL(OFFSET('Calc Canada'!$B$2,0,MATCH(Canada!$F59,'Calc Canada'!$1:$1,0)-2,300,1),OFFSET('Calc Canada'!$B$2,0,MATCH(Canada!I$43,'Calc Canada'!$1:$1,0)-2,300,1)),ABS(OFFSET('Calc Canada'!$B$2,0,MATCH(Canada!$F59,'Calc Canada'!$A$1:$U$1,0)-2)-OFFSET('Calc Canada'!$B$2,0,MATCH(I$43,'Calc Canada'!$A$1:$U$1,0)-2)))</f>
        <v>#N/A</v>
      </c>
      <c r="J59" s="7" t="e">
        <f ca="1">IF(datasetCanada="Correlation",CORREL(OFFSET('Calc Canada'!$B$2,0,MATCH(Canada!$F59,'Calc Canada'!$1:$1,0)-2,300,1),OFFSET('Calc Canada'!$B$2,0,MATCH(Canada!J$43,'Calc Canada'!$1:$1,0)-2,300,1)),ABS(OFFSET('Calc Canada'!$B$2,0,MATCH(Canada!$F59,'Calc Canada'!$A$1:$U$1,0)-2)-OFFSET('Calc Canada'!$B$2,0,MATCH(J$43,'Calc Canada'!$A$1:$U$1,0)-2)))</f>
        <v>#N/A</v>
      </c>
      <c r="K59" s="7" t="e">
        <f ca="1">IF(datasetCanada="Correlation",CORREL(OFFSET('Calc Canada'!$B$2,0,MATCH(Canada!$F59,'Calc Canada'!$1:$1,0)-2,300,1),OFFSET('Calc Canada'!$B$2,0,MATCH(Canada!K$43,'Calc Canada'!$1:$1,0)-2,300,1)),ABS(OFFSET('Calc Canada'!$B$2,0,MATCH(Canada!$F59,'Calc Canada'!$A$1:$U$1,0)-2)-OFFSET('Calc Canada'!$B$2,0,MATCH(K$43,'Calc Canada'!$A$1:$U$1,0)-2)))</f>
        <v>#N/A</v>
      </c>
      <c r="L59" s="7" t="e">
        <f ca="1">IF(datasetCanada="Correlation",CORREL(OFFSET('Calc Canada'!$B$2,0,MATCH(Canada!$F59,'Calc Canada'!$1:$1,0)-2,300,1),OFFSET('Calc Canada'!$B$2,0,MATCH(Canada!L$43,'Calc Canada'!$1:$1,0)-2,300,1)),ABS(OFFSET('Calc Canada'!$B$2,0,MATCH(Canada!$F59,'Calc Canada'!$A$1:$U$1,0)-2)-OFFSET('Calc Canada'!$B$2,0,MATCH(L$43,'Calc Canada'!$A$1:$U$1,0)-2)))</f>
        <v>#N/A</v>
      </c>
      <c r="M59" s="7" t="e">
        <f ca="1">IF(datasetCanada="Correlation",CORREL(OFFSET('Calc Canada'!$B$2,0,MATCH(Canada!$F59,'Calc Canada'!$1:$1,0)-2,300,1),OFFSET('Calc Canada'!$B$2,0,MATCH(Canada!M$43,'Calc Canada'!$1:$1,0)-2,300,1)),ABS(OFFSET('Calc Canada'!$B$2,0,MATCH(Canada!$F59,'Calc Canada'!$A$1:$U$1,0)-2)-OFFSET('Calc Canada'!$B$2,0,MATCH(M$43,'Calc Canada'!$A$1:$U$1,0)-2)))</f>
        <v>#N/A</v>
      </c>
      <c r="N59" s="7" t="e">
        <f ca="1">IF(datasetCanada="Correlation",CORREL(OFFSET('Calc Canada'!$B$2,0,MATCH(Canada!$F59,'Calc Canada'!$1:$1,0)-2,300,1),OFFSET('Calc Canada'!$B$2,0,MATCH(Canada!N$43,'Calc Canada'!$1:$1,0)-2,300,1)),ABS(OFFSET('Calc Canada'!$B$2,0,MATCH(Canada!$F59,'Calc Canada'!$A$1:$U$1,0)-2)-OFFSET('Calc Canada'!$B$2,0,MATCH(N$43,'Calc Canada'!$A$1:$U$1,0)-2)))</f>
        <v>#N/A</v>
      </c>
      <c r="O59" s="7" t="e">
        <f ca="1">IF(datasetCanada="Correlation",CORREL(OFFSET('Calc Canada'!$B$2,0,MATCH(Canada!$F59,'Calc Canada'!$1:$1,0)-2,300,1),OFFSET('Calc Canada'!$B$2,0,MATCH(Canada!O$43,'Calc Canada'!$1:$1,0)-2,300,1)),ABS(OFFSET('Calc Canada'!$B$2,0,MATCH(Canada!$F59,'Calc Canada'!$A$1:$U$1,0)-2)-OFFSET('Calc Canada'!$B$2,0,MATCH(O$43,'Calc Canada'!$A$1:$U$1,0)-2)))</f>
        <v>#N/A</v>
      </c>
      <c r="P59" s="7" t="e">
        <f ca="1">IF(datasetCanada="Correlation",CORREL(OFFSET('Calc Canada'!$B$2,0,MATCH(Canada!$F59,'Calc Canada'!$1:$1,0)-2,300,1),OFFSET('Calc Canada'!$B$2,0,MATCH(Canada!P$43,'Calc Canada'!$1:$1,0)-2,300,1)),ABS(OFFSET('Calc Canada'!$B$2,0,MATCH(Canada!$F59,'Calc Canada'!$A$1:$U$1,0)-2)-OFFSET('Calc Canada'!$B$2,0,MATCH(P$43,'Calc Canada'!$A$1:$U$1,0)-2)))</f>
        <v>#N/A</v>
      </c>
      <c r="Q59" s="7" t="e">
        <f ca="1">IF(datasetCanada="Correlation",CORREL(OFFSET('Calc Canada'!$B$2,0,MATCH(Canada!$F59,'Calc Canada'!$1:$1,0)-2,300,1),OFFSET('Calc Canada'!$B$2,0,MATCH(Canada!Q$43,'Calc Canada'!$1:$1,0)-2,300,1)),ABS(OFFSET('Calc Canada'!$B$2,0,MATCH(Canada!$F59,'Calc Canada'!$A$1:$U$1,0)-2)-OFFSET('Calc Canada'!$B$2,0,MATCH(Q$43,'Calc Canada'!$A$1:$U$1,0)-2)))</f>
        <v>#N/A</v>
      </c>
      <c r="R59" s="7" t="e">
        <f ca="1">IF(datasetCanada="Correlation",CORREL(OFFSET('Calc Canada'!$B$2,0,MATCH(Canada!$F59,'Calc Canada'!$1:$1,0)-2,300,1),OFFSET('Calc Canada'!$B$2,0,MATCH(Canada!R$43,'Calc Canada'!$1:$1,0)-2,300,1)),ABS(OFFSET('Calc Canada'!$B$2,0,MATCH(Canada!$F59,'Calc Canada'!$A$1:$U$1,0)-2)-OFFSET('Calc Canada'!$B$2,0,MATCH(R$43,'Calc Canada'!$A$1:$U$1,0)-2)))</f>
        <v>#N/A</v>
      </c>
      <c r="S59" s="7" t="e">
        <f ca="1">IF(datasetCanada="Correlation",CORREL(OFFSET('Calc Canada'!$B$2,0,MATCH(Canada!$F59,'Calc Canada'!$1:$1,0)-2,300,1),OFFSET('Calc Canada'!$B$2,0,MATCH(Canada!S$43,'Calc Canada'!$1:$1,0)-2,300,1)),ABS(OFFSET('Calc Canada'!$B$2,0,MATCH(Canada!$F59,'Calc Canada'!$A$1:$U$1,0)-2)-OFFSET('Calc Canada'!$B$2,0,MATCH(S$43,'Calc Canada'!$A$1:$U$1,0)-2)))</f>
        <v>#N/A</v>
      </c>
      <c r="T59" s="7" t="e">
        <f ca="1">IF(datasetCanada="Correlation",CORREL(OFFSET('Calc Canada'!$B$2,0,MATCH(Canada!$F59,'Calc Canada'!$1:$1,0)-2,300,1),OFFSET('Calc Canada'!$B$2,0,MATCH(Canada!T$43,'Calc Canada'!$1:$1,0)-2,300,1)),ABS(OFFSET('Calc Canada'!$B$2,0,MATCH(Canada!$F59,'Calc Canada'!$A$1:$U$1,0)-2)-OFFSET('Calc Canada'!$B$2,0,MATCH(T$43,'Calc Canada'!$A$1:$U$1,0)-2)))</f>
        <v>#N/A</v>
      </c>
      <c r="U59" s="7" t="e">
        <f ca="1">IF(datasetCanada="Correlation",CORREL(OFFSET('Calc Canada'!$B$2,0,MATCH(Canada!$F59,'Calc Canada'!$1:$1,0)-2,300,1),OFFSET('Calc Canada'!$B$2,0,MATCH(Canada!U$43,'Calc Canada'!$1:$1,0)-2,300,1)),ABS(OFFSET('Calc Canada'!$B$2,0,MATCH(Canada!$F59,'Calc Canada'!$A$1:$U$1,0)-2)-OFFSET('Calc Canada'!$B$2,0,MATCH(U$43,'Calc Canada'!$A$1:$U$1,0)-2)))</f>
        <v>#N/A</v>
      </c>
      <c r="V59" s="7" t="e">
        <f ca="1">IF(datasetCanada="Correlation",CORREL(OFFSET('Calc Canada'!$B$2,0,MATCH(Canada!$F59,'Calc Canada'!$1:$1,0)-2,300,1),OFFSET('Calc Canada'!$B$2,0,MATCH(Canada!V$43,'Calc Canada'!$1:$1,0)-2,300,1)),ABS(OFFSET('Calc Canada'!$B$2,0,MATCH(Canada!$F59,'Calc Canada'!$A$1:$U$1,0)-2)-OFFSET('Calc Canada'!$B$2,0,MATCH(V$43,'Calc Canada'!$A$1:$U$1,0)-2)))</f>
        <v>#N/A</v>
      </c>
      <c r="W59" s="7" t="e">
        <f ca="1">IF(datasetCanada="Correlation",CORREL(OFFSET('Calc Canada'!$B$2,0,MATCH(Canada!$F59,'Calc Canada'!$1:$1,0)-2,300,1),OFFSET('Calc Canada'!$B$2,0,MATCH(Canada!W$43,'Calc Canada'!$1:$1,0)-2,300,1)),ABS(OFFSET('Calc Canada'!$B$2,0,MATCH(Canada!$F59,'Calc Canada'!$A$1:$U$1,0)-2)-OFFSET('Calc Canada'!$B$2,0,MATCH(W$43,'Calc Canada'!$A$1:$U$1,0)-2)))</f>
        <v>#N/A</v>
      </c>
      <c r="X59" s="7" t="e">
        <f ca="1">IF(datasetCanada="Correlation",CORREL(OFFSET('Calc Canada'!$B$2,0,MATCH(Canada!$F59,'Calc Canada'!$1:$1,0)-2,300,1),OFFSET('Calc Canada'!$B$2,0,MATCH(Canada!X$43,'Calc Canada'!$1:$1,0)-2,300,1)),ABS(OFFSET('Calc Canada'!$B$2,0,MATCH(Canada!$F59,'Calc Canada'!$A$1:$U$1,0)-2)-OFFSET('Calc Canada'!$B$2,0,MATCH(X$43,'Calc Canada'!$A$1:$U$1,0)-2)))</f>
        <v>#N/A</v>
      </c>
      <c r="Y59" s="7" t="e">
        <f ca="1">IF(datasetCanada="Correlation",CORREL(OFFSET('Calc Canada'!$B$2,0,MATCH(Canada!$F59,'Calc Canada'!$1:$1,0)-2,300,1),OFFSET('Calc Canada'!$B$2,0,MATCH(Canada!Y$43,'Calc Canada'!$1:$1,0)-2,300,1)),ABS(OFFSET('Calc Canada'!$B$2,0,MATCH(Canada!$F59,'Calc Canada'!$A$1:$U$1,0)-2)-OFFSET('Calc Canada'!$B$2,0,MATCH(Y$43,'Calc Canada'!$A$1:$U$1,0)-2)))</f>
        <v>#N/A</v>
      </c>
      <c r="Z59" s="7" t="e">
        <f ca="1">IF(datasetCanada="Correlation",CORREL(OFFSET('Calc Canada'!$B$2,0,MATCH(Canada!$F59,'Calc Canada'!$1:$1,0)-2,300,1),OFFSET('Calc Canada'!$B$2,0,MATCH(Canada!Z$43,'Calc Canada'!$1:$1,0)-2,300,1)),ABS(OFFSET('Calc Canada'!$B$2,0,MATCH(Canada!$F59,'Calc Canada'!$A$1:$U$1,0)-2)-OFFSET('Calc Canada'!$B$2,0,MATCH(Z$43,'Calc Canada'!$A$1:$U$1,0)-2)))</f>
        <v>#N/A</v>
      </c>
      <c r="AC59" s="7"/>
      <c r="AD59" s="7"/>
      <c r="AE59" s="7"/>
      <c r="AF59" s="7"/>
      <c r="AG59" s="7"/>
      <c r="AH59" s="7"/>
      <c r="AI59" s="7"/>
      <c r="AJ59" s="7"/>
      <c r="AK59" s="7"/>
      <c r="AL59" s="7"/>
      <c r="AM59" s="7"/>
      <c r="AN59" s="7"/>
      <c r="AO59" s="7"/>
      <c r="AP59" s="7"/>
      <c r="AQ59" s="7"/>
      <c r="AR59" s="7"/>
      <c r="AS59" s="7"/>
      <c r="AT59" s="7"/>
      <c r="AU59" s="7"/>
      <c r="AV59" s="7"/>
      <c r="AW59" s="7"/>
      <c r="AX59" s="7"/>
    </row>
    <row r="60" spans="1:50" ht="15" hidden="1" customHeight="1" x14ac:dyDescent="0.25">
      <c r="A60" s="6"/>
      <c r="B60" s="6" t="str">
        <f>_xll.BDP($A60,"last price")</f>
        <v>#N/A Invalid Security</v>
      </c>
      <c r="C60" s="8" t="str">
        <f>IF(OR(MID(A60,3,1)="H",MID(A60,3,1)="M",MID(A60,3,1)="U",MID(A60,3,1)="Z"),MAX($C$43:C59)+1,"")</f>
        <v/>
      </c>
      <c r="D60" s="9" t="e">
        <f t="shared" ca="1" si="4"/>
        <v>#N/A</v>
      </c>
      <c r="E60" s="11"/>
      <c r="F60" s="6" t="e">
        <f ca="1">_xll.BDP($D60,"TICKER")</f>
        <v>#N/A</v>
      </c>
      <c r="G60" s="7" t="e">
        <f ca="1">IF(datasetCanada="Correlation",CORREL(OFFSET('Calc Canada'!$B$2,0,MATCH(Canada!$F60,'Calc Canada'!$1:$1,0)-2,300,1),OFFSET('Calc Canada'!$B$2,0,MATCH(Canada!G$43,'Calc Canada'!$1:$1,0)-2,300,1)),ABS(OFFSET('Calc Canada'!$B$2,0,MATCH(Canada!$F60,'Calc Canada'!$A$1:$U$1,0)-2)-OFFSET('Calc Canada'!$B$2,0,MATCH(G$43,'Calc Canada'!$A$1:$U$1,0)-2)))</f>
        <v>#N/A</v>
      </c>
      <c r="H60" s="7" t="e">
        <f ca="1">IF(datasetCanada="Correlation",CORREL(OFFSET('Calc Canada'!$B$2,0,MATCH(Canada!$F60,'Calc Canada'!$1:$1,0)-2,300,1),OFFSET('Calc Canada'!$B$2,0,MATCH(Canada!H$43,'Calc Canada'!$1:$1,0)-2,300,1)),ABS(OFFSET('Calc Canada'!$B$2,0,MATCH(Canada!$F60,'Calc Canada'!$A$1:$U$1,0)-2)-OFFSET('Calc Canada'!$B$2,0,MATCH(H$43,'Calc Canada'!$A$1:$U$1,0)-2)))</f>
        <v>#N/A</v>
      </c>
      <c r="I60" s="7" t="e">
        <f ca="1">IF(datasetCanada="Correlation",CORREL(OFFSET('Calc Canada'!$B$2,0,MATCH(Canada!$F60,'Calc Canada'!$1:$1,0)-2,300,1),OFFSET('Calc Canada'!$B$2,0,MATCH(Canada!I$43,'Calc Canada'!$1:$1,0)-2,300,1)),ABS(OFFSET('Calc Canada'!$B$2,0,MATCH(Canada!$F60,'Calc Canada'!$A$1:$U$1,0)-2)-OFFSET('Calc Canada'!$B$2,0,MATCH(I$43,'Calc Canada'!$A$1:$U$1,0)-2)))</f>
        <v>#N/A</v>
      </c>
      <c r="J60" s="7" t="e">
        <f ca="1">IF(datasetCanada="Correlation",CORREL(OFFSET('Calc Canada'!$B$2,0,MATCH(Canada!$F60,'Calc Canada'!$1:$1,0)-2,300,1),OFFSET('Calc Canada'!$B$2,0,MATCH(Canada!J$43,'Calc Canada'!$1:$1,0)-2,300,1)),ABS(OFFSET('Calc Canada'!$B$2,0,MATCH(Canada!$F60,'Calc Canada'!$A$1:$U$1,0)-2)-OFFSET('Calc Canada'!$B$2,0,MATCH(J$43,'Calc Canada'!$A$1:$U$1,0)-2)))</f>
        <v>#N/A</v>
      </c>
      <c r="K60" s="7" t="e">
        <f ca="1">IF(datasetCanada="Correlation",CORREL(OFFSET('Calc Canada'!$B$2,0,MATCH(Canada!$F60,'Calc Canada'!$1:$1,0)-2,300,1),OFFSET('Calc Canada'!$B$2,0,MATCH(Canada!K$43,'Calc Canada'!$1:$1,0)-2,300,1)),ABS(OFFSET('Calc Canada'!$B$2,0,MATCH(Canada!$F60,'Calc Canada'!$A$1:$U$1,0)-2)-OFFSET('Calc Canada'!$B$2,0,MATCH(K$43,'Calc Canada'!$A$1:$U$1,0)-2)))</f>
        <v>#N/A</v>
      </c>
      <c r="L60" s="7" t="e">
        <f ca="1">IF(datasetCanada="Correlation",CORREL(OFFSET('Calc Canada'!$B$2,0,MATCH(Canada!$F60,'Calc Canada'!$1:$1,0)-2,300,1),OFFSET('Calc Canada'!$B$2,0,MATCH(Canada!L$43,'Calc Canada'!$1:$1,0)-2,300,1)),ABS(OFFSET('Calc Canada'!$B$2,0,MATCH(Canada!$F60,'Calc Canada'!$A$1:$U$1,0)-2)-OFFSET('Calc Canada'!$B$2,0,MATCH(L$43,'Calc Canada'!$A$1:$U$1,0)-2)))</f>
        <v>#N/A</v>
      </c>
      <c r="M60" s="7" t="e">
        <f ca="1">IF(datasetCanada="Correlation",CORREL(OFFSET('Calc Canada'!$B$2,0,MATCH(Canada!$F60,'Calc Canada'!$1:$1,0)-2,300,1),OFFSET('Calc Canada'!$B$2,0,MATCH(Canada!M$43,'Calc Canada'!$1:$1,0)-2,300,1)),ABS(OFFSET('Calc Canada'!$B$2,0,MATCH(Canada!$F60,'Calc Canada'!$A$1:$U$1,0)-2)-OFFSET('Calc Canada'!$B$2,0,MATCH(M$43,'Calc Canada'!$A$1:$U$1,0)-2)))</f>
        <v>#N/A</v>
      </c>
      <c r="N60" s="7" t="e">
        <f ca="1">IF(datasetCanada="Correlation",CORREL(OFFSET('Calc Canada'!$B$2,0,MATCH(Canada!$F60,'Calc Canada'!$1:$1,0)-2,300,1),OFFSET('Calc Canada'!$B$2,0,MATCH(Canada!N$43,'Calc Canada'!$1:$1,0)-2,300,1)),ABS(OFFSET('Calc Canada'!$B$2,0,MATCH(Canada!$F60,'Calc Canada'!$A$1:$U$1,0)-2)-OFFSET('Calc Canada'!$B$2,0,MATCH(N$43,'Calc Canada'!$A$1:$U$1,0)-2)))</f>
        <v>#N/A</v>
      </c>
      <c r="O60" s="7" t="e">
        <f ca="1">IF(datasetCanada="Correlation",CORREL(OFFSET('Calc Canada'!$B$2,0,MATCH(Canada!$F60,'Calc Canada'!$1:$1,0)-2,300,1),OFFSET('Calc Canada'!$B$2,0,MATCH(Canada!O$43,'Calc Canada'!$1:$1,0)-2,300,1)),ABS(OFFSET('Calc Canada'!$B$2,0,MATCH(Canada!$F60,'Calc Canada'!$A$1:$U$1,0)-2)-OFFSET('Calc Canada'!$B$2,0,MATCH(O$43,'Calc Canada'!$A$1:$U$1,0)-2)))</f>
        <v>#N/A</v>
      </c>
      <c r="P60" s="7" t="e">
        <f ca="1">IF(datasetCanada="Correlation",CORREL(OFFSET('Calc Canada'!$B$2,0,MATCH(Canada!$F60,'Calc Canada'!$1:$1,0)-2,300,1),OFFSET('Calc Canada'!$B$2,0,MATCH(Canada!P$43,'Calc Canada'!$1:$1,0)-2,300,1)),ABS(OFFSET('Calc Canada'!$B$2,0,MATCH(Canada!$F60,'Calc Canada'!$A$1:$U$1,0)-2)-OFFSET('Calc Canada'!$B$2,0,MATCH(P$43,'Calc Canada'!$A$1:$U$1,0)-2)))</f>
        <v>#N/A</v>
      </c>
      <c r="Q60" s="7" t="e">
        <f ca="1">IF(datasetCanada="Correlation",CORREL(OFFSET('Calc Canada'!$B$2,0,MATCH(Canada!$F60,'Calc Canada'!$1:$1,0)-2,300,1),OFFSET('Calc Canada'!$B$2,0,MATCH(Canada!Q$43,'Calc Canada'!$1:$1,0)-2,300,1)),ABS(OFFSET('Calc Canada'!$B$2,0,MATCH(Canada!$F60,'Calc Canada'!$A$1:$U$1,0)-2)-OFFSET('Calc Canada'!$B$2,0,MATCH(Q$43,'Calc Canada'!$A$1:$U$1,0)-2)))</f>
        <v>#N/A</v>
      </c>
      <c r="R60" s="7" t="e">
        <f ca="1">IF(datasetCanada="Correlation",CORREL(OFFSET('Calc Canada'!$B$2,0,MATCH(Canada!$F60,'Calc Canada'!$1:$1,0)-2,300,1),OFFSET('Calc Canada'!$B$2,0,MATCH(Canada!R$43,'Calc Canada'!$1:$1,0)-2,300,1)),ABS(OFFSET('Calc Canada'!$B$2,0,MATCH(Canada!$F60,'Calc Canada'!$A$1:$U$1,0)-2)-OFFSET('Calc Canada'!$B$2,0,MATCH(R$43,'Calc Canada'!$A$1:$U$1,0)-2)))</f>
        <v>#N/A</v>
      </c>
      <c r="S60" s="7" t="e">
        <f ca="1">IF(datasetCanada="Correlation",CORREL(OFFSET('Calc Canada'!$B$2,0,MATCH(Canada!$F60,'Calc Canada'!$1:$1,0)-2,300,1),OFFSET('Calc Canada'!$B$2,0,MATCH(Canada!S$43,'Calc Canada'!$1:$1,0)-2,300,1)),ABS(OFFSET('Calc Canada'!$B$2,0,MATCH(Canada!$F60,'Calc Canada'!$A$1:$U$1,0)-2)-OFFSET('Calc Canada'!$B$2,0,MATCH(S$43,'Calc Canada'!$A$1:$U$1,0)-2)))</f>
        <v>#N/A</v>
      </c>
      <c r="T60" s="7" t="e">
        <f ca="1">IF(datasetCanada="Correlation",CORREL(OFFSET('Calc Canada'!$B$2,0,MATCH(Canada!$F60,'Calc Canada'!$1:$1,0)-2,300,1),OFFSET('Calc Canada'!$B$2,0,MATCH(Canada!T$43,'Calc Canada'!$1:$1,0)-2,300,1)),ABS(OFFSET('Calc Canada'!$B$2,0,MATCH(Canada!$F60,'Calc Canada'!$A$1:$U$1,0)-2)-OFFSET('Calc Canada'!$B$2,0,MATCH(T$43,'Calc Canada'!$A$1:$U$1,0)-2)))</f>
        <v>#N/A</v>
      </c>
      <c r="U60" s="7" t="e">
        <f ca="1">IF(datasetCanada="Correlation",CORREL(OFFSET('Calc Canada'!$B$2,0,MATCH(Canada!$F60,'Calc Canada'!$1:$1,0)-2,300,1),OFFSET('Calc Canada'!$B$2,0,MATCH(Canada!U$43,'Calc Canada'!$1:$1,0)-2,300,1)),ABS(OFFSET('Calc Canada'!$B$2,0,MATCH(Canada!$F60,'Calc Canada'!$A$1:$U$1,0)-2)-OFFSET('Calc Canada'!$B$2,0,MATCH(U$43,'Calc Canada'!$A$1:$U$1,0)-2)))</f>
        <v>#N/A</v>
      </c>
      <c r="V60" s="7" t="e">
        <f ca="1">IF(datasetCanada="Correlation",CORREL(OFFSET('Calc Canada'!$B$2,0,MATCH(Canada!$F60,'Calc Canada'!$1:$1,0)-2,300,1),OFFSET('Calc Canada'!$B$2,0,MATCH(Canada!V$43,'Calc Canada'!$1:$1,0)-2,300,1)),ABS(OFFSET('Calc Canada'!$B$2,0,MATCH(Canada!$F60,'Calc Canada'!$A$1:$U$1,0)-2)-OFFSET('Calc Canada'!$B$2,0,MATCH(V$43,'Calc Canada'!$A$1:$U$1,0)-2)))</f>
        <v>#N/A</v>
      </c>
      <c r="W60" s="7" t="e">
        <f ca="1">IF(datasetCanada="Correlation",CORREL(OFFSET('Calc Canada'!$B$2,0,MATCH(Canada!$F60,'Calc Canada'!$1:$1,0)-2,300,1),OFFSET('Calc Canada'!$B$2,0,MATCH(Canada!W$43,'Calc Canada'!$1:$1,0)-2,300,1)),ABS(OFFSET('Calc Canada'!$B$2,0,MATCH(Canada!$F60,'Calc Canada'!$A$1:$U$1,0)-2)-OFFSET('Calc Canada'!$B$2,0,MATCH(W$43,'Calc Canada'!$A$1:$U$1,0)-2)))</f>
        <v>#N/A</v>
      </c>
      <c r="X60" s="7" t="e">
        <f ca="1">IF(datasetCanada="Correlation",CORREL(OFFSET('Calc Canada'!$B$2,0,MATCH(Canada!$F60,'Calc Canada'!$1:$1,0)-2,300,1),OFFSET('Calc Canada'!$B$2,0,MATCH(Canada!X$43,'Calc Canada'!$1:$1,0)-2,300,1)),ABS(OFFSET('Calc Canada'!$B$2,0,MATCH(Canada!$F60,'Calc Canada'!$A$1:$U$1,0)-2)-OFFSET('Calc Canada'!$B$2,0,MATCH(X$43,'Calc Canada'!$A$1:$U$1,0)-2)))</f>
        <v>#N/A</v>
      </c>
      <c r="Y60" s="7" t="e">
        <f ca="1">IF(datasetCanada="Correlation",CORREL(OFFSET('Calc Canada'!$B$2,0,MATCH(Canada!$F60,'Calc Canada'!$1:$1,0)-2,300,1),OFFSET('Calc Canada'!$B$2,0,MATCH(Canada!Y$43,'Calc Canada'!$1:$1,0)-2,300,1)),ABS(OFFSET('Calc Canada'!$B$2,0,MATCH(Canada!$F60,'Calc Canada'!$A$1:$U$1,0)-2)-OFFSET('Calc Canada'!$B$2,0,MATCH(Y$43,'Calc Canada'!$A$1:$U$1,0)-2)))</f>
        <v>#N/A</v>
      </c>
      <c r="Z60" s="7" t="e">
        <f ca="1">IF(datasetCanada="Correlation",CORREL(OFFSET('Calc Canada'!$B$2,0,MATCH(Canada!$F60,'Calc Canada'!$1:$1,0)-2,300,1),OFFSET('Calc Canada'!$B$2,0,MATCH(Canada!Z$43,'Calc Canada'!$1:$1,0)-2,300,1)),ABS(OFFSET('Calc Canada'!$B$2,0,MATCH(Canada!$F60,'Calc Canada'!$A$1:$U$1,0)-2)-OFFSET('Calc Canada'!$B$2,0,MATCH(Z$43,'Calc Canada'!$A$1:$U$1,0)-2)))</f>
        <v>#N/A</v>
      </c>
      <c r="AC60" s="7"/>
      <c r="AD60" s="7"/>
      <c r="AE60" s="7"/>
      <c r="AF60" s="7"/>
      <c r="AG60" s="7"/>
      <c r="AH60" s="7"/>
      <c r="AI60" s="7"/>
      <c r="AJ60" s="7"/>
      <c r="AK60" s="7"/>
      <c r="AL60" s="7"/>
      <c r="AM60" s="7"/>
      <c r="AN60" s="7"/>
      <c r="AO60" s="7"/>
      <c r="AP60" s="7"/>
      <c r="AQ60" s="7"/>
      <c r="AR60" s="7"/>
      <c r="AS60" s="7"/>
      <c r="AT60" s="7"/>
      <c r="AU60" s="7"/>
      <c r="AV60" s="7"/>
      <c r="AW60" s="7"/>
      <c r="AX60" s="7"/>
    </row>
    <row r="61" spans="1:50" ht="15" hidden="1" customHeight="1" x14ac:dyDescent="0.25">
      <c r="A61" s="6"/>
      <c r="B61" s="6" t="str">
        <f>_xll.BDP($A61,"last price")</f>
        <v>#N/A Invalid Security</v>
      </c>
      <c r="C61" s="8" t="str">
        <f>IF(OR(MID(A61,3,1)="H",MID(A61,3,1)="M",MID(A61,3,1)="U",MID(A61,3,1)="Z"),MAX($C$43:C60)+1,"")</f>
        <v/>
      </c>
      <c r="D61" s="9" t="e">
        <f t="shared" ca="1" si="4"/>
        <v>#N/A</v>
      </c>
      <c r="E61" s="11"/>
      <c r="F61" s="12" t="e">
        <f ca="1">_xll.BDP($D61,"TICKER")</f>
        <v>#N/A</v>
      </c>
      <c r="G61" s="7" t="e">
        <f ca="1">IF(datasetCanada="Correlation",CORREL(OFFSET('Calc Canada'!$B$2,0,MATCH(Canada!$F61,'Calc Canada'!$1:$1,0)-2,300,1),OFFSET('Calc Canada'!$B$2,0,MATCH(Canada!G$43,'Calc Canada'!$1:$1,0)-2,300,1)),ABS(OFFSET('Calc Canada'!$B$2,0,MATCH(Canada!$F61,'Calc Canada'!$A$1:$U$1,0)-2)-OFFSET('Calc Canada'!$B$2,0,MATCH(G$43,'Calc Canada'!$A$1:$U$1,0)-2)))</f>
        <v>#N/A</v>
      </c>
      <c r="H61" s="7" t="e">
        <f ca="1">IF(datasetCanada="Correlation",CORREL(OFFSET('Calc Canada'!$B$2,0,MATCH(Canada!$F61,'Calc Canada'!$1:$1,0)-2,300,1),OFFSET('Calc Canada'!$B$2,0,MATCH(Canada!H$43,'Calc Canada'!$1:$1,0)-2,300,1)),ABS(OFFSET('Calc Canada'!$B$2,0,MATCH(Canada!$F61,'Calc Canada'!$A$1:$U$1,0)-2)-OFFSET('Calc Canada'!$B$2,0,MATCH(H$43,'Calc Canada'!$A$1:$U$1,0)-2)))</f>
        <v>#N/A</v>
      </c>
      <c r="I61" s="7" t="e">
        <f ca="1">IF(datasetCanada="Correlation",CORREL(OFFSET('Calc Canada'!$B$2,0,MATCH(Canada!$F61,'Calc Canada'!$1:$1,0)-2,300,1),OFFSET('Calc Canada'!$B$2,0,MATCH(Canada!I$43,'Calc Canada'!$1:$1,0)-2,300,1)),ABS(OFFSET('Calc Canada'!$B$2,0,MATCH(Canada!$F61,'Calc Canada'!$A$1:$U$1,0)-2)-OFFSET('Calc Canada'!$B$2,0,MATCH(I$43,'Calc Canada'!$A$1:$U$1,0)-2)))</f>
        <v>#N/A</v>
      </c>
      <c r="J61" s="7" t="e">
        <f ca="1">IF(datasetCanada="Correlation",CORREL(OFFSET('Calc Canada'!$B$2,0,MATCH(Canada!$F61,'Calc Canada'!$1:$1,0)-2,300,1),OFFSET('Calc Canada'!$B$2,0,MATCH(Canada!J$43,'Calc Canada'!$1:$1,0)-2,300,1)),ABS(OFFSET('Calc Canada'!$B$2,0,MATCH(Canada!$F61,'Calc Canada'!$A$1:$U$1,0)-2)-OFFSET('Calc Canada'!$B$2,0,MATCH(J$43,'Calc Canada'!$A$1:$U$1,0)-2)))</f>
        <v>#N/A</v>
      </c>
      <c r="K61" s="7" t="e">
        <f ca="1">IF(datasetCanada="Correlation",CORREL(OFFSET('Calc Canada'!$B$2,0,MATCH(Canada!$F61,'Calc Canada'!$1:$1,0)-2,300,1),OFFSET('Calc Canada'!$B$2,0,MATCH(Canada!K$43,'Calc Canada'!$1:$1,0)-2,300,1)),ABS(OFFSET('Calc Canada'!$B$2,0,MATCH(Canada!$F61,'Calc Canada'!$A$1:$U$1,0)-2)-OFFSET('Calc Canada'!$B$2,0,MATCH(K$43,'Calc Canada'!$A$1:$U$1,0)-2)))</f>
        <v>#N/A</v>
      </c>
      <c r="L61" s="7" t="e">
        <f ca="1">IF(datasetCanada="Correlation",CORREL(OFFSET('Calc Canada'!$B$2,0,MATCH(Canada!$F61,'Calc Canada'!$1:$1,0)-2,300,1),OFFSET('Calc Canada'!$B$2,0,MATCH(Canada!L$43,'Calc Canada'!$1:$1,0)-2,300,1)),ABS(OFFSET('Calc Canada'!$B$2,0,MATCH(Canada!$F61,'Calc Canada'!$A$1:$U$1,0)-2)-OFFSET('Calc Canada'!$B$2,0,MATCH(L$43,'Calc Canada'!$A$1:$U$1,0)-2)))</f>
        <v>#N/A</v>
      </c>
      <c r="M61" s="7" t="e">
        <f ca="1">IF(datasetCanada="Correlation",CORREL(OFFSET('Calc Canada'!$B$2,0,MATCH(Canada!$F61,'Calc Canada'!$1:$1,0)-2,300,1),OFFSET('Calc Canada'!$B$2,0,MATCH(Canada!M$43,'Calc Canada'!$1:$1,0)-2,300,1)),ABS(OFFSET('Calc Canada'!$B$2,0,MATCH(Canada!$F61,'Calc Canada'!$A$1:$U$1,0)-2)-OFFSET('Calc Canada'!$B$2,0,MATCH(M$43,'Calc Canada'!$A$1:$U$1,0)-2)))</f>
        <v>#N/A</v>
      </c>
      <c r="N61" s="7" t="e">
        <f ca="1">IF(datasetCanada="Correlation",CORREL(OFFSET('Calc Canada'!$B$2,0,MATCH(Canada!$F61,'Calc Canada'!$1:$1,0)-2,300,1),OFFSET('Calc Canada'!$B$2,0,MATCH(Canada!N$43,'Calc Canada'!$1:$1,0)-2,300,1)),ABS(OFFSET('Calc Canada'!$B$2,0,MATCH(Canada!$F61,'Calc Canada'!$A$1:$U$1,0)-2)-OFFSET('Calc Canada'!$B$2,0,MATCH(N$43,'Calc Canada'!$A$1:$U$1,0)-2)))</f>
        <v>#N/A</v>
      </c>
      <c r="O61" s="7" t="e">
        <f ca="1">IF(datasetCanada="Correlation",CORREL(OFFSET('Calc Canada'!$B$2,0,MATCH(Canada!$F61,'Calc Canada'!$1:$1,0)-2,300,1),OFFSET('Calc Canada'!$B$2,0,MATCH(Canada!O$43,'Calc Canada'!$1:$1,0)-2,300,1)),ABS(OFFSET('Calc Canada'!$B$2,0,MATCH(Canada!$F61,'Calc Canada'!$A$1:$U$1,0)-2)-OFFSET('Calc Canada'!$B$2,0,MATCH(O$43,'Calc Canada'!$A$1:$U$1,0)-2)))</f>
        <v>#N/A</v>
      </c>
      <c r="P61" s="7" t="e">
        <f ca="1">IF(datasetCanada="Correlation",CORREL(OFFSET('Calc Canada'!$B$2,0,MATCH(Canada!$F61,'Calc Canada'!$1:$1,0)-2,300,1),OFFSET('Calc Canada'!$B$2,0,MATCH(Canada!P$43,'Calc Canada'!$1:$1,0)-2,300,1)),ABS(OFFSET('Calc Canada'!$B$2,0,MATCH(Canada!$F61,'Calc Canada'!$A$1:$U$1,0)-2)-OFFSET('Calc Canada'!$B$2,0,MATCH(P$43,'Calc Canada'!$A$1:$U$1,0)-2)))</f>
        <v>#N/A</v>
      </c>
      <c r="Q61" s="7" t="e">
        <f ca="1">IF(datasetCanada="Correlation",CORREL(OFFSET('Calc Canada'!$B$2,0,MATCH(Canada!$F61,'Calc Canada'!$1:$1,0)-2,300,1),OFFSET('Calc Canada'!$B$2,0,MATCH(Canada!Q$43,'Calc Canada'!$1:$1,0)-2,300,1)),ABS(OFFSET('Calc Canada'!$B$2,0,MATCH(Canada!$F61,'Calc Canada'!$A$1:$U$1,0)-2)-OFFSET('Calc Canada'!$B$2,0,MATCH(Q$43,'Calc Canada'!$A$1:$U$1,0)-2)))</f>
        <v>#N/A</v>
      </c>
      <c r="R61" s="7" t="e">
        <f ca="1">IF(datasetCanada="Correlation",CORREL(OFFSET('Calc Canada'!$B$2,0,MATCH(Canada!$F61,'Calc Canada'!$1:$1,0)-2,300,1),OFFSET('Calc Canada'!$B$2,0,MATCH(Canada!R$43,'Calc Canada'!$1:$1,0)-2,300,1)),ABS(OFFSET('Calc Canada'!$B$2,0,MATCH(Canada!$F61,'Calc Canada'!$A$1:$U$1,0)-2)-OFFSET('Calc Canada'!$B$2,0,MATCH(R$43,'Calc Canada'!$A$1:$U$1,0)-2)))</f>
        <v>#N/A</v>
      </c>
      <c r="S61" s="7" t="e">
        <f ca="1">IF(datasetCanada="Correlation",CORREL(OFFSET('Calc Canada'!$B$2,0,MATCH(Canada!$F61,'Calc Canada'!$1:$1,0)-2,300,1),OFFSET('Calc Canada'!$B$2,0,MATCH(Canada!S$43,'Calc Canada'!$1:$1,0)-2,300,1)),ABS(OFFSET('Calc Canada'!$B$2,0,MATCH(Canada!$F61,'Calc Canada'!$A$1:$U$1,0)-2)-OFFSET('Calc Canada'!$B$2,0,MATCH(S$43,'Calc Canada'!$A$1:$U$1,0)-2)))</f>
        <v>#N/A</v>
      </c>
      <c r="T61" s="7" t="e">
        <f ca="1">IF(datasetCanada="Correlation",CORREL(OFFSET('Calc Canada'!$B$2,0,MATCH(Canada!$F61,'Calc Canada'!$1:$1,0)-2,300,1),OFFSET('Calc Canada'!$B$2,0,MATCH(Canada!T$43,'Calc Canada'!$1:$1,0)-2,300,1)),ABS(OFFSET('Calc Canada'!$B$2,0,MATCH(Canada!$F61,'Calc Canada'!$A$1:$U$1,0)-2)-OFFSET('Calc Canada'!$B$2,0,MATCH(T$43,'Calc Canada'!$A$1:$U$1,0)-2)))</f>
        <v>#N/A</v>
      </c>
      <c r="U61" s="7" t="e">
        <f ca="1">IF(datasetCanada="Correlation",CORREL(OFFSET('Calc Canada'!$B$2,0,MATCH(Canada!$F61,'Calc Canada'!$1:$1,0)-2,300,1),OFFSET('Calc Canada'!$B$2,0,MATCH(Canada!U$43,'Calc Canada'!$1:$1,0)-2,300,1)),ABS(OFFSET('Calc Canada'!$B$2,0,MATCH(Canada!$F61,'Calc Canada'!$A$1:$U$1,0)-2)-OFFSET('Calc Canada'!$B$2,0,MATCH(U$43,'Calc Canada'!$A$1:$U$1,0)-2)))</f>
        <v>#N/A</v>
      </c>
      <c r="V61" s="7" t="e">
        <f ca="1">IF(datasetCanada="Correlation",CORREL(OFFSET('Calc Canada'!$B$2,0,MATCH(Canada!$F61,'Calc Canada'!$1:$1,0)-2,300,1),OFFSET('Calc Canada'!$B$2,0,MATCH(Canada!V$43,'Calc Canada'!$1:$1,0)-2,300,1)),ABS(OFFSET('Calc Canada'!$B$2,0,MATCH(Canada!$F61,'Calc Canada'!$A$1:$U$1,0)-2)-OFFSET('Calc Canada'!$B$2,0,MATCH(V$43,'Calc Canada'!$A$1:$U$1,0)-2)))</f>
        <v>#N/A</v>
      </c>
      <c r="W61" s="7" t="e">
        <f ca="1">IF(datasetCanada="Correlation",CORREL(OFFSET('Calc Canada'!$B$2,0,MATCH(Canada!$F61,'Calc Canada'!$1:$1,0)-2,300,1),OFFSET('Calc Canada'!$B$2,0,MATCH(Canada!W$43,'Calc Canada'!$1:$1,0)-2,300,1)),ABS(OFFSET('Calc Canada'!$B$2,0,MATCH(Canada!$F61,'Calc Canada'!$A$1:$U$1,0)-2)-OFFSET('Calc Canada'!$B$2,0,MATCH(W$43,'Calc Canada'!$A$1:$U$1,0)-2)))</f>
        <v>#N/A</v>
      </c>
      <c r="X61" s="7" t="e">
        <f ca="1">IF(datasetCanada="Correlation",CORREL(OFFSET('Calc Canada'!$B$2,0,MATCH(Canada!$F61,'Calc Canada'!$1:$1,0)-2,300,1),OFFSET('Calc Canada'!$B$2,0,MATCH(Canada!X$43,'Calc Canada'!$1:$1,0)-2,300,1)),ABS(OFFSET('Calc Canada'!$B$2,0,MATCH(Canada!$F61,'Calc Canada'!$A$1:$U$1,0)-2)-OFFSET('Calc Canada'!$B$2,0,MATCH(X$43,'Calc Canada'!$A$1:$U$1,0)-2)))</f>
        <v>#N/A</v>
      </c>
      <c r="Y61" s="7" t="e">
        <f ca="1">IF(datasetCanada="Correlation",CORREL(OFFSET('Calc Canada'!$B$2,0,MATCH(Canada!$F61,'Calc Canada'!$1:$1,0)-2,300,1),OFFSET('Calc Canada'!$B$2,0,MATCH(Canada!Y$43,'Calc Canada'!$1:$1,0)-2,300,1)),ABS(OFFSET('Calc Canada'!$B$2,0,MATCH(Canada!$F61,'Calc Canada'!$A$1:$U$1,0)-2)-OFFSET('Calc Canada'!$B$2,0,MATCH(Y$43,'Calc Canada'!$A$1:$U$1,0)-2)))</f>
        <v>#N/A</v>
      </c>
      <c r="Z61" s="7" t="e">
        <f ca="1">IF(datasetCanada="Correlation",CORREL(OFFSET('Calc Canada'!$B$2,0,MATCH(Canada!$F61,'Calc Canada'!$1:$1,0)-2,300,1),OFFSET('Calc Canada'!$B$2,0,MATCH(Canada!Z$43,'Calc Canada'!$1:$1,0)-2,300,1)),ABS(OFFSET('Calc Canada'!$B$2,0,MATCH(Canada!$F61,'Calc Canada'!$A$1:$U$1,0)-2)-OFFSET('Calc Canada'!$B$2,0,MATCH(Z$43,'Calc Canada'!$A$1:$U$1,0)-2)))</f>
        <v>#N/A</v>
      </c>
      <c r="AC61" s="7"/>
      <c r="AD61" s="7"/>
      <c r="AE61" s="7"/>
      <c r="AF61" s="7"/>
      <c r="AG61" s="7"/>
      <c r="AH61" s="7"/>
      <c r="AI61" s="7"/>
      <c r="AJ61" s="7"/>
      <c r="AK61" s="7"/>
      <c r="AL61" s="7"/>
      <c r="AM61" s="7"/>
      <c r="AN61" s="7"/>
      <c r="AO61" s="7"/>
      <c r="AP61" s="7"/>
      <c r="AQ61" s="7"/>
      <c r="AR61" s="7"/>
      <c r="AS61" s="7"/>
      <c r="AT61" s="7"/>
      <c r="AU61" s="7"/>
      <c r="AV61" s="7"/>
      <c r="AW61" s="7"/>
      <c r="AX61" s="7"/>
    </row>
    <row r="62" spans="1:50" ht="15" hidden="1" customHeight="1" x14ac:dyDescent="0.25">
      <c r="A62" s="6"/>
      <c r="B62" s="6" t="str">
        <f>_xll.BDP($A62,"last price")</f>
        <v>#N/A Invalid Security</v>
      </c>
      <c r="C62" s="8" t="str">
        <f>IF(OR(MID(A62,3,1)="H",MID(A62,3,1)="M",MID(A62,3,1)="U",MID(A62,3,1)="Z"),MAX($C$43:C61)+1,"")</f>
        <v/>
      </c>
      <c r="D62" s="9" t="e">
        <f t="shared" ca="1" si="4"/>
        <v>#N/A</v>
      </c>
      <c r="E62" s="11"/>
      <c r="F62" s="6" t="e">
        <f ca="1">_xll.BDP($D62,"TICKER")</f>
        <v>#N/A</v>
      </c>
      <c r="G62" s="7" t="e">
        <f ca="1">IF(datasetCanada="Correlation",CORREL(OFFSET('Calc Canada'!$B$2,0,MATCH(Canada!$F62,'Calc Canada'!$1:$1,0)-2,300,1),OFFSET('Calc Canada'!$B$2,0,MATCH(Canada!G$43,'Calc Canada'!$1:$1,0)-2,300,1)),ABS(OFFSET('Calc Canada'!$B$2,0,MATCH(Canada!$F62,'Calc Canada'!$A$1:$U$1,0)-2)-OFFSET('Calc Canada'!$B$2,0,MATCH(G$43,'Calc Canada'!$A$1:$U$1,0)-2)))</f>
        <v>#N/A</v>
      </c>
      <c r="H62" s="7" t="e">
        <f ca="1">IF(datasetCanada="Correlation",CORREL(OFFSET('Calc Canada'!$B$2,0,MATCH(Canada!$F62,'Calc Canada'!$1:$1,0)-2,300,1),OFFSET('Calc Canada'!$B$2,0,MATCH(Canada!H$43,'Calc Canada'!$1:$1,0)-2,300,1)),ABS(OFFSET('Calc Canada'!$B$2,0,MATCH(Canada!$F62,'Calc Canada'!$A$1:$U$1,0)-2)-OFFSET('Calc Canada'!$B$2,0,MATCH(H$43,'Calc Canada'!$A$1:$U$1,0)-2)))</f>
        <v>#N/A</v>
      </c>
      <c r="I62" s="7" t="e">
        <f ca="1">IF(datasetCanada="Correlation",CORREL(OFFSET('Calc Canada'!$B$2,0,MATCH(Canada!$F62,'Calc Canada'!$1:$1,0)-2,300,1),OFFSET('Calc Canada'!$B$2,0,MATCH(Canada!I$43,'Calc Canada'!$1:$1,0)-2,300,1)),ABS(OFFSET('Calc Canada'!$B$2,0,MATCH(Canada!$F62,'Calc Canada'!$A$1:$U$1,0)-2)-OFFSET('Calc Canada'!$B$2,0,MATCH(I$43,'Calc Canada'!$A$1:$U$1,0)-2)))</f>
        <v>#N/A</v>
      </c>
      <c r="J62" s="7" t="e">
        <f ca="1">IF(datasetCanada="Correlation",CORREL(OFFSET('Calc Canada'!$B$2,0,MATCH(Canada!$F62,'Calc Canada'!$1:$1,0)-2,300,1),OFFSET('Calc Canada'!$B$2,0,MATCH(Canada!J$43,'Calc Canada'!$1:$1,0)-2,300,1)),ABS(OFFSET('Calc Canada'!$B$2,0,MATCH(Canada!$F62,'Calc Canada'!$A$1:$U$1,0)-2)-OFFSET('Calc Canada'!$B$2,0,MATCH(J$43,'Calc Canada'!$A$1:$U$1,0)-2)))</f>
        <v>#N/A</v>
      </c>
      <c r="K62" s="7" t="e">
        <f ca="1">IF(datasetCanada="Correlation",CORREL(OFFSET('Calc Canada'!$B$2,0,MATCH(Canada!$F62,'Calc Canada'!$1:$1,0)-2,300,1),OFFSET('Calc Canada'!$B$2,0,MATCH(Canada!K$43,'Calc Canada'!$1:$1,0)-2,300,1)),ABS(OFFSET('Calc Canada'!$B$2,0,MATCH(Canada!$F62,'Calc Canada'!$A$1:$U$1,0)-2)-OFFSET('Calc Canada'!$B$2,0,MATCH(K$43,'Calc Canada'!$A$1:$U$1,0)-2)))</f>
        <v>#N/A</v>
      </c>
      <c r="L62" s="7" t="e">
        <f ca="1">IF(datasetCanada="Correlation",CORREL(OFFSET('Calc Canada'!$B$2,0,MATCH(Canada!$F62,'Calc Canada'!$1:$1,0)-2,300,1),OFFSET('Calc Canada'!$B$2,0,MATCH(Canada!L$43,'Calc Canada'!$1:$1,0)-2,300,1)),ABS(OFFSET('Calc Canada'!$B$2,0,MATCH(Canada!$F62,'Calc Canada'!$A$1:$U$1,0)-2)-OFFSET('Calc Canada'!$B$2,0,MATCH(L$43,'Calc Canada'!$A$1:$U$1,0)-2)))</f>
        <v>#N/A</v>
      </c>
      <c r="M62" s="7" t="e">
        <f ca="1">IF(datasetCanada="Correlation",CORREL(OFFSET('Calc Canada'!$B$2,0,MATCH(Canada!$F62,'Calc Canada'!$1:$1,0)-2,300,1),OFFSET('Calc Canada'!$B$2,0,MATCH(Canada!M$43,'Calc Canada'!$1:$1,0)-2,300,1)),ABS(OFFSET('Calc Canada'!$B$2,0,MATCH(Canada!$F62,'Calc Canada'!$A$1:$U$1,0)-2)-OFFSET('Calc Canada'!$B$2,0,MATCH(M$43,'Calc Canada'!$A$1:$U$1,0)-2)))</f>
        <v>#N/A</v>
      </c>
      <c r="N62" s="7" t="e">
        <f ca="1">IF(datasetCanada="Correlation",CORREL(OFFSET('Calc Canada'!$B$2,0,MATCH(Canada!$F62,'Calc Canada'!$1:$1,0)-2,300,1),OFFSET('Calc Canada'!$B$2,0,MATCH(Canada!N$43,'Calc Canada'!$1:$1,0)-2,300,1)),ABS(OFFSET('Calc Canada'!$B$2,0,MATCH(Canada!$F62,'Calc Canada'!$A$1:$U$1,0)-2)-OFFSET('Calc Canada'!$B$2,0,MATCH(N$43,'Calc Canada'!$A$1:$U$1,0)-2)))</f>
        <v>#N/A</v>
      </c>
      <c r="O62" s="7" t="e">
        <f ca="1">IF(datasetCanada="Correlation",CORREL(OFFSET('Calc Canada'!$B$2,0,MATCH(Canada!$F62,'Calc Canada'!$1:$1,0)-2,300,1),OFFSET('Calc Canada'!$B$2,0,MATCH(Canada!O$43,'Calc Canada'!$1:$1,0)-2,300,1)),ABS(OFFSET('Calc Canada'!$B$2,0,MATCH(Canada!$F62,'Calc Canada'!$A$1:$U$1,0)-2)-OFFSET('Calc Canada'!$B$2,0,MATCH(O$43,'Calc Canada'!$A$1:$U$1,0)-2)))</f>
        <v>#N/A</v>
      </c>
      <c r="P62" s="7" t="e">
        <f ca="1">IF(datasetCanada="Correlation",CORREL(OFFSET('Calc Canada'!$B$2,0,MATCH(Canada!$F62,'Calc Canada'!$1:$1,0)-2,300,1),OFFSET('Calc Canada'!$B$2,0,MATCH(Canada!P$43,'Calc Canada'!$1:$1,0)-2,300,1)),ABS(OFFSET('Calc Canada'!$B$2,0,MATCH(Canada!$F62,'Calc Canada'!$A$1:$U$1,0)-2)-OFFSET('Calc Canada'!$B$2,0,MATCH(P$43,'Calc Canada'!$A$1:$U$1,0)-2)))</f>
        <v>#N/A</v>
      </c>
      <c r="Q62" s="7" t="e">
        <f ca="1">IF(datasetCanada="Correlation",CORREL(OFFSET('Calc Canada'!$B$2,0,MATCH(Canada!$F62,'Calc Canada'!$1:$1,0)-2,300,1),OFFSET('Calc Canada'!$B$2,0,MATCH(Canada!Q$43,'Calc Canada'!$1:$1,0)-2,300,1)),ABS(OFFSET('Calc Canada'!$B$2,0,MATCH(Canada!$F62,'Calc Canada'!$A$1:$U$1,0)-2)-OFFSET('Calc Canada'!$B$2,0,MATCH(Q$43,'Calc Canada'!$A$1:$U$1,0)-2)))</f>
        <v>#N/A</v>
      </c>
      <c r="R62" s="7" t="e">
        <f ca="1">IF(datasetCanada="Correlation",CORREL(OFFSET('Calc Canada'!$B$2,0,MATCH(Canada!$F62,'Calc Canada'!$1:$1,0)-2,300,1),OFFSET('Calc Canada'!$B$2,0,MATCH(Canada!R$43,'Calc Canada'!$1:$1,0)-2,300,1)),ABS(OFFSET('Calc Canada'!$B$2,0,MATCH(Canada!$F62,'Calc Canada'!$A$1:$U$1,0)-2)-OFFSET('Calc Canada'!$B$2,0,MATCH(R$43,'Calc Canada'!$A$1:$U$1,0)-2)))</f>
        <v>#N/A</v>
      </c>
      <c r="S62" s="7" t="e">
        <f ca="1">IF(datasetCanada="Correlation",CORREL(OFFSET('Calc Canada'!$B$2,0,MATCH(Canada!$F62,'Calc Canada'!$1:$1,0)-2,300,1),OFFSET('Calc Canada'!$B$2,0,MATCH(Canada!S$43,'Calc Canada'!$1:$1,0)-2,300,1)),ABS(OFFSET('Calc Canada'!$B$2,0,MATCH(Canada!$F62,'Calc Canada'!$A$1:$U$1,0)-2)-OFFSET('Calc Canada'!$B$2,0,MATCH(S$43,'Calc Canada'!$A$1:$U$1,0)-2)))</f>
        <v>#N/A</v>
      </c>
      <c r="T62" s="7" t="e">
        <f ca="1">IF(datasetCanada="Correlation",CORREL(OFFSET('Calc Canada'!$B$2,0,MATCH(Canada!$F62,'Calc Canada'!$1:$1,0)-2,300,1),OFFSET('Calc Canada'!$B$2,0,MATCH(Canada!T$43,'Calc Canada'!$1:$1,0)-2,300,1)),ABS(OFFSET('Calc Canada'!$B$2,0,MATCH(Canada!$F62,'Calc Canada'!$A$1:$U$1,0)-2)-OFFSET('Calc Canada'!$B$2,0,MATCH(T$43,'Calc Canada'!$A$1:$U$1,0)-2)))</f>
        <v>#N/A</v>
      </c>
      <c r="U62" s="7" t="e">
        <f ca="1">IF(datasetCanada="Correlation",CORREL(OFFSET('Calc Canada'!$B$2,0,MATCH(Canada!$F62,'Calc Canada'!$1:$1,0)-2,300,1),OFFSET('Calc Canada'!$B$2,0,MATCH(Canada!U$43,'Calc Canada'!$1:$1,0)-2,300,1)),ABS(OFFSET('Calc Canada'!$B$2,0,MATCH(Canada!$F62,'Calc Canada'!$A$1:$U$1,0)-2)-OFFSET('Calc Canada'!$B$2,0,MATCH(U$43,'Calc Canada'!$A$1:$U$1,0)-2)))</f>
        <v>#N/A</v>
      </c>
      <c r="V62" s="7" t="e">
        <f ca="1">IF(datasetCanada="Correlation",CORREL(OFFSET('Calc Canada'!$B$2,0,MATCH(Canada!$F62,'Calc Canada'!$1:$1,0)-2,300,1),OFFSET('Calc Canada'!$B$2,0,MATCH(Canada!V$43,'Calc Canada'!$1:$1,0)-2,300,1)),ABS(OFFSET('Calc Canada'!$B$2,0,MATCH(Canada!$F62,'Calc Canada'!$A$1:$U$1,0)-2)-OFFSET('Calc Canada'!$B$2,0,MATCH(V$43,'Calc Canada'!$A$1:$U$1,0)-2)))</f>
        <v>#N/A</v>
      </c>
      <c r="W62" s="7" t="e">
        <f ca="1">IF(datasetCanada="Correlation",CORREL(OFFSET('Calc Canada'!$B$2,0,MATCH(Canada!$F62,'Calc Canada'!$1:$1,0)-2,300,1),OFFSET('Calc Canada'!$B$2,0,MATCH(Canada!W$43,'Calc Canada'!$1:$1,0)-2,300,1)),ABS(OFFSET('Calc Canada'!$B$2,0,MATCH(Canada!$F62,'Calc Canada'!$A$1:$U$1,0)-2)-OFFSET('Calc Canada'!$B$2,0,MATCH(W$43,'Calc Canada'!$A$1:$U$1,0)-2)))</f>
        <v>#N/A</v>
      </c>
      <c r="X62" s="7" t="e">
        <f ca="1">IF(datasetCanada="Correlation",CORREL(OFFSET('Calc Canada'!$B$2,0,MATCH(Canada!$F62,'Calc Canada'!$1:$1,0)-2,300,1),OFFSET('Calc Canada'!$B$2,0,MATCH(Canada!X$43,'Calc Canada'!$1:$1,0)-2,300,1)),ABS(OFFSET('Calc Canada'!$B$2,0,MATCH(Canada!$F62,'Calc Canada'!$A$1:$U$1,0)-2)-OFFSET('Calc Canada'!$B$2,0,MATCH(X$43,'Calc Canada'!$A$1:$U$1,0)-2)))</f>
        <v>#N/A</v>
      </c>
      <c r="Y62" s="7" t="e">
        <f ca="1">IF(datasetCanada="Correlation",CORREL(OFFSET('Calc Canada'!$B$2,0,MATCH(Canada!$F62,'Calc Canada'!$1:$1,0)-2,300,1),OFFSET('Calc Canada'!$B$2,0,MATCH(Canada!Y$43,'Calc Canada'!$1:$1,0)-2,300,1)),ABS(OFFSET('Calc Canada'!$B$2,0,MATCH(Canada!$F62,'Calc Canada'!$A$1:$U$1,0)-2)-OFFSET('Calc Canada'!$B$2,0,MATCH(Y$43,'Calc Canada'!$A$1:$U$1,0)-2)))</f>
        <v>#N/A</v>
      </c>
      <c r="Z62" s="7" t="e">
        <f ca="1">IF(datasetCanada="Correlation",CORREL(OFFSET('Calc Canada'!$B$2,0,MATCH(Canada!$F62,'Calc Canada'!$1:$1,0)-2,300,1),OFFSET('Calc Canada'!$B$2,0,MATCH(Canada!Z$43,'Calc Canada'!$1:$1,0)-2,300,1)),ABS(OFFSET('Calc Canada'!$B$2,0,MATCH(Canada!$F62,'Calc Canada'!$A$1:$U$1,0)-2)-OFFSET('Calc Canada'!$B$2,0,MATCH(Z$43,'Calc Canada'!$A$1:$U$1,0)-2)))</f>
        <v>#N/A</v>
      </c>
      <c r="AC62" s="7"/>
      <c r="AD62" s="7"/>
      <c r="AE62" s="7"/>
      <c r="AF62" s="7"/>
      <c r="AG62" s="7"/>
      <c r="AH62" s="7"/>
      <c r="AI62" s="7"/>
      <c r="AJ62" s="7"/>
      <c r="AK62" s="7"/>
      <c r="AL62" s="7"/>
      <c r="AM62" s="7"/>
      <c r="AN62" s="7"/>
      <c r="AO62" s="7"/>
      <c r="AP62" s="7"/>
      <c r="AQ62" s="7"/>
      <c r="AR62" s="7"/>
      <c r="AS62" s="7"/>
      <c r="AT62" s="7"/>
      <c r="AU62" s="7"/>
      <c r="AV62" s="7"/>
      <c r="AW62" s="7"/>
      <c r="AX62" s="7"/>
    </row>
    <row r="63" spans="1:50" ht="15" hidden="1" customHeight="1" x14ac:dyDescent="0.25">
      <c r="A63" s="6"/>
      <c r="B63" s="6" t="str">
        <f>_xll.BDP($A63,"last price")</f>
        <v>#N/A Invalid Security</v>
      </c>
      <c r="C63" s="8" t="str">
        <f>IF(OR(MID(A63,3,1)="H",MID(A63,3,1)="M",MID(A63,3,1)="U",MID(A63,3,1)="Z"),MAX($C$43:C62)+1,"")</f>
        <v/>
      </c>
      <c r="D63" s="9" t="e">
        <f t="shared" ca="1" si="4"/>
        <v>#N/A</v>
      </c>
      <c r="E63" s="11"/>
      <c r="F63" s="12" t="e">
        <f ca="1">_xll.BDP($D63,"TICKER")</f>
        <v>#N/A</v>
      </c>
      <c r="G63" s="7" t="e">
        <f ca="1">IF(datasetCanada="Correlation",CORREL(OFFSET('Calc Canada'!$B$2,0,MATCH(Canada!$F63,'Calc Canada'!$1:$1,0)-2,300,1),OFFSET('Calc Canada'!$B$2,0,MATCH(Canada!G$43,'Calc Canada'!$1:$1,0)-2,300,1)),ABS(OFFSET('Calc Canada'!$B$2,0,MATCH(Canada!$F63,'Calc Canada'!$A$1:$U$1,0)-2)-OFFSET('Calc Canada'!$B$2,0,MATCH(G$43,'Calc Canada'!$A$1:$U$1,0)-2)))</f>
        <v>#N/A</v>
      </c>
      <c r="H63" s="7" t="e">
        <f ca="1">IF(datasetCanada="Correlation",CORREL(OFFSET('Calc Canada'!$B$2,0,MATCH(Canada!$F63,'Calc Canada'!$1:$1,0)-2,300,1),OFFSET('Calc Canada'!$B$2,0,MATCH(Canada!H$43,'Calc Canada'!$1:$1,0)-2,300,1)),ABS(OFFSET('Calc Canada'!$B$2,0,MATCH(Canada!$F63,'Calc Canada'!$A$1:$U$1,0)-2)-OFFSET('Calc Canada'!$B$2,0,MATCH(H$43,'Calc Canada'!$A$1:$U$1,0)-2)))</f>
        <v>#N/A</v>
      </c>
      <c r="I63" s="7" t="e">
        <f ca="1">IF(datasetCanada="Correlation",CORREL(OFFSET('Calc Canada'!$B$2,0,MATCH(Canada!$F63,'Calc Canada'!$1:$1,0)-2,300,1),OFFSET('Calc Canada'!$B$2,0,MATCH(Canada!I$43,'Calc Canada'!$1:$1,0)-2,300,1)),ABS(OFFSET('Calc Canada'!$B$2,0,MATCH(Canada!$F63,'Calc Canada'!$A$1:$U$1,0)-2)-OFFSET('Calc Canada'!$B$2,0,MATCH(I$43,'Calc Canada'!$A$1:$U$1,0)-2)))</f>
        <v>#N/A</v>
      </c>
      <c r="J63" s="7" t="e">
        <f ca="1">IF(datasetCanada="Correlation",CORREL(OFFSET('Calc Canada'!$B$2,0,MATCH(Canada!$F63,'Calc Canada'!$1:$1,0)-2,300,1),OFFSET('Calc Canada'!$B$2,0,MATCH(Canada!J$43,'Calc Canada'!$1:$1,0)-2,300,1)),ABS(OFFSET('Calc Canada'!$B$2,0,MATCH(Canada!$F63,'Calc Canada'!$A$1:$U$1,0)-2)-OFFSET('Calc Canada'!$B$2,0,MATCH(J$43,'Calc Canada'!$A$1:$U$1,0)-2)))</f>
        <v>#N/A</v>
      </c>
      <c r="K63" s="7" t="e">
        <f ca="1">IF(datasetCanada="Correlation",CORREL(OFFSET('Calc Canada'!$B$2,0,MATCH(Canada!$F63,'Calc Canada'!$1:$1,0)-2,300,1),OFFSET('Calc Canada'!$B$2,0,MATCH(Canada!K$43,'Calc Canada'!$1:$1,0)-2,300,1)),ABS(OFFSET('Calc Canada'!$B$2,0,MATCH(Canada!$F63,'Calc Canada'!$A$1:$U$1,0)-2)-OFFSET('Calc Canada'!$B$2,0,MATCH(K$43,'Calc Canada'!$A$1:$U$1,0)-2)))</f>
        <v>#N/A</v>
      </c>
      <c r="L63" s="7" t="e">
        <f ca="1">IF(datasetCanada="Correlation",CORREL(OFFSET('Calc Canada'!$B$2,0,MATCH(Canada!$F63,'Calc Canada'!$1:$1,0)-2,300,1),OFFSET('Calc Canada'!$B$2,0,MATCH(Canada!L$43,'Calc Canada'!$1:$1,0)-2,300,1)),ABS(OFFSET('Calc Canada'!$B$2,0,MATCH(Canada!$F63,'Calc Canada'!$A$1:$U$1,0)-2)-OFFSET('Calc Canada'!$B$2,0,MATCH(L$43,'Calc Canada'!$A$1:$U$1,0)-2)))</f>
        <v>#N/A</v>
      </c>
      <c r="M63" s="7" t="e">
        <f ca="1">IF(datasetCanada="Correlation",CORREL(OFFSET('Calc Canada'!$B$2,0,MATCH(Canada!$F63,'Calc Canada'!$1:$1,0)-2,300,1),OFFSET('Calc Canada'!$B$2,0,MATCH(Canada!M$43,'Calc Canada'!$1:$1,0)-2,300,1)),ABS(OFFSET('Calc Canada'!$B$2,0,MATCH(Canada!$F63,'Calc Canada'!$A$1:$U$1,0)-2)-OFFSET('Calc Canada'!$B$2,0,MATCH(M$43,'Calc Canada'!$A$1:$U$1,0)-2)))</f>
        <v>#N/A</v>
      </c>
      <c r="N63" s="7" t="e">
        <f ca="1">IF(datasetCanada="Correlation",CORREL(OFFSET('Calc Canada'!$B$2,0,MATCH(Canada!$F63,'Calc Canada'!$1:$1,0)-2,300,1),OFFSET('Calc Canada'!$B$2,0,MATCH(Canada!N$43,'Calc Canada'!$1:$1,0)-2,300,1)),ABS(OFFSET('Calc Canada'!$B$2,0,MATCH(Canada!$F63,'Calc Canada'!$A$1:$U$1,0)-2)-OFFSET('Calc Canada'!$B$2,0,MATCH(N$43,'Calc Canada'!$A$1:$U$1,0)-2)))</f>
        <v>#N/A</v>
      </c>
      <c r="O63" s="7" t="e">
        <f ca="1">IF(datasetCanada="Correlation",CORREL(OFFSET('Calc Canada'!$B$2,0,MATCH(Canada!$F63,'Calc Canada'!$1:$1,0)-2,300,1),OFFSET('Calc Canada'!$B$2,0,MATCH(Canada!O$43,'Calc Canada'!$1:$1,0)-2,300,1)),ABS(OFFSET('Calc Canada'!$B$2,0,MATCH(Canada!$F63,'Calc Canada'!$A$1:$U$1,0)-2)-OFFSET('Calc Canada'!$B$2,0,MATCH(O$43,'Calc Canada'!$A$1:$U$1,0)-2)))</f>
        <v>#N/A</v>
      </c>
      <c r="P63" s="7" t="e">
        <f ca="1">IF(datasetCanada="Correlation",CORREL(OFFSET('Calc Canada'!$B$2,0,MATCH(Canada!$F63,'Calc Canada'!$1:$1,0)-2,300,1),OFFSET('Calc Canada'!$B$2,0,MATCH(Canada!P$43,'Calc Canada'!$1:$1,0)-2,300,1)),ABS(OFFSET('Calc Canada'!$B$2,0,MATCH(Canada!$F63,'Calc Canada'!$A$1:$U$1,0)-2)-OFFSET('Calc Canada'!$B$2,0,MATCH(P$43,'Calc Canada'!$A$1:$U$1,0)-2)))</f>
        <v>#N/A</v>
      </c>
      <c r="Q63" s="7" t="e">
        <f ca="1">IF(datasetCanada="Correlation",CORREL(OFFSET('Calc Canada'!$B$2,0,MATCH(Canada!$F63,'Calc Canada'!$1:$1,0)-2,300,1),OFFSET('Calc Canada'!$B$2,0,MATCH(Canada!Q$43,'Calc Canada'!$1:$1,0)-2,300,1)),ABS(OFFSET('Calc Canada'!$B$2,0,MATCH(Canada!$F63,'Calc Canada'!$A$1:$U$1,0)-2)-OFFSET('Calc Canada'!$B$2,0,MATCH(Q$43,'Calc Canada'!$A$1:$U$1,0)-2)))</f>
        <v>#N/A</v>
      </c>
      <c r="R63" s="7" t="e">
        <f ca="1">IF(datasetCanada="Correlation",CORREL(OFFSET('Calc Canada'!$B$2,0,MATCH(Canada!$F63,'Calc Canada'!$1:$1,0)-2,300,1),OFFSET('Calc Canada'!$B$2,0,MATCH(Canada!R$43,'Calc Canada'!$1:$1,0)-2,300,1)),ABS(OFFSET('Calc Canada'!$B$2,0,MATCH(Canada!$F63,'Calc Canada'!$A$1:$U$1,0)-2)-OFFSET('Calc Canada'!$B$2,0,MATCH(R$43,'Calc Canada'!$A$1:$U$1,0)-2)))</f>
        <v>#N/A</v>
      </c>
      <c r="S63" s="7" t="e">
        <f ca="1">IF(datasetCanada="Correlation",CORREL(OFFSET('Calc Canada'!$B$2,0,MATCH(Canada!$F63,'Calc Canada'!$1:$1,0)-2,300,1),OFFSET('Calc Canada'!$B$2,0,MATCH(Canada!S$43,'Calc Canada'!$1:$1,0)-2,300,1)),ABS(OFFSET('Calc Canada'!$B$2,0,MATCH(Canada!$F63,'Calc Canada'!$A$1:$U$1,0)-2)-OFFSET('Calc Canada'!$B$2,0,MATCH(S$43,'Calc Canada'!$A$1:$U$1,0)-2)))</f>
        <v>#N/A</v>
      </c>
      <c r="T63" s="7" t="e">
        <f ca="1">IF(datasetCanada="Correlation",CORREL(OFFSET('Calc Canada'!$B$2,0,MATCH(Canada!$F63,'Calc Canada'!$1:$1,0)-2,300,1),OFFSET('Calc Canada'!$B$2,0,MATCH(Canada!T$43,'Calc Canada'!$1:$1,0)-2,300,1)),ABS(OFFSET('Calc Canada'!$B$2,0,MATCH(Canada!$F63,'Calc Canada'!$A$1:$U$1,0)-2)-OFFSET('Calc Canada'!$B$2,0,MATCH(T$43,'Calc Canada'!$A$1:$U$1,0)-2)))</f>
        <v>#N/A</v>
      </c>
      <c r="U63" s="7" t="e">
        <f ca="1">IF(datasetCanada="Correlation",CORREL(OFFSET('Calc Canada'!$B$2,0,MATCH(Canada!$F63,'Calc Canada'!$1:$1,0)-2,300,1),OFFSET('Calc Canada'!$B$2,0,MATCH(Canada!U$43,'Calc Canada'!$1:$1,0)-2,300,1)),ABS(OFFSET('Calc Canada'!$B$2,0,MATCH(Canada!$F63,'Calc Canada'!$A$1:$U$1,0)-2)-OFFSET('Calc Canada'!$B$2,0,MATCH(U$43,'Calc Canada'!$A$1:$U$1,0)-2)))</f>
        <v>#N/A</v>
      </c>
      <c r="V63" s="7" t="e">
        <f ca="1">IF(datasetCanada="Correlation",CORREL(OFFSET('Calc Canada'!$B$2,0,MATCH(Canada!$F63,'Calc Canada'!$1:$1,0)-2,300,1),OFFSET('Calc Canada'!$B$2,0,MATCH(Canada!V$43,'Calc Canada'!$1:$1,0)-2,300,1)),ABS(OFFSET('Calc Canada'!$B$2,0,MATCH(Canada!$F63,'Calc Canada'!$A$1:$U$1,0)-2)-OFFSET('Calc Canada'!$B$2,0,MATCH(V$43,'Calc Canada'!$A$1:$U$1,0)-2)))</f>
        <v>#N/A</v>
      </c>
      <c r="W63" s="7" t="e">
        <f ca="1">IF(datasetCanada="Correlation",CORREL(OFFSET('Calc Canada'!$B$2,0,MATCH(Canada!$F63,'Calc Canada'!$1:$1,0)-2,300,1),OFFSET('Calc Canada'!$B$2,0,MATCH(Canada!W$43,'Calc Canada'!$1:$1,0)-2,300,1)),ABS(OFFSET('Calc Canada'!$B$2,0,MATCH(Canada!$F63,'Calc Canada'!$A$1:$U$1,0)-2)-OFFSET('Calc Canada'!$B$2,0,MATCH(W$43,'Calc Canada'!$A$1:$U$1,0)-2)))</f>
        <v>#N/A</v>
      </c>
      <c r="X63" s="7" t="e">
        <f ca="1">IF(datasetCanada="Correlation",CORREL(OFFSET('Calc Canada'!$B$2,0,MATCH(Canada!$F63,'Calc Canada'!$1:$1,0)-2,300,1),OFFSET('Calc Canada'!$B$2,0,MATCH(Canada!X$43,'Calc Canada'!$1:$1,0)-2,300,1)),ABS(OFFSET('Calc Canada'!$B$2,0,MATCH(Canada!$F63,'Calc Canada'!$A$1:$U$1,0)-2)-OFFSET('Calc Canada'!$B$2,0,MATCH(X$43,'Calc Canada'!$A$1:$U$1,0)-2)))</f>
        <v>#N/A</v>
      </c>
      <c r="Y63" s="7" t="e">
        <f ca="1">IF(datasetCanada="Correlation",CORREL(OFFSET('Calc Canada'!$B$2,0,MATCH(Canada!$F63,'Calc Canada'!$1:$1,0)-2,300,1),OFFSET('Calc Canada'!$B$2,0,MATCH(Canada!Y$43,'Calc Canada'!$1:$1,0)-2,300,1)),ABS(OFFSET('Calc Canada'!$B$2,0,MATCH(Canada!$F63,'Calc Canada'!$A$1:$U$1,0)-2)-OFFSET('Calc Canada'!$B$2,0,MATCH(Y$43,'Calc Canada'!$A$1:$U$1,0)-2)))</f>
        <v>#N/A</v>
      </c>
      <c r="Z63" s="7" t="e">
        <f ca="1">IF(datasetCanada="Correlation",CORREL(OFFSET('Calc Canada'!$B$2,0,MATCH(Canada!$F63,'Calc Canada'!$1:$1,0)-2,300,1),OFFSET('Calc Canada'!$B$2,0,MATCH(Canada!Z$43,'Calc Canada'!$1:$1,0)-2,300,1)),ABS(OFFSET('Calc Canada'!$B$2,0,MATCH(Canada!$F63,'Calc Canada'!$A$1:$U$1,0)-2)-OFFSET('Calc Canada'!$B$2,0,MATCH(Z$43,'Calc Canada'!$A$1:$U$1,0)-2)))</f>
        <v>#N/A</v>
      </c>
      <c r="AC63" s="7"/>
      <c r="AD63" s="7"/>
      <c r="AE63" s="7"/>
      <c r="AF63" s="7"/>
      <c r="AG63" s="7"/>
      <c r="AH63" s="7"/>
      <c r="AI63" s="7"/>
      <c r="AJ63" s="7"/>
      <c r="AK63" s="7"/>
      <c r="AL63" s="7"/>
      <c r="AM63" s="7"/>
      <c r="AN63" s="7"/>
      <c r="AO63" s="7"/>
      <c r="AP63" s="7"/>
      <c r="AQ63" s="7"/>
      <c r="AR63" s="7"/>
      <c r="AS63" s="7"/>
      <c r="AT63" s="7"/>
      <c r="AU63" s="7"/>
      <c r="AV63" s="7"/>
      <c r="AW63" s="7"/>
      <c r="AX63" s="7"/>
    </row>
    <row r="64" spans="1:50" ht="15" customHeight="1" x14ac:dyDescent="0.25">
      <c r="A64" s="6"/>
      <c r="B64" s="6" t="str">
        <f>_xll.BDP($A64,"last price")</f>
        <v>#N/A Invalid Security</v>
      </c>
      <c r="C64" s="8" t="str">
        <f>IF(OR(MID(A64,3,1)="H",MID(A64,3,1)="M",MID(A64,3,1)="U",MID(A64,3,1)="Z"),MAX($C$43:C63)+1,"")</f>
        <v/>
      </c>
      <c r="E64" s="11"/>
      <c r="F64" s="11"/>
      <c r="G64" s="7"/>
      <c r="H64" s="7"/>
      <c r="I64" s="7"/>
      <c r="J64" s="7"/>
      <c r="K64" s="7"/>
      <c r="L64" s="7"/>
      <c r="M64" s="7"/>
      <c r="N64" s="7"/>
      <c r="O64" s="7"/>
      <c r="P64" s="7"/>
      <c r="Q64" s="7"/>
      <c r="R64" s="7"/>
      <c r="S64" s="7"/>
      <c r="T64" s="7"/>
      <c r="U64" s="7"/>
      <c r="V64" s="7"/>
      <c r="W64" s="7"/>
      <c r="X64" s="7"/>
      <c r="Y64" s="7"/>
      <c r="Z64" s="7"/>
      <c r="AC64" s="7"/>
      <c r="AD64" s="7"/>
      <c r="AE64" s="7"/>
      <c r="AF64" s="7"/>
      <c r="AG64" s="7"/>
      <c r="AH64" s="7"/>
      <c r="AI64" s="7"/>
      <c r="AJ64" s="7"/>
      <c r="AK64" s="7"/>
      <c r="AL64" s="7"/>
      <c r="AM64" s="7"/>
      <c r="AN64" s="7"/>
      <c r="AO64" s="7"/>
      <c r="AP64" s="7"/>
      <c r="AQ64" s="7"/>
      <c r="AR64" s="7"/>
      <c r="AS64" s="7"/>
      <c r="AT64" s="7"/>
      <c r="AU64" s="7"/>
      <c r="AV64" s="7"/>
      <c r="AW64" s="7"/>
      <c r="AX64" s="7"/>
    </row>
    <row r="65" spans="1:50" ht="15" customHeight="1" x14ac:dyDescent="0.25">
      <c r="A65" s="6"/>
      <c r="B65" s="6" t="str">
        <f>_xll.BDP($A65,"last price")</f>
        <v>#N/A Invalid Security</v>
      </c>
      <c r="C65" s="8" t="str">
        <f>IF(OR(MID(A65,3,1)="H",MID(A65,3,1)="M",MID(A65,3,1)="U",MID(A65,3,1)="Z"),MAX($C$43:C64)+1,"")</f>
        <v/>
      </c>
      <c r="E65" s="11"/>
      <c r="F65" s="11"/>
      <c r="G65" s="7"/>
      <c r="H65" s="7"/>
      <c r="I65" s="7"/>
      <c r="J65" s="7"/>
      <c r="K65" s="7"/>
      <c r="L65" s="7"/>
      <c r="M65" s="7"/>
      <c r="N65" s="7"/>
      <c r="O65" s="7"/>
      <c r="P65" s="7"/>
      <c r="Q65" s="7"/>
      <c r="R65" s="7"/>
      <c r="S65" s="7"/>
      <c r="T65" s="7"/>
      <c r="U65" s="7"/>
      <c r="V65" s="7"/>
      <c r="W65" s="7"/>
      <c r="X65" s="7"/>
      <c r="Y65" s="7"/>
      <c r="Z65" s="7"/>
      <c r="AC65" s="7"/>
      <c r="AD65" s="7"/>
      <c r="AE65" s="7"/>
      <c r="AF65" s="7"/>
      <c r="AG65" s="7"/>
      <c r="AH65" s="7"/>
      <c r="AI65" s="7"/>
      <c r="AJ65" s="7"/>
      <c r="AK65" s="7"/>
      <c r="AL65" s="7"/>
      <c r="AM65" s="7"/>
      <c r="AN65" s="7"/>
      <c r="AO65" s="7"/>
      <c r="AP65" s="7"/>
      <c r="AQ65" s="7"/>
      <c r="AR65" s="7"/>
      <c r="AS65" s="7"/>
      <c r="AT65" s="7"/>
      <c r="AU65" s="7"/>
      <c r="AV65" s="7"/>
      <c r="AW65" s="7"/>
      <c r="AX65" s="7"/>
    </row>
    <row r="66" spans="1:50" ht="15" customHeight="1" x14ac:dyDescent="0.25">
      <c r="A66" s="6"/>
      <c r="B66" s="6" t="str">
        <f>_xll.BDP($A66,"last price")</f>
        <v>#N/A Invalid Security</v>
      </c>
      <c r="C66" s="8" t="str">
        <f>IF(OR(MID(A66,3,1)="H",MID(A66,3,1)="M",MID(A66,3,1)="U",MID(A66,3,1)="Z"),MAX($C$43:C65)+1,"")</f>
        <v/>
      </c>
      <c r="E66" s="11"/>
      <c r="F66" s="11"/>
      <c r="G66" s="7"/>
      <c r="H66" s="7"/>
      <c r="I66" s="7"/>
      <c r="J66" s="7"/>
      <c r="K66" s="7"/>
      <c r="L66" s="7"/>
      <c r="M66" s="7"/>
      <c r="N66" s="7"/>
      <c r="O66" s="7"/>
      <c r="P66" s="7"/>
      <c r="Q66" s="7"/>
      <c r="R66" s="7"/>
      <c r="S66" s="7"/>
      <c r="T66" s="7"/>
      <c r="U66" s="7"/>
      <c r="V66" s="7"/>
      <c r="W66" s="7"/>
      <c r="X66" s="7"/>
      <c r="Y66" s="7"/>
      <c r="Z66" s="7"/>
      <c r="AC66" s="7"/>
      <c r="AD66" s="7"/>
      <c r="AE66" s="7"/>
      <c r="AF66" s="7"/>
      <c r="AG66" s="7"/>
      <c r="AH66" s="7"/>
      <c r="AI66" s="7"/>
      <c r="AJ66" s="7"/>
      <c r="AK66" s="7"/>
      <c r="AL66" s="7"/>
      <c r="AM66" s="7"/>
      <c r="AN66" s="7"/>
      <c r="AO66" s="7"/>
      <c r="AP66" s="7"/>
      <c r="AQ66" s="7"/>
      <c r="AR66" s="7"/>
      <c r="AS66" s="7"/>
      <c r="AT66" s="7"/>
      <c r="AU66" s="7"/>
      <c r="AV66" s="7"/>
      <c r="AW66" s="7"/>
      <c r="AX66" s="7"/>
    </row>
    <row r="67" spans="1:50" ht="15" customHeight="1" x14ac:dyDescent="0.25">
      <c r="A67" s="6"/>
      <c r="B67" s="6" t="str">
        <f>_xll.BDP($A67,"last price")</f>
        <v>#N/A Invalid Security</v>
      </c>
      <c r="C67" s="8" t="str">
        <f>IF(OR(MID(A67,3,1)="H",MID(A67,3,1)="M",MID(A67,3,1)="U",MID(A67,3,1)="Z"),MAX($C$43:C66)+1,"")</f>
        <v/>
      </c>
      <c r="E67" s="11"/>
      <c r="F67" s="11"/>
      <c r="G67" s="7"/>
      <c r="H67" s="7"/>
      <c r="I67" s="7"/>
      <c r="J67" s="7"/>
      <c r="K67" s="7"/>
      <c r="L67" s="7"/>
      <c r="M67" s="7"/>
      <c r="N67" s="7"/>
      <c r="O67" s="7"/>
      <c r="P67" s="7"/>
      <c r="Q67" s="7"/>
      <c r="R67" s="7"/>
      <c r="S67" s="7"/>
      <c r="T67" s="7"/>
      <c r="U67" s="7"/>
      <c r="V67" s="7"/>
      <c r="W67" s="7"/>
      <c r="X67" s="7"/>
      <c r="Y67" s="7"/>
      <c r="Z67" s="7"/>
      <c r="AC67" s="7"/>
      <c r="AD67" s="7"/>
      <c r="AE67" s="7"/>
      <c r="AF67" s="7"/>
      <c r="AG67" s="7"/>
      <c r="AH67" s="7"/>
      <c r="AI67" s="7"/>
      <c r="AJ67" s="7"/>
      <c r="AK67" s="7"/>
      <c r="AL67" s="7"/>
      <c r="AM67" s="7"/>
      <c r="AN67" s="7"/>
      <c r="AO67" s="7"/>
      <c r="AP67" s="7"/>
      <c r="AQ67" s="7"/>
      <c r="AR67" s="7"/>
      <c r="AS67" s="7"/>
      <c r="AT67" s="7"/>
      <c r="AU67" s="7"/>
      <c r="AV67" s="7"/>
      <c r="AW67" s="7"/>
      <c r="AX67" s="7"/>
    </row>
    <row r="68" spans="1:50" ht="15" customHeight="1" x14ac:dyDescent="0.25">
      <c r="A68" s="6"/>
      <c r="B68" s="6" t="str">
        <f>_xll.BDP($A68,"last price")</f>
        <v>#N/A Invalid Security</v>
      </c>
      <c r="C68" s="8" t="str">
        <f>IF(OR(MID(A68,3,1)="H",MID(A68,3,1)="M",MID(A68,3,1)="U",MID(A68,3,1)="Z"),MAX($C$43:C67)+1,"")</f>
        <v/>
      </c>
      <c r="E68" s="11"/>
      <c r="F68" s="11"/>
      <c r="G68" s="7"/>
      <c r="H68" s="7"/>
      <c r="I68" s="7"/>
      <c r="J68" s="7"/>
      <c r="K68" s="7"/>
      <c r="L68" s="7"/>
      <c r="M68" s="7"/>
      <c r="N68" s="7"/>
      <c r="O68" s="7"/>
      <c r="P68" s="7"/>
      <c r="Q68" s="7"/>
      <c r="R68" s="7"/>
      <c r="S68" s="7"/>
      <c r="T68" s="7"/>
      <c r="U68" s="7"/>
      <c r="V68" s="7"/>
      <c r="W68" s="7"/>
      <c r="X68" s="7"/>
      <c r="Y68" s="7"/>
      <c r="Z68" s="7"/>
      <c r="AC68" s="7"/>
      <c r="AD68" s="7"/>
      <c r="AE68" s="7"/>
      <c r="AF68" s="7"/>
      <c r="AG68" s="7"/>
      <c r="AH68" s="7"/>
      <c r="AI68" s="7"/>
      <c r="AJ68" s="7"/>
      <c r="AK68" s="7"/>
      <c r="AL68" s="7"/>
      <c r="AM68" s="7"/>
      <c r="AN68" s="7"/>
      <c r="AO68" s="7"/>
      <c r="AP68" s="7"/>
      <c r="AQ68" s="7"/>
      <c r="AR68" s="7"/>
      <c r="AS68" s="7"/>
      <c r="AT68" s="7"/>
      <c r="AU68" s="7"/>
      <c r="AV68" s="7"/>
      <c r="AW68" s="7"/>
      <c r="AX68" s="7"/>
    </row>
    <row r="69" spans="1:50" ht="15" customHeight="1" x14ac:dyDescent="0.25">
      <c r="A69" s="6"/>
      <c r="B69" s="6" t="str">
        <f>_xll.BDP($A69,"last price")</f>
        <v>#N/A Invalid Security</v>
      </c>
      <c r="C69" s="8" t="str">
        <f>IF(OR(MID(A69,3,1)="H",MID(A69,3,1)="M",MID(A69,3,1)="U",MID(A69,3,1)="Z"),MAX($C$43:C68)+1,"")</f>
        <v/>
      </c>
      <c r="E69" s="11"/>
      <c r="F69" s="11"/>
      <c r="G69" s="7"/>
      <c r="H69" s="7"/>
      <c r="I69" s="7"/>
      <c r="J69" s="7"/>
      <c r="K69" s="7"/>
      <c r="L69" s="7"/>
      <c r="M69" s="7"/>
      <c r="N69" s="7"/>
      <c r="O69" s="7"/>
      <c r="P69" s="7"/>
      <c r="Q69" s="7"/>
      <c r="R69" s="7"/>
      <c r="S69" s="7"/>
      <c r="T69" s="7"/>
      <c r="U69" s="7"/>
      <c r="V69" s="7"/>
      <c r="W69" s="7"/>
      <c r="X69" s="7"/>
      <c r="Y69" s="7"/>
      <c r="Z69" s="7"/>
      <c r="AC69" s="7"/>
      <c r="AD69" s="7"/>
      <c r="AE69" s="7"/>
      <c r="AF69" s="7"/>
      <c r="AG69" s="7"/>
      <c r="AH69" s="7"/>
      <c r="AI69" s="7"/>
      <c r="AJ69" s="7"/>
      <c r="AK69" s="7"/>
      <c r="AL69" s="7"/>
      <c r="AM69" s="7"/>
      <c r="AN69" s="7"/>
      <c r="AO69" s="7"/>
      <c r="AP69" s="7"/>
      <c r="AQ69" s="7"/>
      <c r="AR69" s="7"/>
      <c r="AS69" s="7"/>
      <c r="AT69" s="7"/>
      <c r="AU69" s="7"/>
      <c r="AV69" s="7"/>
      <c r="AW69" s="7"/>
      <c r="AX69" s="7"/>
    </row>
    <row r="70" spans="1:50" ht="15" customHeight="1" x14ac:dyDescent="0.25">
      <c r="A70" s="6"/>
      <c r="B70" s="6" t="str">
        <f>_xll.BDP($A70,"last price")</f>
        <v>#N/A Invalid Security</v>
      </c>
      <c r="C70" s="8" t="str">
        <f>IF(OR(MID(A70,3,1)="H",MID(A70,3,1)="M",MID(A70,3,1)="U",MID(A70,3,1)="Z"),MAX($C$43:C69)+1,"")</f>
        <v/>
      </c>
      <c r="E70" s="11"/>
      <c r="F70" s="11"/>
      <c r="G70" s="7"/>
      <c r="H70" s="7"/>
      <c r="I70" s="7"/>
      <c r="J70" s="7"/>
      <c r="K70" s="7"/>
      <c r="L70" s="7"/>
      <c r="M70" s="7"/>
      <c r="N70" s="7"/>
      <c r="O70" s="7"/>
      <c r="P70" s="7"/>
      <c r="Q70" s="7"/>
      <c r="R70" s="7"/>
      <c r="S70" s="7"/>
      <c r="T70" s="7"/>
      <c r="U70" s="7"/>
      <c r="V70" s="7"/>
      <c r="W70" s="7"/>
      <c r="X70" s="7"/>
      <c r="Y70" s="7"/>
      <c r="Z70" s="7"/>
      <c r="AC70" s="7"/>
      <c r="AD70" s="7"/>
      <c r="AE70" s="7"/>
      <c r="AF70" s="7"/>
      <c r="AG70" s="7"/>
      <c r="AH70" s="7"/>
      <c r="AI70" s="7"/>
      <c r="AJ70" s="7"/>
      <c r="AK70" s="7"/>
      <c r="AL70" s="7"/>
      <c r="AM70" s="7"/>
      <c r="AN70" s="7"/>
      <c r="AO70" s="7"/>
      <c r="AP70" s="7"/>
      <c r="AQ70" s="7"/>
      <c r="AR70" s="7"/>
      <c r="AS70" s="7"/>
      <c r="AT70" s="7"/>
      <c r="AU70" s="7"/>
      <c r="AV70" s="7"/>
      <c r="AW70" s="7"/>
      <c r="AX70" s="7"/>
    </row>
    <row r="71" spans="1:50" ht="15" customHeight="1" x14ac:dyDescent="0.25">
      <c r="A71" s="6"/>
      <c r="B71" s="6" t="str">
        <f>_xll.BDP($A71,"last price")</f>
        <v>#N/A Invalid Security</v>
      </c>
      <c r="C71" s="8" t="str">
        <f>IF(OR(MID(A71,3,1)="H",MID(A71,3,1)="M",MID(A71,3,1)="U",MID(A71,3,1)="Z"),MAX($C$43:C70)+1,"")</f>
        <v/>
      </c>
      <c r="E71" s="11"/>
      <c r="F71" s="11"/>
      <c r="G71" s="7"/>
      <c r="H71" s="7"/>
      <c r="I71" s="7"/>
      <c r="J71" s="7"/>
      <c r="K71" s="7"/>
      <c r="L71" s="7"/>
      <c r="M71" s="7"/>
      <c r="N71" s="7"/>
      <c r="O71" s="7"/>
      <c r="P71" s="7"/>
      <c r="Q71" s="7"/>
      <c r="R71" s="7"/>
      <c r="S71" s="7"/>
      <c r="T71" s="7"/>
      <c r="U71" s="7"/>
      <c r="V71" s="7"/>
      <c r="W71" s="7"/>
      <c r="X71" s="7"/>
      <c r="Y71" s="7"/>
      <c r="Z71" s="7"/>
      <c r="AC71" s="7"/>
      <c r="AD71" s="7"/>
      <c r="AE71" s="7"/>
      <c r="AF71" s="7"/>
      <c r="AG71" s="7"/>
      <c r="AH71" s="7"/>
      <c r="AI71" s="7"/>
      <c r="AJ71" s="7"/>
      <c r="AK71" s="7"/>
      <c r="AL71" s="7"/>
      <c r="AM71" s="7"/>
      <c r="AN71" s="7"/>
      <c r="AO71" s="7"/>
      <c r="AP71" s="7"/>
      <c r="AQ71" s="7"/>
      <c r="AR71" s="7"/>
      <c r="AS71" s="7"/>
      <c r="AT71" s="7"/>
      <c r="AU71" s="7"/>
      <c r="AV71" s="7"/>
      <c r="AW71" s="7"/>
      <c r="AX71" s="7"/>
    </row>
    <row r="72" spans="1:50" ht="15" customHeight="1" x14ac:dyDescent="0.25">
      <c r="A72" s="6"/>
      <c r="B72" s="6" t="str">
        <f>_xll.BDP($A72,"last price")</f>
        <v>#N/A Invalid Security</v>
      </c>
      <c r="C72" s="8" t="str">
        <f>IF(OR(MID(A72,3,1)="H",MID(A72,3,1)="M",MID(A72,3,1)="U",MID(A72,3,1)="Z"),MAX($C$43:C71)+1,"")</f>
        <v/>
      </c>
      <c r="E72" s="11"/>
      <c r="F72" s="11"/>
      <c r="G72" s="7"/>
      <c r="H72" s="7"/>
      <c r="I72" s="7"/>
      <c r="J72" s="7"/>
      <c r="K72" s="7"/>
      <c r="L72" s="7"/>
      <c r="M72" s="7"/>
      <c r="N72" s="7"/>
      <c r="O72" s="7"/>
      <c r="P72" s="7"/>
      <c r="Q72" s="7"/>
      <c r="R72" s="7"/>
      <c r="S72" s="7"/>
      <c r="T72" s="7"/>
      <c r="U72" s="7"/>
      <c r="V72" s="7"/>
      <c r="W72" s="7"/>
      <c r="X72" s="7"/>
      <c r="Y72" s="7"/>
      <c r="Z72" s="7"/>
      <c r="AC72" s="7"/>
      <c r="AD72" s="7"/>
      <c r="AE72" s="7"/>
      <c r="AF72" s="7"/>
      <c r="AG72" s="7"/>
      <c r="AH72" s="7"/>
      <c r="AI72" s="7"/>
      <c r="AJ72" s="7"/>
      <c r="AK72" s="7"/>
      <c r="AL72" s="7"/>
      <c r="AM72" s="7"/>
      <c r="AN72" s="7"/>
      <c r="AO72" s="7"/>
      <c r="AP72" s="7"/>
      <c r="AQ72" s="7"/>
      <c r="AR72" s="7"/>
      <c r="AS72" s="7"/>
      <c r="AT72" s="7"/>
      <c r="AU72" s="7"/>
      <c r="AV72" s="7"/>
      <c r="AW72" s="7"/>
      <c r="AX72" s="7"/>
    </row>
    <row r="73" spans="1:50" ht="15" customHeight="1" x14ac:dyDescent="0.25">
      <c r="A73" s="6"/>
      <c r="B73" s="6" t="str">
        <f>_xll.BDP($A73,"last price")</f>
        <v>#N/A Invalid Security</v>
      </c>
      <c r="C73" s="8" t="str">
        <f>IF(OR(MID(A73,3,1)="H",MID(A73,3,1)="M",MID(A73,3,1)="U",MID(A73,3,1)="Z"),MAX($C$43:C72)+1,"")</f>
        <v/>
      </c>
      <c r="E73" s="11"/>
      <c r="F73" s="11"/>
      <c r="G73" s="7"/>
      <c r="H73" s="7"/>
      <c r="I73" s="7"/>
      <c r="J73" s="7"/>
      <c r="K73" s="7"/>
      <c r="L73" s="7"/>
      <c r="M73" s="7"/>
      <c r="N73" s="7"/>
      <c r="O73" s="7"/>
      <c r="P73" s="7"/>
      <c r="Q73" s="7"/>
      <c r="R73" s="7"/>
      <c r="S73" s="7"/>
      <c r="T73" s="7"/>
      <c r="U73" s="7"/>
      <c r="V73" s="7"/>
      <c r="W73" s="7"/>
      <c r="X73" s="7"/>
      <c r="Y73" s="7"/>
      <c r="Z73" s="7"/>
      <c r="AC73" s="7"/>
      <c r="AD73" s="7"/>
      <c r="AE73" s="7"/>
      <c r="AF73" s="7"/>
      <c r="AG73" s="7"/>
      <c r="AH73" s="7"/>
      <c r="AI73" s="7"/>
      <c r="AJ73" s="7"/>
      <c r="AK73" s="7"/>
      <c r="AL73" s="7"/>
      <c r="AM73" s="7"/>
      <c r="AN73" s="7"/>
      <c r="AO73" s="7"/>
      <c r="AP73" s="7"/>
      <c r="AQ73" s="7"/>
      <c r="AR73" s="7"/>
      <c r="AS73" s="7"/>
      <c r="AT73" s="7"/>
      <c r="AU73" s="7"/>
      <c r="AV73" s="7"/>
      <c r="AW73" s="7"/>
      <c r="AX73" s="7"/>
    </row>
    <row r="74" spans="1:50" ht="15" customHeight="1" x14ac:dyDescent="0.25">
      <c r="A74" s="6"/>
      <c r="B74" s="6" t="str">
        <f>_xll.BDP($A74,"last price")</f>
        <v>#N/A Invalid Security</v>
      </c>
      <c r="C74" s="8" t="str">
        <f>IF(OR(MID(A74,3,1)="H",MID(A74,3,1)="M",MID(A74,3,1)="U",MID(A74,3,1)="Z"),MAX($C$43:C73)+1,"")</f>
        <v/>
      </c>
      <c r="E74" s="11"/>
      <c r="F74" s="11"/>
      <c r="G74" s="7"/>
      <c r="H74" s="7"/>
      <c r="I74" s="7"/>
      <c r="J74" s="7"/>
      <c r="K74" s="7"/>
      <c r="L74" s="7"/>
      <c r="M74" s="7"/>
      <c r="N74" s="7"/>
      <c r="O74" s="7"/>
      <c r="P74" s="7"/>
      <c r="Q74" s="7"/>
      <c r="R74" s="7"/>
      <c r="S74" s="7"/>
      <c r="T74" s="7"/>
      <c r="U74" s="7"/>
      <c r="V74" s="7"/>
      <c r="W74" s="7"/>
      <c r="X74" s="7"/>
      <c r="Y74" s="7"/>
      <c r="Z74" s="7"/>
      <c r="AA74" s="7"/>
      <c r="AB74" s="7"/>
      <c r="AC74" s="7"/>
      <c r="AD74" s="7"/>
      <c r="AE74" s="7"/>
      <c r="AF74" s="7"/>
      <c r="AG74" s="7"/>
      <c r="AH74" s="7"/>
      <c r="AI74" s="7"/>
      <c r="AJ74" s="7"/>
      <c r="AK74" s="7"/>
      <c r="AL74" s="7"/>
      <c r="AM74" s="7"/>
      <c r="AN74" s="7"/>
      <c r="AO74" s="7"/>
      <c r="AP74" s="7"/>
      <c r="AQ74" s="7"/>
      <c r="AR74" s="7"/>
      <c r="AS74" s="7"/>
      <c r="AT74" s="7"/>
      <c r="AU74" s="7"/>
      <c r="AV74" s="7"/>
      <c r="AW74" s="7"/>
      <c r="AX74" s="7"/>
    </row>
    <row r="75" spans="1:50" ht="15" customHeight="1" x14ac:dyDescent="0.25">
      <c r="A75" s="6"/>
      <c r="B75" s="6" t="str">
        <f>_xll.BDP($A75,"last price")</f>
        <v>#N/A Invalid Security</v>
      </c>
      <c r="C75" s="8" t="str">
        <f>IF(OR(MID(A75,3,1)="H",MID(A75,3,1)="M",MID(A75,3,1)="U",MID(A75,3,1)="Z"),MAX($C$43:C74)+1,"")</f>
        <v/>
      </c>
      <c r="E75" s="11"/>
      <c r="F75" s="11"/>
      <c r="G75" s="7"/>
      <c r="H75" s="7"/>
      <c r="I75" s="7"/>
      <c r="J75" s="7"/>
      <c r="K75" s="7"/>
      <c r="L75" s="7"/>
      <c r="M75" s="7"/>
      <c r="N75" s="7"/>
      <c r="O75" s="7"/>
      <c r="P75" s="7"/>
      <c r="Q75" s="7"/>
      <c r="R75" s="7"/>
      <c r="S75" s="7"/>
      <c r="T75" s="7"/>
      <c r="U75" s="7"/>
      <c r="V75" s="7"/>
      <c r="W75" s="7"/>
      <c r="X75" s="7"/>
      <c r="Y75" s="7"/>
      <c r="Z75" s="7"/>
      <c r="AA75" s="7"/>
      <c r="AB75" s="7"/>
      <c r="AC75" s="7"/>
      <c r="AD75" s="7"/>
      <c r="AE75" s="7"/>
      <c r="AF75" s="7"/>
      <c r="AG75" s="7"/>
      <c r="AH75" s="7"/>
      <c r="AI75" s="7"/>
      <c r="AJ75" s="7"/>
      <c r="AK75" s="7"/>
      <c r="AL75" s="7"/>
      <c r="AM75" s="7"/>
      <c r="AN75" s="7"/>
      <c r="AO75" s="7"/>
      <c r="AP75" s="7"/>
      <c r="AQ75" s="7"/>
      <c r="AR75" s="7"/>
      <c r="AS75" s="7"/>
      <c r="AT75" s="7"/>
      <c r="AU75" s="7"/>
      <c r="AV75" s="7"/>
      <c r="AW75" s="7"/>
      <c r="AX75" s="7"/>
    </row>
    <row r="76" spans="1:50" ht="15" customHeight="1" x14ac:dyDescent="0.25">
      <c r="A76" s="6"/>
      <c r="B76" s="6" t="str">
        <f>_xll.BDP($A76,"last price")</f>
        <v>#N/A Invalid Security</v>
      </c>
      <c r="C76" s="8" t="str">
        <f>IF(OR(MID(A76,3,1)="H",MID(A76,3,1)="M",MID(A76,3,1)="U",MID(A76,3,1)="Z"),MAX($C$43:C75)+1,"")</f>
        <v/>
      </c>
      <c r="E76" s="11"/>
      <c r="F76" s="11"/>
      <c r="G76" s="7"/>
      <c r="H76" s="7"/>
      <c r="I76" s="7"/>
      <c r="J76" s="7"/>
      <c r="K76" s="7"/>
      <c r="L76" s="7"/>
      <c r="M76" s="7"/>
      <c r="N76" s="7"/>
      <c r="O76" s="7"/>
      <c r="P76" s="7"/>
      <c r="Q76" s="7"/>
      <c r="R76" s="7"/>
      <c r="S76" s="7"/>
      <c r="T76" s="7"/>
      <c r="U76" s="7"/>
      <c r="V76" s="7"/>
      <c r="W76" s="7"/>
      <c r="X76" s="7"/>
      <c r="Y76" s="7"/>
      <c r="Z76" s="7"/>
      <c r="AA76" s="7"/>
      <c r="AB76" s="7"/>
      <c r="AC76" s="7"/>
      <c r="AD76" s="7"/>
      <c r="AE76" s="7"/>
      <c r="AF76" s="7"/>
      <c r="AG76" s="7"/>
      <c r="AH76" s="7"/>
      <c r="AI76" s="7"/>
      <c r="AJ76" s="7"/>
      <c r="AK76" s="7"/>
      <c r="AL76" s="7"/>
      <c r="AM76" s="7"/>
      <c r="AN76" s="7"/>
      <c r="AO76" s="7"/>
      <c r="AP76" s="7"/>
      <c r="AQ76" s="7"/>
      <c r="AR76" s="7"/>
      <c r="AS76" s="7"/>
      <c r="AT76" s="7"/>
      <c r="AU76" s="7"/>
      <c r="AV76" s="7"/>
      <c r="AW76" s="7"/>
      <c r="AX76" s="7"/>
    </row>
    <row r="77" spans="1:50" ht="15" customHeight="1" x14ac:dyDescent="0.25">
      <c r="A77" s="6"/>
      <c r="B77" s="6" t="str">
        <f>_xll.BDP($A77,"last price")</f>
        <v>#N/A Invalid Security</v>
      </c>
      <c r="C77" s="8" t="str">
        <f>IF(OR(MID(A77,3,1)="H",MID(A77,3,1)="M",MID(A77,3,1)="U",MID(A77,3,1)="Z"),MAX($C$43:C76)+1,"")</f>
        <v/>
      </c>
      <c r="E77" s="11"/>
      <c r="F77" s="11"/>
      <c r="G77" s="7"/>
      <c r="H77" s="7"/>
      <c r="I77" s="7"/>
      <c r="J77" s="7"/>
      <c r="K77" s="7"/>
      <c r="L77" s="7"/>
      <c r="M77" s="7"/>
      <c r="N77" s="7"/>
      <c r="O77" s="7"/>
      <c r="P77" s="7"/>
      <c r="Q77" s="7"/>
      <c r="R77" s="7"/>
      <c r="S77" s="7"/>
      <c r="T77" s="7"/>
      <c r="U77" s="7"/>
      <c r="V77" s="7"/>
      <c r="W77" s="7"/>
      <c r="X77" s="7"/>
      <c r="Y77" s="7"/>
      <c r="Z77" s="7"/>
      <c r="AA77" s="7"/>
      <c r="AB77" s="7"/>
      <c r="AC77" s="7"/>
      <c r="AD77" s="7"/>
      <c r="AE77" s="7"/>
      <c r="AF77" s="7"/>
      <c r="AG77" s="7"/>
      <c r="AH77" s="7"/>
      <c r="AI77" s="7"/>
      <c r="AJ77" s="7"/>
      <c r="AK77" s="7"/>
      <c r="AL77" s="7"/>
      <c r="AM77" s="7"/>
      <c r="AN77" s="7"/>
      <c r="AO77" s="7"/>
      <c r="AP77" s="7"/>
      <c r="AQ77" s="7"/>
      <c r="AR77" s="7"/>
      <c r="AS77" s="7"/>
      <c r="AT77" s="7"/>
      <c r="AU77" s="7"/>
      <c r="AV77" s="7"/>
      <c r="AW77" s="7"/>
      <c r="AX77" s="7"/>
    </row>
    <row r="78" spans="1:50" ht="15" customHeight="1" x14ac:dyDescent="0.25">
      <c r="A78" s="6"/>
      <c r="B78" s="6" t="str">
        <f>_xll.BDP($A78,"last price")</f>
        <v>#N/A Invalid Security</v>
      </c>
      <c r="C78" s="8" t="str">
        <f>IF(OR(MID(A78,3,1)="H",MID(A78,3,1)="M",MID(A78,3,1)="U",MID(A78,3,1)="Z"),MAX($C$43:C77)+1,"")</f>
        <v/>
      </c>
      <c r="E78" s="11"/>
      <c r="F78" s="11"/>
      <c r="G78" s="7"/>
      <c r="H78" s="7"/>
      <c r="I78" s="7"/>
      <c r="J78" s="7"/>
      <c r="K78" s="7"/>
      <c r="L78" s="7"/>
      <c r="M78" s="7"/>
      <c r="N78" s="7"/>
      <c r="O78" s="7"/>
      <c r="P78" s="7"/>
      <c r="Q78" s="7"/>
      <c r="R78" s="7"/>
      <c r="S78" s="7"/>
      <c r="T78" s="7"/>
      <c r="U78" s="7"/>
      <c r="V78" s="7"/>
      <c r="W78" s="7"/>
      <c r="X78" s="7"/>
      <c r="Y78" s="7"/>
      <c r="Z78" s="7"/>
      <c r="AA78" s="7"/>
      <c r="AB78" s="7"/>
      <c r="AC78" s="7"/>
      <c r="AD78" s="7"/>
      <c r="AE78" s="7"/>
      <c r="AF78" s="7"/>
      <c r="AG78" s="7"/>
      <c r="AH78" s="7"/>
      <c r="AI78" s="7"/>
      <c r="AJ78" s="7"/>
      <c r="AK78" s="7"/>
      <c r="AL78" s="7"/>
      <c r="AM78" s="7"/>
      <c r="AN78" s="7"/>
      <c r="AO78" s="7"/>
      <c r="AP78" s="7"/>
      <c r="AQ78" s="7"/>
      <c r="AR78" s="7"/>
      <c r="AS78" s="7"/>
      <c r="AT78" s="7"/>
      <c r="AU78" s="7"/>
      <c r="AV78" s="7"/>
      <c r="AW78" s="7"/>
      <c r="AX78" s="7"/>
    </row>
    <row r="79" spans="1:50" ht="15" customHeight="1" x14ac:dyDescent="0.25">
      <c r="A79" s="6"/>
      <c r="B79" s="6" t="str">
        <f>_xll.BDP($A79,"last price")</f>
        <v>#N/A Invalid Security</v>
      </c>
      <c r="C79" s="8" t="str">
        <f>IF(OR(MID(A79,3,1)="H",MID(A79,3,1)="M",MID(A79,3,1)="U",MID(A79,3,1)="Z"),MAX($C$43:C78)+1,"")</f>
        <v/>
      </c>
      <c r="E79" s="11"/>
      <c r="F79" s="11"/>
      <c r="G79" s="7"/>
      <c r="H79" s="7"/>
      <c r="I79" s="7"/>
      <c r="J79" s="7"/>
      <c r="K79" s="7"/>
      <c r="L79" s="7"/>
      <c r="M79" s="7"/>
      <c r="N79" s="7"/>
      <c r="O79" s="7"/>
      <c r="P79" s="7"/>
      <c r="Q79" s="7"/>
      <c r="R79" s="7"/>
      <c r="S79" s="7"/>
      <c r="T79" s="7"/>
      <c r="U79" s="7"/>
      <c r="V79" s="7"/>
      <c r="W79" s="7"/>
      <c r="X79" s="7"/>
      <c r="Y79" s="7"/>
      <c r="Z79" s="7"/>
      <c r="AA79" s="7"/>
      <c r="AB79" s="7"/>
      <c r="AC79" s="7"/>
      <c r="AD79" s="7"/>
      <c r="AE79" s="7"/>
      <c r="AF79" s="7"/>
      <c r="AG79" s="7"/>
      <c r="AH79" s="7"/>
      <c r="AI79" s="7"/>
      <c r="AJ79" s="7"/>
      <c r="AK79" s="7"/>
      <c r="AL79" s="7"/>
      <c r="AM79" s="7"/>
      <c r="AN79" s="7"/>
      <c r="AO79" s="7"/>
      <c r="AP79" s="7"/>
      <c r="AQ79" s="7"/>
      <c r="AR79" s="7"/>
      <c r="AS79" s="7"/>
      <c r="AT79" s="7"/>
      <c r="AU79" s="7"/>
      <c r="AV79" s="7"/>
      <c r="AW79" s="7"/>
      <c r="AX79" s="7"/>
    </row>
    <row r="80" spans="1:50" ht="15" customHeight="1" x14ac:dyDescent="0.25">
      <c r="A80" s="6"/>
      <c r="B80" s="6" t="str">
        <f>_xll.BDP($A80,"last price")</f>
        <v>#N/A Invalid Security</v>
      </c>
      <c r="C80" s="8" t="str">
        <f>IF(OR(MID(A80,3,1)="H",MID(A80,3,1)="M",MID(A80,3,1)="U",MID(A80,3,1)="Z"),MAX($C$43:C79)+1,"")</f>
        <v/>
      </c>
      <c r="E80" s="11"/>
      <c r="F80" s="11"/>
      <c r="G80" s="7"/>
      <c r="H80" s="7"/>
      <c r="I80" s="7"/>
      <c r="J80" s="7"/>
      <c r="K80" s="7"/>
      <c r="L80" s="7"/>
      <c r="M80" s="7"/>
      <c r="N80" s="7"/>
      <c r="O80" s="7"/>
      <c r="P80" s="7"/>
      <c r="Q80" s="7"/>
      <c r="R80" s="7"/>
      <c r="S80" s="7"/>
      <c r="T80" s="7"/>
      <c r="U80" s="7"/>
      <c r="V80" s="7"/>
      <c r="W80" s="7"/>
      <c r="X80" s="7"/>
      <c r="Y80" s="7"/>
      <c r="Z80" s="7"/>
      <c r="AA80" s="7"/>
      <c r="AB80" s="7"/>
      <c r="AC80" s="7"/>
      <c r="AD80" s="7"/>
      <c r="AE80" s="7"/>
      <c r="AF80" s="7"/>
      <c r="AG80" s="7"/>
      <c r="AH80" s="7"/>
      <c r="AI80" s="7"/>
      <c r="AJ80" s="7"/>
      <c r="AK80" s="7"/>
      <c r="AL80" s="7"/>
      <c r="AM80" s="7"/>
      <c r="AN80" s="7"/>
      <c r="AO80" s="7"/>
      <c r="AP80" s="7"/>
      <c r="AQ80" s="7"/>
      <c r="AR80" s="7"/>
      <c r="AS80" s="7"/>
      <c r="AT80" s="7"/>
      <c r="AU80" s="7"/>
      <c r="AV80" s="7"/>
      <c r="AW80" s="7"/>
      <c r="AX80" s="7"/>
    </row>
    <row r="81" spans="1:50" ht="15" customHeight="1" x14ac:dyDescent="0.25">
      <c r="A81" s="6"/>
      <c r="B81" s="6" t="str">
        <f>_xll.BDP($A81,"last price")</f>
        <v>#N/A Invalid Security</v>
      </c>
      <c r="C81" s="8" t="str">
        <f>IF(OR(MID(A81,3,1)="H",MID(A81,3,1)="M",MID(A81,3,1)="U",MID(A81,3,1)="Z"),MAX($C$43:C80)+1,"")</f>
        <v/>
      </c>
      <c r="E81" s="11"/>
      <c r="F81" s="11"/>
      <c r="G81" s="7"/>
      <c r="H81" s="7"/>
      <c r="I81" s="7"/>
      <c r="J81" s="7"/>
      <c r="K81" s="7"/>
      <c r="L81" s="7"/>
      <c r="M81" s="7"/>
      <c r="N81" s="7"/>
      <c r="O81" s="7"/>
      <c r="P81" s="7"/>
      <c r="Q81" s="7"/>
      <c r="R81" s="7"/>
      <c r="S81" s="7"/>
      <c r="T81" s="7"/>
      <c r="U81" s="7"/>
      <c r="V81" s="7"/>
      <c r="W81" s="7"/>
      <c r="X81" s="7"/>
      <c r="Y81" s="7"/>
      <c r="Z81" s="7"/>
      <c r="AA81" s="7"/>
      <c r="AB81" s="7"/>
      <c r="AC81" s="7"/>
      <c r="AD81" s="7"/>
      <c r="AE81" s="7"/>
      <c r="AF81" s="7"/>
      <c r="AG81" s="7"/>
      <c r="AH81" s="7"/>
      <c r="AI81" s="7"/>
      <c r="AJ81" s="7"/>
      <c r="AK81" s="7"/>
      <c r="AL81" s="7"/>
      <c r="AM81" s="7"/>
      <c r="AN81" s="7"/>
      <c r="AO81" s="7"/>
      <c r="AP81" s="7"/>
      <c r="AQ81" s="7"/>
      <c r="AR81" s="7"/>
      <c r="AS81" s="7"/>
      <c r="AT81" s="7"/>
      <c r="AU81" s="7"/>
      <c r="AV81" s="7"/>
      <c r="AW81" s="7"/>
      <c r="AX81" s="7"/>
    </row>
    <row r="82" spans="1:50" ht="15" customHeight="1" x14ac:dyDescent="0.25">
      <c r="A82" s="6"/>
      <c r="B82" s="6" t="str">
        <f>_xll.BDP($A82,"last price")</f>
        <v>#N/A Invalid Security</v>
      </c>
      <c r="C82" s="8" t="str">
        <f>IF(OR(MID(A82,3,1)="H",MID(A82,3,1)="M",MID(A82,3,1)="U",MID(A82,3,1)="Z"),MAX($C$43:C81)+1,"")</f>
        <v/>
      </c>
      <c r="E82" s="11"/>
      <c r="F82" s="11"/>
      <c r="G82" s="7"/>
      <c r="H82" s="7"/>
      <c r="I82" s="7"/>
      <c r="J82" s="7"/>
      <c r="K82" s="7"/>
      <c r="L82" s="7"/>
      <c r="M82" s="7"/>
      <c r="N82" s="7"/>
      <c r="O82" s="7"/>
      <c r="P82" s="7"/>
      <c r="Q82" s="7"/>
      <c r="R82" s="7"/>
      <c r="S82" s="7"/>
      <c r="T82" s="7"/>
      <c r="U82" s="7"/>
      <c r="V82" s="7"/>
      <c r="W82" s="7"/>
      <c r="X82" s="7"/>
      <c r="Y82" s="7"/>
      <c r="Z82" s="7"/>
      <c r="AA82" s="7"/>
      <c r="AB82" s="7"/>
      <c r="AC82" s="7"/>
      <c r="AD82" s="7"/>
      <c r="AE82" s="7"/>
      <c r="AF82" s="7"/>
      <c r="AG82" s="7"/>
      <c r="AH82" s="7"/>
      <c r="AI82" s="7"/>
      <c r="AJ82" s="7"/>
      <c r="AK82" s="7"/>
      <c r="AL82" s="7"/>
      <c r="AM82" s="7"/>
      <c r="AN82" s="7"/>
      <c r="AO82" s="7"/>
      <c r="AP82" s="7"/>
      <c r="AQ82" s="7"/>
      <c r="AR82" s="7"/>
      <c r="AS82" s="7"/>
      <c r="AT82" s="7"/>
      <c r="AU82" s="7"/>
      <c r="AV82" s="7"/>
      <c r="AW82" s="7"/>
      <c r="AX82" s="7"/>
    </row>
    <row r="83" spans="1:50" ht="15" customHeight="1" x14ac:dyDescent="0.25">
      <c r="A83" s="6"/>
      <c r="B83" s="6" t="str">
        <f>_xll.BDP($A83,"last price")</f>
        <v>#N/A Invalid Security</v>
      </c>
      <c r="C83" s="8" t="str">
        <f>IF(OR(MID(A83,3,1)="H",MID(A83,3,1)="M",MID(A83,3,1)="U",MID(A83,3,1)="Z"),MAX($C$43:C82)+1,"")</f>
        <v/>
      </c>
      <c r="E83" s="11"/>
      <c r="F83" s="11"/>
      <c r="G83" s="7"/>
      <c r="H83" s="7"/>
      <c r="I83" s="7"/>
      <c r="J83" s="7"/>
      <c r="K83" s="7"/>
      <c r="L83" s="7"/>
      <c r="M83" s="7"/>
      <c r="N83" s="7"/>
      <c r="O83" s="7"/>
      <c r="P83" s="7"/>
      <c r="Q83" s="7"/>
      <c r="R83" s="7"/>
      <c r="S83" s="7"/>
      <c r="T83" s="7"/>
      <c r="U83" s="7"/>
      <c r="V83" s="7"/>
      <c r="W83" s="7"/>
      <c r="X83" s="7"/>
      <c r="Y83" s="7"/>
      <c r="Z83" s="7"/>
      <c r="AA83" s="7"/>
      <c r="AB83" s="7"/>
      <c r="AC83" s="7"/>
      <c r="AD83" s="7"/>
      <c r="AE83" s="7"/>
      <c r="AF83" s="7"/>
      <c r="AG83" s="7"/>
      <c r="AH83" s="7"/>
      <c r="AI83" s="7"/>
      <c r="AJ83" s="7"/>
      <c r="AK83" s="7"/>
      <c r="AL83" s="7"/>
      <c r="AM83" s="7"/>
      <c r="AN83" s="7"/>
      <c r="AO83" s="7"/>
      <c r="AP83" s="7"/>
      <c r="AQ83" s="7"/>
      <c r="AR83" s="7"/>
      <c r="AS83" s="7"/>
      <c r="AT83" s="7"/>
      <c r="AU83" s="7"/>
      <c r="AV83" s="7"/>
      <c r="AW83" s="7"/>
      <c r="AX83" s="7"/>
    </row>
    <row r="84" spans="1:50" ht="15" customHeight="1" x14ac:dyDescent="0.25">
      <c r="A84" s="6"/>
      <c r="B84" s="6" t="str">
        <f>_xll.BDP($A84,"last price")</f>
        <v>#N/A Invalid Security</v>
      </c>
      <c r="C84" s="8" t="str">
        <f>IF(OR(MID(A84,3,1)="H",MID(A84,3,1)="M",MID(A84,3,1)="U",MID(A84,3,1)="Z"),MAX($C$43:C83)+1,"")</f>
        <v/>
      </c>
      <c r="E84" s="11"/>
      <c r="F84" s="11"/>
      <c r="G84" s="7"/>
      <c r="H84" s="7"/>
      <c r="I84" s="7"/>
      <c r="J84" s="7"/>
      <c r="K84" s="7"/>
      <c r="L84" s="7"/>
      <c r="M84" s="7"/>
      <c r="N84" s="7"/>
      <c r="O84" s="7"/>
      <c r="P84" s="7"/>
      <c r="Q84" s="7"/>
      <c r="R84" s="7"/>
      <c r="S84" s="7"/>
      <c r="T84" s="7"/>
      <c r="U84" s="7"/>
      <c r="V84" s="7"/>
      <c r="W84" s="7"/>
      <c r="X84" s="7"/>
      <c r="Y84" s="7"/>
      <c r="Z84" s="7"/>
      <c r="AA84" s="7"/>
      <c r="AB84" s="7"/>
      <c r="AC84" s="7"/>
      <c r="AD84" s="7"/>
      <c r="AE84" s="7"/>
      <c r="AF84" s="7"/>
      <c r="AG84" s="7"/>
      <c r="AH84" s="7"/>
      <c r="AI84" s="7"/>
      <c r="AJ84" s="7"/>
      <c r="AK84" s="7"/>
      <c r="AL84" s="7"/>
      <c r="AM84" s="7"/>
      <c r="AN84" s="7"/>
      <c r="AO84" s="7"/>
      <c r="AP84" s="7"/>
      <c r="AQ84" s="7"/>
      <c r="AR84" s="7"/>
      <c r="AS84" s="7"/>
      <c r="AT84" s="7"/>
      <c r="AU84" s="7"/>
      <c r="AV84" s="7"/>
      <c r="AW84" s="7"/>
      <c r="AX84" s="7"/>
    </row>
    <row r="85" spans="1:50" ht="15" customHeight="1" x14ac:dyDescent="0.25">
      <c r="A85" s="6"/>
      <c r="B85" s="6" t="str">
        <f>_xll.BDP($A85,"last price")</f>
        <v>#N/A Invalid Security</v>
      </c>
      <c r="C85" s="8" t="str">
        <f>IF(OR(MID(A85,3,1)="H",MID(A85,3,1)="M",MID(A85,3,1)="U",MID(A85,3,1)="Z"),MAX($C$43:C84)+1,"")</f>
        <v/>
      </c>
      <c r="E85" s="11"/>
      <c r="F85" s="11"/>
      <c r="G85" s="7"/>
      <c r="H85" s="7"/>
      <c r="I85" s="7"/>
      <c r="J85" s="7"/>
      <c r="K85" s="7"/>
      <c r="L85" s="7"/>
      <c r="M85" s="7"/>
      <c r="N85" s="7"/>
      <c r="O85" s="7"/>
      <c r="P85" s="7"/>
      <c r="Q85" s="7"/>
      <c r="R85" s="7"/>
      <c r="S85" s="7"/>
      <c r="T85" s="7"/>
      <c r="U85" s="7"/>
      <c r="V85" s="7"/>
      <c r="W85" s="7"/>
      <c r="X85" s="7"/>
      <c r="Y85" s="7"/>
      <c r="Z85" s="7"/>
      <c r="AA85" s="7"/>
      <c r="AB85" s="7"/>
      <c r="AC85" s="7"/>
      <c r="AD85" s="7"/>
      <c r="AE85" s="7"/>
      <c r="AF85" s="7"/>
      <c r="AG85" s="7"/>
      <c r="AH85" s="7"/>
      <c r="AI85" s="7"/>
      <c r="AJ85" s="7"/>
      <c r="AK85" s="7"/>
      <c r="AL85" s="7"/>
      <c r="AM85" s="7"/>
      <c r="AN85" s="7"/>
      <c r="AO85" s="7"/>
      <c r="AP85" s="7"/>
      <c r="AQ85" s="7"/>
      <c r="AR85" s="7"/>
      <c r="AS85" s="7"/>
      <c r="AT85" s="7"/>
      <c r="AU85" s="7"/>
      <c r="AV85" s="7"/>
      <c r="AW85" s="7"/>
      <c r="AX85" s="7"/>
    </row>
    <row r="86" spans="1:50" ht="15" customHeight="1" x14ac:dyDescent="0.25">
      <c r="A86" s="6"/>
      <c r="B86" s="6" t="str">
        <f>_xll.BDP($A86,"last price")</f>
        <v>#N/A Invalid Security</v>
      </c>
      <c r="C86" s="8" t="str">
        <f>IF(OR(MID(A86,3,1)="H",MID(A86,3,1)="M",MID(A86,3,1)="U",MID(A86,3,1)="Z"),MAX($C$43:C85)+1,"")</f>
        <v/>
      </c>
      <c r="E86" s="11"/>
      <c r="F86" s="11"/>
      <c r="G86" s="7"/>
      <c r="H86" s="7"/>
      <c r="I86" s="7"/>
      <c r="J86" s="7"/>
      <c r="K86" s="7"/>
      <c r="L86" s="7"/>
      <c r="M86" s="7"/>
      <c r="N86" s="7"/>
      <c r="O86" s="7"/>
      <c r="P86" s="7"/>
      <c r="Q86" s="7"/>
      <c r="R86" s="7"/>
      <c r="S86" s="7"/>
      <c r="T86" s="7"/>
      <c r="U86" s="7"/>
      <c r="V86" s="7"/>
      <c r="W86" s="7"/>
      <c r="X86" s="7"/>
      <c r="Y86" s="7"/>
      <c r="Z86" s="7"/>
      <c r="AA86" s="7"/>
      <c r="AB86" s="7"/>
      <c r="AC86" s="7"/>
      <c r="AD86" s="7"/>
      <c r="AE86" s="7"/>
      <c r="AF86" s="7"/>
      <c r="AG86" s="7"/>
      <c r="AH86" s="7"/>
      <c r="AI86" s="7"/>
      <c r="AJ86" s="7"/>
      <c r="AK86" s="7"/>
      <c r="AL86" s="7"/>
      <c r="AM86" s="7"/>
      <c r="AN86" s="7"/>
      <c r="AO86" s="7"/>
      <c r="AP86" s="7"/>
      <c r="AQ86" s="7"/>
      <c r="AR86" s="7"/>
      <c r="AS86" s="7"/>
      <c r="AT86" s="7"/>
      <c r="AU86" s="7"/>
      <c r="AV86" s="7"/>
      <c r="AW86" s="7"/>
      <c r="AX86" s="7"/>
    </row>
    <row r="87" spans="1:50" ht="15" customHeight="1" x14ac:dyDescent="0.25">
      <c r="A87" s="6"/>
      <c r="B87" s="6" t="str">
        <f>_xll.BDP($A87,"last price")</f>
        <v>#N/A Invalid Security</v>
      </c>
      <c r="C87" s="8" t="str">
        <f>IF(OR(MID(A87,3,1)="H",MID(A87,3,1)="M",MID(A87,3,1)="U",MID(A87,3,1)="Z"),MAX($C$43:C86)+1,"")</f>
        <v/>
      </c>
      <c r="E87" s="11"/>
      <c r="F87" s="11"/>
      <c r="G87" s="7"/>
      <c r="H87" s="7"/>
      <c r="I87" s="7"/>
      <c r="J87" s="7"/>
      <c r="K87" s="7"/>
      <c r="L87" s="7"/>
      <c r="M87" s="7"/>
      <c r="N87" s="7"/>
      <c r="O87" s="7"/>
      <c r="P87" s="7"/>
      <c r="Q87" s="7"/>
      <c r="R87" s="7"/>
      <c r="S87" s="7"/>
      <c r="T87" s="7"/>
      <c r="U87" s="7"/>
      <c r="V87" s="7"/>
      <c r="W87" s="7"/>
      <c r="X87" s="7"/>
      <c r="Y87" s="7"/>
      <c r="Z87" s="7"/>
      <c r="AA87" s="7"/>
      <c r="AB87" s="7"/>
      <c r="AC87" s="7"/>
      <c r="AD87" s="7"/>
      <c r="AE87" s="7"/>
      <c r="AF87" s="7"/>
      <c r="AG87" s="7"/>
      <c r="AH87" s="7"/>
      <c r="AI87" s="7"/>
      <c r="AJ87" s="7"/>
      <c r="AK87" s="7"/>
      <c r="AL87" s="7"/>
      <c r="AM87" s="7"/>
      <c r="AN87" s="7"/>
      <c r="AO87" s="7"/>
      <c r="AP87" s="7"/>
      <c r="AQ87" s="7"/>
      <c r="AR87" s="7"/>
      <c r="AS87" s="7"/>
      <c r="AT87" s="7"/>
      <c r="AU87" s="7"/>
      <c r="AV87" s="7"/>
      <c r="AW87" s="7"/>
      <c r="AX87" s="7"/>
    </row>
    <row r="88" spans="1:50" ht="15" customHeight="1" x14ac:dyDescent="0.25">
      <c r="A88" t="s">
        <v>78</v>
      </c>
    </row>
  </sheetData>
  <mergeCells count="7">
    <mergeCell ref="F8:G8"/>
    <mergeCell ref="F9:G9"/>
    <mergeCell ref="N41:O41"/>
    <mergeCell ref="H8:M8"/>
    <mergeCell ref="H9:M9"/>
    <mergeCell ref="H41:I41"/>
    <mergeCell ref="K41:L41"/>
  </mergeCells>
  <phoneticPr fontId="5" type="noConversion"/>
  <conditionalFormatting sqref="G44:Q54">
    <cfRule type="expression" dxfId="2" priority="1" stopIfTrue="1">
      <formula>IF(OR(AND($H$41="Correlation",G44=1),AND($H$41="Spread",G44=0)),TRUE,FALSE)</formula>
    </cfRule>
    <cfRule type="expression" dxfId="1" priority="2" stopIfTrue="1">
      <formula>IF(G$43=colCanada,TRUE,FALSE)</formula>
    </cfRule>
    <cfRule type="expression" dxfId="0" priority="3" stopIfTrue="1">
      <formula>IF($F44=rowCanada,TRUE,FALSE)</formula>
    </cfRule>
  </conditionalFormatting>
  <dataValidations count="2">
    <dataValidation type="list" allowBlank="1" showInputMessage="1" showErrorMessage="1" sqref="H8:M8">
      <formula1>C$8:C$10</formula1>
    </dataValidation>
    <dataValidation type="list" allowBlank="1" showInputMessage="1" showErrorMessage="1" sqref="H9">
      <formula1>$F$27:$F$39</formula1>
    </dataValidation>
  </dataValidations>
  <pageMargins left="0.7" right="0.7" top="0.75" bottom="0.75" header="0.3" footer="0.3"/>
  <pageSetup orientation="portrait" r:id="rId1"/>
  <drawing r:id="rId2"/>
  <extLst>
    <ext xmlns:x14="http://schemas.microsoft.com/office/spreadsheetml/2009/9/main" uri="{CCE6A557-97BC-4b89-ADB6-D9C93CAAB3DF}">
      <x14:dataValidations xmlns:xm="http://schemas.microsoft.com/office/excel/2006/main" count="1">
        <x14:dataValidation type="list" allowBlank="1" showInputMessage="1" showErrorMessage="1">
          <x14:formula1>
            <xm:f>'SWPS Canada'!$S$1:$S$2</xm:f>
          </x14:formula1>
          <xm:sqref>H41:I42</xm:sqref>
        </x14:dataValidation>
      </x14:dataValidations>
    </ext>
  </extLs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
  <dimension ref="A1:IV536"/>
  <sheetViews>
    <sheetView topLeftCell="S1" workbookViewId="0">
      <selection activeCell="Y5" sqref="Y5"/>
    </sheetView>
  </sheetViews>
  <sheetFormatPr defaultRowHeight="15" x14ac:dyDescent="0.25"/>
  <cols>
    <col min="1" max="1" width="10.7109375" bestFit="1" customWidth="1"/>
    <col min="2" max="2" width="9.7109375" bestFit="1" customWidth="1"/>
    <col min="8" max="14" width="13.28515625" bestFit="1" customWidth="1"/>
    <col min="15" max="15" width="12.85546875" customWidth="1"/>
    <col min="16" max="18" width="13.28515625" bestFit="1" customWidth="1"/>
    <col min="21" max="22" width="9.7109375" bestFit="1" customWidth="1"/>
    <col min="26" max="26" width="9.7109375" style="4" bestFit="1" customWidth="1"/>
    <col min="27" max="27" width="9.7109375" style="5" bestFit="1" customWidth="1"/>
  </cols>
  <sheetData>
    <row r="1" spans="1:256" x14ac:dyDescent="0.25">
      <c r="D1" s="2" t="s">
        <v>6</v>
      </c>
      <c r="E1" s="2" t="s">
        <v>7</v>
      </c>
      <c r="F1" s="2" t="s">
        <v>8</v>
      </c>
      <c r="G1" s="2" t="s">
        <v>9</v>
      </c>
      <c r="H1" s="2" t="s">
        <v>19</v>
      </c>
      <c r="I1" s="2" t="s">
        <v>20</v>
      </c>
      <c r="S1" t="s">
        <v>83</v>
      </c>
      <c r="U1">
        <v>0</v>
      </c>
      <c r="V1">
        <f ca="1">IF(ISERROR(MID([1]!getformula('Calc Canada'!A2),SEARCH("rows=",[1]!getformula('Calc Canada'!A2),1)+5,LEN([1]!getformula('Calc Canada'!A2))-SEARCH("rows=",[1]!getformula('Calc Canada'!A2),1)-6)),0,MID([1]!getformula('Calc Canada'!A2),SEARCH("rows=",[1]!getformula('Calc Canada'!A2),1)+5,LEN([1]!getformula('Calc Canada'!A2))-SEARCH("rows=",[1]!getformula('Calc Canada'!A2),1)-6))</f>
        <v>0</v>
      </c>
      <c r="W1" t="s">
        <v>132</v>
      </c>
      <c r="X1" t="s">
        <v>135</v>
      </c>
      <c r="AB1" s="5"/>
    </row>
    <row r="2" spans="1:256" x14ac:dyDescent="0.25">
      <c r="D2" t="str">
        <f>_xll.BDP($B3&amp;" curncy","px last")</f>
        <v>#N/A Requesting Data...</v>
      </c>
      <c r="E2" t="str">
        <f>_xll.BDP($B4&amp;" curncy","px last")</f>
        <v>#N/A Requesting Data...</v>
      </c>
      <c r="F2" t="str">
        <f>_xll.BDP($B5&amp;" curncy","px last")</f>
        <v>#N/A Requesting Data...</v>
      </c>
      <c r="G2" t="str">
        <f>_xll.BDP($B6&amp;" curncy","px last")</f>
        <v>#N/A Requesting Data...</v>
      </c>
      <c r="H2" t="str">
        <f>_xll.BDP($B7&amp;" curncy","px last")</f>
        <v>#N/A Requesting Data...</v>
      </c>
      <c r="I2" t="str">
        <f>_xll.BDP($B8&amp;" curncy","px last")</f>
        <v>#N/A Requesting Data...</v>
      </c>
      <c r="J2" t="s">
        <v>31</v>
      </c>
      <c r="K2" s="4" t="e">
        <f ca="1">OFFSET($A$1,IF(ISERROR(MATCH(L2,A:A,0)),MATCH(WORKDAY(L2,-1),A:A,0),MATCH(L2,A:A,0))-1,0)</f>
        <v>#VALUE!</v>
      </c>
      <c r="L2" s="4" t="e">
        <f>WORKDAY($A$13,-5)</f>
        <v>#VALUE!</v>
      </c>
      <c r="M2" s="4" t="e">
        <f ca="1">OFFSET($A$1,IF(ISERROR(MATCH(L2,A:A,0)),MATCH(WORKDAY(L2,-1),A:A,0),MATCH(L2,A:A,0))-1,0)</f>
        <v>#VALUE!</v>
      </c>
      <c r="S2" t="s">
        <v>84</v>
      </c>
      <c r="U2" s="4">
        <v>42005</v>
      </c>
      <c r="V2" s="4">
        <v>42094</v>
      </c>
      <c r="Z2" s="4" t="str">
        <f ca="1">IF(OFFSET('Calc Canada'!$A$1,0,0,300)="",MATCH("Error",AF2,0),OFFSET('Calc Canada'!$A$1,0,0,300))</f>
        <v>#N/A Invalid Security</v>
      </c>
      <c r="AA2" s="5" t="str">
        <f ca="1">IF(OFFSET('Calc Canada'!$A$1,0,MATCH(W$1,'Calc Canada'!$1:$1,0)-1,300)="","",OFFSET('Calc Canada'!$A$1,0,MATCH(W$1,'Calc Canada'!$1:$1,0)-1,300))</f>
        <v>#N/A Requesting Data...</v>
      </c>
      <c r="AB2" s="5" t="str">
        <f ca="1">IF(OFFSET('Calc Canada'!$A$1,0,MATCH(X$1,'Calc Canada'!$1:$1,0)-1,300)="","",OFFSET('Calc Canada'!$A$1,0,MATCH(X$1,'Calc Canada'!$1:$1,0)-1,300))</f>
        <v>#N/A Requesting Data...</v>
      </c>
      <c r="AC2" t="e">
        <f ca="1">IF(AND(AA2&lt;&gt;"",AB2&lt;&gt;""),ABS(AA2-AB2),"")</f>
        <v>#VALUE!</v>
      </c>
      <c r="AD2" t="str">
        <f ca="1">IF(ISNA(MATCH("",AC2:AC21,0)),AVERAGE(AC2:AC21),"")</f>
        <v/>
      </c>
    </row>
    <row r="3" spans="1:256" x14ac:dyDescent="0.25">
      <c r="A3" s="2" t="s">
        <v>6</v>
      </c>
      <c r="B3" t="s">
        <v>89</v>
      </c>
      <c r="C3" t="str">
        <f>_xll.BDP($B3&amp;" curncy","px last")</f>
        <v>#N/A Requesting Data...</v>
      </c>
      <c r="D3" t="str">
        <f>IF(D$1='SWPS Canada'!$A3,"",ABS($C3-D$2)*100)</f>
        <v/>
      </c>
      <c r="E3" t="e">
        <f>IF(E$1='SWPS Canada'!$A3,"",ABS($C3-E$2)*100)</f>
        <v>#VALUE!</v>
      </c>
      <c r="F3" t="e">
        <f>IF(F$1='SWPS Canada'!$A3,"",ABS($C3-F$2)*100)</f>
        <v>#VALUE!</v>
      </c>
      <c r="G3" t="e">
        <f>IF(G$1='SWPS Canada'!$A3,"",ABS($C3-G$2)*100)</f>
        <v>#VALUE!</v>
      </c>
      <c r="H3" t="e">
        <f>IF(H$1='SWPS Canada'!$A3,"",ABS($C3-H$2)*100)</f>
        <v>#VALUE!</v>
      </c>
      <c r="I3" t="e">
        <f>IF(I$1='SWPS Canada'!$A3,"",ABS($C3-I$2)*100)</f>
        <v>#VALUE!</v>
      </c>
      <c r="J3" t="s">
        <v>32</v>
      </c>
      <c r="K3" s="4" t="e">
        <f ca="1">OFFSET($A$1,IF(ISERROR(MATCH(L3,A:A,0)),MATCH(WORKDAY(L3,-1),A:A,0),MATCH(L3,A:A,0))-1,0)</f>
        <v>#VALUE!</v>
      </c>
      <c r="L3" s="4" t="e">
        <f>EDATE($A$13,-1)</f>
        <v>#VALUE!</v>
      </c>
      <c r="M3" s="4" t="e">
        <f ca="1">OFFSET($A$1,IF(ISERROR(MATCH(L3,A:A,0)),MATCH(WORKDAY(L3,-1),A:A,0),MATCH(L3,A:A,0))-1,0)</f>
        <v>#VALUE!</v>
      </c>
      <c r="U3" s="4">
        <f>startCanada</f>
        <v>42005</v>
      </c>
      <c r="V3" s="4">
        <f>endCanada</f>
        <v>42094</v>
      </c>
      <c r="Z3" s="4" t="e">
        <f ca="1">IF(OFFSET('Calc Canada'!$A$1,0,0,300)="",MATCH("Error",AF3,0),OFFSET('Calc Canada'!$A$1,0,0,300))</f>
        <v>#N/A</v>
      </c>
      <c r="AA3" s="5" t="str">
        <f ca="1">IF(OFFSET('Calc Canada'!$A$1,0,MATCH(W$1,'Calc Canada'!$1:$1,0)-1,300)="","",OFFSET('Calc Canada'!$A$1,0,MATCH(W$1,'Calc Canada'!$1:$1,0)-1,300))</f>
        <v/>
      </c>
      <c r="AB3" s="5" t="str">
        <f ca="1">IF(OFFSET('Calc Canada'!$A$1,0,MATCH(X$1,'Calc Canada'!$1:$1,0)-1,300)="","",OFFSET('Calc Canada'!$A$1,0,MATCH(X$1,'Calc Canada'!$1:$1,0)-1,300))</f>
        <v/>
      </c>
      <c r="AC3" t="str">
        <f t="shared" ref="AC3:AC66" ca="1" si="0">IF(AND(AA3&lt;&gt;"",AB3&lt;&gt;""),ABS(AA3-AB3),"")</f>
        <v/>
      </c>
      <c r="AD3" t="str">
        <f t="shared" ref="AD3:AD66" ca="1" si="1">IF(ISNA(MATCH("",AC3:AC22,0)),AVERAGE(AC3:AC22),"")</f>
        <v/>
      </c>
    </row>
    <row r="4" spans="1:256" x14ac:dyDescent="0.25">
      <c r="A4" s="2" t="s">
        <v>7</v>
      </c>
      <c r="B4" t="s">
        <v>90</v>
      </c>
      <c r="C4" t="str">
        <f>_xll.BDP($B4&amp;" curncy","px last")</f>
        <v>#N/A Requesting Data...</v>
      </c>
      <c r="D4" t="e">
        <f>IF(D$1='SWPS Canada'!$A4,"",ABS($C4-D$2)*100)</f>
        <v>#VALUE!</v>
      </c>
      <c r="E4" t="str">
        <f>IF(E$1='SWPS Canada'!$A4,"",ABS($C4-E$2)*100)</f>
        <v/>
      </c>
      <c r="F4" t="e">
        <f>IF(F$1='SWPS Canada'!$A4,"",ABS($C4-F$2)*100)</f>
        <v>#VALUE!</v>
      </c>
      <c r="G4" t="e">
        <f>IF(G$1='SWPS Canada'!$A4,"",ABS($C4-G$2)*100)</f>
        <v>#VALUE!</v>
      </c>
      <c r="H4" t="e">
        <f>IF(H$1='SWPS Canada'!$A4,"",ABS($C4-H$2)*100)</f>
        <v>#VALUE!</v>
      </c>
      <c r="I4" t="e">
        <f>IF(I$1='SWPS Canada'!$A4,"",ABS($C4-I$2)*100)</f>
        <v>#VALUE!</v>
      </c>
      <c r="J4" t="s">
        <v>33</v>
      </c>
      <c r="K4" s="4" t="e">
        <f ca="1">OFFSET($A$1,IF(ISERROR(MATCH(L4,A:A,0)),MATCH(WORKDAY(L4,-1),A:A,0),MATCH(L4,A:A,0))-1,0)</f>
        <v>#VALUE!</v>
      </c>
      <c r="L4" s="4" t="e">
        <f>EDATE($A$13,-3)</f>
        <v>#VALUE!</v>
      </c>
      <c r="M4" s="4" t="e">
        <f ca="1">OFFSET($A$1,IF(ISERROR(MATCH(L4,A:A,0)),MATCH(WORKDAY(L4,-1),A:A,0),MATCH(L4,A:A,0))-1,0)</f>
        <v>#VALUE!</v>
      </c>
      <c r="Z4" s="4" t="e">
        <f ca="1">IF(OFFSET('Calc Canada'!$A$1,0,0,300)="",MATCH("Error",AF4,0),OFFSET('Calc Canada'!$A$1,0,0,300))</f>
        <v>#N/A</v>
      </c>
      <c r="AA4" s="5" t="str">
        <f ca="1">IF(OFFSET('Calc Canada'!$A$1,0,MATCH(W$1,'Calc Canada'!$1:$1,0)-1,300)="","",OFFSET('Calc Canada'!$A$1,0,MATCH(W$1,'Calc Canada'!$1:$1,0)-1,300))</f>
        <v/>
      </c>
      <c r="AB4" s="5" t="str">
        <f ca="1">IF(OFFSET('Calc Canada'!$A$1,0,MATCH(X$1,'Calc Canada'!$1:$1,0)-1,300)="","",OFFSET('Calc Canada'!$A$1,0,MATCH(X$1,'Calc Canada'!$1:$1,0)-1,300))</f>
        <v/>
      </c>
      <c r="AC4" t="str">
        <f t="shared" ca="1" si="0"/>
        <v/>
      </c>
      <c r="AD4" t="str">
        <f t="shared" ca="1" si="1"/>
        <v/>
      </c>
    </row>
    <row r="5" spans="1:256" x14ac:dyDescent="0.25">
      <c r="A5" s="2" t="s">
        <v>8</v>
      </c>
      <c r="B5" t="s">
        <v>91</v>
      </c>
      <c r="C5" t="str">
        <f>_xll.BDP($B5&amp;" curncy","px last")</f>
        <v>#N/A Requesting Data...</v>
      </c>
      <c r="D5" t="e">
        <f>IF(D$1='SWPS Canada'!$A5,"",ABS($C5-D$2)*100)</f>
        <v>#VALUE!</v>
      </c>
      <c r="E5" t="e">
        <f>IF(E$1='SWPS Canada'!$A5,"",ABS($C5-E$2)*100)</f>
        <v>#VALUE!</v>
      </c>
      <c r="F5" t="str">
        <f>IF(F$1='SWPS Canada'!$A5,"",ABS($C5-F$2)*100)</f>
        <v/>
      </c>
      <c r="G5" t="e">
        <f>IF(G$1='SWPS Canada'!$A5,"",ABS($C5-G$2)*100)</f>
        <v>#VALUE!</v>
      </c>
      <c r="H5" t="e">
        <f>IF(H$1='SWPS Canada'!$A5,"",ABS($C5-H$2)*100)</f>
        <v>#VALUE!</v>
      </c>
      <c r="I5" t="e">
        <f>IF(I$1='SWPS Canada'!$A5,"",ABS($C5-I$2)*100)</f>
        <v>#VALUE!</v>
      </c>
      <c r="J5" t="s">
        <v>34</v>
      </c>
      <c r="K5" s="4" t="e">
        <f ca="1">OFFSET($A$1,IF(ISERROR(MATCH(L5,A:A,0)),MATCH(WORKDAY(L5,-1),A:A,0),MATCH(L5,A:A,0))-1,0)</f>
        <v>#VALUE!</v>
      </c>
      <c r="L5" s="4" t="e">
        <f>EDATE($A$13,-6)</f>
        <v>#VALUE!</v>
      </c>
      <c r="M5" s="4" t="e">
        <f ca="1">OFFSET($A$1,IF(ISERROR(MATCH(L5,A:A,0)),MATCH(WORKDAY(L5,-1),A:A,0),MATCH(L5,A:A,0))-1,0)</f>
        <v>#VALUE!</v>
      </c>
      <c r="Z5" s="4" t="e">
        <f ca="1">IF(OFFSET('Calc Canada'!$A$1,0,0,300)="",MATCH("Error",AF5,0),OFFSET('Calc Canada'!$A$1,0,0,300))</f>
        <v>#N/A</v>
      </c>
      <c r="AA5" s="5" t="str">
        <f ca="1">IF(OFFSET('Calc Canada'!$A$1,0,MATCH(W$1,'Calc Canada'!$1:$1,0)-1,300)="","",OFFSET('Calc Canada'!$A$1,0,MATCH(W$1,'Calc Canada'!$1:$1,0)-1,300))</f>
        <v/>
      </c>
      <c r="AB5" s="5" t="str">
        <f ca="1">IF(OFFSET('Calc Canada'!$A$1,0,MATCH(X$1,'Calc Canada'!$1:$1,0)-1,300)="","",OFFSET('Calc Canada'!$A$1,0,MATCH(X$1,'Calc Canada'!$1:$1,0)-1,300))</f>
        <v/>
      </c>
      <c r="AC5" t="str">
        <f t="shared" ca="1" si="0"/>
        <v/>
      </c>
      <c r="AD5" t="str">
        <f t="shared" ca="1" si="1"/>
        <v/>
      </c>
    </row>
    <row r="6" spans="1:256" x14ac:dyDescent="0.25">
      <c r="A6" s="2" t="s">
        <v>9</v>
      </c>
      <c r="B6" t="s">
        <v>92</v>
      </c>
      <c r="C6" t="str">
        <f>_xll.BDP($B6&amp;" curncy","px last")</f>
        <v>#N/A Requesting Data...</v>
      </c>
      <c r="D6" t="e">
        <f>IF(D$1='SWPS Canada'!$A6,"",ABS($C6-D$2)*100)</f>
        <v>#VALUE!</v>
      </c>
      <c r="E6" t="e">
        <f>IF(E$1='SWPS Canada'!$A6,"",ABS($C6-E$2)*100)</f>
        <v>#VALUE!</v>
      </c>
      <c r="F6" t="e">
        <f>IF(F$1='SWPS Canada'!$A6,"",ABS($C6-F$2)*100)</f>
        <v>#VALUE!</v>
      </c>
      <c r="G6" t="str">
        <f>IF(G$1='SWPS Canada'!$A6,"",ABS($C6-G$2)*100)</f>
        <v/>
      </c>
      <c r="H6" t="e">
        <f>IF(H$1='SWPS Canada'!$A6,"",ABS($C6-H$2)*100)</f>
        <v>#VALUE!</v>
      </c>
      <c r="I6" t="e">
        <f>IF(I$1='SWPS Canada'!$A6,"",ABS($C6-I$2)*100)</f>
        <v>#VALUE!</v>
      </c>
      <c r="J6" t="s">
        <v>39</v>
      </c>
      <c r="K6" s="4" t="e">
        <f ca="1">OFFSET($A$1,IF(ISERROR(MATCH(L6,A:A,0)),MATCH(WORKDAY(L6,-1),A:A,0),MATCH(L6,A:A,0))-1,0)</f>
        <v>#VALUE!</v>
      </c>
      <c r="L6" s="4" t="e">
        <f>EDATE($A$13,-12)</f>
        <v>#VALUE!</v>
      </c>
      <c r="M6" s="4" t="e">
        <f ca="1">OFFSET($A$1,IF(ISERROR(MATCH(L6,A:A,0)),MATCH(WORKDAY(L6,-1),A:A,0),MATCH(L6,A:A,0))-1,0)</f>
        <v>#VALUE!</v>
      </c>
      <c r="Z6" s="4" t="e">
        <f ca="1">IF(OFFSET('Calc Canada'!$A$1,0,0,300)="",MATCH("Error",AF6,0),OFFSET('Calc Canada'!$A$1,0,0,300))</f>
        <v>#N/A</v>
      </c>
      <c r="AA6" s="5" t="str">
        <f ca="1">IF(OFFSET('Calc Canada'!$A$1,0,MATCH(W$1,'Calc Canada'!$1:$1,0)-1,300)="","",OFFSET('Calc Canada'!$A$1,0,MATCH(W$1,'Calc Canada'!$1:$1,0)-1,300))</f>
        <v/>
      </c>
      <c r="AB6" s="5" t="str">
        <f ca="1">IF(OFFSET('Calc Canada'!$A$1,0,MATCH(X$1,'Calc Canada'!$1:$1,0)-1,300)="","",OFFSET('Calc Canada'!$A$1,0,MATCH(X$1,'Calc Canada'!$1:$1,0)-1,300))</f>
        <v/>
      </c>
      <c r="AC6" t="str">
        <f t="shared" ca="1" si="0"/>
        <v/>
      </c>
      <c r="AD6" t="str">
        <f t="shared" ca="1" si="1"/>
        <v/>
      </c>
    </row>
    <row r="7" spans="1:256" x14ac:dyDescent="0.25">
      <c r="A7" s="2" t="s">
        <v>19</v>
      </c>
      <c r="B7" t="s">
        <v>93</v>
      </c>
      <c r="C7" t="str">
        <f>_xll.BDP($B7&amp;" curncy","px last")</f>
        <v>#N/A Requesting Data...</v>
      </c>
      <c r="D7" t="e">
        <f>IF(D$1='SWPS Canada'!$A7,"",ABS($C7-D$2)*100)</f>
        <v>#VALUE!</v>
      </c>
      <c r="E7" t="e">
        <f>IF(E$1='SWPS Canada'!$A7,"",ABS($C7-E$2)*100)</f>
        <v>#VALUE!</v>
      </c>
      <c r="F7" t="e">
        <f>IF(F$1='SWPS Canada'!$A7,"",ABS($C7-F$2)*100)</f>
        <v>#VALUE!</v>
      </c>
      <c r="G7" t="e">
        <f>IF(G$1='SWPS Canada'!$A7,"",ABS($C7-G$2)*100)</f>
        <v>#VALUE!</v>
      </c>
      <c r="H7" t="str">
        <f>IF(H$1='SWPS Canada'!$A7,"",ABS($C7-H$2)*100)</f>
        <v/>
      </c>
      <c r="I7" t="e">
        <f>IF(I$1='SWPS Canada'!$A7,"",ABS($C7-I$2)*100)</f>
        <v>#VALUE!</v>
      </c>
      <c r="Z7" s="4" t="e">
        <f ca="1">IF(OFFSET('Calc Canada'!$A$1,0,0,300)="",MATCH("Error",AF7,0),OFFSET('Calc Canada'!$A$1,0,0,300))</f>
        <v>#N/A</v>
      </c>
      <c r="AA7" s="5" t="str">
        <f ca="1">IF(OFFSET('Calc Canada'!$A$1,0,MATCH(W$1,'Calc Canada'!$1:$1,0)-1,300)="","",OFFSET('Calc Canada'!$A$1,0,MATCH(W$1,'Calc Canada'!$1:$1,0)-1,300))</f>
        <v/>
      </c>
      <c r="AB7" s="5" t="str">
        <f ca="1">IF(OFFSET('Calc Canada'!$A$1,0,MATCH(X$1,'Calc Canada'!$1:$1,0)-1,300)="","",OFFSET('Calc Canada'!$A$1,0,MATCH(X$1,'Calc Canada'!$1:$1,0)-1,300))</f>
        <v/>
      </c>
      <c r="AC7" t="str">
        <f t="shared" ca="1" si="0"/>
        <v/>
      </c>
      <c r="AD7" t="str">
        <f t="shared" ca="1" si="1"/>
        <v/>
      </c>
    </row>
    <row r="8" spans="1:256" x14ac:dyDescent="0.25">
      <c r="A8" s="2" t="s">
        <v>20</v>
      </c>
      <c r="B8" t="s">
        <v>94</v>
      </c>
      <c r="C8" t="str">
        <f>_xll.BDP($B8&amp;" curncy","px last")</f>
        <v>#N/A Requesting Data...</v>
      </c>
      <c r="D8" t="e">
        <f>IF(D$1='SWPS Canada'!$A8,"",ABS($C8-D$2)*100)</f>
        <v>#VALUE!</v>
      </c>
      <c r="E8" t="e">
        <f>IF(E$1='SWPS Canada'!$A8,"",ABS($C8-E$2)*100)</f>
        <v>#VALUE!</v>
      </c>
      <c r="F8" t="e">
        <f>IF(F$1='SWPS Canada'!$A8,"",ABS($C8-F$2)*100)</f>
        <v>#VALUE!</v>
      </c>
      <c r="G8" t="e">
        <f>IF(G$1='SWPS Canada'!$A8,"",ABS($C8-G$2)*100)</f>
        <v>#VALUE!</v>
      </c>
      <c r="H8" t="e">
        <f>IF(H$1='SWPS Canada'!$A8,"",ABS($C8-H$2)*100)</f>
        <v>#VALUE!</v>
      </c>
      <c r="I8" t="str">
        <f>IF(I$1='SWPS Canada'!$A8,"",ABS($C8-I$2)*100)</f>
        <v/>
      </c>
      <c r="Z8" s="4" t="e">
        <f ca="1">IF(OFFSET('Calc Canada'!$A$1,0,0,300)="",MATCH("Error",AF8,0),OFFSET('Calc Canada'!$A$1,0,0,300))</f>
        <v>#N/A</v>
      </c>
      <c r="AA8" s="5" t="str">
        <f ca="1">IF(OFFSET('Calc Canada'!$A$1,0,MATCH(W$1,'Calc Canada'!$1:$1,0)-1,300)="","",OFFSET('Calc Canada'!$A$1,0,MATCH(W$1,'Calc Canada'!$1:$1,0)-1,300))</f>
        <v/>
      </c>
      <c r="AB8" s="5" t="str">
        <f ca="1">IF(OFFSET('Calc Canada'!$A$1,0,MATCH(X$1,'Calc Canada'!$1:$1,0)-1,300)="","",OFFSET('Calc Canada'!$A$1,0,MATCH(X$1,'Calc Canada'!$1:$1,0)-1,300))</f>
        <v/>
      </c>
      <c r="AC8" t="str">
        <f t="shared" ca="1" si="0"/>
        <v/>
      </c>
      <c r="AD8" t="str">
        <f t="shared" ca="1" si="1"/>
        <v/>
      </c>
    </row>
    <row r="9" spans="1:256" x14ac:dyDescent="0.25">
      <c r="H9" s="1" t="s">
        <v>10</v>
      </c>
      <c r="I9" s="1" t="s">
        <v>10</v>
      </c>
      <c r="J9" s="1" t="s">
        <v>10</v>
      </c>
      <c r="K9" s="1" t="s">
        <v>11</v>
      </c>
      <c r="L9" s="1" t="s">
        <v>11</v>
      </c>
      <c r="M9" s="1" t="s">
        <v>11</v>
      </c>
      <c r="N9" s="1" t="s">
        <v>11</v>
      </c>
      <c r="O9" s="1" t="s">
        <v>12</v>
      </c>
      <c r="P9" s="1" t="s">
        <v>12</v>
      </c>
      <c r="Q9" s="1" t="s">
        <v>12</v>
      </c>
      <c r="R9" s="1" t="s">
        <v>17</v>
      </c>
      <c r="S9" s="1" t="s">
        <v>86</v>
      </c>
      <c r="T9" s="1" t="s">
        <v>86</v>
      </c>
      <c r="Z9" s="4" t="e">
        <f ca="1">IF(OFFSET('Calc Canada'!$A$1,0,0,300)="",MATCH("Error",AF9,0),OFFSET('Calc Canada'!$A$1,0,0,300))</f>
        <v>#N/A</v>
      </c>
      <c r="AA9" s="5" t="str">
        <f ca="1">IF(OFFSET('Calc Canada'!$A$1,0,MATCH(W$1,'Calc Canada'!$1:$1,0)-1,300)="","",OFFSET('Calc Canada'!$A$1,0,MATCH(W$1,'Calc Canada'!$1:$1,0)-1,300))</f>
        <v/>
      </c>
      <c r="AB9" s="5" t="str">
        <f ca="1">IF(OFFSET('Calc Canada'!$A$1,0,MATCH(X$1,'Calc Canada'!$1:$1,0)-1,300)="","",OFFSET('Calc Canada'!$A$1,0,MATCH(X$1,'Calc Canada'!$1:$1,0)-1,300))</f>
        <v/>
      </c>
      <c r="AC9" t="str">
        <f t="shared" ca="1" si="0"/>
        <v/>
      </c>
      <c r="AD9" t="str">
        <f t="shared" ca="1" si="1"/>
        <v/>
      </c>
    </row>
    <row r="10" spans="1:256" x14ac:dyDescent="0.25">
      <c r="H10" s="1" t="s">
        <v>13</v>
      </c>
      <c r="I10" s="1" t="s">
        <v>14</v>
      </c>
      <c r="J10" s="1" t="s">
        <v>15</v>
      </c>
      <c r="K10" s="1" t="s">
        <v>14</v>
      </c>
      <c r="L10" s="1" t="s">
        <v>15</v>
      </c>
      <c r="M10" s="1" t="s">
        <v>17</v>
      </c>
      <c r="N10" s="1" t="s">
        <v>16</v>
      </c>
      <c r="O10" s="1" t="s">
        <v>15</v>
      </c>
      <c r="P10" s="1" t="s">
        <v>16</v>
      </c>
      <c r="Q10" s="1" t="s">
        <v>18</v>
      </c>
      <c r="R10" s="1" t="s">
        <v>15</v>
      </c>
      <c r="S10" s="1" t="s">
        <v>15</v>
      </c>
      <c r="T10" s="1" t="s">
        <v>16</v>
      </c>
      <c r="Z10" s="4" t="e">
        <f ca="1">IF(OFFSET('Calc Canada'!$A$1,0,0,300)="",MATCH("Error",AF10,0),OFFSET('Calc Canada'!$A$1,0,0,300))</f>
        <v>#N/A</v>
      </c>
      <c r="AA10" s="5" t="str">
        <f ca="1">IF(OFFSET('Calc Canada'!$A$1,0,MATCH(W$1,'Calc Canada'!$1:$1,0)-1,300)="","",OFFSET('Calc Canada'!$A$1,0,MATCH(W$1,'Calc Canada'!$1:$1,0)-1,300))</f>
        <v/>
      </c>
      <c r="AB10" s="5" t="str">
        <f ca="1">IF(OFFSET('Calc Canada'!$A$1,0,MATCH(X$1,'Calc Canada'!$1:$1,0)-1,300)="","",OFFSET('Calc Canada'!$A$1,0,MATCH(X$1,'Calc Canada'!$1:$1,0)-1,300))</f>
        <v/>
      </c>
      <c r="AC10" t="str">
        <f t="shared" ca="1" si="0"/>
        <v/>
      </c>
      <c r="AD10" t="str">
        <f t="shared" ca="1" si="1"/>
        <v/>
      </c>
    </row>
    <row r="11" spans="1:256" x14ac:dyDescent="0.25">
      <c r="B11" s="1" t="s">
        <v>6</v>
      </c>
      <c r="C11" s="1" t="s">
        <v>7</v>
      </c>
      <c r="D11" s="1" t="s">
        <v>8</v>
      </c>
      <c r="E11" s="1" t="s">
        <v>9</v>
      </c>
      <c r="F11" s="1" t="s">
        <v>19</v>
      </c>
      <c r="G11" s="1" t="s">
        <v>20</v>
      </c>
      <c r="H11">
        <v>1</v>
      </c>
      <c r="I11">
        <v>2</v>
      </c>
      <c r="J11">
        <v>3</v>
      </c>
      <c r="K11">
        <v>4</v>
      </c>
      <c r="L11">
        <v>5</v>
      </c>
      <c r="M11">
        <v>6</v>
      </c>
      <c r="N11">
        <v>7</v>
      </c>
      <c r="O11">
        <v>8</v>
      </c>
      <c r="P11">
        <v>9</v>
      </c>
      <c r="Q11">
        <v>10</v>
      </c>
      <c r="R11">
        <v>11</v>
      </c>
      <c r="S11">
        <v>12</v>
      </c>
      <c r="T11">
        <v>13</v>
      </c>
      <c r="Z11" s="4" t="e">
        <f ca="1">IF(OFFSET('Calc Canada'!$A$1,0,0,300)="",MATCH("Error",AF11,0),OFFSET('Calc Canada'!$A$1,0,0,300))</f>
        <v>#N/A</v>
      </c>
      <c r="AA11" s="5" t="str">
        <f ca="1">IF(OFFSET('Calc Canada'!$A$1,0,MATCH(W$1,'Calc Canada'!$1:$1,0)-1,300)="","",OFFSET('Calc Canada'!$A$1,0,MATCH(W$1,'Calc Canada'!$1:$1,0)-1,300))</f>
        <v/>
      </c>
      <c r="AB11" s="5" t="str">
        <f ca="1">IF(OFFSET('Calc Canada'!$A$1,0,MATCH(X$1,'Calc Canada'!$1:$1,0)-1,300)="","",OFFSET('Calc Canada'!$A$1,0,MATCH(X$1,'Calc Canada'!$1:$1,0)-1,300))</f>
        <v/>
      </c>
      <c r="AC11" t="str">
        <f t="shared" ca="1" si="0"/>
        <v/>
      </c>
      <c r="AD11" t="str">
        <f t="shared" ca="1" si="1"/>
        <v/>
      </c>
    </row>
    <row r="12" spans="1:256" x14ac:dyDescent="0.25">
      <c r="A12" t="s">
        <v>130</v>
      </c>
      <c r="B12" t="s">
        <v>101</v>
      </c>
      <c r="C12" t="s">
        <v>102</v>
      </c>
      <c r="D12" t="s">
        <v>103</v>
      </c>
      <c r="E12" t="s">
        <v>104</v>
      </c>
      <c r="F12" t="s">
        <v>105</v>
      </c>
      <c r="G12" t="s">
        <v>106</v>
      </c>
      <c r="H12" t="str">
        <f t="shared" ref="H12:T12" si="2">H9&amp;" vs "&amp;H10</f>
        <v>03-05 vs 02-07</v>
      </c>
      <c r="I12" t="str">
        <f t="shared" si="2"/>
        <v>03-05 vs 02-10</v>
      </c>
      <c r="J12" t="str">
        <f t="shared" si="2"/>
        <v>03-05 vs 02-30</v>
      </c>
      <c r="K12" t="str">
        <f t="shared" si="2"/>
        <v>05-07 vs 02-10</v>
      </c>
      <c r="L12" t="str">
        <f t="shared" si="2"/>
        <v>05-07 vs 02-30</v>
      </c>
      <c r="M12" t="str">
        <f t="shared" si="2"/>
        <v>05-07 vs 03-10</v>
      </c>
      <c r="N12" t="str">
        <f t="shared" si="2"/>
        <v>05-07 vs 03-30</v>
      </c>
      <c r="O12" t="str">
        <f t="shared" si="2"/>
        <v>07-10 vs 02-30</v>
      </c>
      <c r="P12" t="str">
        <f t="shared" si="2"/>
        <v>07-10 vs 03-30</v>
      </c>
      <c r="Q12" t="str">
        <f t="shared" si="2"/>
        <v>07-10 vs 05-30</v>
      </c>
      <c r="R12" t="str">
        <f t="shared" si="2"/>
        <v>03-10 vs 02-30</v>
      </c>
      <c r="S12" t="str">
        <f t="shared" si="2"/>
        <v>05-10 vs 02-30</v>
      </c>
      <c r="T12" t="str">
        <f t="shared" si="2"/>
        <v>05-10 vs 03-30</v>
      </c>
      <c r="W12" s="5" t="str">
        <f ca="1">"SWPS: "&amp;OFFSET($H$12,0,MATCH(selectCanada,$H$12:$T$12,0)-1,300,1)</f>
        <v>SWPS: 03-10 vs 02-30</v>
      </c>
      <c r="Z12" s="4" t="e">
        <f ca="1">IF(OFFSET('Calc Canada'!$A$1,0,0,300)="",MATCH("Error",AF12,0),OFFSET('Calc Canada'!$A$1,0,0,300))</f>
        <v>#N/A</v>
      </c>
      <c r="AA12" s="5" t="str">
        <f ca="1">IF(OFFSET('Calc Canada'!$A$1,0,MATCH(W$1,'Calc Canada'!$1:$1,0)-1,300)="","",OFFSET('Calc Canada'!$A$1,0,MATCH(W$1,'Calc Canada'!$1:$1,0)-1,300))</f>
        <v/>
      </c>
      <c r="AB12" s="5" t="str">
        <f ca="1">IF(OFFSET('Calc Canada'!$A$1,0,MATCH(X$1,'Calc Canada'!$1:$1,0)-1,300)="","",OFFSET('Calc Canada'!$A$1,0,MATCH(X$1,'Calc Canada'!$1:$1,0)-1,300))</f>
        <v/>
      </c>
      <c r="AC12" t="str">
        <f t="shared" ca="1" si="0"/>
        <v/>
      </c>
      <c r="AD12" t="str">
        <f t="shared" ca="1" si="1"/>
        <v/>
      </c>
    </row>
    <row r="13" spans="1:256" x14ac:dyDescent="0.25">
      <c r="A13" s="4" t="str">
        <f>_xll.BDH(B$12&amp;" curncy","px last","ed-2ay","","Sort=d","cols=2;rows=521")</f>
        <v>#N/A Requesting Data...</v>
      </c>
      <c r="B13">
        <v>0.89649999999999996</v>
      </c>
      <c r="C13" s="5" t="str">
        <f>_xll.BDH(C$12&amp;" curncy","px last","ed-2ay","","Sort=d","Dts=H","cols=1;rows=522")</f>
        <v>#N/A Requesting Data...</v>
      </c>
      <c r="D13" s="5" t="str">
        <f>_xll.BDH(D$12&amp;" curncy","px last","ed-2ay","","Sort=d","Dts=H","cols=1;rows=520")</f>
        <v>#N/A Requesting Data...</v>
      </c>
      <c r="E13" s="5" t="str">
        <f>_xll.BDH(E$12&amp;" curncy","px last","ed-2ay","","Sort=d","Dts=H","cols=1;rows=522")</f>
        <v>#N/A Requesting Data...</v>
      </c>
      <c r="F13" s="5" t="str">
        <f>_xll.BDH(F$12&amp;" curncy","px last","ed-2ay","","Sort=d","Dts=H","cols=1;rows=520")</f>
        <v>#N/A Requesting Data...</v>
      </c>
      <c r="G13" s="5" t="str">
        <f>_xll.BDH(G$12&amp;" curncy","px last","ed-2ay","","Sort=d","Dts=H","cols=1;rows=522")</f>
        <v>#N/A Requesting Data...</v>
      </c>
      <c r="H13" t="str">
        <f ca="1">IF(ISERROR(ABS(OFFSET($A$11,ROW()-11,MATCH(LEFT(H$9,2),$A$11:$G$11,0)-1)-OFFSET($A$11,ROW()-11,MATCH(RIGHT(H$9,2),$A$11:$G$11,0)-1))/ABS(OFFSET($A$11,ROW()-11,MATCH(LEFT(H$10,2),$A$11:$G$11,0)-1)-OFFSET($A$11,ROW()-11,MATCH(RIGHT(H$10,2),$A$11:$G$11,0)-1))),"",ABS(OFFSET($A$11,ROW()-11,MATCH(LEFT(H$9,2),$A$11:$G$11,0)-1)-OFFSET($A$11,ROW()-11,MATCH(RIGHT(H$9,2),$A$11:$G$11,0)-1))/ABS(OFFSET($A$11,ROW()-11,MATCH(LEFT(H$10,2),$A$11:$G$11,0)-1)-OFFSET($A$11,ROW()-11,MATCH(RIGHT(H$10,2),$A$11:$G$11,0)-1)))</f>
        <v/>
      </c>
      <c r="I13" t="str">
        <f t="shared" ref="H13:T28" ca="1" si="3">IF(ISERROR(ABS(OFFSET($A$11,ROW()-11,MATCH(LEFT(I$9,2),$A$11:$G$11,0)-1)-OFFSET($A$11,ROW()-11,MATCH(RIGHT(I$9,2),$A$11:$G$11,0)-1))/ABS(OFFSET($A$11,ROW()-11,MATCH(LEFT(I$10,2),$A$11:$G$11,0)-1)-OFFSET($A$11,ROW()-11,MATCH(RIGHT(I$10,2),$A$11:$G$11,0)-1))),"",ABS(OFFSET($A$11,ROW()-11,MATCH(LEFT(I$9,2),$A$11:$G$11,0)-1)-OFFSET($A$11,ROW()-11,MATCH(RIGHT(I$9,2),$A$11:$G$11,0)-1))/ABS(OFFSET($A$11,ROW()-11,MATCH(LEFT(I$10,2),$A$11:$G$11,0)-1)-OFFSET($A$11,ROW()-11,MATCH(RIGHT(I$10,2),$A$11:$G$11,0)-1)))</f>
        <v/>
      </c>
      <c r="J13" t="str">
        <f t="shared" ca="1" si="3"/>
        <v/>
      </c>
      <c r="K13" t="str">
        <f t="shared" ca="1" si="3"/>
        <v/>
      </c>
      <c r="L13" t="str">
        <f t="shared" ca="1" si="3"/>
        <v/>
      </c>
      <c r="M13" t="str">
        <f t="shared" ca="1" si="3"/>
        <v/>
      </c>
      <c r="N13" t="str">
        <f t="shared" ca="1" si="3"/>
        <v/>
      </c>
      <c r="O13" t="str">
        <f t="shared" ca="1" si="3"/>
        <v/>
      </c>
      <c r="P13" t="str">
        <f t="shared" ca="1" si="3"/>
        <v/>
      </c>
      <c r="Q13" t="str">
        <f t="shared" ca="1" si="3"/>
        <v/>
      </c>
      <c r="R13" t="str">
        <f t="shared" ca="1" si="3"/>
        <v/>
      </c>
      <c r="S13" t="str">
        <f ca="1">IF(ISERROR(ABS(OFFSET($A$11,ROW()-11,MATCH(LEFT(S$9,2),$A$11:$G$11,0)-1)-OFFSET($A$11,ROW()-11,MATCH(RIGHT(S$9,2),$A$11:$G$11,0)-1))/ABS(OFFSET($A$11,ROW()-11,MATCH(LEFT(S$10,2),$A$11:$G$11,0)-1)-OFFSET($A$11,ROW()-11,MATCH(RIGHT(S$10,2),$A$11:$G$11,0)-1))),"",ABS(OFFSET($A$11,ROW()-11,MATCH(LEFT(S$9,2),$A$11:$G$11,0)-1)-OFFSET($A$11,ROW()-11,MATCH(RIGHT(S$9,2),$A$11:$G$11,0)-1))/ABS(OFFSET($A$11,ROW()-11,MATCH(LEFT(S$10,2),$A$11:$G$11,0)-1)-OFFSET($A$11,ROW()-11,MATCH(RIGHT(S$10,2),$A$11:$G$11,0)-1)))</f>
        <v/>
      </c>
      <c r="T13" t="str">
        <f t="shared" ca="1" si="3"/>
        <v/>
      </c>
      <c r="U13" s="4"/>
      <c r="V13" s="4" t="str">
        <f>IF(A13&lt;&gt;"",A13,"")</f>
        <v>#N/A Requesting Data...</v>
      </c>
      <c r="W13" s="5" t="str">
        <f t="shared" ref="W13:W75" ca="1" si="4">OFFSET($H$12,0,MATCH(selectCanada,$H$12:$T$12,0)-1,300,1)</f>
        <v/>
      </c>
      <c r="X13" s="4"/>
      <c r="Y13" s="4"/>
      <c r="Z13" s="4" t="e">
        <f ca="1">IF(OFFSET('Calc Canada'!$A$1,0,0,300)="",MATCH("Error",AF13,0),OFFSET('Calc Canada'!$A$1,0,0,300))</f>
        <v>#N/A</v>
      </c>
      <c r="AA13" s="5" t="str">
        <f ca="1">IF(OFFSET('Calc Canada'!$A$1,0,MATCH(W$1,'Calc Canada'!$1:$1,0)-1,300)="","",OFFSET('Calc Canada'!$A$1,0,MATCH(W$1,'Calc Canada'!$1:$1,0)-1,300))</f>
        <v/>
      </c>
      <c r="AB13" s="5" t="str">
        <f ca="1">IF(OFFSET('Calc Canada'!$A$1,0,MATCH(X$1,'Calc Canada'!$1:$1,0)-1,300)="","",OFFSET('Calc Canada'!$A$1,0,MATCH(X$1,'Calc Canada'!$1:$1,0)-1,300))</f>
        <v/>
      </c>
      <c r="AC13" t="str">
        <f t="shared" ca="1" si="0"/>
        <v/>
      </c>
      <c r="AD13" t="str">
        <f t="shared" ca="1" si="1"/>
        <v/>
      </c>
      <c r="AE13" s="4"/>
      <c r="AF13" s="4"/>
      <c r="AG13" s="4"/>
      <c r="AH13" s="4"/>
      <c r="AI13" s="4"/>
      <c r="AJ13" s="4"/>
      <c r="AK13" s="4"/>
      <c r="AL13" s="4"/>
      <c r="AM13" s="4"/>
      <c r="AN13" s="4"/>
      <c r="AO13" s="4"/>
      <c r="AP13" s="4"/>
      <c r="AQ13" s="4"/>
      <c r="AR13" s="4"/>
      <c r="AS13" s="4"/>
      <c r="AT13" s="4"/>
      <c r="AU13" s="4"/>
      <c r="AV13" s="4"/>
      <c r="AW13" s="4"/>
      <c r="AX13" s="4"/>
      <c r="AY13" s="4"/>
      <c r="AZ13" s="4"/>
      <c r="BA13" s="4"/>
      <c r="BB13" s="4"/>
      <c r="BC13" s="4"/>
      <c r="BD13" s="4"/>
      <c r="BE13" s="4"/>
      <c r="BF13" s="4"/>
      <c r="BG13" s="4"/>
      <c r="BH13" s="4"/>
      <c r="BI13" s="4"/>
      <c r="BJ13" s="4"/>
      <c r="BK13" s="4"/>
      <c r="BL13" s="4"/>
      <c r="BM13" s="4"/>
      <c r="BN13" s="4"/>
      <c r="BO13" s="4"/>
      <c r="BP13" s="4"/>
      <c r="BQ13" s="4"/>
      <c r="BR13" s="4"/>
      <c r="BS13" s="4"/>
      <c r="BT13" s="4"/>
      <c r="BU13" s="4"/>
      <c r="BV13" s="4"/>
      <c r="BW13" s="4"/>
      <c r="BX13" s="4"/>
      <c r="BY13" s="4"/>
      <c r="BZ13" s="4"/>
      <c r="CA13" s="4"/>
      <c r="CB13" s="4"/>
      <c r="CC13" s="4"/>
      <c r="CD13" s="4"/>
      <c r="CE13" s="4"/>
      <c r="CF13" s="4"/>
      <c r="CG13" s="4"/>
      <c r="CH13" s="4"/>
      <c r="CI13" s="4"/>
      <c r="CJ13" s="4"/>
      <c r="CK13" s="4"/>
      <c r="CL13" s="4"/>
      <c r="CM13" s="4"/>
      <c r="CN13" s="4"/>
      <c r="CO13" s="4"/>
      <c r="CP13" s="4"/>
      <c r="CQ13" s="4"/>
      <c r="CR13" s="4"/>
      <c r="CS13" s="4"/>
      <c r="CT13" s="4"/>
      <c r="CU13" s="4"/>
      <c r="CV13" s="4"/>
      <c r="CW13" s="4"/>
      <c r="CX13" s="4"/>
      <c r="CY13" s="4"/>
      <c r="CZ13" s="4"/>
      <c r="DA13" s="4"/>
      <c r="DB13" s="4"/>
      <c r="DC13" s="4"/>
      <c r="DD13" s="4"/>
      <c r="DE13" s="4"/>
      <c r="DF13" s="4"/>
      <c r="DG13" s="4"/>
      <c r="DH13" s="4"/>
      <c r="DI13" s="4"/>
      <c r="DJ13" s="4"/>
      <c r="DK13" s="4"/>
      <c r="DL13" s="4"/>
      <c r="DM13" s="4"/>
      <c r="DN13" s="4"/>
      <c r="DO13" s="4"/>
      <c r="DP13" s="4"/>
      <c r="DQ13" s="4"/>
      <c r="DR13" s="4"/>
      <c r="DS13" s="4"/>
      <c r="DT13" s="4"/>
      <c r="DU13" s="4"/>
      <c r="DV13" s="4"/>
      <c r="DW13" s="4"/>
      <c r="DX13" s="4"/>
      <c r="DY13" s="4"/>
      <c r="DZ13" s="4"/>
      <c r="EA13" s="4"/>
      <c r="EB13" s="4"/>
      <c r="EC13" s="4"/>
      <c r="ED13" s="4"/>
      <c r="EE13" s="4"/>
      <c r="EF13" s="4"/>
      <c r="EG13" s="4"/>
      <c r="EH13" s="4"/>
      <c r="EI13" s="4"/>
      <c r="EJ13" s="4"/>
      <c r="EK13" s="4"/>
      <c r="EL13" s="4"/>
      <c r="EM13" s="4"/>
      <c r="EN13" s="4"/>
      <c r="EO13" s="4"/>
      <c r="EP13" s="4"/>
      <c r="EQ13" s="4"/>
      <c r="ER13" s="4"/>
      <c r="ES13" s="4"/>
      <c r="ET13" s="4"/>
      <c r="EU13" s="4"/>
      <c r="EV13" s="4"/>
      <c r="EW13" s="4"/>
      <c r="EX13" s="4"/>
      <c r="EY13" s="4"/>
      <c r="EZ13" s="4"/>
      <c r="FA13" s="4"/>
      <c r="FB13" s="4"/>
      <c r="FC13" s="4"/>
      <c r="FD13" s="4"/>
      <c r="FE13" s="4"/>
      <c r="FF13" s="4"/>
      <c r="FG13" s="4"/>
      <c r="FH13" s="4"/>
      <c r="FI13" s="4"/>
      <c r="FJ13" s="4"/>
      <c r="FK13" s="4"/>
      <c r="FL13" s="4"/>
      <c r="FM13" s="4"/>
      <c r="FN13" s="4"/>
      <c r="FO13" s="4"/>
      <c r="FP13" s="4"/>
      <c r="FQ13" s="4"/>
      <c r="FR13" s="4"/>
      <c r="FS13" s="4"/>
      <c r="FT13" s="4"/>
      <c r="FU13" s="4"/>
      <c r="FV13" s="4"/>
      <c r="FW13" s="4"/>
      <c r="FX13" s="4"/>
      <c r="FY13" s="4"/>
      <c r="FZ13" s="4"/>
      <c r="GA13" s="4"/>
      <c r="GB13" s="4"/>
      <c r="GC13" s="4"/>
      <c r="GD13" s="4"/>
      <c r="GE13" s="4"/>
      <c r="GF13" s="4"/>
      <c r="GG13" s="4"/>
      <c r="GH13" s="4"/>
      <c r="GI13" s="4"/>
      <c r="GJ13" s="4"/>
      <c r="GK13" s="4"/>
      <c r="GL13" s="4"/>
      <c r="GM13" s="4"/>
      <c r="GN13" s="4"/>
      <c r="GO13" s="4"/>
      <c r="GP13" s="4"/>
      <c r="GQ13" s="4"/>
      <c r="GR13" s="4"/>
      <c r="GS13" s="4"/>
      <c r="GT13" s="4"/>
      <c r="GU13" s="4"/>
      <c r="GV13" s="4"/>
      <c r="GW13" s="4"/>
      <c r="GX13" s="4"/>
      <c r="GY13" s="4"/>
      <c r="GZ13" s="4"/>
      <c r="HA13" s="4"/>
      <c r="HB13" s="4"/>
      <c r="HC13" s="4"/>
      <c r="HD13" s="4"/>
      <c r="HE13" s="4"/>
      <c r="HF13" s="4"/>
      <c r="HG13" s="4"/>
      <c r="HH13" s="4"/>
      <c r="HI13" s="4"/>
      <c r="HJ13" s="4"/>
      <c r="HK13" s="4"/>
      <c r="HL13" s="4"/>
      <c r="HM13" s="4"/>
      <c r="HN13" s="4"/>
      <c r="HO13" s="4"/>
      <c r="HP13" s="4"/>
      <c r="HQ13" s="4"/>
      <c r="HR13" s="4"/>
      <c r="HS13" s="4"/>
      <c r="HT13" s="4"/>
      <c r="HU13" s="4"/>
      <c r="HV13" s="4"/>
      <c r="HW13" s="4"/>
      <c r="HX13" s="4"/>
      <c r="HY13" s="4"/>
      <c r="HZ13" s="4"/>
      <c r="IA13" s="4"/>
      <c r="IB13" s="4"/>
      <c r="IC13" s="4"/>
      <c r="ID13" s="4"/>
      <c r="IE13" s="4"/>
      <c r="IF13" s="4"/>
      <c r="IG13" s="4"/>
      <c r="IH13" s="4"/>
      <c r="II13" s="4"/>
      <c r="IJ13" s="4"/>
      <c r="IK13" s="4"/>
      <c r="IL13" s="4"/>
      <c r="IM13" s="4"/>
      <c r="IN13" s="4"/>
      <c r="IO13" s="4"/>
      <c r="IP13" s="4"/>
      <c r="IQ13" s="4"/>
      <c r="IR13" s="4"/>
      <c r="IS13" s="4"/>
      <c r="IT13" s="4"/>
      <c r="IU13" s="4"/>
      <c r="IV13" s="4"/>
    </row>
    <row r="14" spans="1:256" x14ac:dyDescent="0.25">
      <c r="A14" s="4">
        <v>42107</v>
      </c>
      <c r="B14">
        <v>0.90800000000000003</v>
      </c>
      <c r="C14" s="5">
        <v>0.99099999999999999</v>
      </c>
      <c r="D14">
        <v>1.22</v>
      </c>
      <c r="E14">
        <v>1.47</v>
      </c>
      <c r="F14">
        <v>1.8159999999999998</v>
      </c>
      <c r="G14">
        <v>2.4037999999999999</v>
      </c>
      <c r="H14">
        <f t="shared" ca="1" si="3"/>
        <v>0.40747330960854095</v>
      </c>
      <c r="I14">
        <f t="shared" ca="1" si="3"/>
        <v>0.25220264317180618</v>
      </c>
      <c r="J14">
        <f t="shared" ca="1" si="3"/>
        <v>0.15309533360074876</v>
      </c>
      <c r="K14">
        <f t="shared" ca="1" si="3"/>
        <v>0.27533039647577101</v>
      </c>
      <c r="L14">
        <f t="shared" ca="1" si="3"/>
        <v>0.16713464366893971</v>
      </c>
      <c r="M14">
        <f t="shared" ca="1" si="3"/>
        <v>0.30303030303030309</v>
      </c>
      <c r="N14">
        <f t="shared" ca="1" si="3"/>
        <v>0.17695356738391849</v>
      </c>
      <c r="O14">
        <f t="shared" ca="1" si="3"/>
        <v>0.23131434683781243</v>
      </c>
      <c r="P14">
        <f t="shared" ca="1" si="3"/>
        <v>0.24490373725934309</v>
      </c>
      <c r="Q14">
        <f t="shared" ca="1" si="3"/>
        <v>0.29227910119952683</v>
      </c>
      <c r="R14">
        <f t="shared" ca="1" si="3"/>
        <v>0.55154432410750087</v>
      </c>
      <c r="S14">
        <f t="shared" ca="1" si="3"/>
        <v>0.39844899050675214</v>
      </c>
      <c r="T14">
        <f t="shared" ca="1" si="3"/>
        <v>0.42185730464326154</v>
      </c>
      <c r="V14" s="4">
        <f t="shared" ref="V14:V77" si="5">IF(A14&lt;&gt;"",A14,"")</f>
        <v>42107</v>
      </c>
      <c r="W14" s="5">
        <f t="shared" ca="1" si="4"/>
        <v>0.55154432410750087</v>
      </c>
      <c r="Z14" s="4" t="e">
        <f ca="1">IF(OFFSET('Calc Canada'!$A$1,0,0,300)="",MATCH("Error",AF14,0),OFFSET('Calc Canada'!$A$1,0,0,300))</f>
        <v>#N/A</v>
      </c>
      <c r="AA14" s="5" t="str">
        <f ca="1">IF(OFFSET('Calc Canada'!$A$1,0,MATCH(W$1,'Calc Canada'!$1:$1,0)-1,300)="","",OFFSET('Calc Canada'!$A$1,0,MATCH(W$1,'Calc Canada'!$1:$1,0)-1,300))</f>
        <v/>
      </c>
      <c r="AB14" s="5" t="str">
        <f ca="1">IF(OFFSET('Calc Canada'!$A$1,0,MATCH(X$1,'Calc Canada'!$1:$1,0)-1,300)="","",OFFSET('Calc Canada'!$A$1,0,MATCH(X$1,'Calc Canada'!$1:$1,0)-1,300))</f>
        <v/>
      </c>
      <c r="AC14" t="str">
        <f t="shared" ca="1" si="0"/>
        <v/>
      </c>
      <c r="AD14" t="str">
        <f t="shared" ca="1" si="1"/>
        <v/>
      </c>
    </row>
    <row r="15" spans="1:256" x14ac:dyDescent="0.25">
      <c r="A15" s="4">
        <v>42104</v>
      </c>
      <c r="B15">
        <v>0.91200000000000003</v>
      </c>
      <c r="C15" s="5">
        <v>0.995</v>
      </c>
      <c r="D15">
        <v>1.22</v>
      </c>
      <c r="E15">
        <v>1.48</v>
      </c>
      <c r="F15">
        <v>1.837</v>
      </c>
      <c r="G15">
        <v>2.419</v>
      </c>
      <c r="H15">
        <f t="shared" ca="1" si="3"/>
        <v>0.39612676056338025</v>
      </c>
      <c r="I15">
        <f t="shared" ca="1" si="3"/>
        <v>0.24324324324324323</v>
      </c>
      <c r="J15">
        <f t="shared" ca="1" si="3"/>
        <v>0.1493032514930325</v>
      </c>
      <c r="K15">
        <f t="shared" ca="1" si="3"/>
        <v>0.2810810810810811</v>
      </c>
      <c r="L15">
        <f t="shared" ca="1" si="3"/>
        <v>0.17252820172528202</v>
      </c>
      <c r="M15">
        <f t="shared" ca="1" si="3"/>
        <v>0.30878859857482188</v>
      </c>
      <c r="N15">
        <f t="shared" ca="1" si="3"/>
        <v>0.18258426966292135</v>
      </c>
      <c r="O15">
        <f t="shared" ca="1" si="3"/>
        <v>0.23689449236894489</v>
      </c>
      <c r="P15">
        <f t="shared" ca="1" si="3"/>
        <v>0.25070224719101125</v>
      </c>
      <c r="Q15">
        <f t="shared" ca="1" si="3"/>
        <v>0.29774812343619678</v>
      </c>
      <c r="R15">
        <f t="shared" ca="1" si="3"/>
        <v>0.55872594558725941</v>
      </c>
      <c r="S15">
        <f t="shared" ca="1" si="3"/>
        <v>0.40942269409422688</v>
      </c>
      <c r="T15">
        <f t="shared" ca="1" si="3"/>
        <v>0.4332865168539326</v>
      </c>
      <c r="V15" s="4">
        <f t="shared" si="5"/>
        <v>42104</v>
      </c>
      <c r="W15" s="5">
        <f t="shared" ca="1" si="4"/>
        <v>0.55872594558725941</v>
      </c>
      <c r="Z15" s="4" t="e">
        <f ca="1">IF(OFFSET('Calc Canada'!$A$1,0,0,300)="",MATCH("Error",AF15,0),OFFSET('Calc Canada'!$A$1,0,0,300))</f>
        <v>#N/A</v>
      </c>
      <c r="AA15" s="5" t="str">
        <f ca="1">IF(OFFSET('Calc Canada'!$A$1,0,MATCH(W$1,'Calc Canada'!$1:$1,0)-1,300)="","",OFFSET('Calc Canada'!$A$1,0,MATCH(W$1,'Calc Canada'!$1:$1,0)-1,300))</f>
        <v/>
      </c>
      <c r="AB15" s="5" t="str">
        <f ca="1">IF(OFFSET('Calc Canada'!$A$1,0,MATCH(X$1,'Calc Canada'!$1:$1,0)-1,300)="","",OFFSET('Calc Canada'!$A$1,0,MATCH(X$1,'Calc Canada'!$1:$1,0)-1,300))</f>
        <v/>
      </c>
      <c r="AC15" t="str">
        <f t="shared" ca="1" si="0"/>
        <v/>
      </c>
      <c r="AD15" t="str">
        <f t="shared" ca="1" si="1"/>
        <v/>
      </c>
    </row>
    <row r="16" spans="1:256" x14ac:dyDescent="0.25">
      <c r="A16" s="4">
        <v>42103</v>
      </c>
      <c r="B16">
        <v>0.90100000000000002</v>
      </c>
      <c r="C16" s="5">
        <v>0.98</v>
      </c>
      <c r="D16">
        <v>1.2164999999999999</v>
      </c>
      <c r="E16">
        <v>1.4784999999999999</v>
      </c>
      <c r="F16">
        <v>1.839</v>
      </c>
      <c r="G16">
        <v>2.431</v>
      </c>
      <c r="H16">
        <f t="shared" ca="1" si="3"/>
        <v>0.40952380952380946</v>
      </c>
      <c r="I16">
        <f t="shared" ca="1" si="3"/>
        <v>0.25213219616204685</v>
      </c>
      <c r="J16">
        <f t="shared" ca="1" si="3"/>
        <v>0.15457516339869276</v>
      </c>
      <c r="K16">
        <f t="shared" ca="1" si="3"/>
        <v>0.27931769722814503</v>
      </c>
      <c r="L16">
        <f t="shared" ca="1" si="3"/>
        <v>0.17124183006535948</v>
      </c>
      <c r="M16">
        <f t="shared" ca="1" si="3"/>
        <v>0.30500582072176952</v>
      </c>
      <c r="N16">
        <f t="shared" ca="1" si="3"/>
        <v>0.18056512749827705</v>
      </c>
      <c r="O16">
        <f t="shared" ca="1" si="3"/>
        <v>0.23562091503267976</v>
      </c>
      <c r="P16">
        <f t="shared" ca="1" si="3"/>
        <v>0.24844934527911786</v>
      </c>
      <c r="Q16">
        <f t="shared" ca="1" si="3"/>
        <v>0.29682997118155618</v>
      </c>
      <c r="R16">
        <f t="shared" ca="1" si="3"/>
        <v>0.56143790849673203</v>
      </c>
      <c r="S16">
        <f t="shared" ca="1" si="3"/>
        <v>0.40686274509803927</v>
      </c>
      <c r="T16">
        <f t="shared" ca="1" si="3"/>
        <v>0.42901447277739491</v>
      </c>
      <c r="V16" s="4">
        <f t="shared" si="5"/>
        <v>42103</v>
      </c>
      <c r="W16" s="5">
        <f t="shared" ca="1" si="4"/>
        <v>0.56143790849673203</v>
      </c>
      <c r="Z16" s="4" t="e">
        <f ca="1">IF(OFFSET('Calc Canada'!$A$1,0,0,300)="",MATCH("Error",AF16,0),OFFSET('Calc Canada'!$A$1,0,0,300))</f>
        <v>#N/A</v>
      </c>
      <c r="AA16" s="5" t="str">
        <f ca="1">IF(OFFSET('Calc Canada'!$A$1,0,MATCH(W$1,'Calc Canada'!$1:$1,0)-1,300)="","",OFFSET('Calc Canada'!$A$1,0,MATCH(W$1,'Calc Canada'!$1:$1,0)-1,300))</f>
        <v/>
      </c>
      <c r="AB16" s="5" t="str">
        <f ca="1">IF(OFFSET('Calc Canada'!$A$1,0,MATCH(X$1,'Calc Canada'!$1:$1,0)-1,300)="","",OFFSET('Calc Canada'!$A$1,0,MATCH(X$1,'Calc Canada'!$1:$1,0)-1,300))</f>
        <v/>
      </c>
      <c r="AC16" t="str">
        <f t="shared" ca="1" si="0"/>
        <v/>
      </c>
      <c r="AD16" t="str">
        <f t="shared" ca="1" si="1"/>
        <v/>
      </c>
    </row>
    <row r="17" spans="1:30" x14ac:dyDescent="0.25">
      <c r="A17" s="4">
        <v>42102</v>
      </c>
      <c r="B17">
        <v>0.89200000000000002</v>
      </c>
      <c r="C17" s="5">
        <v>0.97140000000000004</v>
      </c>
      <c r="D17">
        <v>1.198</v>
      </c>
      <c r="E17">
        <v>1.4513</v>
      </c>
      <c r="F17">
        <v>1.8090000000000002</v>
      </c>
      <c r="G17">
        <v>2.3835000000000002</v>
      </c>
      <c r="H17">
        <f t="shared" ca="1" si="3"/>
        <v>0.40514929376005704</v>
      </c>
      <c r="I17">
        <f t="shared" ca="1" si="3"/>
        <v>0.24711014176663018</v>
      </c>
      <c r="J17">
        <f t="shared" ca="1" si="3"/>
        <v>0.15192758967482392</v>
      </c>
      <c r="K17">
        <f t="shared" ca="1" si="3"/>
        <v>0.27622682660850606</v>
      </c>
      <c r="L17">
        <f t="shared" ca="1" si="3"/>
        <v>0.16982903117666781</v>
      </c>
      <c r="M17">
        <f t="shared" ca="1" si="3"/>
        <v>0.30241165234001915</v>
      </c>
      <c r="N17">
        <f t="shared" ca="1" si="3"/>
        <v>0.17937823100347006</v>
      </c>
      <c r="O17">
        <f t="shared" ca="1" si="3"/>
        <v>0.23982567884679856</v>
      </c>
      <c r="P17">
        <f t="shared" ca="1" si="3"/>
        <v>0.25331067204872182</v>
      </c>
      <c r="Q17">
        <f t="shared" ca="1" si="3"/>
        <v>0.30172922817376641</v>
      </c>
      <c r="R17">
        <f t="shared" ca="1" si="3"/>
        <v>0.56158229969829032</v>
      </c>
      <c r="S17">
        <f t="shared" ca="1" si="3"/>
        <v>0.40965471002346637</v>
      </c>
      <c r="T17">
        <f t="shared" ca="1" si="3"/>
        <v>0.43268890305219188</v>
      </c>
      <c r="V17" s="4">
        <f t="shared" si="5"/>
        <v>42102</v>
      </c>
      <c r="W17" s="5">
        <f t="shared" ca="1" si="4"/>
        <v>0.56158229969829032</v>
      </c>
      <c r="Z17" s="4" t="e">
        <f ca="1">IF(OFFSET('Calc Canada'!$A$1,0,0,300)="",MATCH("Error",AF17,0),OFFSET('Calc Canada'!$A$1,0,0,300))</f>
        <v>#N/A</v>
      </c>
      <c r="AA17" s="5" t="str">
        <f ca="1">IF(OFFSET('Calc Canada'!$A$1,0,MATCH(W$1,'Calc Canada'!$1:$1,0)-1,300)="","",OFFSET('Calc Canada'!$A$1,0,MATCH(W$1,'Calc Canada'!$1:$1,0)-1,300))</f>
        <v/>
      </c>
      <c r="AB17" s="5" t="str">
        <f ca="1">IF(OFFSET('Calc Canada'!$A$1,0,MATCH(X$1,'Calc Canada'!$1:$1,0)-1,300)="","",OFFSET('Calc Canada'!$A$1,0,MATCH(X$1,'Calc Canada'!$1:$1,0)-1,300))</f>
        <v/>
      </c>
      <c r="AC17" t="str">
        <f t="shared" ca="1" si="0"/>
        <v/>
      </c>
      <c r="AD17" t="str">
        <f t="shared" ca="1" si="1"/>
        <v/>
      </c>
    </row>
    <row r="18" spans="1:30" x14ac:dyDescent="0.25">
      <c r="A18" s="4">
        <v>42101</v>
      </c>
      <c r="B18">
        <v>0.89300000000000002</v>
      </c>
      <c r="C18" s="5">
        <v>0.97360000000000002</v>
      </c>
      <c r="D18">
        <v>1.2</v>
      </c>
      <c r="E18">
        <v>1.458</v>
      </c>
      <c r="F18">
        <v>1.8228</v>
      </c>
      <c r="G18">
        <v>2.3890000000000002</v>
      </c>
      <c r="H18">
        <f t="shared" ca="1" si="3"/>
        <v>0.40070796460176983</v>
      </c>
      <c r="I18">
        <f t="shared" ca="1" si="3"/>
        <v>0.24349322434932238</v>
      </c>
      <c r="J18">
        <f t="shared" ca="1" si="3"/>
        <v>0.15133689839572187</v>
      </c>
      <c r="K18">
        <f t="shared" ca="1" si="3"/>
        <v>0.27747902774790278</v>
      </c>
      <c r="L18">
        <f t="shared" ca="1" si="3"/>
        <v>0.17245989304812831</v>
      </c>
      <c r="M18">
        <f t="shared" ca="1" si="3"/>
        <v>0.30381535562882717</v>
      </c>
      <c r="N18">
        <f t="shared" ca="1" si="3"/>
        <v>0.18228062738448492</v>
      </c>
      <c r="O18">
        <f t="shared" ca="1" si="3"/>
        <v>0.24385026737967913</v>
      </c>
      <c r="P18">
        <f t="shared" ca="1" si="3"/>
        <v>0.25773632895294613</v>
      </c>
      <c r="Q18">
        <f t="shared" ca="1" si="3"/>
        <v>0.30681244743481911</v>
      </c>
      <c r="R18">
        <f t="shared" ca="1" si="3"/>
        <v>0.56764705882352928</v>
      </c>
      <c r="S18">
        <f t="shared" ca="1" si="3"/>
        <v>0.41631016042780744</v>
      </c>
      <c r="T18">
        <f t="shared" ca="1" si="3"/>
        <v>0.44001695633743104</v>
      </c>
      <c r="V18" s="4">
        <f t="shared" si="5"/>
        <v>42101</v>
      </c>
      <c r="W18" s="5">
        <f t="shared" ca="1" si="4"/>
        <v>0.56764705882352928</v>
      </c>
      <c r="Z18" s="4" t="e">
        <f ca="1">IF(OFFSET('Calc Canada'!$A$1,0,0,300)="",MATCH("Error",AF18,0),OFFSET('Calc Canada'!$A$1,0,0,300))</f>
        <v>#N/A</v>
      </c>
      <c r="AA18" s="5" t="str">
        <f ca="1">IF(OFFSET('Calc Canada'!$A$1,0,MATCH(W$1,'Calc Canada'!$1:$1,0)-1,300)="","",OFFSET('Calc Canada'!$A$1,0,MATCH(W$1,'Calc Canada'!$1:$1,0)-1,300))</f>
        <v/>
      </c>
      <c r="AB18" s="5" t="str">
        <f ca="1">IF(OFFSET('Calc Canada'!$A$1,0,MATCH(X$1,'Calc Canada'!$1:$1,0)-1,300)="","",OFFSET('Calc Canada'!$A$1,0,MATCH(X$1,'Calc Canada'!$1:$1,0)-1,300))</f>
        <v/>
      </c>
      <c r="AC18" t="str">
        <f t="shared" ca="1" si="0"/>
        <v/>
      </c>
      <c r="AD18" t="str">
        <f t="shared" ca="1" si="1"/>
        <v/>
      </c>
    </row>
    <row r="19" spans="1:30" x14ac:dyDescent="0.25">
      <c r="A19" s="4">
        <v>42100</v>
      </c>
      <c r="B19">
        <v>0.89</v>
      </c>
      <c r="C19" s="5">
        <v>0.96599999999999997</v>
      </c>
      <c r="D19">
        <v>1.19</v>
      </c>
      <c r="E19">
        <v>1.452</v>
      </c>
      <c r="F19">
        <v>1.8129999999999999</v>
      </c>
      <c r="G19">
        <v>2.3963999999999999</v>
      </c>
      <c r="H19">
        <f t="shared" ca="1" si="3"/>
        <v>0.39857651245551601</v>
      </c>
      <c r="I19">
        <f t="shared" ca="1" si="3"/>
        <v>0.2426868905742145</v>
      </c>
      <c r="J19">
        <f t="shared" ca="1" si="3"/>
        <v>0.14869888475836432</v>
      </c>
      <c r="K19">
        <f t="shared" ca="1" si="3"/>
        <v>0.28385698808234022</v>
      </c>
      <c r="L19">
        <f t="shared" ca="1" si="3"/>
        <v>0.17392458842272973</v>
      </c>
      <c r="M19">
        <f t="shared" ca="1" si="3"/>
        <v>0.3093270365997639</v>
      </c>
      <c r="N19">
        <f t="shared" ca="1" si="3"/>
        <v>0.18316554809843402</v>
      </c>
      <c r="O19">
        <f t="shared" ca="1" si="3"/>
        <v>0.23964418481147109</v>
      </c>
      <c r="P19">
        <f t="shared" ca="1" si="3"/>
        <v>0.25237695749440719</v>
      </c>
      <c r="Q19">
        <f t="shared" ca="1" si="3"/>
        <v>0.29923740053050402</v>
      </c>
      <c r="R19">
        <f t="shared" ca="1" si="3"/>
        <v>0.56226765799256517</v>
      </c>
      <c r="S19">
        <f t="shared" ca="1" si="3"/>
        <v>0.41356877323420083</v>
      </c>
      <c r="T19">
        <f t="shared" ca="1" si="3"/>
        <v>0.43554250559284119</v>
      </c>
      <c r="V19" s="4">
        <f t="shared" si="5"/>
        <v>42100</v>
      </c>
      <c r="W19" s="5">
        <f t="shared" ca="1" si="4"/>
        <v>0.56226765799256517</v>
      </c>
      <c r="Z19" s="4" t="e">
        <f ca="1">IF(OFFSET('Calc Canada'!$A$1,0,0,300)="",MATCH("Error",AF19,0),OFFSET('Calc Canada'!$A$1,0,0,300))</f>
        <v>#N/A</v>
      </c>
      <c r="AA19" s="5" t="str">
        <f ca="1">IF(OFFSET('Calc Canada'!$A$1,0,MATCH(W$1,'Calc Canada'!$1:$1,0)-1,300)="","",OFFSET('Calc Canada'!$A$1,0,MATCH(W$1,'Calc Canada'!$1:$1,0)-1,300))</f>
        <v/>
      </c>
      <c r="AB19" s="5" t="str">
        <f ca="1">IF(OFFSET('Calc Canada'!$A$1,0,MATCH(X$1,'Calc Canada'!$1:$1,0)-1,300)="","",OFFSET('Calc Canada'!$A$1,0,MATCH(X$1,'Calc Canada'!$1:$1,0)-1,300))</f>
        <v/>
      </c>
      <c r="AC19" t="str">
        <f t="shared" ca="1" si="0"/>
        <v/>
      </c>
      <c r="AD19" t="str">
        <f t="shared" ca="1" si="1"/>
        <v/>
      </c>
    </row>
    <row r="20" spans="1:30" x14ac:dyDescent="0.25">
      <c r="A20" s="4">
        <v>42097</v>
      </c>
      <c r="B20">
        <v>0.88</v>
      </c>
      <c r="C20" s="5">
        <v>0.95020000000000004</v>
      </c>
      <c r="D20">
        <v>1.1615</v>
      </c>
      <c r="E20">
        <v>1.4194</v>
      </c>
      <c r="F20">
        <v>1.7782</v>
      </c>
      <c r="G20">
        <v>2.3582000000000001</v>
      </c>
      <c r="H20">
        <f t="shared" ca="1" si="3"/>
        <v>0.39173155357804956</v>
      </c>
      <c r="I20">
        <f t="shared" ca="1" si="3"/>
        <v>0.23524827432643056</v>
      </c>
      <c r="J20">
        <f t="shared" ca="1" si="3"/>
        <v>0.1429441212285211</v>
      </c>
      <c r="K20">
        <f t="shared" ca="1" si="3"/>
        <v>0.28712981518592745</v>
      </c>
      <c r="L20">
        <f t="shared" ca="1" si="3"/>
        <v>0.17446894872141794</v>
      </c>
      <c r="M20">
        <f t="shared" ca="1" si="3"/>
        <v>0.31147342995169086</v>
      </c>
      <c r="N20">
        <f t="shared" ca="1" si="3"/>
        <v>0.18316761363636366</v>
      </c>
      <c r="O20">
        <f t="shared" ca="1" si="3"/>
        <v>0.242727641726424</v>
      </c>
      <c r="P20">
        <f t="shared" ca="1" si="3"/>
        <v>0.25482954545454545</v>
      </c>
      <c r="Q20">
        <f t="shared" ca="1" si="3"/>
        <v>0.299824517422913</v>
      </c>
      <c r="R20">
        <f t="shared" ca="1" si="3"/>
        <v>0.56014071167636303</v>
      </c>
      <c r="S20">
        <f t="shared" ca="1" si="3"/>
        <v>0.41719659044784196</v>
      </c>
      <c r="T20">
        <f t="shared" ca="1" si="3"/>
        <v>0.43799715909090914</v>
      </c>
      <c r="V20" s="4">
        <f t="shared" si="5"/>
        <v>42097</v>
      </c>
      <c r="W20" s="5">
        <f t="shared" ca="1" si="4"/>
        <v>0.56014071167636303</v>
      </c>
      <c r="Z20" s="4" t="e">
        <f ca="1">IF(OFFSET('Calc Canada'!$A$1,0,0,300)="",MATCH("Error",AF20,0),OFFSET('Calc Canada'!$A$1,0,0,300))</f>
        <v>#N/A</v>
      </c>
      <c r="AA20" s="5" t="str">
        <f ca="1">IF(OFFSET('Calc Canada'!$A$1,0,MATCH(W$1,'Calc Canada'!$1:$1,0)-1,300)="","",OFFSET('Calc Canada'!$A$1,0,MATCH(W$1,'Calc Canada'!$1:$1,0)-1,300))</f>
        <v/>
      </c>
      <c r="AB20" s="5" t="str">
        <f ca="1">IF(OFFSET('Calc Canada'!$A$1,0,MATCH(X$1,'Calc Canada'!$1:$1,0)-1,300)="","",OFFSET('Calc Canada'!$A$1,0,MATCH(X$1,'Calc Canada'!$1:$1,0)-1,300))</f>
        <v/>
      </c>
      <c r="AC20" t="str">
        <f t="shared" ca="1" si="0"/>
        <v/>
      </c>
      <c r="AD20" t="str">
        <f t="shared" ca="1" si="1"/>
        <v/>
      </c>
    </row>
    <row r="21" spans="1:30" x14ac:dyDescent="0.25">
      <c r="A21" s="4">
        <v>42096</v>
      </c>
      <c r="B21">
        <v>0.88</v>
      </c>
      <c r="C21" s="5">
        <v>0.95299999999999996</v>
      </c>
      <c r="D21">
        <v>1.1619999999999999</v>
      </c>
      <c r="E21">
        <v>1.4219999999999999</v>
      </c>
      <c r="F21">
        <v>1.776</v>
      </c>
      <c r="G21">
        <v>2.3559999999999999</v>
      </c>
      <c r="H21">
        <f t="shared" ca="1" si="3"/>
        <v>0.38560885608856088</v>
      </c>
      <c r="I21">
        <f t="shared" ca="1" si="3"/>
        <v>0.23325892857142852</v>
      </c>
      <c r="J21">
        <f t="shared" ca="1" si="3"/>
        <v>0.14159891598915986</v>
      </c>
      <c r="K21">
        <f t="shared" ca="1" si="3"/>
        <v>0.29017857142857145</v>
      </c>
      <c r="L21">
        <f t="shared" ca="1" si="3"/>
        <v>0.17615176151761519</v>
      </c>
      <c r="M21">
        <f t="shared" ca="1" si="3"/>
        <v>0.31591737545565007</v>
      </c>
      <c r="N21">
        <f t="shared" ca="1" si="3"/>
        <v>0.18531717747683535</v>
      </c>
      <c r="O21">
        <f t="shared" ca="1" si="3"/>
        <v>0.2398373983739838</v>
      </c>
      <c r="P21">
        <f t="shared" ca="1" si="3"/>
        <v>0.25231646471846048</v>
      </c>
      <c r="Q21">
        <f t="shared" ca="1" si="3"/>
        <v>0.29648241206030157</v>
      </c>
      <c r="R21">
        <f t="shared" ca="1" si="3"/>
        <v>0.55758807588075887</v>
      </c>
      <c r="S21">
        <f t="shared" ca="1" si="3"/>
        <v>0.41598915989159901</v>
      </c>
      <c r="T21">
        <f t="shared" ca="1" si="3"/>
        <v>0.43763364219529588</v>
      </c>
      <c r="V21" s="4">
        <f t="shared" si="5"/>
        <v>42096</v>
      </c>
      <c r="W21" s="5">
        <f t="shared" ca="1" si="4"/>
        <v>0.55758807588075887</v>
      </c>
      <c r="Z21" s="4" t="e">
        <f ca="1">IF(OFFSET('Calc Canada'!$A$1,0,0,300)="",MATCH("Error",AF21,0),OFFSET('Calc Canada'!$A$1,0,0,300))</f>
        <v>#N/A</v>
      </c>
      <c r="AA21" s="5" t="str">
        <f ca="1">IF(OFFSET('Calc Canada'!$A$1,0,MATCH(W$1,'Calc Canada'!$1:$1,0)-1,300)="","",OFFSET('Calc Canada'!$A$1,0,MATCH(W$1,'Calc Canada'!$1:$1,0)-1,300))</f>
        <v/>
      </c>
      <c r="AB21" s="5" t="str">
        <f ca="1">IF(OFFSET('Calc Canada'!$A$1,0,MATCH(X$1,'Calc Canada'!$1:$1,0)-1,300)="","",OFFSET('Calc Canada'!$A$1,0,MATCH(X$1,'Calc Canada'!$1:$1,0)-1,300))</f>
        <v/>
      </c>
      <c r="AC21" t="str">
        <f t="shared" ca="1" si="0"/>
        <v/>
      </c>
      <c r="AD21" t="str">
        <f t="shared" ca="1" si="1"/>
        <v/>
      </c>
    </row>
    <row r="22" spans="1:30" x14ac:dyDescent="0.25">
      <c r="A22" s="4">
        <v>42095</v>
      </c>
      <c r="B22">
        <v>0.86850000000000005</v>
      </c>
      <c r="C22" s="5">
        <v>0.94399999999999995</v>
      </c>
      <c r="D22">
        <v>1.155</v>
      </c>
      <c r="E22">
        <v>1.415</v>
      </c>
      <c r="F22">
        <v>1.776</v>
      </c>
      <c r="G22">
        <v>2.3449999999999998</v>
      </c>
      <c r="H22">
        <f t="shared" ca="1" si="3"/>
        <v>0.38609332113449235</v>
      </c>
      <c r="I22">
        <f t="shared" ca="1" si="3"/>
        <v>0.23250688705234168</v>
      </c>
      <c r="J22">
        <f t="shared" ca="1" si="3"/>
        <v>0.14290551981036242</v>
      </c>
      <c r="K22">
        <f t="shared" ca="1" si="3"/>
        <v>0.28650137741046833</v>
      </c>
      <c r="L22">
        <f t="shared" ca="1" si="3"/>
        <v>0.17609210971892994</v>
      </c>
      <c r="M22">
        <f t="shared" ca="1" si="3"/>
        <v>0.3125</v>
      </c>
      <c r="N22">
        <f t="shared" ca="1" si="3"/>
        <v>0.18558172733761602</v>
      </c>
      <c r="O22">
        <f t="shared" ca="1" si="3"/>
        <v>0.24449712157128348</v>
      </c>
      <c r="P22">
        <f t="shared" ca="1" si="3"/>
        <v>0.25767309064953609</v>
      </c>
      <c r="Q22">
        <f t="shared" ca="1" si="3"/>
        <v>0.30336134453781516</v>
      </c>
      <c r="R22">
        <f t="shared" ca="1" si="3"/>
        <v>0.5634947511005759</v>
      </c>
      <c r="S22">
        <f t="shared" ca="1" si="3"/>
        <v>0.42058923129021342</v>
      </c>
      <c r="T22">
        <f t="shared" ca="1" si="3"/>
        <v>0.44325481798715211</v>
      </c>
      <c r="V22" s="4">
        <f t="shared" si="5"/>
        <v>42095</v>
      </c>
      <c r="W22" s="5">
        <f t="shared" ca="1" si="4"/>
        <v>0.5634947511005759</v>
      </c>
      <c r="Z22" s="4" t="e">
        <f ca="1">IF(OFFSET('Calc Canada'!$A$1,0,0,300)="",MATCH("Error",AF22,0),OFFSET('Calc Canada'!$A$1,0,0,300))</f>
        <v>#N/A</v>
      </c>
      <c r="AA22" s="5" t="str">
        <f ca="1">IF(OFFSET('Calc Canada'!$A$1,0,MATCH(W$1,'Calc Canada'!$1:$1,0)-1,300)="","",OFFSET('Calc Canada'!$A$1,0,MATCH(W$1,'Calc Canada'!$1:$1,0)-1,300))</f>
        <v/>
      </c>
      <c r="AB22" s="5" t="str">
        <f ca="1">IF(OFFSET('Calc Canada'!$A$1,0,MATCH(X$1,'Calc Canada'!$1:$1,0)-1,300)="","",OFFSET('Calc Canada'!$A$1,0,MATCH(X$1,'Calc Canada'!$1:$1,0)-1,300))</f>
        <v/>
      </c>
      <c r="AC22" t="str">
        <f t="shared" ca="1" si="0"/>
        <v/>
      </c>
      <c r="AD22" t="str">
        <f t="shared" ca="1" si="1"/>
        <v/>
      </c>
    </row>
    <row r="23" spans="1:30" x14ac:dyDescent="0.25">
      <c r="A23" s="4">
        <v>42094</v>
      </c>
      <c r="B23">
        <v>0.874</v>
      </c>
      <c r="C23" s="5">
        <v>0.95079999999999998</v>
      </c>
      <c r="D23">
        <v>1.1830000000000001</v>
      </c>
      <c r="E23">
        <v>1.4449000000000001</v>
      </c>
      <c r="F23">
        <v>1.8174999999999999</v>
      </c>
      <c r="G23">
        <v>2.387</v>
      </c>
      <c r="H23">
        <f t="shared" ca="1" si="3"/>
        <v>0.40672622175512357</v>
      </c>
      <c r="I23">
        <f t="shared" ca="1" si="3"/>
        <v>0.24610492845786974</v>
      </c>
      <c r="J23">
        <f t="shared" ca="1" si="3"/>
        <v>0.15346992729676145</v>
      </c>
      <c r="K23">
        <f t="shared" ca="1" si="3"/>
        <v>0.27758346581875998</v>
      </c>
      <c r="L23">
        <f t="shared" ca="1" si="3"/>
        <v>0.17309980171844022</v>
      </c>
      <c r="M23">
        <f t="shared" ca="1" si="3"/>
        <v>0.30218068535825549</v>
      </c>
      <c r="N23">
        <f t="shared" ca="1" si="3"/>
        <v>0.18235621779696423</v>
      </c>
      <c r="O23">
        <f t="shared" ca="1" si="3"/>
        <v>0.24626569729015191</v>
      </c>
      <c r="P23">
        <f t="shared" ca="1" si="3"/>
        <v>0.25943461913382526</v>
      </c>
      <c r="Q23">
        <f t="shared" ca="1" si="3"/>
        <v>0.30946843853820583</v>
      </c>
      <c r="R23">
        <f t="shared" ca="1" si="3"/>
        <v>0.57283542630535356</v>
      </c>
      <c r="S23">
        <f t="shared" ca="1" si="3"/>
        <v>0.4193654990085921</v>
      </c>
      <c r="T23">
        <f t="shared" ca="1" si="3"/>
        <v>0.44179083693078952</v>
      </c>
      <c r="V23" s="4">
        <f t="shared" si="5"/>
        <v>42094</v>
      </c>
      <c r="W23" s="5">
        <f t="shared" ca="1" si="4"/>
        <v>0.57283542630535356</v>
      </c>
      <c r="Z23" s="4" t="e">
        <f ca="1">IF(OFFSET('Calc Canada'!$A$1,0,0,300)="",MATCH("Error",AF23,0),OFFSET('Calc Canada'!$A$1,0,0,300))</f>
        <v>#N/A</v>
      </c>
      <c r="AA23" s="5" t="str">
        <f ca="1">IF(OFFSET('Calc Canada'!$A$1,0,MATCH(W$1,'Calc Canada'!$1:$1,0)-1,300)="","",OFFSET('Calc Canada'!$A$1,0,MATCH(W$1,'Calc Canada'!$1:$1,0)-1,300))</f>
        <v/>
      </c>
      <c r="AB23" s="5" t="str">
        <f ca="1">IF(OFFSET('Calc Canada'!$A$1,0,MATCH(X$1,'Calc Canada'!$1:$1,0)-1,300)="","",OFFSET('Calc Canada'!$A$1,0,MATCH(X$1,'Calc Canada'!$1:$1,0)-1,300))</f>
        <v/>
      </c>
      <c r="AC23" t="str">
        <f t="shared" ca="1" si="0"/>
        <v/>
      </c>
      <c r="AD23" t="str">
        <f t="shared" ca="1" si="1"/>
        <v/>
      </c>
    </row>
    <row r="24" spans="1:30" x14ac:dyDescent="0.25">
      <c r="A24" s="4">
        <v>42093</v>
      </c>
      <c r="B24">
        <v>0.87350000000000005</v>
      </c>
      <c r="C24" s="5">
        <v>0.95730000000000004</v>
      </c>
      <c r="D24">
        <v>1.1862999999999999</v>
      </c>
      <c r="E24">
        <v>1.4522999999999999</v>
      </c>
      <c r="F24">
        <v>1.821</v>
      </c>
      <c r="G24">
        <v>2.3738999999999999</v>
      </c>
      <c r="H24">
        <f t="shared" ca="1" si="3"/>
        <v>0.3956461644782307</v>
      </c>
      <c r="I24">
        <f t="shared" ca="1" si="3"/>
        <v>0.2416886543535619</v>
      </c>
      <c r="J24">
        <f t="shared" ca="1" si="3"/>
        <v>0.15262596640895754</v>
      </c>
      <c r="K24">
        <f t="shared" ca="1" si="3"/>
        <v>0.28073878627968341</v>
      </c>
      <c r="L24">
        <f t="shared" ca="1" si="3"/>
        <v>0.17728605705145295</v>
      </c>
      <c r="M24">
        <f t="shared" ca="1" si="3"/>
        <v>0.30797730693527853</v>
      </c>
      <c r="N24">
        <f t="shared" ca="1" si="3"/>
        <v>0.18777354228434281</v>
      </c>
      <c r="O24">
        <f t="shared" ca="1" si="3"/>
        <v>0.24573447080778463</v>
      </c>
      <c r="P24">
        <f t="shared" ca="1" si="3"/>
        <v>0.26027107157983909</v>
      </c>
      <c r="Q24">
        <f t="shared" ca="1" si="3"/>
        <v>0.31045806668912096</v>
      </c>
      <c r="R24">
        <f t="shared" ca="1" si="3"/>
        <v>0.57564649426819514</v>
      </c>
      <c r="S24">
        <f t="shared" ca="1" si="3"/>
        <v>0.42302052785923755</v>
      </c>
      <c r="T24">
        <f t="shared" ca="1" si="3"/>
        <v>0.44804461386418193</v>
      </c>
      <c r="V24" s="4">
        <f t="shared" si="5"/>
        <v>42093</v>
      </c>
      <c r="W24" s="5">
        <f t="shared" ca="1" si="4"/>
        <v>0.57564649426819514</v>
      </c>
      <c r="Z24" s="4" t="e">
        <f ca="1">IF(OFFSET('Calc Canada'!$A$1,0,0,300)="",MATCH("Error",AF24,0),OFFSET('Calc Canada'!$A$1,0,0,300))</f>
        <v>#N/A</v>
      </c>
      <c r="AA24" s="5" t="str">
        <f ca="1">IF(OFFSET('Calc Canada'!$A$1,0,MATCH(W$1,'Calc Canada'!$1:$1,0)-1,300)="","",OFFSET('Calc Canada'!$A$1,0,MATCH(W$1,'Calc Canada'!$1:$1,0)-1,300))</f>
        <v/>
      </c>
      <c r="AB24" s="5" t="str">
        <f ca="1">IF(OFFSET('Calc Canada'!$A$1,0,MATCH(X$1,'Calc Canada'!$1:$1,0)-1,300)="","",OFFSET('Calc Canada'!$A$1,0,MATCH(X$1,'Calc Canada'!$1:$1,0)-1,300))</f>
        <v/>
      </c>
      <c r="AC24" t="str">
        <f t="shared" ca="1" si="0"/>
        <v/>
      </c>
      <c r="AD24" t="str">
        <f t="shared" ca="1" si="1"/>
        <v/>
      </c>
    </row>
    <row r="25" spans="1:30" x14ac:dyDescent="0.25">
      <c r="A25" s="4">
        <v>42090</v>
      </c>
      <c r="B25">
        <v>0.88870000000000005</v>
      </c>
      <c r="C25" s="5">
        <v>0.97299999999999998</v>
      </c>
      <c r="D25">
        <v>1.2090000000000001</v>
      </c>
      <c r="E25">
        <v>1.466</v>
      </c>
      <c r="F25">
        <v>1.8169999999999999</v>
      </c>
      <c r="G25">
        <v>2.3820000000000001</v>
      </c>
      <c r="H25">
        <f t="shared" ca="1" si="3"/>
        <v>0.40879958427160945</v>
      </c>
      <c r="I25">
        <f t="shared" ca="1" si="3"/>
        <v>0.25422815900032331</v>
      </c>
      <c r="J25">
        <f t="shared" ca="1" si="3"/>
        <v>0.15803924194736496</v>
      </c>
      <c r="K25">
        <f t="shared" ca="1" si="3"/>
        <v>0.27685015619950437</v>
      </c>
      <c r="L25">
        <f t="shared" ca="1" si="3"/>
        <v>0.17210205584946084</v>
      </c>
      <c r="M25">
        <f t="shared" ca="1" si="3"/>
        <v>0.30450236966824634</v>
      </c>
      <c r="N25">
        <f t="shared" ca="1" si="3"/>
        <v>0.18239886444286718</v>
      </c>
      <c r="O25">
        <f t="shared" ca="1" si="3"/>
        <v>0.23504988950646216</v>
      </c>
      <c r="P25">
        <f t="shared" ca="1" si="3"/>
        <v>0.24911284599006381</v>
      </c>
      <c r="Q25">
        <f t="shared" ca="1" si="3"/>
        <v>0.29923273657289001</v>
      </c>
      <c r="R25">
        <f t="shared" ca="1" si="3"/>
        <v>0.56519118730328799</v>
      </c>
      <c r="S25">
        <f t="shared" ca="1" si="3"/>
        <v>0.40715194535592303</v>
      </c>
      <c r="T25">
        <f t="shared" ca="1" si="3"/>
        <v>0.43151171043293102</v>
      </c>
      <c r="V25" s="4">
        <f t="shared" si="5"/>
        <v>42090</v>
      </c>
      <c r="W25" s="5">
        <f t="shared" ca="1" si="4"/>
        <v>0.56519118730328799</v>
      </c>
      <c r="Z25" s="4" t="e">
        <f ca="1">IF(OFFSET('Calc Canada'!$A$1,0,0,300)="",MATCH("Error",AF25,0),OFFSET('Calc Canada'!$A$1,0,0,300))</f>
        <v>#N/A</v>
      </c>
      <c r="AA25" s="5" t="str">
        <f ca="1">IF(OFFSET('Calc Canada'!$A$1,0,MATCH(W$1,'Calc Canada'!$1:$1,0)-1,300)="","",OFFSET('Calc Canada'!$A$1,0,MATCH(W$1,'Calc Canada'!$1:$1,0)-1,300))</f>
        <v/>
      </c>
      <c r="AB25" s="5" t="str">
        <f ca="1">IF(OFFSET('Calc Canada'!$A$1,0,MATCH(X$1,'Calc Canada'!$1:$1,0)-1,300)="","",OFFSET('Calc Canada'!$A$1,0,MATCH(X$1,'Calc Canada'!$1:$1,0)-1,300))</f>
        <v/>
      </c>
      <c r="AC25" t="str">
        <f t="shared" ca="1" si="0"/>
        <v/>
      </c>
      <c r="AD25" t="str">
        <f t="shared" ca="1" si="1"/>
        <v/>
      </c>
    </row>
    <row r="26" spans="1:30" x14ac:dyDescent="0.25">
      <c r="A26" s="4">
        <v>42089</v>
      </c>
      <c r="B26">
        <v>0.95099999999999996</v>
      </c>
      <c r="C26" s="5">
        <v>1.0349999999999999</v>
      </c>
      <c r="D26">
        <v>1.2709999999999999</v>
      </c>
      <c r="E26">
        <v>1.524</v>
      </c>
      <c r="F26">
        <v>1.869</v>
      </c>
      <c r="G26">
        <v>2.4260000000000002</v>
      </c>
      <c r="H26">
        <f t="shared" ca="1" si="3"/>
        <v>0.41186736474694585</v>
      </c>
      <c r="I26">
        <f t="shared" ca="1" si="3"/>
        <v>0.25708061002178645</v>
      </c>
      <c r="J26">
        <f t="shared" ca="1" si="3"/>
        <v>0.15999999999999998</v>
      </c>
      <c r="K26">
        <f t="shared" ca="1" si="3"/>
        <v>0.2755991285403051</v>
      </c>
      <c r="L26">
        <f t="shared" ca="1" si="3"/>
        <v>0.17152542372881363</v>
      </c>
      <c r="M26">
        <f t="shared" ca="1" si="3"/>
        <v>0.30335731414868117</v>
      </c>
      <c r="N26">
        <f t="shared" ca="1" si="3"/>
        <v>0.18188353702372398</v>
      </c>
      <c r="O26">
        <f t="shared" ca="1" si="3"/>
        <v>0.23389830508474574</v>
      </c>
      <c r="P26">
        <f t="shared" ca="1" si="3"/>
        <v>0.24802300503235075</v>
      </c>
      <c r="Q26">
        <f t="shared" ca="1" si="3"/>
        <v>0.29870129870129863</v>
      </c>
      <c r="R26">
        <f t="shared" ca="1" si="3"/>
        <v>0.56542372881355929</v>
      </c>
      <c r="S26">
        <f t="shared" ca="1" si="3"/>
        <v>0.40542372881355937</v>
      </c>
      <c r="T26">
        <f t="shared" ca="1" si="3"/>
        <v>0.42990654205607476</v>
      </c>
      <c r="V26" s="4">
        <f t="shared" si="5"/>
        <v>42089</v>
      </c>
      <c r="W26" s="5">
        <f t="shared" ca="1" si="4"/>
        <v>0.56542372881355929</v>
      </c>
      <c r="Z26" s="4" t="e">
        <f ca="1">IF(OFFSET('Calc Canada'!$A$1,0,0,300)="",MATCH("Error",AF26,0),OFFSET('Calc Canada'!$A$1,0,0,300))</f>
        <v>#N/A</v>
      </c>
      <c r="AA26" s="5" t="str">
        <f ca="1">IF(OFFSET('Calc Canada'!$A$1,0,MATCH(W$1,'Calc Canada'!$1:$1,0)-1,300)="","",OFFSET('Calc Canada'!$A$1,0,MATCH(W$1,'Calc Canada'!$1:$1,0)-1,300))</f>
        <v/>
      </c>
      <c r="AB26" s="5" t="str">
        <f ca="1">IF(OFFSET('Calc Canada'!$A$1,0,MATCH(X$1,'Calc Canada'!$1:$1,0)-1,300)="","",OFFSET('Calc Canada'!$A$1,0,MATCH(X$1,'Calc Canada'!$1:$1,0)-1,300))</f>
        <v/>
      </c>
      <c r="AC26" t="str">
        <f t="shared" ca="1" si="0"/>
        <v/>
      </c>
      <c r="AD26" t="str">
        <f t="shared" ca="1" si="1"/>
        <v/>
      </c>
    </row>
    <row r="27" spans="1:30" x14ac:dyDescent="0.25">
      <c r="A27" s="4">
        <v>42088</v>
      </c>
      <c r="B27">
        <v>0.872</v>
      </c>
      <c r="C27" s="5">
        <v>0.95099999999999996</v>
      </c>
      <c r="D27">
        <v>1.175</v>
      </c>
      <c r="E27">
        <v>1.4377</v>
      </c>
      <c r="F27">
        <v>1.7955000000000001</v>
      </c>
      <c r="G27">
        <v>2.3879999999999999</v>
      </c>
      <c r="H27">
        <f t="shared" ca="1" si="3"/>
        <v>0.39596959519179792</v>
      </c>
      <c r="I27">
        <f t="shared" ca="1" si="3"/>
        <v>0.24255549539794269</v>
      </c>
      <c r="J27">
        <f t="shared" ca="1" si="3"/>
        <v>0.14775725593667552</v>
      </c>
      <c r="K27">
        <f t="shared" ca="1" si="3"/>
        <v>0.28446128857606923</v>
      </c>
      <c r="L27">
        <f t="shared" ca="1" si="3"/>
        <v>0.17328496042216354</v>
      </c>
      <c r="M27">
        <f t="shared" ca="1" si="3"/>
        <v>0.31107164002368254</v>
      </c>
      <c r="N27">
        <f t="shared" ca="1" si="3"/>
        <v>0.18281141266527484</v>
      </c>
      <c r="O27">
        <f t="shared" ca="1" si="3"/>
        <v>0.23601583113456473</v>
      </c>
      <c r="P27">
        <f t="shared" ca="1" si="3"/>
        <v>0.24899095337508709</v>
      </c>
      <c r="Q27">
        <f t="shared" ca="1" si="3"/>
        <v>0.2949711459192087</v>
      </c>
      <c r="R27">
        <f t="shared" ca="1" si="3"/>
        <v>0.55705804749340382</v>
      </c>
      <c r="S27">
        <f t="shared" ca="1" si="3"/>
        <v>0.40930079155672827</v>
      </c>
      <c r="T27">
        <f t="shared" ca="1" si="3"/>
        <v>0.43180236604036193</v>
      </c>
      <c r="V27" s="4">
        <f t="shared" si="5"/>
        <v>42088</v>
      </c>
      <c r="W27" s="5">
        <f t="shared" ca="1" si="4"/>
        <v>0.55705804749340382</v>
      </c>
      <c r="Z27" s="4" t="e">
        <f ca="1">IF(OFFSET('Calc Canada'!$A$1,0,0,300)="",MATCH("Error",AF27,0),OFFSET('Calc Canada'!$A$1,0,0,300))</f>
        <v>#N/A</v>
      </c>
      <c r="AA27" s="5" t="str">
        <f ca="1">IF(OFFSET('Calc Canada'!$A$1,0,MATCH(W$1,'Calc Canada'!$1:$1,0)-1,300)="","",OFFSET('Calc Canada'!$A$1,0,MATCH(W$1,'Calc Canada'!$1:$1,0)-1,300))</f>
        <v/>
      </c>
      <c r="AB27" s="5" t="str">
        <f ca="1">IF(OFFSET('Calc Canada'!$A$1,0,MATCH(X$1,'Calc Canada'!$1:$1,0)-1,300)="","",OFFSET('Calc Canada'!$A$1,0,MATCH(X$1,'Calc Canada'!$1:$1,0)-1,300))</f>
        <v/>
      </c>
      <c r="AC27" t="str">
        <f t="shared" ca="1" si="0"/>
        <v/>
      </c>
      <c r="AD27" t="str">
        <f t="shared" ca="1" si="1"/>
        <v/>
      </c>
    </row>
    <row r="28" spans="1:30" x14ac:dyDescent="0.25">
      <c r="A28" s="4">
        <v>42087</v>
      </c>
      <c r="B28">
        <v>0.83299999999999996</v>
      </c>
      <c r="C28" s="5">
        <v>0.91410000000000002</v>
      </c>
      <c r="D28">
        <v>1.1419999999999999</v>
      </c>
      <c r="E28">
        <v>1.4049</v>
      </c>
      <c r="F28">
        <v>1.7589999999999999</v>
      </c>
      <c r="G28">
        <v>2.3410000000000002</v>
      </c>
      <c r="H28">
        <f t="shared" ca="1" si="3"/>
        <v>0.39849624060150352</v>
      </c>
      <c r="I28">
        <f t="shared" ca="1" si="3"/>
        <v>0.24611231101511868</v>
      </c>
      <c r="J28">
        <f t="shared" ca="1" si="3"/>
        <v>0.15112732095490705</v>
      </c>
      <c r="K28">
        <f t="shared" ca="1" si="3"/>
        <v>0.28390928725701958</v>
      </c>
      <c r="L28">
        <f t="shared" ca="1" si="3"/>
        <v>0.17433687002652526</v>
      </c>
      <c r="M28">
        <f t="shared" ca="1" si="3"/>
        <v>0.31116108415197086</v>
      </c>
      <c r="N28">
        <f t="shared" ca="1" si="3"/>
        <v>0.18424556731375716</v>
      </c>
      <c r="O28">
        <f t="shared" ca="1" si="3"/>
        <v>0.23481432360742693</v>
      </c>
      <c r="P28">
        <f t="shared" ca="1" si="3"/>
        <v>0.24816034760669969</v>
      </c>
      <c r="Q28">
        <f t="shared" ca="1" si="3"/>
        <v>0.29532944120100063</v>
      </c>
      <c r="R28">
        <f t="shared" ca="1" si="3"/>
        <v>0.56027851458885924</v>
      </c>
      <c r="S28">
        <f t="shared" ca="1" si="3"/>
        <v>0.40915119363395219</v>
      </c>
      <c r="T28">
        <f t="shared" ca="1" si="3"/>
        <v>0.43240591492045682</v>
      </c>
      <c r="V28" s="4">
        <f t="shared" si="5"/>
        <v>42087</v>
      </c>
      <c r="W28" s="5">
        <f t="shared" ca="1" si="4"/>
        <v>0.56027851458885924</v>
      </c>
      <c r="Z28" s="4" t="e">
        <f ca="1">IF(OFFSET('Calc Canada'!$A$1,0,0,300)="",MATCH("Error",AF28,0),OFFSET('Calc Canada'!$A$1,0,0,300))</f>
        <v>#N/A</v>
      </c>
      <c r="AA28" s="5" t="str">
        <f ca="1">IF(OFFSET('Calc Canada'!$A$1,0,MATCH(W$1,'Calc Canada'!$1:$1,0)-1,300)="","",OFFSET('Calc Canada'!$A$1,0,MATCH(W$1,'Calc Canada'!$1:$1,0)-1,300))</f>
        <v/>
      </c>
      <c r="AB28" s="5" t="str">
        <f ca="1">IF(OFFSET('Calc Canada'!$A$1,0,MATCH(X$1,'Calc Canada'!$1:$1,0)-1,300)="","",OFFSET('Calc Canada'!$A$1,0,MATCH(X$1,'Calc Canada'!$1:$1,0)-1,300))</f>
        <v/>
      </c>
      <c r="AC28" t="str">
        <f t="shared" ca="1" si="0"/>
        <v/>
      </c>
      <c r="AD28" t="str">
        <f t="shared" ca="1" si="1"/>
        <v/>
      </c>
    </row>
    <row r="29" spans="1:30" x14ac:dyDescent="0.25">
      <c r="A29" s="4">
        <v>42086</v>
      </c>
      <c r="B29">
        <v>0.82699999999999996</v>
      </c>
      <c r="C29" s="5">
        <v>0.91</v>
      </c>
      <c r="D29">
        <v>1.137</v>
      </c>
      <c r="E29">
        <v>1.4020000000000001</v>
      </c>
      <c r="F29">
        <v>1.7623</v>
      </c>
      <c r="G29">
        <v>2.3479999999999999</v>
      </c>
      <c r="H29">
        <f t="shared" ref="H29:T44" ca="1" si="6">IF(ISERROR(ABS(OFFSET($A$11,ROW()-11,MATCH(LEFT(H$9,2),$A$11:$G$11,0)-1)-OFFSET($A$11,ROW()-11,MATCH(RIGHT(H$9,2),$A$11:$G$11,0)-1))/ABS(OFFSET($A$11,ROW()-11,MATCH(LEFT(H$10,2),$A$11:$G$11,0)-1)-OFFSET($A$11,ROW()-11,MATCH(RIGHT(H$10,2),$A$11:$G$11,0)-1))),"",ABS(OFFSET($A$11,ROW()-11,MATCH(LEFT(H$9,2),$A$11:$G$11,0)-1)-OFFSET($A$11,ROW()-11,MATCH(RIGHT(H$9,2),$A$11:$G$11,0)-1))/ABS(OFFSET($A$11,ROW()-11,MATCH(LEFT(H$10,2),$A$11:$G$11,0)-1)-OFFSET($A$11,ROW()-11,MATCH(RIGHT(H$10,2),$A$11:$G$11,0)-1)))</f>
        <v>0.39478260869565202</v>
      </c>
      <c r="I29">
        <f t="shared" ca="1" si="6"/>
        <v>0.24270287608254035</v>
      </c>
      <c r="J29">
        <f t="shared" ca="1" si="6"/>
        <v>0.14924391847468771</v>
      </c>
      <c r="K29">
        <f t="shared" ca="1" si="6"/>
        <v>0.28333155137389088</v>
      </c>
      <c r="L29">
        <f t="shared" ca="1" si="6"/>
        <v>0.17422748191978971</v>
      </c>
      <c r="M29">
        <f t="shared" ca="1" si="6"/>
        <v>0.31092338378505235</v>
      </c>
      <c r="N29">
        <f t="shared" ca="1" si="6"/>
        <v>0.18428372739916563</v>
      </c>
      <c r="O29">
        <f t="shared" ca="1" si="6"/>
        <v>0.23688362919132142</v>
      </c>
      <c r="P29">
        <f t="shared" ca="1" si="6"/>
        <v>0.25055632823365781</v>
      </c>
      <c r="Q29">
        <f t="shared" ca="1" si="6"/>
        <v>0.29752270850536738</v>
      </c>
      <c r="R29">
        <f t="shared" ca="1" si="6"/>
        <v>0.56035502958579886</v>
      </c>
      <c r="S29">
        <f t="shared" ca="1" si="6"/>
        <v>0.41111111111111109</v>
      </c>
      <c r="T29">
        <f t="shared" ca="1" si="6"/>
        <v>0.43484005563282341</v>
      </c>
      <c r="V29" s="4">
        <f t="shared" si="5"/>
        <v>42086</v>
      </c>
      <c r="W29" s="5">
        <f t="shared" ca="1" si="4"/>
        <v>0.56035502958579886</v>
      </c>
      <c r="Z29" s="4" t="e">
        <f ca="1">IF(OFFSET('Calc Canada'!$A$1,0,0,300)="",MATCH("Error",AF29,0),OFFSET('Calc Canada'!$A$1,0,0,300))</f>
        <v>#N/A</v>
      </c>
      <c r="AA29" s="5" t="str">
        <f ca="1">IF(OFFSET('Calc Canada'!$A$1,0,MATCH(W$1,'Calc Canada'!$1:$1,0)-1,300)="","",OFFSET('Calc Canada'!$A$1,0,MATCH(W$1,'Calc Canada'!$1:$1,0)-1,300))</f>
        <v/>
      </c>
      <c r="AB29" s="5" t="str">
        <f ca="1">IF(OFFSET('Calc Canada'!$A$1,0,MATCH(X$1,'Calc Canada'!$1:$1,0)-1,300)="","",OFFSET('Calc Canada'!$A$1,0,MATCH(X$1,'Calc Canada'!$1:$1,0)-1,300))</f>
        <v/>
      </c>
      <c r="AC29" t="str">
        <f t="shared" ca="1" si="0"/>
        <v/>
      </c>
      <c r="AD29" t="str">
        <f t="shared" ca="1" si="1"/>
        <v/>
      </c>
    </row>
    <row r="30" spans="1:30" x14ac:dyDescent="0.25">
      <c r="A30" s="4">
        <v>42083</v>
      </c>
      <c r="B30">
        <v>0.83399999999999996</v>
      </c>
      <c r="C30" s="5">
        <v>0.91200000000000003</v>
      </c>
      <c r="D30">
        <v>1.1320000000000001</v>
      </c>
      <c r="E30">
        <v>1.401</v>
      </c>
      <c r="F30">
        <v>1.766</v>
      </c>
      <c r="G30">
        <v>2.3410000000000002</v>
      </c>
      <c r="H30">
        <f t="shared" ca="1" si="6"/>
        <v>0.38800705467372143</v>
      </c>
      <c r="I30">
        <f t="shared" ca="1" si="6"/>
        <v>0.23605150214592283</v>
      </c>
      <c r="J30">
        <f t="shared" ca="1" si="6"/>
        <v>0.14598540145985406</v>
      </c>
      <c r="K30">
        <f t="shared" ca="1" si="6"/>
        <v>0.28862660944205998</v>
      </c>
      <c r="L30">
        <f t="shared" ca="1" si="6"/>
        <v>0.17850033178500324</v>
      </c>
      <c r="M30">
        <f t="shared" ca="1" si="6"/>
        <v>0.31498829039812637</v>
      </c>
      <c r="N30">
        <f t="shared" ca="1" si="6"/>
        <v>0.18824352694191732</v>
      </c>
      <c r="O30">
        <f t="shared" ca="1" si="6"/>
        <v>0.2422030524220305</v>
      </c>
      <c r="P30">
        <f t="shared" ca="1" si="6"/>
        <v>0.25542337298810353</v>
      </c>
      <c r="Q30">
        <f t="shared" ca="1" si="6"/>
        <v>0.30190239867659219</v>
      </c>
      <c r="R30">
        <f t="shared" ca="1" si="6"/>
        <v>0.56668878566688785</v>
      </c>
      <c r="S30">
        <f t="shared" ca="1" si="6"/>
        <v>0.42070338420703374</v>
      </c>
      <c r="T30">
        <f t="shared" ca="1" si="6"/>
        <v>0.44366689993002084</v>
      </c>
      <c r="V30" s="4">
        <f t="shared" si="5"/>
        <v>42083</v>
      </c>
      <c r="W30" s="5">
        <f t="shared" ca="1" si="4"/>
        <v>0.56668878566688785</v>
      </c>
      <c r="Z30" s="4" t="e">
        <f ca="1">IF(OFFSET('Calc Canada'!$A$1,0,0,300)="",MATCH("Error",AF30,0),OFFSET('Calc Canada'!$A$1,0,0,300))</f>
        <v>#N/A</v>
      </c>
      <c r="AA30" s="5" t="str">
        <f ca="1">IF(OFFSET('Calc Canada'!$A$1,0,MATCH(W$1,'Calc Canada'!$1:$1,0)-1,300)="","",OFFSET('Calc Canada'!$A$1,0,MATCH(W$1,'Calc Canada'!$1:$1,0)-1,300))</f>
        <v/>
      </c>
      <c r="AB30" s="5" t="str">
        <f ca="1">IF(OFFSET('Calc Canada'!$A$1,0,MATCH(X$1,'Calc Canada'!$1:$1,0)-1,300)="","",OFFSET('Calc Canada'!$A$1,0,MATCH(X$1,'Calc Canada'!$1:$1,0)-1,300))</f>
        <v/>
      </c>
      <c r="AC30" t="str">
        <f t="shared" ca="1" si="0"/>
        <v/>
      </c>
      <c r="AD30" t="str">
        <f t="shared" ca="1" si="1"/>
        <v/>
      </c>
    </row>
    <row r="31" spans="1:30" x14ac:dyDescent="0.25">
      <c r="A31" s="4">
        <v>42082</v>
      </c>
      <c r="B31">
        <v>0.84799999999999998</v>
      </c>
      <c r="C31" s="5">
        <v>0.92800000000000005</v>
      </c>
      <c r="D31">
        <v>1.1499999999999999</v>
      </c>
      <c r="E31">
        <v>1.413</v>
      </c>
      <c r="F31">
        <v>1.77</v>
      </c>
      <c r="G31">
        <v>2.351</v>
      </c>
      <c r="H31">
        <f t="shared" ca="1" si="6"/>
        <v>0.39292035398230063</v>
      </c>
      <c r="I31">
        <f t="shared" ca="1" si="6"/>
        <v>0.24078091106290656</v>
      </c>
      <c r="J31">
        <f t="shared" ca="1" si="6"/>
        <v>0.14770459081836318</v>
      </c>
      <c r="K31">
        <f t="shared" ca="1" si="6"/>
        <v>0.28524945770065085</v>
      </c>
      <c r="L31">
        <f t="shared" ca="1" si="6"/>
        <v>0.17498336660013314</v>
      </c>
      <c r="M31">
        <f t="shared" ca="1" si="6"/>
        <v>0.31235154394299303</v>
      </c>
      <c r="N31">
        <f t="shared" ca="1" si="6"/>
        <v>0.18482080112438518</v>
      </c>
      <c r="O31">
        <f t="shared" ca="1" si="6"/>
        <v>0.23752495009980037</v>
      </c>
      <c r="P31">
        <f t="shared" ca="1" si="6"/>
        <v>0.25087842586085735</v>
      </c>
      <c r="Q31">
        <f t="shared" ca="1" si="6"/>
        <v>0.29725228975853452</v>
      </c>
      <c r="R31">
        <f t="shared" ca="1" si="6"/>
        <v>0.56021290751829667</v>
      </c>
      <c r="S31">
        <f t="shared" ca="1" si="6"/>
        <v>0.41250831669993349</v>
      </c>
      <c r="T31">
        <f t="shared" ca="1" si="6"/>
        <v>0.43569922698524249</v>
      </c>
      <c r="V31" s="4">
        <f t="shared" si="5"/>
        <v>42082</v>
      </c>
      <c r="W31" s="5">
        <f t="shared" ca="1" si="4"/>
        <v>0.56021290751829667</v>
      </c>
      <c r="Z31" s="4" t="e">
        <f ca="1">IF(OFFSET('Calc Canada'!$A$1,0,0,300)="",MATCH("Error",AF31,0),OFFSET('Calc Canada'!$A$1,0,0,300))</f>
        <v>#N/A</v>
      </c>
      <c r="AA31" s="5" t="str">
        <f ca="1">IF(OFFSET('Calc Canada'!$A$1,0,MATCH(W$1,'Calc Canada'!$1:$1,0)-1,300)="","",OFFSET('Calc Canada'!$A$1,0,MATCH(W$1,'Calc Canada'!$1:$1,0)-1,300))</f>
        <v/>
      </c>
      <c r="AB31" s="5" t="str">
        <f ca="1">IF(OFFSET('Calc Canada'!$A$1,0,MATCH(X$1,'Calc Canada'!$1:$1,0)-1,300)="","",OFFSET('Calc Canada'!$A$1,0,MATCH(X$1,'Calc Canada'!$1:$1,0)-1,300))</f>
        <v/>
      </c>
      <c r="AC31" t="str">
        <f t="shared" ca="1" si="0"/>
        <v/>
      </c>
      <c r="AD31" t="str">
        <f t="shared" ca="1" si="1"/>
        <v/>
      </c>
    </row>
    <row r="32" spans="1:30" x14ac:dyDescent="0.25">
      <c r="A32" s="4">
        <v>42081</v>
      </c>
      <c r="B32">
        <v>0.86399999999999999</v>
      </c>
      <c r="C32" s="5">
        <v>0.9415</v>
      </c>
      <c r="D32">
        <v>1.1545000000000001</v>
      </c>
      <c r="E32">
        <v>1.4235</v>
      </c>
      <c r="F32">
        <v>1.7850000000000001</v>
      </c>
      <c r="G32">
        <v>2.387</v>
      </c>
      <c r="H32">
        <f t="shared" ca="1" si="6"/>
        <v>0.38069705093833794</v>
      </c>
      <c r="I32">
        <f t="shared" ca="1" si="6"/>
        <v>0.23127035830618897</v>
      </c>
      <c r="J32">
        <f t="shared" ca="1" si="6"/>
        <v>0.13985554826001317</v>
      </c>
      <c r="K32">
        <f t="shared" ca="1" si="6"/>
        <v>0.29207383279044502</v>
      </c>
      <c r="L32">
        <f t="shared" ca="1" si="6"/>
        <v>0.1766250820748522</v>
      </c>
      <c r="M32">
        <f t="shared" ca="1" si="6"/>
        <v>0.31890930646117349</v>
      </c>
      <c r="N32">
        <f t="shared" ca="1" si="6"/>
        <v>0.18609477689380829</v>
      </c>
      <c r="O32">
        <f t="shared" ca="1" si="6"/>
        <v>0.23736047275114913</v>
      </c>
      <c r="P32">
        <f t="shared" ca="1" si="6"/>
        <v>0.25008647526807343</v>
      </c>
      <c r="Q32">
        <f t="shared" ca="1" si="6"/>
        <v>0.29330628803245451</v>
      </c>
      <c r="R32">
        <f t="shared" ca="1" si="6"/>
        <v>0.55384110308601453</v>
      </c>
      <c r="S32">
        <f t="shared" ca="1" si="6"/>
        <v>0.4139855548260013</v>
      </c>
      <c r="T32">
        <f t="shared" ca="1" si="6"/>
        <v>0.43618125216188175</v>
      </c>
      <c r="V32" s="4">
        <f t="shared" si="5"/>
        <v>42081</v>
      </c>
      <c r="W32" s="5">
        <f t="shared" ca="1" si="4"/>
        <v>0.55384110308601453</v>
      </c>
      <c r="Z32" s="4" t="e">
        <f ca="1">IF(OFFSET('Calc Canada'!$A$1,0,0,300)="",MATCH("Error",AF32,0),OFFSET('Calc Canada'!$A$1,0,0,300))</f>
        <v>#N/A</v>
      </c>
      <c r="AA32" s="5" t="str">
        <f ca="1">IF(OFFSET('Calc Canada'!$A$1,0,MATCH(W$1,'Calc Canada'!$1:$1,0)-1,300)="","",OFFSET('Calc Canada'!$A$1,0,MATCH(W$1,'Calc Canada'!$1:$1,0)-1,300))</f>
        <v/>
      </c>
      <c r="AB32" s="5" t="str">
        <f ca="1">IF(OFFSET('Calc Canada'!$A$1,0,MATCH(X$1,'Calc Canada'!$1:$1,0)-1,300)="","",OFFSET('Calc Canada'!$A$1,0,MATCH(X$1,'Calc Canada'!$1:$1,0)-1,300))</f>
        <v/>
      </c>
      <c r="AC32" t="str">
        <f t="shared" ca="1" si="0"/>
        <v/>
      </c>
      <c r="AD32" t="str">
        <f t="shared" ca="1" si="1"/>
        <v/>
      </c>
    </row>
    <row r="33" spans="1:30" x14ac:dyDescent="0.25">
      <c r="A33" s="4">
        <v>42080</v>
      </c>
      <c r="B33">
        <v>0.92300000000000004</v>
      </c>
      <c r="C33" s="5">
        <v>1.0089999999999999</v>
      </c>
      <c r="D33">
        <v>1.2431000000000001</v>
      </c>
      <c r="E33">
        <v>1.5198</v>
      </c>
      <c r="F33">
        <v>1.879</v>
      </c>
      <c r="G33">
        <v>2.4759000000000002</v>
      </c>
      <c r="H33">
        <f t="shared" ca="1" si="6"/>
        <v>0.39225871313672955</v>
      </c>
      <c r="I33">
        <f t="shared" ca="1" si="6"/>
        <v>0.24487447698744791</v>
      </c>
      <c r="J33">
        <f t="shared" ca="1" si="6"/>
        <v>0.15075020928585239</v>
      </c>
      <c r="K33">
        <f t="shared" ca="1" si="6"/>
        <v>0.28943514644351459</v>
      </c>
      <c r="L33">
        <f t="shared" ca="1" si="6"/>
        <v>0.17818275484577237</v>
      </c>
      <c r="M33">
        <f t="shared" ca="1" si="6"/>
        <v>0.31804597701149417</v>
      </c>
      <c r="N33">
        <f t="shared" ca="1" si="6"/>
        <v>0.1886290817369963</v>
      </c>
      <c r="O33">
        <f t="shared" ca="1" si="6"/>
        <v>0.23130916350054731</v>
      </c>
      <c r="P33">
        <f t="shared" ca="1" si="6"/>
        <v>0.24487013429681634</v>
      </c>
      <c r="Q33">
        <f t="shared" ca="1" si="6"/>
        <v>0.29136924075275789</v>
      </c>
      <c r="R33">
        <f t="shared" ca="1" si="6"/>
        <v>0.56024212763217207</v>
      </c>
      <c r="S33">
        <f t="shared" ca="1" si="6"/>
        <v>0.40949191834631971</v>
      </c>
      <c r="T33">
        <f t="shared" ca="1" si="6"/>
        <v>0.43349921603381264</v>
      </c>
      <c r="V33" s="4">
        <f t="shared" si="5"/>
        <v>42080</v>
      </c>
      <c r="W33" s="5">
        <f t="shared" ca="1" si="4"/>
        <v>0.56024212763217207</v>
      </c>
      <c r="Z33" s="4" t="e">
        <f ca="1">IF(OFFSET('Calc Canada'!$A$1,0,0,300)="",MATCH("Error",AF33,0),OFFSET('Calc Canada'!$A$1,0,0,300))</f>
        <v>#N/A</v>
      </c>
      <c r="AA33" s="5" t="str">
        <f ca="1">IF(OFFSET('Calc Canada'!$A$1,0,MATCH(W$1,'Calc Canada'!$1:$1,0)-1,300)="","",OFFSET('Calc Canada'!$A$1,0,MATCH(W$1,'Calc Canada'!$1:$1,0)-1,300))</f>
        <v/>
      </c>
      <c r="AB33" s="5" t="str">
        <f ca="1">IF(OFFSET('Calc Canada'!$A$1,0,MATCH(X$1,'Calc Canada'!$1:$1,0)-1,300)="","",OFFSET('Calc Canada'!$A$1,0,MATCH(X$1,'Calc Canada'!$1:$1,0)-1,300))</f>
        <v/>
      </c>
      <c r="AC33" t="str">
        <f t="shared" ca="1" si="0"/>
        <v/>
      </c>
      <c r="AD33" t="str">
        <f t="shared" ca="1" si="1"/>
        <v/>
      </c>
    </row>
    <row r="34" spans="1:30" x14ac:dyDescent="0.25">
      <c r="A34" s="4">
        <v>42079</v>
      </c>
      <c r="B34">
        <v>0.92190000000000005</v>
      </c>
      <c r="C34" s="5">
        <v>1.0145</v>
      </c>
      <c r="D34">
        <v>1.2674000000000001</v>
      </c>
      <c r="E34">
        <v>1.5310000000000001</v>
      </c>
      <c r="F34">
        <v>1.899</v>
      </c>
      <c r="G34">
        <v>2.5198999999999998</v>
      </c>
      <c r="H34">
        <f t="shared" ca="1" si="6"/>
        <v>0.41520275816778868</v>
      </c>
      <c r="I34">
        <f t="shared" ca="1" si="6"/>
        <v>0.25882714154129582</v>
      </c>
      <c r="J34">
        <f t="shared" ca="1" si="6"/>
        <v>0.15826032540675855</v>
      </c>
      <c r="K34">
        <f t="shared" ca="1" si="6"/>
        <v>0.26977791423600456</v>
      </c>
      <c r="L34">
        <f t="shared" ca="1" si="6"/>
        <v>0.16495619524405511</v>
      </c>
      <c r="M34">
        <f t="shared" ca="1" si="6"/>
        <v>0.29802148106274734</v>
      </c>
      <c r="N34">
        <f t="shared" ca="1" si="6"/>
        <v>0.17510296266772957</v>
      </c>
      <c r="O34">
        <f t="shared" ca="1" si="6"/>
        <v>0.23028785982478092</v>
      </c>
      <c r="P34">
        <f t="shared" ca="1" si="6"/>
        <v>0.24445330144812005</v>
      </c>
      <c r="Q34">
        <f t="shared" ca="1" si="6"/>
        <v>0.29381237524950099</v>
      </c>
      <c r="R34">
        <f t="shared" ca="1" si="6"/>
        <v>0.55350438047559458</v>
      </c>
      <c r="S34">
        <f t="shared" ca="1" si="6"/>
        <v>0.39524405506883603</v>
      </c>
      <c r="T34">
        <f t="shared" ca="1" si="6"/>
        <v>0.41955626411584962</v>
      </c>
      <c r="V34" s="4">
        <f t="shared" si="5"/>
        <v>42079</v>
      </c>
      <c r="W34" s="5">
        <f t="shared" ca="1" si="4"/>
        <v>0.55350438047559458</v>
      </c>
      <c r="Z34" s="4" t="e">
        <f ca="1">IF(OFFSET('Calc Canada'!$A$1,0,0,300)="",MATCH("Error",AF34,0),OFFSET('Calc Canada'!$A$1,0,0,300))</f>
        <v>#N/A</v>
      </c>
      <c r="AA34" s="5" t="str">
        <f ca="1">IF(OFFSET('Calc Canada'!$A$1,0,MATCH(W$1,'Calc Canada'!$1:$1,0)-1,300)="","",OFFSET('Calc Canada'!$A$1,0,MATCH(W$1,'Calc Canada'!$1:$1,0)-1,300))</f>
        <v/>
      </c>
      <c r="AB34" s="5" t="str">
        <f ca="1">IF(OFFSET('Calc Canada'!$A$1,0,MATCH(X$1,'Calc Canada'!$1:$1,0)-1,300)="","",OFFSET('Calc Canada'!$A$1,0,MATCH(X$1,'Calc Canada'!$1:$1,0)-1,300))</f>
        <v/>
      </c>
      <c r="AC34" t="str">
        <f t="shared" ca="1" si="0"/>
        <v/>
      </c>
      <c r="AD34" t="str">
        <f t="shared" ca="1" si="1"/>
        <v/>
      </c>
    </row>
    <row r="35" spans="1:30" x14ac:dyDescent="0.25">
      <c r="A35" s="4">
        <v>42076</v>
      </c>
      <c r="B35">
        <v>0.93220000000000003</v>
      </c>
      <c r="C35" s="5">
        <v>1.0257000000000001</v>
      </c>
      <c r="D35">
        <v>1.278</v>
      </c>
      <c r="E35">
        <v>1.5669999999999999</v>
      </c>
      <c r="F35">
        <v>1.9464999999999999</v>
      </c>
      <c r="G35">
        <v>2.544</v>
      </c>
      <c r="H35">
        <f t="shared" ca="1" si="6"/>
        <v>0.39744801512287337</v>
      </c>
      <c r="I35">
        <f t="shared" ca="1" si="6"/>
        <v>0.24874297545104995</v>
      </c>
      <c r="J35">
        <f t="shared" ca="1" si="6"/>
        <v>0.15653306861893532</v>
      </c>
      <c r="K35">
        <f t="shared" ca="1" si="6"/>
        <v>0.28492556442866995</v>
      </c>
      <c r="L35">
        <f t="shared" ca="1" si="6"/>
        <v>0.17930264300781729</v>
      </c>
      <c r="M35">
        <f t="shared" ca="1" si="6"/>
        <v>0.31385751520417027</v>
      </c>
      <c r="N35">
        <f t="shared" ca="1" si="6"/>
        <v>0.19034446420338533</v>
      </c>
      <c r="O35">
        <f t="shared" ca="1" si="6"/>
        <v>0.23545104851718571</v>
      </c>
      <c r="P35">
        <f t="shared" ca="1" si="6"/>
        <v>0.24995060264769806</v>
      </c>
      <c r="Q35">
        <f t="shared" ca="1" si="6"/>
        <v>0.29976303317535541</v>
      </c>
      <c r="R35">
        <f t="shared" ca="1" si="6"/>
        <v>0.57128676014393831</v>
      </c>
      <c r="S35">
        <f t="shared" ca="1" si="6"/>
        <v>0.41475369152500297</v>
      </c>
      <c r="T35">
        <f t="shared" ca="1" si="6"/>
        <v>0.44029506685108338</v>
      </c>
      <c r="V35" s="4">
        <f t="shared" si="5"/>
        <v>42076</v>
      </c>
      <c r="W35" s="5">
        <f t="shared" ca="1" si="4"/>
        <v>0.57128676014393831</v>
      </c>
      <c r="Z35" s="4" t="e">
        <f ca="1">IF(OFFSET('Calc Canada'!$A$1,0,0,300)="",MATCH("Error",AF35,0),OFFSET('Calc Canada'!$A$1,0,0,300))</f>
        <v>#N/A</v>
      </c>
      <c r="AA35" s="5" t="str">
        <f ca="1">IF(OFFSET('Calc Canada'!$A$1,0,MATCH(W$1,'Calc Canada'!$1:$1,0)-1,300)="","",OFFSET('Calc Canada'!$A$1,0,MATCH(W$1,'Calc Canada'!$1:$1,0)-1,300))</f>
        <v/>
      </c>
      <c r="AB35" s="5" t="str">
        <f ca="1">IF(OFFSET('Calc Canada'!$A$1,0,MATCH(X$1,'Calc Canada'!$1:$1,0)-1,300)="","",OFFSET('Calc Canada'!$A$1,0,MATCH(X$1,'Calc Canada'!$1:$1,0)-1,300))</f>
        <v/>
      </c>
      <c r="AC35" t="str">
        <f t="shared" ca="1" si="0"/>
        <v/>
      </c>
      <c r="AD35" t="str">
        <f t="shared" ca="1" si="1"/>
        <v/>
      </c>
    </row>
    <row r="36" spans="1:30" x14ac:dyDescent="0.25">
      <c r="A36" s="4">
        <v>42075</v>
      </c>
      <c r="B36">
        <v>0.95720000000000005</v>
      </c>
      <c r="C36" s="5">
        <v>1.054</v>
      </c>
      <c r="D36">
        <v>1.3010999999999999</v>
      </c>
      <c r="E36">
        <v>1.5951</v>
      </c>
      <c r="F36">
        <v>1.966</v>
      </c>
      <c r="G36">
        <v>2.5620000000000003</v>
      </c>
      <c r="H36">
        <f t="shared" ca="1" si="6"/>
        <v>0.38736479071954838</v>
      </c>
      <c r="I36">
        <f t="shared" ca="1" si="6"/>
        <v>0.24494448850118944</v>
      </c>
      <c r="J36">
        <f t="shared" ca="1" si="6"/>
        <v>0.15397557328015943</v>
      </c>
      <c r="K36">
        <f t="shared" ca="1" si="6"/>
        <v>0.29143536875495646</v>
      </c>
      <c r="L36">
        <f t="shared" ca="1" si="6"/>
        <v>0.18320039880358924</v>
      </c>
      <c r="M36">
        <f t="shared" ca="1" si="6"/>
        <v>0.32236842105263164</v>
      </c>
      <c r="N36">
        <f t="shared" ca="1" si="6"/>
        <v>0.19496021220159152</v>
      </c>
      <c r="O36">
        <f t="shared" ca="1" si="6"/>
        <v>0.23111914257228311</v>
      </c>
      <c r="P36">
        <f t="shared" ca="1" si="6"/>
        <v>0.24595490716180368</v>
      </c>
      <c r="Q36">
        <f t="shared" ca="1" si="6"/>
        <v>0.29415496867316987</v>
      </c>
      <c r="R36">
        <f t="shared" ca="1" si="6"/>
        <v>0.56829511465603177</v>
      </c>
      <c r="S36">
        <f t="shared" ca="1" si="6"/>
        <v>0.41431954137587235</v>
      </c>
      <c r="T36">
        <f t="shared" ca="1" si="6"/>
        <v>0.44091511936339517</v>
      </c>
      <c r="V36" s="4">
        <f t="shared" si="5"/>
        <v>42075</v>
      </c>
      <c r="W36" s="5">
        <f t="shared" ca="1" si="4"/>
        <v>0.56829511465603177</v>
      </c>
      <c r="Z36" s="4" t="e">
        <f ca="1">IF(OFFSET('Calc Canada'!$A$1,0,0,300)="",MATCH("Error",AF36,0),OFFSET('Calc Canada'!$A$1,0,0,300))</f>
        <v>#N/A</v>
      </c>
      <c r="AA36" s="5" t="str">
        <f ca="1">IF(OFFSET('Calc Canada'!$A$1,0,MATCH(W$1,'Calc Canada'!$1:$1,0)-1,300)="","",OFFSET('Calc Canada'!$A$1,0,MATCH(W$1,'Calc Canada'!$1:$1,0)-1,300))</f>
        <v/>
      </c>
      <c r="AB36" s="5" t="str">
        <f ca="1">IF(OFFSET('Calc Canada'!$A$1,0,MATCH(X$1,'Calc Canada'!$1:$1,0)-1,300)="","",OFFSET('Calc Canada'!$A$1,0,MATCH(X$1,'Calc Canada'!$1:$1,0)-1,300))</f>
        <v/>
      </c>
      <c r="AC36" t="str">
        <f t="shared" ca="1" si="0"/>
        <v/>
      </c>
      <c r="AD36" t="str">
        <f t="shared" ca="1" si="1"/>
        <v/>
      </c>
    </row>
    <row r="37" spans="1:30" x14ac:dyDescent="0.25">
      <c r="A37" s="4">
        <v>42074</v>
      </c>
      <c r="B37">
        <v>0.96350000000000002</v>
      </c>
      <c r="C37" s="5">
        <v>1.0569999999999999</v>
      </c>
      <c r="D37">
        <v>1.3115000000000001</v>
      </c>
      <c r="E37">
        <v>1.5994999999999999</v>
      </c>
      <c r="F37">
        <v>1.9727999999999999</v>
      </c>
      <c r="G37">
        <v>2.57</v>
      </c>
      <c r="H37">
        <f t="shared" ca="1" si="6"/>
        <v>0.40015723270440284</v>
      </c>
      <c r="I37">
        <f t="shared" ca="1" si="6"/>
        <v>0.25215495888239392</v>
      </c>
      <c r="J37">
        <f t="shared" ca="1" si="6"/>
        <v>0.1584189231248056</v>
      </c>
      <c r="K37">
        <f t="shared" ca="1" si="6"/>
        <v>0.28534627959972242</v>
      </c>
      <c r="L37">
        <f t="shared" ca="1" si="6"/>
        <v>0.17927170868347328</v>
      </c>
      <c r="M37">
        <f t="shared" ca="1" si="6"/>
        <v>0.31447914391788584</v>
      </c>
      <c r="N37">
        <f t="shared" ca="1" si="6"/>
        <v>0.19035029742233961</v>
      </c>
      <c r="O37">
        <f t="shared" ca="1" si="6"/>
        <v>0.23236850295673825</v>
      </c>
      <c r="P37">
        <f t="shared" ca="1" si="6"/>
        <v>0.24672835426305353</v>
      </c>
      <c r="Q37">
        <f t="shared" ca="1" si="6"/>
        <v>0.29662296384584824</v>
      </c>
      <c r="R37">
        <f t="shared" ca="1" si="6"/>
        <v>0.57005913476501713</v>
      </c>
      <c r="S37">
        <f t="shared" ca="1" si="6"/>
        <v>0.41164021164021153</v>
      </c>
      <c r="T37">
        <f t="shared" ca="1" si="6"/>
        <v>0.43707865168539312</v>
      </c>
      <c r="V37" s="4">
        <f t="shared" si="5"/>
        <v>42074</v>
      </c>
      <c r="W37" s="5">
        <f t="shared" ca="1" si="4"/>
        <v>0.57005913476501713</v>
      </c>
      <c r="Z37" s="4" t="e">
        <f ca="1">IF(OFFSET('Calc Canada'!$A$1,0,0,300)="",MATCH("Error",AF37,0),OFFSET('Calc Canada'!$A$1,0,0,300))</f>
        <v>#N/A</v>
      </c>
      <c r="AA37" s="5" t="str">
        <f ca="1">IF(OFFSET('Calc Canada'!$A$1,0,MATCH(W$1,'Calc Canada'!$1:$1,0)-1,300)="","",OFFSET('Calc Canada'!$A$1,0,MATCH(W$1,'Calc Canada'!$1:$1,0)-1,300))</f>
        <v/>
      </c>
      <c r="AB37" s="5" t="str">
        <f ca="1">IF(OFFSET('Calc Canada'!$A$1,0,MATCH(X$1,'Calc Canada'!$1:$1,0)-1,300)="","",OFFSET('Calc Canada'!$A$1,0,MATCH(X$1,'Calc Canada'!$1:$1,0)-1,300))</f>
        <v/>
      </c>
      <c r="AC37" t="str">
        <f t="shared" ca="1" si="0"/>
        <v/>
      </c>
      <c r="AD37" t="str">
        <f t="shared" ca="1" si="1"/>
        <v/>
      </c>
    </row>
    <row r="38" spans="1:30" x14ac:dyDescent="0.25">
      <c r="A38" s="4">
        <v>42073</v>
      </c>
      <c r="B38">
        <v>0.96819999999999995</v>
      </c>
      <c r="C38" s="5">
        <v>1.069</v>
      </c>
      <c r="D38">
        <v>1.335</v>
      </c>
      <c r="E38">
        <v>1.6240000000000001</v>
      </c>
      <c r="F38">
        <v>2.0169999999999999</v>
      </c>
      <c r="G38">
        <v>2.6063999999999998</v>
      </c>
      <c r="H38">
        <f t="shared" ca="1" si="6"/>
        <v>0.40561146691064343</v>
      </c>
      <c r="I38">
        <f t="shared" ca="1" si="6"/>
        <v>0.25362318840579712</v>
      </c>
      <c r="J38">
        <f t="shared" ca="1" si="6"/>
        <v>0.1623733365889391</v>
      </c>
      <c r="K38">
        <f t="shared" ca="1" si="6"/>
        <v>0.27555301296720075</v>
      </c>
      <c r="L38">
        <f t="shared" ca="1" si="6"/>
        <v>0.17641313636918579</v>
      </c>
      <c r="M38">
        <f t="shared" ca="1" si="6"/>
        <v>0.30485232067510565</v>
      </c>
      <c r="N38">
        <f t="shared" ca="1" si="6"/>
        <v>0.18797970599713815</v>
      </c>
      <c r="O38">
        <f t="shared" ca="1" si="6"/>
        <v>0.23989744841899635</v>
      </c>
      <c r="P38">
        <f t="shared" ca="1" si="6"/>
        <v>0.25562638220372047</v>
      </c>
      <c r="Q38">
        <f t="shared" ca="1" si="6"/>
        <v>0.30910806984426603</v>
      </c>
      <c r="R38">
        <f t="shared" ca="1" si="6"/>
        <v>0.57868392137712121</v>
      </c>
      <c r="S38">
        <f t="shared" ca="1" si="6"/>
        <v>0.41631058478818217</v>
      </c>
      <c r="T38">
        <f t="shared" ca="1" si="6"/>
        <v>0.44360608820085856</v>
      </c>
      <c r="V38" s="4">
        <f t="shared" si="5"/>
        <v>42073</v>
      </c>
      <c r="W38" s="5">
        <f t="shared" ca="1" si="4"/>
        <v>0.57868392137712121</v>
      </c>
      <c r="Z38" s="4" t="e">
        <f ca="1">IF(OFFSET('Calc Canada'!$A$1,0,0,300)="",MATCH("Error",AF38,0),OFFSET('Calc Canada'!$A$1,0,0,300))</f>
        <v>#N/A</v>
      </c>
      <c r="AA38" s="5" t="str">
        <f ca="1">IF(OFFSET('Calc Canada'!$A$1,0,MATCH(W$1,'Calc Canada'!$1:$1,0)-1,300)="","",OFFSET('Calc Canada'!$A$1,0,MATCH(W$1,'Calc Canada'!$1:$1,0)-1,300))</f>
        <v/>
      </c>
      <c r="AB38" s="5" t="str">
        <f ca="1">IF(OFFSET('Calc Canada'!$A$1,0,MATCH(X$1,'Calc Canada'!$1:$1,0)-1,300)="","",OFFSET('Calc Canada'!$A$1,0,MATCH(X$1,'Calc Canada'!$1:$1,0)-1,300))</f>
        <v/>
      </c>
      <c r="AC38" t="str">
        <f t="shared" ca="1" si="0"/>
        <v/>
      </c>
      <c r="AD38" t="str">
        <f t="shared" ca="1" si="1"/>
        <v/>
      </c>
    </row>
    <row r="39" spans="1:30" x14ac:dyDescent="0.25">
      <c r="A39" s="4">
        <v>42072</v>
      </c>
      <c r="B39">
        <v>0.98209999999999997</v>
      </c>
      <c r="C39" s="5">
        <v>1.0867</v>
      </c>
      <c r="D39">
        <v>1.357</v>
      </c>
      <c r="E39">
        <v>1.6539999999999999</v>
      </c>
      <c r="F39">
        <v>2.0470000000000002</v>
      </c>
      <c r="G39">
        <v>2.6429999999999998</v>
      </c>
      <c r="H39">
        <f t="shared" ca="1" si="6"/>
        <v>0.40229200773924695</v>
      </c>
      <c r="I39">
        <f t="shared" ca="1" si="6"/>
        <v>0.25382665038970792</v>
      </c>
      <c r="J39">
        <f t="shared" ca="1" si="6"/>
        <v>0.16274309109518936</v>
      </c>
      <c r="K39">
        <f t="shared" ca="1" si="6"/>
        <v>0.27889942717626059</v>
      </c>
      <c r="L39">
        <f t="shared" ca="1" si="6"/>
        <v>0.17881871274610148</v>
      </c>
      <c r="M39">
        <f t="shared" ca="1" si="6"/>
        <v>0.30927835051546382</v>
      </c>
      <c r="N39">
        <f t="shared" ca="1" si="6"/>
        <v>0.19083724217695816</v>
      </c>
      <c r="O39">
        <f t="shared" ca="1" si="6"/>
        <v>0.23661870070443752</v>
      </c>
      <c r="P39">
        <f t="shared" ca="1" si="6"/>
        <v>0.25252200732506602</v>
      </c>
      <c r="Q39">
        <f t="shared" ca="1" si="6"/>
        <v>0.30559875583203755</v>
      </c>
      <c r="R39">
        <f t="shared" ca="1" si="6"/>
        <v>0.57818050454572834</v>
      </c>
      <c r="S39">
        <f t="shared" ca="1" si="6"/>
        <v>0.41543741345053903</v>
      </c>
      <c r="T39">
        <f t="shared" ca="1" si="6"/>
        <v>0.44335924950202421</v>
      </c>
      <c r="V39" s="4">
        <f t="shared" si="5"/>
        <v>42072</v>
      </c>
      <c r="W39" s="5">
        <f t="shared" ca="1" si="4"/>
        <v>0.57818050454572834</v>
      </c>
      <c r="Z39" s="4" t="e">
        <f ca="1">IF(OFFSET('Calc Canada'!$A$1,0,0,300)="",MATCH("Error",AF39,0),OFFSET('Calc Canada'!$A$1,0,0,300))</f>
        <v>#N/A</v>
      </c>
      <c r="AA39" s="5" t="str">
        <f ca="1">IF(OFFSET('Calc Canada'!$A$1,0,MATCH(W$1,'Calc Canada'!$1:$1,0)-1,300)="","",OFFSET('Calc Canada'!$A$1,0,MATCH(W$1,'Calc Canada'!$1:$1,0)-1,300))</f>
        <v/>
      </c>
      <c r="AB39" s="5" t="str">
        <f ca="1">IF(OFFSET('Calc Canada'!$A$1,0,MATCH(X$1,'Calc Canada'!$1:$1,0)-1,300)="","",OFFSET('Calc Canada'!$A$1,0,MATCH(X$1,'Calc Canada'!$1:$1,0)-1,300))</f>
        <v/>
      </c>
      <c r="AC39" t="str">
        <f t="shared" ca="1" si="0"/>
        <v/>
      </c>
      <c r="AD39" t="str">
        <f t="shared" ca="1" si="1"/>
        <v/>
      </c>
    </row>
    <row r="40" spans="1:30" x14ac:dyDescent="0.25">
      <c r="A40" s="4">
        <v>42069</v>
      </c>
      <c r="B40">
        <v>0.999</v>
      </c>
      <c r="C40" s="5">
        <v>1.1112</v>
      </c>
      <c r="D40">
        <v>1.3906000000000001</v>
      </c>
      <c r="E40">
        <v>1.6930000000000001</v>
      </c>
      <c r="F40">
        <v>2.0910000000000002</v>
      </c>
      <c r="G40">
        <v>2.6870000000000003</v>
      </c>
      <c r="H40">
        <f t="shared" ca="1" si="6"/>
        <v>0.40259365994236324</v>
      </c>
      <c r="I40">
        <f t="shared" ca="1" si="6"/>
        <v>0.25586080586080595</v>
      </c>
      <c r="J40">
        <f t="shared" ca="1" si="6"/>
        <v>0.16552132701421804</v>
      </c>
      <c r="K40">
        <f t="shared" ca="1" si="6"/>
        <v>0.27692307692307688</v>
      </c>
      <c r="L40">
        <f t="shared" ca="1" si="6"/>
        <v>0.17914691943127961</v>
      </c>
      <c r="M40">
        <f t="shared" ca="1" si="6"/>
        <v>0.30863441518677276</v>
      </c>
      <c r="N40">
        <f t="shared" ca="1" si="6"/>
        <v>0.19190252570123109</v>
      </c>
      <c r="O40">
        <f t="shared" ca="1" si="6"/>
        <v>0.23578199052132706</v>
      </c>
      <c r="P40">
        <f t="shared" ca="1" si="6"/>
        <v>0.25257012311207011</v>
      </c>
      <c r="Q40">
        <f t="shared" ca="1" si="6"/>
        <v>0.30700401110768288</v>
      </c>
      <c r="R40">
        <f t="shared" ca="1" si="6"/>
        <v>0.58045023696682474</v>
      </c>
      <c r="S40">
        <f t="shared" ca="1" si="6"/>
        <v>0.41492890995260667</v>
      </c>
      <c r="T40">
        <f t="shared" ca="1" si="6"/>
        <v>0.44447264881330117</v>
      </c>
      <c r="V40" s="4">
        <f t="shared" si="5"/>
        <v>42069</v>
      </c>
      <c r="W40" s="5">
        <f t="shared" ca="1" si="4"/>
        <v>0.58045023696682474</v>
      </c>
      <c r="Z40" s="4" t="e">
        <f ca="1">IF(OFFSET('Calc Canada'!$A$1,0,0,300)="",MATCH("Error",AF40,0),OFFSET('Calc Canada'!$A$1,0,0,300))</f>
        <v>#N/A</v>
      </c>
      <c r="AA40" s="5" t="str">
        <f ca="1">IF(OFFSET('Calc Canada'!$A$1,0,MATCH(W$1,'Calc Canada'!$1:$1,0)-1,300)="","",OFFSET('Calc Canada'!$A$1,0,MATCH(W$1,'Calc Canada'!$1:$1,0)-1,300))</f>
        <v/>
      </c>
      <c r="AB40" s="5" t="str">
        <f ca="1">IF(OFFSET('Calc Canada'!$A$1,0,MATCH(X$1,'Calc Canada'!$1:$1,0)-1,300)="","",OFFSET('Calc Canada'!$A$1,0,MATCH(X$1,'Calc Canada'!$1:$1,0)-1,300))</f>
        <v/>
      </c>
      <c r="AC40" t="str">
        <f t="shared" ca="1" si="0"/>
        <v/>
      </c>
      <c r="AD40" t="str">
        <f t="shared" ca="1" si="1"/>
        <v/>
      </c>
    </row>
    <row r="41" spans="1:30" x14ac:dyDescent="0.25">
      <c r="A41" s="4">
        <v>42068</v>
      </c>
      <c r="B41">
        <v>1.002</v>
      </c>
      <c r="C41" s="5">
        <v>1.1020000000000001</v>
      </c>
      <c r="D41">
        <v>1.3485</v>
      </c>
      <c r="E41">
        <v>1.6292</v>
      </c>
      <c r="F41">
        <v>2.0030000000000001</v>
      </c>
      <c r="G41">
        <v>2.5640000000000001</v>
      </c>
      <c r="H41">
        <f t="shared" ca="1" si="6"/>
        <v>0.39301658163265296</v>
      </c>
      <c r="I41">
        <f t="shared" ca="1" si="6"/>
        <v>0.24625374625374616</v>
      </c>
      <c r="J41">
        <f t="shared" ca="1" si="6"/>
        <v>0.1578104993597951</v>
      </c>
      <c r="K41">
        <f t="shared" ca="1" si="6"/>
        <v>0.28041958041958032</v>
      </c>
      <c r="L41">
        <f t="shared" ca="1" si="6"/>
        <v>0.17970550576184374</v>
      </c>
      <c r="M41">
        <f t="shared" ca="1" si="6"/>
        <v>0.31154273029966695</v>
      </c>
      <c r="N41">
        <f t="shared" ca="1" si="6"/>
        <v>0.1919972640218878</v>
      </c>
      <c r="O41">
        <f t="shared" ca="1" si="6"/>
        <v>0.23930857874519854</v>
      </c>
      <c r="P41">
        <f t="shared" ca="1" si="6"/>
        <v>0.25567715458276341</v>
      </c>
      <c r="Q41">
        <f t="shared" ca="1" si="6"/>
        <v>0.30752776635129586</v>
      </c>
      <c r="R41">
        <f t="shared" ca="1" si="6"/>
        <v>0.57682458386683744</v>
      </c>
      <c r="S41">
        <f t="shared" ca="1" si="6"/>
        <v>0.41901408450704231</v>
      </c>
      <c r="T41">
        <f t="shared" ca="1" si="6"/>
        <v>0.44767441860465124</v>
      </c>
      <c r="V41" s="4">
        <f t="shared" si="5"/>
        <v>42068</v>
      </c>
      <c r="W41" s="5">
        <f t="shared" ca="1" si="4"/>
        <v>0.57682458386683744</v>
      </c>
      <c r="Z41" s="4" t="e">
        <f ca="1">IF(OFFSET('Calc Canada'!$A$1,0,0,300)="",MATCH("Error",AF41,0),OFFSET('Calc Canada'!$A$1,0,0,300))</f>
        <v>#N/A</v>
      </c>
      <c r="AA41" s="5" t="str">
        <f ca="1">IF(OFFSET('Calc Canada'!$A$1,0,MATCH(W$1,'Calc Canada'!$1:$1,0)-1,300)="","",OFFSET('Calc Canada'!$A$1,0,MATCH(W$1,'Calc Canada'!$1:$1,0)-1,300))</f>
        <v/>
      </c>
      <c r="AB41" s="5" t="str">
        <f ca="1">IF(OFFSET('Calc Canada'!$A$1,0,MATCH(X$1,'Calc Canada'!$1:$1,0)-1,300)="","",OFFSET('Calc Canada'!$A$1,0,MATCH(X$1,'Calc Canada'!$1:$1,0)-1,300))</f>
        <v/>
      </c>
      <c r="AC41" t="str">
        <f t="shared" ca="1" si="0"/>
        <v/>
      </c>
      <c r="AD41" t="str">
        <f t="shared" ca="1" si="1"/>
        <v/>
      </c>
    </row>
    <row r="42" spans="1:30" x14ac:dyDescent="0.25">
      <c r="A42" s="4">
        <v>42067</v>
      </c>
      <c r="B42">
        <v>0.98619999999999997</v>
      </c>
      <c r="C42" s="5">
        <v>1.0788</v>
      </c>
      <c r="D42">
        <v>1.3109999999999999</v>
      </c>
      <c r="E42">
        <v>1.5965</v>
      </c>
      <c r="F42">
        <v>1.9765000000000001</v>
      </c>
      <c r="G42">
        <v>2.5310000000000001</v>
      </c>
      <c r="H42">
        <f t="shared" ca="1" si="6"/>
        <v>0.38046862198918552</v>
      </c>
      <c r="I42">
        <f t="shared" ca="1" si="6"/>
        <v>0.23447440169645553</v>
      </c>
      <c r="J42">
        <f t="shared" ca="1" si="6"/>
        <v>0.15031071983428271</v>
      </c>
      <c r="K42">
        <f t="shared" ca="1" si="6"/>
        <v>0.28829647581540951</v>
      </c>
      <c r="L42">
        <f t="shared" ca="1" si="6"/>
        <v>0.18481356809943039</v>
      </c>
      <c r="M42">
        <f t="shared" ca="1" si="6"/>
        <v>0.31803497827782112</v>
      </c>
      <c r="N42">
        <f t="shared" ca="1" si="6"/>
        <v>0.19659826470183175</v>
      </c>
      <c r="O42">
        <f t="shared" ca="1" si="6"/>
        <v>0.2459865354738478</v>
      </c>
      <c r="P42">
        <f t="shared" ca="1" si="6"/>
        <v>0.26167194601294591</v>
      </c>
      <c r="Q42">
        <f t="shared" ca="1" si="6"/>
        <v>0.31147540983606564</v>
      </c>
      <c r="R42">
        <f t="shared" ca="1" si="6"/>
        <v>0.58111082340756093</v>
      </c>
      <c r="S42">
        <f t="shared" ca="1" si="6"/>
        <v>0.43080010357327819</v>
      </c>
      <c r="T42">
        <f t="shared" ca="1" si="6"/>
        <v>0.45827021071477769</v>
      </c>
      <c r="V42" s="4">
        <f t="shared" si="5"/>
        <v>42067</v>
      </c>
      <c r="W42" s="5">
        <f t="shared" ca="1" si="4"/>
        <v>0.58111082340756093</v>
      </c>
      <c r="Z42" s="4" t="e">
        <f ca="1">IF(OFFSET('Calc Canada'!$A$1,0,0,300)="",MATCH("Error",AF42,0),OFFSET('Calc Canada'!$A$1,0,0,300))</f>
        <v>#N/A</v>
      </c>
      <c r="AA42" s="5" t="str">
        <f ca="1">IF(OFFSET('Calc Canada'!$A$1,0,MATCH(W$1,'Calc Canada'!$1:$1,0)-1,300)="","",OFFSET('Calc Canada'!$A$1,0,MATCH(W$1,'Calc Canada'!$1:$1,0)-1,300))</f>
        <v/>
      </c>
      <c r="AB42" s="5" t="str">
        <f ca="1">IF(OFFSET('Calc Canada'!$A$1,0,MATCH(X$1,'Calc Canada'!$1:$1,0)-1,300)="","",OFFSET('Calc Canada'!$A$1,0,MATCH(X$1,'Calc Canada'!$1:$1,0)-1,300))</f>
        <v/>
      </c>
      <c r="AC42" t="str">
        <f t="shared" ca="1" si="0"/>
        <v/>
      </c>
      <c r="AD42" t="str">
        <f t="shared" ca="1" si="1"/>
        <v/>
      </c>
    </row>
    <row r="43" spans="1:30" x14ac:dyDescent="0.25">
      <c r="A43" s="4">
        <v>42066</v>
      </c>
      <c r="B43">
        <v>0.88900000000000001</v>
      </c>
      <c r="C43" s="5">
        <v>0.97650000000000003</v>
      </c>
      <c r="D43">
        <v>1.2130000000000001</v>
      </c>
      <c r="E43">
        <v>1.4809999999999999</v>
      </c>
      <c r="F43">
        <v>1.8881000000000001</v>
      </c>
      <c r="G43">
        <v>2.4630000000000001</v>
      </c>
      <c r="H43">
        <f t="shared" ca="1" si="6"/>
        <v>0.39949324324324342</v>
      </c>
      <c r="I43">
        <f t="shared" ca="1" si="6"/>
        <v>0.23671304173756383</v>
      </c>
      <c r="J43">
        <f t="shared" ca="1" si="6"/>
        <v>0.15025412960609913</v>
      </c>
      <c r="K43">
        <f t="shared" ca="1" si="6"/>
        <v>0.26824141727554773</v>
      </c>
      <c r="L43">
        <f t="shared" ca="1" si="6"/>
        <v>0.17026683608640392</v>
      </c>
      <c r="M43">
        <f t="shared" ca="1" si="6"/>
        <v>0.29398859148749429</v>
      </c>
      <c r="N43">
        <f t="shared" ca="1" si="6"/>
        <v>0.18028927009754445</v>
      </c>
      <c r="O43">
        <f t="shared" ca="1" si="6"/>
        <v>0.25864040660736992</v>
      </c>
      <c r="P43">
        <f t="shared" ca="1" si="6"/>
        <v>0.27386478304742701</v>
      </c>
      <c r="Q43">
        <f t="shared" ca="1" si="6"/>
        <v>0.32568000000000019</v>
      </c>
      <c r="R43">
        <f t="shared" ca="1" si="6"/>
        <v>0.57916137229987297</v>
      </c>
      <c r="S43">
        <f t="shared" ca="1" si="6"/>
        <v>0.42890724269377384</v>
      </c>
      <c r="T43">
        <f t="shared" ca="1" si="6"/>
        <v>0.45415405314497143</v>
      </c>
      <c r="V43" s="4">
        <f t="shared" si="5"/>
        <v>42066</v>
      </c>
      <c r="W43" s="5">
        <f t="shared" ca="1" si="4"/>
        <v>0.57916137229987297</v>
      </c>
      <c r="Z43" s="4" t="e">
        <f ca="1">IF(OFFSET('Calc Canada'!$A$1,0,0,300)="",MATCH("Error",AF43,0),OFFSET('Calc Canada'!$A$1,0,0,300))</f>
        <v>#N/A</v>
      </c>
      <c r="AA43" s="5" t="str">
        <f ca="1">IF(OFFSET('Calc Canada'!$A$1,0,MATCH(W$1,'Calc Canada'!$1:$1,0)-1,300)="","",OFFSET('Calc Canada'!$A$1,0,MATCH(W$1,'Calc Canada'!$1:$1,0)-1,300))</f>
        <v/>
      </c>
      <c r="AB43" s="5" t="str">
        <f ca="1">IF(OFFSET('Calc Canada'!$A$1,0,MATCH(X$1,'Calc Canada'!$1:$1,0)-1,300)="","",OFFSET('Calc Canada'!$A$1,0,MATCH(X$1,'Calc Canada'!$1:$1,0)-1,300))</f>
        <v/>
      </c>
      <c r="AC43" t="str">
        <f t="shared" ca="1" si="0"/>
        <v/>
      </c>
      <c r="AD43" t="str">
        <f t="shared" ca="1" si="1"/>
        <v/>
      </c>
    </row>
    <row r="44" spans="1:30" x14ac:dyDescent="0.25">
      <c r="A44" s="4">
        <v>42065</v>
      </c>
      <c r="B44">
        <v>0.88249999999999995</v>
      </c>
      <c r="C44" s="5">
        <v>0.95899999999999996</v>
      </c>
      <c r="D44">
        <v>1.1759999999999999</v>
      </c>
      <c r="E44">
        <v>1.452</v>
      </c>
      <c r="F44">
        <v>1.8380000000000001</v>
      </c>
      <c r="G44">
        <v>2.4060000000000001</v>
      </c>
      <c r="H44">
        <f t="shared" ca="1" si="6"/>
        <v>0.38103599648814745</v>
      </c>
      <c r="I44">
        <f t="shared" ca="1" si="6"/>
        <v>0.22710622710622705</v>
      </c>
      <c r="J44">
        <f t="shared" ca="1" si="6"/>
        <v>0.14243518214637343</v>
      </c>
      <c r="K44">
        <f t="shared" ca="1" si="6"/>
        <v>0.28885400313971743</v>
      </c>
      <c r="L44">
        <f t="shared" ca="1" si="6"/>
        <v>0.18116179849031833</v>
      </c>
      <c r="M44">
        <f t="shared" ca="1" si="6"/>
        <v>0.31399317406143346</v>
      </c>
      <c r="N44">
        <f t="shared" ca="1" si="6"/>
        <v>0.19073946095369732</v>
      </c>
      <c r="O44">
        <f t="shared" ca="1" si="6"/>
        <v>0.2533639645553003</v>
      </c>
      <c r="P44">
        <f t="shared" ca="1" si="6"/>
        <v>0.26675881133379414</v>
      </c>
      <c r="Q44">
        <f t="shared" ca="1" si="6"/>
        <v>0.31382113821138213</v>
      </c>
      <c r="R44">
        <f t="shared" ca="1" si="6"/>
        <v>0.57696094519199204</v>
      </c>
      <c r="S44">
        <f t="shared" ca="1" si="6"/>
        <v>0.43452576304561863</v>
      </c>
      <c r="T44">
        <f t="shared" ca="1" si="6"/>
        <v>0.45749827228749146</v>
      </c>
      <c r="V44" s="4">
        <f t="shared" si="5"/>
        <v>42065</v>
      </c>
      <c r="W44" s="5">
        <f t="shared" ca="1" si="4"/>
        <v>0.57696094519199204</v>
      </c>
      <c r="Z44" s="4" t="e">
        <f ca="1">IF(OFFSET('Calc Canada'!$A$1,0,0,300)="",MATCH("Error",AF44,0),OFFSET('Calc Canada'!$A$1,0,0,300))</f>
        <v>#N/A</v>
      </c>
      <c r="AA44" s="5" t="str">
        <f ca="1">IF(OFFSET('Calc Canada'!$A$1,0,MATCH(W$1,'Calc Canada'!$1:$1,0)-1,300)="","",OFFSET('Calc Canada'!$A$1,0,MATCH(W$1,'Calc Canada'!$1:$1,0)-1,300))</f>
        <v/>
      </c>
      <c r="AB44" s="5" t="str">
        <f ca="1">IF(OFFSET('Calc Canada'!$A$1,0,MATCH(X$1,'Calc Canada'!$1:$1,0)-1,300)="","",OFFSET('Calc Canada'!$A$1,0,MATCH(X$1,'Calc Canada'!$1:$1,0)-1,300))</f>
        <v/>
      </c>
      <c r="AC44" t="str">
        <f t="shared" ca="1" si="0"/>
        <v/>
      </c>
      <c r="AD44" t="str">
        <f t="shared" ca="1" si="1"/>
        <v/>
      </c>
    </row>
    <row r="45" spans="1:30" x14ac:dyDescent="0.25">
      <c r="A45" s="4">
        <v>42062</v>
      </c>
      <c r="B45">
        <v>0.86250000000000004</v>
      </c>
      <c r="C45" s="5">
        <v>0.92449999999999999</v>
      </c>
      <c r="D45">
        <v>1.1179999999999999</v>
      </c>
      <c r="E45">
        <v>1.3915</v>
      </c>
      <c r="F45">
        <v>1.758</v>
      </c>
      <c r="G45">
        <v>2.3534999999999999</v>
      </c>
      <c r="H45">
        <f t="shared" ref="H45:T60" ca="1" si="7">IF(ISERROR(ABS(OFFSET($A$11,ROW()-11,MATCH(LEFT(H$9,2),$A$11:$G$11,0)-1)-OFFSET($A$11,ROW()-11,MATCH(RIGHT(H$9,2),$A$11:$G$11,0)-1))/ABS(OFFSET($A$11,ROW()-11,MATCH(LEFT(H$10,2),$A$11:$G$11,0)-1)-OFFSET($A$11,ROW()-11,MATCH(RIGHT(H$10,2),$A$11:$G$11,0)-1))),"",ABS(OFFSET($A$11,ROW()-11,MATCH(LEFT(H$9,2),$A$11:$G$11,0)-1)-OFFSET($A$11,ROW()-11,MATCH(RIGHT(H$9,2),$A$11:$G$11,0)-1))/ABS(OFFSET($A$11,ROW()-11,MATCH(LEFT(H$10,2),$A$11:$G$11,0)-1)-OFFSET($A$11,ROW()-11,MATCH(RIGHT(H$10,2),$A$11:$G$11,0)-1)))</f>
        <v>0.3657844990548203</v>
      </c>
      <c r="I45">
        <f t="shared" ca="1" si="7"/>
        <v>0.21608040201005013</v>
      </c>
      <c r="J45">
        <f t="shared" ca="1" si="7"/>
        <v>0.12977867203219309</v>
      </c>
      <c r="K45">
        <f t="shared" ca="1" si="7"/>
        <v>0.30541596873255172</v>
      </c>
      <c r="L45">
        <f t="shared" ca="1" si="7"/>
        <v>0.18343393695506377</v>
      </c>
      <c r="M45">
        <f t="shared" ca="1" si="7"/>
        <v>0.32813437312537502</v>
      </c>
      <c r="N45">
        <f t="shared" ca="1" si="7"/>
        <v>0.19139258222533248</v>
      </c>
      <c r="O45">
        <f t="shared" ca="1" si="7"/>
        <v>0.24580818242790078</v>
      </c>
      <c r="P45">
        <f t="shared" ca="1" si="7"/>
        <v>0.25647305808257531</v>
      </c>
      <c r="Q45">
        <f t="shared" ca="1" si="7"/>
        <v>0.29664103601780656</v>
      </c>
      <c r="R45">
        <f t="shared" ca="1" si="7"/>
        <v>0.5590207914151577</v>
      </c>
      <c r="S45">
        <f t="shared" ca="1" si="7"/>
        <v>0.42924211938296458</v>
      </c>
      <c r="T45">
        <f t="shared" ca="1" si="7"/>
        <v>0.44786564030790776</v>
      </c>
      <c r="V45" s="4">
        <f t="shared" si="5"/>
        <v>42062</v>
      </c>
      <c r="W45" s="5">
        <f t="shared" ca="1" si="4"/>
        <v>0.5590207914151577</v>
      </c>
      <c r="Z45" s="4" t="e">
        <f ca="1">IF(OFFSET('Calc Canada'!$A$1,0,0,300)="",MATCH("Error",AF45,0),OFFSET('Calc Canada'!$A$1,0,0,300))</f>
        <v>#N/A</v>
      </c>
      <c r="AA45" s="5" t="str">
        <f ca="1">IF(OFFSET('Calc Canada'!$A$1,0,MATCH(W$1,'Calc Canada'!$1:$1,0)-1,300)="","",OFFSET('Calc Canada'!$A$1,0,MATCH(W$1,'Calc Canada'!$1:$1,0)-1,300))</f>
        <v/>
      </c>
      <c r="AB45" s="5" t="str">
        <f ca="1">IF(OFFSET('Calc Canada'!$A$1,0,MATCH(X$1,'Calc Canada'!$1:$1,0)-1,300)="","",OFFSET('Calc Canada'!$A$1,0,MATCH(X$1,'Calc Canada'!$1:$1,0)-1,300))</f>
        <v/>
      </c>
      <c r="AC45" t="str">
        <f t="shared" ca="1" si="0"/>
        <v/>
      </c>
      <c r="AD45" t="str">
        <f t="shared" ca="1" si="1"/>
        <v/>
      </c>
    </row>
    <row r="46" spans="1:30" x14ac:dyDescent="0.25">
      <c r="A46" s="4">
        <v>42061</v>
      </c>
      <c r="B46">
        <v>0.88900000000000001</v>
      </c>
      <c r="C46" s="5">
        <v>0.95750000000000002</v>
      </c>
      <c r="D46">
        <v>1.1659999999999999</v>
      </c>
      <c r="E46">
        <v>1.4320999999999999</v>
      </c>
      <c r="F46">
        <v>1.804</v>
      </c>
      <c r="G46">
        <v>2.38</v>
      </c>
      <c r="H46">
        <f t="shared" ca="1" si="7"/>
        <v>0.38390719941078982</v>
      </c>
      <c r="I46">
        <f t="shared" ca="1" si="7"/>
        <v>0.22786885245901628</v>
      </c>
      <c r="J46">
        <f t="shared" ca="1" si="7"/>
        <v>0.13983903420523133</v>
      </c>
      <c r="K46">
        <f t="shared" ca="1" si="7"/>
        <v>0.29081967213114751</v>
      </c>
      <c r="L46">
        <f t="shared" ca="1" si="7"/>
        <v>0.17847082494969821</v>
      </c>
      <c r="M46">
        <f t="shared" ca="1" si="7"/>
        <v>0.31435321913762548</v>
      </c>
      <c r="N46">
        <f t="shared" ca="1" si="7"/>
        <v>0.18706502636203867</v>
      </c>
      <c r="O46">
        <f t="shared" ca="1" si="7"/>
        <v>0.24942991281019461</v>
      </c>
      <c r="P46">
        <f t="shared" ca="1" si="7"/>
        <v>0.26144112478031645</v>
      </c>
      <c r="Q46">
        <f t="shared" ca="1" si="7"/>
        <v>0.30634266886326206</v>
      </c>
      <c r="R46">
        <f t="shared" ca="1" si="7"/>
        <v>0.56773977196512415</v>
      </c>
      <c r="S46">
        <f t="shared" ca="1" si="7"/>
        <v>0.42790073775989279</v>
      </c>
      <c r="T46">
        <f t="shared" ca="1" si="7"/>
        <v>0.44850615114235515</v>
      </c>
      <c r="V46" s="4">
        <f t="shared" si="5"/>
        <v>42061</v>
      </c>
      <c r="W46" s="5">
        <f t="shared" ca="1" si="4"/>
        <v>0.56773977196512415</v>
      </c>
      <c r="Z46" s="4" t="e">
        <f ca="1">IF(OFFSET('Calc Canada'!$A$1,0,0,300)="",MATCH("Error",AF46,0),OFFSET('Calc Canada'!$A$1,0,0,300))</f>
        <v>#N/A</v>
      </c>
      <c r="AA46" s="5" t="str">
        <f ca="1">IF(OFFSET('Calc Canada'!$A$1,0,MATCH(W$1,'Calc Canada'!$1:$1,0)-1,300)="","",OFFSET('Calc Canada'!$A$1,0,MATCH(W$1,'Calc Canada'!$1:$1,0)-1,300))</f>
        <v/>
      </c>
      <c r="AB46" s="5" t="str">
        <f ca="1">IF(OFFSET('Calc Canada'!$A$1,0,MATCH(X$1,'Calc Canada'!$1:$1,0)-1,300)="","",OFFSET('Calc Canada'!$A$1,0,MATCH(X$1,'Calc Canada'!$1:$1,0)-1,300))</f>
        <v/>
      </c>
      <c r="AC46" t="str">
        <f t="shared" ca="1" si="0"/>
        <v/>
      </c>
      <c r="AD46" t="str">
        <f t="shared" ca="1" si="1"/>
        <v/>
      </c>
    </row>
    <row r="47" spans="1:30" x14ac:dyDescent="0.25">
      <c r="A47" s="4">
        <v>42060</v>
      </c>
      <c r="B47">
        <v>0.85599999999999998</v>
      </c>
      <c r="C47" s="5">
        <v>0.92949999999999999</v>
      </c>
      <c r="D47">
        <v>1.133</v>
      </c>
      <c r="E47">
        <v>1.41</v>
      </c>
      <c r="F47">
        <v>1.786</v>
      </c>
      <c r="G47">
        <v>2.3639999999999999</v>
      </c>
      <c r="H47">
        <f t="shared" ca="1" si="7"/>
        <v>0.36732851985559573</v>
      </c>
      <c r="I47">
        <f t="shared" ca="1" si="7"/>
        <v>0.21881720430107526</v>
      </c>
      <c r="J47">
        <f t="shared" ca="1" si="7"/>
        <v>0.13494694960212203</v>
      </c>
      <c r="K47">
        <f t="shared" ca="1" si="7"/>
        <v>0.29784946236559129</v>
      </c>
      <c r="L47">
        <f t="shared" ca="1" si="7"/>
        <v>0.18368700265251983</v>
      </c>
      <c r="M47">
        <f t="shared" ca="1" si="7"/>
        <v>0.32340922358435481</v>
      </c>
      <c r="N47">
        <f t="shared" ca="1" si="7"/>
        <v>0.19309864064133839</v>
      </c>
      <c r="O47">
        <f t="shared" ca="1" si="7"/>
        <v>0.24933687002652527</v>
      </c>
      <c r="P47">
        <f t="shared" ca="1" si="7"/>
        <v>0.2621122342279541</v>
      </c>
      <c r="Q47">
        <f t="shared" ca="1" si="7"/>
        <v>0.3054427294882211</v>
      </c>
      <c r="R47">
        <f t="shared" ca="1" si="7"/>
        <v>0.56797082228116713</v>
      </c>
      <c r="S47">
        <f t="shared" ca="1" si="7"/>
        <v>0.43302387267904513</v>
      </c>
      <c r="T47">
        <f t="shared" ca="1" si="7"/>
        <v>0.45521087486929251</v>
      </c>
      <c r="V47" s="4">
        <f t="shared" si="5"/>
        <v>42060</v>
      </c>
      <c r="W47" s="5">
        <f t="shared" ca="1" si="4"/>
        <v>0.56797082228116713</v>
      </c>
      <c r="Z47" s="4" t="e">
        <f ca="1">IF(OFFSET('Calc Canada'!$A$1,0,0,300)="",MATCH("Error",AF47,0),OFFSET('Calc Canada'!$A$1,0,0,300))</f>
        <v>#N/A</v>
      </c>
      <c r="AA47" s="5" t="str">
        <f ca="1">IF(OFFSET('Calc Canada'!$A$1,0,MATCH(W$1,'Calc Canada'!$1:$1,0)-1,300)="","",OFFSET('Calc Canada'!$A$1,0,MATCH(W$1,'Calc Canada'!$1:$1,0)-1,300))</f>
        <v/>
      </c>
      <c r="AB47" s="5" t="str">
        <f ca="1">IF(OFFSET('Calc Canada'!$A$1,0,MATCH(X$1,'Calc Canada'!$1:$1,0)-1,300)="","",OFFSET('Calc Canada'!$A$1,0,MATCH(X$1,'Calc Canada'!$1:$1,0)-1,300))</f>
        <v/>
      </c>
      <c r="AC47" t="str">
        <f t="shared" ca="1" si="0"/>
        <v/>
      </c>
      <c r="AD47" t="str">
        <f t="shared" ca="1" si="1"/>
        <v/>
      </c>
    </row>
    <row r="48" spans="1:30" x14ac:dyDescent="0.25">
      <c r="A48" s="4">
        <v>42059</v>
      </c>
      <c r="B48">
        <v>0.86099999999999999</v>
      </c>
      <c r="C48" s="5">
        <v>0.94099999999999995</v>
      </c>
      <c r="D48">
        <v>1.1519999999999999</v>
      </c>
      <c r="E48">
        <v>1.43</v>
      </c>
      <c r="F48">
        <v>1.7890000000000001</v>
      </c>
      <c r="G48">
        <v>2.3959999999999999</v>
      </c>
      <c r="H48">
        <f t="shared" ca="1" si="7"/>
        <v>0.37082601054481545</v>
      </c>
      <c r="I48">
        <f t="shared" ca="1" si="7"/>
        <v>0.22737068965517235</v>
      </c>
      <c r="J48">
        <f t="shared" ca="1" si="7"/>
        <v>0.13745928338762214</v>
      </c>
      <c r="K48">
        <f t="shared" ca="1" si="7"/>
        <v>0.29956896551724138</v>
      </c>
      <c r="L48">
        <f t="shared" ca="1" si="7"/>
        <v>0.18110749185667754</v>
      </c>
      <c r="M48">
        <f t="shared" ca="1" si="7"/>
        <v>0.32783018867924524</v>
      </c>
      <c r="N48">
        <f t="shared" ca="1" si="7"/>
        <v>0.19106529209621995</v>
      </c>
      <c r="O48">
        <f t="shared" ca="1" si="7"/>
        <v>0.23387622149837148</v>
      </c>
      <c r="P48">
        <f t="shared" ca="1" si="7"/>
        <v>0.24673539518900356</v>
      </c>
      <c r="Q48">
        <f t="shared" ca="1" si="7"/>
        <v>0.2885852090032156</v>
      </c>
      <c r="R48">
        <f t="shared" ca="1" si="7"/>
        <v>0.55244299674267117</v>
      </c>
      <c r="S48">
        <f t="shared" ca="1" si="7"/>
        <v>0.41498371335504902</v>
      </c>
      <c r="T48">
        <f t="shared" ca="1" si="7"/>
        <v>0.43780068728522353</v>
      </c>
      <c r="V48" s="4">
        <f t="shared" si="5"/>
        <v>42059</v>
      </c>
      <c r="W48" s="5">
        <f t="shared" ca="1" si="4"/>
        <v>0.55244299674267117</v>
      </c>
      <c r="Z48" s="4" t="e">
        <f ca="1">IF(OFFSET('Calc Canada'!$A$1,0,0,300)="",MATCH("Error",AF48,0),OFFSET('Calc Canada'!$A$1,0,0,300))</f>
        <v>#N/A</v>
      </c>
      <c r="AA48" s="5" t="str">
        <f ca="1">IF(OFFSET('Calc Canada'!$A$1,0,MATCH(W$1,'Calc Canada'!$1:$1,0)-1,300)="","",OFFSET('Calc Canada'!$A$1,0,MATCH(W$1,'Calc Canada'!$1:$1,0)-1,300))</f>
        <v/>
      </c>
      <c r="AB48" s="5" t="str">
        <f ca="1">IF(OFFSET('Calc Canada'!$A$1,0,MATCH(X$1,'Calc Canada'!$1:$1,0)-1,300)="","",OFFSET('Calc Canada'!$A$1,0,MATCH(X$1,'Calc Canada'!$1:$1,0)-1,300))</f>
        <v/>
      </c>
      <c r="AC48" t="str">
        <f t="shared" ca="1" si="0"/>
        <v/>
      </c>
      <c r="AD48" t="str">
        <f t="shared" ca="1" si="1"/>
        <v/>
      </c>
    </row>
    <row r="49" spans="1:30" x14ac:dyDescent="0.25">
      <c r="A49" s="4">
        <v>42058</v>
      </c>
      <c r="B49">
        <v>0.78500000000000003</v>
      </c>
      <c r="C49" s="5">
        <v>0.8821</v>
      </c>
      <c r="D49">
        <v>1.1379999999999999</v>
      </c>
      <c r="E49">
        <v>1.4350000000000001</v>
      </c>
      <c r="F49">
        <v>1.8149999999999999</v>
      </c>
      <c r="G49">
        <v>2.4390000000000001</v>
      </c>
      <c r="H49">
        <f t="shared" ca="1" si="7"/>
        <v>0.39369230769230751</v>
      </c>
      <c r="I49">
        <f t="shared" ca="1" si="7"/>
        <v>0.24844660194174753</v>
      </c>
      <c r="J49">
        <f t="shared" ca="1" si="7"/>
        <v>0.1547158403869407</v>
      </c>
      <c r="K49">
        <f t="shared" ca="1" si="7"/>
        <v>0.28834951456310698</v>
      </c>
      <c r="L49">
        <f t="shared" ca="1" si="7"/>
        <v>0.1795646916565902</v>
      </c>
      <c r="M49">
        <f t="shared" ca="1" si="7"/>
        <v>0.31836209668774806</v>
      </c>
      <c r="N49">
        <f t="shared" ca="1" si="7"/>
        <v>0.19076369709037197</v>
      </c>
      <c r="O49">
        <f t="shared" ca="1" si="7"/>
        <v>0.22974607013301082</v>
      </c>
      <c r="P49">
        <f t="shared" ca="1" si="7"/>
        <v>0.24407476395401109</v>
      </c>
      <c r="Q49">
        <f t="shared" ca="1" si="7"/>
        <v>0.29208301306687151</v>
      </c>
      <c r="R49">
        <f t="shared" ca="1" si="7"/>
        <v>0.56402660217654177</v>
      </c>
      <c r="S49">
        <f t="shared" ca="1" si="7"/>
        <v>0.40931076178960102</v>
      </c>
      <c r="T49">
        <f t="shared" ca="1" si="7"/>
        <v>0.43483846104438306</v>
      </c>
      <c r="V49" s="4">
        <f t="shared" si="5"/>
        <v>42058</v>
      </c>
      <c r="W49" s="5">
        <f t="shared" ca="1" si="4"/>
        <v>0.56402660217654177</v>
      </c>
      <c r="Z49" s="4" t="e">
        <f ca="1">IF(OFFSET('Calc Canada'!$A$1,0,0,300)="",MATCH("Error",AF49,0),OFFSET('Calc Canada'!$A$1,0,0,300))</f>
        <v>#N/A</v>
      </c>
      <c r="AA49" s="5" t="str">
        <f ca="1">IF(OFFSET('Calc Canada'!$A$1,0,MATCH(W$1,'Calc Canada'!$1:$1,0)-1,300)="","",OFFSET('Calc Canada'!$A$1,0,MATCH(W$1,'Calc Canada'!$1:$1,0)-1,300))</f>
        <v/>
      </c>
      <c r="AB49" s="5" t="str">
        <f ca="1">IF(OFFSET('Calc Canada'!$A$1,0,MATCH(X$1,'Calc Canada'!$1:$1,0)-1,300)="","",OFFSET('Calc Canada'!$A$1,0,MATCH(X$1,'Calc Canada'!$1:$1,0)-1,300))</f>
        <v/>
      </c>
      <c r="AC49" t="str">
        <f t="shared" ca="1" si="0"/>
        <v/>
      </c>
      <c r="AD49" t="str">
        <f t="shared" ca="1" si="1"/>
        <v/>
      </c>
    </row>
    <row r="50" spans="1:30" x14ac:dyDescent="0.25">
      <c r="A50" s="4">
        <v>42055</v>
      </c>
      <c r="B50">
        <v>0.77969999999999995</v>
      </c>
      <c r="C50" s="5">
        <v>0.90100000000000002</v>
      </c>
      <c r="D50">
        <v>1.1819999999999999</v>
      </c>
      <c r="E50">
        <v>1.4830000000000001</v>
      </c>
      <c r="F50">
        <v>1.869</v>
      </c>
      <c r="G50">
        <v>2.4769999999999999</v>
      </c>
      <c r="H50">
        <f t="shared" ca="1" si="7"/>
        <v>0.39954500213280231</v>
      </c>
      <c r="I50">
        <f t="shared" ca="1" si="7"/>
        <v>0.25796382998255751</v>
      </c>
      <c r="J50">
        <f t="shared" ca="1" si="7"/>
        <v>0.16555706121487065</v>
      </c>
      <c r="K50">
        <f t="shared" ca="1" si="7"/>
        <v>0.27632424492793545</v>
      </c>
      <c r="L50">
        <f t="shared" ca="1" si="7"/>
        <v>0.17734048194190785</v>
      </c>
      <c r="M50">
        <f t="shared" ca="1" si="7"/>
        <v>0.31095041322314065</v>
      </c>
      <c r="N50">
        <f t="shared" ca="1" si="7"/>
        <v>0.19098984771573616</v>
      </c>
      <c r="O50">
        <f t="shared" ca="1" si="7"/>
        <v>0.22742002003181519</v>
      </c>
      <c r="P50">
        <f t="shared" ca="1" si="7"/>
        <v>0.24492385786802026</v>
      </c>
      <c r="Q50">
        <f t="shared" ca="1" si="7"/>
        <v>0.29806949806949801</v>
      </c>
      <c r="R50">
        <f t="shared" ca="1" si="7"/>
        <v>0.57031756318859372</v>
      </c>
      <c r="S50">
        <f t="shared" ca="1" si="7"/>
        <v>0.40476050197372304</v>
      </c>
      <c r="T50">
        <f t="shared" ca="1" si="7"/>
        <v>0.43591370558375642</v>
      </c>
      <c r="V50" s="4">
        <f t="shared" si="5"/>
        <v>42055</v>
      </c>
      <c r="W50" s="5">
        <f t="shared" ca="1" si="4"/>
        <v>0.57031756318859372</v>
      </c>
      <c r="Z50" s="4" t="e">
        <f ca="1">IF(OFFSET('Calc Canada'!$A$1,0,0,300)="",MATCH("Error",AF50,0),OFFSET('Calc Canada'!$A$1,0,0,300))</f>
        <v>#N/A</v>
      </c>
      <c r="AA50" s="5" t="str">
        <f ca="1">IF(OFFSET('Calc Canada'!$A$1,0,MATCH(W$1,'Calc Canada'!$1:$1,0)-1,300)="","",OFFSET('Calc Canada'!$A$1,0,MATCH(W$1,'Calc Canada'!$1:$1,0)-1,300))</f>
        <v/>
      </c>
      <c r="AB50" s="5" t="str">
        <f ca="1">IF(OFFSET('Calc Canada'!$A$1,0,MATCH(X$1,'Calc Canada'!$1:$1,0)-1,300)="","",OFFSET('Calc Canada'!$A$1,0,MATCH(X$1,'Calc Canada'!$1:$1,0)-1,300))</f>
        <v/>
      </c>
      <c r="AC50" t="str">
        <f t="shared" ca="1" si="0"/>
        <v/>
      </c>
      <c r="AD50" t="str">
        <f t="shared" ca="1" si="1"/>
        <v/>
      </c>
    </row>
    <row r="51" spans="1:30" x14ac:dyDescent="0.25">
      <c r="A51" s="4">
        <v>42054</v>
      </c>
      <c r="B51">
        <v>0.81599999999999995</v>
      </c>
      <c r="C51" s="5">
        <v>0.93530000000000002</v>
      </c>
      <c r="D51">
        <v>1.238</v>
      </c>
      <c r="E51">
        <v>1.5375000000000001</v>
      </c>
      <c r="F51">
        <v>1.9159999999999999</v>
      </c>
      <c r="G51">
        <v>2.5220000000000002</v>
      </c>
      <c r="H51">
        <f t="shared" ca="1" si="7"/>
        <v>0.4195426195426194</v>
      </c>
      <c r="I51">
        <f t="shared" ca="1" si="7"/>
        <v>0.27518181818181814</v>
      </c>
      <c r="J51">
        <f t="shared" ca="1" si="7"/>
        <v>0.17743259085580299</v>
      </c>
      <c r="K51">
        <f t="shared" ca="1" si="7"/>
        <v>0.27227272727272733</v>
      </c>
      <c r="L51">
        <f t="shared" ca="1" si="7"/>
        <v>0.17555685814771396</v>
      </c>
      <c r="M51">
        <f t="shared" ca="1" si="7"/>
        <v>0.30539410625063745</v>
      </c>
      <c r="N51">
        <f t="shared" ca="1" si="7"/>
        <v>0.18875653872817802</v>
      </c>
      <c r="O51">
        <f t="shared" ca="1" si="7"/>
        <v>0.22186400937866338</v>
      </c>
      <c r="P51">
        <f t="shared" ca="1" si="7"/>
        <v>0.2385454087099009</v>
      </c>
      <c r="Q51">
        <f t="shared" ca="1" si="7"/>
        <v>0.29478193146417425</v>
      </c>
      <c r="R51">
        <f t="shared" ca="1" si="7"/>
        <v>0.57485345838218038</v>
      </c>
      <c r="S51">
        <f t="shared" ca="1" si="7"/>
        <v>0.39742086752637734</v>
      </c>
      <c r="T51">
        <f t="shared" ca="1" si="7"/>
        <v>0.42730194743807892</v>
      </c>
      <c r="V51" s="4">
        <f t="shared" si="5"/>
        <v>42054</v>
      </c>
      <c r="W51" s="5">
        <f t="shared" ca="1" si="4"/>
        <v>0.57485345838218038</v>
      </c>
      <c r="Z51" s="4" t="e">
        <f ca="1">IF(OFFSET('Calc Canada'!$A$1,0,0,300)="",MATCH("Error",AF51,0),OFFSET('Calc Canada'!$A$1,0,0,300))</f>
        <v>#N/A</v>
      </c>
      <c r="AA51" s="5" t="str">
        <f ca="1">IF(OFFSET('Calc Canada'!$A$1,0,MATCH(W$1,'Calc Canada'!$1:$1,0)-1,300)="","",OFFSET('Calc Canada'!$A$1,0,MATCH(W$1,'Calc Canada'!$1:$1,0)-1,300))</f>
        <v/>
      </c>
      <c r="AB51" s="5" t="str">
        <f ca="1">IF(OFFSET('Calc Canada'!$A$1,0,MATCH(X$1,'Calc Canada'!$1:$1,0)-1,300)="","",OFFSET('Calc Canada'!$A$1,0,MATCH(X$1,'Calc Canada'!$1:$1,0)-1,300))</f>
        <v/>
      </c>
      <c r="AC51" t="str">
        <f t="shared" ca="1" si="0"/>
        <v/>
      </c>
      <c r="AD51" t="str">
        <f t="shared" ca="1" si="1"/>
        <v/>
      </c>
    </row>
    <row r="52" spans="1:30" x14ac:dyDescent="0.25">
      <c r="A52" s="4">
        <v>42053</v>
      </c>
      <c r="B52">
        <v>0.80800000000000005</v>
      </c>
      <c r="C52" s="5">
        <v>0.92249999999999999</v>
      </c>
      <c r="D52">
        <v>1.2370000000000001</v>
      </c>
      <c r="E52">
        <v>1.5295000000000001</v>
      </c>
      <c r="F52">
        <v>1.9140000000000001</v>
      </c>
      <c r="G52">
        <v>2.536</v>
      </c>
      <c r="H52">
        <f t="shared" ca="1" si="7"/>
        <v>0.43589743589743601</v>
      </c>
      <c r="I52">
        <f t="shared" ca="1" si="7"/>
        <v>0.28435804701627493</v>
      </c>
      <c r="J52">
        <f t="shared" ca="1" si="7"/>
        <v>0.18200231481481488</v>
      </c>
      <c r="K52">
        <f t="shared" ca="1" si="7"/>
        <v>0.26446654611211567</v>
      </c>
      <c r="L52">
        <f t="shared" ca="1" si="7"/>
        <v>0.16927083333333331</v>
      </c>
      <c r="M52">
        <f t="shared" ca="1" si="7"/>
        <v>0.29500756429652036</v>
      </c>
      <c r="N52">
        <f t="shared" ca="1" si="7"/>
        <v>0.18128292531763246</v>
      </c>
      <c r="O52">
        <f t="shared" ca="1" si="7"/>
        <v>0.22251157407407413</v>
      </c>
      <c r="P52">
        <f t="shared" ca="1" si="7"/>
        <v>0.23830182832352031</v>
      </c>
      <c r="Q52">
        <f t="shared" ca="1" si="7"/>
        <v>0.29599692070823719</v>
      </c>
      <c r="R52">
        <f t="shared" ca="1" si="7"/>
        <v>0.57378472222222232</v>
      </c>
      <c r="S52">
        <f t="shared" ca="1" si="7"/>
        <v>0.39178240740740744</v>
      </c>
      <c r="T52">
        <f t="shared" ca="1" si="7"/>
        <v>0.41958475364115277</v>
      </c>
      <c r="V52" s="4">
        <f t="shared" si="5"/>
        <v>42053</v>
      </c>
      <c r="W52" s="5">
        <f t="shared" ca="1" si="4"/>
        <v>0.57378472222222232</v>
      </c>
      <c r="Z52" s="4" t="e">
        <f ca="1">IF(OFFSET('Calc Canada'!$A$1,0,0,300)="",MATCH("Error",AF52,0),OFFSET('Calc Canada'!$A$1,0,0,300))</f>
        <v>#N/A</v>
      </c>
      <c r="AA52" s="5" t="str">
        <f ca="1">IF(OFFSET('Calc Canada'!$A$1,0,MATCH(W$1,'Calc Canada'!$1:$1,0)-1,300)="","",OFFSET('Calc Canada'!$A$1,0,MATCH(W$1,'Calc Canada'!$1:$1,0)-1,300))</f>
        <v/>
      </c>
      <c r="AB52" s="5" t="str">
        <f ca="1">IF(OFFSET('Calc Canada'!$A$1,0,MATCH(X$1,'Calc Canada'!$1:$1,0)-1,300)="","",OFFSET('Calc Canada'!$A$1,0,MATCH(X$1,'Calc Canada'!$1:$1,0)-1,300))</f>
        <v/>
      </c>
      <c r="AC52" t="str">
        <f t="shared" ca="1" si="0"/>
        <v/>
      </c>
      <c r="AD52" t="str">
        <f t="shared" ca="1" si="1"/>
        <v/>
      </c>
    </row>
    <row r="53" spans="1:30" x14ac:dyDescent="0.25">
      <c r="A53" s="4">
        <v>42052</v>
      </c>
      <c r="B53">
        <v>0.83850000000000002</v>
      </c>
      <c r="C53" s="5">
        <v>0.95799999999999996</v>
      </c>
      <c r="D53">
        <v>1.2709999999999999</v>
      </c>
      <c r="E53">
        <v>1.5649999999999999</v>
      </c>
      <c r="F53">
        <v>1.9489999999999998</v>
      </c>
      <c r="G53">
        <v>2.5460000000000003</v>
      </c>
      <c r="H53">
        <f t="shared" ca="1" si="7"/>
        <v>0.43083275980729524</v>
      </c>
      <c r="I53">
        <f t="shared" ca="1" si="7"/>
        <v>0.28185502026114362</v>
      </c>
      <c r="J53">
        <f t="shared" ca="1" si="7"/>
        <v>0.1833089311859443</v>
      </c>
      <c r="K53">
        <f t="shared" ca="1" si="7"/>
        <v>0.26474561008554715</v>
      </c>
      <c r="L53">
        <f t="shared" ca="1" si="7"/>
        <v>0.17218155197657395</v>
      </c>
      <c r="M53">
        <f t="shared" ca="1" si="7"/>
        <v>0.29667003027245215</v>
      </c>
      <c r="N53">
        <f t="shared" ca="1" si="7"/>
        <v>0.18513853904282115</v>
      </c>
      <c r="O53">
        <f t="shared" ca="1" si="7"/>
        <v>0.22489019033674953</v>
      </c>
      <c r="P53">
        <f t="shared" ca="1" si="7"/>
        <v>0.24181360201511323</v>
      </c>
      <c r="Q53">
        <f t="shared" ca="1" si="7"/>
        <v>0.30117647058823516</v>
      </c>
      <c r="R53">
        <f t="shared" ca="1" si="7"/>
        <v>0.58038067349926781</v>
      </c>
      <c r="S53">
        <f t="shared" ca="1" si="7"/>
        <v>0.39707174231332348</v>
      </c>
      <c r="T53">
        <f t="shared" ca="1" si="7"/>
        <v>0.42695214105793439</v>
      </c>
      <c r="V53" s="4">
        <f t="shared" si="5"/>
        <v>42052</v>
      </c>
      <c r="W53" s="5">
        <f t="shared" ca="1" si="4"/>
        <v>0.58038067349926781</v>
      </c>
      <c r="Z53" s="4" t="e">
        <f ca="1">IF(OFFSET('Calc Canada'!$A$1,0,0,300)="",MATCH("Error",AF53,0),OFFSET('Calc Canada'!$A$1,0,0,300))</f>
        <v>#N/A</v>
      </c>
      <c r="AA53" s="5" t="str">
        <f ca="1">IF(OFFSET('Calc Canada'!$A$1,0,MATCH(W$1,'Calc Canada'!$1:$1,0)-1,300)="","",OFFSET('Calc Canada'!$A$1,0,MATCH(W$1,'Calc Canada'!$1:$1,0)-1,300))</f>
        <v/>
      </c>
      <c r="AB53" s="5" t="str">
        <f ca="1">IF(OFFSET('Calc Canada'!$A$1,0,MATCH(X$1,'Calc Canada'!$1:$1,0)-1,300)="","",OFFSET('Calc Canada'!$A$1,0,MATCH(X$1,'Calc Canada'!$1:$1,0)-1,300))</f>
        <v/>
      </c>
      <c r="AC53" t="str">
        <f t="shared" ca="1" si="0"/>
        <v/>
      </c>
      <c r="AD53" t="str">
        <f t="shared" ca="1" si="1"/>
        <v/>
      </c>
    </row>
    <row r="54" spans="1:30" x14ac:dyDescent="0.25">
      <c r="A54" s="4">
        <v>42051</v>
      </c>
      <c r="B54">
        <v>0.81179999999999997</v>
      </c>
      <c r="C54" s="5">
        <v>0.92100000000000004</v>
      </c>
      <c r="D54">
        <v>1.2030000000000001</v>
      </c>
      <c r="E54">
        <v>1.494</v>
      </c>
      <c r="F54">
        <v>1.8733</v>
      </c>
      <c r="G54">
        <v>2.4845000000000002</v>
      </c>
      <c r="H54">
        <f t="shared" ca="1" si="7"/>
        <v>0.41336851363236587</v>
      </c>
      <c r="I54">
        <f t="shared" ca="1" si="7"/>
        <v>0.26566179934055584</v>
      </c>
      <c r="J54">
        <f t="shared" ca="1" si="7"/>
        <v>0.16858970526693368</v>
      </c>
      <c r="K54">
        <f t="shared" ca="1" si="7"/>
        <v>0.274140367404616</v>
      </c>
      <c r="L54">
        <f t="shared" ca="1" si="7"/>
        <v>0.17397022777545279</v>
      </c>
      <c r="M54">
        <f t="shared" ca="1" si="7"/>
        <v>0.30557597395778635</v>
      </c>
      <c r="N54">
        <f t="shared" ca="1" si="7"/>
        <v>0.18612088263511348</v>
      </c>
      <c r="O54">
        <f t="shared" ca="1" si="7"/>
        <v>0.22675913194236857</v>
      </c>
      <c r="P54">
        <f t="shared" ca="1" si="7"/>
        <v>0.24259673808762389</v>
      </c>
      <c r="Q54">
        <f t="shared" ca="1" si="7"/>
        <v>0.29598127194693713</v>
      </c>
      <c r="R54">
        <f t="shared" ca="1" si="7"/>
        <v>0.56931906498475504</v>
      </c>
      <c r="S54">
        <f t="shared" ca="1" si="7"/>
        <v>0.40072935971782137</v>
      </c>
      <c r="T54">
        <f t="shared" ca="1" si="7"/>
        <v>0.42871762072273734</v>
      </c>
      <c r="V54" s="4">
        <f t="shared" si="5"/>
        <v>42051</v>
      </c>
      <c r="W54" s="5">
        <f t="shared" ca="1" si="4"/>
        <v>0.56931906498475504</v>
      </c>
      <c r="Z54" s="4" t="e">
        <f ca="1">IF(OFFSET('Calc Canada'!$A$1,0,0,300)="",MATCH("Error",AF54,0),OFFSET('Calc Canada'!$A$1,0,0,300))</f>
        <v>#N/A</v>
      </c>
      <c r="AA54" s="5" t="str">
        <f ca="1">IF(OFFSET('Calc Canada'!$A$1,0,MATCH(W$1,'Calc Canada'!$1:$1,0)-1,300)="","",OFFSET('Calc Canada'!$A$1,0,MATCH(W$1,'Calc Canada'!$1:$1,0)-1,300))</f>
        <v/>
      </c>
      <c r="AB54" s="5" t="str">
        <f ca="1">IF(OFFSET('Calc Canada'!$A$1,0,MATCH(X$1,'Calc Canada'!$1:$1,0)-1,300)="","",OFFSET('Calc Canada'!$A$1,0,MATCH(X$1,'Calc Canada'!$1:$1,0)-1,300))</f>
        <v/>
      </c>
      <c r="AC54" t="str">
        <f t="shared" ca="1" si="0"/>
        <v/>
      </c>
      <c r="AD54" t="str">
        <f t="shared" ca="1" si="1"/>
        <v/>
      </c>
    </row>
    <row r="55" spans="1:30" x14ac:dyDescent="0.25">
      <c r="A55" s="4">
        <v>42048</v>
      </c>
      <c r="B55">
        <v>0.81179999999999997</v>
      </c>
      <c r="C55" s="5">
        <v>0.91800000000000004</v>
      </c>
      <c r="D55">
        <v>1.2081999999999999</v>
      </c>
      <c r="E55">
        <v>1.494</v>
      </c>
      <c r="F55">
        <v>1.8733</v>
      </c>
      <c r="G55">
        <v>2.4845000000000002</v>
      </c>
      <c r="H55">
        <f t="shared" ca="1" si="7"/>
        <v>0.42538844913515084</v>
      </c>
      <c r="I55">
        <f t="shared" ca="1" si="7"/>
        <v>0.27338671691003286</v>
      </c>
      <c r="J55">
        <f t="shared" ca="1" si="7"/>
        <v>0.17349195910802884</v>
      </c>
      <c r="K55">
        <f t="shared" ca="1" si="7"/>
        <v>0.26924163918982574</v>
      </c>
      <c r="L55">
        <f t="shared" ca="1" si="7"/>
        <v>0.17086148143719734</v>
      </c>
      <c r="M55">
        <f t="shared" ca="1" si="7"/>
        <v>0.29917303464880152</v>
      </c>
      <c r="N55">
        <f t="shared" ca="1" si="7"/>
        <v>0.18244494095116506</v>
      </c>
      <c r="O55">
        <f t="shared" ca="1" si="7"/>
        <v>0.22675913194236857</v>
      </c>
      <c r="P55">
        <f t="shared" ca="1" si="7"/>
        <v>0.24213214171720393</v>
      </c>
      <c r="Q55">
        <f t="shared" ca="1" si="7"/>
        <v>0.29718718169709307</v>
      </c>
      <c r="R55">
        <f t="shared" ca="1" si="7"/>
        <v>0.57111257248759473</v>
      </c>
      <c r="S55">
        <f t="shared" ca="1" si="7"/>
        <v>0.39762061337956589</v>
      </c>
      <c r="T55">
        <f t="shared" ca="1" si="7"/>
        <v>0.42457708266836897</v>
      </c>
      <c r="V55" s="4">
        <f t="shared" si="5"/>
        <v>42048</v>
      </c>
      <c r="W55" s="5">
        <f t="shared" ca="1" si="4"/>
        <v>0.57111257248759473</v>
      </c>
      <c r="Z55" s="4" t="e">
        <f ca="1">IF(OFFSET('Calc Canada'!$A$1,0,0,300)="",MATCH("Error",AF55,0),OFFSET('Calc Canada'!$A$1,0,0,300))</f>
        <v>#N/A</v>
      </c>
      <c r="AA55" s="5" t="str">
        <f ca="1">IF(OFFSET('Calc Canada'!$A$1,0,MATCH(W$1,'Calc Canada'!$1:$1,0)-1,300)="","",OFFSET('Calc Canada'!$A$1,0,MATCH(W$1,'Calc Canada'!$1:$1,0)-1,300))</f>
        <v/>
      </c>
      <c r="AB55" s="5" t="str">
        <f ca="1">IF(OFFSET('Calc Canada'!$A$1,0,MATCH(X$1,'Calc Canada'!$1:$1,0)-1,300)="","",OFFSET('Calc Canada'!$A$1,0,MATCH(X$1,'Calc Canada'!$1:$1,0)-1,300))</f>
        <v/>
      </c>
      <c r="AC55" t="str">
        <f t="shared" ca="1" si="0"/>
        <v/>
      </c>
      <c r="AD55" t="str">
        <f t="shared" ca="1" si="1"/>
        <v/>
      </c>
    </row>
    <row r="56" spans="1:30" x14ac:dyDescent="0.25">
      <c r="A56" s="4">
        <v>42047</v>
      </c>
      <c r="B56">
        <v>0.80320000000000003</v>
      </c>
      <c r="C56" s="5">
        <v>0.90949999999999998</v>
      </c>
      <c r="D56">
        <v>1.1735</v>
      </c>
      <c r="E56">
        <v>1.462</v>
      </c>
      <c r="F56">
        <v>1.8378000000000001</v>
      </c>
      <c r="G56">
        <v>2.4502999999999999</v>
      </c>
      <c r="H56">
        <f t="shared" ca="1" si="7"/>
        <v>0.40072859744990896</v>
      </c>
      <c r="I56">
        <f t="shared" ca="1" si="7"/>
        <v>0.25517108061086408</v>
      </c>
      <c r="J56">
        <f t="shared" ca="1" si="7"/>
        <v>0.16028170724303323</v>
      </c>
      <c r="K56">
        <f t="shared" ca="1" si="7"/>
        <v>0.27885173013725106</v>
      </c>
      <c r="L56">
        <f t="shared" ca="1" si="7"/>
        <v>0.17515633537732983</v>
      </c>
      <c r="M56">
        <f t="shared" ca="1" si="7"/>
        <v>0.31078315199827633</v>
      </c>
      <c r="N56">
        <f t="shared" ca="1" si="7"/>
        <v>0.18724039460020767</v>
      </c>
      <c r="O56">
        <f t="shared" ca="1" si="7"/>
        <v>0.22815858174974205</v>
      </c>
      <c r="P56">
        <f t="shared" ca="1" si="7"/>
        <v>0.24389927310488069</v>
      </c>
      <c r="Q56">
        <f t="shared" ca="1" si="7"/>
        <v>0.29432957393483722</v>
      </c>
      <c r="R56">
        <f t="shared" ca="1" si="7"/>
        <v>0.56359662437010516</v>
      </c>
      <c r="S56">
        <f t="shared" ca="1" si="7"/>
        <v>0.4033149171270719</v>
      </c>
      <c r="T56">
        <f t="shared" ca="1" si="7"/>
        <v>0.43113966770508838</v>
      </c>
      <c r="V56" s="4">
        <f t="shared" si="5"/>
        <v>42047</v>
      </c>
      <c r="W56" s="5">
        <f t="shared" ca="1" si="4"/>
        <v>0.56359662437010516</v>
      </c>
      <c r="Z56" s="4" t="e">
        <f ca="1">IF(OFFSET('Calc Canada'!$A$1,0,0,300)="",MATCH("Error",AF56,0),OFFSET('Calc Canada'!$A$1,0,0,300))</f>
        <v>#N/A</v>
      </c>
      <c r="AA56" s="5" t="str">
        <f ca="1">IF(OFFSET('Calc Canada'!$A$1,0,MATCH(W$1,'Calc Canada'!$1:$1,0)-1,300)="","",OFFSET('Calc Canada'!$A$1,0,MATCH(W$1,'Calc Canada'!$1:$1,0)-1,300))</f>
        <v/>
      </c>
      <c r="AB56" s="5" t="str">
        <f ca="1">IF(OFFSET('Calc Canada'!$A$1,0,MATCH(X$1,'Calc Canada'!$1:$1,0)-1,300)="","",OFFSET('Calc Canada'!$A$1,0,MATCH(X$1,'Calc Canada'!$1:$1,0)-1,300))</f>
        <v/>
      </c>
      <c r="AC56" t="str">
        <f t="shared" ca="1" si="0"/>
        <v/>
      </c>
      <c r="AD56" t="str">
        <f t="shared" ca="1" si="1"/>
        <v/>
      </c>
    </row>
    <row r="57" spans="1:30" x14ac:dyDescent="0.25">
      <c r="A57" s="4">
        <v>42046</v>
      </c>
      <c r="B57">
        <v>0.82150000000000001</v>
      </c>
      <c r="C57" s="5">
        <v>0.92800000000000005</v>
      </c>
      <c r="D57">
        <v>1.22</v>
      </c>
      <c r="E57">
        <v>1.51</v>
      </c>
      <c r="F57">
        <v>1.885</v>
      </c>
      <c r="G57">
        <v>2.4699</v>
      </c>
      <c r="H57">
        <f t="shared" ca="1" si="7"/>
        <v>0.42411038489469849</v>
      </c>
      <c r="I57">
        <f t="shared" ca="1" si="7"/>
        <v>0.27456511518570753</v>
      </c>
      <c r="J57">
        <f t="shared" ca="1" si="7"/>
        <v>0.1771414705168648</v>
      </c>
      <c r="K57">
        <f t="shared" ca="1" si="7"/>
        <v>0.27268453220498362</v>
      </c>
      <c r="L57">
        <f t="shared" ca="1" si="7"/>
        <v>0.17592817277359865</v>
      </c>
      <c r="M57">
        <f t="shared" ca="1" si="7"/>
        <v>0.30303030303030309</v>
      </c>
      <c r="N57">
        <f t="shared" ca="1" si="7"/>
        <v>0.18807964200012972</v>
      </c>
      <c r="O57">
        <f t="shared" ca="1" si="7"/>
        <v>0.22749332686241203</v>
      </c>
      <c r="P57">
        <f t="shared" ca="1" si="7"/>
        <v>0.24320643362085737</v>
      </c>
      <c r="Q57">
        <f t="shared" ca="1" si="7"/>
        <v>0.3000240019201536</v>
      </c>
      <c r="R57">
        <f t="shared" ca="1" si="7"/>
        <v>0.5805629701528755</v>
      </c>
      <c r="S57">
        <f t="shared" ca="1" si="7"/>
        <v>0.40342149963601065</v>
      </c>
      <c r="T57">
        <f t="shared" ca="1" si="7"/>
        <v>0.43128607562098709</v>
      </c>
      <c r="V57" s="4">
        <f t="shared" si="5"/>
        <v>42046</v>
      </c>
      <c r="W57" s="5">
        <f t="shared" ca="1" si="4"/>
        <v>0.5805629701528755</v>
      </c>
      <c r="Z57" s="4" t="e">
        <f ca="1">IF(OFFSET('Calc Canada'!$A$1,0,0,300)="",MATCH("Error",AF57,0),OFFSET('Calc Canada'!$A$1,0,0,300))</f>
        <v>#N/A</v>
      </c>
      <c r="AA57" s="5" t="str">
        <f ca="1">IF(OFFSET('Calc Canada'!$A$1,0,MATCH(W$1,'Calc Canada'!$1:$1,0)-1,300)="","",OFFSET('Calc Canada'!$A$1,0,MATCH(W$1,'Calc Canada'!$1:$1,0)-1,300))</f>
        <v/>
      </c>
      <c r="AB57" s="5" t="str">
        <f ca="1">IF(OFFSET('Calc Canada'!$A$1,0,MATCH(X$1,'Calc Canada'!$1:$1,0)-1,300)="","",OFFSET('Calc Canada'!$A$1,0,MATCH(X$1,'Calc Canada'!$1:$1,0)-1,300))</f>
        <v/>
      </c>
      <c r="AC57" t="str">
        <f t="shared" ca="1" si="0"/>
        <v/>
      </c>
      <c r="AD57" t="str">
        <f t="shared" ca="1" si="1"/>
        <v/>
      </c>
    </row>
    <row r="58" spans="1:30" x14ac:dyDescent="0.25">
      <c r="A58" s="4">
        <v>42045</v>
      </c>
      <c r="B58">
        <v>0.80810000000000004</v>
      </c>
      <c r="C58" s="5">
        <v>0.91049999999999998</v>
      </c>
      <c r="D58">
        <v>1.1830000000000001</v>
      </c>
      <c r="E58">
        <v>1.4689999999999999</v>
      </c>
      <c r="F58">
        <v>1.8460000000000001</v>
      </c>
      <c r="G58">
        <v>2.4409999999999998</v>
      </c>
      <c r="H58">
        <f t="shared" ca="1" si="7"/>
        <v>0.41231653805416879</v>
      </c>
      <c r="I58">
        <f t="shared" ca="1" si="7"/>
        <v>0.26254937855284716</v>
      </c>
      <c r="J58">
        <f t="shared" ca="1" si="7"/>
        <v>0.16688100924735141</v>
      </c>
      <c r="K58">
        <f t="shared" ca="1" si="7"/>
        <v>0.27555641198574027</v>
      </c>
      <c r="L58">
        <f t="shared" ca="1" si="7"/>
        <v>0.17514850878804572</v>
      </c>
      <c r="M58">
        <f t="shared" ca="1" si="7"/>
        <v>0.30571886691608741</v>
      </c>
      <c r="N58">
        <f t="shared" ca="1" si="7"/>
        <v>0.1868670369160404</v>
      </c>
      <c r="O58">
        <f t="shared" ca="1" si="7"/>
        <v>0.23087757976606055</v>
      </c>
      <c r="P58">
        <f t="shared" ca="1" si="7"/>
        <v>0.24632473048023537</v>
      </c>
      <c r="Q58">
        <f t="shared" ca="1" si="7"/>
        <v>0.29968203497615287</v>
      </c>
      <c r="R58">
        <f t="shared" ca="1" si="7"/>
        <v>0.57290709780145765</v>
      </c>
      <c r="S58">
        <f t="shared" ca="1" si="7"/>
        <v>0.40602608855410627</v>
      </c>
      <c r="T58">
        <f t="shared" ca="1" si="7"/>
        <v>0.43319176739627574</v>
      </c>
      <c r="V58" s="4">
        <f t="shared" si="5"/>
        <v>42045</v>
      </c>
      <c r="W58" s="5">
        <f t="shared" ca="1" si="4"/>
        <v>0.57290709780145765</v>
      </c>
      <c r="Z58" s="4" t="e">
        <f ca="1">IF(OFFSET('Calc Canada'!$A$1,0,0,300)="",MATCH("Error",AF58,0),OFFSET('Calc Canada'!$A$1,0,0,300))</f>
        <v>#N/A</v>
      </c>
      <c r="AA58" s="5" t="str">
        <f ca="1">IF(OFFSET('Calc Canada'!$A$1,0,MATCH(W$1,'Calc Canada'!$1:$1,0)-1,300)="","",OFFSET('Calc Canada'!$A$1,0,MATCH(W$1,'Calc Canada'!$1:$1,0)-1,300))</f>
        <v/>
      </c>
      <c r="AB58" s="5" t="str">
        <f ca="1">IF(OFFSET('Calc Canada'!$A$1,0,MATCH(X$1,'Calc Canada'!$1:$1,0)-1,300)="","",OFFSET('Calc Canada'!$A$1,0,MATCH(X$1,'Calc Canada'!$1:$1,0)-1,300))</f>
        <v/>
      </c>
      <c r="AC58" t="str">
        <f t="shared" ca="1" si="0"/>
        <v/>
      </c>
      <c r="AD58" t="str">
        <f t="shared" ca="1" si="1"/>
        <v/>
      </c>
    </row>
    <row r="59" spans="1:30" x14ac:dyDescent="0.25">
      <c r="A59" s="4">
        <v>42044</v>
      </c>
      <c r="B59">
        <v>0.87129999999999996</v>
      </c>
      <c r="C59" s="5">
        <v>0.96099999999999997</v>
      </c>
      <c r="D59">
        <v>1.2110000000000001</v>
      </c>
      <c r="E59">
        <v>1.4855</v>
      </c>
      <c r="F59">
        <v>1.847</v>
      </c>
      <c r="G59">
        <v>2.4148999999999998</v>
      </c>
      <c r="H59">
        <f t="shared" ca="1" si="7"/>
        <v>0.40703353956366017</v>
      </c>
      <c r="I59">
        <f t="shared" ca="1" si="7"/>
        <v>0.2562262990673364</v>
      </c>
      <c r="J59">
        <f t="shared" ca="1" si="7"/>
        <v>0.16195905675045358</v>
      </c>
      <c r="K59">
        <f t="shared" ca="1" si="7"/>
        <v>0.28133647637593517</v>
      </c>
      <c r="L59">
        <f t="shared" ca="1" si="7"/>
        <v>0.17783104431199792</v>
      </c>
      <c r="M59">
        <f t="shared" ca="1" si="7"/>
        <v>0.30981941309255073</v>
      </c>
      <c r="N59">
        <f t="shared" ca="1" si="7"/>
        <v>0.1888025311231859</v>
      </c>
      <c r="O59">
        <f t="shared" ca="1" si="7"/>
        <v>0.23419279606115573</v>
      </c>
      <c r="P59">
        <f t="shared" ca="1" si="7"/>
        <v>0.24864158470321202</v>
      </c>
      <c r="Q59">
        <f t="shared" ca="1" si="7"/>
        <v>0.30027410914527786</v>
      </c>
      <c r="R59">
        <f t="shared" ca="1" si="7"/>
        <v>0.57398289712360717</v>
      </c>
      <c r="S59">
        <f t="shared" ca="1" si="7"/>
        <v>0.41202384037315365</v>
      </c>
      <c r="T59">
        <f t="shared" ca="1" si="7"/>
        <v>0.43744411582639792</v>
      </c>
      <c r="V59" s="4">
        <f t="shared" si="5"/>
        <v>42044</v>
      </c>
      <c r="W59" s="5">
        <f t="shared" ca="1" si="4"/>
        <v>0.57398289712360717</v>
      </c>
      <c r="Z59" s="4" t="e">
        <f ca="1">IF(OFFSET('Calc Canada'!$A$1,0,0,300)="",MATCH("Error",AF59,0),OFFSET('Calc Canada'!$A$1,0,0,300))</f>
        <v>#N/A</v>
      </c>
      <c r="AA59" s="5" t="str">
        <f ca="1">IF(OFFSET('Calc Canada'!$A$1,0,MATCH(W$1,'Calc Canada'!$1:$1,0)-1,300)="","",OFFSET('Calc Canada'!$A$1,0,MATCH(W$1,'Calc Canada'!$1:$1,0)-1,300))</f>
        <v/>
      </c>
      <c r="AB59" s="5" t="str">
        <f ca="1">IF(OFFSET('Calc Canada'!$A$1,0,MATCH(X$1,'Calc Canada'!$1:$1,0)-1,300)="","",OFFSET('Calc Canada'!$A$1,0,MATCH(X$1,'Calc Canada'!$1:$1,0)-1,300))</f>
        <v/>
      </c>
      <c r="AC59" t="str">
        <f t="shared" ca="1" si="0"/>
        <v/>
      </c>
      <c r="AD59" t="str">
        <f t="shared" ca="1" si="1"/>
        <v/>
      </c>
    </row>
    <row r="60" spans="1:30" x14ac:dyDescent="0.25">
      <c r="A60" s="4">
        <v>42041</v>
      </c>
      <c r="B60">
        <v>0.88639999999999997</v>
      </c>
      <c r="C60" s="5">
        <v>0.98599999999999999</v>
      </c>
      <c r="D60">
        <v>1.2349999999999999</v>
      </c>
      <c r="E60">
        <v>1.51</v>
      </c>
      <c r="F60">
        <v>1.87</v>
      </c>
      <c r="G60">
        <v>2.42</v>
      </c>
      <c r="H60">
        <f t="shared" ca="1" si="7"/>
        <v>0.39929441949967909</v>
      </c>
      <c r="I60">
        <f t="shared" ca="1" si="7"/>
        <v>0.25315168767791768</v>
      </c>
      <c r="J60">
        <f t="shared" ca="1" si="7"/>
        <v>0.16236306729264471</v>
      </c>
      <c r="K60">
        <f t="shared" ca="1" si="7"/>
        <v>0.27958519723464831</v>
      </c>
      <c r="L60">
        <f t="shared" ca="1" si="7"/>
        <v>0.17931664058424632</v>
      </c>
      <c r="M60">
        <f t="shared" ca="1" si="7"/>
        <v>0.31108597285067885</v>
      </c>
      <c r="N60">
        <f t="shared" ca="1" si="7"/>
        <v>0.19177126917712703</v>
      </c>
      <c r="O60">
        <f t="shared" ca="1" si="7"/>
        <v>0.23474178403755877</v>
      </c>
      <c r="P60">
        <f t="shared" ca="1" si="7"/>
        <v>0.25104602510460261</v>
      </c>
      <c r="Q60">
        <f t="shared" ca="1" si="7"/>
        <v>0.30379746835443044</v>
      </c>
      <c r="R60">
        <f t="shared" ca="1" si="7"/>
        <v>0.5764214919144498</v>
      </c>
      <c r="S60">
        <f t="shared" ca="1" si="7"/>
        <v>0.41405842462180509</v>
      </c>
      <c r="T60">
        <f t="shared" ca="1" si="7"/>
        <v>0.44281729428172961</v>
      </c>
      <c r="V60" s="4">
        <f t="shared" si="5"/>
        <v>42041</v>
      </c>
      <c r="W60" s="5">
        <f t="shared" ca="1" si="4"/>
        <v>0.5764214919144498</v>
      </c>
      <c r="Z60" s="4" t="e">
        <f ca="1">IF(OFFSET('Calc Canada'!$A$1,0,0,300)="",MATCH("Error",AF60,0),OFFSET('Calc Canada'!$A$1,0,0,300))</f>
        <v>#N/A</v>
      </c>
      <c r="AA60" s="5" t="str">
        <f ca="1">IF(OFFSET('Calc Canada'!$A$1,0,MATCH(W$1,'Calc Canada'!$1:$1,0)-1,300)="","",OFFSET('Calc Canada'!$A$1,0,MATCH(W$1,'Calc Canada'!$1:$1,0)-1,300))</f>
        <v/>
      </c>
      <c r="AB60" s="5" t="str">
        <f ca="1">IF(OFFSET('Calc Canada'!$A$1,0,MATCH(X$1,'Calc Canada'!$1:$1,0)-1,300)="","",OFFSET('Calc Canada'!$A$1,0,MATCH(X$1,'Calc Canada'!$1:$1,0)-1,300))</f>
        <v/>
      </c>
      <c r="AC60" t="str">
        <f t="shared" ca="1" si="0"/>
        <v/>
      </c>
      <c r="AD60" t="str">
        <f t="shared" ca="1" si="1"/>
        <v/>
      </c>
    </row>
    <row r="61" spans="1:30" x14ac:dyDescent="0.25">
      <c r="A61" s="4">
        <v>42040</v>
      </c>
      <c r="B61">
        <v>0.8276</v>
      </c>
      <c r="C61" s="5">
        <v>0.91049999999999998</v>
      </c>
      <c r="D61">
        <v>1.1565000000000001</v>
      </c>
      <c r="E61">
        <v>1.425</v>
      </c>
      <c r="F61">
        <v>1.7909999999999999</v>
      </c>
      <c r="G61">
        <v>2.3454999999999999</v>
      </c>
      <c r="H61">
        <f t="shared" ref="H61:T76" ca="1" si="8">IF(ISERROR(ABS(OFFSET($A$11,ROW()-11,MATCH(LEFT(H$9,2),$A$11:$G$11,0)-1)-OFFSET($A$11,ROW()-11,MATCH(RIGHT(H$9,2),$A$11:$G$11,0)-1))/ABS(OFFSET($A$11,ROW()-11,MATCH(LEFT(H$10,2),$A$11:$G$11,0)-1)-OFFSET($A$11,ROW()-11,MATCH(RIGHT(H$10,2),$A$11:$G$11,0)-1))),"",ABS(OFFSET($A$11,ROW()-11,MATCH(LEFT(H$9,2),$A$11:$G$11,0)-1)-OFFSET($A$11,ROW()-11,MATCH(RIGHT(H$9,2),$A$11:$G$11,0)-1))/ABS(OFFSET($A$11,ROW()-11,MATCH(LEFT(H$10,2),$A$11:$G$11,0)-1)-OFFSET($A$11,ROW()-11,MATCH(RIGHT(H$10,2),$A$11:$G$11,0)-1)))</f>
        <v>0.41178439906260478</v>
      </c>
      <c r="I61">
        <f t="shared" ca="1" si="8"/>
        <v>0.25534565082001259</v>
      </c>
      <c r="J61">
        <f t="shared" ca="1" si="8"/>
        <v>0.16206601225377174</v>
      </c>
      <c r="K61">
        <f t="shared" ca="1" si="8"/>
        <v>0.2787004359559892</v>
      </c>
      <c r="L61">
        <f t="shared" ca="1" si="8"/>
        <v>0.17688912313064098</v>
      </c>
      <c r="M61">
        <f t="shared" ca="1" si="8"/>
        <v>0.30494037478705277</v>
      </c>
      <c r="N61">
        <f t="shared" ca="1" si="8"/>
        <v>0.18710801393728219</v>
      </c>
      <c r="O61">
        <f t="shared" ca="1" si="8"/>
        <v>0.24112260359707482</v>
      </c>
      <c r="P61">
        <f t="shared" ca="1" si="8"/>
        <v>0.25505226480836229</v>
      </c>
      <c r="Q61">
        <f t="shared" ca="1" si="8"/>
        <v>0.30782169890664418</v>
      </c>
      <c r="R61">
        <f t="shared" ca="1" si="8"/>
        <v>0.58007773898148751</v>
      </c>
      <c r="S61">
        <f t="shared" ca="1" si="8"/>
        <v>0.4180117267277158</v>
      </c>
      <c r="T61">
        <f t="shared" ca="1" si="8"/>
        <v>0.44216027874564445</v>
      </c>
      <c r="V61" s="4">
        <f t="shared" si="5"/>
        <v>42040</v>
      </c>
      <c r="W61" s="5">
        <f t="shared" ca="1" si="4"/>
        <v>0.58007773898148751</v>
      </c>
      <c r="Z61" s="4" t="e">
        <f ca="1">IF(OFFSET('Calc Canada'!$A$1,0,0,300)="",MATCH("Error",AF61,0),OFFSET('Calc Canada'!$A$1,0,0,300))</f>
        <v>#N/A</v>
      </c>
      <c r="AA61" s="5" t="str">
        <f ca="1">IF(OFFSET('Calc Canada'!$A$1,0,MATCH(W$1,'Calc Canada'!$1:$1,0)-1,300)="","",OFFSET('Calc Canada'!$A$1,0,MATCH(W$1,'Calc Canada'!$1:$1,0)-1,300))</f>
        <v/>
      </c>
      <c r="AB61" s="5" t="str">
        <f ca="1">IF(OFFSET('Calc Canada'!$A$1,0,MATCH(X$1,'Calc Canada'!$1:$1,0)-1,300)="","",OFFSET('Calc Canada'!$A$1,0,MATCH(X$1,'Calc Canada'!$1:$1,0)-1,300))</f>
        <v/>
      </c>
      <c r="AC61" t="str">
        <f t="shared" ca="1" si="0"/>
        <v/>
      </c>
      <c r="AD61" t="str">
        <f t="shared" ca="1" si="1"/>
        <v/>
      </c>
    </row>
    <row r="62" spans="1:30" x14ac:dyDescent="0.25">
      <c r="A62" s="4">
        <v>42039</v>
      </c>
      <c r="B62">
        <v>0.78949999999999998</v>
      </c>
      <c r="C62" s="5">
        <v>0.86219999999999997</v>
      </c>
      <c r="D62">
        <v>1.0620000000000001</v>
      </c>
      <c r="E62">
        <v>1.3336000000000001</v>
      </c>
      <c r="F62">
        <v>1.6919</v>
      </c>
      <c r="G62">
        <v>2.2509999999999999</v>
      </c>
      <c r="H62">
        <f t="shared" ca="1" si="8"/>
        <v>0.36721190957544575</v>
      </c>
      <c r="I62">
        <f t="shared" ca="1" si="8"/>
        <v>0.22140957446808521</v>
      </c>
      <c r="J62">
        <f t="shared" ca="1" si="8"/>
        <v>0.13670886075949373</v>
      </c>
      <c r="K62">
        <f t="shared" ca="1" si="8"/>
        <v>0.30097517730496459</v>
      </c>
      <c r="L62">
        <f t="shared" ca="1" si="8"/>
        <v>0.18583646938077322</v>
      </c>
      <c r="M62">
        <f t="shared" ca="1" si="8"/>
        <v>0.32734723393997839</v>
      </c>
      <c r="N62">
        <f t="shared" ca="1" si="8"/>
        <v>0.19556451612903233</v>
      </c>
      <c r="O62">
        <f t="shared" ca="1" si="8"/>
        <v>0.24515908313376655</v>
      </c>
      <c r="P62">
        <f t="shared" ca="1" si="8"/>
        <v>0.25799251152073727</v>
      </c>
      <c r="Q62">
        <f t="shared" ca="1" si="8"/>
        <v>0.30134566862910001</v>
      </c>
      <c r="R62">
        <f t="shared" ca="1" si="8"/>
        <v>0.56770441327403354</v>
      </c>
      <c r="S62">
        <f t="shared" ca="1" si="8"/>
        <v>0.4309955525145398</v>
      </c>
      <c r="T62">
        <f t="shared" ca="1" si="8"/>
        <v>0.45355702764976957</v>
      </c>
      <c r="V62" s="4">
        <f t="shared" si="5"/>
        <v>42039</v>
      </c>
      <c r="W62" s="5">
        <f t="shared" ca="1" si="4"/>
        <v>0.56770441327403354</v>
      </c>
      <c r="Z62" s="4" t="e">
        <f ca="1">IF(OFFSET('Calc Canada'!$A$1,0,0,300)="",MATCH("Error",AF62,0),OFFSET('Calc Canada'!$A$1,0,0,300))</f>
        <v>#N/A</v>
      </c>
      <c r="AA62" s="5" t="str">
        <f ca="1">IF(OFFSET('Calc Canada'!$A$1,0,MATCH(W$1,'Calc Canada'!$1:$1,0)-1,300)="","",OFFSET('Calc Canada'!$A$1,0,MATCH(W$1,'Calc Canada'!$1:$1,0)-1,300))</f>
        <v/>
      </c>
      <c r="AB62" s="5" t="str">
        <f ca="1">IF(OFFSET('Calc Canada'!$A$1,0,MATCH(X$1,'Calc Canada'!$1:$1,0)-1,300)="","",OFFSET('Calc Canada'!$A$1,0,MATCH(X$1,'Calc Canada'!$1:$1,0)-1,300))</f>
        <v/>
      </c>
      <c r="AC62" t="str">
        <f t="shared" ca="1" si="0"/>
        <v/>
      </c>
      <c r="AD62" t="str">
        <f t="shared" ca="1" si="1"/>
        <v/>
      </c>
    </row>
    <row r="63" spans="1:30" x14ac:dyDescent="0.25">
      <c r="A63" s="4">
        <v>42038</v>
      </c>
      <c r="B63">
        <v>0.8377</v>
      </c>
      <c r="C63" s="5">
        <v>0.90349999999999997</v>
      </c>
      <c r="D63">
        <v>1.119</v>
      </c>
      <c r="E63">
        <v>1.3759000000000001</v>
      </c>
      <c r="F63">
        <v>1.732</v>
      </c>
      <c r="G63">
        <v>2.2974000000000001</v>
      </c>
      <c r="H63">
        <f t="shared" ca="1" si="8"/>
        <v>0.40040876997398733</v>
      </c>
      <c r="I63">
        <f t="shared" ca="1" si="8"/>
        <v>0.24097059152409708</v>
      </c>
      <c r="J63">
        <f t="shared" ca="1" si="8"/>
        <v>0.14763307528944303</v>
      </c>
      <c r="K63">
        <f t="shared" ca="1" si="8"/>
        <v>0.28726378172872652</v>
      </c>
      <c r="L63">
        <f t="shared" ca="1" si="8"/>
        <v>0.17599506747961915</v>
      </c>
      <c r="M63">
        <f t="shared" ca="1" si="8"/>
        <v>0.31007845503922765</v>
      </c>
      <c r="N63">
        <f t="shared" ca="1" si="8"/>
        <v>0.18430303465097933</v>
      </c>
      <c r="O63">
        <f t="shared" ca="1" si="8"/>
        <v>0.24395423717202153</v>
      </c>
      <c r="P63">
        <f t="shared" ca="1" si="8"/>
        <v>0.25547026329004935</v>
      </c>
      <c r="Q63">
        <f t="shared" ca="1" si="8"/>
        <v>0.30218940936863531</v>
      </c>
      <c r="R63">
        <f t="shared" ca="1" si="8"/>
        <v>0.56758237994108374</v>
      </c>
      <c r="S63">
        <f t="shared" ca="1" si="8"/>
        <v>0.41994930465164065</v>
      </c>
      <c r="T63">
        <f t="shared" ca="1" si="8"/>
        <v>0.43977329794102871</v>
      </c>
      <c r="V63" s="4">
        <f t="shared" si="5"/>
        <v>42038</v>
      </c>
      <c r="W63" s="5">
        <f t="shared" ca="1" si="4"/>
        <v>0.56758237994108374</v>
      </c>
      <c r="Z63" s="4" t="e">
        <f ca="1">IF(OFFSET('Calc Canada'!$A$1,0,0,300)="",MATCH("Error",AF63,0),OFFSET('Calc Canada'!$A$1,0,0,300))</f>
        <v>#N/A</v>
      </c>
      <c r="AA63" s="5" t="str">
        <f ca="1">IF(OFFSET('Calc Canada'!$A$1,0,MATCH(W$1,'Calc Canada'!$1:$1,0)-1,300)="","",OFFSET('Calc Canada'!$A$1,0,MATCH(W$1,'Calc Canada'!$1:$1,0)-1,300))</f>
        <v/>
      </c>
      <c r="AB63" s="5" t="str">
        <f ca="1">IF(OFFSET('Calc Canada'!$A$1,0,MATCH(X$1,'Calc Canada'!$1:$1,0)-1,300)="","",OFFSET('Calc Canada'!$A$1,0,MATCH(X$1,'Calc Canada'!$1:$1,0)-1,300))</f>
        <v/>
      </c>
      <c r="AC63" t="str">
        <f t="shared" ca="1" si="0"/>
        <v/>
      </c>
      <c r="AD63" t="str">
        <f t="shared" ca="1" si="1"/>
        <v/>
      </c>
    </row>
    <row r="64" spans="1:30" x14ac:dyDescent="0.25">
      <c r="A64" s="4">
        <v>42037</v>
      </c>
      <c r="B64">
        <v>0.8075</v>
      </c>
      <c r="C64" s="5">
        <v>0.87549999999999994</v>
      </c>
      <c r="D64">
        <v>1.0492999999999999</v>
      </c>
      <c r="E64">
        <v>1.3075999999999999</v>
      </c>
      <c r="F64">
        <v>1.651</v>
      </c>
      <c r="G64">
        <v>2.2225000000000001</v>
      </c>
      <c r="H64">
        <f t="shared" ca="1" si="8"/>
        <v>0.34753049390121976</v>
      </c>
      <c r="I64">
        <f t="shared" ca="1" si="8"/>
        <v>0.20604623592175453</v>
      </c>
      <c r="J64">
        <f t="shared" ca="1" si="8"/>
        <v>0.12282685512367487</v>
      </c>
      <c r="K64">
        <f t="shared" ca="1" si="8"/>
        <v>0.30622406639004146</v>
      </c>
      <c r="L64">
        <f t="shared" ca="1" si="8"/>
        <v>0.1825441696113074</v>
      </c>
      <c r="M64">
        <f t="shared" ca="1" si="8"/>
        <v>0.33307543520309468</v>
      </c>
      <c r="N64">
        <f t="shared" ca="1" si="8"/>
        <v>0.19175946547884182</v>
      </c>
      <c r="O64">
        <f t="shared" ca="1" si="8"/>
        <v>0.24268551236749128</v>
      </c>
      <c r="P64">
        <f t="shared" ca="1" si="8"/>
        <v>0.25493689680772091</v>
      </c>
      <c r="Q64">
        <f t="shared" ca="1" si="8"/>
        <v>0.29270371633140135</v>
      </c>
      <c r="R64">
        <f t="shared" ca="1" si="8"/>
        <v>0.54805653710247348</v>
      </c>
      <c r="S64">
        <f t="shared" ca="1" si="8"/>
        <v>0.42522968197879868</v>
      </c>
      <c r="T64">
        <f t="shared" ca="1" si="8"/>
        <v>0.44669636228656273</v>
      </c>
      <c r="V64" s="4">
        <f t="shared" si="5"/>
        <v>42037</v>
      </c>
      <c r="W64" s="5">
        <f t="shared" ca="1" si="4"/>
        <v>0.54805653710247348</v>
      </c>
      <c r="Z64" s="4">
        <f ca="1">IF(OFFSET('Calc Canada'!$A$1,0,0,300)="",MATCH("Error",AF64,0),OFFSET('Calc Canada'!$A$1,0,0,300))</f>
        <v>42006</v>
      </c>
      <c r="AA64" s="5">
        <f ca="1">IF(OFFSET('Calc Canada'!$A$1,0,MATCH(W$1,'Calc Canada'!$1:$1,0)-1,300)="","",OFFSET('Calc Canada'!$A$1,0,MATCH(W$1,'Calc Canada'!$1:$1,0)-1,300))</f>
        <v>3.0194000000000001</v>
      </c>
      <c r="AB64" s="5">
        <f ca="1">IF(OFFSET('Calc Canada'!$A$1,0,MATCH(X$1,'Calc Canada'!$1:$1,0)-1,300)="","",OFFSET('Calc Canada'!$A$1,0,MATCH(X$1,'Calc Canada'!$1:$1,0)-1,300))</f>
        <v>3.0194000000000001</v>
      </c>
      <c r="AC64">
        <f t="shared" ca="1" si="0"/>
        <v>0</v>
      </c>
      <c r="AD64" t="str">
        <f t="shared" ca="1" si="1"/>
        <v/>
      </c>
    </row>
    <row r="65" spans="1:30" x14ac:dyDescent="0.25">
      <c r="A65" s="4">
        <v>42034</v>
      </c>
      <c r="B65">
        <v>0.80649999999999999</v>
      </c>
      <c r="C65" s="5">
        <v>0.86580000000000001</v>
      </c>
      <c r="D65">
        <v>1.0578000000000001</v>
      </c>
      <c r="E65">
        <v>1.3047</v>
      </c>
      <c r="F65">
        <v>1.6579999999999999</v>
      </c>
      <c r="G65">
        <v>2.2130000000000001</v>
      </c>
      <c r="H65">
        <f t="shared" ca="1" si="8"/>
        <v>0.38538739462063443</v>
      </c>
      <c r="I65">
        <f t="shared" ca="1" si="8"/>
        <v>0.22548443922489733</v>
      </c>
      <c r="J65">
        <f t="shared" ca="1" si="8"/>
        <v>0.13650906505510135</v>
      </c>
      <c r="K65">
        <f t="shared" ca="1" si="8"/>
        <v>0.28995889606576619</v>
      </c>
      <c r="L65">
        <f t="shared" ca="1" si="8"/>
        <v>0.17554212584429427</v>
      </c>
      <c r="M65">
        <f t="shared" ca="1" si="8"/>
        <v>0.3116637212825043</v>
      </c>
      <c r="N65">
        <f t="shared" ca="1" si="8"/>
        <v>0.18326900237529684</v>
      </c>
      <c r="O65">
        <f t="shared" ca="1" si="8"/>
        <v>0.25119089939566291</v>
      </c>
      <c r="P65">
        <f t="shared" ca="1" si="8"/>
        <v>0.26224762470308788</v>
      </c>
      <c r="Q65">
        <f t="shared" ca="1" si="8"/>
        <v>0.305834487534626</v>
      </c>
      <c r="R65">
        <f t="shared" ca="1" si="8"/>
        <v>0.56324209029505856</v>
      </c>
      <c r="S65">
        <f t="shared" ca="1" si="8"/>
        <v>0.42673302523995721</v>
      </c>
      <c r="T65">
        <f t="shared" ca="1" si="8"/>
        <v>0.44551662707838469</v>
      </c>
      <c r="V65" s="4">
        <f t="shared" si="5"/>
        <v>42034</v>
      </c>
      <c r="W65" s="5">
        <f t="shared" ca="1" si="4"/>
        <v>0.56324209029505856</v>
      </c>
      <c r="Z65" s="4" t="e">
        <f ca="1">IF(OFFSET('Calc Canada'!$A$1,0,0,300)="",MATCH("Error",AF65,0),OFFSET('Calc Canada'!$A$1,0,0,300))</f>
        <v>#N/A</v>
      </c>
      <c r="AA65" s="5" t="str">
        <f ca="1">IF(OFFSET('Calc Canada'!$A$1,0,MATCH(W$1,'Calc Canada'!$1:$1,0)-1,300)="","",OFFSET('Calc Canada'!$A$1,0,MATCH(W$1,'Calc Canada'!$1:$1,0)-1,300))</f>
        <v/>
      </c>
      <c r="AB65" s="5" t="str">
        <f ca="1">IF(OFFSET('Calc Canada'!$A$1,0,MATCH(X$1,'Calc Canada'!$1:$1,0)-1,300)="","",OFFSET('Calc Canada'!$A$1,0,MATCH(X$1,'Calc Canada'!$1:$1,0)-1,300))</f>
        <v/>
      </c>
      <c r="AC65" t="str">
        <f t="shared" ca="1" si="0"/>
        <v/>
      </c>
      <c r="AD65" t="str">
        <f t="shared" ca="1" si="1"/>
        <v/>
      </c>
    </row>
    <row r="66" spans="1:30" x14ac:dyDescent="0.25">
      <c r="A66" s="4">
        <v>42033</v>
      </c>
      <c r="B66">
        <v>0.86270000000000002</v>
      </c>
      <c r="C66" s="5">
        <v>0.93420000000000003</v>
      </c>
      <c r="D66">
        <v>1.1497999999999999</v>
      </c>
      <c r="E66">
        <v>1.4079999999999999</v>
      </c>
      <c r="F66">
        <v>1.762</v>
      </c>
      <c r="G66">
        <v>2.3151000000000002</v>
      </c>
      <c r="H66">
        <f t="shared" ca="1" si="8"/>
        <v>0.39537869062901143</v>
      </c>
      <c r="I66">
        <f t="shared" ca="1" si="8"/>
        <v>0.23974202157233393</v>
      </c>
      <c r="J66">
        <f t="shared" ca="1" si="8"/>
        <v>0.14844395483337916</v>
      </c>
      <c r="K66">
        <f t="shared" ca="1" si="8"/>
        <v>0.28711219837651508</v>
      </c>
      <c r="L66">
        <f t="shared" ca="1" si="8"/>
        <v>0.17777471770862019</v>
      </c>
      <c r="M66">
        <f t="shared" ca="1" si="8"/>
        <v>0.31191108963517755</v>
      </c>
      <c r="N66">
        <f t="shared" ca="1" si="8"/>
        <v>0.18697950611919761</v>
      </c>
      <c r="O66">
        <f t="shared" ca="1" si="8"/>
        <v>0.24373450839988989</v>
      </c>
      <c r="P66">
        <f t="shared" ca="1" si="8"/>
        <v>0.25635455137953517</v>
      </c>
      <c r="Q66">
        <f t="shared" ca="1" si="8"/>
        <v>0.30378443319316917</v>
      </c>
      <c r="R66">
        <f t="shared" ca="1" si="8"/>
        <v>0.56995318094188918</v>
      </c>
      <c r="S66">
        <f t="shared" ca="1" si="8"/>
        <v>0.42150922610851005</v>
      </c>
      <c r="T66">
        <f t="shared" ca="1" si="8"/>
        <v>0.44333405749873278</v>
      </c>
      <c r="V66" s="4">
        <f t="shared" si="5"/>
        <v>42033</v>
      </c>
      <c r="W66" s="5">
        <f t="shared" ca="1" si="4"/>
        <v>0.56995318094188918</v>
      </c>
      <c r="Z66" s="4" t="e">
        <f ca="1">IF(OFFSET('Calc Canada'!$A$1,0,0,300)="",MATCH("Error",AF66,0),OFFSET('Calc Canada'!$A$1,0,0,300))</f>
        <v>#N/A</v>
      </c>
      <c r="AA66" s="5" t="str">
        <f ca="1">IF(OFFSET('Calc Canada'!$A$1,0,MATCH(W$1,'Calc Canada'!$1:$1,0)-1,300)="","",OFFSET('Calc Canada'!$A$1,0,MATCH(W$1,'Calc Canada'!$1:$1,0)-1,300))</f>
        <v/>
      </c>
      <c r="AB66" s="5" t="str">
        <f ca="1">IF(OFFSET('Calc Canada'!$A$1,0,MATCH(X$1,'Calc Canada'!$1:$1,0)-1,300)="","",OFFSET('Calc Canada'!$A$1,0,MATCH(X$1,'Calc Canada'!$1:$1,0)-1,300))</f>
        <v/>
      </c>
      <c r="AC66" t="str">
        <f t="shared" ca="1" si="0"/>
        <v/>
      </c>
      <c r="AD66" t="str">
        <f t="shared" ca="1" si="1"/>
        <v/>
      </c>
    </row>
    <row r="67" spans="1:30" x14ac:dyDescent="0.25">
      <c r="A67" s="4">
        <v>42032</v>
      </c>
      <c r="B67">
        <v>0.84799999999999998</v>
      </c>
      <c r="C67" s="5">
        <v>0.91920000000000002</v>
      </c>
      <c r="D67">
        <v>1.1419999999999999</v>
      </c>
      <c r="E67">
        <v>1.405</v>
      </c>
      <c r="F67">
        <v>1.7530000000000001</v>
      </c>
      <c r="G67">
        <v>2.3151999999999999</v>
      </c>
      <c r="H67">
        <f t="shared" ca="1" si="8"/>
        <v>0.39999999999999974</v>
      </c>
      <c r="I67">
        <f t="shared" ca="1" si="8"/>
        <v>0.24618784530386725</v>
      </c>
      <c r="J67">
        <f t="shared" ca="1" si="8"/>
        <v>0.15185387131952008</v>
      </c>
      <c r="K67">
        <f t="shared" ca="1" si="8"/>
        <v>0.29060773480662994</v>
      </c>
      <c r="L67">
        <f t="shared" ca="1" si="8"/>
        <v>0.17925299890948754</v>
      </c>
      <c r="M67">
        <f t="shared" ca="1" si="8"/>
        <v>0.3154233629167667</v>
      </c>
      <c r="N67">
        <f t="shared" ca="1" si="8"/>
        <v>0.18839541547277946</v>
      </c>
      <c r="O67">
        <f t="shared" ca="1" si="8"/>
        <v>0.23718647764449297</v>
      </c>
      <c r="P67">
        <f t="shared" ca="1" si="8"/>
        <v>0.24928366762177659</v>
      </c>
      <c r="Q67">
        <f t="shared" ca="1" si="8"/>
        <v>0.29662461643368571</v>
      </c>
      <c r="R67">
        <f t="shared" ca="1" si="8"/>
        <v>0.56829334787350061</v>
      </c>
      <c r="S67">
        <f t="shared" ca="1" si="8"/>
        <v>0.4164394765539805</v>
      </c>
      <c r="T67">
        <f t="shared" ca="1" si="8"/>
        <v>0.43767908309455605</v>
      </c>
      <c r="V67" s="4">
        <f t="shared" si="5"/>
        <v>42032</v>
      </c>
      <c r="W67" s="5">
        <f t="shared" ca="1" si="4"/>
        <v>0.56829334787350061</v>
      </c>
      <c r="Z67" s="4" t="e">
        <f ca="1">IF(OFFSET('Calc Canada'!$A$1,0,0,300)="",MATCH("Error",AF67,0),OFFSET('Calc Canada'!$A$1,0,0,300))</f>
        <v>#N/A</v>
      </c>
      <c r="AA67" s="5" t="str">
        <f ca="1">IF(OFFSET('Calc Canada'!$A$1,0,MATCH(W$1,'Calc Canada'!$1:$1,0)-1,300)="","",OFFSET('Calc Canada'!$A$1,0,MATCH(W$1,'Calc Canada'!$1:$1,0)-1,300))</f>
        <v/>
      </c>
      <c r="AB67" s="5" t="str">
        <f ca="1">IF(OFFSET('Calc Canada'!$A$1,0,MATCH(X$1,'Calc Canada'!$1:$1,0)-1,300)="","",OFFSET('Calc Canada'!$A$1,0,MATCH(X$1,'Calc Canada'!$1:$1,0)-1,300))</f>
        <v/>
      </c>
      <c r="AC67" t="str">
        <f t="shared" ref="AC67:AC130" ca="1" si="9">IF(AND(AA67&lt;&gt;"",AB67&lt;&gt;""),ABS(AA67-AB67),"")</f>
        <v/>
      </c>
      <c r="AD67" t="str">
        <f t="shared" ref="AD67:AD130" ca="1" si="10">IF(ISNA(MATCH("",AC67:AC86,0)),AVERAGE(AC67:AC86),"")</f>
        <v/>
      </c>
    </row>
    <row r="68" spans="1:30" x14ac:dyDescent="0.25">
      <c r="A68" s="4">
        <v>42031</v>
      </c>
      <c r="B68">
        <v>0.91790000000000005</v>
      </c>
      <c r="C68" s="5">
        <v>1.0022</v>
      </c>
      <c r="D68">
        <v>1.2264999999999999</v>
      </c>
      <c r="E68">
        <v>1.4821</v>
      </c>
      <c r="F68">
        <v>1.8411</v>
      </c>
      <c r="G68">
        <v>2.3946000000000001</v>
      </c>
      <c r="H68">
        <f t="shared" ca="1" si="8"/>
        <v>0.39755405884438139</v>
      </c>
      <c r="I68">
        <f t="shared" ca="1" si="8"/>
        <v>0.2429592720970537</v>
      </c>
      <c r="J68">
        <f t="shared" ca="1" si="8"/>
        <v>0.15189273379833407</v>
      </c>
      <c r="K68">
        <f t="shared" ca="1" si="8"/>
        <v>0.27686308492201051</v>
      </c>
      <c r="L68">
        <f t="shared" ca="1" si="8"/>
        <v>0.17308864359721002</v>
      </c>
      <c r="M68">
        <f t="shared" ca="1" si="8"/>
        <v>0.30468470616283233</v>
      </c>
      <c r="N68">
        <f t="shared" ca="1" si="8"/>
        <v>0.18356794024705547</v>
      </c>
      <c r="O68">
        <f t="shared" ca="1" si="8"/>
        <v>0.24310963635132388</v>
      </c>
      <c r="P68">
        <f t="shared" ca="1" si="8"/>
        <v>0.257828210284401</v>
      </c>
      <c r="Q68">
        <f t="shared" ca="1" si="8"/>
        <v>0.30733670062494645</v>
      </c>
      <c r="R68">
        <f t="shared" ca="1" si="8"/>
        <v>0.56809101374686799</v>
      </c>
      <c r="S68">
        <f t="shared" ca="1" si="8"/>
        <v>0.41619827994853387</v>
      </c>
      <c r="T68">
        <f t="shared" ca="1" si="8"/>
        <v>0.44139615053145648</v>
      </c>
      <c r="V68" s="4">
        <f t="shared" si="5"/>
        <v>42031</v>
      </c>
      <c r="W68" s="5">
        <f t="shared" ca="1" si="4"/>
        <v>0.56809101374686799</v>
      </c>
      <c r="Z68" s="4" t="e">
        <f ca="1">IF(OFFSET('Calc Canada'!$A$1,0,0,300)="",MATCH("Error",AF68,0),OFFSET('Calc Canada'!$A$1,0,0,300))</f>
        <v>#N/A</v>
      </c>
      <c r="AA68" s="5" t="str">
        <f ca="1">IF(OFFSET('Calc Canada'!$A$1,0,MATCH(W$1,'Calc Canada'!$1:$1,0)-1,300)="","",OFFSET('Calc Canada'!$A$1,0,MATCH(W$1,'Calc Canada'!$1:$1,0)-1,300))</f>
        <v/>
      </c>
      <c r="AB68" s="5" t="str">
        <f ca="1">IF(OFFSET('Calc Canada'!$A$1,0,MATCH(X$1,'Calc Canada'!$1:$1,0)-1,300)="","",OFFSET('Calc Canada'!$A$1,0,MATCH(X$1,'Calc Canada'!$1:$1,0)-1,300))</f>
        <v/>
      </c>
      <c r="AC68" t="str">
        <f t="shared" ca="1" si="9"/>
        <v/>
      </c>
      <c r="AD68" t="str">
        <f t="shared" ca="1" si="10"/>
        <v/>
      </c>
    </row>
    <row r="69" spans="1:30" x14ac:dyDescent="0.25">
      <c r="A69" s="4">
        <v>42030</v>
      </c>
      <c r="B69">
        <v>0.92430000000000001</v>
      </c>
      <c r="C69" s="5">
        <v>1.0089999999999999</v>
      </c>
      <c r="D69">
        <v>1.2270000000000001</v>
      </c>
      <c r="E69">
        <v>1.4942</v>
      </c>
      <c r="F69">
        <v>1.8549</v>
      </c>
      <c r="G69">
        <v>2.4195000000000002</v>
      </c>
      <c r="H69">
        <f t="shared" ca="1" si="8"/>
        <v>0.38252324969292895</v>
      </c>
      <c r="I69">
        <f t="shared" ca="1" si="8"/>
        <v>0.2342574683000217</v>
      </c>
      <c r="J69">
        <f t="shared" ca="1" si="8"/>
        <v>0.14579989299090435</v>
      </c>
      <c r="K69">
        <f t="shared" ca="1" si="8"/>
        <v>0.28712658499892529</v>
      </c>
      <c r="L69">
        <f t="shared" ca="1" si="8"/>
        <v>0.1787051899411449</v>
      </c>
      <c r="M69">
        <f t="shared" ca="1" si="8"/>
        <v>0.31587658115616485</v>
      </c>
      <c r="N69">
        <f t="shared" ca="1" si="8"/>
        <v>0.18943637008153125</v>
      </c>
      <c r="O69">
        <f t="shared" ca="1" si="8"/>
        <v>0.24123863028357409</v>
      </c>
      <c r="P69">
        <f t="shared" ca="1" si="8"/>
        <v>0.25572492024104926</v>
      </c>
      <c r="Q69">
        <f t="shared" ca="1" si="8"/>
        <v>0.30247379454926626</v>
      </c>
      <c r="R69">
        <f t="shared" ca="1" si="8"/>
        <v>0.56574371321562333</v>
      </c>
      <c r="S69">
        <f t="shared" ca="1" si="8"/>
        <v>0.41994382022471899</v>
      </c>
      <c r="T69">
        <f t="shared" ca="1" si="8"/>
        <v>0.44516129032258051</v>
      </c>
      <c r="V69" s="4">
        <f t="shared" si="5"/>
        <v>42030</v>
      </c>
      <c r="W69" s="5">
        <f t="shared" ca="1" si="4"/>
        <v>0.56574371321562333</v>
      </c>
      <c r="Z69" s="4" t="e">
        <f ca="1">IF(OFFSET('Calc Canada'!$A$1,0,0,300)="",MATCH("Error",AF69,0),OFFSET('Calc Canada'!$A$1,0,0,300))</f>
        <v>#N/A</v>
      </c>
      <c r="AA69" s="5" t="str">
        <f ca="1">IF(OFFSET('Calc Canada'!$A$1,0,MATCH(W$1,'Calc Canada'!$1:$1,0)-1,300)="","",OFFSET('Calc Canada'!$A$1,0,MATCH(W$1,'Calc Canada'!$1:$1,0)-1,300))</f>
        <v/>
      </c>
      <c r="AB69" s="5" t="str">
        <f ca="1">IF(OFFSET('Calc Canada'!$A$1,0,MATCH(X$1,'Calc Canada'!$1:$1,0)-1,300)="","",OFFSET('Calc Canada'!$A$1,0,MATCH(X$1,'Calc Canada'!$1:$1,0)-1,300))</f>
        <v/>
      </c>
      <c r="AC69" t="str">
        <f t="shared" ca="1" si="9"/>
        <v/>
      </c>
      <c r="AD69" t="str">
        <f t="shared" ca="1" si="10"/>
        <v/>
      </c>
    </row>
    <row r="70" spans="1:30" x14ac:dyDescent="0.25">
      <c r="A70" s="4">
        <v>42027</v>
      </c>
      <c r="B70">
        <v>0.94499999999999995</v>
      </c>
      <c r="C70" s="5">
        <v>1.0189999999999999</v>
      </c>
      <c r="D70">
        <v>1.2135</v>
      </c>
      <c r="E70">
        <v>1.4729999999999999</v>
      </c>
      <c r="F70">
        <v>1.8308</v>
      </c>
      <c r="G70">
        <v>2.4055</v>
      </c>
      <c r="H70">
        <f t="shared" ca="1" si="8"/>
        <v>0.36837121212121238</v>
      </c>
      <c r="I70">
        <f t="shared" ca="1" si="8"/>
        <v>0.2195755249491986</v>
      </c>
      <c r="J70">
        <f t="shared" ca="1" si="8"/>
        <v>0.13317357069496755</v>
      </c>
      <c r="K70">
        <f t="shared" ca="1" si="8"/>
        <v>0.29295552043350626</v>
      </c>
      <c r="L70">
        <f t="shared" ca="1" si="8"/>
        <v>0.17767887709688451</v>
      </c>
      <c r="M70">
        <f t="shared" ca="1" si="8"/>
        <v>0.31966001478196576</v>
      </c>
      <c r="N70">
        <f t="shared" ca="1" si="8"/>
        <v>0.18716191849981956</v>
      </c>
      <c r="O70">
        <f t="shared" ca="1" si="8"/>
        <v>0.24498459431701478</v>
      </c>
      <c r="P70">
        <f t="shared" ca="1" si="8"/>
        <v>0.25805986296429867</v>
      </c>
      <c r="Q70">
        <f t="shared" ca="1" si="8"/>
        <v>0.30016778523489945</v>
      </c>
      <c r="R70">
        <f t="shared" ca="1" si="8"/>
        <v>0.55583704210886686</v>
      </c>
      <c r="S70">
        <f t="shared" ca="1" si="8"/>
        <v>0.42266347141389926</v>
      </c>
      <c r="T70">
        <f t="shared" ca="1" si="8"/>
        <v>0.44522178146411823</v>
      </c>
      <c r="V70" s="4">
        <f t="shared" si="5"/>
        <v>42027</v>
      </c>
      <c r="W70" s="5">
        <f t="shared" ca="1" si="4"/>
        <v>0.55583704210886686</v>
      </c>
      <c r="Z70" s="4" t="e">
        <f ca="1">IF(OFFSET('Calc Canada'!$A$1,0,0,300)="",MATCH("Error",AF70,0),OFFSET('Calc Canada'!$A$1,0,0,300))</f>
        <v>#N/A</v>
      </c>
      <c r="AA70" s="5" t="str">
        <f ca="1">IF(OFFSET('Calc Canada'!$A$1,0,MATCH(W$1,'Calc Canada'!$1:$1,0)-1,300)="","",OFFSET('Calc Canada'!$A$1,0,MATCH(W$1,'Calc Canada'!$1:$1,0)-1,300))</f>
        <v/>
      </c>
      <c r="AB70" s="5" t="str">
        <f ca="1">IF(OFFSET('Calc Canada'!$A$1,0,MATCH(X$1,'Calc Canada'!$1:$1,0)-1,300)="","",OFFSET('Calc Canada'!$A$1,0,MATCH(X$1,'Calc Canada'!$1:$1,0)-1,300))</f>
        <v/>
      </c>
      <c r="AC70" t="str">
        <f t="shared" ca="1" si="9"/>
        <v/>
      </c>
      <c r="AD70" t="str">
        <f t="shared" ca="1" si="10"/>
        <v/>
      </c>
    </row>
    <row r="71" spans="1:30" x14ac:dyDescent="0.25">
      <c r="A71" s="4">
        <v>42026</v>
      </c>
      <c r="B71">
        <v>0.94869999999999999</v>
      </c>
      <c r="C71" s="5">
        <v>1.0415000000000001</v>
      </c>
      <c r="D71">
        <v>1.2735000000000001</v>
      </c>
      <c r="E71">
        <v>1.546</v>
      </c>
      <c r="F71">
        <v>1.9092</v>
      </c>
      <c r="G71">
        <v>2.4478</v>
      </c>
      <c r="H71">
        <f t="shared" ca="1" si="8"/>
        <v>0.38841453206094084</v>
      </c>
      <c r="I71">
        <f t="shared" ca="1" si="8"/>
        <v>0.24154086413326389</v>
      </c>
      <c r="J71">
        <f t="shared" ca="1" si="8"/>
        <v>0.15475952238009472</v>
      </c>
      <c r="K71">
        <f t="shared" ca="1" si="8"/>
        <v>0.28370640291514831</v>
      </c>
      <c r="L71">
        <f t="shared" ca="1" si="8"/>
        <v>0.1817757321059302</v>
      </c>
      <c r="M71">
        <f t="shared" ca="1" si="8"/>
        <v>0.31404863432061769</v>
      </c>
      <c r="N71">
        <f t="shared" ca="1" si="8"/>
        <v>0.19377088814619925</v>
      </c>
      <c r="O71">
        <f t="shared" ca="1" si="8"/>
        <v>0.24227870055366554</v>
      </c>
      <c r="P71">
        <f t="shared" ca="1" si="8"/>
        <v>0.25826637275119108</v>
      </c>
      <c r="Q71">
        <f t="shared" ca="1" si="8"/>
        <v>0.30929064123307504</v>
      </c>
      <c r="R71">
        <f t="shared" ca="1" si="8"/>
        <v>0.57881395503969046</v>
      </c>
      <c r="S71">
        <f t="shared" ca="1" si="8"/>
        <v>0.42405443265959575</v>
      </c>
      <c r="T71">
        <f t="shared" ca="1" si="8"/>
        <v>0.45203726089739033</v>
      </c>
      <c r="V71" s="4">
        <f t="shared" si="5"/>
        <v>42026</v>
      </c>
      <c r="W71" s="5">
        <f t="shared" ca="1" si="4"/>
        <v>0.57881395503969046</v>
      </c>
      <c r="Z71" s="4" t="e">
        <f ca="1">IF(OFFSET('Calc Canada'!$A$1,0,0,300)="",MATCH("Error",AF71,0),OFFSET('Calc Canada'!$A$1,0,0,300))</f>
        <v>#N/A</v>
      </c>
      <c r="AA71" s="5" t="str">
        <f ca="1">IF(OFFSET('Calc Canada'!$A$1,0,MATCH(W$1,'Calc Canada'!$1:$1,0)-1,300)="","",OFFSET('Calc Canada'!$A$1,0,MATCH(W$1,'Calc Canada'!$1:$1,0)-1,300))</f>
        <v/>
      </c>
      <c r="AB71" s="5" t="str">
        <f ca="1">IF(OFFSET('Calc Canada'!$A$1,0,MATCH(X$1,'Calc Canada'!$1:$1,0)-1,300)="","",OFFSET('Calc Canada'!$A$1,0,MATCH(X$1,'Calc Canada'!$1:$1,0)-1,300))</f>
        <v/>
      </c>
      <c r="AC71" t="str">
        <f t="shared" ca="1" si="9"/>
        <v/>
      </c>
      <c r="AD71" t="str">
        <f t="shared" ca="1" si="10"/>
        <v/>
      </c>
    </row>
    <row r="72" spans="1:30" x14ac:dyDescent="0.25">
      <c r="A72" s="4">
        <v>42025</v>
      </c>
      <c r="B72">
        <v>0.93740000000000001</v>
      </c>
      <c r="C72" s="5">
        <v>1.0429999999999999</v>
      </c>
      <c r="D72">
        <v>1.2905</v>
      </c>
      <c r="E72">
        <v>1.5470000000000002</v>
      </c>
      <c r="F72">
        <v>1.9159999999999999</v>
      </c>
      <c r="G72">
        <v>2.4278</v>
      </c>
      <c r="H72">
        <f t="shared" ca="1" si="8"/>
        <v>0.40600393700787402</v>
      </c>
      <c r="I72">
        <f t="shared" ca="1" si="8"/>
        <v>0.25291232372777445</v>
      </c>
      <c r="J72">
        <f t="shared" ca="1" si="8"/>
        <v>0.16606280193236719</v>
      </c>
      <c r="K72">
        <f t="shared" ca="1" si="8"/>
        <v>0.26210913549969361</v>
      </c>
      <c r="L72">
        <f t="shared" ca="1" si="8"/>
        <v>0.17210144927536244</v>
      </c>
      <c r="M72">
        <f t="shared" ca="1" si="8"/>
        <v>0.2938144329896909</v>
      </c>
      <c r="N72">
        <f t="shared" ca="1" si="8"/>
        <v>0.18522530329289441</v>
      </c>
      <c r="O72">
        <f t="shared" ca="1" si="8"/>
        <v>0.24758454106280178</v>
      </c>
      <c r="P72">
        <f t="shared" ca="1" si="8"/>
        <v>0.26646447140381263</v>
      </c>
      <c r="Q72">
        <f t="shared" ca="1" si="8"/>
        <v>0.32445265101556298</v>
      </c>
      <c r="R72">
        <f t="shared" ca="1" si="8"/>
        <v>0.58574879227053145</v>
      </c>
      <c r="S72">
        <f t="shared" ca="1" si="8"/>
        <v>0.41968599033816423</v>
      </c>
      <c r="T72">
        <f t="shared" ca="1" si="8"/>
        <v>0.45168977469670707</v>
      </c>
      <c r="V72" s="4">
        <f t="shared" si="5"/>
        <v>42025</v>
      </c>
      <c r="W72" s="5">
        <f t="shared" ca="1" si="4"/>
        <v>0.58574879227053145</v>
      </c>
      <c r="Z72" s="4" t="e">
        <f ca="1">IF(OFFSET('Calc Canada'!$A$1,0,0,300)="",MATCH("Error",AF72,0),OFFSET('Calc Canada'!$A$1,0,0,300))</f>
        <v>#N/A</v>
      </c>
      <c r="AA72" s="5" t="str">
        <f ca="1">IF(OFFSET('Calc Canada'!$A$1,0,MATCH(W$1,'Calc Canada'!$1:$1,0)-1,300)="","",OFFSET('Calc Canada'!$A$1,0,MATCH(W$1,'Calc Canada'!$1:$1,0)-1,300))</f>
        <v/>
      </c>
      <c r="AB72" s="5" t="str">
        <f ca="1">IF(OFFSET('Calc Canada'!$A$1,0,MATCH(X$1,'Calc Canada'!$1:$1,0)-1,300)="","",OFFSET('Calc Canada'!$A$1,0,MATCH(X$1,'Calc Canada'!$1:$1,0)-1,300))</f>
        <v/>
      </c>
      <c r="AC72" t="str">
        <f t="shared" ca="1" si="9"/>
        <v/>
      </c>
      <c r="AD72" t="str">
        <f t="shared" ca="1" si="10"/>
        <v/>
      </c>
    </row>
    <row r="73" spans="1:30" x14ac:dyDescent="0.25">
      <c r="A73" s="4">
        <v>42024</v>
      </c>
      <c r="B73">
        <v>1.2467999999999999</v>
      </c>
      <c r="C73" s="5">
        <v>1.3140000000000001</v>
      </c>
      <c r="D73">
        <v>1.4861</v>
      </c>
      <c r="E73">
        <v>1.6922000000000001</v>
      </c>
      <c r="F73">
        <v>1.9878</v>
      </c>
      <c r="G73">
        <v>2.4260000000000002</v>
      </c>
      <c r="H73">
        <f t="shared" ca="1" si="8"/>
        <v>0.38639425235743113</v>
      </c>
      <c r="I73">
        <f t="shared" ca="1" si="8"/>
        <v>0.23225371120107949</v>
      </c>
      <c r="J73">
        <f t="shared" ca="1" si="8"/>
        <v>0.14594640434192663</v>
      </c>
      <c r="K73">
        <f t="shared" ca="1" si="8"/>
        <v>0.27813765182186256</v>
      </c>
      <c r="L73">
        <f t="shared" ca="1" si="8"/>
        <v>0.17477951153324298</v>
      </c>
      <c r="M73">
        <f t="shared" ca="1" si="8"/>
        <v>0.30587711487088182</v>
      </c>
      <c r="N73">
        <f t="shared" ca="1" si="8"/>
        <v>0.18534172661870518</v>
      </c>
      <c r="O73">
        <f t="shared" ca="1" si="8"/>
        <v>0.25067842605156021</v>
      </c>
      <c r="P73">
        <f t="shared" ca="1" si="8"/>
        <v>0.26582733812949627</v>
      </c>
      <c r="Q73">
        <f t="shared" ca="1" si="8"/>
        <v>0.31450154271731012</v>
      </c>
      <c r="R73">
        <f t="shared" ca="1" si="8"/>
        <v>0.57140434192672984</v>
      </c>
      <c r="S73">
        <f t="shared" ca="1" si="8"/>
        <v>0.42545793758480321</v>
      </c>
      <c r="T73">
        <f t="shared" ca="1" si="8"/>
        <v>0.45116906474820145</v>
      </c>
      <c r="V73" s="4">
        <f t="shared" si="5"/>
        <v>42024</v>
      </c>
      <c r="W73" s="5">
        <f t="shared" ca="1" si="4"/>
        <v>0.57140434192672984</v>
      </c>
      <c r="Z73" s="4" t="e">
        <f ca="1">IF(OFFSET('Calc Canada'!$A$1,0,0,300)="",MATCH("Error",AF73,0),OFFSET('Calc Canada'!$A$1,0,0,300))</f>
        <v>#N/A</v>
      </c>
      <c r="AA73" s="5" t="str">
        <f ca="1">IF(OFFSET('Calc Canada'!$A$1,0,MATCH(W$1,'Calc Canada'!$1:$1,0)-1,300)="","",OFFSET('Calc Canada'!$A$1,0,MATCH(W$1,'Calc Canada'!$1:$1,0)-1,300))</f>
        <v/>
      </c>
      <c r="AB73" s="5" t="str">
        <f ca="1">IF(OFFSET('Calc Canada'!$A$1,0,MATCH(X$1,'Calc Canada'!$1:$1,0)-1,300)="","",OFFSET('Calc Canada'!$A$1,0,MATCH(X$1,'Calc Canada'!$1:$1,0)-1,300))</f>
        <v/>
      </c>
      <c r="AC73" t="str">
        <f t="shared" ca="1" si="9"/>
        <v/>
      </c>
      <c r="AD73" t="str">
        <f t="shared" ca="1" si="10"/>
        <v/>
      </c>
    </row>
    <row r="74" spans="1:30" x14ac:dyDescent="0.25">
      <c r="A74" s="4">
        <v>42023</v>
      </c>
      <c r="B74">
        <v>1.2549999999999999</v>
      </c>
      <c r="C74" s="5">
        <v>1.33</v>
      </c>
      <c r="D74">
        <v>1.5169999999999999</v>
      </c>
      <c r="E74">
        <v>1.7235</v>
      </c>
      <c r="F74">
        <v>2.0099999999999998</v>
      </c>
      <c r="G74">
        <v>2.4718</v>
      </c>
      <c r="H74">
        <f t="shared" ca="1" si="8"/>
        <v>0.39914621131269962</v>
      </c>
      <c r="I74">
        <f t="shared" ca="1" si="8"/>
        <v>0.24768211920529784</v>
      </c>
      <c r="J74">
        <f t="shared" ca="1" si="8"/>
        <v>0.15368178829717277</v>
      </c>
      <c r="K74">
        <f t="shared" ca="1" si="8"/>
        <v>0.27350993377483462</v>
      </c>
      <c r="L74">
        <f t="shared" ca="1" si="8"/>
        <v>0.16970742932281402</v>
      </c>
      <c r="M74">
        <f t="shared" ca="1" si="8"/>
        <v>0.3036764705882356</v>
      </c>
      <c r="N74">
        <f t="shared" ca="1" si="8"/>
        <v>0.18085479068138041</v>
      </c>
      <c r="O74">
        <f t="shared" ca="1" si="8"/>
        <v>0.23545364891518716</v>
      </c>
      <c r="P74">
        <f t="shared" ca="1" si="8"/>
        <v>0.25091960063058311</v>
      </c>
      <c r="Q74">
        <f t="shared" ca="1" si="8"/>
        <v>0.30006284038542075</v>
      </c>
      <c r="R74">
        <f t="shared" ca="1" si="8"/>
        <v>0.5588428665351739</v>
      </c>
      <c r="S74">
        <f t="shared" ca="1" si="8"/>
        <v>0.40516107823800118</v>
      </c>
      <c r="T74">
        <f t="shared" ca="1" si="8"/>
        <v>0.43177439131196349</v>
      </c>
      <c r="V74" s="4">
        <f t="shared" si="5"/>
        <v>42023</v>
      </c>
      <c r="W74" s="5">
        <f t="shared" ca="1" si="4"/>
        <v>0.5588428665351739</v>
      </c>
      <c r="Z74" s="4" t="e">
        <f ca="1">IF(OFFSET('Calc Canada'!$A$1,0,0,300)="",MATCH("Error",AF74,0),OFFSET('Calc Canada'!$A$1,0,0,300))</f>
        <v>#N/A</v>
      </c>
      <c r="AA74" s="5" t="str">
        <f ca="1">IF(OFFSET('Calc Canada'!$A$1,0,MATCH(W$1,'Calc Canada'!$1:$1,0)-1,300)="","",OFFSET('Calc Canada'!$A$1,0,MATCH(W$1,'Calc Canada'!$1:$1,0)-1,300))</f>
        <v/>
      </c>
      <c r="AB74" s="5" t="str">
        <f ca="1">IF(OFFSET('Calc Canada'!$A$1,0,MATCH(X$1,'Calc Canada'!$1:$1,0)-1,300)="","",OFFSET('Calc Canada'!$A$1,0,MATCH(X$1,'Calc Canada'!$1:$1,0)-1,300))</f>
        <v/>
      </c>
      <c r="AC74" t="str">
        <f t="shared" ca="1" si="9"/>
        <v/>
      </c>
      <c r="AD74" t="str">
        <f t="shared" ca="1" si="10"/>
        <v/>
      </c>
    </row>
    <row r="75" spans="1:30" x14ac:dyDescent="0.25">
      <c r="A75" s="4">
        <v>42020</v>
      </c>
      <c r="B75">
        <v>1.2678</v>
      </c>
      <c r="C75" s="5">
        <v>1.3472999999999999</v>
      </c>
      <c r="D75">
        <v>1.5316999999999998</v>
      </c>
      <c r="E75">
        <v>1.7414000000000001</v>
      </c>
      <c r="F75">
        <v>2.0388999999999999</v>
      </c>
      <c r="G75">
        <v>2.4868999999999999</v>
      </c>
      <c r="H75">
        <f t="shared" ca="1" si="8"/>
        <v>0.38935810810810789</v>
      </c>
      <c r="I75">
        <f t="shared" ca="1" si="8"/>
        <v>0.23913889249124617</v>
      </c>
      <c r="J75">
        <f t="shared" ca="1" si="8"/>
        <v>0.15125912558444748</v>
      </c>
      <c r="K75">
        <f t="shared" ca="1" si="8"/>
        <v>0.27194916353261606</v>
      </c>
      <c r="L75">
        <f t="shared" ca="1" si="8"/>
        <v>0.17201214010335514</v>
      </c>
      <c r="M75">
        <f t="shared" ca="1" si="8"/>
        <v>0.30320994794679035</v>
      </c>
      <c r="N75">
        <f t="shared" ca="1" si="8"/>
        <v>0.18401193401193422</v>
      </c>
      <c r="O75">
        <f t="shared" ca="1" si="8"/>
        <v>0.2440324829792469</v>
      </c>
      <c r="P75">
        <f t="shared" ca="1" si="8"/>
        <v>0.26105651105651095</v>
      </c>
      <c r="Q75">
        <f t="shared" ca="1" si="8"/>
        <v>0.31145309882747052</v>
      </c>
      <c r="R75">
        <f t="shared" ca="1" si="8"/>
        <v>0.56730374866704958</v>
      </c>
      <c r="S75">
        <f t="shared" ca="1" si="8"/>
        <v>0.41604462308260204</v>
      </c>
      <c r="T75">
        <f t="shared" ca="1" si="8"/>
        <v>0.44506844506844517</v>
      </c>
      <c r="V75" s="4">
        <f t="shared" si="5"/>
        <v>42020</v>
      </c>
      <c r="W75" s="5">
        <f t="shared" ca="1" si="4"/>
        <v>0.56730374866704958</v>
      </c>
      <c r="Z75" s="4" t="e">
        <f ca="1">IF(OFFSET('Calc Canada'!$A$1,0,0,300)="",MATCH("Error",AF75,0),OFFSET('Calc Canada'!$A$1,0,0,300))</f>
        <v>#N/A</v>
      </c>
      <c r="AA75" s="5" t="str">
        <f ca="1">IF(OFFSET('Calc Canada'!$A$1,0,MATCH(W$1,'Calc Canada'!$1:$1,0)-1,300)="","",OFFSET('Calc Canada'!$A$1,0,MATCH(W$1,'Calc Canada'!$1:$1,0)-1,300))</f>
        <v/>
      </c>
      <c r="AB75" s="5" t="str">
        <f ca="1">IF(OFFSET('Calc Canada'!$A$1,0,MATCH(X$1,'Calc Canada'!$1:$1,0)-1,300)="","",OFFSET('Calc Canada'!$A$1,0,MATCH(X$1,'Calc Canada'!$1:$1,0)-1,300))</f>
        <v/>
      </c>
      <c r="AC75" t="str">
        <f t="shared" ca="1" si="9"/>
        <v/>
      </c>
      <c r="AD75" t="str">
        <f t="shared" ca="1" si="10"/>
        <v/>
      </c>
    </row>
    <row r="76" spans="1:30" x14ac:dyDescent="0.25">
      <c r="A76" s="4">
        <v>42019</v>
      </c>
      <c r="B76">
        <v>1.204</v>
      </c>
      <c r="C76" s="5">
        <v>1.2698</v>
      </c>
      <c r="D76">
        <v>1.4530000000000001</v>
      </c>
      <c r="E76">
        <v>1.661</v>
      </c>
      <c r="F76">
        <v>1.9569999999999999</v>
      </c>
      <c r="G76">
        <v>2.431</v>
      </c>
      <c r="H76">
        <f t="shared" ca="1" si="8"/>
        <v>0.40087527352297592</v>
      </c>
      <c r="I76">
        <f t="shared" ca="1" si="8"/>
        <v>0.24329349269588321</v>
      </c>
      <c r="J76">
        <f t="shared" ca="1" si="8"/>
        <v>0.14930725346373269</v>
      </c>
      <c r="K76">
        <f t="shared" ca="1" si="8"/>
        <v>0.27622841965471445</v>
      </c>
      <c r="L76">
        <f t="shared" ca="1" si="8"/>
        <v>0.16951915240423793</v>
      </c>
      <c r="M76">
        <f t="shared" ca="1" si="8"/>
        <v>0.30267753201396974</v>
      </c>
      <c r="N76">
        <f t="shared" ca="1" si="8"/>
        <v>0.17912504305890456</v>
      </c>
      <c r="O76">
        <f t="shared" ca="1" si="8"/>
        <v>0.2412387938060308</v>
      </c>
      <c r="P76">
        <f t="shared" ca="1" si="8"/>
        <v>0.25490871512228713</v>
      </c>
      <c r="Q76">
        <f t="shared" ca="1" si="8"/>
        <v>0.30265848670756629</v>
      </c>
      <c r="R76">
        <f t="shared" ca="1" si="8"/>
        <v>0.56006519967400148</v>
      </c>
      <c r="S76">
        <f t="shared" ca="1" si="8"/>
        <v>0.41075794621026873</v>
      </c>
      <c r="T76">
        <f t="shared" ca="1" si="8"/>
        <v>0.43403375818119166</v>
      </c>
      <c r="V76" s="4">
        <f t="shared" si="5"/>
        <v>42019</v>
      </c>
      <c r="W76" s="5">
        <f t="shared" ref="W76:W139" ca="1" si="11">OFFSET($H$12,0,MATCH(selectCanada,$H$12:$T$12,0)-1,300,1)</f>
        <v>0.56006519967400148</v>
      </c>
      <c r="Z76" s="4" t="e">
        <f ca="1">IF(OFFSET('Calc Canada'!$A$1,0,0,300)="",MATCH("Error",AF76,0),OFFSET('Calc Canada'!$A$1,0,0,300))</f>
        <v>#N/A</v>
      </c>
      <c r="AA76" s="5" t="str">
        <f ca="1">IF(OFFSET('Calc Canada'!$A$1,0,MATCH(W$1,'Calc Canada'!$1:$1,0)-1,300)="","",OFFSET('Calc Canada'!$A$1,0,MATCH(W$1,'Calc Canada'!$1:$1,0)-1,300))</f>
        <v/>
      </c>
      <c r="AB76" s="5" t="str">
        <f ca="1">IF(OFFSET('Calc Canada'!$A$1,0,MATCH(X$1,'Calc Canada'!$1:$1,0)-1,300)="","",OFFSET('Calc Canada'!$A$1,0,MATCH(X$1,'Calc Canada'!$1:$1,0)-1,300))</f>
        <v/>
      </c>
      <c r="AC76" t="str">
        <f t="shared" ca="1" si="9"/>
        <v/>
      </c>
      <c r="AD76" t="str">
        <f t="shared" ca="1" si="10"/>
        <v/>
      </c>
    </row>
    <row r="77" spans="1:30" x14ac:dyDescent="0.25">
      <c r="A77" s="4">
        <v>42018</v>
      </c>
      <c r="B77">
        <v>1.284</v>
      </c>
      <c r="C77" s="5">
        <v>1.365</v>
      </c>
      <c r="D77">
        <v>1.5720000000000001</v>
      </c>
      <c r="E77">
        <v>1.7770000000000001</v>
      </c>
      <c r="F77">
        <v>2.0670000000000002</v>
      </c>
      <c r="G77">
        <v>2.5232000000000001</v>
      </c>
      <c r="H77">
        <f t="shared" ref="H77:T92" ca="1" si="12">IF(ISERROR(ABS(OFFSET($A$11,ROW()-11,MATCH(LEFT(H$9,2),$A$11:$G$11,0)-1)-OFFSET($A$11,ROW()-11,MATCH(RIGHT(H$9,2),$A$11:$G$11,0)-1))/ABS(OFFSET($A$11,ROW()-11,MATCH(LEFT(H$10,2),$A$11:$G$11,0)-1)-OFFSET($A$11,ROW()-11,MATCH(RIGHT(H$10,2),$A$11:$G$11,0)-1))),"",ABS(OFFSET($A$11,ROW()-11,MATCH(LEFT(H$9,2),$A$11:$G$11,0)-1)-OFFSET($A$11,ROW()-11,MATCH(RIGHT(H$9,2),$A$11:$G$11,0)-1))/ABS(OFFSET($A$11,ROW()-11,MATCH(LEFT(H$10,2),$A$11:$G$11,0)-1)-OFFSET($A$11,ROW()-11,MATCH(RIGHT(H$10,2),$A$11:$G$11,0)-1)))</f>
        <v>0.41987829614604466</v>
      </c>
      <c r="I77">
        <f t="shared" ca="1" si="12"/>
        <v>0.26436781609195409</v>
      </c>
      <c r="J77">
        <f t="shared" ca="1" si="12"/>
        <v>0.16704325371207235</v>
      </c>
      <c r="K77">
        <f t="shared" ca="1" si="12"/>
        <v>0.26181353767560667</v>
      </c>
      <c r="L77">
        <f t="shared" ca="1" si="12"/>
        <v>0.16542930923176247</v>
      </c>
      <c r="M77">
        <f t="shared" ca="1" si="12"/>
        <v>0.29202279202279208</v>
      </c>
      <c r="N77">
        <f t="shared" ca="1" si="12"/>
        <v>0.17699879122776727</v>
      </c>
      <c r="O77">
        <f t="shared" ca="1" si="12"/>
        <v>0.23402194964493223</v>
      </c>
      <c r="P77">
        <f t="shared" ca="1" si="12"/>
        <v>0.25038853393196342</v>
      </c>
      <c r="Q77">
        <f t="shared" ca="1" si="12"/>
        <v>0.30487804878048785</v>
      </c>
      <c r="R77">
        <f t="shared" ca="1" si="12"/>
        <v>0.56649451258876704</v>
      </c>
      <c r="S77">
        <f t="shared" ca="1" si="12"/>
        <v>0.39945125887669469</v>
      </c>
      <c r="T77">
        <f t="shared" ca="1" si="12"/>
        <v>0.42738732515973066</v>
      </c>
      <c r="V77" s="4">
        <f t="shared" si="5"/>
        <v>42018</v>
      </c>
      <c r="W77" s="5">
        <f t="shared" ca="1" si="11"/>
        <v>0.56649451258876704</v>
      </c>
      <c r="Z77" s="4" t="e">
        <f ca="1">IF(OFFSET('Calc Canada'!$A$1,0,0,300)="",MATCH("Error",AF77,0),OFFSET('Calc Canada'!$A$1,0,0,300))</f>
        <v>#N/A</v>
      </c>
      <c r="AA77" s="5" t="str">
        <f ca="1">IF(OFFSET('Calc Canada'!$A$1,0,MATCH(W$1,'Calc Canada'!$1:$1,0)-1,300)="","",OFFSET('Calc Canada'!$A$1,0,MATCH(W$1,'Calc Canada'!$1:$1,0)-1,300))</f>
        <v/>
      </c>
      <c r="AB77" s="5" t="str">
        <f ca="1">IF(OFFSET('Calc Canada'!$A$1,0,MATCH(X$1,'Calc Canada'!$1:$1,0)-1,300)="","",OFFSET('Calc Canada'!$A$1,0,MATCH(X$1,'Calc Canada'!$1:$1,0)-1,300))</f>
        <v/>
      </c>
      <c r="AC77" t="str">
        <f t="shared" ca="1" si="9"/>
        <v/>
      </c>
      <c r="AD77" t="str">
        <f t="shared" ca="1" si="10"/>
        <v/>
      </c>
    </row>
    <row r="78" spans="1:30" x14ac:dyDescent="0.25">
      <c r="A78" s="4">
        <v>42017</v>
      </c>
      <c r="B78">
        <v>1.3266</v>
      </c>
      <c r="C78" s="5">
        <v>1.417</v>
      </c>
      <c r="D78">
        <v>1.5985</v>
      </c>
      <c r="E78">
        <v>1.8073999999999999</v>
      </c>
      <c r="F78">
        <v>2.0991</v>
      </c>
      <c r="G78">
        <v>2.5573000000000001</v>
      </c>
      <c r="H78">
        <f t="shared" ca="1" si="12"/>
        <v>0.37749584026622302</v>
      </c>
      <c r="I78">
        <f t="shared" ca="1" si="12"/>
        <v>0.23495145631067962</v>
      </c>
      <c r="J78">
        <f t="shared" ca="1" si="12"/>
        <v>0.14747704558381408</v>
      </c>
      <c r="K78">
        <f t="shared" ca="1" si="12"/>
        <v>0.27042071197410988</v>
      </c>
      <c r="L78">
        <f t="shared" ca="1" si="12"/>
        <v>0.16974079791988286</v>
      </c>
      <c r="M78">
        <f t="shared" ca="1" si="12"/>
        <v>0.30626007916727738</v>
      </c>
      <c r="N78">
        <f t="shared" ca="1" si="12"/>
        <v>0.18319740419187919</v>
      </c>
      <c r="O78">
        <f t="shared" ca="1" si="12"/>
        <v>0.2370195823515073</v>
      </c>
      <c r="P78">
        <f t="shared" ca="1" si="12"/>
        <v>0.25580987459440502</v>
      </c>
      <c r="Q78">
        <f t="shared" ca="1" si="12"/>
        <v>0.30423445974134339</v>
      </c>
      <c r="R78">
        <f t="shared" ca="1" si="12"/>
        <v>0.55423742585520419</v>
      </c>
      <c r="S78">
        <f t="shared" ca="1" si="12"/>
        <v>0.40676038027139017</v>
      </c>
      <c r="T78">
        <f t="shared" ca="1" si="12"/>
        <v>0.43900727878628421</v>
      </c>
      <c r="V78" s="4">
        <f t="shared" ref="V78:V141" si="13">IF(A78&lt;&gt;"",A78,"")</f>
        <v>42017</v>
      </c>
      <c r="W78" s="5">
        <f t="shared" ca="1" si="11"/>
        <v>0.55423742585520419</v>
      </c>
      <c r="Z78" s="4" t="e">
        <f ca="1">IF(OFFSET('Calc Canada'!$A$1,0,0,300)="",MATCH("Error",AF78,0),OFFSET('Calc Canada'!$A$1,0,0,300))</f>
        <v>#N/A</v>
      </c>
      <c r="AA78" s="5" t="str">
        <f ca="1">IF(OFFSET('Calc Canada'!$A$1,0,MATCH(W$1,'Calc Canada'!$1:$1,0)-1,300)="","",OFFSET('Calc Canada'!$A$1,0,MATCH(W$1,'Calc Canada'!$1:$1,0)-1,300))</f>
        <v/>
      </c>
      <c r="AB78" s="5" t="str">
        <f ca="1">IF(OFFSET('Calc Canada'!$A$1,0,MATCH(X$1,'Calc Canada'!$1:$1,0)-1,300)="","",OFFSET('Calc Canada'!$A$1,0,MATCH(X$1,'Calc Canada'!$1:$1,0)-1,300))</f>
        <v/>
      </c>
      <c r="AC78" t="str">
        <f t="shared" ca="1" si="9"/>
        <v/>
      </c>
      <c r="AD78" t="str">
        <f t="shared" ca="1" si="10"/>
        <v/>
      </c>
    </row>
    <row r="79" spans="1:30" x14ac:dyDescent="0.25">
      <c r="A79" s="4">
        <v>42016</v>
      </c>
      <c r="B79">
        <v>1.33</v>
      </c>
      <c r="C79" s="5">
        <v>1.431</v>
      </c>
      <c r="D79">
        <v>1.6179999999999999</v>
      </c>
      <c r="E79">
        <v>1.8149999999999999</v>
      </c>
      <c r="F79">
        <v>2.1040000000000001</v>
      </c>
      <c r="G79">
        <v>2.5563000000000002</v>
      </c>
      <c r="H79">
        <f t="shared" ca="1" si="12"/>
        <v>0.38556701030927809</v>
      </c>
      <c r="I79">
        <f t="shared" ca="1" si="12"/>
        <v>0.2416020671834623</v>
      </c>
      <c r="J79">
        <f t="shared" ca="1" si="12"/>
        <v>0.15249123379270962</v>
      </c>
      <c r="K79">
        <f t="shared" ca="1" si="12"/>
        <v>0.25452196382428949</v>
      </c>
      <c r="L79">
        <f t="shared" ca="1" si="12"/>
        <v>0.16064584522547504</v>
      </c>
      <c r="M79">
        <f t="shared" ca="1" si="12"/>
        <v>0.29271916790490349</v>
      </c>
      <c r="N79">
        <f t="shared" ca="1" si="12"/>
        <v>0.17506442726384078</v>
      </c>
      <c r="O79">
        <f t="shared" ca="1" si="12"/>
        <v>0.23566827040691521</v>
      </c>
      <c r="P79">
        <f t="shared" ca="1" si="12"/>
        <v>0.25682040344796953</v>
      </c>
      <c r="Q79">
        <f t="shared" ca="1" si="12"/>
        <v>0.30800383672599385</v>
      </c>
      <c r="R79">
        <f t="shared" ca="1" si="12"/>
        <v>0.54880534942509984</v>
      </c>
      <c r="S79">
        <f t="shared" ca="1" si="12"/>
        <v>0.39631411563239022</v>
      </c>
      <c r="T79">
        <f t="shared" ca="1" si="12"/>
        <v>0.43188483071181027</v>
      </c>
      <c r="V79" s="4">
        <f t="shared" si="13"/>
        <v>42016</v>
      </c>
      <c r="W79" s="5">
        <f t="shared" ca="1" si="11"/>
        <v>0.54880534942509984</v>
      </c>
      <c r="Z79" s="4" t="e">
        <f ca="1">IF(OFFSET('Calc Canada'!$A$1,0,0,300)="",MATCH("Error",AF79,0),OFFSET('Calc Canada'!$A$1,0,0,300))</f>
        <v>#N/A</v>
      </c>
      <c r="AA79" s="5" t="str">
        <f ca="1">IF(OFFSET('Calc Canada'!$A$1,0,MATCH(W$1,'Calc Canada'!$1:$1,0)-1,300)="","",OFFSET('Calc Canada'!$A$1,0,MATCH(W$1,'Calc Canada'!$1:$1,0)-1,300))</f>
        <v/>
      </c>
      <c r="AB79" s="5" t="str">
        <f ca="1">IF(OFFSET('Calc Canada'!$A$1,0,MATCH(X$1,'Calc Canada'!$1:$1,0)-1,300)="","",OFFSET('Calc Canada'!$A$1,0,MATCH(X$1,'Calc Canada'!$1:$1,0)-1,300))</f>
        <v/>
      </c>
      <c r="AC79" t="str">
        <f t="shared" ca="1" si="9"/>
        <v/>
      </c>
      <c r="AD79" t="str">
        <f t="shared" ca="1" si="10"/>
        <v/>
      </c>
    </row>
    <row r="80" spans="1:30" x14ac:dyDescent="0.25">
      <c r="A80" s="4">
        <v>42013</v>
      </c>
      <c r="B80">
        <v>1.3649</v>
      </c>
      <c r="C80" s="5">
        <v>1.472</v>
      </c>
      <c r="D80">
        <v>1.665</v>
      </c>
      <c r="E80">
        <v>1.861</v>
      </c>
      <c r="F80">
        <v>2.1488</v>
      </c>
      <c r="G80">
        <v>2.6070000000000002</v>
      </c>
      <c r="H80">
        <f t="shared" ca="1" si="12"/>
        <v>0.38903446885708542</v>
      </c>
      <c r="I80">
        <f t="shared" ca="1" si="12"/>
        <v>0.24620487307054478</v>
      </c>
      <c r="J80">
        <f t="shared" ca="1" si="12"/>
        <v>0.15538201433056922</v>
      </c>
      <c r="K80">
        <f t="shared" ca="1" si="12"/>
        <v>0.2500318918229365</v>
      </c>
      <c r="L80">
        <f t="shared" ca="1" si="12"/>
        <v>0.15779727880202876</v>
      </c>
      <c r="M80">
        <f t="shared" ca="1" si="12"/>
        <v>0.28959810874704484</v>
      </c>
      <c r="N80">
        <f t="shared" ca="1" si="12"/>
        <v>0.17268722466960346</v>
      </c>
      <c r="O80">
        <f t="shared" ca="1" si="12"/>
        <v>0.23170437162869334</v>
      </c>
      <c r="P80">
        <f t="shared" ca="1" si="12"/>
        <v>0.25356828193832598</v>
      </c>
      <c r="Q80">
        <f t="shared" ca="1" si="12"/>
        <v>0.30552016985138003</v>
      </c>
      <c r="R80">
        <f t="shared" ca="1" si="12"/>
        <v>0.54488366476129135</v>
      </c>
      <c r="S80">
        <f t="shared" ca="1" si="12"/>
        <v>0.3895016504307221</v>
      </c>
      <c r="T80">
        <f t="shared" ca="1" si="12"/>
        <v>0.42625550660792944</v>
      </c>
      <c r="V80" s="4">
        <f t="shared" si="13"/>
        <v>42013</v>
      </c>
      <c r="W80" s="5">
        <f t="shared" ca="1" si="11"/>
        <v>0.54488366476129135</v>
      </c>
      <c r="Z80" s="4" t="e">
        <f ca="1">IF(OFFSET('Calc Canada'!$A$1,0,0,300)="",MATCH("Error",AF80,0),OFFSET('Calc Canada'!$A$1,0,0,300))</f>
        <v>#N/A</v>
      </c>
      <c r="AA80" s="5" t="str">
        <f ca="1">IF(OFFSET('Calc Canada'!$A$1,0,MATCH(W$1,'Calc Canada'!$1:$1,0)-1,300)="","",OFFSET('Calc Canada'!$A$1,0,MATCH(W$1,'Calc Canada'!$1:$1,0)-1,300))</f>
        <v/>
      </c>
      <c r="AB80" s="5" t="str">
        <f ca="1">IF(OFFSET('Calc Canada'!$A$1,0,MATCH(X$1,'Calc Canada'!$1:$1,0)-1,300)="","",OFFSET('Calc Canada'!$A$1,0,MATCH(X$1,'Calc Canada'!$1:$1,0)-1,300))</f>
        <v/>
      </c>
      <c r="AC80" t="str">
        <f t="shared" ca="1" si="9"/>
        <v/>
      </c>
      <c r="AD80" t="str">
        <f t="shared" ca="1" si="10"/>
        <v/>
      </c>
    </row>
    <row r="81" spans="1:30" x14ac:dyDescent="0.25">
      <c r="A81" s="4">
        <v>42012</v>
      </c>
      <c r="B81">
        <v>1.4025000000000001</v>
      </c>
      <c r="C81" s="5">
        <v>1.5138</v>
      </c>
      <c r="D81">
        <v>1.7130000000000001</v>
      </c>
      <c r="E81">
        <v>1.9095</v>
      </c>
      <c r="F81">
        <v>2.194</v>
      </c>
      <c r="G81">
        <v>2.6560000000000001</v>
      </c>
      <c r="H81">
        <f t="shared" ca="1" si="12"/>
        <v>0.39289940828402381</v>
      </c>
      <c r="I81">
        <f t="shared" ca="1" si="12"/>
        <v>0.25167403663929255</v>
      </c>
      <c r="J81">
        <f t="shared" ca="1" si="12"/>
        <v>0.1589150378938971</v>
      </c>
      <c r="K81">
        <f t="shared" ca="1" si="12"/>
        <v>0.24826279216677186</v>
      </c>
      <c r="L81">
        <f t="shared" ca="1" si="12"/>
        <v>0.15676106900678091</v>
      </c>
      <c r="M81">
        <f t="shared" ca="1" si="12"/>
        <v>0.28888562187591871</v>
      </c>
      <c r="N81">
        <f t="shared" ca="1" si="12"/>
        <v>0.17203642094204158</v>
      </c>
      <c r="O81">
        <f t="shared" ca="1" si="12"/>
        <v>0.22696449940167529</v>
      </c>
      <c r="P81">
        <f t="shared" ca="1" si="12"/>
        <v>0.24908072141481347</v>
      </c>
      <c r="Q81">
        <f t="shared" ca="1" si="12"/>
        <v>0.30169671261930003</v>
      </c>
      <c r="R81">
        <f t="shared" ca="1" si="12"/>
        <v>0.54264060630235333</v>
      </c>
      <c r="S81">
        <f t="shared" ca="1" si="12"/>
        <v>0.38372556840845617</v>
      </c>
      <c r="T81">
        <f t="shared" ca="1" si="12"/>
        <v>0.42111714235685505</v>
      </c>
      <c r="V81" s="4">
        <f t="shared" si="13"/>
        <v>42012</v>
      </c>
      <c r="W81" s="5">
        <f t="shared" ca="1" si="11"/>
        <v>0.54264060630235333</v>
      </c>
      <c r="Z81" s="4" t="e">
        <f ca="1">IF(OFFSET('Calc Canada'!$A$1,0,0,300)="",MATCH("Error",AF81,0),OFFSET('Calc Canada'!$A$1,0,0,300))</f>
        <v>#N/A</v>
      </c>
      <c r="AA81" s="5" t="str">
        <f ca="1">IF(OFFSET('Calc Canada'!$A$1,0,MATCH(W$1,'Calc Canada'!$1:$1,0)-1,300)="","",OFFSET('Calc Canada'!$A$1,0,MATCH(W$1,'Calc Canada'!$1:$1,0)-1,300))</f>
        <v/>
      </c>
      <c r="AB81" s="5" t="str">
        <f ca="1">IF(OFFSET('Calc Canada'!$A$1,0,MATCH(X$1,'Calc Canada'!$1:$1,0)-1,300)="","",OFFSET('Calc Canada'!$A$1,0,MATCH(X$1,'Calc Canada'!$1:$1,0)-1,300))</f>
        <v/>
      </c>
      <c r="AC81" t="str">
        <f t="shared" ca="1" si="9"/>
        <v/>
      </c>
      <c r="AD81" t="str">
        <f t="shared" ca="1" si="10"/>
        <v/>
      </c>
    </row>
    <row r="82" spans="1:30" x14ac:dyDescent="0.25">
      <c r="A82" s="4">
        <v>42011</v>
      </c>
      <c r="B82">
        <v>1.3973</v>
      </c>
      <c r="C82" s="5">
        <v>1.4958</v>
      </c>
      <c r="D82">
        <v>1.679</v>
      </c>
      <c r="E82">
        <v>1.8664000000000001</v>
      </c>
      <c r="F82">
        <v>2.1415000000000002</v>
      </c>
      <c r="G82">
        <v>2.6154999999999999</v>
      </c>
      <c r="H82">
        <f t="shared" ca="1" si="12"/>
        <v>0.39053506714986141</v>
      </c>
      <c r="I82">
        <f t="shared" ca="1" si="12"/>
        <v>0.24617038430529425</v>
      </c>
      <c r="J82">
        <f t="shared" ca="1" si="12"/>
        <v>0.15038581513708754</v>
      </c>
      <c r="K82">
        <f t="shared" ca="1" si="12"/>
        <v>0.25181402848696582</v>
      </c>
      <c r="L82">
        <f t="shared" ca="1" si="12"/>
        <v>0.15383352487276311</v>
      </c>
      <c r="M82">
        <f t="shared" ca="1" si="12"/>
        <v>0.29022765990398014</v>
      </c>
      <c r="N82">
        <f t="shared" ca="1" si="12"/>
        <v>0.16736625881932662</v>
      </c>
      <c r="O82">
        <f t="shared" ca="1" si="12"/>
        <v>0.22582498768675105</v>
      </c>
      <c r="P82">
        <f t="shared" ca="1" si="12"/>
        <v>0.24569081003840326</v>
      </c>
      <c r="Q82">
        <f t="shared" ca="1" si="12"/>
        <v>0.29375333689268568</v>
      </c>
      <c r="R82">
        <f t="shared" ca="1" si="12"/>
        <v>0.5300443276966017</v>
      </c>
      <c r="S82">
        <f t="shared" ca="1" si="12"/>
        <v>0.37965851255951416</v>
      </c>
      <c r="T82">
        <f t="shared" ca="1" si="12"/>
        <v>0.41305706885772991</v>
      </c>
      <c r="V82" s="4">
        <f t="shared" si="13"/>
        <v>42011</v>
      </c>
      <c r="W82" s="5">
        <f t="shared" ca="1" si="11"/>
        <v>0.5300443276966017</v>
      </c>
      <c r="Z82" s="4" t="e">
        <f ca="1">IF(OFFSET('Calc Canada'!$A$1,0,0,300)="",MATCH("Error",AF82,0),OFFSET('Calc Canada'!$A$1,0,0,300))</f>
        <v>#N/A</v>
      </c>
      <c r="AA82" s="5" t="str">
        <f ca="1">IF(OFFSET('Calc Canada'!$A$1,0,MATCH(W$1,'Calc Canada'!$1:$1,0)-1,300)="","",OFFSET('Calc Canada'!$A$1,0,MATCH(W$1,'Calc Canada'!$1:$1,0)-1,300))</f>
        <v/>
      </c>
      <c r="AB82" s="5" t="str">
        <f ca="1">IF(OFFSET('Calc Canada'!$A$1,0,MATCH(X$1,'Calc Canada'!$1:$1,0)-1,300)="","",OFFSET('Calc Canada'!$A$1,0,MATCH(X$1,'Calc Canada'!$1:$1,0)-1,300))</f>
        <v/>
      </c>
      <c r="AC82" t="str">
        <f t="shared" ca="1" si="9"/>
        <v/>
      </c>
      <c r="AD82" t="str">
        <f t="shared" ca="1" si="10"/>
        <v/>
      </c>
    </row>
    <row r="83" spans="1:30" x14ac:dyDescent="0.25">
      <c r="A83" s="4">
        <v>42010</v>
      </c>
      <c r="B83">
        <v>1.383</v>
      </c>
      <c r="C83" s="5">
        <v>1.48</v>
      </c>
      <c r="D83">
        <v>1.6655</v>
      </c>
      <c r="E83">
        <v>1.8559999999999999</v>
      </c>
      <c r="F83">
        <v>2.1219000000000001</v>
      </c>
      <c r="G83">
        <v>2.6150000000000002</v>
      </c>
      <c r="H83">
        <f t="shared" ca="1" si="12"/>
        <v>0.39217758985200857</v>
      </c>
      <c r="I83">
        <f t="shared" ca="1" si="12"/>
        <v>0.25104885640817426</v>
      </c>
      <c r="J83">
        <f t="shared" ca="1" si="12"/>
        <v>0.1505681818181818</v>
      </c>
      <c r="K83">
        <f t="shared" ca="1" si="12"/>
        <v>0.25781567194478261</v>
      </c>
      <c r="L83">
        <f t="shared" ca="1" si="12"/>
        <v>0.15462662337662325</v>
      </c>
      <c r="M83">
        <f t="shared" ca="1" si="12"/>
        <v>0.2967751986290697</v>
      </c>
      <c r="N83">
        <f t="shared" ca="1" si="12"/>
        <v>0.16784140969162983</v>
      </c>
      <c r="O83">
        <f t="shared" ca="1" si="12"/>
        <v>0.21582792207792223</v>
      </c>
      <c r="P83">
        <f t="shared" ca="1" si="12"/>
        <v>0.23427312775330414</v>
      </c>
      <c r="Q83">
        <f t="shared" ca="1" si="12"/>
        <v>0.28004212743549256</v>
      </c>
      <c r="R83">
        <f t="shared" ca="1" si="12"/>
        <v>0.52102272727272725</v>
      </c>
      <c r="S83">
        <f t="shared" ca="1" si="12"/>
        <v>0.37045454545454548</v>
      </c>
      <c r="T83">
        <f t="shared" ca="1" si="12"/>
        <v>0.40211453744493397</v>
      </c>
      <c r="V83" s="4">
        <f t="shared" si="13"/>
        <v>42010</v>
      </c>
      <c r="W83" s="5">
        <f t="shared" ca="1" si="11"/>
        <v>0.52102272727272725</v>
      </c>
      <c r="Z83" s="4" t="e">
        <f ca="1">IF(OFFSET('Calc Canada'!$A$1,0,0,300)="",MATCH("Error",AF83,0),OFFSET('Calc Canada'!$A$1,0,0,300))</f>
        <v>#N/A</v>
      </c>
      <c r="AA83" s="5" t="str">
        <f ca="1">IF(OFFSET('Calc Canada'!$A$1,0,MATCH(W$1,'Calc Canada'!$1:$1,0)-1,300)="","",OFFSET('Calc Canada'!$A$1,0,MATCH(W$1,'Calc Canada'!$1:$1,0)-1,300))</f>
        <v/>
      </c>
      <c r="AB83" s="5" t="str">
        <f ca="1">IF(OFFSET('Calc Canada'!$A$1,0,MATCH(X$1,'Calc Canada'!$1:$1,0)-1,300)="","",OFFSET('Calc Canada'!$A$1,0,MATCH(X$1,'Calc Canada'!$1:$1,0)-1,300))</f>
        <v/>
      </c>
      <c r="AC83" t="str">
        <f t="shared" ca="1" si="9"/>
        <v/>
      </c>
      <c r="AD83" t="str">
        <f t="shared" ca="1" si="10"/>
        <v/>
      </c>
    </row>
    <row r="84" spans="1:30" x14ac:dyDescent="0.25">
      <c r="A84" s="4">
        <v>42009</v>
      </c>
      <c r="B84">
        <v>1.4134</v>
      </c>
      <c r="C84" s="5">
        <v>1.524</v>
      </c>
      <c r="D84">
        <v>1.7130000000000001</v>
      </c>
      <c r="E84">
        <v>1.9079999999999999</v>
      </c>
      <c r="F84">
        <v>2.1814999999999998</v>
      </c>
      <c r="G84">
        <v>2.6646000000000001</v>
      </c>
      <c r="H84">
        <f t="shared" ca="1" si="12"/>
        <v>0.38212697128993145</v>
      </c>
      <c r="I84">
        <f t="shared" ca="1" si="12"/>
        <v>0.24606171071475083</v>
      </c>
      <c r="J84">
        <f t="shared" ca="1" si="12"/>
        <v>0.15105498721227625</v>
      </c>
      <c r="K84">
        <f t="shared" ca="1" si="12"/>
        <v>0.25387319359458388</v>
      </c>
      <c r="L84">
        <f t="shared" ca="1" si="12"/>
        <v>0.15585038363171341</v>
      </c>
      <c r="M84">
        <f t="shared" ca="1" si="12"/>
        <v>0.29657794676806071</v>
      </c>
      <c r="N84">
        <f t="shared" ca="1" si="12"/>
        <v>0.17096265123619134</v>
      </c>
      <c r="O84">
        <f t="shared" ca="1" si="12"/>
        <v>0.21859015345268529</v>
      </c>
      <c r="P84">
        <f t="shared" ca="1" si="12"/>
        <v>0.23978607750306841</v>
      </c>
      <c r="Q84">
        <f t="shared" ca="1" si="12"/>
        <v>0.28741067675493892</v>
      </c>
      <c r="R84">
        <f t="shared" ca="1" si="12"/>
        <v>0.52549552429667501</v>
      </c>
      <c r="S84">
        <f t="shared" ca="1" si="12"/>
        <v>0.37444053708439873</v>
      </c>
      <c r="T84">
        <f t="shared" ca="1" si="12"/>
        <v>0.41074872873925977</v>
      </c>
      <c r="V84" s="4">
        <f t="shared" si="13"/>
        <v>42009</v>
      </c>
      <c r="W84" s="5">
        <f t="shared" ca="1" si="11"/>
        <v>0.52549552429667501</v>
      </c>
      <c r="Z84" s="4" t="e">
        <f ca="1">IF(OFFSET('Calc Canada'!$A$1,0,0,300)="",MATCH("Error",AF84,0),OFFSET('Calc Canada'!$A$1,0,0,300))</f>
        <v>#N/A</v>
      </c>
      <c r="AA84" s="5" t="str">
        <f ca="1">IF(OFFSET('Calc Canada'!$A$1,0,MATCH(W$1,'Calc Canada'!$1:$1,0)-1,300)="","",OFFSET('Calc Canada'!$A$1,0,MATCH(W$1,'Calc Canada'!$1:$1,0)-1,300))</f>
        <v/>
      </c>
      <c r="AB84" s="5" t="str">
        <f ca="1">IF(OFFSET('Calc Canada'!$A$1,0,MATCH(X$1,'Calc Canada'!$1:$1,0)-1,300)="","",OFFSET('Calc Canada'!$A$1,0,MATCH(X$1,'Calc Canada'!$1:$1,0)-1,300))</f>
        <v/>
      </c>
      <c r="AC84" t="str">
        <f t="shared" ca="1" si="9"/>
        <v/>
      </c>
      <c r="AD84" t="str">
        <f t="shared" ca="1" si="10"/>
        <v/>
      </c>
    </row>
    <row r="85" spans="1:30" x14ac:dyDescent="0.25">
      <c r="A85" s="4">
        <v>42006</v>
      </c>
      <c r="B85">
        <v>1.4311</v>
      </c>
      <c r="C85" s="5">
        <v>1.5445</v>
      </c>
      <c r="D85">
        <v>1.7536</v>
      </c>
      <c r="E85">
        <v>1.9590000000000001</v>
      </c>
      <c r="F85">
        <v>2.2305000000000001</v>
      </c>
      <c r="G85">
        <v>2.7194000000000003</v>
      </c>
      <c r="H85">
        <f t="shared" ca="1" si="12"/>
        <v>0.39609774578518669</v>
      </c>
      <c r="I85">
        <f t="shared" ca="1" si="12"/>
        <v>0.26157117838378791</v>
      </c>
      <c r="J85">
        <f t="shared" ca="1" si="12"/>
        <v>0.16230691609097261</v>
      </c>
      <c r="K85">
        <f t="shared" ca="1" si="12"/>
        <v>0.25694270703027272</v>
      </c>
      <c r="L85">
        <f t="shared" ca="1" si="12"/>
        <v>0.15943491422805248</v>
      </c>
      <c r="M85">
        <f t="shared" ca="1" si="12"/>
        <v>0.29941690962099121</v>
      </c>
      <c r="N85">
        <f t="shared" ca="1" si="12"/>
        <v>0.17482338922461485</v>
      </c>
      <c r="O85">
        <f t="shared" ca="1" si="12"/>
        <v>0.21074283940076072</v>
      </c>
      <c r="P85">
        <f t="shared" ca="1" si="12"/>
        <v>0.2310834964677845</v>
      </c>
      <c r="Q85">
        <f t="shared" ca="1" si="12"/>
        <v>0.28111410229861256</v>
      </c>
      <c r="R85">
        <f t="shared" ca="1" si="12"/>
        <v>0.53248466971978581</v>
      </c>
      <c r="S85">
        <f t="shared" ca="1" si="12"/>
        <v>0.37017775362881317</v>
      </c>
      <c r="T85">
        <f t="shared" ca="1" si="12"/>
        <v>0.40590688569239936</v>
      </c>
      <c r="V85" s="4">
        <f t="shared" si="13"/>
        <v>42006</v>
      </c>
      <c r="W85" s="5">
        <f t="shared" ca="1" si="11"/>
        <v>0.53248466971978581</v>
      </c>
      <c r="Z85" s="4" t="e">
        <f ca="1">IF(OFFSET('Calc Canada'!$A$1,0,0,300)="",MATCH("Error",AF85,0),OFFSET('Calc Canada'!$A$1,0,0,300))</f>
        <v>#N/A</v>
      </c>
      <c r="AA85" s="5" t="str">
        <f ca="1">IF(OFFSET('Calc Canada'!$A$1,0,MATCH(W$1,'Calc Canada'!$1:$1,0)-1,300)="","",OFFSET('Calc Canada'!$A$1,0,MATCH(W$1,'Calc Canada'!$1:$1,0)-1,300))</f>
        <v/>
      </c>
      <c r="AB85" s="5" t="str">
        <f ca="1">IF(OFFSET('Calc Canada'!$A$1,0,MATCH(X$1,'Calc Canada'!$1:$1,0)-1,300)="","",OFFSET('Calc Canada'!$A$1,0,MATCH(X$1,'Calc Canada'!$1:$1,0)-1,300))</f>
        <v/>
      </c>
      <c r="AC85" t="str">
        <f t="shared" ca="1" si="9"/>
        <v/>
      </c>
      <c r="AD85" t="str">
        <f t="shared" ca="1" si="10"/>
        <v/>
      </c>
    </row>
    <row r="86" spans="1:30" x14ac:dyDescent="0.25">
      <c r="A86" s="4">
        <v>42005</v>
      </c>
      <c r="B86">
        <v>1.4363999999999999</v>
      </c>
      <c r="C86" s="5">
        <v>1.5629999999999999</v>
      </c>
      <c r="D86">
        <v>1.776</v>
      </c>
      <c r="E86">
        <v>1.9929999999999999</v>
      </c>
      <c r="F86">
        <v>2.2719</v>
      </c>
      <c r="G86">
        <v>2.7522000000000002</v>
      </c>
      <c r="H86">
        <f t="shared" ca="1" si="12"/>
        <v>0.38268056054617333</v>
      </c>
      <c r="I86">
        <f t="shared" ca="1" si="12"/>
        <v>0.25493716337522448</v>
      </c>
      <c r="J86">
        <f t="shared" ca="1" si="12"/>
        <v>0.16187870497036025</v>
      </c>
      <c r="K86">
        <f t="shared" ca="1" si="12"/>
        <v>0.25972471573907818</v>
      </c>
      <c r="L86">
        <f t="shared" ca="1" si="12"/>
        <v>0.16491868065055465</v>
      </c>
      <c r="M86">
        <f t="shared" ca="1" si="12"/>
        <v>0.30610805473268421</v>
      </c>
      <c r="N86">
        <f t="shared" ca="1" si="12"/>
        <v>0.18247561385805569</v>
      </c>
      <c r="O86">
        <f t="shared" ca="1" si="12"/>
        <v>0.21196230430156565</v>
      </c>
      <c r="P86">
        <f t="shared" ca="1" si="12"/>
        <v>0.23452741338715111</v>
      </c>
      <c r="Q86">
        <f t="shared" ca="1" si="12"/>
        <v>0.2856996517107151</v>
      </c>
      <c r="R86">
        <f t="shared" ca="1" si="12"/>
        <v>0.53875968992248058</v>
      </c>
      <c r="S86">
        <f t="shared" ca="1" si="12"/>
        <v>0.3768809849521203</v>
      </c>
      <c r="T86">
        <f t="shared" ca="1" si="12"/>
        <v>0.41700302724520677</v>
      </c>
      <c r="V86" s="4">
        <f t="shared" si="13"/>
        <v>42005</v>
      </c>
      <c r="W86" s="5">
        <f t="shared" ca="1" si="11"/>
        <v>0.53875968992248058</v>
      </c>
      <c r="Z86" s="4" t="e">
        <f ca="1">IF(OFFSET('Calc Canada'!$A$1,0,0,300)="",MATCH("Error",AF86,0),OFFSET('Calc Canada'!$A$1,0,0,300))</f>
        <v>#N/A</v>
      </c>
      <c r="AA86" s="5" t="str">
        <f ca="1">IF(OFFSET('Calc Canada'!$A$1,0,MATCH(W$1,'Calc Canada'!$1:$1,0)-1,300)="","",OFFSET('Calc Canada'!$A$1,0,MATCH(W$1,'Calc Canada'!$1:$1,0)-1,300))</f>
        <v/>
      </c>
      <c r="AB86" s="5" t="str">
        <f ca="1">IF(OFFSET('Calc Canada'!$A$1,0,MATCH(X$1,'Calc Canada'!$1:$1,0)-1,300)="","",OFFSET('Calc Canada'!$A$1,0,MATCH(X$1,'Calc Canada'!$1:$1,0)-1,300))</f>
        <v/>
      </c>
      <c r="AC86" t="str">
        <f t="shared" ca="1" si="9"/>
        <v/>
      </c>
      <c r="AD86" t="str">
        <f t="shared" ca="1" si="10"/>
        <v/>
      </c>
    </row>
    <row r="87" spans="1:30" x14ac:dyDescent="0.25">
      <c r="A87" s="4">
        <v>42004</v>
      </c>
      <c r="B87">
        <v>1.4363999999999999</v>
      </c>
      <c r="C87" s="5">
        <v>1.5629999999999999</v>
      </c>
      <c r="D87">
        <v>1.7734000000000001</v>
      </c>
      <c r="E87">
        <v>1.9929999999999999</v>
      </c>
      <c r="F87">
        <v>2.2719</v>
      </c>
      <c r="G87">
        <v>2.7522000000000002</v>
      </c>
      <c r="H87">
        <f t="shared" ca="1" si="12"/>
        <v>0.3780093424362202</v>
      </c>
      <c r="I87">
        <f t="shared" ca="1" si="12"/>
        <v>0.25182525433871944</v>
      </c>
      <c r="J87">
        <f t="shared" ca="1" si="12"/>
        <v>0.15990272077823384</v>
      </c>
      <c r="K87">
        <f t="shared" ca="1" si="12"/>
        <v>0.26283662477558317</v>
      </c>
      <c r="L87">
        <f t="shared" ca="1" si="12"/>
        <v>0.16689466484268106</v>
      </c>
      <c r="M87">
        <f t="shared" ca="1" si="12"/>
        <v>0.30977570884468864</v>
      </c>
      <c r="N87">
        <f t="shared" ca="1" si="12"/>
        <v>0.18466195761856688</v>
      </c>
      <c r="O87">
        <f t="shared" ca="1" si="12"/>
        <v>0.21196230430156565</v>
      </c>
      <c r="P87">
        <f t="shared" ca="1" si="12"/>
        <v>0.23452741338715111</v>
      </c>
      <c r="Q87">
        <f t="shared" ca="1" si="12"/>
        <v>0.28494074376787915</v>
      </c>
      <c r="R87">
        <f t="shared" ca="1" si="12"/>
        <v>0.53875968992248058</v>
      </c>
      <c r="S87">
        <f t="shared" ca="1" si="12"/>
        <v>0.37885696914424671</v>
      </c>
      <c r="T87">
        <f t="shared" ca="1" si="12"/>
        <v>0.41918937100571801</v>
      </c>
      <c r="V87" s="4">
        <f t="shared" si="13"/>
        <v>42004</v>
      </c>
      <c r="W87" s="5">
        <f t="shared" ca="1" si="11"/>
        <v>0.53875968992248058</v>
      </c>
      <c r="Z87" s="4" t="e">
        <f ca="1">IF(OFFSET('Calc Canada'!$A$1,0,0,300)="",MATCH("Error",AF87,0),OFFSET('Calc Canada'!$A$1,0,0,300))</f>
        <v>#N/A</v>
      </c>
      <c r="AA87" s="5" t="str">
        <f ca="1">IF(OFFSET('Calc Canada'!$A$1,0,MATCH(W$1,'Calc Canada'!$1:$1,0)-1,300)="","",OFFSET('Calc Canada'!$A$1,0,MATCH(W$1,'Calc Canada'!$1:$1,0)-1,300))</f>
        <v/>
      </c>
      <c r="AB87" s="5" t="str">
        <f ca="1">IF(OFFSET('Calc Canada'!$A$1,0,MATCH(X$1,'Calc Canada'!$1:$1,0)-1,300)="","",OFFSET('Calc Canada'!$A$1,0,MATCH(X$1,'Calc Canada'!$1:$1,0)-1,300))</f>
        <v/>
      </c>
      <c r="AC87" t="str">
        <f t="shared" ca="1" si="9"/>
        <v/>
      </c>
      <c r="AD87" t="str">
        <f t="shared" ca="1" si="10"/>
        <v/>
      </c>
    </row>
    <row r="88" spans="1:30" x14ac:dyDescent="0.25">
      <c r="A88" s="4">
        <v>42003</v>
      </c>
      <c r="B88">
        <v>1.4410000000000001</v>
      </c>
      <c r="C88" s="5">
        <v>1.5678999999999998</v>
      </c>
      <c r="D88">
        <v>1.7877000000000001</v>
      </c>
      <c r="E88">
        <v>2.0089999999999999</v>
      </c>
      <c r="F88">
        <v>2.2949999999999999</v>
      </c>
      <c r="G88">
        <v>2.7763999999999998</v>
      </c>
      <c r="H88">
        <f t="shared" ca="1" si="12"/>
        <v>0.38697183098591598</v>
      </c>
      <c r="I88">
        <f t="shared" ca="1" si="12"/>
        <v>0.25737704918032817</v>
      </c>
      <c r="J88">
        <f t="shared" ca="1" si="12"/>
        <v>0.16459487793919444</v>
      </c>
      <c r="K88">
        <f t="shared" ca="1" si="12"/>
        <v>0.25913348946135817</v>
      </c>
      <c r="L88">
        <f t="shared" ca="1" si="12"/>
        <v>0.16571813688782377</v>
      </c>
      <c r="M88">
        <f t="shared" ca="1" si="12"/>
        <v>0.30435978544904391</v>
      </c>
      <c r="N88">
        <f t="shared" ca="1" si="12"/>
        <v>0.18311956971452201</v>
      </c>
      <c r="O88">
        <f t="shared" ca="1" si="12"/>
        <v>0.21416803953871508</v>
      </c>
      <c r="P88">
        <f t="shared" ca="1" si="12"/>
        <v>0.23665701282581716</v>
      </c>
      <c r="Q88">
        <f t="shared" ca="1" si="12"/>
        <v>0.28926873672499254</v>
      </c>
      <c r="R88">
        <f t="shared" ca="1" si="12"/>
        <v>0.54448105436573324</v>
      </c>
      <c r="S88">
        <f t="shared" ca="1" si="12"/>
        <v>0.37988617642653882</v>
      </c>
      <c r="T88">
        <f t="shared" ca="1" si="12"/>
        <v>0.41977658254033917</v>
      </c>
      <c r="V88" s="4">
        <f t="shared" si="13"/>
        <v>42003</v>
      </c>
      <c r="W88" s="5">
        <f t="shared" ca="1" si="11"/>
        <v>0.54448105436573324</v>
      </c>
      <c r="Z88" s="4" t="e">
        <f ca="1">IF(OFFSET('Calc Canada'!$A$1,0,0,300)="",MATCH("Error",AF88,0),OFFSET('Calc Canada'!$A$1,0,0,300))</f>
        <v>#N/A</v>
      </c>
      <c r="AA88" s="5" t="str">
        <f ca="1">IF(OFFSET('Calc Canada'!$A$1,0,MATCH(W$1,'Calc Canada'!$1:$1,0)-1,300)="","",OFFSET('Calc Canada'!$A$1,0,MATCH(W$1,'Calc Canada'!$1:$1,0)-1,300))</f>
        <v/>
      </c>
      <c r="AB88" s="5" t="str">
        <f ca="1">IF(OFFSET('Calc Canada'!$A$1,0,MATCH(X$1,'Calc Canada'!$1:$1,0)-1,300)="","",OFFSET('Calc Canada'!$A$1,0,MATCH(X$1,'Calc Canada'!$1:$1,0)-1,300))</f>
        <v/>
      </c>
      <c r="AC88" t="str">
        <f t="shared" ca="1" si="9"/>
        <v/>
      </c>
      <c r="AD88" t="str">
        <f t="shared" ca="1" si="10"/>
        <v/>
      </c>
    </row>
    <row r="89" spans="1:30" x14ac:dyDescent="0.25">
      <c r="A89" s="4">
        <v>42002</v>
      </c>
      <c r="B89">
        <v>1.4551000000000001</v>
      </c>
      <c r="C89" s="5">
        <v>1.5785</v>
      </c>
      <c r="D89">
        <v>1.7978000000000001</v>
      </c>
      <c r="E89">
        <v>2.0198</v>
      </c>
      <c r="F89">
        <v>2.3100999999999998</v>
      </c>
      <c r="G89">
        <v>2.8003999999999998</v>
      </c>
      <c r="H89">
        <f t="shared" ca="1" si="12"/>
        <v>0.38834779528953439</v>
      </c>
      <c r="I89">
        <f t="shared" ca="1" si="12"/>
        <v>0.25649122807017555</v>
      </c>
      <c r="J89">
        <f t="shared" ca="1" si="12"/>
        <v>0.163011967590872</v>
      </c>
      <c r="K89">
        <f t="shared" ca="1" si="12"/>
        <v>0.25964912280701757</v>
      </c>
      <c r="L89">
        <f t="shared" ca="1" si="12"/>
        <v>0.16501895487995244</v>
      </c>
      <c r="M89">
        <f t="shared" ca="1" si="12"/>
        <v>0.30344450519409516</v>
      </c>
      <c r="N89">
        <f t="shared" ca="1" si="12"/>
        <v>0.18168426221458386</v>
      </c>
      <c r="O89">
        <f t="shared" ca="1" si="12"/>
        <v>0.21578830000743318</v>
      </c>
      <c r="P89">
        <f t="shared" ca="1" si="12"/>
        <v>0.23758081676078224</v>
      </c>
      <c r="Q89">
        <f t="shared" ca="1" si="12"/>
        <v>0.28954717733891866</v>
      </c>
      <c r="R89">
        <f t="shared" ca="1" si="12"/>
        <v>0.54381922247825765</v>
      </c>
      <c r="S89">
        <f t="shared" ca="1" si="12"/>
        <v>0.38080725488738559</v>
      </c>
      <c r="T89">
        <f t="shared" ca="1" si="12"/>
        <v>0.41926507897536613</v>
      </c>
      <c r="V89" s="4">
        <f t="shared" si="13"/>
        <v>42002</v>
      </c>
      <c r="W89" s="5">
        <f t="shared" ca="1" si="11"/>
        <v>0.54381922247825765</v>
      </c>
      <c r="Z89" s="4" t="e">
        <f ca="1">IF(OFFSET('Calc Canada'!$A$1,0,0,300)="",MATCH("Error",AF89,0),OFFSET('Calc Canada'!$A$1,0,0,300))</f>
        <v>#N/A</v>
      </c>
      <c r="AA89" s="5" t="str">
        <f ca="1">IF(OFFSET('Calc Canada'!$A$1,0,MATCH(W$1,'Calc Canada'!$1:$1,0)-1,300)="","",OFFSET('Calc Canada'!$A$1,0,MATCH(W$1,'Calc Canada'!$1:$1,0)-1,300))</f>
        <v/>
      </c>
      <c r="AB89" s="5" t="str">
        <f ca="1">IF(OFFSET('Calc Canada'!$A$1,0,MATCH(X$1,'Calc Canada'!$1:$1,0)-1,300)="","",OFFSET('Calc Canada'!$A$1,0,MATCH(X$1,'Calc Canada'!$1:$1,0)-1,300))</f>
        <v/>
      </c>
      <c r="AC89" t="str">
        <f t="shared" ca="1" si="9"/>
        <v/>
      </c>
      <c r="AD89" t="str">
        <f t="shared" ca="1" si="10"/>
        <v/>
      </c>
    </row>
    <row r="90" spans="1:30" x14ac:dyDescent="0.25">
      <c r="A90" s="4">
        <v>41999</v>
      </c>
      <c r="B90">
        <v>1.4724999999999999</v>
      </c>
      <c r="C90" s="5">
        <v>1.5760000000000001</v>
      </c>
      <c r="D90">
        <v>1.8632</v>
      </c>
      <c r="E90">
        <v>2.0609999999999999</v>
      </c>
      <c r="F90">
        <v>2.3877000000000002</v>
      </c>
      <c r="G90">
        <v>2.8540999999999999</v>
      </c>
      <c r="H90">
        <f t="shared" ca="1" si="12"/>
        <v>0.48802039082412896</v>
      </c>
      <c r="I90">
        <f t="shared" ca="1" si="12"/>
        <v>0.31381118881118863</v>
      </c>
      <c r="J90">
        <f t="shared" ca="1" si="12"/>
        <v>0.20787492762015047</v>
      </c>
      <c r="K90">
        <f t="shared" ca="1" si="12"/>
        <v>0.21612762237762229</v>
      </c>
      <c r="L90">
        <f t="shared" ca="1" si="12"/>
        <v>0.1431673422119282</v>
      </c>
      <c r="M90">
        <f t="shared" ca="1" si="12"/>
        <v>0.2436860909202907</v>
      </c>
      <c r="N90">
        <f t="shared" ca="1" si="12"/>
        <v>0.15476097331977154</v>
      </c>
      <c r="O90">
        <f t="shared" ca="1" si="12"/>
        <v>0.23646496815286641</v>
      </c>
      <c r="P90">
        <f t="shared" ca="1" si="12"/>
        <v>0.25561380173695347</v>
      </c>
      <c r="Q90">
        <f t="shared" ca="1" si="12"/>
        <v>0.32970027247956429</v>
      </c>
      <c r="R90">
        <f t="shared" ca="1" si="12"/>
        <v>0.58750723798494509</v>
      </c>
      <c r="S90">
        <f t="shared" ca="1" si="12"/>
        <v>0.37963231036479461</v>
      </c>
      <c r="T90">
        <f t="shared" ca="1" si="12"/>
        <v>0.41037477505672504</v>
      </c>
      <c r="V90" s="4">
        <f t="shared" si="13"/>
        <v>41999</v>
      </c>
      <c r="W90" s="5">
        <f t="shared" ca="1" si="11"/>
        <v>0.58750723798494509</v>
      </c>
      <c r="Z90" s="4" t="e">
        <f ca="1">IF(OFFSET('Calc Canada'!$A$1,0,0,300)="",MATCH("Error",AF90,0),OFFSET('Calc Canada'!$A$1,0,0,300))</f>
        <v>#N/A</v>
      </c>
      <c r="AA90" s="5" t="str">
        <f ca="1">IF(OFFSET('Calc Canada'!$A$1,0,MATCH(W$1,'Calc Canada'!$1:$1,0)-1,300)="","",OFFSET('Calc Canada'!$A$1,0,MATCH(W$1,'Calc Canada'!$1:$1,0)-1,300))</f>
        <v/>
      </c>
      <c r="AB90" s="5" t="str">
        <f ca="1">IF(OFFSET('Calc Canada'!$A$1,0,MATCH(X$1,'Calc Canada'!$1:$1,0)-1,300)="","",OFFSET('Calc Canada'!$A$1,0,MATCH(X$1,'Calc Canada'!$1:$1,0)-1,300))</f>
        <v/>
      </c>
      <c r="AC90" t="str">
        <f t="shared" ca="1" si="9"/>
        <v/>
      </c>
      <c r="AD90" t="str">
        <f t="shared" ca="1" si="10"/>
        <v/>
      </c>
    </row>
    <row r="91" spans="1:30" x14ac:dyDescent="0.25">
      <c r="A91" s="4">
        <v>41998</v>
      </c>
      <c r="B91">
        <v>1.4731000000000001</v>
      </c>
      <c r="C91" s="5">
        <v>1.5760000000000001</v>
      </c>
      <c r="D91">
        <v>1.8633999999999999</v>
      </c>
      <c r="E91">
        <v>2.0609999999999999</v>
      </c>
      <c r="F91">
        <v>2.3877999999999999</v>
      </c>
      <c r="G91">
        <v>2.8542000000000001</v>
      </c>
      <c r="H91">
        <f t="shared" ca="1" si="12"/>
        <v>0.4888586494301751</v>
      </c>
      <c r="I91">
        <f t="shared" ca="1" si="12"/>
        <v>0.31420137750081983</v>
      </c>
      <c r="J91">
        <f t="shared" ca="1" si="12"/>
        <v>0.20809499674172752</v>
      </c>
      <c r="K91">
        <f t="shared" ca="1" si="12"/>
        <v>0.21602711271455124</v>
      </c>
      <c r="L91">
        <f t="shared" ca="1" si="12"/>
        <v>0.143074361016581</v>
      </c>
      <c r="M91">
        <f t="shared" ca="1" si="12"/>
        <v>0.24340970682434102</v>
      </c>
      <c r="N91">
        <f t="shared" ca="1" si="12"/>
        <v>0.15459239555625098</v>
      </c>
      <c r="O91">
        <f t="shared" ca="1" si="12"/>
        <v>0.23662298168126855</v>
      </c>
      <c r="P91">
        <f t="shared" ca="1" si="12"/>
        <v>0.2556720388045689</v>
      </c>
      <c r="Q91">
        <f t="shared" ca="1" si="12"/>
        <v>0.3298344771901493</v>
      </c>
      <c r="R91">
        <f t="shared" ca="1" si="12"/>
        <v>0.58779233943957709</v>
      </c>
      <c r="S91">
        <f t="shared" ca="1" si="12"/>
        <v>0.37969734269784955</v>
      </c>
      <c r="T91">
        <f t="shared" ca="1" si="12"/>
        <v>0.41026443436081989</v>
      </c>
      <c r="V91" s="4">
        <f t="shared" si="13"/>
        <v>41998</v>
      </c>
      <c r="W91" s="5">
        <f t="shared" ca="1" si="11"/>
        <v>0.58779233943957709</v>
      </c>
      <c r="Z91" s="4" t="e">
        <f ca="1">IF(OFFSET('Calc Canada'!$A$1,0,0,300)="",MATCH("Error",AF91,0),OFFSET('Calc Canada'!$A$1,0,0,300))</f>
        <v>#N/A</v>
      </c>
      <c r="AA91" s="5" t="str">
        <f ca="1">IF(OFFSET('Calc Canada'!$A$1,0,MATCH(W$1,'Calc Canada'!$1:$1,0)-1,300)="","",OFFSET('Calc Canada'!$A$1,0,MATCH(W$1,'Calc Canada'!$1:$1,0)-1,300))</f>
        <v/>
      </c>
      <c r="AB91" s="5" t="str">
        <f ca="1">IF(OFFSET('Calc Canada'!$A$1,0,MATCH(X$1,'Calc Canada'!$1:$1,0)-1,300)="","",OFFSET('Calc Canada'!$A$1,0,MATCH(X$1,'Calc Canada'!$1:$1,0)-1,300))</f>
        <v/>
      </c>
      <c r="AC91" t="str">
        <f t="shared" ca="1" si="9"/>
        <v/>
      </c>
      <c r="AD91" t="str">
        <f t="shared" ca="1" si="10"/>
        <v/>
      </c>
    </row>
    <row r="92" spans="1:30" x14ac:dyDescent="0.25">
      <c r="A92" s="4">
        <v>41997</v>
      </c>
      <c r="B92">
        <v>1.4731000000000001</v>
      </c>
      <c r="C92" s="5">
        <v>1.611</v>
      </c>
      <c r="D92">
        <v>1.8633999999999999</v>
      </c>
      <c r="E92">
        <v>2.0842999999999998</v>
      </c>
      <c r="F92">
        <v>2.3877999999999999</v>
      </c>
      <c r="G92">
        <v>2.8542000000000001</v>
      </c>
      <c r="H92">
        <f t="shared" ca="1" si="12"/>
        <v>0.41295811518324615</v>
      </c>
      <c r="I92">
        <f t="shared" ca="1" si="12"/>
        <v>0.27593746583579315</v>
      </c>
      <c r="J92">
        <f t="shared" ca="1" si="12"/>
        <v>0.18275287814061253</v>
      </c>
      <c r="K92">
        <f t="shared" ca="1" si="12"/>
        <v>0.24149994533726896</v>
      </c>
      <c r="L92">
        <f t="shared" ca="1" si="12"/>
        <v>0.15994497139960892</v>
      </c>
      <c r="M92">
        <f t="shared" ca="1" si="12"/>
        <v>0.28437178166838295</v>
      </c>
      <c r="N92">
        <f t="shared" ca="1" si="12"/>
        <v>0.17768661518661508</v>
      </c>
      <c r="O92">
        <f t="shared" ca="1" si="12"/>
        <v>0.2197523712982406</v>
      </c>
      <c r="P92">
        <f t="shared" ca="1" si="12"/>
        <v>0.2441280566280567</v>
      </c>
      <c r="Q92">
        <f t="shared" ca="1" si="12"/>
        <v>0.30631812676624959</v>
      </c>
      <c r="R92">
        <f t="shared" ca="1" si="12"/>
        <v>0.56245022083846208</v>
      </c>
      <c r="S92">
        <f t="shared" ca="1" si="12"/>
        <v>0.37969734269784955</v>
      </c>
      <c r="T92">
        <f t="shared" ca="1" si="12"/>
        <v>0.42181467181467175</v>
      </c>
      <c r="V92" s="4">
        <f t="shared" si="13"/>
        <v>41997</v>
      </c>
      <c r="W92" s="5">
        <f t="shared" ca="1" si="11"/>
        <v>0.56245022083846208</v>
      </c>
      <c r="Z92" s="4" t="e">
        <f ca="1">IF(OFFSET('Calc Canada'!$A$1,0,0,300)="",MATCH("Error",AF92,0),OFFSET('Calc Canada'!$A$1,0,0,300))</f>
        <v>#N/A</v>
      </c>
      <c r="AA92" s="5" t="str">
        <f ca="1">IF(OFFSET('Calc Canada'!$A$1,0,MATCH(W$1,'Calc Canada'!$1:$1,0)-1,300)="","",OFFSET('Calc Canada'!$A$1,0,MATCH(W$1,'Calc Canada'!$1:$1,0)-1,300))</f>
        <v/>
      </c>
      <c r="AB92" s="5" t="str">
        <f ca="1">IF(OFFSET('Calc Canada'!$A$1,0,MATCH(X$1,'Calc Canada'!$1:$1,0)-1,300)="","",OFFSET('Calc Canada'!$A$1,0,MATCH(X$1,'Calc Canada'!$1:$1,0)-1,300))</f>
        <v/>
      </c>
      <c r="AC92" t="str">
        <f t="shared" ca="1" si="9"/>
        <v/>
      </c>
      <c r="AD92" t="str">
        <f t="shared" ca="1" si="10"/>
        <v/>
      </c>
    </row>
    <row r="93" spans="1:30" x14ac:dyDescent="0.25">
      <c r="A93" s="4">
        <v>41996</v>
      </c>
      <c r="B93">
        <v>1.4683999999999999</v>
      </c>
      <c r="C93" s="5">
        <v>1.6097999999999999</v>
      </c>
      <c r="D93">
        <v>1.8622999999999998</v>
      </c>
      <c r="E93">
        <v>2.0876000000000001</v>
      </c>
      <c r="F93">
        <v>2.3835000000000002</v>
      </c>
      <c r="G93">
        <v>2.8418000000000001</v>
      </c>
      <c r="H93">
        <f t="shared" ref="H93:T108" ca="1" si="14">IF(ISERROR(ABS(OFFSET($A$11,ROW()-11,MATCH(LEFT(H$9,2),$A$11:$G$11,0)-1)-OFFSET($A$11,ROW()-11,MATCH(RIGHT(H$9,2),$A$11:$G$11,0)-1))/ABS(OFFSET($A$11,ROW()-11,MATCH(LEFT(H$10,2),$A$11:$G$11,0)-1)-OFFSET($A$11,ROW()-11,MATCH(RIGHT(H$10,2),$A$11:$G$11,0)-1))),"",ABS(OFFSET($A$11,ROW()-11,MATCH(LEFT(H$9,2),$A$11:$G$11,0)-1)-OFFSET($A$11,ROW()-11,MATCH(RIGHT(H$9,2),$A$11:$G$11,0)-1))/ABS(OFFSET($A$11,ROW()-11,MATCH(LEFT(H$10,2),$A$11:$G$11,0)-1)-OFFSET($A$11,ROW()-11,MATCH(RIGHT(H$10,2),$A$11:$G$11,0)-1)))</f>
        <v>0.40778423772609795</v>
      </c>
      <c r="I93">
        <f t="shared" ca="1" si="14"/>
        <v>0.27592612829198981</v>
      </c>
      <c r="J93">
        <f t="shared" ca="1" si="14"/>
        <v>0.18385029852919754</v>
      </c>
      <c r="K93">
        <f t="shared" ca="1" si="14"/>
        <v>0.24620260080865503</v>
      </c>
      <c r="L93">
        <f t="shared" ca="1" si="14"/>
        <v>0.16404543468763672</v>
      </c>
      <c r="M93">
        <f t="shared" ca="1" si="14"/>
        <v>0.29119813881349388</v>
      </c>
      <c r="N93">
        <f t="shared" ca="1" si="14"/>
        <v>0.18287337662337683</v>
      </c>
      <c r="O93">
        <f t="shared" ca="1" si="14"/>
        <v>0.21545070627639437</v>
      </c>
      <c r="P93">
        <f t="shared" ca="1" si="14"/>
        <v>0.24017857142857144</v>
      </c>
      <c r="Q93">
        <f t="shared" ca="1" si="14"/>
        <v>0.3020929045431342</v>
      </c>
      <c r="R93">
        <f t="shared" ca="1" si="14"/>
        <v>0.5633464394932286</v>
      </c>
      <c r="S93">
        <f t="shared" ca="1" si="14"/>
        <v>0.37949614096403106</v>
      </c>
      <c r="T93">
        <f t="shared" ca="1" si="14"/>
        <v>0.42305194805194823</v>
      </c>
      <c r="V93" s="4">
        <f t="shared" si="13"/>
        <v>41996</v>
      </c>
      <c r="W93" s="5">
        <f t="shared" ca="1" si="11"/>
        <v>0.5633464394932286</v>
      </c>
      <c r="Z93" s="4" t="e">
        <f ca="1">IF(OFFSET('Calc Canada'!$A$1,0,0,300)="",MATCH("Error",AF93,0),OFFSET('Calc Canada'!$A$1,0,0,300))</f>
        <v>#N/A</v>
      </c>
      <c r="AA93" s="5" t="str">
        <f ca="1">IF(OFFSET('Calc Canada'!$A$1,0,MATCH(W$1,'Calc Canada'!$1:$1,0)-1,300)="","",OFFSET('Calc Canada'!$A$1,0,MATCH(W$1,'Calc Canada'!$1:$1,0)-1,300))</f>
        <v/>
      </c>
      <c r="AB93" s="5" t="str">
        <f ca="1">IF(OFFSET('Calc Canada'!$A$1,0,MATCH(X$1,'Calc Canada'!$1:$1,0)-1,300)="","",OFFSET('Calc Canada'!$A$1,0,MATCH(X$1,'Calc Canada'!$1:$1,0)-1,300))</f>
        <v/>
      </c>
      <c r="AC93" t="str">
        <f t="shared" ca="1" si="9"/>
        <v/>
      </c>
      <c r="AD93" t="str">
        <f t="shared" ca="1" si="10"/>
        <v/>
      </c>
    </row>
    <row r="94" spans="1:30" x14ac:dyDescent="0.25">
      <c r="A94" s="4">
        <v>41995</v>
      </c>
      <c r="B94">
        <v>1.4361999999999999</v>
      </c>
      <c r="C94" s="5">
        <v>1.5552000000000001</v>
      </c>
      <c r="D94">
        <v>1.7723</v>
      </c>
      <c r="E94">
        <v>1.9889999999999999</v>
      </c>
      <c r="F94">
        <v>2.2795999999999998</v>
      </c>
      <c r="G94">
        <v>2.7480000000000002</v>
      </c>
      <c r="H94">
        <f t="shared" ca="1" si="14"/>
        <v>0.39272793053545563</v>
      </c>
      <c r="I94">
        <f t="shared" ca="1" si="14"/>
        <v>0.2574104813848706</v>
      </c>
      <c r="J94">
        <f t="shared" ca="1" si="14"/>
        <v>0.16549778929714881</v>
      </c>
      <c r="K94">
        <f t="shared" ca="1" si="14"/>
        <v>0.25693621057623894</v>
      </c>
      <c r="L94">
        <f t="shared" ca="1" si="14"/>
        <v>0.16519286476597031</v>
      </c>
      <c r="M94">
        <f t="shared" ca="1" si="14"/>
        <v>0.29914411927112089</v>
      </c>
      <c r="N94">
        <f t="shared" ca="1" si="14"/>
        <v>0.18167337357478192</v>
      </c>
      <c r="O94">
        <f t="shared" ca="1" si="14"/>
        <v>0.22152767190120437</v>
      </c>
      <c r="P94">
        <f t="shared" ca="1" si="14"/>
        <v>0.24362843729040909</v>
      </c>
      <c r="Q94">
        <f t="shared" ca="1" si="14"/>
        <v>0.29783745003587159</v>
      </c>
      <c r="R94">
        <f t="shared" ca="1" si="14"/>
        <v>0.55221832596432352</v>
      </c>
      <c r="S94">
        <f t="shared" ca="1" si="14"/>
        <v>0.38672053666717471</v>
      </c>
      <c r="T94">
        <f t="shared" ca="1" si="14"/>
        <v>0.42530181086519098</v>
      </c>
      <c r="V94" s="4">
        <f t="shared" si="13"/>
        <v>41995</v>
      </c>
      <c r="W94" s="5">
        <f t="shared" ca="1" si="11"/>
        <v>0.55221832596432352</v>
      </c>
      <c r="Z94" s="4" t="e">
        <f ca="1">IF(OFFSET('Calc Canada'!$A$1,0,0,300)="",MATCH("Error",AF94,0),OFFSET('Calc Canada'!$A$1,0,0,300))</f>
        <v>#N/A</v>
      </c>
      <c r="AA94" s="5" t="str">
        <f ca="1">IF(OFFSET('Calc Canada'!$A$1,0,MATCH(W$1,'Calc Canada'!$1:$1,0)-1,300)="","",OFFSET('Calc Canada'!$A$1,0,MATCH(W$1,'Calc Canada'!$1:$1,0)-1,300))</f>
        <v/>
      </c>
      <c r="AB94" s="5" t="str">
        <f ca="1">IF(OFFSET('Calc Canada'!$A$1,0,MATCH(X$1,'Calc Canada'!$1:$1,0)-1,300)="","",OFFSET('Calc Canada'!$A$1,0,MATCH(X$1,'Calc Canada'!$1:$1,0)-1,300))</f>
        <v/>
      </c>
      <c r="AC94" t="str">
        <f t="shared" ca="1" si="9"/>
        <v/>
      </c>
      <c r="AD94" t="str">
        <f t="shared" ca="1" si="10"/>
        <v/>
      </c>
    </row>
    <row r="95" spans="1:30" x14ac:dyDescent="0.25">
      <c r="A95" s="4">
        <v>41992</v>
      </c>
      <c r="B95">
        <v>1.4219999999999999</v>
      </c>
      <c r="C95" s="5">
        <v>1.5580000000000001</v>
      </c>
      <c r="D95">
        <v>1.7938000000000001</v>
      </c>
      <c r="E95">
        <v>2.0125000000000002</v>
      </c>
      <c r="F95">
        <v>2.2970000000000002</v>
      </c>
      <c r="G95">
        <v>2.7610000000000001</v>
      </c>
      <c r="H95">
        <f t="shared" ca="1" si="14"/>
        <v>0.39932260795935631</v>
      </c>
      <c r="I95">
        <f t="shared" ca="1" si="14"/>
        <v>0.26948571428571422</v>
      </c>
      <c r="J95">
        <f t="shared" ca="1" si="14"/>
        <v>0.17610156833457802</v>
      </c>
      <c r="K95">
        <f t="shared" ca="1" si="14"/>
        <v>0.24994285714285722</v>
      </c>
      <c r="L95">
        <f t="shared" ca="1" si="14"/>
        <v>0.16333084391336825</v>
      </c>
      <c r="M95">
        <f t="shared" ca="1" si="14"/>
        <v>0.2959404600811909</v>
      </c>
      <c r="N95">
        <f t="shared" ca="1" si="14"/>
        <v>0.18179551122194523</v>
      </c>
      <c r="O95">
        <f t="shared" ca="1" si="14"/>
        <v>0.21247199402539205</v>
      </c>
      <c r="P95">
        <f t="shared" ca="1" si="14"/>
        <v>0.23649210307564419</v>
      </c>
      <c r="Q95">
        <f t="shared" ca="1" si="14"/>
        <v>0.29414805624483037</v>
      </c>
      <c r="R95">
        <f t="shared" ca="1" si="14"/>
        <v>0.55190440627333825</v>
      </c>
      <c r="S95">
        <f t="shared" ca="1" si="14"/>
        <v>0.37580283793876029</v>
      </c>
      <c r="T95">
        <f t="shared" ca="1" si="14"/>
        <v>0.41828761429758943</v>
      </c>
      <c r="V95" s="4">
        <f t="shared" si="13"/>
        <v>41992</v>
      </c>
      <c r="W95" s="5">
        <f t="shared" ca="1" si="11"/>
        <v>0.55190440627333825</v>
      </c>
      <c r="Z95" s="4" t="e">
        <f ca="1">IF(OFFSET('Calc Canada'!$A$1,0,0,300)="",MATCH("Error",AF95,0),OFFSET('Calc Canada'!$A$1,0,0,300))</f>
        <v>#N/A</v>
      </c>
      <c r="AA95" s="5" t="str">
        <f ca="1">IF(OFFSET('Calc Canada'!$A$1,0,MATCH(W$1,'Calc Canada'!$1:$1,0)-1,300)="","",OFFSET('Calc Canada'!$A$1,0,MATCH(W$1,'Calc Canada'!$1:$1,0)-1,300))</f>
        <v/>
      </c>
      <c r="AB95" s="5" t="str">
        <f ca="1">IF(OFFSET('Calc Canada'!$A$1,0,MATCH(X$1,'Calc Canada'!$1:$1,0)-1,300)="","",OFFSET('Calc Canada'!$A$1,0,MATCH(X$1,'Calc Canada'!$1:$1,0)-1,300))</f>
        <v/>
      </c>
      <c r="AC95" t="str">
        <f t="shared" ca="1" si="9"/>
        <v/>
      </c>
      <c r="AD95" t="str">
        <f t="shared" ca="1" si="10"/>
        <v/>
      </c>
    </row>
    <row r="96" spans="1:30" x14ac:dyDescent="0.25">
      <c r="A96" s="4">
        <v>41991</v>
      </c>
      <c r="B96">
        <v>1.431</v>
      </c>
      <c r="C96" s="5">
        <v>1.577</v>
      </c>
      <c r="D96">
        <v>1.8315000000000001</v>
      </c>
      <c r="E96">
        <v>2.0592999999999999</v>
      </c>
      <c r="F96">
        <v>2.3620999999999999</v>
      </c>
      <c r="G96">
        <v>2.827</v>
      </c>
      <c r="H96">
        <f t="shared" ca="1" si="14"/>
        <v>0.40506127646029005</v>
      </c>
      <c r="I96">
        <f t="shared" ca="1" si="14"/>
        <v>0.27333261733433595</v>
      </c>
      <c r="J96">
        <f t="shared" ca="1" si="14"/>
        <v>0.18230659025787979</v>
      </c>
      <c r="K96">
        <f t="shared" ca="1" si="14"/>
        <v>0.24465685748039934</v>
      </c>
      <c r="L96">
        <f t="shared" ca="1" si="14"/>
        <v>0.16318051575931217</v>
      </c>
      <c r="M96">
        <f t="shared" ca="1" si="14"/>
        <v>0.2901541204942043</v>
      </c>
      <c r="N96">
        <f t="shared" ca="1" si="14"/>
        <v>0.18223999999999982</v>
      </c>
      <c r="O96">
        <f t="shared" ca="1" si="14"/>
        <v>0.21690544412607449</v>
      </c>
      <c r="P96">
        <f t="shared" ca="1" si="14"/>
        <v>0.24223999999999996</v>
      </c>
      <c r="Q96">
        <f t="shared" ca="1" si="14"/>
        <v>0.3041687594173782</v>
      </c>
      <c r="R96">
        <f t="shared" ca="1" si="14"/>
        <v>0.5623925501432665</v>
      </c>
      <c r="S96">
        <f t="shared" ca="1" si="14"/>
        <v>0.38008595988538668</v>
      </c>
      <c r="T96">
        <f t="shared" ca="1" si="14"/>
        <v>0.4244799999999998</v>
      </c>
      <c r="V96" s="4">
        <f t="shared" si="13"/>
        <v>41991</v>
      </c>
      <c r="W96" s="5">
        <f t="shared" ca="1" si="11"/>
        <v>0.5623925501432665</v>
      </c>
      <c r="Z96" s="4" t="e">
        <f ca="1">IF(OFFSET('Calc Canada'!$A$1,0,0,300)="",MATCH("Error",AF96,0),OFFSET('Calc Canada'!$A$1,0,0,300))</f>
        <v>#N/A</v>
      </c>
      <c r="AA96" s="5" t="str">
        <f ca="1">IF(OFFSET('Calc Canada'!$A$1,0,MATCH(W$1,'Calc Canada'!$1:$1,0)-1,300)="","",OFFSET('Calc Canada'!$A$1,0,MATCH(W$1,'Calc Canada'!$1:$1,0)-1,300))</f>
        <v/>
      </c>
      <c r="AB96" s="5" t="str">
        <f ca="1">IF(OFFSET('Calc Canada'!$A$1,0,MATCH(X$1,'Calc Canada'!$1:$1,0)-1,300)="","",OFFSET('Calc Canada'!$A$1,0,MATCH(X$1,'Calc Canada'!$1:$1,0)-1,300))</f>
        <v/>
      </c>
      <c r="AC96" t="str">
        <f t="shared" ca="1" si="9"/>
        <v/>
      </c>
      <c r="AD96" t="str">
        <f t="shared" ca="1" si="10"/>
        <v/>
      </c>
    </row>
    <row r="97" spans="1:30" x14ac:dyDescent="0.25">
      <c r="A97" s="4">
        <v>41990</v>
      </c>
      <c r="B97">
        <v>1.4104999999999999</v>
      </c>
      <c r="C97" s="5">
        <v>1.5495000000000001</v>
      </c>
      <c r="D97">
        <v>1.802</v>
      </c>
      <c r="E97">
        <v>2.0160999999999998</v>
      </c>
      <c r="F97">
        <v>2.3062</v>
      </c>
      <c r="G97">
        <v>2.7761</v>
      </c>
      <c r="H97">
        <f t="shared" ca="1" si="14"/>
        <v>0.41694187582562747</v>
      </c>
      <c r="I97">
        <f t="shared" ca="1" si="14"/>
        <v>0.28190242268616711</v>
      </c>
      <c r="J97">
        <f t="shared" ca="1" si="14"/>
        <v>0.18490041007615693</v>
      </c>
      <c r="K97">
        <f t="shared" ca="1" si="14"/>
        <v>0.23903092553310226</v>
      </c>
      <c r="L97">
        <f t="shared" ca="1" si="14"/>
        <v>0.1567809021675452</v>
      </c>
      <c r="M97">
        <f t="shared" ca="1" si="14"/>
        <v>0.28293907757367487</v>
      </c>
      <c r="N97">
        <f t="shared" ca="1" si="14"/>
        <v>0.17454752975705182</v>
      </c>
      <c r="O97">
        <f t="shared" ca="1" si="14"/>
        <v>0.21243409490333934</v>
      </c>
      <c r="P97">
        <f t="shared" ca="1" si="14"/>
        <v>0.23650741888146118</v>
      </c>
      <c r="Q97">
        <f t="shared" ca="1" si="14"/>
        <v>0.29781336618417026</v>
      </c>
      <c r="R97">
        <f t="shared" ca="1" si="14"/>
        <v>0.55411540714704144</v>
      </c>
      <c r="S97">
        <f t="shared" ca="1" si="14"/>
        <v>0.36921499707088457</v>
      </c>
      <c r="T97">
        <f t="shared" ca="1" si="14"/>
        <v>0.411054948638513</v>
      </c>
      <c r="V97" s="4">
        <f t="shared" si="13"/>
        <v>41990</v>
      </c>
      <c r="W97" s="5">
        <f t="shared" ca="1" si="11"/>
        <v>0.55411540714704144</v>
      </c>
      <c r="Z97" s="4" t="e">
        <f ca="1">IF(OFFSET('Calc Canada'!$A$1,0,0,300)="",MATCH("Error",AF97,0),OFFSET('Calc Canada'!$A$1,0,0,300))</f>
        <v>#N/A</v>
      </c>
      <c r="AA97" s="5" t="str">
        <f ca="1">IF(OFFSET('Calc Canada'!$A$1,0,MATCH(W$1,'Calc Canada'!$1:$1,0)-1,300)="","",OFFSET('Calc Canada'!$A$1,0,MATCH(W$1,'Calc Canada'!$1:$1,0)-1,300))</f>
        <v/>
      </c>
      <c r="AB97" s="5" t="str">
        <f ca="1">IF(OFFSET('Calc Canada'!$A$1,0,MATCH(X$1,'Calc Canada'!$1:$1,0)-1,300)="","",OFFSET('Calc Canada'!$A$1,0,MATCH(X$1,'Calc Canada'!$1:$1,0)-1,300))</f>
        <v/>
      </c>
      <c r="AC97" t="str">
        <f t="shared" ca="1" si="9"/>
        <v/>
      </c>
      <c r="AD97" t="str">
        <f t="shared" ca="1" si="10"/>
        <v/>
      </c>
    </row>
    <row r="98" spans="1:30" x14ac:dyDescent="0.25">
      <c r="A98" s="4">
        <v>41989</v>
      </c>
      <c r="B98">
        <v>1.359</v>
      </c>
      <c r="C98" s="5">
        <v>1.4923</v>
      </c>
      <c r="D98">
        <v>1.7278</v>
      </c>
      <c r="E98">
        <v>1.956</v>
      </c>
      <c r="F98">
        <v>2.254</v>
      </c>
      <c r="G98">
        <v>2.7403</v>
      </c>
      <c r="H98">
        <f t="shared" ca="1" si="14"/>
        <v>0.39447236180904532</v>
      </c>
      <c r="I98">
        <f t="shared" ca="1" si="14"/>
        <v>0.26312849162011176</v>
      </c>
      <c r="J98">
        <f t="shared" ca="1" si="14"/>
        <v>0.17049156591616596</v>
      </c>
      <c r="K98">
        <f t="shared" ca="1" si="14"/>
        <v>0.25497206703910608</v>
      </c>
      <c r="L98">
        <f t="shared" ca="1" si="14"/>
        <v>0.16520668935061172</v>
      </c>
      <c r="M98">
        <f t="shared" ca="1" si="14"/>
        <v>0.2995930156229486</v>
      </c>
      <c r="N98">
        <f t="shared" ca="1" si="14"/>
        <v>0.18285256410256406</v>
      </c>
      <c r="O98">
        <f t="shared" ca="1" si="14"/>
        <v>0.21573879678563676</v>
      </c>
      <c r="P98">
        <f t="shared" ca="1" si="14"/>
        <v>0.23878205128205132</v>
      </c>
      <c r="Q98">
        <f t="shared" ca="1" si="14"/>
        <v>0.29432098765432102</v>
      </c>
      <c r="R98">
        <f t="shared" ca="1" si="14"/>
        <v>0.55143705205241444</v>
      </c>
      <c r="S98">
        <f t="shared" ca="1" si="14"/>
        <v>0.38094548613624846</v>
      </c>
      <c r="T98">
        <f t="shared" ca="1" si="14"/>
        <v>0.42163461538461539</v>
      </c>
      <c r="V98" s="4">
        <f t="shared" si="13"/>
        <v>41989</v>
      </c>
      <c r="W98" s="5">
        <f t="shared" ca="1" si="11"/>
        <v>0.55143705205241444</v>
      </c>
      <c r="Z98" s="4" t="e">
        <f ca="1">IF(OFFSET('Calc Canada'!$A$1,0,0,300)="",MATCH("Error",AF98,0),OFFSET('Calc Canada'!$A$1,0,0,300))</f>
        <v>#N/A</v>
      </c>
      <c r="AA98" s="5" t="str">
        <f ca="1">IF(OFFSET('Calc Canada'!$A$1,0,MATCH(W$1,'Calc Canada'!$1:$1,0)-1,300)="","",OFFSET('Calc Canada'!$A$1,0,MATCH(W$1,'Calc Canada'!$1:$1,0)-1,300))</f>
        <v/>
      </c>
      <c r="AB98" s="5" t="str">
        <f ca="1">IF(OFFSET('Calc Canada'!$A$1,0,MATCH(X$1,'Calc Canada'!$1:$1,0)-1,300)="","",OFFSET('Calc Canada'!$A$1,0,MATCH(X$1,'Calc Canada'!$1:$1,0)-1,300))</f>
        <v/>
      </c>
      <c r="AC98" t="str">
        <f t="shared" ca="1" si="9"/>
        <v/>
      </c>
      <c r="AD98" t="str">
        <f t="shared" ca="1" si="10"/>
        <v/>
      </c>
    </row>
    <row r="99" spans="1:30" x14ac:dyDescent="0.25">
      <c r="A99" s="4">
        <v>41988</v>
      </c>
      <c r="B99">
        <v>1.3856999999999999</v>
      </c>
      <c r="C99" s="5">
        <v>1.5244</v>
      </c>
      <c r="D99">
        <v>1.7692999999999999</v>
      </c>
      <c r="E99">
        <v>1.9944999999999999</v>
      </c>
      <c r="F99">
        <v>2.2850000000000001</v>
      </c>
      <c r="G99">
        <v>2.7605</v>
      </c>
      <c r="H99">
        <f t="shared" ca="1" si="14"/>
        <v>0.4022667542706963</v>
      </c>
      <c r="I99">
        <f t="shared" ca="1" si="14"/>
        <v>0.27232291782497481</v>
      </c>
      <c r="J99">
        <f t="shared" ca="1" si="14"/>
        <v>0.17813500145475697</v>
      </c>
      <c r="K99">
        <f t="shared" ca="1" si="14"/>
        <v>0.25041699099299458</v>
      </c>
      <c r="L99">
        <f t="shared" ca="1" si="14"/>
        <v>0.16380564445737567</v>
      </c>
      <c r="M99">
        <f t="shared" ca="1" si="14"/>
        <v>0.29608204049434661</v>
      </c>
      <c r="N99">
        <f t="shared" ca="1" si="14"/>
        <v>0.18218590728905434</v>
      </c>
      <c r="O99">
        <f t="shared" ca="1" si="14"/>
        <v>0.2113034623217924</v>
      </c>
      <c r="P99">
        <f t="shared" ca="1" si="14"/>
        <v>0.23501334843459284</v>
      </c>
      <c r="Q99">
        <f t="shared" ca="1" si="14"/>
        <v>0.29307909604519794</v>
      </c>
      <c r="R99">
        <f t="shared" ca="1" si="14"/>
        <v>0.553244108233925</v>
      </c>
      <c r="S99">
        <f t="shared" ca="1" si="14"/>
        <v>0.37510910677916809</v>
      </c>
      <c r="T99">
        <f t="shared" ca="1" si="14"/>
        <v>0.41719925572364719</v>
      </c>
      <c r="V99" s="4">
        <f t="shared" si="13"/>
        <v>41988</v>
      </c>
      <c r="W99" s="5">
        <f t="shared" ca="1" si="11"/>
        <v>0.553244108233925</v>
      </c>
      <c r="Z99" s="4" t="e">
        <f ca="1">IF(OFFSET('Calc Canada'!$A$1,0,0,300)="",MATCH("Error",AF99,0),OFFSET('Calc Canada'!$A$1,0,0,300))</f>
        <v>#N/A</v>
      </c>
      <c r="AA99" s="5" t="str">
        <f ca="1">IF(OFFSET('Calc Canada'!$A$1,0,MATCH(W$1,'Calc Canada'!$1:$1,0)-1,300)="","",OFFSET('Calc Canada'!$A$1,0,MATCH(W$1,'Calc Canada'!$1:$1,0)-1,300))</f>
        <v/>
      </c>
      <c r="AB99" s="5" t="str">
        <f ca="1">IF(OFFSET('Calc Canada'!$A$1,0,MATCH(X$1,'Calc Canada'!$1:$1,0)-1,300)="","",OFFSET('Calc Canada'!$A$1,0,MATCH(X$1,'Calc Canada'!$1:$1,0)-1,300))</f>
        <v/>
      </c>
      <c r="AC99" t="str">
        <f t="shared" ca="1" si="9"/>
        <v/>
      </c>
      <c r="AD99" t="str">
        <f t="shared" ca="1" si="10"/>
        <v/>
      </c>
    </row>
    <row r="100" spans="1:30" x14ac:dyDescent="0.25">
      <c r="A100" s="4">
        <v>41985</v>
      </c>
      <c r="B100">
        <v>1.3768</v>
      </c>
      <c r="C100" s="5">
        <v>1.5061</v>
      </c>
      <c r="D100">
        <v>1.7364000000000002</v>
      </c>
      <c r="E100">
        <v>1.9607999999999999</v>
      </c>
      <c r="F100">
        <v>2.2574000000000001</v>
      </c>
      <c r="G100">
        <v>2.7326000000000001</v>
      </c>
      <c r="H100">
        <f t="shared" ca="1" si="14"/>
        <v>0.39434931506849352</v>
      </c>
      <c r="I100">
        <f t="shared" ca="1" si="14"/>
        <v>0.26152623211446757</v>
      </c>
      <c r="J100">
        <f t="shared" ca="1" si="14"/>
        <v>0.16986281162413347</v>
      </c>
      <c r="K100">
        <f t="shared" ca="1" si="14"/>
        <v>0.25482625482625448</v>
      </c>
      <c r="L100">
        <f t="shared" ca="1" si="14"/>
        <v>0.16551113733589001</v>
      </c>
      <c r="M100">
        <f t="shared" ca="1" si="14"/>
        <v>0.29868228404099517</v>
      </c>
      <c r="N100">
        <f t="shared" ca="1" si="14"/>
        <v>0.18295964125560513</v>
      </c>
      <c r="O100">
        <f t="shared" ca="1" si="14"/>
        <v>0.21876382947337378</v>
      </c>
      <c r="P100">
        <f t="shared" ca="1" si="14"/>
        <v>0.24182633509987783</v>
      </c>
      <c r="Q100">
        <f t="shared" ca="1" si="14"/>
        <v>0.29773137924111642</v>
      </c>
      <c r="R100">
        <f t="shared" ca="1" si="14"/>
        <v>0.55413777843339729</v>
      </c>
      <c r="S100">
        <f t="shared" ca="1" si="14"/>
        <v>0.38427496680926382</v>
      </c>
      <c r="T100">
        <f t="shared" ca="1" si="14"/>
        <v>0.42478597635548293</v>
      </c>
      <c r="V100" s="4">
        <f t="shared" si="13"/>
        <v>41985</v>
      </c>
      <c r="W100" s="5">
        <f t="shared" ca="1" si="11"/>
        <v>0.55413777843339729</v>
      </c>
      <c r="Z100" s="4" t="e">
        <f ca="1">IF(OFFSET('Calc Canada'!$A$1,0,0,300)="",MATCH("Error",AF100,0),OFFSET('Calc Canada'!$A$1,0,0,300))</f>
        <v>#N/A</v>
      </c>
      <c r="AA100" s="5" t="str">
        <f ca="1">IF(OFFSET('Calc Canada'!$A$1,0,MATCH(W$1,'Calc Canada'!$1:$1,0)-1,300)="","",OFFSET('Calc Canada'!$A$1,0,MATCH(W$1,'Calc Canada'!$1:$1,0)-1,300))</f>
        <v/>
      </c>
      <c r="AB100" s="5" t="str">
        <f ca="1">IF(OFFSET('Calc Canada'!$A$1,0,MATCH(X$1,'Calc Canada'!$1:$1,0)-1,300)="","",OFFSET('Calc Canada'!$A$1,0,MATCH(X$1,'Calc Canada'!$1:$1,0)-1,300))</f>
        <v/>
      </c>
      <c r="AC100" t="str">
        <f t="shared" ca="1" si="9"/>
        <v/>
      </c>
      <c r="AD100" t="str">
        <f t="shared" ca="1" si="10"/>
        <v/>
      </c>
    </row>
    <row r="101" spans="1:30" x14ac:dyDescent="0.25">
      <c r="A101" s="4">
        <v>41984</v>
      </c>
      <c r="B101">
        <v>1.423</v>
      </c>
      <c r="C101" s="5">
        <v>1.5632000000000001</v>
      </c>
      <c r="D101">
        <v>1.8105</v>
      </c>
      <c r="E101">
        <v>2.0335999999999999</v>
      </c>
      <c r="F101">
        <v>2.3207</v>
      </c>
      <c r="G101">
        <v>2.7885999999999997</v>
      </c>
      <c r="H101">
        <f t="shared" ca="1" si="14"/>
        <v>0.40501146413363892</v>
      </c>
      <c r="I101">
        <f t="shared" ca="1" si="14"/>
        <v>0.27548178678845925</v>
      </c>
      <c r="J101">
        <f t="shared" ca="1" si="14"/>
        <v>0.18109256004686577</v>
      </c>
      <c r="K101">
        <f t="shared" ca="1" si="14"/>
        <v>0.24852400579258088</v>
      </c>
      <c r="L101">
        <f t="shared" ca="1" si="14"/>
        <v>0.16337141183362616</v>
      </c>
      <c r="M101">
        <f t="shared" ca="1" si="14"/>
        <v>0.29452145214521441</v>
      </c>
      <c r="N101">
        <f t="shared" ca="1" si="14"/>
        <v>0.18206299983678792</v>
      </c>
      <c r="O101">
        <f t="shared" ca="1" si="14"/>
        <v>0.21023725834797904</v>
      </c>
      <c r="P101">
        <f t="shared" ca="1" si="14"/>
        <v>0.23429084380610432</v>
      </c>
      <c r="Q101">
        <f t="shared" ca="1" si="14"/>
        <v>0.29352826909313995</v>
      </c>
      <c r="R101">
        <f t="shared" ca="1" si="14"/>
        <v>0.55470123022847095</v>
      </c>
      <c r="S101">
        <f t="shared" ca="1" si="14"/>
        <v>0.37360867018160521</v>
      </c>
      <c r="T101">
        <f t="shared" ca="1" si="14"/>
        <v>0.41635384364289224</v>
      </c>
      <c r="V101" s="4">
        <f t="shared" si="13"/>
        <v>41984</v>
      </c>
      <c r="W101" s="5">
        <f t="shared" ca="1" si="11"/>
        <v>0.55470123022847095</v>
      </c>
      <c r="Z101" s="4" t="e">
        <f ca="1">IF(OFFSET('Calc Canada'!$A$1,0,0,300)="",MATCH("Error",AF101,0),OFFSET('Calc Canada'!$A$1,0,0,300))</f>
        <v>#N/A</v>
      </c>
      <c r="AA101" s="5" t="str">
        <f ca="1">IF(OFFSET('Calc Canada'!$A$1,0,MATCH(W$1,'Calc Canada'!$1:$1,0)-1,300)="","",OFFSET('Calc Canada'!$A$1,0,MATCH(W$1,'Calc Canada'!$1:$1,0)-1,300))</f>
        <v/>
      </c>
      <c r="AB101" s="5" t="str">
        <f ca="1">IF(OFFSET('Calc Canada'!$A$1,0,MATCH(X$1,'Calc Canada'!$1:$1,0)-1,300)="","",OFFSET('Calc Canada'!$A$1,0,MATCH(X$1,'Calc Canada'!$1:$1,0)-1,300))</f>
        <v/>
      </c>
      <c r="AC101" t="str">
        <f t="shared" ca="1" si="9"/>
        <v/>
      </c>
      <c r="AD101" t="str">
        <f t="shared" ca="1" si="10"/>
        <v/>
      </c>
    </row>
    <row r="102" spans="1:30" x14ac:dyDescent="0.25">
      <c r="A102" s="4">
        <v>41983</v>
      </c>
      <c r="B102">
        <v>1.4126000000000001</v>
      </c>
      <c r="C102" s="5">
        <v>1.5512000000000001</v>
      </c>
      <c r="D102">
        <v>1.7925</v>
      </c>
      <c r="E102">
        <v>2.0249999999999999</v>
      </c>
      <c r="F102">
        <v>2.323</v>
      </c>
      <c r="G102">
        <v>2.8029999999999999</v>
      </c>
      <c r="H102">
        <f t="shared" ca="1" si="14"/>
        <v>0.39402351404310892</v>
      </c>
      <c r="I102">
        <f t="shared" ca="1" si="14"/>
        <v>0.26504833040421777</v>
      </c>
      <c r="J102">
        <f t="shared" ca="1" si="14"/>
        <v>0.17354718066743374</v>
      </c>
      <c r="K102">
        <f t="shared" ca="1" si="14"/>
        <v>0.25538224956063266</v>
      </c>
      <c r="L102">
        <f t="shared" ca="1" si="14"/>
        <v>0.16721806674338316</v>
      </c>
      <c r="M102">
        <f t="shared" ca="1" si="14"/>
        <v>0.30124384555584344</v>
      </c>
      <c r="N102">
        <f t="shared" ca="1" si="14"/>
        <v>0.18573254513500556</v>
      </c>
      <c r="O102">
        <f t="shared" ca="1" si="14"/>
        <v>0.2143268124280783</v>
      </c>
      <c r="P102">
        <f t="shared" ca="1" si="14"/>
        <v>0.23805719763540509</v>
      </c>
      <c r="Q102">
        <f t="shared" ca="1" si="14"/>
        <v>0.29490351311232071</v>
      </c>
      <c r="R102">
        <f t="shared" ca="1" si="14"/>
        <v>0.5550920598388952</v>
      </c>
      <c r="S102">
        <f t="shared" ca="1" si="14"/>
        <v>0.38154487917146146</v>
      </c>
      <c r="T102">
        <f t="shared" ca="1" si="14"/>
        <v>0.42378974277041065</v>
      </c>
      <c r="V102" s="4">
        <f t="shared" si="13"/>
        <v>41983</v>
      </c>
      <c r="W102" s="5">
        <f t="shared" ca="1" si="11"/>
        <v>0.5550920598388952</v>
      </c>
      <c r="Z102" s="4" t="e">
        <f ca="1">IF(OFFSET('Calc Canada'!$A$1,0,0,300)="",MATCH("Error",AF102,0),OFFSET('Calc Canada'!$A$1,0,0,300))</f>
        <v>#N/A</v>
      </c>
      <c r="AA102" s="5" t="str">
        <f ca="1">IF(OFFSET('Calc Canada'!$A$1,0,MATCH(W$1,'Calc Canada'!$1:$1,0)-1,300)="","",OFFSET('Calc Canada'!$A$1,0,MATCH(W$1,'Calc Canada'!$1:$1,0)-1,300))</f>
        <v/>
      </c>
      <c r="AB102" s="5" t="str">
        <f ca="1">IF(OFFSET('Calc Canada'!$A$1,0,MATCH(X$1,'Calc Canada'!$1:$1,0)-1,300)="","",OFFSET('Calc Canada'!$A$1,0,MATCH(X$1,'Calc Canada'!$1:$1,0)-1,300))</f>
        <v/>
      </c>
      <c r="AC102" t="str">
        <f t="shared" ca="1" si="9"/>
        <v/>
      </c>
      <c r="AD102" t="str">
        <f t="shared" ca="1" si="10"/>
        <v/>
      </c>
    </row>
    <row r="103" spans="1:30" x14ac:dyDescent="0.25">
      <c r="A103" s="4">
        <v>41982</v>
      </c>
      <c r="B103">
        <v>1.4279999999999999</v>
      </c>
      <c r="C103" s="5">
        <v>1.5800999999999998</v>
      </c>
      <c r="D103">
        <v>1.8343</v>
      </c>
      <c r="E103">
        <v>2.0666000000000002</v>
      </c>
      <c r="F103">
        <v>2.3590999999999998</v>
      </c>
      <c r="G103">
        <v>2.8346</v>
      </c>
      <c r="H103">
        <f t="shared" ca="1" si="14"/>
        <v>0.39805825242718462</v>
      </c>
      <c r="I103">
        <f t="shared" ca="1" si="14"/>
        <v>0.27301041778541535</v>
      </c>
      <c r="J103">
        <f t="shared" ca="1" si="14"/>
        <v>0.18071946537750619</v>
      </c>
      <c r="K103">
        <f t="shared" ca="1" si="14"/>
        <v>0.24948985071420923</v>
      </c>
      <c r="L103">
        <f t="shared" ca="1" si="14"/>
        <v>0.1651500071093418</v>
      </c>
      <c r="M103">
        <f t="shared" ca="1" si="14"/>
        <v>0.29820282413350474</v>
      </c>
      <c r="N103">
        <f t="shared" ca="1" si="14"/>
        <v>0.18517337584695109</v>
      </c>
      <c r="O103">
        <f t="shared" ca="1" si="14"/>
        <v>0.20794824399260595</v>
      </c>
      <c r="P103">
        <f t="shared" ca="1" si="14"/>
        <v>0.23316062176165764</v>
      </c>
      <c r="Q103">
        <f t="shared" ca="1" si="14"/>
        <v>0.29241227631710442</v>
      </c>
      <c r="R103">
        <f t="shared" ca="1" si="14"/>
        <v>0.55381771647945388</v>
      </c>
      <c r="S103">
        <f t="shared" ca="1" si="14"/>
        <v>0.37309825110194772</v>
      </c>
      <c r="T103">
        <f t="shared" ca="1" si="14"/>
        <v>0.41833399760860873</v>
      </c>
      <c r="V103" s="4">
        <f t="shared" si="13"/>
        <v>41982</v>
      </c>
      <c r="W103" s="5">
        <f t="shared" ca="1" si="11"/>
        <v>0.55381771647945388</v>
      </c>
      <c r="Z103" s="4" t="e">
        <f ca="1">IF(OFFSET('Calc Canada'!$A$1,0,0,300)="",MATCH("Error",AF103,0),OFFSET('Calc Canada'!$A$1,0,0,300))</f>
        <v>#N/A</v>
      </c>
      <c r="AA103" s="5" t="str">
        <f ca="1">IF(OFFSET('Calc Canada'!$A$1,0,MATCH(W$1,'Calc Canada'!$1:$1,0)-1,300)="","",OFFSET('Calc Canada'!$A$1,0,MATCH(W$1,'Calc Canada'!$1:$1,0)-1,300))</f>
        <v/>
      </c>
      <c r="AB103" s="5" t="str">
        <f ca="1">IF(OFFSET('Calc Canada'!$A$1,0,MATCH(X$1,'Calc Canada'!$1:$1,0)-1,300)="","",OFFSET('Calc Canada'!$A$1,0,MATCH(X$1,'Calc Canada'!$1:$1,0)-1,300))</f>
        <v/>
      </c>
      <c r="AC103" t="str">
        <f t="shared" ca="1" si="9"/>
        <v/>
      </c>
      <c r="AD103" t="str">
        <f t="shared" ca="1" si="10"/>
        <v/>
      </c>
    </row>
    <row r="104" spans="1:30" x14ac:dyDescent="0.25">
      <c r="A104" s="4">
        <v>41981</v>
      </c>
      <c r="B104">
        <v>1.4298999999999999</v>
      </c>
      <c r="C104" s="5">
        <v>1.5769</v>
      </c>
      <c r="D104">
        <v>1.8428</v>
      </c>
      <c r="E104">
        <v>2.0735000000000001</v>
      </c>
      <c r="F104">
        <v>2.3639999999999999</v>
      </c>
      <c r="G104">
        <v>2.8410000000000002</v>
      </c>
      <c r="H104">
        <f t="shared" ca="1" si="14"/>
        <v>0.41314481044126777</v>
      </c>
      <c r="I104">
        <f t="shared" ca="1" si="14"/>
        <v>0.28465903008243232</v>
      </c>
      <c r="J104">
        <f t="shared" ca="1" si="14"/>
        <v>0.18843455460279213</v>
      </c>
      <c r="K104">
        <f t="shared" ca="1" si="14"/>
        <v>0.24697569853334775</v>
      </c>
      <c r="L104">
        <f t="shared" ca="1" si="14"/>
        <v>0.163489476295089</v>
      </c>
      <c r="M104">
        <f t="shared" ca="1" si="14"/>
        <v>0.29310125778173057</v>
      </c>
      <c r="N104">
        <f t="shared" ca="1" si="14"/>
        <v>0.1825013843841469</v>
      </c>
      <c r="O104">
        <f t="shared" ca="1" si="14"/>
        <v>0.20586776273828908</v>
      </c>
      <c r="P104">
        <f t="shared" ca="1" si="14"/>
        <v>0.2298077683727551</v>
      </c>
      <c r="Q104">
        <f t="shared" ca="1" si="14"/>
        <v>0.29102384291725075</v>
      </c>
      <c r="R104">
        <f t="shared" ca="1" si="14"/>
        <v>0.55779179363617015</v>
      </c>
      <c r="S104">
        <f t="shared" ca="1" si="14"/>
        <v>0.36935723903337808</v>
      </c>
      <c r="T104">
        <f t="shared" ca="1" si="14"/>
        <v>0.412309152756902</v>
      </c>
      <c r="V104" s="4">
        <f t="shared" si="13"/>
        <v>41981</v>
      </c>
      <c r="W104" s="5">
        <f t="shared" ca="1" si="11"/>
        <v>0.55779179363617015</v>
      </c>
      <c r="Z104" s="4" t="e">
        <f ca="1">IF(OFFSET('Calc Canada'!$A$1,0,0,300)="",MATCH("Error",AF104,0),OFFSET('Calc Canada'!$A$1,0,0,300))</f>
        <v>#N/A</v>
      </c>
      <c r="AA104" s="5" t="str">
        <f ca="1">IF(OFFSET('Calc Canada'!$A$1,0,MATCH(W$1,'Calc Canada'!$1:$1,0)-1,300)="","",OFFSET('Calc Canada'!$A$1,0,MATCH(W$1,'Calc Canada'!$1:$1,0)-1,300))</f>
        <v/>
      </c>
      <c r="AB104" s="5" t="str">
        <f ca="1">IF(OFFSET('Calc Canada'!$A$1,0,MATCH(X$1,'Calc Canada'!$1:$1,0)-1,300)="","",OFFSET('Calc Canada'!$A$1,0,MATCH(X$1,'Calc Canada'!$1:$1,0)-1,300))</f>
        <v/>
      </c>
      <c r="AC104" t="str">
        <f t="shared" ca="1" si="9"/>
        <v/>
      </c>
      <c r="AD104" t="str">
        <f t="shared" ca="1" si="10"/>
        <v/>
      </c>
    </row>
    <row r="105" spans="1:30" x14ac:dyDescent="0.25">
      <c r="A105" s="4">
        <v>41978</v>
      </c>
      <c r="B105">
        <v>1.4790000000000001</v>
      </c>
      <c r="C105" s="5">
        <v>1.6099999999999999</v>
      </c>
      <c r="D105">
        <v>1.8885999999999998</v>
      </c>
      <c r="E105">
        <v>2.1315</v>
      </c>
      <c r="F105">
        <v>2.4319999999999999</v>
      </c>
      <c r="G105">
        <v>2.9034</v>
      </c>
      <c r="H105">
        <f t="shared" ca="1" si="14"/>
        <v>0.42697318007662838</v>
      </c>
      <c r="I105">
        <f t="shared" ca="1" si="14"/>
        <v>0.29233997901364112</v>
      </c>
      <c r="J105">
        <f t="shared" ca="1" si="14"/>
        <v>0.19559112608817747</v>
      </c>
      <c r="K105">
        <f t="shared" ca="1" si="14"/>
        <v>0.25487932843651645</v>
      </c>
      <c r="L105">
        <f t="shared" ca="1" si="14"/>
        <v>0.17052794158944126</v>
      </c>
      <c r="M105">
        <f t="shared" ca="1" si="14"/>
        <v>0.29549878345498798</v>
      </c>
      <c r="N105">
        <f t="shared" ca="1" si="14"/>
        <v>0.18779959795886816</v>
      </c>
      <c r="O105">
        <f t="shared" ca="1" si="14"/>
        <v>0.21096602078067958</v>
      </c>
      <c r="P105">
        <f t="shared" ca="1" si="14"/>
        <v>0.23233338487706817</v>
      </c>
      <c r="Q105">
        <f t="shared" ca="1" si="14"/>
        <v>0.29611746156878199</v>
      </c>
      <c r="R105">
        <f t="shared" ca="1" si="14"/>
        <v>0.57708508845829831</v>
      </c>
      <c r="S105">
        <f t="shared" ca="1" si="14"/>
        <v>0.38149396237012084</v>
      </c>
      <c r="T105">
        <f t="shared" ca="1" si="14"/>
        <v>0.42013298283593636</v>
      </c>
      <c r="V105" s="4">
        <f t="shared" si="13"/>
        <v>41978</v>
      </c>
      <c r="W105" s="5">
        <f t="shared" ca="1" si="11"/>
        <v>0.57708508845829831</v>
      </c>
      <c r="Z105" s="4" t="e">
        <f ca="1">IF(OFFSET('Calc Canada'!$A$1,0,0,300)="",MATCH("Error",AF105,0),OFFSET('Calc Canada'!$A$1,0,0,300))</f>
        <v>#N/A</v>
      </c>
      <c r="AA105" s="5" t="str">
        <f ca="1">IF(OFFSET('Calc Canada'!$A$1,0,MATCH(W$1,'Calc Canada'!$1:$1,0)-1,300)="","",OFFSET('Calc Canada'!$A$1,0,MATCH(W$1,'Calc Canada'!$1:$1,0)-1,300))</f>
        <v/>
      </c>
      <c r="AB105" s="5" t="str">
        <f ca="1">IF(OFFSET('Calc Canada'!$A$1,0,MATCH(X$1,'Calc Canada'!$1:$1,0)-1,300)="","",OFFSET('Calc Canada'!$A$1,0,MATCH(X$1,'Calc Canada'!$1:$1,0)-1,300))</f>
        <v/>
      </c>
      <c r="AC105" t="str">
        <f t="shared" ca="1" si="9"/>
        <v/>
      </c>
      <c r="AD105" t="str">
        <f t="shared" ca="1" si="10"/>
        <v/>
      </c>
    </row>
    <row r="106" spans="1:30" x14ac:dyDescent="0.25">
      <c r="A106" s="4">
        <v>41977</v>
      </c>
      <c r="B106">
        <v>1.4192</v>
      </c>
      <c r="C106" s="5">
        <v>1.573</v>
      </c>
      <c r="D106">
        <v>1.8383</v>
      </c>
      <c r="E106">
        <v>2.0825</v>
      </c>
      <c r="F106">
        <v>2.3839999999999999</v>
      </c>
      <c r="G106">
        <v>2.8719999999999999</v>
      </c>
      <c r="H106">
        <f t="shared" ca="1" si="14"/>
        <v>0.39996984773104188</v>
      </c>
      <c r="I106">
        <f t="shared" ca="1" si="14"/>
        <v>0.27497927031509134</v>
      </c>
      <c r="J106">
        <f t="shared" ca="1" si="14"/>
        <v>0.18261288546255514</v>
      </c>
      <c r="K106">
        <f t="shared" ca="1" si="14"/>
        <v>0.25310945273631841</v>
      </c>
      <c r="L106">
        <f t="shared" ca="1" si="14"/>
        <v>0.16808920704845814</v>
      </c>
      <c r="M106">
        <f t="shared" ca="1" si="14"/>
        <v>0.30110974106041921</v>
      </c>
      <c r="N106">
        <f t="shared" ca="1" si="14"/>
        <v>0.1879907621247113</v>
      </c>
      <c r="O106">
        <f t="shared" ca="1" si="14"/>
        <v>0.20753028634361226</v>
      </c>
      <c r="P106">
        <f t="shared" ca="1" si="14"/>
        <v>0.23210161662817544</v>
      </c>
      <c r="Q106">
        <f t="shared" ca="1" si="14"/>
        <v>0.29167069749443736</v>
      </c>
      <c r="R106">
        <f t="shared" ca="1" si="14"/>
        <v>0.55823237885462551</v>
      </c>
      <c r="S106">
        <f t="shared" ca="1" si="14"/>
        <v>0.3756194933920704</v>
      </c>
      <c r="T106">
        <f t="shared" ca="1" si="14"/>
        <v>0.42009237875288674</v>
      </c>
      <c r="V106" s="4">
        <f t="shared" si="13"/>
        <v>41977</v>
      </c>
      <c r="W106" s="5">
        <f t="shared" ca="1" si="11"/>
        <v>0.55823237885462551</v>
      </c>
      <c r="Z106" s="4" t="e">
        <f ca="1">IF(OFFSET('Calc Canada'!$A$1,0,0,300)="",MATCH("Error",AF106,0),OFFSET('Calc Canada'!$A$1,0,0,300))</f>
        <v>#N/A</v>
      </c>
      <c r="AA106" s="5" t="str">
        <f ca="1">IF(OFFSET('Calc Canada'!$A$1,0,MATCH(W$1,'Calc Canada'!$1:$1,0)-1,300)="","",OFFSET('Calc Canada'!$A$1,0,MATCH(W$1,'Calc Canada'!$1:$1,0)-1,300))</f>
        <v/>
      </c>
      <c r="AB106" s="5" t="str">
        <f ca="1">IF(OFFSET('Calc Canada'!$A$1,0,MATCH(X$1,'Calc Canada'!$1:$1,0)-1,300)="","",OFFSET('Calc Canada'!$A$1,0,MATCH(X$1,'Calc Canada'!$1:$1,0)-1,300))</f>
        <v/>
      </c>
      <c r="AC106" t="str">
        <f t="shared" ca="1" si="9"/>
        <v/>
      </c>
      <c r="AD106" t="str">
        <f t="shared" ca="1" si="10"/>
        <v/>
      </c>
    </row>
    <row r="107" spans="1:30" x14ac:dyDescent="0.25">
      <c r="A107" s="4">
        <v>41976</v>
      </c>
      <c r="B107">
        <v>1.4339999999999999</v>
      </c>
      <c r="C107" s="5">
        <v>1.5933000000000002</v>
      </c>
      <c r="D107">
        <v>1.8765000000000001</v>
      </c>
      <c r="E107">
        <v>2.1139999999999999</v>
      </c>
      <c r="F107">
        <v>2.419</v>
      </c>
      <c r="G107">
        <v>2.9144999999999999</v>
      </c>
      <c r="H107">
        <f t="shared" ca="1" si="14"/>
        <v>0.41647058823529398</v>
      </c>
      <c r="I107">
        <f t="shared" ca="1" si="14"/>
        <v>0.28751269035532984</v>
      </c>
      <c r="J107">
        <f t="shared" ca="1" si="14"/>
        <v>0.19128672745694017</v>
      </c>
      <c r="K107">
        <f t="shared" ca="1" si="14"/>
        <v>0.24111675126903534</v>
      </c>
      <c r="L107">
        <f t="shared" ca="1" si="14"/>
        <v>0.16041877744005392</v>
      </c>
      <c r="M107">
        <f t="shared" ca="1" si="14"/>
        <v>0.28763473416495078</v>
      </c>
      <c r="N107">
        <f t="shared" ca="1" si="14"/>
        <v>0.17976082349379344</v>
      </c>
      <c r="O107">
        <f t="shared" ca="1" si="14"/>
        <v>0.2060114826072274</v>
      </c>
      <c r="P107">
        <f t="shared" ca="1" si="14"/>
        <v>0.23085074174992448</v>
      </c>
      <c r="Q107">
        <f t="shared" ca="1" si="14"/>
        <v>0.29383429672447037</v>
      </c>
      <c r="R107">
        <f t="shared" ca="1" si="14"/>
        <v>0.5577169875042215</v>
      </c>
      <c r="S107">
        <f t="shared" ca="1" si="14"/>
        <v>0.36643026004728135</v>
      </c>
      <c r="T107">
        <f t="shared" ca="1" si="14"/>
        <v>0.41061156524371789</v>
      </c>
      <c r="V107" s="4">
        <f t="shared" si="13"/>
        <v>41976</v>
      </c>
      <c r="W107" s="5">
        <f t="shared" ca="1" si="11"/>
        <v>0.5577169875042215</v>
      </c>
      <c r="Z107" s="4" t="e">
        <f ca="1">IF(OFFSET('Calc Canada'!$A$1,0,0,300)="",MATCH("Error",AF107,0),OFFSET('Calc Canada'!$A$1,0,0,300))</f>
        <v>#N/A</v>
      </c>
      <c r="AA107" s="5" t="str">
        <f ca="1">IF(OFFSET('Calc Canada'!$A$1,0,MATCH(W$1,'Calc Canada'!$1:$1,0)-1,300)="","",OFFSET('Calc Canada'!$A$1,0,MATCH(W$1,'Calc Canada'!$1:$1,0)-1,300))</f>
        <v/>
      </c>
      <c r="AB107" s="5" t="str">
        <f ca="1">IF(OFFSET('Calc Canada'!$A$1,0,MATCH(X$1,'Calc Canada'!$1:$1,0)-1,300)="","",OFFSET('Calc Canada'!$A$1,0,MATCH(X$1,'Calc Canada'!$1:$1,0)-1,300))</f>
        <v/>
      </c>
      <c r="AC107" t="str">
        <f t="shared" ca="1" si="9"/>
        <v/>
      </c>
      <c r="AD107" t="str">
        <f t="shared" ca="1" si="10"/>
        <v/>
      </c>
    </row>
    <row r="108" spans="1:30" x14ac:dyDescent="0.25">
      <c r="A108" s="4">
        <v>41975</v>
      </c>
      <c r="B108">
        <v>1.4236</v>
      </c>
      <c r="C108" s="5">
        <v>1.5867</v>
      </c>
      <c r="D108">
        <v>1.8915</v>
      </c>
      <c r="E108">
        <v>2.1455000000000002</v>
      </c>
      <c r="F108">
        <v>2.4550000000000001</v>
      </c>
      <c r="G108">
        <v>2.9603999999999999</v>
      </c>
      <c r="H108">
        <f t="shared" ca="1" si="14"/>
        <v>0.42221914392575133</v>
      </c>
      <c r="I108">
        <f t="shared" ca="1" si="14"/>
        <v>0.2955206515415939</v>
      </c>
      <c r="J108">
        <f t="shared" ca="1" si="14"/>
        <v>0.19833420093701196</v>
      </c>
      <c r="K108">
        <f t="shared" ca="1" si="14"/>
        <v>0.24626720961799514</v>
      </c>
      <c r="L108">
        <f t="shared" ca="1" si="14"/>
        <v>0.16527850078084347</v>
      </c>
      <c r="M108">
        <f t="shared" ca="1" si="14"/>
        <v>0.29252562478406102</v>
      </c>
      <c r="N108">
        <f t="shared" ca="1" si="14"/>
        <v>0.18490208924801649</v>
      </c>
      <c r="O108">
        <f t="shared" ca="1" si="14"/>
        <v>0.20139250390421648</v>
      </c>
      <c r="P108">
        <f t="shared" ca="1" si="14"/>
        <v>0.2253039237096891</v>
      </c>
      <c r="Q108">
        <f t="shared" ca="1" si="14"/>
        <v>0.28955000467770597</v>
      </c>
      <c r="R108">
        <f t="shared" ca="1" si="14"/>
        <v>0.5650052056220719</v>
      </c>
      <c r="S108">
        <f t="shared" ca="1" si="14"/>
        <v>0.36667100468505998</v>
      </c>
      <c r="T108">
        <f t="shared" ca="1" si="14"/>
        <v>0.41020601295770559</v>
      </c>
      <c r="V108" s="4">
        <f t="shared" si="13"/>
        <v>41975</v>
      </c>
      <c r="W108" s="5">
        <f t="shared" ca="1" si="11"/>
        <v>0.5650052056220719</v>
      </c>
      <c r="Z108" s="4" t="e">
        <f ca="1">IF(OFFSET('Calc Canada'!$A$1,0,0,300)="",MATCH("Error",AF108,0),OFFSET('Calc Canada'!$A$1,0,0,300))</f>
        <v>#N/A</v>
      </c>
      <c r="AA108" s="5" t="str">
        <f ca="1">IF(OFFSET('Calc Canada'!$A$1,0,MATCH(W$1,'Calc Canada'!$1:$1,0)-1,300)="","",OFFSET('Calc Canada'!$A$1,0,MATCH(W$1,'Calc Canada'!$1:$1,0)-1,300))</f>
        <v/>
      </c>
      <c r="AB108" s="5" t="str">
        <f ca="1">IF(OFFSET('Calc Canada'!$A$1,0,MATCH(X$1,'Calc Canada'!$1:$1,0)-1,300)="","",OFFSET('Calc Canada'!$A$1,0,MATCH(X$1,'Calc Canada'!$1:$1,0)-1,300))</f>
        <v/>
      </c>
      <c r="AC108" t="str">
        <f t="shared" ca="1" si="9"/>
        <v/>
      </c>
      <c r="AD108" t="str">
        <f t="shared" ca="1" si="10"/>
        <v/>
      </c>
    </row>
    <row r="109" spans="1:30" x14ac:dyDescent="0.25">
      <c r="A109" s="4">
        <v>41974</v>
      </c>
      <c r="B109">
        <v>1.3980000000000001</v>
      </c>
      <c r="C109" s="5">
        <v>1.5522</v>
      </c>
      <c r="D109">
        <v>1.8306</v>
      </c>
      <c r="E109">
        <v>2.0750000000000002</v>
      </c>
      <c r="F109">
        <v>2.3952999999999998</v>
      </c>
      <c r="G109">
        <v>2.9020000000000001</v>
      </c>
      <c r="H109">
        <f t="shared" ref="H109:T124" ca="1" si="15">IF(ISERROR(ABS(OFFSET($A$11,ROW()-11,MATCH(LEFT(H$9,2),$A$11:$G$11,0)-1)-OFFSET($A$11,ROW()-11,MATCH(RIGHT(H$9,2),$A$11:$G$11,0)-1))/ABS(OFFSET($A$11,ROW()-11,MATCH(LEFT(H$10,2),$A$11:$G$11,0)-1)-OFFSET($A$11,ROW()-11,MATCH(RIGHT(H$10,2),$A$11:$G$11,0)-1))),"",ABS(OFFSET($A$11,ROW()-11,MATCH(LEFT(H$9,2),$A$11:$G$11,0)-1)-OFFSET($A$11,ROW()-11,MATCH(RIGHT(H$9,2),$A$11:$G$11,0)-1))/ABS(OFFSET($A$11,ROW()-11,MATCH(LEFT(H$10,2),$A$11:$G$11,0)-1)-OFFSET($A$11,ROW()-11,MATCH(RIGHT(H$10,2),$A$11:$G$11,0)-1)))</f>
        <v>0.41122599704579021</v>
      </c>
      <c r="I109">
        <f t="shared" ca="1" si="15"/>
        <v>0.27915371503058267</v>
      </c>
      <c r="J109">
        <f t="shared" ca="1" si="15"/>
        <v>0.18510638297872339</v>
      </c>
      <c r="K109">
        <f t="shared" ca="1" si="15"/>
        <v>0.24506166649954905</v>
      </c>
      <c r="L109">
        <f t="shared" ca="1" si="15"/>
        <v>0.16250000000000012</v>
      </c>
      <c r="M109">
        <f t="shared" ca="1" si="15"/>
        <v>0.28988257620685592</v>
      </c>
      <c r="N109">
        <f t="shared" ca="1" si="15"/>
        <v>0.18106386131278721</v>
      </c>
      <c r="O109">
        <f t="shared" ca="1" si="15"/>
        <v>0.21296542553191461</v>
      </c>
      <c r="P109">
        <f t="shared" ca="1" si="15"/>
        <v>0.23729441398725704</v>
      </c>
      <c r="Q109">
        <f t="shared" ca="1" si="15"/>
        <v>0.29895463879036732</v>
      </c>
      <c r="R109">
        <f t="shared" ca="1" si="15"/>
        <v>0.56057180851063815</v>
      </c>
      <c r="S109">
        <f t="shared" ca="1" si="15"/>
        <v>0.37546542553191475</v>
      </c>
      <c r="T109">
        <f t="shared" ca="1" si="15"/>
        <v>0.41835827530004421</v>
      </c>
      <c r="V109" s="4">
        <f t="shared" si="13"/>
        <v>41974</v>
      </c>
      <c r="W109" s="5">
        <f t="shared" ca="1" si="11"/>
        <v>0.56057180851063815</v>
      </c>
      <c r="Z109" s="4" t="e">
        <f ca="1">IF(OFFSET('Calc Canada'!$A$1,0,0,300)="",MATCH("Error",AF109,0),OFFSET('Calc Canada'!$A$1,0,0,300))</f>
        <v>#N/A</v>
      </c>
      <c r="AA109" s="5" t="str">
        <f ca="1">IF(OFFSET('Calc Canada'!$A$1,0,MATCH(W$1,'Calc Canada'!$1:$1,0)-1,300)="","",OFFSET('Calc Canada'!$A$1,0,MATCH(W$1,'Calc Canada'!$1:$1,0)-1,300))</f>
        <v/>
      </c>
      <c r="AB109" s="5" t="str">
        <f ca="1">IF(OFFSET('Calc Canada'!$A$1,0,MATCH(X$1,'Calc Canada'!$1:$1,0)-1,300)="","",OFFSET('Calc Canada'!$A$1,0,MATCH(X$1,'Calc Canada'!$1:$1,0)-1,300))</f>
        <v/>
      </c>
      <c r="AC109" t="str">
        <f t="shared" ca="1" si="9"/>
        <v/>
      </c>
      <c r="AD109" t="str">
        <f t="shared" ca="1" si="10"/>
        <v/>
      </c>
    </row>
    <row r="110" spans="1:30" x14ac:dyDescent="0.25">
      <c r="A110" s="4">
        <v>41971</v>
      </c>
      <c r="B110">
        <v>1.3873</v>
      </c>
      <c r="C110" s="5">
        <v>1.5335000000000001</v>
      </c>
      <c r="D110">
        <v>1.7907</v>
      </c>
      <c r="E110">
        <v>2.0312000000000001</v>
      </c>
      <c r="F110">
        <v>2.3406000000000002</v>
      </c>
      <c r="G110">
        <v>2.839</v>
      </c>
      <c r="H110">
        <f t="shared" ca="1" si="15"/>
        <v>0.39944090697313217</v>
      </c>
      <c r="I110">
        <f t="shared" ca="1" si="15"/>
        <v>0.26979964334417267</v>
      </c>
      <c r="J110">
        <f t="shared" ca="1" si="15"/>
        <v>0.17717159192670653</v>
      </c>
      <c r="K110">
        <f t="shared" ca="1" si="15"/>
        <v>0.2522815483058849</v>
      </c>
      <c r="L110">
        <f t="shared" ca="1" si="15"/>
        <v>0.16566783770751545</v>
      </c>
      <c r="M110">
        <f t="shared" ca="1" si="15"/>
        <v>0.29798042373931372</v>
      </c>
      <c r="N110">
        <f t="shared" ca="1" si="15"/>
        <v>0.18422060513213342</v>
      </c>
      <c r="O110">
        <f t="shared" ca="1" si="15"/>
        <v>0.21312943445615493</v>
      </c>
      <c r="P110">
        <f t="shared" ca="1" si="15"/>
        <v>0.23699731903485266</v>
      </c>
      <c r="Q110">
        <f t="shared" ca="1" si="15"/>
        <v>0.2951445196985597</v>
      </c>
      <c r="R110">
        <f t="shared" ca="1" si="15"/>
        <v>0.55596886409037694</v>
      </c>
      <c r="S110">
        <f t="shared" ca="1" si="15"/>
        <v>0.37879727216367037</v>
      </c>
      <c r="T110">
        <f t="shared" ca="1" si="15"/>
        <v>0.42121792416698606</v>
      </c>
      <c r="V110" s="4">
        <f t="shared" si="13"/>
        <v>41971</v>
      </c>
      <c r="W110" s="5">
        <f t="shared" ca="1" si="11"/>
        <v>0.55596886409037694</v>
      </c>
      <c r="Z110" s="4" t="e">
        <f ca="1">IF(OFFSET('Calc Canada'!$A$1,0,0,300)="",MATCH("Error",AF110,0),OFFSET('Calc Canada'!$A$1,0,0,300))</f>
        <v>#N/A</v>
      </c>
      <c r="AA110" s="5" t="str">
        <f ca="1">IF(OFFSET('Calc Canada'!$A$1,0,MATCH(W$1,'Calc Canada'!$1:$1,0)-1,300)="","",OFFSET('Calc Canada'!$A$1,0,MATCH(W$1,'Calc Canada'!$1:$1,0)-1,300))</f>
        <v/>
      </c>
      <c r="AB110" s="5" t="str">
        <f ca="1">IF(OFFSET('Calc Canada'!$A$1,0,MATCH(X$1,'Calc Canada'!$1:$1,0)-1,300)="","",OFFSET('Calc Canada'!$A$1,0,MATCH(X$1,'Calc Canada'!$1:$1,0)-1,300))</f>
        <v/>
      </c>
      <c r="AC110" t="str">
        <f t="shared" ca="1" si="9"/>
        <v/>
      </c>
      <c r="AD110" t="str">
        <f t="shared" ca="1" si="10"/>
        <v/>
      </c>
    </row>
    <row r="111" spans="1:30" x14ac:dyDescent="0.25">
      <c r="A111" s="4">
        <v>41970</v>
      </c>
      <c r="B111">
        <v>1.4255</v>
      </c>
      <c r="C111" s="5">
        <v>1.552</v>
      </c>
      <c r="D111">
        <v>1.8433000000000002</v>
      </c>
      <c r="E111">
        <v>2.0859999999999999</v>
      </c>
      <c r="F111">
        <v>2.3872999999999998</v>
      </c>
      <c r="G111">
        <v>2.8890000000000002</v>
      </c>
      <c r="H111">
        <f t="shared" ca="1" si="15"/>
        <v>0.44102952308856952</v>
      </c>
      <c r="I111">
        <f t="shared" ca="1" si="15"/>
        <v>0.3028696194635061</v>
      </c>
      <c r="J111">
        <f t="shared" ca="1" si="15"/>
        <v>0.1990433891356338</v>
      </c>
      <c r="K111">
        <f t="shared" ca="1" si="15"/>
        <v>0.25233936369307525</v>
      </c>
      <c r="L111">
        <f t="shared" ca="1" si="15"/>
        <v>0.16583532627263387</v>
      </c>
      <c r="M111">
        <f t="shared" ca="1" si="15"/>
        <v>0.29055429187118376</v>
      </c>
      <c r="N111">
        <f t="shared" ca="1" si="15"/>
        <v>0.18152580403889279</v>
      </c>
      <c r="O111">
        <f t="shared" ca="1" si="15"/>
        <v>0.20587632388110683</v>
      </c>
      <c r="P111">
        <f t="shared" ca="1" si="15"/>
        <v>0.22535527299925195</v>
      </c>
      <c r="Q111">
        <f t="shared" ca="1" si="15"/>
        <v>0.28813235153485695</v>
      </c>
      <c r="R111">
        <f t="shared" ca="1" si="15"/>
        <v>0.57075503928937454</v>
      </c>
      <c r="S111">
        <f t="shared" ca="1" si="15"/>
        <v>0.37171165015374069</v>
      </c>
      <c r="T111">
        <f t="shared" ca="1" si="15"/>
        <v>0.40688107703814475</v>
      </c>
      <c r="V111" s="4">
        <f t="shared" si="13"/>
        <v>41970</v>
      </c>
      <c r="W111" s="5">
        <f t="shared" ca="1" si="11"/>
        <v>0.57075503928937454</v>
      </c>
      <c r="Z111" s="4" t="e">
        <f ca="1">IF(OFFSET('Calc Canada'!$A$1,0,0,300)="",MATCH("Error",AF111,0),OFFSET('Calc Canada'!$A$1,0,0,300))</f>
        <v>#N/A</v>
      </c>
      <c r="AA111" s="5" t="str">
        <f ca="1">IF(OFFSET('Calc Canada'!$A$1,0,MATCH(W$1,'Calc Canada'!$1:$1,0)-1,300)="","",OFFSET('Calc Canada'!$A$1,0,MATCH(W$1,'Calc Canada'!$1:$1,0)-1,300))</f>
        <v/>
      </c>
      <c r="AB111" s="5" t="str">
        <f ca="1">IF(OFFSET('Calc Canada'!$A$1,0,MATCH(X$1,'Calc Canada'!$1:$1,0)-1,300)="","",OFFSET('Calc Canada'!$A$1,0,MATCH(X$1,'Calc Canada'!$1:$1,0)-1,300))</f>
        <v/>
      </c>
      <c r="AC111" t="str">
        <f t="shared" ca="1" si="9"/>
        <v/>
      </c>
      <c r="AD111" t="str">
        <f t="shared" ca="1" si="10"/>
        <v/>
      </c>
    </row>
    <row r="112" spans="1:30" x14ac:dyDescent="0.25">
      <c r="A112" s="4">
        <v>41969</v>
      </c>
      <c r="B112">
        <v>1.4394</v>
      </c>
      <c r="C112" s="5">
        <v>1.6019999999999999</v>
      </c>
      <c r="D112">
        <v>1.887</v>
      </c>
      <c r="E112">
        <v>2.1280000000000001</v>
      </c>
      <c r="F112">
        <v>2.4220000000000002</v>
      </c>
      <c r="G112">
        <v>2.9130000000000003</v>
      </c>
      <c r="H112">
        <f t="shared" ca="1" si="15"/>
        <v>0.41388324135927984</v>
      </c>
      <c r="I112">
        <f t="shared" ca="1" si="15"/>
        <v>0.29004681457358039</v>
      </c>
      <c r="J112">
        <f t="shared" ca="1" si="15"/>
        <v>0.19340390879478833</v>
      </c>
      <c r="K112">
        <f t="shared" ca="1" si="15"/>
        <v>0.24526765723590482</v>
      </c>
      <c r="L112">
        <f t="shared" ca="1" si="15"/>
        <v>0.1635450597176982</v>
      </c>
      <c r="M112">
        <f t="shared" ca="1" si="15"/>
        <v>0.29390243902439028</v>
      </c>
      <c r="N112">
        <f t="shared" ca="1" si="15"/>
        <v>0.18382913806254769</v>
      </c>
      <c r="O112">
        <f t="shared" ca="1" si="15"/>
        <v>0.1995114006514658</v>
      </c>
      <c r="P112">
        <f t="shared" ca="1" si="15"/>
        <v>0.22425629290617846</v>
      </c>
      <c r="Q112">
        <f t="shared" ca="1" si="15"/>
        <v>0.28654970760233917</v>
      </c>
      <c r="R112">
        <f t="shared" ca="1" si="15"/>
        <v>0.55646036916395236</v>
      </c>
      <c r="S112">
        <f t="shared" ca="1" si="15"/>
        <v>0.363056460369164</v>
      </c>
      <c r="T112">
        <f t="shared" ca="1" si="15"/>
        <v>0.40808543096872613</v>
      </c>
      <c r="V112" s="4">
        <f t="shared" si="13"/>
        <v>41969</v>
      </c>
      <c r="W112" s="5">
        <f t="shared" ca="1" si="11"/>
        <v>0.55646036916395236</v>
      </c>
      <c r="Z112" s="4" t="e">
        <f ca="1">IF(OFFSET('Calc Canada'!$A$1,0,0,300)="",MATCH("Error",AF112,0),OFFSET('Calc Canada'!$A$1,0,0,300))</f>
        <v>#N/A</v>
      </c>
      <c r="AA112" s="5" t="str">
        <f ca="1">IF(OFFSET('Calc Canada'!$A$1,0,MATCH(W$1,'Calc Canada'!$1:$1,0)-1,300)="","",OFFSET('Calc Canada'!$A$1,0,MATCH(W$1,'Calc Canada'!$1:$1,0)-1,300))</f>
        <v/>
      </c>
      <c r="AB112" s="5" t="str">
        <f ca="1">IF(OFFSET('Calc Canada'!$A$1,0,MATCH(X$1,'Calc Canada'!$1:$1,0)-1,300)="","",OFFSET('Calc Canada'!$A$1,0,MATCH(X$1,'Calc Canada'!$1:$1,0)-1,300))</f>
        <v/>
      </c>
      <c r="AC112" t="str">
        <f t="shared" ca="1" si="9"/>
        <v/>
      </c>
      <c r="AD112" t="str">
        <f t="shared" ca="1" si="10"/>
        <v/>
      </c>
    </row>
    <row r="113" spans="1:30" x14ac:dyDescent="0.25">
      <c r="A113" s="4">
        <v>41968</v>
      </c>
      <c r="B113">
        <v>1.4408000000000001</v>
      </c>
      <c r="C113" s="5">
        <v>1.5941999999999998</v>
      </c>
      <c r="D113">
        <v>1.8803999999999998</v>
      </c>
      <c r="E113">
        <v>2.1278999999999999</v>
      </c>
      <c r="F113">
        <v>2.4239999999999999</v>
      </c>
      <c r="G113">
        <v>2.8885000000000001</v>
      </c>
      <c r="H113">
        <f t="shared" ca="1" si="15"/>
        <v>0.41653325571241462</v>
      </c>
      <c r="I113">
        <f t="shared" ca="1" si="15"/>
        <v>0.29109031733116358</v>
      </c>
      <c r="J113">
        <f t="shared" ca="1" si="15"/>
        <v>0.19769289217379293</v>
      </c>
      <c r="K113">
        <f t="shared" ca="1" si="15"/>
        <v>0.25172904800650947</v>
      </c>
      <c r="L113">
        <f t="shared" ca="1" si="15"/>
        <v>0.1709608344270222</v>
      </c>
      <c r="M113">
        <f t="shared" ca="1" si="15"/>
        <v>0.29826464208242953</v>
      </c>
      <c r="N113">
        <f t="shared" ca="1" si="15"/>
        <v>0.19122305493316852</v>
      </c>
      <c r="O113">
        <f t="shared" ca="1" si="15"/>
        <v>0.20453132555087383</v>
      </c>
      <c r="P113">
        <f t="shared" ca="1" si="15"/>
        <v>0.22877230935640885</v>
      </c>
      <c r="Q113">
        <f t="shared" ca="1" si="15"/>
        <v>0.29372086102569184</v>
      </c>
      <c r="R113">
        <f t="shared" ca="1" si="15"/>
        <v>0.57318505215168891</v>
      </c>
      <c r="S113">
        <f t="shared" ca="1" si="15"/>
        <v>0.37549215997789603</v>
      </c>
      <c r="T113">
        <f t="shared" ca="1" si="15"/>
        <v>0.41999536428957734</v>
      </c>
      <c r="V113" s="4">
        <f t="shared" si="13"/>
        <v>41968</v>
      </c>
      <c r="W113" s="5">
        <f t="shared" ca="1" si="11"/>
        <v>0.57318505215168891</v>
      </c>
      <c r="Z113" s="4" t="e">
        <f ca="1">IF(OFFSET('Calc Canada'!$A$1,0,0,300)="",MATCH("Error",AF113,0),OFFSET('Calc Canada'!$A$1,0,0,300))</f>
        <v>#N/A</v>
      </c>
      <c r="AA113" s="5" t="str">
        <f ca="1">IF(OFFSET('Calc Canada'!$A$1,0,MATCH(W$1,'Calc Canada'!$1:$1,0)-1,300)="","",OFFSET('Calc Canada'!$A$1,0,MATCH(W$1,'Calc Canada'!$1:$1,0)-1,300))</f>
        <v/>
      </c>
      <c r="AB113" s="5" t="str">
        <f ca="1">IF(OFFSET('Calc Canada'!$A$1,0,MATCH(X$1,'Calc Canada'!$1:$1,0)-1,300)="","",OFFSET('Calc Canada'!$A$1,0,MATCH(X$1,'Calc Canada'!$1:$1,0)-1,300))</f>
        <v/>
      </c>
      <c r="AC113" t="str">
        <f t="shared" ca="1" si="9"/>
        <v/>
      </c>
      <c r="AD113" t="str">
        <f t="shared" ca="1" si="10"/>
        <v/>
      </c>
    </row>
    <row r="114" spans="1:30" x14ac:dyDescent="0.25">
      <c r="A114" s="4">
        <v>41967</v>
      </c>
      <c r="B114">
        <v>1.4473</v>
      </c>
      <c r="C114" s="5">
        <v>1.5805</v>
      </c>
      <c r="D114">
        <v>1.8919000000000001</v>
      </c>
      <c r="E114">
        <v>2.1419000000000001</v>
      </c>
      <c r="F114">
        <v>2.4502999999999999</v>
      </c>
      <c r="G114">
        <v>2.9116999999999997</v>
      </c>
      <c r="H114">
        <f t="shared" ca="1" si="15"/>
        <v>0.4483155773106825</v>
      </c>
      <c r="I114">
        <f t="shared" ca="1" si="15"/>
        <v>0.31046859421734813</v>
      </c>
      <c r="J114">
        <f t="shared" ca="1" si="15"/>
        <v>0.21264681780934183</v>
      </c>
      <c r="K114">
        <f t="shared" ca="1" si="15"/>
        <v>0.24925224327018947</v>
      </c>
      <c r="L114">
        <f t="shared" ca="1" si="15"/>
        <v>0.17071838295547667</v>
      </c>
      <c r="M114">
        <f t="shared" ca="1" si="15"/>
        <v>0.28742239595309271</v>
      </c>
      <c r="N114">
        <f t="shared" ca="1" si="15"/>
        <v>0.18780048076923081</v>
      </c>
      <c r="O114">
        <f t="shared" ca="1" si="15"/>
        <v>0.21059819721387588</v>
      </c>
      <c r="P114">
        <f t="shared" ca="1" si="15"/>
        <v>0.23167067307692296</v>
      </c>
      <c r="Q114">
        <f t="shared" ca="1" si="15"/>
        <v>0.30241223769366532</v>
      </c>
      <c r="R114">
        <f t="shared" ca="1" si="15"/>
        <v>0.59396339797869435</v>
      </c>
      <c r="S114">
        <f t="shared" ca="1" si="15"/>
        <v>0.38131658016935255</v>
      </c>
      <c r="T114">
        <f t="shared" ca="1" si="15"/>
        <v>0.4194711538461538</v>
      </c>
      <c r="V114" s="4">
        <f t="shared" si="13"/>
        <v>41967</v>
      </c>
      <c r="W114" s="5">
        <f t="shared" ca="1" si="11"/>
        <v>0.59396339797869435</v>
      </c>
      <c r="Z114" s="4" t="e">
        <f ca="1">IF(OFFSET('Calc Canada'!$A$1,0,0,300)="",MATCH("Error",AF114,0),OFFSET('Calc Canada'!$A$1,0,0,300))</f>
        <v>#N/A</v>
      </c>
      <c r="AA114" s="5" t="str">
        <f ca="1">IF(OFFSET('Calc Canada'!$A$1,0,MATCH(W$1,'Calc Canada'!$1:$1,0)-1,300)="","",OFFSET('Calc Canada'!$A$1,0,MATCH(W$1,'Calc Canada'!$1:$1,0)-1,300))</f>
        <v/>
      </c>
      <c r="AB114" s="5" t="str">
        <f ca="1">IF(OFFSET('Calc Canada'!$A$1,0,MATCH(X$1,'Calc Canada'!$1:$1,0)-1,300)="","",OFFSET('Calc Canada'!$A$1,0,MATCH(X$1,'Calc Canada'!$1:$1,0)-1,300))</f>
        <v/>
      </c>
      <c r="AC114" t="str">
        <f t="shared" ca="1" si="9"/>
        <v/>
      </c>
      <c r="AD114" t="str">
        <f t="shared" ca="1" si="10"/>
        <v/>
      </c>
    </row>
    <row r="115" spans="1:30" x14ac:dyDescent="0.25">
      <c r="A115" s="4">
        <v>41964</v>
      </c>
      <c r="B115">
        <v>1.4475</v>
      </c>
      <c r="C115" s="5">
        <v>1.5844</v>
      </c>
      <c r="D115">
        <v>1.9060000000000001</v>
      </c>
      <c r="E115">
        <v>2.1652</v>
      </c>
      <c r="F115">
        <v>2.4790000000000001</v>
      </c>
      <c r="G115">
        <v>2.9386000000000001</v>
      </c>
      <c r="H115">
        <f t="shared" ca="1" si="15"/>
        <v>0.44809809112442539</v>
      </c>
      <c r="I115">
        <f t="shared" ca="1" si="15"/>
        <v>0.31177896267571503</v>
      </c>
      <c r="J115">
        <f t="shared" ca="1" si="15"/>
        <v>0.21567969955066735</v>
      </c>
      <c r="K115">
        <f t="shared" ca="1" si="15"/>
        <v>0.25128453708191939</v>
      </c>
      <c r="L115">
        <f t="shared" ca="1" si="15"/>
        <v>0.17383139963785116</v>
      </c>
      <c r="M115">
        <f t="shared" ca="1" si="15"/>
        <v>0.28973843058350085</v>
      </c>
      <c r="N115">
        <f t="shared" ca="1" si="15"/>
        <v>0.19140451927337163</v>
      </c>
      <c r="O115">
        <f t="shared" ca="1" si="15"/>
        <v>0.21044866206156532</v>
      </c>
      <c r="P115">
        <f t="shared" ca="1" si="15"/>
        <v>0.23172352680549407</v>
      </c>
      <c r="Q115">
        <f t="shared" ca="1" si="15"/>
        <v>0.30389308541545623</v>
      </c>
      <c r="R115">
        <f t="shared" ca="1" si="15"/>
        <v>0.59995976125008388</v>
      </c>
      <c r="S115">
        <f t="shared" ca="1" si="15"/>
        <v>0.38428006169941648</v>
      </c>
      <c r="T115">
        <f t="shared" ca="1" si="15"/>
        <v>0.42312804607886567</v>
      </c>
      <c r="V115" s="4">
        <f t="shared" si="13"/>
        <v>41964</v>
      </c>
      <c r="W115" s="5">
        <f t="shared" ca="1" si="11"/>
        <v>0.59995976125008388</v>
      </c>
      <c r="Z115" s="4" t="e">
        <f ca="1">IF(OFFSET('Calc Canada'!$A$1,0,0,300)="",MATCH("Error",AF115,0),OFFSET('Calc Canada'!$A$1,0,0,300))</f>
        <v>#N/A</v>
      </c>
      <c r="AA115" s="5" t="str">
        <f ca="1">IF(OFFSET('Calc Canada'!$A$1,0,MATCH(W$1,'Calc Canada'!$1:$1,0)-1,300)="","",OFFSET('Calc Canada'!$A$1,0,MATCH(W$1,'Calc Canada'!$1:$1,0)-1,300))</f>
        <v/>
      </c>
      <c r="AB115" s="5" t="str">
        <f ca="1">IF(OFFSET('Calc Canada'!$A$1,0,MATCH(X$1,'Calc Canada'!$1:$1,0)-1,300)="","",OFFSET('Calc Canada'!$A$1,0,MATCH(X$1,'Calc Canada'!$1:$1,0)-1,300))</f>
        <v/>
      </c>
      <c r="AC115" t="str">
        <f t="shared" ca="1" si="9"/>
        <v/>
      </c>
      <c r="AD115" t="str">
        <f t="shared" ca="1" si="10"/>
        <v/>
      </c>
    </row>
    <row r="116" spans="1:30" x14ac:dyDescent="0.25">
      <c r="A116" s="4">
        <v>41963</v>
      </c>
      <c r="B116">
        <v>1.423</v>
      </c>
      <c r="C116" s="5">
        <v>1.5918999999999999</v>
      </c>
      <c r="D116">
        <v>1.9102000000000001</v>
      </c>
      <c r="E116">
        <v>2.1739999999999999</v>
      </c>
      <c r="F116">
        <v>2.4859999999999998</v>
      </c>
      <c r="G116">
        <v>2.9489999999999998</v>
      </c>
      <c r="H116">
        <f t="shared" ca="1" si="15"/>
        <v>0.42383488681757697</v>
      </c>
      <c r="I116">
        <f t="shared" ca="1" si="15"/>
        <v>0.29943555973659486</v>
      </c>
      <c r="J116">
        <f t="shared" ca="1" si="15"/>
        <v>0.20858453473132391</v>
      </c>
      <c r="K116">
        <f t="shared" ca="1" si="15"/>
        <v>0.24816556914393215</v>
      </c>
      <c r="L116">
        <f t="shared" ca="1" si="15"/>
        <v>0.1728702490170379</v>
      </c>
      <c r="M116">
        <f t="shared" ca="1" si="15"/>
        <v>0.2950452969466501</v>
      </c>
      <c r="N116">
        <f t="shared" ca="1" si="15"/>
        <v>0.19438508584481601</v>
      </c>
      <c r="O116">
        <f t="shared" ca="1" si="15"/>
        <v>0.20445609436435117</v>
      </c>
      <c r="P116">
        <f t="shared" ca="1" si="15"/>
        <v>0.2299019969051653</v>
      </c>
      <c r="Q116">
        <f t="shared" ca="1" si="15"/>
        <v>0.30034655371582586</v>
      </c>
      <c r="R116">
        <f t="shared" ca="1" si="15"/>
        <v>0.58591087811271303</v>
      </c>
      <c r="S116">
        <f t="shared" ca="1" si="15"/>
        <v>0.3773263433813891</v>
      </c>
      <c r="T116">
        <f t="shared" ca="1" si="15"/>
        <v>0.42428708274998134</v>
      </c>
      <c r="V116" s="4">
        <f t="shared" si="13"/>
        <v>41963</v>
      </c>
      <c r="W116" s="5">
        <f t="shared" ca="1" si="11"/>
        <v>0.58591087811271303</v>
      </c>
      <c r="Z116" s="4" t="e">
        <f ca="1">IF(OFFSET('Calc Canada'!$A$1,0,0,300)="",MATCH("Error",AF116,0),OFFSET('Calc Canada'!$A$1,0,0,300))</f>
        <v>#N/A</v>
      </c>
      <c r="AA116" s="5" t="str">
        <f ca="1">IF(OFFSET('Calc Canada'!$A$1,0,MATCH(W$1,'Calc Canada'!$1:$1,0)-1,300)="","",OFFSET('Calc Canada'!$A$1,0,MATCH(W$1,'Calc Canada'!$1:$1,0)-1,300))</f>
        <v/>
      </c>
      <c r="AB116" s="5" t="str">
        <f ca="1">IF(OFFSET('Calc Canada'!$A$1,0,MATCH(X$1,'Calc Canada'!$1:$1,0)-1,300)="","",OFFSET('Calc Canada'!$A$1,0,MATCH(X$1,'Calc Canada'!$1:$1,0)-1,300))</f>
        <v/>
      </c>
      <c r="AC116" t="str">
        <f t="shared" ca="1" si="9"/>
        <v/>
      </c>
      <c r="AD116" t="str">
        <f t="shared" ca="1" si="10"/>
        <v/>
      </c>
    </row>
    <row r="117" spans="1:30" x14ac:dyDescent="0.25">
      <c r="A117" s="4">
        <v>41962</v>
      </c>
      <c r="B117">
        <v>1.4334</v>
      </c>
      <c r="C117" s="5">
        <v>1.605</v>
      </c>
      <c r="D117">
        <v>1.9235</v>
      </c>
      <c r="E117">
        <v>2.1859999999999999</v>
      </c>
      <c r="F117">
        <v>2.5049999999999999</v>
      </c>
      <c r="G117">
        <v>2.976</v>
      </c>
      <c r="H117">
        <f t="shared" ca="1" si="15"/>
        <v>0.42319957480733461</v>
      </c>
      <c r="I117">
        <f t="shared" ca="1" si="15"/>
        <v>0.29721911160880932</v>
      </c>
      <c r="J117">
        <f t="shared" ca="1" si="15"/>
        <v>0.2064695967846493</v>
      </c>
      <c r="K117">
        <f t="shared" ca="1" si="15"/>
        <v>0.24496080627099662</v>
      </c>
      <c r="L117">
        <f t="shared" ca="1" si="15"/>
        <v>0.1701672500972384</v>
      </c>
      <c r="M117">
        <f t="shared" ca="1" si="15"/>
        <v>0.29166666666666663</v>
      </c>
      <c r="N117">
        <f t="shared" ca="1" si="15"/>
        <v>0.19146608315098465</v>
      </c>
      <c r="O117">
        <f t="shared" ca="1" si="15"/>
        <v>0.20679372488007258</v>
      </c>
      <c r="P117">
        <f t="shared" ca="1" si="15"/>
        <v>0.23267687819110136</v>
      </c>
      <c r="Q117">
        <f t="shared" ca="1" si="15"/>
        <v>0.30308788598574815</v>
      </c>
      <c r="R117">
        <f t="shared" ca="1" si="15"/>
        <v>0.58343057176196023</v>
      </c>
      <c r="S117">
        <f t="shared" ca="1" si="15"/>
        <v>0.37696097497731096</v>
      </c>
      <c r="T117">
        <f t="shared" ca="1" si="15"/>
        <v>0.42414296134208601</v>
      </c>
      <c r="V117" s="4">
        <f t="shared" si="13"/>
        <v>41962</v>
      </c>
      <c r="W117" s="5">
        <f t="shared" ca="1" si="11"/>
        <v>0.58343057176196023</v>
      </c>
      <c r="Z117" s="4" t="e">
        <f ca="1">IF(OFFSET('Calc Canada'!$A$1,0,0,300)="",MATCH("Error",AF117,0),OFFSET('Calc Canada'!$A$1,0,0,300))</f>
        <v>#N/A</v>
      </c>
      <c r="AA117" s="5" t="str">
        <f ca="1">IF(OFFSET('Calc Canada'!$A$1,0,MATCH(W$1,'Calc Canada'!$1:$1,0)-1,300)="","",OFFSET('Calc Canada'!$A$1,0,MATCH(W$1,'Calc Canada'!$1:$1,0)-1,300))</f>
        <v/>
      </c>
      <c r="AB117" s="5" t="str">
        <f ca="1">IF(OFFSET('Calc Canada'!$A$1,0,MATCH(X$1,'Calc Canada'!$1:$1,0)-1,300)="","",OFFSET('Calc Canada'!$A$1,0,MATCH(X$1,'Calc Canada'!$1:$1,0)-1,300))</f>
        <v/>
      </c>
      <c r="AC117" t="str">
        <f t="shared" ca="1" si="9"/>
        <v/>
      </c>
      <c r="AD117" t="str">
        <f t="shared" ca="1" si="10"/>
        <v/>
      </c>
    </row>
    <row r="118" spans="1:30" x14ac:dyDescent="0.25">
      <c r="A118" s="4">
        <v>41961</v>
      </c>
      <c r="B118">
        <v>1.4115</v>
      </c>
      <c r="C118" s="5">
        <v>1.577</v>
      </c>
      <c r="D118">
        <v>1.8848</v>
      </c>
      <c r="E118">
        <v>2.1459999999999999</v>
      </c>
      <c r="F118">
        <v>2.456</v>
      </c>
      <c r="G118">
        <v>2.9371</v>
      </c>
      <c r="H118">
        <f t="shared" ca="1" si="15"/>
        <v>0.41906058543226699</v>
      </c>
      <c r="I118">
        <f t="shared" ca="1" si="15"/>
        <v>0.29468645284825284</v>
      </c>
      <c r="J118">
        <f t="shared" ca="1" si="15"/>
        <v>0.2017566858940745</v>
      </c>
      <c r="K118">
        <f t="shared" ca="1" si="15"/>
        <v>0.25007180469123974</v>
      </c>
      <c r="L118">
        <f t="shared" ca="1" si="15"/>
        <v>0.17121132669113784</v>
      </c>
      <c r="M118">
        <f t="shared" ca="1" si="15"/>
        <v>0.29715585893060281</v>
      </c>
      <c r="N118">
        <f t="shared" ca="1" si="15"/>
        <v>0.1920447025953973</v>
      </c>
      <c r="O118">
        <f t="shared" ca="1" si="15"/>
        <v>0.20319874147876249</v>
      </c>
      <c r="P118">
        <f t="shared" ca="1" si="15"/>
        <v>0.22792441732225574</v>
      </c>
      <c r="Q118">
        <f t="shared" ca="1" si="15"/>
        <v>0.29459279673097033</v>
      </c>
      <c r="R118">
        <f t="shared" ca="1" si="15"/>
        <v>0.57616675406397477</v>
      </c>
      <c r="S118">
        <f t="shared" ca="1" si="15"/>
        <v>0.3744100681699003</v>
      </c>
      <c r="T118">
        <f t="shared" ca="1" si="15"/>
        <v>0.41996911991765301</v>
      </c>
      <c r="V118" s="4">
        <f t="shared" si="13"/>
        <v>41961</v>
      </c>
      <c r="W118" s="5">
        <f t="shared" ca="1" si="11"/>
        <v>0.57616675406397477</v>
      </c>
      <c r="Z118" s="4" t="e">
        <f ca="1">IF(OFFSET('Calc Canada'!$A$1,0,0,300)="",MATCH("Error",AF118,0),OFFSET('Calc Canada'!$A$1,0,0,300))</f>
        <v>#N/A</v>
      </c>
      <c r="AA118" s="5" t="str">
        <f ca="1">IF(OFFSET('Calc Canada'!$A$1,0,MATCH(W$1,'Calc Canada'!$1:$1,0)-1,300)="","",OFFSET('Calc Canada'!$A$1,0,MATCH(W$1,'Calc Canada'!$1:$1,0)-1,300))</f>
        <v/>
      </c>
      <c r="AB118" s="5" t="str">
        <f ca="1">IF(OFFSET('Calc Canada'!$A$1,0,MATCH(X$1,'Calc Canada'!$1:$1,0)-1,300)="","",OFFSET('Calc Canada'!$A$1,0,MATCH(X$1,'Calc Canada'!$1:$1,0)-1,300))</f>
        <v/>
      </c>
      <c r="AC118" t="str">
        <f t="shared" ca="1" si="9"/>
        <v/>
      </c>
      <c r="AD118" t="str">
        <f t="shared" ca="1" si="10"/>
        <v/>
      </c>
    </row>
    <row r="119" spans="1:30" x14ac:dyDescent="0.25">
      <c r="A119" s="4">
        <v>41960</v>
      </c>
      <c r="B119">
        <v>1.4076</v>
      </c>
      <c r="C119" s="5">
        <v>1.573</v>
      </c>
      <c r="D119">
        <v>1.9005000000000001</v>
      </c>
      <c r="E119">
        <v>2.1619999999999999</v>
      </c>
      <c r="F119">
        <v>2.4819</v>
      </c>
      <c r="G119">
        <v>2.96</v>
      </c>
      <c r="H119">
        <f t="shared" ca="1" si="15"/>
        <v>0.43411983032873824</v>
      </c>
      <c r="I119">
        <f t="shared" ca="1" si="15"/>
        <v>0.30484966955226672</v>
      </c>
      <c r="J119">
        <f t="shared" ca="1" si="15"/>
        <v>0.21096366915743373</v>
      </c>
      <c r="K119">
        <f t="shared" ca="1" si="15"/>
        <v>0.24341431629898524</v>
      </c>
      <c r="L119">
        <f t="shared" ca="1" si="15"/>
        <v>0.16844885338830187</v>
      </c>
      <c r="M119">
        <f t="shared" ca="1" si="15"/>
        <v>0.28771041918802931</v>
      </c>
      <c r="N119">
        <f t="shared" ca="1" si="15"/>
        <v>0.18853640951694292</v>
      </c>
      <c r="O119">
        <f t="shared" ca="1" si="15"/>
        <v>0.20606802370523067</v>
      </c>
      <c r="P119">
        <f t="shared" ca="1" si="15"/>
        <v>0.23064167267483782</v>
      </c>
      <c r="Q119">
        <f t="shared" ca="1" si="15"/>
        <v>0.30193487494101001</v>
      </c>
      <c r="R119">
        <f t="shared" ca="1" si="15"/>
        <v>0.58548054625096624</v>
      </c>
      <c r="S119">
        <f t="shared" ca="1" si="15"/>
        <v>0.37451687709353254</v>
      </c>
      <c r="T119">
        <f t="shared" ca="1" si="15"/>
        <v>0.41917808219178077</v>
      </c>
      <c r="V119" s="4">
        <f t="shared" si="13"/>
        <v>41960</v>
      </c>
      <c r="W119" s="5">
        <f t="shared" ca="1" si="11"/>
        <v>0.58548054625096624</v>
      </c>
      <c r="Z119" s="4" t="e">
        <f ca="1">IF(OFFSET('Calc Canada'!$A$1,0,0,300)="",MATCH("Error",AF119,0),OFFSET('Calc Canada'!$A$1,0,0,300))</f>
        <v>#N/A</v>
      </c>
      <c r="AA119" s="5" t="str">
        <f ca="1">IF(OFFSET('Calc Canada'!$A$1,0,MATCH(W$1,'Calc Canada'!$1:$1,0)-1,300)="","",OFFSET('Calc Canada'!$A$1,0,MATCH(W$1,'Calc Canada'!$1:$1,0)-1,300))</f>
        <v/>
      </c>
      <c r="AB119" s="5" t="str">
        <f ca="1">IF(OFFSET('Calc Canada'!$A$1,0,MATCH(X$1,'Calc Canada'!$1:$1,0)-1,300)="","",OFFSET('Calc Canada'!$A$1,0,MATCH(X$1,'Calc Canada'!$1:$1,0)-1,300))</f>
        <v/>
      </c>
      <c r="AC119" t="str">
        <f t="shared" ca="1" si="9"/>
        <v/>
      </c>
      <c r="AD119" t="str">
        <f t="shared" ca="1" si="10"/>
        <v/>
      </c>
    </row>
    <row r="120" spans="1:30" x14ac:dyDescent="0.25">
      <c r="A120" s="4">
        <v>41957</v>
      </c>
      <c r="B120">
        <v>1.4102000000000001</v>
      </c>
      <c r="C120" s="5">
        <v>1.5739999999999998</v>
      </c>
      <c r="D120">
        <v>1.8940000000000001</v>
      </c>
      <c r="E120">
        <v>2.1629999999999998</v>
      </c>
      <c r="F120">
        <v>2.488</v>
      </c>
      <c r="G120">
        <v>2.9649999999999999</v>
      </c>
      <c r="H120">
        <f t="shared" ca="1" si="15"/>
        <v>0.42507970244420884</v>
      </c>
      <c r="I120">
        <f t="shared" ca="1" si="15"/>
        <v>0.29690109482278748</v>
      </c>
      <c r="J120">
        <f t="shared" ca="1" si="15"/>
        <v>0.20581425263699532</v>
      </c>
      <c r="K120">
        <f t="shared" ca="1" si="15"/>
        <v>0.24958248283540518</v>
      </c>
      <c r="L120">
        <f t="shared" ca="1" si="15"/>
        <v>0.17301260612297384</v>
      </c>
      <c r="M120">
        <f t="shared" ca="1" si="15"/>
        <v>0.29431072210065606</v>
      </c>
      <c r="N120">
        <f t="shared" ca="1" si="15"/>
        <v>0.19338605319913707</v>
      </c>
      <c r="O120">
        <f t="shared" ca="1" si="15"/>
        <v>0.2090301003344483</v>
      </c>
      <c r="P120">
        <f t="shared" ca="1" si="15"/>
        <v>0.23364485981308425</v>
      </c>
      <c r="Q120">
        <f t="shared" ca="1" si="15"/>
        <v>0.30345471521942136</v>
      </c>
      <c r="R120">
        <f t="shared" ca="1" si="15"/>
        <v>0.58785695909441749</v>
      </c>
      <c r="S120">
        <f t="shared" ca="1" si="15"/>
        <v>0.38204270645742217</v>
      </c>
      <c r="T120">
        <f t="shared" ca="1" si="15"/>
        <v>0.42703091301222135</v>
      </c>
      <c r="V120" s="4">
        <f t="shared" si="13"/>
        <v>41957</v>
      </c>
      <c r="W120" s="5">
        <f t="shared" ca="1" si="11"/>
        <v>0.58785695909441749</v>
      </c>
      <c r="Z120" s="4" t="e">
        <f ca="1">IF(OFFSET('Calc Canada'!$A$1,0,0,300)="",MATCH("Error",AF120,0),OFFSET('Calc Canada'!$A$1,0,0,300))</f>
        <v>#N/A</v>
      </c>
      <c r="AA120" s="5" t="str">
        <f ca="1">IF(OFFSET('Calc Canada'!$A$1,0,MATCH(W$1,'Calc Canada'!$1:$1,0)-1,300)="","",OFFSET('Calc Canada'!$A$1,0,MATCH(W$1,'Calc Canada'!$1:$1,0)-1,300))</f>
        <v/>
      </c>
      <c r="AB120" s="5" t="str">
        <f ca="1">IF(OFFSET('Calc Canada'!$A$1,0,MATCH(X$1,'Calc Canada'!$1:$1,0)-1,300)="","",OFFSET('Calc Canada'!$A$1,0,MATCH(X$1,'Calc Canada'!$1:$1,0)-1,300))</f>
        <v/>
      </c>
      <c r="AC120" t="str">
        <f t="shared" ca="1" si="9"/>
        <v/>
      </c>
      <c r="AD120" t="str">
        <f t="shared" ca="1" si="10"/>
        <v/>
      </c>
    </row>
    <row r="121" spans="1:30" x14ac:dyDescent="0.25">
      <c r="A121" s="4">
        <v>41956</v>
      </c>
      <c r="B121">
        <v>1.4126000000000001</v>
      </c>
      <c r="C121" s="5">
        <v>1.581</v>
      </c>
      <c r="D121">
        <v>1.899</v>
      </c>
      <c r="E121">
        <v>2.1709999999999998</v>
      </c>
      <c r="F121">
        <v>2.496</v>
      </c>
      <c r="G121">
        <v>2.9790000000000001</v>
      </c>
      <c r="H121">
        <f t="shared" ca="1" si="15"/>
        <v>0.41930379746835467</v>
      </c>
      <c r="I121">
        <f t="shared" ca="1" si="15"/>
        <v>0.29352039874469271</v>
      </c>
      <c r="J121">
        <f t="shared" ca="1" si="15"/>
        <v>0.20301327885597553</v>
      </c>
      <c r="K121">
        <f t="shared" ca="1" si="15"/>
        <v>0.25106147314011429</v>
      </c>
      <c r="L121">
        <f t="shared" ca="1" si="15"/>
        <v>0.17364657814096005</v>
      </c>
      <c r="M121">
        <f t="shared" ca="1" si="15"/>
        <v>0.29726775956284129</v>
      </c>
      <c r="N121">
        <f t="shared" ca="1" si="15"/>
        <v>0.19456366237482101</v>
      </c>
      <c r="O121">
        <f t="shared" ca="1" si="15"/>
        <v>0.2074821246169562</v>
      </c>
      <c r="P121">
        <f t="shared" ca="1" si="15"/>
        <v>0.232474964234621</v>
      </c>
      <c r="Q121">
        <f t="shared" ca="1" si="15"/>
        <v>0.3009259259259261</v>
      </c>
      <c r="R121">
        <f t="shared" ca="1" si="15"/>
        <v>0.58414198161389175</v>
      </c>
      <c r="S121">
        <f t="shared" ca="1" si="15"/>
        <v>0.38112870275791622</v>
      </c>
      <c r="T121">
        <f t="shared" ca="1" si="15"/>
        <v>0.42703862660944203</v>
      </c>
      <c r="V121" s="4">
        <f t="shared" si="13"/>
        <v>41956</v>
      </c>
      <c r="W121" s="5">
        <f t="shared" ca="1" si="11"/>
        <v>0.58414198161389175</v>
      </c>
      <c r="Z121" s="4" t="e">
        <f ca="1">IF(OFFSET('Calc Canada'!$A$1,0,0,300)="",MATCH("Error",AF121,0),OFFSET('Calc Canada'!$A$1,0,0,300))</f>
        <v>#N/A</v>
      </c>
      <c r="AA121" s="5" t="str">
        <f ca="1">IF(OFFSET('Calc Canada'!$A$1,0,MATCH(W$1,'Calc Canada'!$1:$1,0)-1,300)="","",OFFSET('Calc Canada'!$A$1,0,MATCH(W$1,'Calc Canada'!$1:$1,0)-1,300))</f>
        <v/>
      </c>
      <c r="AB121" s="5" t="str">
        <f ca="1">IF(OFFSET('Calc Canada'!$A$1,0,MATCH(X$1,'Calc Canada'!$1:$1,0)-1,300)="","",OFFSET('Calc Canada'!$A$1,0,MATCH(X$1,'Calc Canada'!$1:$1,0)-1,300))</f>
        <v/>
      </c>
      <c r="AC121" t="str">
        <f t="shared" ca="1" si="9"/>
        <v/>
      </c>
      <c r="AD121" t="str">
        <f t="shared" ca="1" si="10"/>
        <v/>
      </c>
    </row>
    <row r="122" spans="1:30" x14ac:dyDescent="0.25">
      <c r="A122" s="4">
        <v>41955</v>
      </c>
      <c r="B122">
        <v>1.4153</v>
      </c>
      <c r="C122" s="5">
        <v>1.5920000000000001</v>
      </c>
      <c r="D122">
        <v>1.9155</v>
      </c>
      <c r="E122">
        <v>2.1915</v>
      </c>
      <c r="F122">
        <v>2.5150000000000001</v>
      </c>
      <c r="G122">
        <v>2.9977</v>
      </c>
      <c r="H122">
        <f t="shared" ca="1" si="15"/>
        <v>0.4167740273125482</v>
      </c>
      <c r="I122">
        <f t="shared" ca="1" si="15"/>
        <v>0.29417113758297703</v>
      </c>
      <c r="J122">
        <f t="shared" ca="1" si="15"/>
        <v>0.2044362992922143</v>
      </c>
      <c r="K122">
        <f t="shared" ca="1" si="15"/>
        <v>0.25097753932890787</v>
      </c>
      <c r="L122">
        <f t="shared" ca="1" si="15"/>
        <v>0.1744186046511628</v>
      </c>
      <c r="M122">
        <f t="shared" ca="1" si="15"/>
        <v>0.29902491874322862</v>
      </c>
      <c r="N122">
        <f t="shared" ca="1" si="15"/>
        <v>0.19634345877498757</v>
      </c>
      <c r="O122">
        <f t="shared" ca="1" si="15"/>
        <v>0.20443629929221444</v>
      </c>
      <c r="P122">
        <f t="shared" ca="1" si="15"/>
        <v>0.23013445258590035</v>
      </c>
      <c r="Q122">
        <f t="shared" ca="1" si="15"/>
        <v>0.29892810940676412</v>
      </c>
      <c r="R122">
        <f t="shared" ca="1" si="15"/>
        <v>0.58329120323559147</v>
      </c>
      <c r="S122">
        <f t="shared" ca="1" si="15"/>
        <v>0.37885490394337723</v>
      </c>
      <c r="T122">
        <f t="shared" ca="1" si="15"/>
        <v>0.42647791136088792</v>
      </c>
      <c r="V122" s="4">
        <f t="shared" si="13"/>
        <v>41955</v>
      </c>
      <c r="W122" s="5">
        <f t="shared" ca="1" si="11"/>
        <v>0.58329120323559147</v>
      </c>
      <c r="Z122" s="4" t="e">
        <f ca="1">IF(OFFSET('Calc Canada'!$A$1,0,0,300)="",MATCH("Error",AF122,0),OFFSET('Calc Canada'!$A$1,0,0,300))</f>
        <v>#N/A</v>
      </c>
      <c r="AA122" s="5" t="str">
        <f ca="1">IF(OFFSET('Calc Canada'!$A$1,0,MATCH(W$1,'Calc Canada'!$1:$1,0)-1,300)="","",OFFSET('Calc Canada'!$A$1,0,MATCH(W$1,'Calc Canada'!$1:$1,0)-1,300))</f>
        <v/>
      </c>
      <c r="AB122" s="5" t="str">
        <f ca="1">IF(OFFSET('Calc Canada'!$A$1,0,MATCH(X$1,'Calc Canada'!$1:$1,0)-1,300)="","",OFFSET('Calc Canada'!$A$1,0,MATCH(X$1,'Calc Canada'!$1:$1,0)-1,300))</f>
        <v/>
      </c>
      <c r="AC122" t="str">
        <f t="shared" ca="1" si="9"/>
        <v/>
      </c>
      <c r="AD122" t="str">
        <f t="shared" ca="1" si="10"/>
        <v/>
      </c>
    </row>
    <row r="123" spans="1:30" x14ac:dyDescent="0.25">
      <c r="A123" s="4">
        <v>41954</v>
      </c>
      <c r="B123">
        <v>1.4359</v>
      </c>
      <c r="C123" s="5">
        <v>1.6099999999999999</v>
      </c>
      <c r="D123">
        <v>1.9304000000000001</v>
      </c>
      <c r="E123">
        <v>2.1985000000000001</v>
      </c>
      <c r="F123">
        <v>2.5202</v>
      </c>
      <c r="G123">
        <v>2.9889000000000001</v>
      </c>
      <c r="H123">
        <f t="shared" ca="1" si="15"/>
        <v>0.42014162077104666</v>
      </c>
      <c r="I123">
        <f t="shared" ca="1" si="15"/>
        <v>0.29549017799502003</v>
      </c>
      <c r="J123">
        <f t="shared" ca="1" si="15"/>
        <v>0.20631036703155198</v>
      </c>
      <c r="K123">
        <f t="shared" ca="1" si="15"/>
        <v>0.24725629438347321</v>
      </c>
      <c r="L123">
        <f t="shared" ca="1" si="15"/>
        <v>0.17263361236316804</v>
      </c>
      <c r="M123">
        <f t="shared" ca="1" si="15"/>
        <v>0.29455064820918475</v>
      </c>
      <c r="N123">
        <f t="shared" ca="1" si="15"/>
        <v>0.19443034302705051</v>
      </c>
      <c r="O123">
        <f t="shared" ca="1" si="15"/>
        <v>0.20714745653573718</v>
      </c>
      <c r="P123">
        <f t="shared" ca="1" si="15"/>
        <v>0.23330190731742681</v>
      </c>
      <c r="Q123">
        <f t="shared" ca="1" si="15"/>
        <v>0.30392064241851663</v>
      </c>
      <c r="R123">
        <f t="shared" ca="1" si="15"/>
        <v>0.58609143593045721</v>
      </c>
      <c r="S123">
        <f t="shared" ca="1" si="15"/>
        <v>0.37978106889890523</v>
      </c>
      <c r="T123">
        <f t="shared" ca="1" si="15"/>
        <v>0.42773225034447732</v>
      </c>
      <c r="V123" s="4">
        <f t="shared" si="13"/>
        <v>41954</v>
      </c>
      <c r="W123" s="5">
        <f t="shared" ca="1" si="11"/>
        <v>0.58609143593045721</v>
      </c>
      <c r="Z123" s="4" t="e">
        <f ca="1">IF(OFFSET('Calc Canada'!$A$1,0,0,300)="",MATCH("Error",AF123,0),OFFSET('Calc Canada'!$A$1,0,0,300))</f>
        <v>#N/A</v>
      </c>
      <c r="AA123" s="5" t="str">
        <f ca="1">IF(OFFSET('Calc Canada'!$A$1,0,MATCH(W$1,'Calc Canada'!$1:$1,0)-1,300)="","",OFFSET('Calc Canada'!$A$1,0,MATCH(W$1,'Calc Canada'!$1:$1,0)-1,300))</f>
        <v/>
      </c>
      <c r="AB123" s="5" t="str">
        <f ca="1">IF(OFFSET('Calc Canada'!$A$1,0,MATCH(X$1,'Calc Canada'!$1:$1,0)-1,300)="","",OFFSET('Calc Canada'!$A$1,0,MATCH(X$1,'Calc Canada'!$1:$1,0)-1,300))</f>
        <v/>
      </c>
      <c r="AC123" t="str">
        <f t="shared" ca="1" si="9"/>
        <v/>
      </c>
      <c r="AD123" t="str">
        <f t="shared" ca="1" si="10"/>
        <v/>
      </c>
    </row>
    <row r="124" spans="1:30" x14ac:dyDescent="0.25">
      <c r="A124" s="4">
        <v>41953</v>
      </c>
      <c r="B124">
        <v>1.4359</v>
      </c>
      <c r="C124" s="5">
        <v>1.6053999999999999</v>
      </c>
      <c r="D124">
        <v>1.9304000000000001</v>
      </c>
      <c r="E124">
        <v>2.1991000000000001</v>
      </c>
      <c r="F124">
        <v>2.5202</v>
      </c>
      <c r="G124">
        <v>2.9889000000000001</v>
      </c>
      <c r="H124">
        <f t="shared" ca="1" si="15"/>
        <v>0.42583857442348028</v>
      </c>
      <c r="I124">
        <f t="shared" ca="1" si="15"/>
        <v>0.29973254634326307</v>
      </c>
      <c r="J124">
        <f t="shared" ca="1" si="15"/>
        <v>0.20927237604636198</v>
      </c>
      <c r="K124">
        <f t="shared" ca="1" si="15"/>
        <v>0.24780964677672224</v>
      </c>
      <c r="L124">
        <f t="shared" ca="1" si="15"/>
        <v>0.17301996136509976</v>
      </c>
      <c r="M124">
        <f t="shared" ca="1" si="15"/>
        <v>0.29372540445999118</v>
      </c>
      <c r="N124">
        <f t="shared" ca="1" si="15"/>
        <v>0.19421756414889765</v>
      </c>
      <c r="O124">
        <f t="shared" ca="1" si="15"/>
        <v>0.20676110753380547</v>
      </c>
      <c r="P124">
        <f t="shared" ca="1" si="15"/>
        <v>0.23209251897361757</v>
      </c>
      <c r="Q124">
        <f t="shared" ca="1" si="15"/>
        <v>0.30335380255077937</v>
      </c>
      <c r="R124">
        <f t="shared" ca="1" si="15"/>
        <v>0.58905344494526723</v>
      </c>
      <c r="S124">
        <f t="shared" ca="1" si="15"/>
        <v>0.37978106889890523</v>
      </c>
      <c r="T124">
        <f t="shared" ca="1" si="15"/>
        <v>0.42631008312251523</v>
      </c>
      <c r="V124" s="4">
        <f t="shared" si="13"/>
        <v>41953</v>
      </c>
      <c r="W124" s="5">
        <f t="shared" ca="1" si="11"/>
        <v>0.58905344494526723</v>
      </c>
      <c r="Z124" s="4" t="e">
        <f ca="1">IF(OFFSET('Calc Canada'!$A$1,0,0,300)="",MATCH("Error",AF124,0),OFFSET('Calc Canada'!$A$1,0,0,300))</f>
        <v>#N/A</v>
      </c>
      <c r="AA124" s="5" t="str">
        <f ca="1">IF(OFFSET('Calc Canada'!$A$1,0,MATCH(W$1,'Calc Canada'!$1:$1,0)-1,300)="","",OFFSET('Calc Canada'!$A$1,0,MATCH(W$1,'Calc Canada'!$1:$1,0)-1,300))</f>
        <v/>
      </c>
      <c r="AB124" s="5" t="str">
        <f ca="1">IF(OFFSET('Calc Canada'!$A$1,0,MATCH(X$1,'Calc Canada'!$1:$1,0)-1,300)="","",OFFSET('Calc Canada'!$A$1,0,MATCH(X$1,'Calc Canada'!$1:$1,0)-1,300))</f>
        <v/>
      </c>
      <c r="AC124" t="str">
        <f t="shared" ca="1" si="9"/>
        <v/>
      </c>
      <c r="AD124" t="str">
        <f t="shared" ca="1" si="10"/>
        <v/>
      </c>
    </row>
    <row r="125" spans="1:30" x14ac:dyDescent="0.25">
      <c r="A125" s="4">
        <v>41950</v>
      </c>
      <c r="B125">
        <v>1.4205000000000001</v>
      </c>
      <c r="C125" s="5">
        <v>1.5855999999999999</v>
      </c>
      <c r="D125">
        <v>1.9048</v>
      </c>
      <c r="E125">
        <v>2.1718000000000002</v>
      </c>
      <c r="F125">
        <v>2.4849999999999999</v>
      </c>
      <c r="G125">
        <v>2.9759000000000002</v>
      </c>
      <c r="H125">
        <f t="shared" ref="H125:T140" ca="1" si="16">IF(ISERROR(ABS(OFFSET($A$11,ROW()-11,MATCH(LEFT(H$9,2),$A$11:$G$11,0)-1)-OFFSET($A$11,ROW()-11,MATCH(RIGHT(H$9,2),$A$11:$G$11,0)-1))/ABS(OFFSET($A$11,ROW()-11,MATCH(LEFT(H$10,2),$A$11:$G$11,0)-1)-OFFSET($A$11,ROW()-11,MATCH(RIGHT(H$10,2),$A$11:$G$11,0)-1))),"",ABS(OFFSET($A$11,ROW()-11,MATCH(LEFT(H$9,2),$A$11:$G$11,0)-1)-OFFSET($A$11,ROW()-11,MATCH(RIGHT(H$9,2),$A$11:$G$11,0)-1))/ABS(OFFSET($A$11,ROW()-11,MATCH(LEFT(H$10,2),$A$11:$G$11,0)-1)-OFFSET($A$11,ROW()-11,MATCH(RIGHT(H$10,2),$A$11:$G$11,0)-1)))</f>
        <v>0.42486356981232548</v>
      </c>
      <c r="I125">
        <f t="shared" ca="1" si="16"/>
        <v>0.29985908877407252</v>
      </c>
      <c r="J125">
        <f t="shared" ca="1" si="16"/>
        <v>0.20522052205220531</v>
      </c>
      <c r="K125">
        <f t="shared" ca="1" si="16"/>
        <v>0.2508219821512449</v>
      </c>
      <c r="L125">
        <f t="shared" ca="1" si="16"/>
        <v>0.17166002314517173</v>
      </c>
      <c r="M125">
        <f t="shared" ca="1" si="16"/>
        <v>0.29686457638425634</v>
      </c>
      <c r="N125">
        <f t="shared" ca="1" si="16"/>
        <v>0.19204488239948217</v>
      </c>
      <c r="O125">
        <f t="shared" ca="1" si="16"/>
        <v>0.20136299344220115</v>
      </c>
      <c r="P125">
        <f t="shared" ca="1" si="16"/>
        <v>0.22527512047759449</v>
      </c>
      <c r="Q125">
        <f t="shared" ca="1" si="16"/>
        <v>0.29240967229950487</v>
      </c>
      <c r="R125">
        <f t="shared" ca="1" si="16"/>
        <v>0.57824353863957823</v>
      </c>
      <c r="S125">
        <f t="shared" ca="1" si="16"/>
        <v>0.37302301658737286</v>
      </c>
      <c r="T125">
        <f t="shared" ca="1" si="16"/>
        <v>0.41732000287707666</v>
      </c>
      <c r="V125" s="4">
        <f t="shared" si="13"/>
        <v>41950</v>
      </c>
      <c r="W125" s="5">
        <f t="shared" ca="1" si="11"/>
        <v>0.57824353863957823</v>
      </c>
      <c r="Z125" s="4" t="e">
        <f ca="1">IF(OFFSET('Calc Canada'!$A$1,0,0,300)="",MATCH("Error",AF125,0),OFFSET('Calc Canada'!$A$1,0,0,300))</f>
        <v>#N/A</v>
      </c>
      <c r="AA125" s="5" t="str">
        <f ca="1">IF(OFFSET('Calc Canada'!$A$1,0,MATCH(W$1,'Calc Canada'!$1:$1,0)-1,300)="","",OFFSET('Calc Canada'!$A$1,0,MATCH(W$1,'Calc Canada'!$1:$1,0)-1,300))</f>
        <v/>
      </c>
      <c r="AB125" s="5" t="str">
        <f ca="1">IF(OFFSET('Calc Canada'!$A$1,0,MATCH(X$1,'Calc Canada'!$1:$1,0)-1,300)="","",OFFSET('Calc Canada'!$A$1,0,MATCH(X$1,'Calc Canada'!$1:$1,0)-1,300))</f>
        <v/>
      </c>
      <c r="AC125" t="str">
        <f t="shared" ca="1" si="9"/>
        <v/>
      </c>
      <c r="AD125" t="str">
        <f t="shared" ca="1" si="10"/>
        <v/>
      </c>
    </row>
    <row r="126" spans="1:30" x14ac:dyDescent="0.25">
      <c r="A126" s="4">
        <v>41949</v>
      </c>
      <c r="B126">
        <v>1.423</v>
      </c>
      <c r="C126" s="5">
        <v>1.607</v>
      </c>
      <c r="D126">
        <v>1.9419999999999999</v>
      </c>
      <c r="E126">
        <v>2.2174999999999998</v>
      </c>
      <c r="F126">
        <v>2.544</v>
      </c>
      <c r="G126">
        <v>3.0177</v>
      </c>
      <c r="H126">
        <f t="shared" ca="1" si="16"/>
        <v>0.42164883574575213</v>
      </c>
      <c r="I126">
        <f t="shared" ca="1" si="16"/>
        <v>0.29884032114183762</v>
      </c>
      <c r="J126">
        <f t="shared" ca="1" si="16"/>
        <v>0.21007085972283185</v>
      </c>
      <c r="K126">
        <f t="shared" ca="1" si="16"/>
        <v>0.24576271186440665</v>
      </c>
      <c r="L126">
        <f t="shared" ca="1" si="16"/>
        <v>0.17275976672728405</v>
      </c>
      <c r="M126">
        <f t="shared" ca="1" si="16"/>
        <v>0.29402347918890059</v>
      </c>
      <c r="N126">
        <f t="shared" ca="1" si="16"/>
        <v>0.19529311689232284</v>
      </c>
      <c r="O126">
        <f t="shared" ca="1" si="16"/>
        <v>0.20474070358061092</v>
      </c>
      <c r="P126">
        <f t="shared" ca="1" si="16"/>
        <v>0.23144538172538473</v>
      </c>
      <c r="Q126">
        <f t="shared" ca="1" si="16"/>
        <v>0.30352328716184829</v>
      </c>
      <c r="R126">
        <f t="shared" ca="1" si="16"/>
        <v>0.58757133003072681</v>
      </c>
      <c r="S126">
        <f t="shared" ca="1" si="16"/>
        <v>0.37750047030789496</v>
      </c>
      <c r="T126">
        <f t="shared" ca="1" si="16"/>
        <v>0.42673849861770757</v>
      </c>
      <c r="V126" s="4">
        <f t="shared" si="13"/>
        <v>41949</v>
      </c>
      <c r="W126" s="5">
        <f t="shared" ca="1" si="11"/>
        <v>0.58757133003072681</v>
      </c>
      <c r="Z126" s="4" t="e">
        <f ca="1">IF(OFFSET('Calc Canada'!$A$1,0,0,300)="",MATCH("Error",AF126,0),OFFSET('Calc Canada'!$A$1,0,0,300))</f>
        <v>#N/A</v>
      </c>
      <c r="AA126" s="5" t="str">
        <f ca="1">IF(OFFSET('Calc Canada'!$A$1,0,MATCH(W$1,'Calc Canada'!$1:$1,0)-1,300)="","",OFFSET('Calc Canada'!$A$1,0,MATCH(W$1,'Calc Canada'!$1:$1,0)-1,300))</f>
        <v/>
      </c>
      <c r="AB126" s="5" t="str">
        <f ca="1">IF(OFFSET('Calc Canada'!$A$1,0,MATCH(X$1,'Calc Canada'!$1:$1,0)-1,300)="","",OFFSET('Calc Canada'!$A$1,0,MATCH(X$1,'Calc Canada'!$1:$1,0)-1,300))</f>
        <v/>
      </c>
      <c r="AC126" t="str">
        <f t="shared" ca="1" si="9"/>
        <v/>
      </c>
      <c r="AD126" t="str">
        <f t="shared" ca="1" si="10"/>
        <v/>
      </c>
    </row>
    <row r="127" spans="1:30" x14ac:dyDescent="0.25">
      <c r="A127" s="4">
        <v>41948</v>
      </c>
      <c r="B127">
        <v>1.4025000000000001</v>
      </c>
      <c r="C127" s="5">
        <v>1.5691000000000002</v>
      </c>
      <c r="D127">
        <v>1.9039999999999999</v>
      </c>
      <c r="E127">
        <v>2.1779999999999999</v>
      </c>
      <c r="F127">
        <v>2.504</v>
      </c>
      <c r="G127">
        <v>2.9740000000000002</v>
      </c>
      <c r="H127">
        <f t="shared" ca="1" si="16"/>
        <v>0.43185041908446142</v>
      </c>
      <c r="I127">
        <f t="shared" ca="1" si="16"/>
        <v>0.30403994552882413</v>
      </c>
      <c r="J127">
        <f t="shared" ca="1" si="16"/>
        <v>0.21310849506840582</v>
      </c>
      <c r="K127">
        <f t="shared" ca="1" si="16"/>
        <v>0.2487517022242397</v>
      </c>
      <c r="L127">
        <f t="shared" ca="1" si="16"/>
        <v>0.17435571110404072</v>
      </c>
      <c r="M127">
        <f t="shared" ca="1" si="16"/>
        <v>0.29307947374050708</v>
      </c>
      <c r="N127">
        <f t="shared" ca="1" si="16"/>
        <v>0.19503167485230266</v>
      </c>
      <c r="O127">
        <f t="shared" ca="1" si="16"/>
        <v>0.20744511613108499</v>
      </c>
      <c r="P127">
        <f t="shared" ca="1" si="16"/>
        <v>0.23204498540821414</v>
      </c>
      <c r="Q127">
        <f t="shared" ca="1" si="16"/>
        <v>0.30467289719626167</v>
      </c>
      <c r="R127">
        <f t="shared" ca="1" si="16"/>
        <v>0.59490932230353155</v>
      </c>
      <c r="S127">
        <f t="shared" ca="1" si="16"/>
        <v>0.38180082723512571</v>
      </c>
      <c r="T127">
        <f t="shared" ca="1" si="16"/>
        <v>0.42707666026051683</v>
      </c>
      <c r="V127" s="4">
        <f t="shared" si="13"/>
        <v>41948</v>
      </c>
      <c r="W127" s="5">
        <f t="shared" ca="1" si="11"/>
        <v>0.59490932230353155</v>
      </c>
      <c r="Z127" s="4" t="e">
        <f ca="1">IF(OFFSET('Calc Canada'!$A$1,0,0,300)="",MATCH("Error",AF127,0),OFFSET('Calc Canada'!$A$1,0,0,300))</f>
        <v>#N/A</v>
      </c>
      <c r="AA127" s="5" t="str">
        <f ca="1">IF(OFFSET('Calc Canada'!$A$1,0,MATCH(W$1,'Calc Canada'!$1:$1,0)-1,300)="","",OFFSET('Calc Canada'!$A$1,0,MATCH(W$1,'Calc Canada'!$1:$1,0)-1,300))</f>
        <v/>
      </c>
      <c r="AB127" s="5" t="str">
        <f ca="1">IF(OFFSET('Calc Canada'!$A$1,0,MATCH(X$1,'Calc Canada'!$1:$1,0)-1,300)="","",OFFSET('Calc Canada'!$A$1,0,MATCH(X$1,'Calc Canada'!$1:$1,0)-1,300))</f>
        <v/>
      </c>
      <c r="AC127" t="str">
        <f t="shared" ca="1" si="9"/>
        <v/>
      </c>
      <c r="AD127" t="str">
        <f t="shared" ca="1" si="10"/>
        <v/>
      </c>
    </row>
    <row r="128" spans="1:30" x14ac:dyDescent="0.25">
      <c r="A128" s="4">
        <v>41947</v>
      </c>
      <c r="B128">
        <v>1.3820999999999999</v>
      </c>
      <c r="C128" s="5">
        <v>1.5493999999999999</v>
      </c>
      <c r="D128">
        <v>1.8891</v>
      </c>
      <c r="E128">
        <v>2.1619999999999999</v>
      </c>
      <c r="F128">
        <v>2.4790000000000001</v>
      </c>
      <c r="G128">
        <v>2.9557000000000002</v>
      </c>
      <c r="H128">
        <f t="shared" ca="1" si="16"/>
        <v>0.43556866264905769</v>
      </c>
      <c r="I128">
        <f t="shared" ca="1" si="16"/>
        <v>0.30969094721487833</v>
      </c>
      <c r="J128">
        <f t="shared" ca="1" si="16"/>
        <v>0.21587442806304019</v>
      </c>
      <c r="K128">
        <f t="shared" ca="1" si="16"/>
        <v>0.24879205032363924</v>
      </c>
      <c r="L128">
        <f t="shared" ca="1" si="16"/>
        <v>0.17342399593289265</v>
      </c>
      <c r="M128">
        <f t="shared" ca="1" si="16"/>
        <v>0.29356712564543874</v>
      </c>
      <c r="N128">
        <f t="shared" ca="1" si="16"/>
        <v>0.19405532247742294</v>
      </c>
      <c r="O128">
        <f t="shared" ca="1" si="16"/>
        <v>0.20144890696492126</v>
      </c>
      <c r="P128">
        <f t="shared" ca="1" si="16"/>
        <v>0.2254142074948447</v>
      </c>
      <c r="Q128">
        <f t="shared" ca="1" si="16"/>
        <v>0.29720607537971133</v>
      </c>
      <c r="R128">
        <f t="shared" ca="1" si="16"/>
        <v>0.59074733096085408</v>
      </c>
      <c r="S128">
        <f t="shared" ca="1" si="16"/>
        <v>0.37487290289781389</v>
      </c>
      <c r="T128">
        <f t="shared" ca="1" si="16"/>
        <v>0.41946952997226761</v>
      </c>
      <c r="V128" s="4">
        <f t="shared" si="13"/>
        <v>41947</v>
      </c>
      <c r="W128" s="5">
        <f t="shared" ca="1" si="11"/>
        <v>0.59074733096085408</v>
      </c>
      <c r="Z128" s="4" t="e">
        <f ca="1">IF(OFFSET('Calc Canada'!$A$1,0,0,300)="",MATCH("Error",AF128,0),OFFSET('Calc Canada'!$A$1,0,0,300))</f>
        <v>#N/A</v>
      </c>
      <c r="AA128" s="5" t="str">
        <f ca="1">IF(OFFSET('Calc Canada'!$A$1,0,MATCH(W$1,'Calc Canada'!$1:$1,0)-1,300)="","",OFFSET('Calc Canada'!$A$1,0,MATCH(W$1,'Calc Canada'!$1:$1,0)-1,300))</f>
        <v/>
      </c>
      <c r="AB128" s="5" t="str">
        <f ca="1">IF(OFFSET('Calc Canada'!$A$1,0,MATCH(X$1,'Calc Canada'!$1:$1,0)-1,300)="","",OFFSET('Calc Canada'!$A$1,0,MATCH(X$1,'Calc Canada'!$1:$1,0)-1,300))</f>
        <v/>
      </c>
      <c r="AC128" t="str">
        <f t="shared" ca="1" si="9"/>
        <v/>
      </c>
      <c r="AD128" t="str">
        <f t="shared" ca="1" si="10"/>
        <v/>
      </c>
    </row>
    <row r="129" spans="1:30" x14ac:dyDescent="0.25">
      <c r="A129" s="4">
        <v>41946</v>
      </c>
      <c r="B129">
        <v>1.3723000000000001</v>
      </c>
      <c r="C129" s="5">
        <v>1.5550000000000002</v>
      </c>
      <c r="D129">
        <v>1.9020000000000001</v>
      </c>
      <c r="E129">
        <v>2.1734999999999998</v>
      </c>
      <c r="F129">
        <v>2.4980000000000002</v>
      </c>
      <c r="G129">
        <v>2.9786999999999999</v>
      </c>
      <c r="H129">
        <f t="shared" ca="1" si="16"/>
        <v>0.43310034947578646</v>
      </c>
      <c r="I129">
        <f t="shared" ca="1" si="16"/>
        <v>0.30825264280003545</v>
      </c>
      <c r="J129">
        <f t="shared" ca="1" si="16"/>
        <v>0.21601095617529881</v>
      </c>
      <c r="K129">
        <f t="shared" ca="1" si="16"/>
        <v>0.2411832637470015</v>
      </c>
      <c r="L129">
        <f t="shared" ca="1" si="16"/>
        <v>0.16901145418326671</v>
      </c>
      <c r="M129">
        <f t="shared" ca="1" si="16"/>
        <v>0.28791092258748635</v>
      </c>
      <c r="N129">
        <f t="shared" ca="1" si="16"/>
        <v>0.19070028798201846</v>
      </c>
      <c r="O129">
        <f t="shared" ca="1" si="16"/>
        <v>0.20200448207171345</v>
      </c>
      <c r="P129">
        <f t="shared" ca="1" si="16"/>
        <v>0.22792723186064515</v>
      </c>
      <c r="Q129">
        <f t="shared" ca="1" si="16"/>
        <v>0.30138385808488949</v>
      </c>
      <c r="R129">
        <f t="shared" ca="1" si="16"/>
        <v>0.58702689243027895</v>
      </c>
      <c r="S129">
        <f t="shared" ca="1" si="16"/>
        <v>0.37101593625498019</v>
      </c>
      <c r="T129">
        <f t="shared" ca="1" si="16"/>
        <v>0.41862751984266361</v>
      </c>
      <c r="V129" s="4">
        <f t="shared" si="13"/>
        <v>41946</v>
      </c>
      <c r="W129" s="5">
        <f t="shared" ca="1" si="11"/>
        <v>0.58702689243027895</v>
      </c>
      <c r="Z129" s="4" t="e">
        <f ca="1">IF(OFFSET('Calc Canada'!$A$1,0,0,300)="",MATCH("Error",AF129,0),OFFSET('Calc Canada'!$A$1,0,0,300))</f>
        <v>#N/A</v>
      </c>
      <c r="AA129" s="5" t="str">
        <f ca="1">IF(OFFSET('Calc Canada'!$A$1,0,MATCH(W$1,'Calc Canada'!$1:$1,0)-1,300)="","",OFFSET('Calc Canada'!$A$1,0,MATCH(W$1,'Calc Canada'!$1:$1,0)-1,300))</f>
        <v/>
      </c>
      <c r="AB129" s="5" t="str">
        <f ca="1">IF(OFFSET('Calc Canada'!$A$1,0,MATCH(X$1,'Calc Canada'!$1:$1,0)-1,300)="","",OFFSET('Calc Canada'!$A$1,0,MATCH(X$1,'Calc Canada'!$1:$1,0)-1,300))</f>
        <v/>
      </c>
      <c r="AC129" t="str">
        <f t="shared" ca="1" si="9"/>
        <v/>
      </c>
      <c r="AD129" t="str">
        <f t="shared" ca="1" si="10"/>
        <v/>
      </c>
    </row>
    <row r="130" spans="1:30" x14ac:dyDescent="0.25">
      <c r="A130" s="4">
        <v>41943</v>
      </c>
      <c r="B130">
        <v>1.4073</v>
      </c>
      <c r="C130" s="5">
        <v>1.5849</v>
      </c>
      <c r="D130">
        <v>1.929</v>
      </c>
      <c r="E130">
        <v>2.2002000000000002</v>
      </c>
      <c r="F130">
        <v>2.5137999999999998</v>
      </c>
      <c r="G130">
        <v>2.9821</v>
      </c>
      <c r="H130">
        <f t="shared" ca="1" si="16"/>
        <v>0.43397654180855089</v>
      </c>
      <c r="I130">
        <f t="shared" ca="1" si="16"/>
        <v>0.31098056936285595</v>
      </c>
      <c r="J130">
        <f t="shared" ca="1" si="16"/>
        <v>0.21850393700787407</v>
      </c>
      <c r="K130">
        <f t="shared" ca="1" si="16"/>
        <v>0.24509715318572087</v>
      </c>
      <c r="L130">
        <f t="shared" ca="1" si="16"/>
        <v>0.17221234442468891</v>
      </c>
      <c r="M130">
        <f t="shared" ca="1" si="16"/>
        <v>0.29195823016471112</v>
      </c>
      <c r="N130">
        <f t="shared" ca="1" si="16"/>
        <v>0.19410249069567714</v>
      </c>
      <c r="O130">
        <f t="shared" ca="1" si="16"/>
        <v>0.19913639827279633</v>
      </c>
      <c r="P130">
        <f t="shared" ca="1" si="16"/>
        <v>0.22444889779559093</v>
      </c>
      <c r="Q130">
        <f t="shared" ca="1" si="16"/>
        <v>0.29778748456936632</v>
      </c>
      <c r="R130">
        <f t="shared" ca="1" si="16"/>
        <v>0.58985267970535926</v>
      </c>
      <c r="S130">
        <f t="shared" ca="1" si="16"/>
        <v>0.37134874269748525</v>
      </c>
      <c r="T130">
        <f t="shared" ca="1" si="16"/>
        <v>0.41855138849126811</v>
      </c>
      <c r="V130" s="4">
        <f t="shared" si="13"/>
        <v>41943</v>
      </c>
      <c r="W130" s="5">
        <f t="shared" ca="1" si="11"/>
        <v>0.58985267970535926</v>
      </c>
      <c r="Z130" s="4" t="e">
        <f ca="1">IF(OFFSET('Calc Canada'!$A$1,0,0,300)="",MATCH("Error",AF130,0),OFFSET('Calc Canada'!$A$1,0,0,300))</f>
        <v>#N/A</v>
      </c>
      <c r="AA130" s="5" t="str">
        <f ca="1">IF(OFFSET('Calc Canada'!$A$1,0,MATCH(W$1,'Calc Canada'!$1:$1,0)-1,300)="","",OFFSET('Calc Canada'!$A$1,0,MATCH(W$1,'Calc Canada'!$1:$1,0)-1,300))</f>
        <v/>
      </c>
      <c r="AB130" s="5" t="str">
        <f ca="1">IF(OFFSET('Calc Canada'!$A$1,0,MATCH(X$1,'Calc Canada'!$1:$1,0)-1,300)="","",OFFSET('Calc Canada'!$A$1,0,MATCH(X$1,'Calc Canada'!$1:$1,0)-1,300))</f>
        <v/>
      </c>
      <c r="AC130" t="str">
        <f t="shared" ca="1" si="9"/>
        <v/>
      </c>
      <c r="AD130" t="str">
        <f t="shared" ca="1" si="10"/>
        <v/>
      </c>
    </row>
    <row r="131" spans="1:30" x14ac:dyDescent="0.25">
      <c r="A131" s="4">
        <v>41942</v>
      </c>
      <c r="B131">
        <v>1.4205000000000001</v>
      </c>
      <c r="C131" s="5">
        <v>1.5952999999999999</v>
      </c>
      <c r="D131">
        <v>1.9272</v>
      </c>
      <c r="E131">
        <v>2.1981999999999999</v>
      </c>
      <c r="F131">
        <v>2.5141</v>
      </c>
      <c r="G131">
        <v>2.9828999999999999</v>
      </c>
      <c r="H131">
        <f t="shared" ca="1" si="16"/>
        <v>0.42677124855342696</v>
      </c>
      <c r="I131">
        <f t="shared" ca="1" si="16"/>
        <v>0.30349305047549391</v>
      </c>
      <c r="J131">
        <f t="shared" ca="1" si="16"/>
        <v>0.21242959549411169</v>
      </c>
      <c r="K131">
        <f t="shared" ca="1" si="16"/>
        <v>0.24780541331382583</v>
      </c>
      <c r="L131">
        <f t="shared" ca="1" si="16"/>
        <v>0.17345110087045568</v>
      </c>
      <c r="M131">
        <f t="shared" ca="1" si="16"/>
        <v>0.2949499346974313</v>
      </c>
      <c r="N131">
        <f t="shared" ca="1" si="16"/>
        <v>0.19530123955030262</v>
      </c>
      <c r="O131">
        <f t="shared" ca="1" si="16"/>
        <v>0.20218894009216598</v>
      </c>
      <c r="P131">
        <f t="shared" ca="1" si="16"/>
        <v>0.22765926780051893</v>
      </c>
      <c r="Q131">
        <f t="shared" ca="1" si="16"/>
        <v>0.29923273657289012</v>
      </c>
      <c r="R131">
        <f t="shared" ca="1" si="16"/>
        <v>0.58806963645673338</v>
      </c>
      <c r="S131">
        <f t="shared" ca="1" si="16"/>
        <v>0.37564004096262166</v>
      </c>
      <c r="T131">
        <f t="shared" ca="1" si="16"/>
        <v>0.42296050735082158</v>
      </c>
      <c r="V131" s="4">
        <f t="shared" si="13"/>
        <v>41942</v>
      </c>
      <c r="W131" s="5">
        <f t="shared" ca="1" si="11"/>
        <v>0.58806963645673338</v>
      </c>
      <c r="Z131" s="4" t="e">
        <f ca="1">IF(OFFSET('Calc Canada'!$A$1,0,0,300)="",MATCH("Error",AF131,0),OFFSET('Calc Canada'!$A$1,0,0,300))</f>
        <v>#N/A</v>
      </c>
      <c r="AA131" s="5" t="str">
        <f ca="1">IF(OFFSET('Calc Canada'!$A$1,0,MATCH(W$1,'Calc Canada'!$1:$1,0)-1,300)="","",OFFSET('Calc Canada'!$A$1,0,MATCH(W$1,'Calc Canada'!$1:$1,0)-1,300))</f>
        <v/>
      </c>
      <c r="AB131" s="5" t="str">
        <f ca="1">IF(OFFSET('Calc Canada'!$A$1,0,MATCH(X$1,'Calc Canada'!$1:$1,0)-1,300)="","",OFFSET('Calc Canada'!$A$1,0,MATCH(X$1,'Calc Canada'!$1:$1,0)-1,300))</f>
        <v/>
      </c>
      <c r="AC131" t="str">
        <f t="shared" ref="AC131:AC194" ca="1" si="17">IF(AND(AA131&lt;&gt;"",AB131&lt;&gt;""),ABS(AA131-AB131),"")</f>
        <v/>
      </c>
      <c r="AD131" t="str">
        <f t="shared" ref="AD131:AD194" ca="1" si="18">IF(ISNA(MATCH("",AC131:AC150,0)),AVERAGE(AC131:AC150),"")</f>
        <v/>
      </c>
    </row>
    <row r="132" spans="1:30" x14ac:dyDescent="0.25">
      <c r="A132" s="4">
        <v>41941</v>
      </c>
      <c r="B132">
        <v>1.4267000000000001</v>
      </c>
      <c r="C132" s="5">
        <v>1.6044</v>
      </c>
      <c r="D132">
        <v>1.9554</v>
      </c>
      <c r="E132">
        <v>2.2176999999999998</v>
      </c>
      <c r="F132">
        <v>2.5258000000000003</v>
      </c>
      <c r="G132">
        <v>2.9704999999999999</v>
      </c>
      <c r="H132">
        <f t="shared" ca="1" si="16"/>
        <v>0.44374209860935537</v>
      </c>
      <c r="I132">
        <f t="shared" ca="1" si="16"/>
        <v>0.31935219725229724</v>
      </c>
      <c r="J132">
        <f t="shared" ca="1" si="16"/>
        <v>0.22736105713175284</v>
      </c>
      <c r="K132">
        <f t="shared" ca="1" si="16"/>
        <v>0.23864980438540598</v>
      </c>
      <c r="L132">
        <f t="shared" ca="1" si="16"/>
        <v>0.16990542816426984</v>
      </c>
      <c r="M132">
        <f t="shared" ca="1" si="16"/>
        <v>0.28467549381376134</v>
      </c>
      <c r="N132">
        <f t="shared" ca="1" si="16"/>
        <v>0.19200644169533693</v>
      </c>
      <c r="O132">
        <f t="shared" ca="1" si="16"/>
        <v>0.19957248348231671</v>
      </c>
      <c r="P132">
        <f t="shared" ca="1" si="16"/>
        <v>0.22553253788156102</v>
      </c>
      <c r="Q132">
        <f t="shared" ca="1" si="16"/>
        <v>0.30351689488720374</v>
      </c>
      <c r="R132">
        <f t="shared" ca="1" si="16"/>
        <v>0.59683896877833942</v>
      </c>
      <c r="S132">
        <f t="shared" ca="1" si="16"/>
        <v>0.36947791164658655</v>
      </c>
      <c r="T132">
        <f t="shared" ca="1" si="16"/>
        <v>0.41753897957689795</v>
      </c>
      <c r="V132" s="4">
        <f t="shared" si="13"/>
        <v>41941</v>
      </c>
      <c r="W132" s="5">
        <f t="shared" ca="1" si="11"/>
        <v>0.59683896877833942</v>
      </c>
      <c r="Z132" s="4" t="e">
        <f ca="1">IF(OFFSET('Calc Canada'!$A$1,0,0,300)="",MATCH("Error",AF132,0),OFFSET('Calc Canada'!$A$1,0,0,300))</f>
        <v>#N/A</v>
      </c>
      <c r="AA132" s="5" t="str">
        <f ca="1">IF(OFFSET('Calc Canada'!$A$1,0,MATCH(W$1,'Calc Canada'!$1:$1,0)-1,300)="","",OFFSET('Calc Canada'!$A$1,0,MATCH(W$1,'Calc Canada'!$1:$1,0)-1,300))</f>
        <v/>
      </c>
      <c r="AB132" s="5" t="str">
        <f ca="1">IF(OFFSET('Calc Canada'!$A$1,0,MATCH(X$1,'Calc Canada'!$1:$1,0)-1,300)="","",OFFSET('Calc Canada'!$A$1,0,MATCH(X$1,'Calc Canada'!$1:$1,0)-1,300))</f>
        <v/>
      </c>
      <c r="AC132" t="str">
        <f t="shared" ca="1" si="17"/>
        <v/>
      </c>
      <c r="AD132" t="str">
        <f t="shared" ca="1" si="18"/>
        <v/>
      </c>
    </row>
    <row r="133" spans="1:30" x14ac:dyDescent="0.25">
      <c r="A133" s="4">
        <v>41940</v>
      </c>
      <c r="B133">
        <v>1.4001000000000001</v>
      </c>
      <c r="C133" s="5">
        <v>1.5699999999999998</v>
      </c>
      <c r="D133">
        <v>1.9024999999999999</v>
      </c>
      <c r="E133">
        <v>2.1814999999999998</v>
      </c>
      <c r="F133">
        <v>2.5000999999999998</v>
      </c>
      <c r="G133">
        <v>2.9689999999999999</v>
      </c>
      <c r="H133">
        <f t="shared" ca="1" si="16"/>
        <v>0.42551830048630684</v>
      </c>
      <c r="I133">
        <f t="shared" ca="1" si="16"/>
        <v>0.30227272727272736</v>
      </c>
      <c r="J133">
        <f t="shared" ca="1" si="16"/>
        <v>0.21193192682771372</v>
      </c>
      <c r="K133">
        <f t="shared" ca="1" si="16"/>
        <v>0.25363636363636366</v>
      </c>
      <c r="L133">
        <f t="shared" ca="1" si="16"/>
        <v>0.17783160175919432</v>
      </c>
      <c r="M133">
        <f t="shared" ca="1" si="16"/>
        <v>0.29996774540371995</v>
      </c>
      <c r="N133">
        <f t="shared" ca="1" si="16"/>
        <v>0.19942816297355248</v>
      </c>
      <c r="O133">
        <f t="shared" ca="1" si="16"/>
        <v>0.20307221620243485</v>
      </c>
      <c r="P133">
        <f t="shared" ca="1" si="16"/>
        <v>0.22773409578270193</v>
      </c>
      <c r="Q133">
        <f t="shared" ca="1" si="16"/>
        <v>0.29873417721518986</v>
      </c>
      <c r="R133">
        <f t="shared" ca="1" si="16"/>
        <v>0.59283574478934287</v>
      </c>
      <c r="S133">
        <f t="shared" ca="1" si="16"/>
        <v>0.3809038179616292</v>
      </c>
      <c r="T133">
        <f t="shared" ca="1" si="16"/>
        <v>0.42716225875625441</v>
      </c>
      <c r="V133" s="4">
        <f t="shared" si="13"/>
        <v>41940</v>
      </c>
      <c r="W133" s="5">
        <f t="shared" ca="1" si="11"/>
        <v>0.59283574478934287</v>
      </c>
      <c r="Z133" s="4" t="e">
        <f ca="1">IF(OFFSET('Calc Canada'!$A$1,0,0,300)="",MATCH("Error",AF133,0),OFFSET('Calc Canada'!$A$1,0,0,300))</f>
        <v>#N/A</v>
      </c>
      <c r="AA133" s="5" t="str">
        <f ca="1">IF(OFFSET('Calc Canada'!$A$1,0,MATCH(W$1,'Calc Canada'!$1:$1,0)-1,300)="","",OFFSET('Calc Canada'!$A$1,0,MATCH(W$1,'Calc Canada'!$1:$1,0)-1,300))</f>
        <v/>
      </c>
      <c r="AB133" s="5" t="str">
        <f ca="1">IF(OFFSET('Calc Canada'!$A$1,0,MATCH(X$1,'Calc Canada'!$1:$1,0)-1,300)="","",OFFSET('Calc Canada'!$A$1,0,MATCH(X$1,'Calc Canada'!$1:$1,0)-1,300))</f>
        <v/>
      </c>
      <c r="AC133" t="str">
        <f t="shared" ca="1" si="17"/>
        <v/>
      </c>
      <c r="AD133" t="str">
        <f t="shared" ca="1" si="18"/>
        <v/>
      </c>
    </row>
    <row r="134" spans="1:30" x14ac:dyDescent="0.25">
      <c r="A134" s="4">
        <v>41939</v>
      </c>
      <c r="B134">
        <v>1.387</v>
      </c>
      <c r="C134" s="5">
        <v>1.5529999999999999</v>
      </c>
      <c r="D134">
        <v>1.887</v>
      </c>
      <c r="E134">
        <v>2.1705000000000001</v>
      </c>
      <c r="F134">
        <v>2.4916999999999998</v>
      </c>
      <c r="G134">
        <v>2.9569999999999999</v>
      </c>
      <c r="H134">
        <f t="shared" ca="1" si="16"/>
        <v>0.42629227823867266</v>
      </c>
      <c r="I134">
        <f t="shared" ca="1" si="16"/>
        <v>0.30234452792613392</v>
      </c>
      <c r="J134">
        <f t="shared" ca="1" si="16"/>
        <v>0.21273885350318478</v>
      </c>
      <c r="K134">
        <f t="shared" ca="1" si="16"/>
        <v>0.25663075948221248</v>
      </c>
      <c r="L134">
        <f t="shared" ca="1" si="16"/>
        <v>0.18057324840764338</v>
      </c>
      <c r="M134">
        <f t="shared" ca="1" si="16"/>
        <v>0.30201342281879207</v>
      </c>
      <c r="N134">
        <f t="shared" ca="1" si="16"/>
        <v>0.20192307692307698</v>
      </c>
      <c r="O134">
        <f t="shared" ca="1" si="16"/>
        <v>0.20458598726114632</v>
      </c>
      <c r="P134">
        <f t="shared" ca="1" si="16"/>
        <v>0.22877492877492858</v>
      </c>
      <c r="Q134">
        <f t="shared" ca="1" si="16"/>
        <v>0.30018691588785024</v>
      </c>
      <c r="R134">
        <f t="shared" ca="1" si="16"/>
        <v>0.59789808917197451</v>
      </c>
      <c r="S134">
        <f t="shared" ca="1" si="16"/>
        <v>0.38515923566878973</v>
      </c>
      <c r="T134">
        <f t="shared" ca="1" si="16"/>
        <v>0.43069800569800559</v>
      </c>
      <c r="V134" s="4">
        <f t="shared" si="13"/>
        <v>41939</v>
      </c>
      <c r="W134" s="5">
        <f t="shared" ca="1" si="11"/>
        <v>0.59789808917197451</v>
      </c>
      <c r="Z134" s="4" t="e">
        <f ca="1">IF(OFFSET('Calc Canada'!$A$1,0,0,300)="",MATCH("Error",AF134,0),OFFSET('Calc Canada'!$A$1,0,0,300))</f>
        <v>#N/A</v>
      </c>
      <c r="AA134" s="5" t="str">
        <f ca="1">IF(OFFSET('Calc Canada'!$A$1,0,MATCH(W$1,'Calc Canada'!$1:$1,0)-1,300)="","",OFFSET('Calc Canada'!$A$1,0,MATCH(W$1,'Calc Canada'!$1:$1,0)-1,300))</f>
        <v/>
      </c>
      <c r="AB134" s="5" t="str">
        <f ca="1">IF(OFFSET('Calc Canada'!$A$1,0,MATCH(X$1,'Calc Canada'!$1:$1,0)-1,300)="","",OFFSET('Calc Canada'!$A$1,0,MATCH(X$1,'Calc Canada'!$1:$1,0)-1,300))</f>
        <v/>
      </c>
      <c r="AC134" t="str">
        <f t="shared" ca="1" si="17"/>
        <v/>
      </c>
      <c r="AD134" t="str">
        <f t="shared" ca="1" si="18"/>
        <v/>
      </c>
    </row>
    <row r="135" spans="1:30" x14ac:dyDescent="0.25">
      <c r="A135" s="4">
        <v>41936</v>
      </c>
      <c r="B135">
        <v>1.3825000000000001</v>
      </c>
      <c r="C135" s="5">
        <v>1.5474999999999999</v>
      </c>
      <c r="D135">
        <v>1.8776000000000002</v>
      </c>
      <c r="E135">
        <v>2.1515</v>
      </c>
      <c r="F135">
        <v>2.4902000000000002</v>
      </c>
      <c r="G135">
        <v>2.95</v>
      </c>
      <c r="H135">
        <f t="shared" ca="1" si="16"/>
        <v>0.4292587776332904</v>
      </c>
      <c r="I135">
        <f t="shared" ca="1" si="16"/>
        <v>0.2980048749661463</v>
      </c>
      <c r="J135">
        <f t="shared" ca="1" si="16"/>
        <v>0.21059011164274338</v>
      </c>
      <c r="K135">
        <f t="shared" ca="1" si="16"/>
        <v>0.24726911618669295</v>
      </c>
      <c r="L135">
        <f t="shared" ca="1" si="16"/>
        <v>0.17473684210526302</v>
      </c>
      <c r="M135">
        <f t="shared" ca="1" si="16"/>
        <v>0.29054842473745596</v>
      </c>
      <c r="N135">
        <f t="shared" ca="1" si="16"/>
        <v>0.19529411764705865</v>
      </c>
      <c r="O135">
        <f t="shared" ca="1" si="16"/>
        <v>0.21607655502392356</v>
      </c>
      <c r="P135">
        <f t="shared" ca="1" si="16"/>
        <v>0.24149732620320866</v>
      </c>
      <c r="Q135">
        <f t="shared" ca="1" si="16"/>
        <v>0.3158336441626261</v>
      </c>
      <c r="R135">
        <f t="shared" ca="1" si="16"/>
        <v>0.60140350877192994</v>
      </c>
      <c r="S135">
        <f t="shared" ca="1" si="16"/>
        <v>0.39081339712918661</v>
      </c>
      <c r="T135">
        <f t="shared" ca="1" si="16"/>
        <v>0.4367914438502673</v>
      </c>
      <c r="V135" s="4">
        <f t="shared" si="13"/>
        <v>41936</v>
      </c>
      <c r="W135" s="5">
        <f t="shared" ca="1" si="11"/>
        <v>0.60140350877192994</v>
      </c>
      <c r="Z135" s="4" t="e">
        <f ca="1">IF(OFFSET('Calc Canada'!$A$1,0,0,300)="",MATCH("Error",AF135,0),OFFSET('Calc Canada'!$A$1,0,0,300))</f>
        <v>#N/A</v>
      </c>
      <c r="AA135" s="5" t="str">
        <f ca="1">IF(OFFSET('Calc Canada'!$A$1,0,MATCH(W$1,'Calc Canada'!$1:$1,0)-1,300)="","",OFFSET('Calc Canada'!$A$1,0,MATCH(W$1,'Calc Canada'!$1:$1,0)-1,300))</f>
        <v/>
      </c>
      <c r="AB135" s="5" t="str">
        <f ca="1">IF(OFFSET('Calc Canada'!$A$1,0,MATCH(X$1,'Calc Canada'!$1:$1,0)-1,300)="","",OFFSET('Calc Canada'!$A$1,0,MATCH(X$1,'Calc Canada'!$1:$1,0)-1,300))</f>
        <v/>
      </c>
      <c r="AC135" t="str">
        <f t="shared" ca="1" si="17"/>
        <v/>
      </c>
      <c r="AD135" t="str">
        <f t="shared" ca="1" si="18"/>
        <v/>
      </c>
    </row>
    <row r="136" spans="1:30" x14ac:dyDescent="0.25">
      <c r="A136" s="4">
        <v>41935</v>
      </c>
      <c r="B136">
        <v>1.38</v>
      </c>
      <c r="C136" s="5">
        <v>1.5375000000000001</v>
      </c>
      <c r="D136">
        <v>1.859</v>
      </c>
      <c r="E136">
        <v>2.1324000000000001</v>
      </c>
      <c r="F136">
        <v>2.4706999999999999</v>
      </c>
      <c r="G136">
        <v>2.9470000000000001</v>
      </c>
      <c r="H136">
        <f t="shared" ca="1" si="16"/>
        <v>0.42729930887825601</v>
      </c>
      <c r="I136">
        <f t="shared" ca="1" si="16"/>
        <v>0.29476482992573566</v>
      </c>
      <c r="J136">
        <f t="shared" ca="1" si="16"/>
        <v>0.2051691129546904</v>
      </c>
      <c r="K136">
        <f t="shared" ca="1" si="16"/>
        <v>0.25066471073622454</v>
      </c>
      <c r="L136">
        <f t="shared" ca="1" si="16"/>
        <v>0.1744735162731334</v>
      </c>
      <c r="M136">
        <f t="shared" ca="1" si="16"/>
        <v>0.29297042434633536</v>
      </c>
      <c r="N136">
        <f t="shared" ca="1" si="16"/>
        <v>0.19396949272791777</v>
      </c>
      <c r="O136">
        <f t="shared" ca="1" si="16"/>
        <v>0.21589023611997435</v>
      </c>
      <c r="P136">
        <f t="shared" ca="1" si="16"/>
        <v>0.24001418942887537</v>
      </c>
      <c r="Q136">
        <f t="shared" ca="1" si="16"/>
        <v>0.31093749999999981</v>
      </c>
      <c r="R136">
        <f t="shared" ca="1" si="16"/>
        <v>0.59553286534779815</v>
      </c>
      <c r="S136">
        <f t="shared" ca="1" si="16"/>
        <v>0.39036375239310778</v>
      </c>
      <c r="T136">
        <f t="shared" ca="1" si="16"/>
        <v>0.43398368215679312</v>
      </c>
      <c r="V136" s="4">
        <f t="shared" si="13"/>
        <v>41935</v>
      </c>
      <c r="W136" s="5">
        <f t="shared" ca="1" si="11"/>
        <v>0.59553286534779815</v>
      </c>
      <c r="Z136" s="4" t="e">
        <f ca="1">IF(OFFSET('Calc Canada'!$A$1,0,0,300)="",MATCH("Error",AF136,0),OFFSET('Calc Canada'!$A$1,0,0,300))</f>
        <v>#N/A</v>
      </c>
      <c r="AA136" s="5" t="str">
        <f ca="1">IF(OFFSET('Calc Canada'!$A$1,0,MATCH(W$1,'Calc Canada'!$1:$1,0)-1,300)="","",OFFSET('Calc Canada'!$A$1,0,MATCH(W$1,'Calc Canada'!$1:$1,0)-1,300))</f>
        <v/>
      </c>
      <c r="AB136" s="5" t="str">
        <f ca="1">IF(OFFSET('Calc Canada'!$A$1,0,MATCH(X$1,'Calc Canada'!$1:$1,0)-1,300)="","",OFFSET('Calc Canada'!$A$1,0,MATCH(X$1,'Calc Canada'!$1:$1,0)-1,300))</f>
        <v/>
      </c>
      <c r="AC136" t="str">
        <f t="shared" ca="1" si="17"/>
        <v/>
      </c>
      <c r="AD136" t="str">
        <f t="shared" ca="1" si="18"/>
        <v/>
      </c>
    </row>
    <row r="137" spans="1:30" x14ac:dyDescent="0.25">
      <c r="A137" s="4">
        <v>41934</v>
      </c>
      <c r="B137">
        <v>1.3573999999999999</v>
      </c>
      <c r="C137" s="5">
        <v>1.5085999999999999</v>
      </c>
      <c r="D137">
        <v>1.8108</v>
      </c>
      <c r="E137">
        <v>2.1008</v>
      </c>
      <c r="F137">
        <v>2.4234999999999998</v>
      </c>
      <c r="G137">
        <v>2.895</v>
      </c>
      <c r="H137">
        <f t="shared" ca="1" si="16"/>
        <v>0.40651062684960992</v>
      </c>
      <c r="I137">
        <f t="shared" ca="1" si="16"/>
        <v>0.28346308976643847</v>
      </c>
      <c r="J137">
        <f t="shared" ca="1" si="16"/>
        <v>0.19654006243496358</v>
      </c>
      <c r="K137">
        <f t="shared" ca="1" si="16"/>
        <v>0.27201951036488142</v>
      </c>
      <c r="L137">
        <f t="shared" ca="1" si="16"/>
        <v>0.18860561914672216</v>
      </c>
      <c r="M137">
        <f t="shared" ca="1" si="16"/>
        <v>0.31697453273581822</v>
      </c>
      <c r="N137">
        <f t="shared" ca="1" si="16"/>
        <v>0.20917484131563763</v>
      </c>
      <c r="O137">
        <f t="shared" ca="1" si="16"/>
        <v>0.20987252861602482</v>
      </c>
      <c r="P137">
        <f t="shared" ca="1" si="16"/>
        <v>0.23276110790536622</v>
      </c>
      <c r="Q137">
        <f t="shared" ca="1" si="16"/>
        <v>0.29763881202730103</v>
      </c>
      <c r="R137">
        <f t="shared" ca="1" si="16"/>
        <v>0.59501821019771062</v>
      </c>
      <c r="S137">
        <f t="shared" ca="1" si="16"/>
        <v>0.39847814776274698</v>
      </c>
      <c r="T137">
        <f t="shared" ca="1" si="16"/>
        <v>0.44193594922100388</v>
      </c>
      <c r="V137" s="4">
        <f t="shared" si="13"/>
        <v>41934</v>
      </c>
      <c r="W137" s="5">
        <f t="shared" ca="1" si="11"/>
        <v>0.59501821019771062</v>
      </c>
      <c r="Z137" s="4" t="e">
        <f ca="1">IF(OFFSET('Calc Canada'!$A$1,0,0,300)="",MATCH("Error",AF137,0),OFFSET('Calc Canada'!$A$1,0,0,300))</f>
        <v>#N/A</v>
      </c>
      <c r="AA137" s="5" t="str">
        <f ca="1">IF(OFFSET('Calc Canada'!$A$1,0,MATCH(W$1,'Calc Canada'!$1:$1,0)-1,300)="","",OFFSET('Calc Canada'!$A$1,0,MATCH(W$1,'Calc Canada'!$1:$1,0)-1,300))</f>
        <v/>
      </c>
      <c r="AB137" s="5" t="str">
        <f ca="1">IF(OFFSET('Calc Canada'!$A$1,0,MATCH(X$1,'Calc Canada'!$1:$1,0)-1,300)="","",OFFSET('Calc Canada'!$A$1,0,MATCH(X$1,'Calc Canada'!$1:$1,0)-1,300))</f>
        <v/>
      </c>
      <c r="AC137" t="str">
        <f t="shared" ca="1" si="17"/>
        <v/>
      </c>
      <c r="AD137" t="str">
        <f t="shared" ca="1" si="18"/>
        <v/>
      </c>
    </row>
    <row r="138" spans="1:30" x14ac:dyDescent="0.25">
      <c r="A138" s="4">
        <v>41933</v>
      </c>
      <c r="B138">
        <v>1.355</v>
      </c>
      <c r="C138" s="5">
        <v>1.51</v>
      </c>
      <c r="D138">
        <v>1.8233000000000001</v>
      </c>
      <c r="E138">
        <v>2.101</v>
      </c>
      <c r="F138">
        <v>2.4359000000000002</v>
      </c>
      <c r="G138">
        <v>2.9302000000000001</v>
      </c>
      <c r="H138">
        <f t="shared" ca="1" si="16"/>
        <v>0.41997319034852565</v>
      </c>
      <c r="I138">
        <f t="shared" ca="1" si="16"/>
        <v>0.28985105005088357</v>
      </c>
      <c r="J138">
        <f t="shared" ca="1" si="16"/>
        <v>0.19889537836465218</v>
      </c>
      <c r="K138">
        <f t="shared" ca="1" si="16"/>
        <v>0.25691553335183626</v>
      </c>
      <c r="L138">
        <f t="shared" ca="1" si="16"/>
        <v>0.17629507364144223</v>
      </c>
      <c r="M138">
        <f t="shared" ca="1" si="16"/>
        <v>0.29992439788314051</v>
      </c>
      <c r="N138">
        <f t="shared" ca="1" si="16"/>
        <v>0.19553584002253191</v>
      </c>
      <c r="O138">
        <f t="shared" ca="1" si="16"/>
        <v>0.21260792280345364</v>
      </c>
      <c r="P138">
        <f t="shared" ca="1" si="16"/>
        <v>0.23581185748486141</v>
      </c>
      <c r="Q138">
        <f t="shared" ca="1" si="16"/>
        <v>0.30255668985454892</v>
      </c>
      <c r="R138">
        <f t="shared" ca="1" si="16"/>
        <v>0.587798374809548</v>
      </c>
      <c r="S138">
        <f t="shared" ca="1" si="16"/>
        <v>0.38890299644489584</v>
      </c>
      <c r="T138">
        <f t="shared" ca="1" si="16"/>
        <v>0.43134769750739332</v>
      </c>
      <c r="V138" s="4">
        <f t="shared" si="13"/>
        <v>41933</v>
      </c>
      <c r="W138" s="5">
        <f t="shared" ca="1" si="11"/>
        <v>0.587798374809548</v>
      </c>
      <c r="Z138" s="4" t="e">
        <f ca="1">IF(OFFSET('Calc Canada'!$A$1,0,0,300)="",MATCH("Error",AF138,0),OFFSET('Calc Canada'!$A$1,0,0,300))</f>
        <v>#N/A</v>
      </c>
      <c r="AA138" s="5" t="str">
        <f ca="1">IF(OFFSET('Calc Canada'!$A$1,0,MATCH(W$1,'Calc Canada'!$1:$1,0)-1,300)="","",OFFSET('Calc Canada'!$A$1,0,MATCH(W$1,'Calc Canada'!$1:$1,0)-1,300))</f>
        <v/>
      </c>
      <c r="AB138" s="5" t="str">
        <f ca="1">IF(OFFSET('Calc Canada'!$A$1,0,MATCH(X$1,'Calc Canada'!$1:$1,0)-1,300)="","",OFFSET('Calc Canada'!$A$1,0,MATCH(X$1,'Calc Canada'!$1:$1,0)-1,300))</f>
        <v/>
      </c>
      <c r="AC138" t="str">
        <f t="shared" ca="1" si="17"/>
        <v/>
      </c>
      <c r="AD138" t="str">
        <f t="shared" ca="1" si="18"/>
        <v/>
      </c>
    </row>
    <row r="139" spans="1:30" x14ac:dyDescent="0.25">
      <c r="A139" s="4">
        <v>41932</v>
      </c>
      <c r="B139">
        <v>1.345</v>
      </c>
      <c r="C139" s="5">
        <v>1.4916</v>
      </c>
      <c r="D139">
        <v>1.7943</v>
      </c>
      <c r="E139">
        <v>2.0754999999999999</v>
      </c>
      <c r="F139">
        <v>2.4144999999999999</v>
      </c>
      <c r="G139">
        <v>2.9291999999999998</v>
      </c>
      <c r="H139">
        <f t="shared" ca="1" si="16"/>
        <v>0.41437371663244355</v>
      </c>
      <c r="I139">
        <f t="shared" ca="1" si="16"/>
        <v>0.28302945301542776</v>
      </c>
      <c r="J139">
        <f t="shared" ca="1" si="16"/>
        <v>0.19107435929806843</v>
      </c>
      <c r="K139">
        <f t="shared" ca="1" si="16"/>
        <v>0.26292660121552119</v>
      </c>
      <c r="L139">
        <f t="shared" ca="1" si="16"/>
        <v>0.1775028405504355</v>
      </c>
      <c r="M139">
        <f t="shared" ca="1" si="16"/>
        <v>0.30469173258207816</v>
      </c>
      <c r="N139">
        <f t="shared" ca="1" si="16"/>
        <v>0.19560378408458537</v>
      </c>
      <c r="O139">
        <f t="shared" ca="1" si="16"/>
        <v>0.21398813281151369</v>
      </c>
      <c r="P139">
        <f t="shared" ca="1" si="16"/>
        <v>0.23580968280467449</v>
      </c>
      <c r="Q139">
        <f t="shared" ca="1" si="16"/>
        <v>0.29870473169442247</v>
      </c>
      <c r="R139">
        <f t="shared" ca="1" si="16"/>
        <v>0.58256533266001764</v>
      </c>
      <c r="S139">
        <f t="shared" ca="1" si="16"/>
        <v>0.39149097336194921</v>
      </c>
      <c r="T139">
        <f t="shared" ca="1" si="16"/>
        <v>0.43141346688925986</v>
      </c>
      <c r="V139" s="4">
        <f t="shared" si="13"/>
        <v>41932</v>
      </c>
      <c r="W139" s="5">
        <f t="shared" ca="1" si="11"/>
        <v>0.58256533266001764</v>
      </c>
      <c r="Z139" s="4" t="e">
        <f ca="1">IF(OFFSET('Calc Canada'!$A$1,0,0,300)="",MATCH("Error",AF139,0),OFFSET('Calc Canada'!$A$1,0,0,300))</f>
        <v>#N/A</v>
      </c>
      <c r="AA139" s="5" t="str">
        <f ca="1">IF(OFFSET('Calc Canada'!$A$1,0,MATCH(W$1,'Calc Canada'!$1:$1,0)-1,300)="","",OFFSET('Calc Canada'!$A$1,0,MATCH(W$1,'Calc Canada'!$1:$1,0)-1,300))</f>
        <v/>
      </c>
      <c r="AB139" s="5" t="str">
        <f ca="1">IF(OFFSET('Calc Canada'!$A$1,0,MATCH(X$1,'Calc Canada'!$1:$1,0)-1,300)="","",OFFSET('Calc Canada'!$A$1,0,MATCH(X$1,'Calc Canada'!$1:$1,0)-1,300))</f>
        <v/>
      </c>
      <c r="AC139" t="str">
        <f t="shared" ca="1" si="17"/>
        <v/>
      </c>
      <c r="AD139" t="str">
        <f t="shared" ca="1" si="18"/>
        <v/>
      </c>
    </row>
    <row r="140" spans="1:30" x14ac:dyDescent="0.25">
      <c r="A140" s="4">
        <v>41929</v>
      </c>
      <c r="B140">
        <v>1.3574999999999999</v>
      </c>
      <c r="C140" s="5">
        <v>1.5068999999999999</v>
      </c>
      <c r="D140">
        <v>1.8132000000000001</v>
      </c>
      <c r="E140">
        <v>2.0924999999999998</v>
      </c>
      <c r="F140">
        <v>2.4268999999999998</v>
      </c>
      <c r="G140">
        <v>2.9302000000000001</v>
      </c>
      <c r="H140">
        <f t="shared" ca="1" si="16"/>
        <v>0.41673469387755141</v>
      </c>
      <c r="I140">
        <f t="shared" ca="1" si="16"/>
        <v>0.28642229287450932</v>
      </c>
      <c r="J140">
        <f t="shared" ca="1" si="16"/>
        <v>0.19476060278501953</v>
      </c>
      <c r="K140">
        <f t="shared" ca="1" si="16"/>
        <v>0.2611744903684306</v>
      </c>
      <c r="L140">
        <f t="shared" ca="1" si="16"/>
        <v>0.1775926750174856</v>
      </c>
      <c r="M140">
        <f t="shared" ca="1" si="16"/>
        <v>0.30358695652173878</v>
      </c>
      <c r="N140">
        <f t="shared" ca="1" si="16"/>
        <v>0.19623410384318107</v>
      </c>
      <c r="O140">
        <f t="shared" ca="1" si="16"/>
        <v>0.21262796464678577</v>
      </c>
      <c r="P140">
        <f t="shared" ca="1" si="16"/>
        <v>0.23494695426122389</v>
      </c>
      <c r="Q140">
        <f t="shared" ca="1" si="16"/>
        <v>0.29937332139659806</v>
      </c>
      <c r="R140">
        <f t="shared" ca="1" si="16"/>
        <v>0.58498124244929095</v>
      </c>
      <c r="S140">
        <f t="shared" ca="1" si="16"/>
        <v>0.3902206396642714</v>
      </c>
      <c r="T140">
        <f t="shared" ca="1" si="16"/>
        <v>0.43118105810440499</v>
      </c>
      <c r="V140" s="4">
        <f t="shared" si="13"/>
        <v>41929</v>
      </c>
      <c r="W140" s="5">
        <f t="shared" ref="W140:W203" ca="1" si="19">OFFSET($H$12,0,MATCH(selectCanada,$H$12:$T$12,0)-1,300,1)</f>
        <v>0.58498124244929095</v>
      </c>
      <c r="Z140" s="4" t="e">
        <f ca="1">IF(OFFSET('Calc Canada'!$A$1,0,0,300)="",MATCH("Error",AF140,0),OFFSET('Calc Canada'!$A$1,0,0,300))</f>
        <v>#N/A</v>
      </c>
      <c r="AA140" s="5" t="str">
        <f ca="1">IF(OFFSET('Calc Canada'!$A$1,0,MATCH(W$1,'Calc Canada'!$1:$1,0)-1,300)="","",OFFSET('Calc Canada'!$A$1,0,MATCH(W$1,'Calc Canada'!$1:$1,0)-1,300))</f>
        <v/>
      </c>
      <c r="AB140" s="5" t="str">
        <f ca="1">IF(OFFSET('Calc Canada'!$A$1,0,MATCH(X$1,'Calc Canada'!$1:$1,0)-1,300)="","",OFFSET('Calc Canada'!$A$1,0,MATCH(X$1,'Calc Canada'!$1:$1,0)-1,300))</f>
        <v/>
      </c>
      <c r="AC140" t="str">
        <f t="shared" ca="1" si="17"/>
        <v/>
      </c>
      <c r="AD140" t="str">
        <f t="shared" ca="1" si="18"/>
        <v/>
      </c>
    </row>
    <row r="141" spans="1:30" x14ac:dyDescent="0.25">
      <c r="A141" s="4">
        <v>41928</v>
      </c>
      <c r="B141">
        <v>1.3328</v>
      </c>
      <c r="C141" s="5">
        <v>1.4710000000000001</v>
      </c>
      <c r="D141">
        <v>1.786</v>
      </c>
      <c r="E141">
        <v>2.0590000000000002</v>
      </c>
      <c r="F141">
        <v>2.4092000000000002</v>
      </c>
      <c r="G141">
        <v>2.9053</v>
      </c>
      <c r="H141">
        <f t="shared" ref="H141:T156" ca="1" si="20">IF(ISERROR(ABS(OFFSET($A$11,ROW()-11,MATCH(LEFT(H$9,2),$A$11:$G$11,0)-1)-OFFSET($A$11,ROW()-11,MATCH(RIGHT(H$9,2),$A$11:$G$11,0)-1))/ABS(OFFSET($A$11,ROW()-11,MATCH(LEFT(H$10,2),$A$11:$G$11,0)-1)-OFFSET($A$11,ROW()-11,MATCH(RIGHT(H$10,2),$A$11:$G$11,0)-1))),"",ABS(OFFSET($A$11,ROW()-11,MATCH(LEFT(H$9,2),$A$11:$G$11,0)-1)-OFFSET($A$11,ROW()-11,MATCH(RIGHT(H$9,2),$A$11:$G$11,0)-1))/ABS(OFFSET($A$11,ROW()-11,MATCH(LEFT(H$10,2),$A$11:$G$11,0)-1)-OFFSET($A$11,ROW()-11,MATCH(RIGHT(H$10,2),$A$11:$G$11,0)-1)))</f>
        <v>0.43376480308454951</v>
      </c>
      <c r="I141">
        <f t="shared" ca="1" si="20"/>
        <v>0.29264214046822729</v>
      </c>
      <c r="J141">
        <f t="shared" ca="1" si="20"/>
        <v>0.20031796502384736</v>
      </c>
      <c r="K141">
        <f t="shared" ca="1" si="20"/>
        <v>0.25362318840579717</v>
      </c>
      <c r="L141">
        <f t="shared" ca="1" si="20"/>
        <v>0.17360890302066781</v>
      </c>
      <c r="M141">
        <f t="shared" ca="1" si="20"/>
        <v>0.29098273289277349</v>
      </c>
      <c r="N141">
        <f t="shared" ca="1" si="20"/>
        <v>0.19033674963396791</v>
      </c>
      <c r="O141">
        <f t="shared" ca="1" si="20"/>
        <v>0.22270270270270273</v>
      </c>
      <c r="P141">
        <f t="shared" ca="1" si="20"/>
        <v>0.24416091473192506</v>
      </c>
      <c r="Q141">
        <f t="shared" ca="1" si="20"/>
        <v>0.31287411775216661</v>
      </c>
      <c r="R141">
        <f t="shared" ca="1" si="20"/>
        <v>0.5966295707472179</v>
      </c>
      <c r="S141">
        <f t="shared" ca="1" si="20"/>
        <v>0.39631160572337054</v>
      </c>
      <c r="T141">
        <f t="shared" ca="1" si="20"/>
        <v>0.43449766436589293</v>
      </c>
      <c r="V141" s="4">
        <f t="shared" si="13"/>
        <v>41928</v>
      </c>
      <c r="W141" s="5">
        <f t="shared" ca="1" si="19"/>
        <v>0.5966295707472179</v>
      </c>
      <c r="Z141" s="4" t="e">
        <f ca="1">IF(OFFSET('Calc Canada'!$A$1,0,0,300)="",MATCH("Error",AF141,0),OFFSET('Calc Canada'!$A$1,0,0,300))</f>
        <v>#N/A</v>
      </c>
      <c r="AA141" s="5" t="str">
        <f ca="1">IF(OFFSET('Calc Canada'!$A$1,0,MATCH(W$1,'Calc Canada'!$1:$1,0)-1,300)="","",OFFSET('Calc Canada'!$A$1,0,MATCH(W$1,'Calc Canada'!$1:$1,0)-1,300))</f>
        <v/>
      </c>
      <c r="AB141" s="5" t="str">
        <f ca="1">IF(OFFSET('Calc Canada'!$A$1,0,MATCH(X$1,'Calc Canada'!$1:$1,0)-1,300)="","",OFFSET('Calc Canada'!$A$1,0,MATCH(X$1,'Calc Canada'!$1:$1,0)-1,300))</f>
        <v/>
      </c>
      <c r="AC141" t="str">
        <f t="shared" ca="1" si="17"/>
        <v/>
      </c>
      <c r="AD141" t="str">
        <f t="shared" ca="1" si="18"/>
        <v/>
      </c>
    </row>
    <row r="142" spans="1:30" x14ac:dyDescent="0.25">
      <c r="A142" s="4">
        <v>41927</v>
      </c>
      <c r="B142">
        <v>1.3195000000000001</v>
      </c>
      <c r="C142" s="5">
        <v>1.462</v>
      </c>
      <c r="D142">
        <v>1.7890000000000001</v>
      </c>
      <c r="E142">
        <v>2.069</v>
      </c>
      <c r="F142">
        <v>2.4045000000000001</v>
      </c>
      <c r="G142">
        <v>2.8923000000000001</v>
      </c>
      <c r="H142">
        <f t="shared" ca="1" si="20"/>
        <v>0.43629086057371613</v>
      </c>
      <c r="I142">
        <f t="shared" ca="1" si="20"/>
        <v>0.30138248847926286</v>
      </c>
      <c r="J142">
        <f t="shared" ca="1" si="20"/>
        <v>0.20790946083418119</v>
      </c>
      <c r="K142">
        <f t="shared" ca="1" si="20"/>
        <v>0.25806451612903208</v>
      </c>
      <c r="L142">
        <f t="shared" ca="1" si="20"/>
        <v>0.17802644964394698</v>
      </c>
      <c r="M142">
        <f t="shared" ca="1" si="20"/>
        <v>0.29708222811671064</v>
      </c>
      <c r="N142">
        <f t="shared" ca="1" si="20"/>
        <v>0.19576312661679351</v>
      </c>
      <c r="O142">
        <f t="shared" ca="1" si="20"/>
        <v>0.21331383519837241</v>
      </c>
      <c r="P142">
        <f t="shared" ca="1" si="20"/>
        <v>0.23456617492833678</v>
      </c>
      <c r="Q142">
        <f t="shared" ca="1" si="20"/>
        <v>0.30408773678963125</v>
      </c>
      <c r="R142">
        <f t="shared" ca="1" si="20"/>
        <v>0.59924974567650058</v>
      </c>
      <c r="S142">
        <f t="shared" ca="1" si="20"/>
        <v>0.39134028484231942</v>
      </c>
      <c r="T142">
        <f t="shared" ca="1" si="20"/>
        <v>0.43032930154513033</v>
      </c>
      <c r="V142" s="4">
        <f t="shared" ref="V142:V205" si="21">IF(A142&lt;&gt;"",A142,"")</f>
        <v>41927</v>
      </c>
      <c r="W142" s="5">
        <f t="shared" ca="1" si="19"/>
        <v>0.59924974567650058</v>
      </c>
      <c r="Z142" s="4" t="e">
        <f ca="1">IF(OFFSET('Calc Canada'!$A$1,0,0,300)="",MATCH("Error",AF142,0),OFFSET('Calc Canada'!$A$1,0,0,300))</f>
        <v>#N/A</v>
      </c>
      <c r="AA142" s="5" t="str">
        <f ca="1">IF(OFFSET('Calc Canada'!$A$1,0,MATCH(W$1,'Calc Canada'!$1:$1,0)-1,300)="","",OFFSET('Calc Canada'!$A$1,0,MATCH(W$1,'Calc Canada'!$1:$1,0)-1,300))</f>
        <v/>
      </c>
      <c r="AB142" s="5" t="str">
        <f ca="1">IF(OFFSET('Calc Canada'!$A$1,0,MATCH(X$1,'Calc Canada'!$1:$1,0)-1,300)="","",OFFSET('Calc Canada'!$A$1,0,MATCH(X$1,'Calc Canada'!$1:$1,0)-1,300))</f>
        <v/>
      </c>
      <c r="AC142" t="str">
        <f t="shared" ca="1" si="17"/>
        <v/>
      </c>
      <c r="AD142" t="str">
        <f t="shared" ca="1" si="18"/>
        <v/>
      </c>
    </row>
    <row r="143" spans="1:30" x14ac:dyDescent="0.25">
      <c r="A143" s="4">
        <v>41926</v>
      </c>
      <c r="B143">
        <v>1.3652</v>
      </c>
      <c r="C143" s="5">
        <v>1.5265</v>
      </c>
      <c r="D143">
        <v>1.8302</v>
      </c>
      <c r="E143">
        <v>2.1008</v>
      </c>
      <c r="F143">
        <v>2.423</v>
      </c>
      <c r="G143">
        <v>2.9106000000000001</v>
      </c>
      <c r="H143">
        <f t="shared" ca="1" si="20"/>
        <v>0.41286025013594352</v>
      </c>
      <c r="I143">
        <f t="shared" ca="1" si="20"/>
        <v>0.28710531291359431</v>
      </c>
      <c r="J143">
        <f t="shared" ca="1" si="20"/>
        <v>0.19651870066002333</v>
      </c>
      <c r="K143">
        <f t="shared" ca="1" si="20"/>
        <v>0.25581395348837205</v>
      </c>
      <c r="L143">
        <f t="shared" ca="1" si="20"/>
        <v>0.17510029765756435</v>
      </c>
      <c r="M143">
        <f t="shared" ca="1" si="20"/>
        <v>0.30184049079754594</v>
      </c>
      <c r="N143">
        <f t="shared" ca="1" si="20"/>
        <v>0.1955061050502131</v>
      </c>
      <c r="O143">
        <f t="shared" ca="1" si="20"/>
        <v>0.2084897114015789</v>
      </c>
      <c r="P143">
        <f t="shared" ca="1" si="20"/>
        <v>0.23278664836355756</v>
      </c>
      <c r="Q143">
        <f t="shared" ca="1" si="20"/>
        <v>0.29822288041466127</v>
      </c>
      <c r="R143">
        <f t="shared" ca="1" si="20"/>
        <v>0.58010870971916662</v>
      </c>
      <c r="S143">
        <f t="shared" ca="1" si="20"/>
        <v>0.38359000905914326</v>
      </c>
      <c r="T143">
        <f t="shared" ca="1" si="20"/>
        <v>0.42829275341377065</v>
      </c>
      <c r="V143" s="4">
        <f t="shared" si="21"/>
        <v>41926</v>
      </c>
      <c r="W143" s="5">
        <f t="shared" ca="1" si="19"/>
        <v>0.58010870971916662</v>
      </c>
      <c r="Z143" s="4" t="e">
        <f ca="1">IF(OFFSET('Calc Canada'!$A$1,0,0,300)="",MATCH("Error",AF143,0),OFFSET('Calc Canada'!$A$1,0,0,300))</f>
        <v>#N/A</v>
      </c>
      <c r="AA143" s="5" t="str">
        <f ca="1">IF(OFFSET('Calc Canada'!$A$1,0,MATCH(W$1,'Calc Canada'!$1:$1,0)-1,300)="","",OFFSET('Calc Canada'!$A$1,0,MATCH(W$1,'Calc Canada'!$1:$1,0)-1,300))</f>
        <v/>
      </c>
      <c r="AB143" s="5" t="str">
        <f ca="1">IF(OFFSET('Calc Canada'!$A$1,0,MATCH(X$1,'Calc Canada'!$1:$1,0)-1,300)="","",OFFSET('Calc Canada'!$A$1,0,MATCH(X$1,'Calc Canada'!$1:$1,0)-1,300))</f>
        <v/>
      </c>
      <c r="AC143" t="str">
        <f t="shared" ca="1" si="17"/>
        <v/>
      </c>
      <c r="AD143" t="str">
        <f t="shared" ca="1" si="18"/>
        <v/>
      </c>
    </row>
    <row r="144" spans="1:30" x14ac:dyDescent="0.25">
      <c r="A144" s="4">
        <v>41925</v>
      </c>
      <c r="B144">
        <v>1.4119999999999999</v>
      </c>
      <c r="C144" s="5">
        <v>1.5845</v>
      </c>
      <c r="D144">
        <v>1.907</v>
      </c>
      <c r="E144">
        <v>2.1644999999999999</v>
      </c>
      <c r="F144">
        <v>2.4901</v>
      </c>
      <c r="G144">
        <v>2.9725999999999999</v>
      </c>
      <c r="H144">
        <f t="shared" ca="1" si="20"/>
        <v>0.4285714285714286</v>
      </c>
      <c r="I144">
        <f t="shared" ca="1" si="20"/>
        <v>0.29913737130136347</v>
      </c>
      <c r="J144">
        <f t="shared" ca="1" si="20"/>
        <v>0.20665128796616686</v>
      </c>
      <c r="K144">
        <f t="shared" ca="1" si="20"/>
        <v>0.23884611817085596</v>
      </c>
      <c r="L144">
        <f t="shared" ca="1" si="20"/>
        <v>0.16500064077918739</v>
      </c>
      <c r="M144">
        <f t="shared" ca="1" si="20"/>
        <v>0.28434187279151929</v>
      </c>
      <c r="N144">
        <f t="shared" ca="1" si="20"/>
        <v>0.18550536704848344</v>
      </c>
      <c r="O144">
        <f t="shared" ca="1" si="20"/>
        <v>0.2086377034473921</v>
      </c>
      <c r="P144">
        <f t="shared" ca="1" si="20"/>
        <v>0.23456523305237384</v>
      </c>
      <c r="Q144">
        <f t="shared" ca="1" si="20"/>
        <v>0.30555555555555569</v>
      </c>
      <c r="R144">
        <f t="shared" ca="1" si="20"/>
        <v>0.58028963219274632</v>
      </c>
      <c r="S144">
        <f t="shared" ca="1" si="20"/>
        <v>0.37363834422657949</v>
      </c>
      <c r="T144">
        <f t="shared" ca="1" si="20"/>
        <v>0.42007060010085728</v>
      </c>
      <c r="V144" s="4">
        <f t="shared" si="21"/>
        <v>41925</v>
      </c>
      <c r="W144" s="5">
        <f t="shared" ca="1" si="19"/>
        <v>0.58028963219274632</v>
      </c>
      <c r="Z144" s="4" t="e">
        <f ca="1">IF(OFFSET('Calc Canada'!$A$1,0,0,300)="",MATCH("Error",AF144,0),OFFSET('Calc Canada'!$A$1,0,0,300))</f>
        <v>#N/A</v>
      </c>
      <c r="AA144" s="5" t="str">
        <f ca="1">IF(OFFSET('Calc Canada'!$A$1,0,MATCH(W$1,'Calc Canada'!$1:$1,0)-1,300)="","",OFFSET('Calc Canada'!$A$1,0,MATCH(W$1,'Calc Canada'!$1:$1,0)-1,300))</f>
        <v/>
      </c>
      <c r="AB144" s="5" t="str">
        <f ca="1">IF(OFFSET('Calc Canada'!$A$1,0,MATCH(X$1,'Calc Canada'!$1:$1,0)-1,300)="","",OFFSET('Calc Canada'!$A$1,0,MATCH(X$1,'Calc Canada'!$1:$1,0)-1,300))</f>
        <v/>
      </c>
      <c r="AC144" t="str">
        <f t="shared" ca="1" si="17"/>
        <v/>
      </c>
      <c r="AD144" t="str">
        <f t="shared" ca="1" si="18"/>
        <v/>
      </c>
    </row>
    <row r="145" spans="1:30" x14ac:dyDescent="0.25">
      <c r="A145" s="4">
        <v>41922</v>
      </c>
      <c r="B145">
        <v>1.4095</v>
      </c>
      <c r="C145" s="5">
        <v>1.5897999999999999</v>
      </c>
      <c r="D145">
        <v>1.9064000000000001</v>
      </c>
      <c r="E145">
        <v>2.1673999999999998</v>
      </c>
      <c r="F145">
        <v>2.4876</v>
      </c>
      <c r="G145">
        <v>2.9725999999999999</v>
      </c>
      <c r="H145">
        <f t="shared" ca="1" si="20"/>
        <v>0.41773321018604076</v>
      </c>
      <c r="I145">
        <f t="shared" ca="1" si="20"/>
        <v>0.29366478063259455</v>
      </c>
      <c r="J145">
        <f t="shared" ca="1" si="20"/>
        <v>0.20254622225065588</v>
      </c>
      <c r="K145">
        <f t="shared" ca="1" si="20"/>
        <v>0.24209257026249853</v>
      </c>
      <c r="L145">
        <f t="shared" ca="1" si="20"/>
        <v>0.16697588126159535</v>
      </c>
      <c r="M145">
        <f t="shared" ca="1" si="20"/>
        <v>0.29071062597460418</v>
      </c>
      <c r="N145">
        <f t="shared" ca="1" si="20"/>
        <v>0.18874746890367347</v>
      </c>
      <c r="O145">
        <f t="shared" ca="1" si="20"/>
        <v>0.20484933785426415</v>
      </c>
      <c r="P145">
        <f t="shared" ca="1" si="20"/>
        <v>0.23155915533699759</v>
      </c>
      <c r="Q145">
        <f t="shared" ca="1" si="20"/>
        <v>0.30031888951416275</v>
      </c>
      <c r="R145">
        <f t="shared" ca="1" si="20"/>
        <v>0.57437144136651541</v>
      </c>
      <c r="S145">
        <f t="shared" ca="1" si="20"/>
        <v>0.37182521911585947</v>
      </c>
      <c r="T145">
        <f t="shared" ca="1" si="20"/>
        <v>0.42030662424067106</v>
      </c>
      <c r="V145" s="4">
        <f t="shared" si="21"/>
        <v>41922</v>
      </c>
      <c r="W145" s="5">
        <f t="shared" ca="1" si="19"/>
        <v>0.57437144136651541</v>
      </c>
      <c r="Z145" s="4" t="e">
        <f ca="1">IF(OFFSET('Calc Canada'!$A$1,0,0,300)="",MATCH("Error",AF145,0),OFFSET('Calc Canada'!$A$1,0,0,300))</f>
        <v>#N/A</v>
      </c>
      <c r="AA145" s="5" t="str">
        <f ca="1">IF(OFFSET('Calc Canada'!$A$1,0,MATCH(W$1,'Calc Canada'!$1:$1,0)-1,300)="","",OFFSET('Calc Canada'!$A$1,0,MATCH(W$1,'Calc Canada'!$1:$1,0)-1,300))</f>
        <v/>
      </c>
      <c r="AB145" s="5" t="str">
        <f ca="1">IF(OFFSET('Calc Canada'!$A$1,0,MATCH(X$1,'Calc Canada'!$1:$1,0)-1,300)="","",OFFSET('Calc Canada'!$A$1,0,MATCH(X$1,'Calc Canada'!$1:$1,0)-1,300))</f>
        <v/>
      </c>
      <c r="AC145" t="str">
        <f t="shared" ca="1" si="17"/>
        <v/>
      </c>
      <c r="AD145" t="str">
        <f t="shared" ca="1" si="18"/>
        <v/>
      </c>
    </row>
    <row r="146" spans="1:30" x14ac:dyDescent="0.25">
      <c r="A146" s="4">
        <v>41921</v>
      </c>
      <c r="B146">
        <v>1.4068000000000001</v>
      </c>
      <c r="C146" s="5">
        <v>1.5859999999999999</v>
      </c>
      <c r="D146">
        <v>1.909</v>
      </c>
      <c r="E146">
        <v>2.1698</v>
      </c>
      <c r="F146">
        <v>2.4969999999999999</v>
      </c>
      <c r="G146">
        <v>2.9819</v>
      </c>
      <c r="H146">
        <f t="shared" ca="1" si="20"/>
        <v>0.42332896461336855</v>
      </c>
      <c r="I146">
        <f t="shared" ca="1" si="20"/>
        <v>0.29627591267657333</v>
      </c>
      <c r="J146">
        <f t="shared" ca="1" si="20"/>
        <v>0.20506634499396875</v>
      </c>
      <c r="K146">
        <f t="shared" ca="1" si="20"/>
        <v>0.23922216107136302</v>
      </c>
      <c r="L146">
        <f t="shared" ca="1" si="20"/>
        <v>0.16557678877531581</v>
      </c>
      <c r="M146">
        <f t="shared" ca="1" si="20"/>
        <v>0.28627881448957182</v>
      </c>
      <c r="N146">
        <f t="shared" ca="1" si="20"/>
        <v>0.18683286768393143</v>
      </c>
      <c r="O146">
        <f t="shared" ca="1" si="20"/>
        <v>0.20773284235921524</v>
      </c>
      <c r="P146">
        <f t="shared" ca="1" si="20"/>
        <v>0.23440074503904285</v>
      </c>
      <c r="Q146">
        <f t="shared" ca="1" si="20"/>
        <v>0.30496784416068595</v>
      </c>
      <c r="R146">
        <f t="shared" ca="1" si="20"/>
        <v>0.57837597612849978</v>
      </c>
      <c r="S146">
        <f t="shared" ca="1" si="20"/>
        <v>0.37330963113453108</v>
      </c>
      <c r="T146">
        <f t="shared" ca="1" si="20"/>
        <v>0.42123361272297427</v>
      </c>
      <c r="V146" s="4">
        <f t="shared" si="21"/>
        <v>41921</v>
      </c>
      <c r="W146" s="5">
        <f t="shared" ca="1" si="19"/>
        <v>0.57837597612849978</v>
      </c>
      <c r="Z146" s="4" t="e">
        <f ca="1">IF(OFFSET('Calc Canada'!$A$1,0,0,300)="",MATCH("Error",AF146,0),OFFSET('Calc Canada'!$A$1,0,0,300))</f>
        <v>#N/A</v>
      </c>
      <c r="AA146" s="5" t="str">
        <f ca="1">IF(OFFSET('Calc Canada'!$A$1,0,MATCH(W$1,'Calc Canada'!$1:$1,0)-1,300)="","",OFFSET('Calc Canada'!$A$1,0,MATCH(W$1,'Calc Canada'!$1:$1,0)-1,300))</f>
        <v/>
      </c>
      <c r="AB146" s="5" t="str">
        <f ca="1">IF(OFFSET('Calc Canada'!$A$1,0,MATCH(X$1,'Calc Canada'!$1:$1,0)-1,300)="","",OFFSET('Calc Canada'!$A$1,0,MATCH(X$1,'Calc Canada'!$1:$1,0)-1,300))</f>
        <v/>
      </c>
      <c r="AC146" t="str">
        <f t="shared" ca="1" si="17"/>
        <v/>
      </c>
      <c r="AD146" t="str">
        <f t="shared" ca="1" si="18"/>
        <v/>
      </c>
    </row>
    <row r="147" spans="1:30" x14ac:dyDescent="0.25">
      <c r="A147" s="4">
        <v>41920</v>
      </c>
      <c r="B147">
        <v>1.3926000000000001</v>
      </c>
      <c r="C147" s="5">
        <v>1.5680000000000001</v>
      </c>
      <c r="D147">
        <v>1.8740000000000001</v>
      </c>
      <c r="E147">
        <v>2.1480000000000001</v>
      </c>
      <c r="F147">
        <v>2.4830000000000001</v>
      </c>
      <c r="G147">
        <v>2.9851999999999999</v>
      </c>
      <c r="H147">
        <f t="shared" ca="1" si="20"/>
        <v>0.40508339952343131</v>
      </c>
      <c r="I147">
        <f t="shared" ca="1" si="20"/>
        <v>0.28063096111518715</v>
      </c>
      <c r="J147">
        <f t="shared" ca="1" si="20"/>
        <v>0.1921386412156223</v>
      </c>
      <c r="K147">
        <f t="shared" ca="1" si="20"/>
        <v>0.25128393250183417</v>
      </c>
      <c r="L147">
        <f t="shared" ca="1" si="20"/>
        <v>0.17204571141529579</v>
      </c>
      <c r="M147">
        <f t="shared" ca="1" si="20"/>
        <v>0.29945355191256834</v>
      </c>
      <c r="N147">
        <f t="shared" ca="1" si="20"/>
        <v>0.19333897826700541</v>
      </c>
      <c r="O147">
        <f t="shared" ca="1" si="20"/>
        <v>0.21034785884716817</v>
      </c>
      <c r="P147">
        <f t="shared" ca="1" si="20"/>
        <v>0.2363815975162292</v>
      </c>
      <c r="Q147">
        <f t="shared" ca="1" si="20"/>
        <v>0.30147588192944569</v>
      </c>
      <c r="R147">
        <f t="shared" ca="1" si="20"/>
        <v>0.5745322114780862</v>
      </c>
      <c r="S147">
        <f t="shared" ca="1" si="20"/>
        <v>0.38239357026246396</v>
      </c>
      <c r="T147">
        <f t="shared" ca="1" si="20"/>
        <v>0.42972057578323458</v>
      </c>
      <c r="V147" s="4">
        <f t="shared" si="21"/>
        <v>41920</v>
      </c>
      <c r="W147" s="5">
        <f t="shared" ca="1" si="19"/>
        <v>0.5745322114780862</v>
      </c>
      <c r="Z147" s="4" t="e">
        <f ca="1">IF(OFFSET('Calc Canada'!$A$1,0,0,300)="",MATCH("Error",AF147,0),OFFSET('Calc Canada'!$A$1,0,0,300))</f>
        <v>#N/A</v>
      </c>
      <c r="AA147" s="5" t="str">
        <f ca="1">IF(OFFSET('Calc Canada'!$A$1,0,MATCH(W$1,'Calc Canada'!$1:$1,0)-1,300)="","",OFFSET('Calc Canada'!$A$1,0,MATCH(W$1,'Calc Canada'!$1:$1,0)-1,300))</f>
        <v/>
      </c>
      <c r="AB147" s="5" t="str">
        <f ca="1">IF(OFFSET('Calc Canada'!$A$1,0,MATCH(X$1,'Calc Canada'!$1:$1,0)-1,300)="","",OFFSET('Calc Canada'!$A$1,0,MATCH(X$1,'Calc Canada'!$1:$1,0)-1,300))</f>
        <v/>
      </c>
      <c r="AC147" t="str">
        <f t="shared" ca="1" si="17"/>
        <v/>
      </c>
      <c r="AD147" t="str">
        <f t="shared" ca="1" si="18"/>
        <v/>
      </c>
    </row>
    <row r="148" spans="1:30" x14ac:dyDescent="0.25">
      <c r="A148" s="4">
        <v>41919</v>
      </c>
      <c r="B148">
        <v>1.417</v>
      </c>
      <c r="C148" s="5">
        <v>1.5958999999999999</v>
      </c>
      <c r="D148">
        <v>1.9201999999999999</v>
      </c>
      <c r="E148">
        <v>2.1848000000000001</v>
      </c>
      <c r="F148">
        <v>2.5074999999999998</v>
      </c>
      <c r="G148">
        <v>2.9920999999999998</v>
      </c>
      <c r="H148">
        <f t="shared" ca="1" si="20"/>
        <v>0.42237561865069029</v>
      </c>
      <c r="I148">
        <f t="shared" ca="1" si="20"/>
        <v>0.29738651994497944</v>
      </c>
      <c r="J148">
        <f t="shared" ca="1" si="20"/>
        <v>0.20589168941654504</v>
      </c>
      <c r="K148">
        <f t="shared" ca="1" si="20"/>
        <v>0.24264099037138948</v>
      </c>
      <c r="L148">
        <f t="shared" ca="1" si="20"/>
        <v>0.16798933401053914</v>
      </c>
      <c r="M148">
        <f t="shared" ca="1" si="20"/>
        <v>0.29025888547608619</v>
      </c>
      <c r="N148">
        <f t="shared" ca="1" si="20"/>
        <v>0.18951439621830696</v>
      </c>
      <c r="O148">
        <f t="shared" ca="1" si="20"/>
        <v>0.2048758808964509</v>
      </c>
      <c r="P148">
        <f t="shared" ca="1" si="20"/>
        <v>0.23112734565248516</v>
      </c>
      <c r="Q148">
        <f t="shared" ca="1" si="20"/>
        <v>0.30105420281742684</v>
      </c>
      <c r="R148">
        <f t="shared" ca="1" si="20"/>
        <v>0.5787569043235351</v>
      </c>
      <c r="S148">
        <f t="shared" ca="1" si="20"/>
        <v>0.37286521490699004</v>
      </c>
      <c r="T148">
        <f t="shared" ca="1" si="20"/>
        <v>0.42064174187079212</v>
      </c>
      <c r="V148" s="4">
        <f t="shared" si="21"/>
        <v>41919</v>
      </c>
      <c r="W148" s="5">
        <f t="shared" ca="1" si="19"/>
        <v>0.5787569043235351</v>
      </c>
      <c r="Z148" s="4" t="e">
        <f ca="1">IF(OFFSET('Calc Canada'!$A$1,0,0,300)="",MATCH("Error",AF148,0),OFFSET('Calc Canada'!$A$1,0,0,300))</f>
        <v>#N/A</v>
      </c>
      <c r="AA148" s="5" t="str">
        <f ca="1">IF(OFFSET('Calc Canada'!$A$1,0,MATCH(W$1,'Calc Canada'!$1:$1,0)-1,300)="","",OFFSET('Calc Canada'!$A$1,0,MATCH(W$1,'Calc Canada'!$1:$1,0)-1,300))</f>
        <v/>
      </c>
      <c r="AB148" s="5" t="str">
        <f ca="1">IF(OFFSET('Calc Canada'!$A$1,0,MATCH(X$1,'Calc Canada'!$1:$1,0)-1,300)="","",OFFSET('Calc Canada'!$A$1,0,MATCH(X$1,'Calc Canada'!$1:$1,0)-1,300))</f>
        <v/>
      </c>
      <c r="AC148" t="str">
        <f t="shared" ca="1" si="17"/>
        <v/>
      </c>
      <c r="AD148" t="str">
        <f t="shared" ca="1" si="18"/>
        <v/>
      </c>
    </row>
    <row r="149" spans="1:30" x14ac:dyDescent="0.25">
      <c r="A149" s="4">
        <v>41918</v>
      </c>
      <c r="B149">
        <v>1.4405000000000001</v>
      </c>
      <c r="C149" s="5">
        <v>1.635</v>
      </c>
      <c r="D149">
        <v>1.9691000000000001</v>
      </c>
      <c r="E149">
        <v>2.2351999999999999</v>
      </c>
      <c r="F149">
        <v>2.5611999999999999</v>
      </c>
      <c r="G149">
        <v>3.0325000000000002</v>
      </c>
      <c r="H149">
        <f t="shared" ca="1" si="20"/>
        <v>0.4204102176922111</v>
      </c>
      <c r="I149">
        <f t="shared" ca="1" si="20"/>
        <v>0.29811724814847873</v>
      </c>
      <c r="J149">
        <f t="shared" ca="1" si="20"/>
        <v>0.20986180904522617</v>
      </c>
      <c r="K149">
        <f t="shared" ca="1" si="20"/>
        <v>0.23744088516105991</v>
      </c>
      <c r="L149">
        <f t="shared" ca="1" si="20"/>
        <v>0.16714824120603</v>
      </c>
      <c r="M149">
        <f t="shared" ca="1" si="20"/>
        <v>0.28730295832433578</v>
      </c>
      <c r="N149">
        <f t="shared" ca="1" si="20"/>
        <v>0.19041144901609999</v>
      </c>
      <c r="O149">
        <f t="shared" ca="1" si="20"/>
        <v>0.20477386934673369</v>
      </c>
      <c r="P149">
        <f t="shared" ca="1" si="20"/>
        <v>0.23327370304114492</v>
      </c>
      <c r="Q149">
        <f t="shared" ca="1" si="20"/>
        <v>0.30656385179612566</v>
      </c>
      <c r="R149">
        <f t="shared" ca="1" si="20"/>
        <v>0.58178391959798992</v>
      </c>
      <c r="S149">
        <f t="shared" ca="1" si="20"/>
        <v>0.3719221105527637</v>
      </c>
      <c r="T149">
        <f t="shared" ca="1" si="20"/>
        <v>0.42368515205724494</v>
      </c>
      <c r="V149" s="4">
        <f t="shared" si="21"/>
        <v>41918</v>
      </c>
      <c r="W149" s="5">
        <f t="shared" ca="1" si="19"/>
        <v>0.58178391959798992</v>
      </c>
      <c r="Z149" s="4" t="e">
        <f ca="1">IF(OFFSET('Calc Canada'!$A$1,0,0,300)="",MATCH("Error",AF149,0),OFFSET('Calc Canada'!$A$1,0,0,300))</f>
        <v>#N/A</v>
      </c>
      <c r="AA149" s="5" t="str">
        <f ca="1">IF(OFFSET('Calc Canada'!$A$1,0,MATCH(W$1,'Calc Canada'!$1:$1,0)-1,300)="","",OFFSET('Calc Canada'!$A$1,0,MATCH(W$1,'Calc Canada'!$1:$1,0)-1,300))</f>
        <v/>
      </c>
      <c r="AB149" s="5" t="str">
        <f ca="1">IF(OFFSET('Calc Canada'!$A$1,0,MATCH(X$1,'Calc Canada'!$1:$1,0)-1,300)="","",OFFSET('Calc Canada'!$A$1,0,MATCH(X$1,'Calc Canada'!$1:$1,0)-1,300))</f>
        <v/>
      </c>
      <c r="AC149" t="str">
        <f t="shared" ca="1" si="17"/>
        <v/>
      </c>
      <c r="AD149" t="str">
        <f t="shared" ca="1" si="18"/>
        <v/>
      </c>
    </row>
    <row r="150" spans="1:30" x14ac:dyDescent="0.25">
      <c r="A150" s="4">
        <v>41915</v>
      </c>
      <c r="B150">
        <v>1.45</v>
      </c>
      <c r="C150" s="5">
        <v>1.6377000000000002</v>
      </c>
      <c r="D150">
        <v>1.9645999999999999</v>
      </c>
      <c r="E150">
        <v>2.2250000000000001</v>
      </c>
      <c r="F150">
        <v>2.5489999999999999</v>
      </c>
      <c r="G150">
        <v>3.0430000000000001</v>
      </c>
      <c r="H150">
        <f t="shared" ca="1" si="20"/>
        <v>0.42180645161290281</v>
      </c>
      <c r="I150">
        <f t="shared" ca="1" si="20"/>
        <v>0.29745222929936282</v>
      </c>
      <c r="J150">
        <f t="shared" ca="1" si="20"/>
        <v>0.20521029504080332</v>
      </c>
      <c r="K150">
        <f t="shared" ca="1" si="20"/>
        <v>0.23694267515923584</v>
      </c>
      <c r="L150">
        <f t="shared" ca="1" si="20"/>
        <v>0.16346516007532966</v>
      </c>
      <c r="M150">
        <f t="shared" ca="1" si="20"/>
        <v>0.28574563809941866</v>
      </c>
      <c r="N150">
        <f t="shared" ca="1" si="20"/>
        <v>0.18529851277307349</v>
      </c>
      <c r="O150">
        <f t="shared" ca="1" si="20"/>
        <v>0.20338983050847445</v>
      </c>
      <c r="P150">
        <f t="shared" ca="1" si="20"/>
        <v>0.23055575321995292</v>
      </c>
      <c r="Q150">
        <f t="shared" ca="1" si="20"/>
        <v>0.30044510385756656</v>
      </c>
      <c r="R150">
        <f t="shared" ca="1" si="20"/>
        <v>0.57206528562460746</v>
      </c>
      <c r="S150">
        <f t="shared" ca="1" si="20"/>
        <v>0.36685499058380411</v>
      </c>
      <c r="T150">
        <f t="shared" ca="1" si="20"/>
        <v>0.41585426599302644</v>
      </c>
      <c r="V150" s="4">
        <f t="shared" si="21"/>
        <v>41915</v>
      </c>
      <c r="W150" s="5">
        <f t="shared" ca="1" si="19"/>
        <v>0.57206528562460746</v>
      </c>
      <c r="Z150" s="4" t="e">
        <f ca="1">IF(OFFSET('Calc Canada'!$A$1,0,0,300)="",MATCH("Error",AF150,0),OFFSET('Calc Canada'!$A$1,0,0,300))</f>
        <v>#N/A</v>
      </c>
      <c r="AA150" s="5" t="str">
        <f ca="1">IF(OFFSET('Calc Canada'!$A$1,0,MATCH(W$1,'Calc Canada'!$1:$1,0)-1,300)="","",OFFSET('Calc Canada'!$A$1,0,MATCH(W$1,'Calc Canada'!$1:$1,0)-1,300))</f>
        <v/>
      </c>
      <c r="AB150" s="5" t="str">
        <f ca="1">IF(OFFSET('Calc Canada'!$A$1,0,MATCH(X$1,'Calc Canada'!$1:$1,0)-1,300)="","",OFFSET('Calc Canada'!$A$1,0,MATCH(X$1,'Calc Canada'!$1:$1,0)-1,300))</f>
        <v/>
      </c>
      <c r="AC150" t="str">
        <f t="shared" ca="1" si="17"/>
        <v/>
      </c>
      <c r="AD150" t="str">
        <f t="shared" ca="1" si="18"/>
        <v/>
      </c>
    </row>
    <row r="151" spans="1:30" x14ac:dyDescent="0.25">
      <c r="A151" s="4">
        <v>41914</v>
      </c>
      <c r="B151">
        <v>1.44</v>
      </c>
      <c r="C151" s="5">
        <v>1.6367</v>
      </c>
      <c r="D151">
        <v>1.9546999999999999</v>
      </c>
      <c r="E151">
        <v>2.2124999999999999</v>
      </c>
      <c r="F151">
        <v>2.5460000000000003</v>
      </c>
      <c r="G151">
        <v>3.0598999999999998</v>
      </c>
      <c r="H151">
        <f t="shared" ca="1" si="20"/>
        <v>0.41165048543689303</v>
      </c>
      <c r="I151">
        <f t="shared" ca="1" si="20"/>
        <v>0.28752260397829993</v>
      </c>
      <c r="J151">
        <f t="shared" ca="1" si="20"/>
        <v>0.1963084140996357</v>
      </c>
      <c r="K151">
        <f t="shared" ca="1" si="20"/>
        <v>0.2330922242314647</v>
      </c>
      <c r="L151">
        <f t="shared" ca="1" si="20"/>
        <v>0.15914562627322676</v>
      </c>
      <c r="M151">
        <f t="shared" ca="1" si="20"/>
        <v>0.28351479159793241</v>
      </c>
      <c r="N151">
        <f t="shared" ca="1" si="20"/>
        <v>0.1811410905002811</v>
      </c>
      <c r="O151">
        <f t="shared" ca="1" si="20"/>
        <v>0.20587690598185096</v>
      </c>
      <c r="P151">
        <f t="shared" ca="1" si="20"/>
        <v>0.23433108487914586</v>
      </c>
      <c r="Q151">
        <f t="shared" ca="1" si="20"/>
        <v>0.3017553384002899</v>
      </c>
      <c r="R151">
        <f t="shared" ca="1" si="20"/>
        <v>0.56133094635471348</v>
      </c>
      <c r="S151">
        <f t="shared" ca="1" si="20"/>
        <v>0.36502253225507775</v>
      </c>
      <c r="T151">
        <f t="shared" ca="1" si="20"/>
        <v>0.41547217537942699</v>
      </c>
      <c r="V151" s="4">
        <f t="shared" si="21"/>
        <v>41914</v>
      </c>
      <c r="W151" s="5">
        <f t="shared" ca="1" si="19"/>
        <v>0.56133094635471348</v>
      </c>
      <c r="Z151" s="4" t="e">
        <f ca="1">IF(OFFSET('Calc Canada'!$A$1,0,0,300)="",MATCH("Error",AF151,0),OFFSET('Calc Canada'!$A$1,0,0,300))</f>
        <v>#N/A</v>
      </c>
      <c r="AA151" s="5" t="str">
        <f ca="1">IF(OFFSET('Calc Canada'!$A$1,0,MATCH(W$1,'Calc Canada'!$1:$1,0)-1,300)="","",OFFSET('Calc Canada'!$A$1,0,MATCH(W$1,'Calc Canada'!$1:$1,0)-1,300))</f>
        <v/>
      </c>
      <c r="AB151" s="5" t="str">
        <f ca="1">IF(OFFSET('Calc Canada'!$A$1,0,MATCH(X$1,'Calc Canada'!$1:$1,0)-1,300)="","",OFFSET('Calc Canada'!$A$1,0,MATCH(X$1,'Calc Canada'!$1:$1,0)-1,300))</f>
        <v/>
      </c>
      <c r="AC151" t="str">
        <f t="shared" ca="1" si="17"/>
        <v/>
      </c>
      <c r="AD151" t="str">
        <f t="shared" ca="1" si="18"/>
        <v/>
      </c>
    </row>
    <row r="152" spans="1:30" x14ac:dyDescent="0.25">
      <c r="A152" s="4">
        <v>41913</v>
      </c>
      <c r="B152">
        <v>1.4258999999999999</v>
      </c>
      <c r="C152" s="5">
        <v>1.6179000000000001</v>
      </c>
      <c r="D152">
        <v>1.9350000000000001</v>
      </c>
      <c r="E152">
        <v>2.2002000000000002</v>
      </c>
      <c r="F152">
        <v>2.5300000000000002</v>
      </c>
      <c r="G152">
        <v>3.044</v>
      </c>
      <c r="H152">
        <f t="shared" ca="1" si="20"/>
        <v>0.40953118946144884</v>
      </c>
      <c r="I152">
        <f t="shared" ca="1" si="20"/>
        <v>0.28720224617335371</v>
      </c>
      <c r="J152">
        <f t="shared" ca="1" si="20"/>
        <v>0.19597058278227547</v>
      </c>
      <c r="K152">
        <f t="shared" ca="1" si="20"/>
        <v>0.24019563445340097</v>
      </c>
      <c r="L152">
        <f t="shared" ca="1" si="20"/>
        <v>0.16389592732216804</v>
      </c>
      <c r="M152">
        <f t="shared" ca="1" si="20"/>
        <v>0.2907575923692578</v>
      </c>
      <c r="N152">
        <f t="shared" ca="1" si="20"/>
        <v>0.18596171376481321</v>
      </c>
      <c r="O152">
        <f t="shared" ca="1" si="20"/>
        <v>0.20381929423397815</v>
      </c>
      <c r="P152">
        <f t="shared" ca="1" si="20"/>
        <v>0.23126007993829331</v>
      </c>
      <c r="Q152">
        <f t="shared" ca="1" si="20"/>
        <v>0.29738503155996404</v>
      </c>
      <c r="R152">
        <f t="shared" ca="1" si="20"/>
        <v>0.56368580433842164</v>
      </c>
      <c r="S152">
        <f t="shared" ca="1" si="20"/>
        <v>0.36771522155614622</v>
      </c>
      <c r="T152">
        <f t="shared" ca="1" si="20"/>
        <v>0.41722179370310652</v>
      </c>
      <c r="V152" s="4">
        <f t="shared" si="21"/>
        <v>41913</v>
      </c>
      <c r="W152" s="5">
        <f t="shared" ca="1" si="19"/>
        <v>0.56368580433842164</v>
      </c>
      <c r="Z152" s="4" t="e">
        <f ca="1">IF(OFFSET('Calc Canada'!$A$1,0,0,300)="",MATCH("Error",AF152,0),OFFSET('Calc Canada'!$A$1,0,0,300))</f>
        <v>#N/A</v>
      </c>
      <c r="AA152" s="5" t="str">
        <f ca="1">IF(OFFSET('Calc Canada'!$A$1,0,MATCH(W$1,'Calc Canada'!$1:$1,0)-1,300)="","",OFFSET('Calc Canada'!$A$1,0,MATCH(W$1,'Calc Canada'!$1:$1,0)-1,300))</f>
        <v/>
      </c>
      <c r="AB152" s="5" t="str">
        <f ca="1">IF(OFFSET('Calc Canada'!$A$1,0,MATCH(X$1,'Calc Canada'!$1:$1,0)-1,300)="","",OFFSET('Calc Canada'!$A$1,0,MATCH(X$1,'Calc Canada'!$1:$1,0)-1,300))</f>
        <v/>
      </c>
      <c r="AC152" t="str">
        <f t="shared" ca="1" si="17"/>
        <v/>
      </c>
      <c r="AD152" t="str">
        <f t="shared" ca="1" si="18"/>
        <v/>
      </c>
    </row>
    <row r="153" spans="1:30" x14ac:dyDescent="0.25">
      <c r="A153" s="4">
        <v>41912</v>
      </c>
      <c r="B153">
        <v>1.4464999999999999</v>
      </c>
      <c r="C153" s="5">
        <v>1.6524999999999999</v>
      </c>
      <c r="D153">
        <v>1.9885000000000002</v>
      </c>
      <c r="E153">
        <v>2.2669999999999999</v>
      </c>
      <c r="F153">
        <v>2.5998999999999999</v>
      </c>
      <c r="G153">
        <v>3.113</v>
      </c>
      <c r="H153">
        <f t="shared" ca="1" si="20"/>
        <v>0.4095063985374775</v>
      </c>
      <c r="I153">
        <f t="shared" ca="1" si="20"/>
        <v>0.29131264088781023</v>
      </c>
      <c r="J153">
        <f t="shared" ca="1" si="20"/>
        <v>0.20162016201620178</v>
      </c>
      <c r="K153">
        <f t="shared" ca="1" si="20"/>
        <v>0.24146003121206847</v>
      </c>
      <c r="L153">
        <f t="shared" ca="1" si="20"/>
        <v>0.16711671167116696</v>
      </c>
      <c r="M153">
        <f t="shared" ca="1" si="20"/>
        <v>0.2939624234747728</v>
      </c>
      <c r="N153">
        <f t="shared" ca="1" si="20"/>
        <v>0.19068812050667561</v>
      </c>
      <c r="O153">
        <f t="shared" ca="1" si="20"/>
        <v>0.19975997599759973</v>
      </c>
      <c r="P153">
        <f t="shared" ca="1" si="20"/>
        <v>0.22793563847997259</v>
      </c>
      <c r="Q153">
        <f t="shared" ca="1" si="20"/>
        <v>0.29604268563806135</v>
      </c>
      <c r="R153">
        <f t="shared" ca="1" si="20"/>
        <v>0.5684968496849685</v>
      </c>
      <c r="S153">
        <f t="shared" ca="1" si="20"/>
        <v>0.36687668766876669</v>
      </c>
      <c r="T153">
        <f t="shared" ca="1" si="20"/>
        <v>0.41862375898664816</v>
      </c>
      <c r="V153" s="4">
        <f t="shared" si="21"/>
        <v>41912</v>
      </c>
      <c r="W153" s="5">
        <f t="shared" ca="1" si="19"/>
        <v>0.5684968496849685</v>
      </c>
      <c r="Z153" s="4" t="e">
        <f ca="1">IF(OFFSET('Calc Canada'!$A$1,0,0,300)="",MATCH("Error",AF153,0),OFFSET('Calc Canada'!$A$1,0,0,300))</f>
        <v>#N/A</v>
      </c>
      <c r="AA153" s="5" t="str">
        <f ca="1">IF(OFFSET('Calc Canada'!$A$1,0,MATCH(W$1,'Calc Canada'!$1:$1,0)-1,300)="","",OFFSET('Calc Canada'!$A$1,0,MATCH(W$1,'Calc Canada'!$1:$1,0)-1,300))</f>
        <v/>
      </c>
      <c r="AB153" s="5" t="str">
        <f ca="1">IF(OFFSET('Calc Canada'!$A$1,0,MATCH(X$1,'Calc Canada'!$1:$1,0)-1,300)="","",OFFSET('Calc Canada'!$A$1,0,MATCH(X$1,'Calc Canada'!$1:$1,0)-1,300))</f>
        <v/>
      </c>
      <c r="AC153" t="str">
        <f t="shared" ca="1" si="17"/>
        <v/>
      </c>
      <c r="AD153" t="str">
        <f t="shared" ca="1" si="18"/>
        <v/>
      </c>
    </row>
    <row r="154" spans="1:30" x14ac:dyDescent="0.25">
      <c r="A154" s="4">
        <v>41911</v>
      </c>
      <c r="B154">
        <v>1.4421999999999999</v>
      </c>
      <c r="C154" s="5">
        <v>1.6495</v>
      </c>
      <c r="D154">
        <v>1.986</v>
      </c>
      <c r="E154">
        <v>2.2570999999999999</v>
      </c>
      <c r="F154">
        <v>2.5739999999999998</v>
      </c>
      <c r="G154">
        <v>3.0945999999999998</v>
      </c>
      <c r="H154">
        <f t="shared" ca="1" si="20"/>
        <v>0.41293410234384592</v>
      </c>
      <c r="I154">
        <f t="shared" ca="1" si="20"/>
        <v>0.29731401307651534</v>
      </c>
      <c r="J154">
        <f t="shared" ca="1" si="20"/>
        <v>0.20364318566932949</v>
      </c>
      <c r="K154">
        <f t="shared" ca="1" si="20"/>
        <v>0.23952995228839011</v>
      </c>
      <c r="L154">
        <f t="shared" ca="1" si="20"/>
        <v>0.16406439118857413</v>
      </c>
      <c r="M154">
        <f t="shared" ca="1" si="20"/>
        <v>0.29323958896700913</v>
      </c>
      <c r="N154">
        <f t="shared" ca="1" si="20"/>
        <v>0.18759947408483837</v>
      </c>
      <c r="O154">
        <f t="shared" ca="1" si="20"/>
        <v>0.19178165093197772</v>
      </c>
      <c r="P154">
        <f t="shared" ca="1" si="20"/>
        <v>0.21929278250640094</v>
      </c>
      <c r="Q154">
        <f t="shared" ca="1" si="20"/>
        <v>0.28585603463828252</v>
      </c>
      <c r="R154">
        <f t="shared" ca="1" si="20"/>
        <v>0.5594892277898813</v>
      </c>
      <c r="S154">
        <f t="shared" ca="1" si="20"/>
        <v>0.35584604212055188</v>
      </c>
      <c r="T154">
        <f t="shared" ca="1" si="20"/>
        <v>0.40689225659123929</v>
      </c>
      <c r="V154" s="4">
        <f t="shared" si="21"/>
        <v>41911</v>
      </c>
      <c r="W154" s="5">
        <f t="shared" ca="1" si="19"/>
        <v>0.5594892277898813</v>
      </c>
      <c r="Z154" s="4" t="e">
        <f ca="1">IF(OFFSET('Calc Canada'!$A$1,0,0,300)="",MATCH("Error",AF154,0),OFFSET('Calc Canada'!$A$1,0,0,300))</f>
        <v>#N/A</v>
      </c>
      <c r="AA154" s="5" t="str">
        <f ca="1">IF(OFFSET('Calc Canada'!$A$1,0,MATCH(W$1,'Calc Canada'!$1:$1,0)-1,300)="","",OFFSET('Calc Canada'!$A$1,0,MATCH(W$1,'Calc Canada'!$1:$1,0)-1,300))</f>
        <v/>
      </c>
      <c r="AB154" s="5" t="str">
        <f ca="1">IF(OFFSET('Calc Canada'!$A$1,0,MATCH(X$1,'Calc Canada'!$1:$1,0)-1,300)="","",OFFSET('Calc Canada'!$A$1,0,MATCH(X$1,'Calc Canada'!$1:$1,0)-1,300))</f>
        <v/>
      </c>
      <c r="AC154" t="str">
        <f t="shared" ca="1" si="17"/>
        <v/>
      </c>
      <c r="AD154" t="str">
        <f t="shared" ca="1" si="18"/>
        <v/>
      </c>
    </row>
    <row r="155" spans="1:30" x14ac:dyDescent="0.25">
      <c r="A155" s="4">
        <v>41908</v>
      </c>
      <c r="B155">
        <v>1.4556</v>
      </c>
      <c r="C155" s="5">
        <v>1.6684999999999999</v>
      </c>
      <c r="D155">
        <v>2.0095000000000001</v>
      </c>
      <c r="E155">
        <v>2.2816999999999998</v>
      </c>
      <c r="F155">
        <v>2.6154999999999999</v>
      </c>
      <c r="G155">
        <v>3.1371000000000002</v>
      </c>
      <c r="H155">
        <f t="shared" ca="1" si="20"/>
        <v>0.41278295605858889</v>
      </c>
      <c r="I155">
        <f t="shared" ca="1" si="20"/>
        <v>0.2939908612811451</v>
      </c>
      <c r="J155">
        <f t="shared" ca="1" si="20"/>
        <v>0.20279512340172473</v>
      </c>
      <c r="K155">
        <f t="shared" ca="1" si="20"/>
        <v>0.23467540305198706</v>
      </c>
      <c r="L155">
        <f t="shared" ca="1" si="20"/>
        <v>0.16187927445732961</v>
      </c>
      <c r="M155">
        <f t="shared" ca="1" si="20"/>
        <v>0.28743400211193215</v>
      </c>
      <c r="N155">
        <f t="shared" ca="1" si="20"/>
        <v>0.18534658858777048</v>
      </c>
      <c r="O155">
        <f t="shared" ca="1" si="20"/>
        <v>0.19851323223312523</v>
      </c>
      <c r="P155">
        <f t="shared" ca="1" si="20"/>
        <v>0.2272912978346725</v>
      </c>
      <c r="Q155">
        <f t="shared" ca="1" si="20"/>
        <v>0.2960269599148635</v>
      </c>
      <c r="R155">
        <f t="shared" ca="1" si="20"/>
        <v>0.56318763009217954</v>
      </c>
      <c r="S155">
        <f t="shared" ca="1" si="20"/>
        <v>0.36039250669045481</v>
      </c>
      <c r="T155">
        <f t="shared" ca="1" si="20"/>
        <v>0.41263788642244298</v>
      </c>
      <c r="V155" s="4">
        <f t="shared" si="21"/>
        <v>41908</v>
      </c>
      <c r="W155" s="5">
        <f t="shared" ca="1" si="19"/>
        <v>0.56318763009217954</v>
      </c>
      <c r="Z155" s="4" t="e">
        <f ca="1">IF(OFFSET('Calc Canada'!$A$1,0,0,300)="",MATCH("Error",AF155,0),OFFSET('Calc Canada'!$A$1,0,0,300))</f>
        <v>#N/A</v>
      </c>
      <c r="AA155" s="5" t="str">
        <f ca="1">IF(OFFSET('Calc Canada'!$A$1,0,MATCH(W$1,'Calc Canada'!$1:$1,0)-1,300)="","",OFFSET('Calc Canada'!$A$1,0,MATCH(W$1,'Calc Canada'!$1:$1,0)-1,300))</f>
        <v/>
      </c>
      <c r="AB155" s="5" t="str">
        <f ca="1">IF(OFFSET('Calc Canada'!$A$1,0,MATCH(X$1,'Calc Canada'!$1:$1,0)-1,300)="","",OFFSET('Calc Canada'!$A$1,0,MATCH(X$1,'Calc Canada'!$1:$1,0)-1,300))</f>
        <v/>
      </c>
      <c r="AC155" t="str">
        <f t="shared" ca="1" si="17"/>
        <v/>
      </c>
      <c r="AD155" t="str">
        <f t="shared" ca="1" si="18"/>
        <v/>
      </c>
    </row>
    <row r="156" spans="1:30" x14ac:dyDescent="0.25">
      <c r="A156" s="4">
        <v>41907</v>
      </c>
      <c r="B156">
        <v>1.4394</v>
      </c>
      <c r="C156" s="5">
        <v>1.639</v>
      </c>
      <c r="D156">
        <v>1.9704999999999999</v>
      </c>
      <c r="E156">
        <v>2.2505000000000002</v>
      </c>
      <c r="F156">
        <v>2.5884999999999998</v>
      </c>
      <c r="G156">
        <v>3.1164000000000001</v>
      </c>
      <c r="H156">
        <f t="shared" ca="1" si="20"/>
        <v>0.4087042288250522</v>
      </c>
      <c r="I156">
        <f t="shared" ca="1" si="20"/>
        <v>0.28848664171960664</v>
      </c>
      <c r="J156">
        <f t="shared" ca="1" si="20"/>
        <v>0.1976744186046511</v>
      </c>
      <c r="K156">
        <f t="shared" ca="1" si="20"/>
        <v>0.24366895831520347</v>
      </c>
      <c r="L156">
        <f t="shared" ca="1" si="20"/>
        <v>0.16696481812760897</v>
      </c>
      <c r="M156">
        <f t="shared" ca="1" si="20"/>
        <v>0.29489204844655115</v>
      </c>
      <c r="N156">
        <f t="shared" ca="1" si="20"/>
        <v>0.18952213347773131</v>
      </c>
      <c r="O156">
        <f t="shared" ca="1" si="20"/>
        <v>0.201550387596899</v>
      </c>
      <c r="P156">
        <f t="shared" ca="1" si="20"/>
        <v>0.22878028969811806</v>
      </c>
      <c r="Q156">
        <f t="shared" ca="1" si="20"/>
        <v>0.29496465660179738</v>
      </c>
      <c r="R156">
        <f t="shared" ca="1" si="20"/>
        <v>0.56618962432915909</v>
      </c>
      <c r="S156">
        <f t="shared" ca="1" si="20"/>
        <v>0.36851520572450797</v>
      </c>
      <c r="T156">
        <f t="shared" ca="1" si="20"/>
        <v>0.41830242317584937</v>
      </c>
      <c r="V156" s="4">
        <f t="shared" si="21"/>
        <v>41907</v>
      </c>
      <c r="W156" s="5">
        <f t="shared" ca="1" si="19"/>
        <v>0.56618962432915909</v>
      </c>
      <c r="Z156" s="4" t="e">
        <f ca="1">IF(OFFSET('Calc Canada'!$A$1,0,0,300)="",MATCH("Error",AF156,0),OFFSET('Calc Canada'!$A$1,0,0,300))</f>
        <v>#N/A</v>
      </c>
      <c r="AA156" s="5" t="str">
        <f ca="1">IF(OFFSET('Calc Canada'!$A$1,0,MATCH(W$1,'Calc Canada'!$1:$1,0)-1,300)="","",OFFSET('Calc Canada'!$A$1,0,MATCH(W$1,'Calc Canada'!$1:$1,0)-1,300))</f>
        <v/>
      </c>
      <c r="AB156" s="5" t="str">
        <f ca="1">IF(OFFSET('Calc Canada'!$A$1,0,MATCH(X$1,'Calc Canada'!$1:$1,0)-1,300)="","",OFFSET('Calc Canada'!$A$1,0,MATCH(X$1,'Calc Canada'!$1:$1,0)-1,300))</f>
        <v/>
      </c>
      <c r="AC156" t="str">
        <f t="shared" ca="1" si="17"/>
        <v/>
      </c>
      <c r="AD156" t="str">
        <f t="shared" ca="1" si="18"/>
        <v/>
      </c>
    </row>
    <row r="157" spans="1:30" x14ac:dyDescent="0.25">
      <c r="A157" s="4">
        <v>41906</v>
      </c>
      <c r="B157">
        <v>1.4668999999999999</v>
      </c>
      <c r="C157" s="5">
        <v>1.675</v>
      </c>
      <c r="D157">
        <v>2.0179999999999998</v>
      </c>
      <c r="E157">
        <v>2.3035000000000001</v>
      </c>
      <c r="F157">
        <v>2.6395999999999997</v>
      </c>
      <c r="G157">
        <v>3.1880000000000002</v>
      </c>
      <c r="H157">
        <f t="shared" ref="H157:T172" ca="1" si="22">IF(ISERROR(ABS(OFFSET($A$11,ROW()-11,MATCH(LEFT(H$9,2),$A$11:$G$11,0)-1)-OFFSET($A$11,ROW()-11,MATCH(RIGHT(H$9,2),$A$11:$G$11,0)-1))/ABS(OFFSET($A$11,ROW()-11,MATCH(LEFT(H$10,2),$A$11:$G$11,0)-1)-OFFSET($A$11,ROW()-11,MATCH(RIGHT(H$10,2),$A$11:$G$11,0)-1))),"",ABS(OFFSET($A$11,ROW()-11,MATCH(LEFT(H$9,2),$A$11:$G$11,0)-1)-OFFSET($A$11,ROW()-11,MATCH(RIGHT(H$9,2),$A$11:$G$11,0)-1))/ABS(OFFSET($A$11,ROW()-11,MATCH(LEFT(H$10,2),$A$11:$G$11,0)-1)-OFFSET($A$11,ROW()-11,MATCH(RIGHT(H$10,2),$A$11:$G$11,0)-1)))</f>
        <v>0.40999282811379351</v>
      </c>
      <c r="I157">
        <f t="shared" ca="1" si="22"/>
        <v>0.29248742218811274</v>
      </c>
      <c r="J157">
        <f t="shared" ca="1" si="22"/>
        <v>0.19929115100807604</v>
      </c>
      <c r="K157">
        <f t="shared" ca="1" si="22"/>
        <v>0.24345527415366278</v>
      </c>
      <c r="L157">
        <f t="shared" ca="1" si="22"/>
        <v>0.16588228458543969</v>
      </c>
      <c r="M157">
        <f t="shared" ca="1" si="22"/>
        <v>0.29597760729836242</v>
      </c>
      <c r="N157">
        <f t="shared" ca="1" si="22"/>
        <v>0.18869795109054877</v>
      </c>
      <c r="O157">
        <f t="shared" ca="1" si="22"/>
        <v>0.19528208703735958</v>
      </c>
      <c r="P157">
        <f t="shared" ca="1" si="22"/>
        <v>0.22214144084600104</v>
      </c>
      <c r="Q157">
        <f t="shared" ca="1" si="22"/>
        <v>0.28726495726495688</v>
      </c>
      <c r="R157">
        <f t="shared" ca="1" si="22"/>
        <v>0.56045552263087528</v>
      </c>
      <c r="S157">
        <f t="shared" ca="1" si="22"/>
        <v>0.3611643716227993</v>
      </c>
      <c r="T157">
        <f t="shared" ca="1" si="22"/>
        <v>0.41083939193654984</v>
      </c>
      <c r="V157" s="4">
        <f t="shared" si="21"/>
        <v>41906</v>
      </c>
      <c r="W157" s="5">
        <f t="shared" ca="1" si="19"/>
        <v>0.56045552263087528</v>
      </c>
      <c r="Z157" s="4" t="e">
        <f ca="1">IF(OFFSET('Calc Canada'!$A$1,0,0,300)="",MATCH("Error",AF157,0),OFFSET('Calc Canada'!$A$1,0,0,300))</f>
        <v>#N/A</v>
      </c>
      <c r="AA157" s="5" t="str">
        <f ca="1">IF(OFFSET('Calc Canada'!$A$1,0,MATCH(W$1,'Calc Canada'!$1:$1,0)-1,300)="","",OFFSET('Calc Canada'!$A$1,0,MATCH(W$1,'Calc Canada'!$1:$1,0)-1,300))</f>
        <v/>
      </c>
      <c r="AB157" s="5" t="str">
        <f ca="1">IF(OFFSET('Calc Canada'!$A$1,0,MATCH(X$1,'Calc Canada'!$1:$1,0)-1,300)="","",OFFSET('Calc Canada'!$A$1,0,MATCH(X$1,'Calc Canada'!$1:$1,0)-1,300))</f>
        <v/>
      </c>
      <c r="AC157" t="str">
        <f t="shared" ca="1" si="17"/>
        <v/>
      </c>
      <c r="AD157" t="str">
        <f t="shared" ca="1" si="18"/>
        <v/>
      </c>
    </row>
    <row r="158" spans="1:30" x14ac:dyDescent="0.25">
      <c r="A158" s="4">
        <v>41905</v>
      </c>
      <c r="B158">
        <v>1.4451000000000001</v>
      </c>
      <c r="C158" s="5">
        <v>1.6442000000000001</v>
      </c>
      <c r="D158">
        <v>1.9830999999999999</v>
      </c>
      <c r="E158">
        <v>2.2652999999999999</v>
      </c>
      <c r="F158">
        <v>2.6090999999999998</v>
      </c>
      <c r="G158">
        <v>3.1673</v>
      </c>
      <c r="H158">
        <f t="shared" ca="1" si="22"/>
        <v>0.41319190441355746</v>
      </c>
      <c r="I158">
        <f t="shared" ca="1" si="22"/>
        <v>0.29115120274914075</v>
      </c>
      <c r="J158">
        <f t="shared" ca="1" si="22"/>
        <v>0.19678318429915212</v>
      </c>
      <c r="K158">
        <f t="shared" ca="1" si="22"/>
        <v>0.24243986254295538</v>
      </c>
      <c r="L158">
        <f t="shared" ca="1" si="22"/>
        <v>0.16386017884101731</v>
      </c>
      <c r="M158">
        <f t="shared" ca="1" si="22"/>
        <v>0.29246554047051521</v>
      </c>
      <c r="N158">
        <f t="shared" ca="1" si="22"/>
        <v>0.18528002100978269</v>
      </c>
      <c r="O158">
        <f t="shared" ca="1" si="22"/>
        <v>0.19962838230170707</v>
      </c>
      <c r="P158">
        <f t="shared" ca="1" si="22"/>
        <v>0.22572385266889888</v>
      </c>
      <c r="Q158">
        <f t="shared" ca="1" si="22"/>
        <v>0.29032258064516114</v>
      </c>
      <c r="R158">
        <f t="shared" ca="1" si="22"/>
        <v>0.56027174544187652</v>
      </c>
      <c r="S158">
        <f t="shared" ca="1" si="22"/>
        <v>0.36348856114272438</v>
      </c>
      <c r="T158">
        <f t="shared" ca="1" si="22"/>
        <v>0.41100387367868157</v>
      </c>
      <c r="V158" s="4">
        <f t="shared" si="21"/>
        <v>41905</v>
      </c>
      <c r="W158" s="5">
        <f t="shared" ca="1" si="19"/>
        <v>0.56027174544187652</v>
      </c>
      <c r="Z158" s="4" t="e">
        <f ca="1">IF(OFFSET('Calc Canada'!$A$1,0,0,300)="",MATCH("Error",AF158,0),OFFSET('Calc Canada'!$A$1,0,0,300))</f>
        <v>#N/A</v>
      </c>
      <c r="AA158" s="5" t="str">
        <f ca="1">IF(OFFSET('Calc Canada'!$A$1,0,MATCH(W$1,'Calc Canada'!$1:$1,0)-1,300)="","",OFFSET('Calc Canada'!$A$1,0,MATCH(W$1,'Calc Canada'!$1:$1,0)-1,300))</f>
        <v/>
      </c>
      <c r="AB158" s="5" t="str">
        <f ca="1">IF(OFFSET('Calc Canada'!$A$1,0,MATCH(X$1,'Calc Canada'!$1:$1,0)-1,300)="","",OFFSET('Calc Canada'!$A$1,0,MATCH(X$1,'Calc Canada'!$1:$1,0)-1,300))</f>
        <v/>
      </c>
      <c r="AC158" t="str">
        <f t="shared" ca="1" si="17"/>
        <v/>
      </c>
      <c r="AD158" t="str">
        <f t="shared" ca="1" si="18"/>
        <v/>
      </c>
    </row>
    <row r="159" spans="1:30" x14ac:dyDescent="0.25">
      <c r="A159" s="4">
        <v>41904</v>
      </c>
      <c r="B159">
        <v>1.4816</v>
      </c>
      <c r="C159" s="5">
        <v>1.6879999999999999</v>
      </c>
      <c r="D159">
        <v>2.0364</v>
      </c>
      <c r="E159">
        <v>2.3186</v>
      </c>
      <c r="F159">
        <v>2.6642000000000001</v>
      </c>
      <c r="G159">
        <v>3.2006999999999999</v>
      </c>
      <c r="H159">
        <f t="shared" ca="1" si="22"/>
        <v>0.41624850657108731</v>
      </c>
      <c r="I159">
        <f t="shared" ca="1" si="22"/>
        <v>0.29460510739049556</v>
      </c>
      <c r="J159">
        <f t="shared" ca="1" si="22"/>
        <v>0.20266418474783321</v>
      </c>
      <c r="K159">
        <f t="shared" ca="1" si="22"/>
        <v>0.23862675460848976</v>
      </c>
      <c r="L159">
        <f t="shared" ca="1" si="22"/>
        <v>0.16415566284683847</v>
      </c>
      <c r="M159">
        <f t="shared" ca="1" si="22"/>
        <v>0.28908010653554594</v>
      </c>
      <c r="N159">
        <f t="shared" ca="1" si="22"/>
        <v>0.18655384411978582</v>
      </c>
      <c r="O159">
        <f t="shared" ca="1" si="22"/>
        <v>0.2010354255133501</v>
      </c>
      <c r="P159">
        <f t="shared" ca="1" si="22"/>
        <v>0.22846565743372788</v>
      </c>
      <c r="Q159">
        <f t="shared" ca="1" si="22"/>
        <v>0.29683071373357395</v>
      </c>
      <c r="R159">
        <f t="shared" ca="1" si="22"/>
        <v>0.56785527310802175</v>
      </c>
      <c r="S159">
        <f t="shared" ca="1" si="22"/>
        <v>0.3651910883601886</v>
      </c>
      <c r="T159">
        <f t="shared" ca="1" si="22"/>
        <v>0.41501950155351369</v>
      </c>
      <c r="V159" s="4">
        <f t="shared" si="21"/>
        <v>41904</v>
      </c>
      <c r="W159" s="5">
        <f t="shared" ca="1" si="19"/>
        <v>0.56785527310802175</v>
      </c>
      <c r="Z159" s="4" t="e">
        <f ca="1">IF(OFFSET('Calc Canada'!$A$1,0,0,300)="",MATCH("Error",AF159,0),OFFSET('Calc Canada'!$A$1,0,0,300))</f>
        <v>#N/A</v>
      </c>
      <c r="AA159" s="5" t="str">
        <f ca="1">IF(OFFSET('Calc Canada'!$A$1,0,MATCH(W$1,'Calc Canada'!$1:$1,0)-1,300)="","",OFFSET('Calc Canada'!$A$1,0,MATCH(W$1,'Calc Canada'!$1:$1,0)-1,300))</f>
        <v/>
      </c>
      <c r="AB159" s="5" t="str">
        <f ca="1">IF(OFFSET('Calc Canada'!$A$1,0,MATCH(X$1,'Calc Canada'!$1:$1,0)-1,300)="","",OFFSET('Calc Canada'!$A$1,0,MATCH(X$1,'Calc Canada'!$1:$1,0)-1,300))</f>
        <v/>
      </c>
      <c r="AC159" t="str">
        <f t="shared" ca="1" si="17"/>
        <v/>
      </c>
      <c r="AD159" t="str">
        <f t="shared" ca="1" si="18"/>
        <v/>
      </c>
    </row>
    <row r="160" spans="1:30" x14ac:dyDescent="0.25">
      <c r="A160" s="4">
        <v>41901</v>
      </c>
      <c r="B160">
        <v>1.4966999999999999</v>
      </c>
      <c r="C160" s="5">
        <v>1.7164999999999999</v>
      </c>
      <c r="D160">
        <v>2.0728</v>
      </c>
      <c r="E160">
        <v>2.3500999999999999</v>
      </c>
      <c r="F160">
        <v>2.6901999999999999</v>
      </c>
      <c r="G160">
        <v>3.2037</v>
      </c>
      <c r="H160">
        <f t="shared" ca="1" si="22"/>
        <v>0.4175064448089994</v>
      </c>
      <c r="I160">
        <f t="shared" ca="1" si="22"/>
        <v>0.298533724340176</v>
      </c>
      <c r="J160">
        <f t="shared" ca="1" si="22"/>
        <v>0.2087287639132982</v>
      </c>
      <c r="K160">
        <f t="shared" ca="1" si="22"/>
        <v>0.2323418516966903</v>
      </c>
      <c r="L160">
        <f t="shared" ca="1" si="22"/>
        <v>0.16244874048037486</v>
      </c>
      <c r="M160">
        <f t="shared" ca="1" si="22"/>
        <v>0.2847899763787613</v>
      </c>
      <c r="N160">
        <f t="shared" ca="1" si="22"/>
        <v>0.18645777299623445</v>
      </c>
      <c r="O160">
        <f t="shared" ca="1" si="22"/>
        <v>0.19923842999414179</v>
      </c>
      <c r="P160">
        <f t="shared" ca="1" si="22"/>
        <v>0.22868477676169988</v>
      </c>
      <c r="Q160">
        <f t="shared" ca="1" si="22"/>
        <v>0.30073392872933069</v>
      </c>
      <c r="R160">
        <f t="shared" ca="1" si="22"/>
        <v>0.5704159343878149</v>
      </c>
      <c r="S160">
        <f t="shared" ca="1" si="22"/>
        <v>0.36168717047451665</v>
      </c>
      <c r="T160">
        <f t="shared" ca="1" si="22"/>
        <v>0.4151425497579343</v>
      </c>
      <c r="V160" s="4">
        <f t="shared" si="21"/>
        <v>41901</v>
      </c>
      <c r="W160" s="5">
        <f t="shared" ca="1" si="19"/>
        <v>0.5704159343878149</v>
      </c>
      <c r="Z160" s="4" t="e">
        <f ca="1">IF(OFFSET('Calc Canada'!$A$1,0,0,300)="",MATCH("Error",AF160,0),OFFSET('Calc Canada'!$A$1,0,0,300))</f>
        <v>#N/A</v>
      </c>
      <c r="AA160" s="5" t="str">
        <f ca="1">IF(OFFSET('Calc Canada'!$A$1,0,MATCH(W$1,'Calc Canada'!$1:$1,0)-1,300)="","",OFFSET('Calc Canada'!$A$1,0,MATCH(W$1,'Calc Canada'!$1:$1,0)-1,300))</f>
        <v/>
      </c>
      <c r="AB160" s="5" t="str">
        <f ca="1">IF(OFFSET('Calc Canada'!$A$1,0,MATCH(X$1,'Calc Canada'!$1:$1,0)-1,300)="","",OFFSET('Calc Canada'!$A$1,0,MATCH(X$1,'Calc Canada'!$1:$1,0)-1,300))</f>
        <v/>
      </c>
      <c r="AC160" t="str">
        <f t="shared" ca="1" si="17"/>
        <v/>
      </c>
      <c r="AD160" t="str">
        <f t="shared" ca="1" si="18"/>
        <v/>
      </c>
    </row>
    <row r="161" spans="1:30" x14ac:dyDescent="0.25">
      <c r="A161" s="4">
        <v>41900</v>
      </c>
      <c r="B161">
        <v>1.4937</v>
      </c>
      <c r="C161" s="5">
        <v>1.7122999999999999</v>
      </c>
      <c r="D161">
        <v>2.0870000000000002</v>
      </c>
      <c r="E161">
        <v>2.3824000000000001</v>
      </c>
      <c r="F161">
        <v>2.7321</v>
      </c>
      <c r="G161">
        <v>3.2444999999999999</v>
      </c>
      <c r="H161">
        <f t="shared" ca="1" si="22"/>
        <v>0.42162709575784879</v>
      </c>
      <c r="I161">
        <f t="shared" ca="1" si="22"/>
        <v>0.30256782945736455</v>
      </c>
      <c r="J161">
        <f t="shared" ca="1" si="22"/>
        <v>0.21401644962302963</v>
      </c>
      <c r="K161">
        <f t="shared" ca="1" si="22"/>
        <v>0.23853359173126606</v>
      </c>
      <c r="L161">
        <f t="shared" ca="1" si="22"/>
        <v>0.16872286954535065</v>
      </c>
      <c r="M161">
        <f t="shared" ca="1" si="22"/>
        <v>0.28966464012551468</v>
      </c>
      <c r="N161">
        <f t="shared" ca="1" si="22"/>
        <v>0.19279467432450065</v>
      </c>
      <c r="O161">
        <f t="shared" ca="1" si="22"/>
        <v>0.19973726296550143</v>
      </c>
      <c r="P161">
        <f t="shared" ca="1" si="22"/>
        <v>0.22823391202192919</v>
      </c>
      <c r="Q161">
        <f t="shared" ca="1" si="22"/>
        <v>0.30211663066954642</v>
      </c>
      <c r="R161">
        <f t="shared" ca="1" si="22"/>
        <v>0.58247658213388176</v>
      </c>
      <c r="S161">
        <f t="shared" ca="1" si="22"/>
        <v>0.36846013251085208</v>
      </c>
      <c r="T161">
        <f t="shared" ca="1" si="22"/>
        <v>0.42102858634642981</v>
      </c>
      <c r="V161" s="4">
        <f t="shared" si="21"/>
        <v>41900</v>
      </c>
      <c r="W161" s="5">
        <f t="shared" ca="1" si="19"/>
        <v>0.58247658213388176</v>
      </c>
      <c r="Z161" s="4" t="e">
        <f ca="1">IF(OFFSET('Calc Canada'!$A$1,0,0,300)="",MATCH("Error",AF161,0),OFFSET('Calc Canada'!$A$1,0,0,300))</f>
        <v>#N/A</v>
      </c>
      <c r="AA161" s="5" t="str">
        <f ca="1">IF(OFFSET('Calc Canada'!$A$1,0,MATCH(W$1,'Calc Canada'!$1:$1,0)-1,300)="","",OFFSET('Calc Canada'!$A$1,0,MATCH(W$1,'Calc Canada'!$1:$1,0)-1,300))</f>
        <v/>
      </c>
      <c r="AB161" s="5" t="str">
        <f ca="1">IF(OFFSET('Calc Canada'!$A$1,0,MATCH(X$1,'Calc Canada'!$1:$1,0)-1,300)="","",OFFSET('Calc Canada'!$A$1,0,MATCH(X$1,'Calc Canada'!$1:$1,0)-1,300))</f>
        <v/>
      </c>
      <c r="AC161" t="str">
        <f t="shared" ca="1" si="17"/>
        <v/>
      </c>
      <c r="AD161" t="str">
        <f t="shared" ca="1" si="18"/>
        <v/>
      </c>
    </row>
    <row r="162" spans="1:30" x14ac:dyDescent="0.25">
      <c r="A162" s="4">
        <v>41899</v>
      </c>
      <c r="B162">
        <v>1.4878</v>
      </c>
      <c r="C162" s="5">
        <v>1.708</v>
      </c>
      <c r="D162">
        <v>2.08</v>
      </c>
      <c r="E162">
        <v>2.3660000000000001</v>
      </c>
      <c r="F162">
        <v>2.714</v>
      </c>
      <c r="G162">
        <v>3.2393999999999998</v>
      </c>
      <c r="H162">
        <f t="shared" ca="1" si="22"/>
        <v>0.4235937144158507</v>
      </c>
      <c r="I162">
        <f t="shared" ca="1" si="22"/>
        <v>0.30337628445604314</v>
      </c>
      <c r="J162">
        <f t="shared" ca="1" si="22"/>
        <v>0.21237725508106883</v>
      </c>
      <c r="K162">
        <f t="shared" ca="1" si="22"/>
        <v>0.23324090686674281</v>
      </c>
      <c r="L162">
        <f t="shared" ca="1" si="22"/>
        <v>0.16327928750856363</v>
      </c>
      <c r="M162">
        <f t="shared" ca="1" si="22"/>
        <v>0.28429423459244535</v>
      </c>
      <c r="N162">
        <f t="shared" ca="1" si="22"/>
        <v>0.18675721561969444</v>
      </c>
      <c r="O162">
        <f t="shared" ca="1" si="22"/>
        <v>0.19867549668874165</v>
      </c>
      <c r="P162">
        <f t="shared" ca="1" si="22"/>
        <v>0.22724304557920849</v>
      </c>
      <c r="Q162">
        <f t="shared" ca="1" si="22"/>
        <v>0.3001552527169225</v>
      </c>
      <c r="R162">
        <f t="shared" ca="1" si="22"/>
        <v>0.57433203927837417</v>
      </c>
      <c r="S162">
        <f t="shared" ca="1" si="22"/>
        <v>0.36195478419730531</v>
      </c>
      <c r="T162">
        <f t="shared" ca="1" si="22"/>
        <v>0.41400026119890293</v>
      </c>
      <c r="V162" s="4">
        <f t="shared" si="21"/>
        <v>41899</v>
      </c>
      <c r="W162" s="5">
        <f t="shared" ca="1" si="19"/>
        <v>0.57433203927837417</v>
      </c>
      <c r="Z162" s="4" t="e">
        <f ca="1">IF(OFFSET('Calc Canada'!$A$1,0,0,300)="",MATCH("Error",AF162,0),OFFSET('Calc Canada'!$A$1,0,0,300))</f>
        <v>#N/A</v>
      </c>
      <c r="AA162" s="5" t="str">
        <f ca="1">IF(OFFSET('Calc Canada'!$A$1,0,MATCH(W$1,'Calc Canada'!$1:$1,0)-1,300)="","",OFFSET('Calc Canada'!$A$1,0,MATCH(W$1,'Calc Canada'!$1:$1,0)-1,300))</f>
        <v/>
      </c>
      <c r="AB162" s="5" t="str">
        <f ca="1">IF(OFFSET('Calc Canada'!$A$1,0,MATCH(X$1,'Calc Canada'!$1:$1,0)-1,300)="","",OFFSET('Calc Canada'!$A$1,0,MATCH(X$1,'Calc Canada'!$1:$1,0)-1,300))</f>
        <v/>
      </c>
      <c r="AC162" t="str">
        <f t="shared" ca="1" si="17"/>
        <v/>
      </c>
      <c r="AD162" t="str">
        <f t="shared" ca="1" si="18"/>
        <v/>
      </c>
    </row>
    <row r="163" spans="1:30" x14ac:dyDescent="0.25">
      <c r="A163" s="4">
        <v>41898</v>
      </c>
      <c r="B163">
        <v>1.4712000000000001</v>
      </c>
      <c r="C163" s="5">
        <v>1.6909000000000001</v>
      </c>
      <c r="D163">
        <v>2.0628000000000002</v>
      </c>
      <c r="E163">
        <v>2.3451</v>
      </c>
      <c r="F163">
        <v>2.6959999999999997</v>
      </c>
      <c r="G163">
        <v>3.2286000000000001</v>
      </c>
      <c r="H163">
        <f t="shared" ca="1" si="22"/>
        <v>0.4255635656253578</v>
      </c>
      <c r="I163">
        <f t="shared" ca="1" si="22"/>
        <v>0.30364141084258672</v>
      </c>
      <c r="J163">
        <f t="shared" ca="1" si="22"/>
        <v>0.2116194378058496</v>
      </c>
      <c r="K163">
        <f t="shared" ca="1" si="22"/>
        <v>0.23048661005878499</v>
      </c>
      <c r="L163">
        <f t="shared" ca="1" si="22"/>
        <v>0.16063502902014326</v>
      </c>
      <c r="M163">
        <f t="shared" ca="1" si="22"/>
        <v>0.28086757536563511</v>
      </c>
      <c r="N163">
        <f t="shared" ca="1" si="22"/>
        <v>0.18358587500812887</v>
      </c>
      <c r="O163">
        <f t="shared" ca="1" si="22"/>
        <v>0.19966996699669953</v>
      </c>
      <c r="P163">
        <f t="shared" ca="1" si="22"/>
        <v>0.2281979579892045</v>
      </c>
      <c r="Q163">
        <f t="shared" ca="1" si="22"/>
        <v>0.30099502487562169</v>
      </c>
      <c r="R163">
        <f t="shared" ca="1" si="22"/>
        <v>0.57192443382269242</v>
      </c>
      <c r="S163">
        <f t="shared" ca="1" si="22"/>
        <v>0.36030499601684279</v>
      </c>
      <c r="T163">
        <f t="shared" ca="1" si="22"/>
        <v>0.41178383299733334</v>
      </c>
      <c r="V163" s="4">
        <f t="shared" si="21"/>
        <v>41898</v>
      </c>
      <c r="W163" s="5">
        <f t="shared" ca="1" si="19"/>
        <v>0.57192443382269242</v>
      </c>
      <c r="Z163" s="4" t="e">
        <f ca="1">IF(OFFSET('Calc Canada'!$A$1,0,0,300)="",MATCH("Error",AF163,0),OFFSET('Calc Canada'!$A$1,0,0,300))</f>
        <v>#N/A</v>
      </c>
      <c r="AA163" s="5" t="str">
        <f ca="1">IF(OFFSET('Calc Canada'!$A$1,0,MATCH(W$1,'Calc Canada'!$1:$1,0)-1,300)="","",OFFSET('Calc Canada'!$A$1,0,MATCH(W$1,'Calc Canada'!$1:$1,0)-1,300))</f>
        <v/>
      </c>
      <c r="AB163" s="5" t="str">
        <f ca="1">IF(OFFSET('Calc Canada'!$A$1,0,MATCH(X$1,'Calc Canada'!$1:$1,0)-1,300)="","",OFFSET('Calc Canada'!$A$1,0,MATCH(X$1,'Calc Canada'!$1:$1,0)-1,300))</f>
        <v/>
      </c>
      <c r="AC163" t="str">
        <f t="shared" ca="1" si="17"/>
        <v/>
      </c>
      <c r="AD163" t="str">
        <f t="shared" ca="1" si="18"/>
        <v/>
      </c>
    </row>
    <row r="164" spans="1:30" x14ac:dyDescent="0.25">
      <c r="A164" s="4">
        <v>41897</v>
      </c>
      <c r="B164">
        <v>1.4762</v>
      </c>
      <c r="C164" s="5">
        <v>1.6945000000000001</v>
      </c>
      <c r="D164">
        <v>2.0680000000000001</v>
      </c>
      <c r="E164">
        <v>2.3456999999999999</v>
      </c>
      <c r="F164">
        <v>2.6941999999999999</v>
      </c>
      <c r="G164">
        <v>3.2176</v>
      </c>
      <c r="H164">
        <f t="shared" ca="1" si="22"/>
        <v>0.4295572167912593</v>
      </c>
      <c r="I164">
        <f t="shared" ca="1" si="22"/>
        <v>0.30665024630541871</v>
      </c>
      <c r="J164">
        <f t="shared" ca="1" si="22"/>
        <v>0.21448260020673018</v>
      </c>
      <c r="K164">
        <f t="shared" ca="1" si="22"/>
        <v>0.22799671592775028</v>
      </c>
      <c r="L164">
        <f t="shared" ca="1" si="22"/>
        <v>0.15946939244286196</v>
      </c>
      <c r="M164">
        <f t="shared" ca="1" si="22"/>
        <v>0.27778333500050006</v>
      </c>
      <c r="N164">
        <f t="shared" ca="1" si="22"/>
        <v>0.18232552032039909</v>
      </c>
      <c r="O164">
        <f t="shared" ca="1" si="22"/>
        <v>0.20012633513265191</v>
      </c>
      <c r="P164">
        <f t="shared" ca="1" si="22"/>
        <v>0.22880966450003287</v>
      </c>
      <c r="Q164">
        <f t="shared" ca="1" si="22"/>
        <v>0.30314892136395272</v>
      </c>
      <c r="R164">
        <f t="shared" ca="1" si="22"/>
        <v>0.57407832778224399</v>
      </c>
      <c r="S164">
        <f t="shared" ca="1" si="22"/>
        <v>0.35959572757551389</v>
      </c>
      <c r="T164">
        <f t="shared" ca="1" si="22"/>
        <v>0.41113518482043193</v>
      </c>
      <c r="V164" s="4">
        <f t="shared" si="21"/>
        <v>41897</v>
      </c>
      <c r="W164" s="5">
        <f t="shared" ca="1" si="19"/>
        <v>0.57407832778224399</v>
      </c>
      <c r="Z164" s="4" t="e">
        <f ca="1">IF(OFFSET('Calc Canada'!$A$1,0,0,300)="",MATCH("Error",AF164,0),OFFSET('Calc Canada'!$A$1,0,0,300))</f>
        <v>#N/A</v>
      </c>
      <c r="AA164" s="5" t="str">
        <f ca="1">IF(OFFSET('Calc Canada'!$A$1,0,MATCH(W$1,'Calc Canada'!$1:$1,0)-1,300)="","",OFFSET('Calc Canada'!$A$1,0,MATCH(W$1,'Calc Canada'!$1:$1,0)-1,300))</f>
        <v/>
      </c>
      <c r="AB164" s="5" t="str">
        <f ca="1">IF(OFFSET('Calc Canada'!$A$1,0,MATCH(X$1,'Calc Canada'!$1:$1,0)-1,300)="","",OFFSET('Calc Canada'!$A$1,0,MATCH(X$1,'Calc Canada'!$1:$1,0)-1,300))</f>
        <v/>
      </c>
      <c r="AC164" t="str">
        <f t="shared" ca="1" si="17"/>
        <v/>
      </c>
      <c r="AD164" t="str">
        <f t="shared" ca="1" si="18"/>
        <v/>
      </c>
    </row>
    <row r="165" spans="1:30" x14ac:dyDescent="0.25">
      <c r="A165" s="4">
        <v>41894</v>
      </c>
      <c r="B165">
        <v>1.4817</v>
      </c>
      <c r="C165" s="5">
        <v>1.698</v>
      </c>
      <c r="D165">
        <v>2.0659000000000001</v>
      </c>
      <c r="E165">
        <v>2.3462999999999998</v>
      </c>
      <c r="F165">
        <v>2.6913</v>
      </c>
      <c r="G165">
        <v>3.2183000000000002</v>
      </c>
      <c r="H165">
        <f t="shared" ca="1" si="22"/>
        <v>0.42551468887346772</v>
      </c>
      <c r="I165">
        <f t="shared" ca="1" si="22"/>
        <v>0.30415013227513238</v>
      </c>
      <c r="J165">
        <f t="shared" ca="1" si="22"/>
        <v>0.21185074283081889</v>
      </c>
      <c r="K165">
        <f t="shared" ca="1" si="22"/>
        <v>0.23181216931216911</v>
      </c>
      <c r="L165">
        <f t="shared" ca="1" si="22"/>
        <v>0.16146493147529639</v>
      </c>
      <c r="M165">
        <f t="shared" ca="1" si="22"/>
        <v>0.28229135205879363</v>
      </c>
      <c r="N165">
        <f t="shared" ca="1" si="22"/>
        <v>0.18443728211537178</v>
      </c>
      <c r="O165">
        <f t="shared" ca="1" si="22"/>
        <v>0.19866405620177369</v>
      </c>
      <c r="P165">
        <f t="shared" ca="1" si="22"/>
        <v>0.22692889561270813</v>
      </c>
      <c r="Q165">
        <f t="shared" ca="1" si="22"/>
        <v>0.29937521693856317</v>
      </c>
      <c r="R165">
        <f t="shared" ca="1" si="22"/>
        <v>0.57197973050788897</v>
      </c>
      <c r="S165">
        <f t="shared" ca="1" si="22"/>
        <v>0.36012898767707008</v>
      </c>
      <c r="T165">
        <f t="shared" ca="1" si="22"/>
        <v>0.41136617772807987</v>
      </c>
      <c r="V165" s="4">
        <f t="shared" si="21"/>
        <v>41894</v>
      </c>
      <c r="W165" s="5">
        <f t="shared" ca="1" si="19"/>
        <v>0.57197973050788897</v>
      </c>
      <c r="Z165" s="4" t="e">
        <f ca="1">IF(OFFSET('Calc Canada'!$A$1,0,0,300)="",MATCH("Error",AF165,0),OFFSET('Calc Canada'!$A$1,0,0,300))</f>
        <v>#N/A</v>
      </c>
      <c r="AA165" s="5" t="str">
        <f ca="1">IF(OFFSET('Calc Canada'!$A$1,0,MATCH(W$1,'Calc Canada'!$1:$1,0)-1,300)="","",OFFSET('Calc Canada'!$A$1,0,MATCH(W$1,'Calc Canada'!$1:$1,0)-1,300))</f>
        <v/>
      </c>
      <c r="AB165" s="5" t="str">
        <f ca="1">IF(OFFSET('Calc Canada'!$A$1,0,MATCH(X$1,'Calc Canada'!$1:$1,0)-1,300)="","",OFFSET('Calc Canada'!$A$1,0,MATCH(X$1,'Calc Canada'!$1:$1,0)-1,300))</f>
        <v/>
      </c>
      <c r="AC165" t="str">
        <f t="shared" ca="1" si="17"/>
        <v/>
      </c>
      <c r="AD165" t="str">
        <f t="shared" ca="1" si="18"/>
        <v/>
      </c>
    </row>
    <row r="166" spans="1:30" x14ac:dyDescent="0.25">
      <c r="A166" s="4">
        <v>41893</v>
      </c>
      <c r="B166">
        <v>1.4679</v>
      </c>
      <c r="C166" s="5">
        <v>1.6703000000000001</v>
      </c>
      <c r="D166">
        <v>2.0379999999999998</v>
      </c>
      <c r="E166">
        <v>2.3058000000000001</v>
      </c>
      <c r="F166">
        <v>2.6508000000000003</v>
      </c>
      <c r="G166">
        <v>3.1785000000000001</v>
      </c>
      <c r="H166">
        <f t="shared" ca="1" si="22"/>
        <v>0.43883518319608505</v>
      </c>
      <c r="I166">
        <f t="shared" ca="1" si="22"/>
        <v>0.31084622537830719</v>
      </c>
      <c r="J166">
        <f t="shared" ca="1" si="22"/>
        <v>0.21495381737402061</v>
      </c>
      <c r="K166">
        <f t="shared" ca="1" si="22"/>
        <v>0.22639276354721463</v>
      </c>
      <c r="L166">
        <f t="shared" ca="1" si="22"/>
        <v>0.15655325616742677</v>
      </c>
      <c r="M166">
        <f t="shared" ca="1" si="22"/>
        <v>0.27312595614482427</v>
      </c>
      <c r="N166">
        <f t="shared" ca="1" si="22"/>
        <v>0.17756265747248393</v>
      </c>
      <c r="O166">
        <f t="shared" ca="1" si="22"/>
        <v>0.20168361978253255</v>
      </c>
      <c r="P166">
        <f t="shared" ca="1" si="22"/>
        <v>0.22874950271847247</v>
      </c>
      <c r="Q166">
        <f t="shared" ca="1" si="22"/>
        <v>0.30249890398947837</v>
      </c>
      <c r="R166">
        <f t="shared" ca="1" si="22"/>
        <v>0.57319069332397998</v>
      </c>
      <c r="S166">
        <f t="shared" ca="1" si="22"/>
        <v>0.35823687594995934</v>
      </c>
      <c r="T166">
        <f t="shared" ca="1" si="22"/>
        <v>0.4063121601909564</v>
      </c>
      <c r="V166" s="4">
        <f t="shared" si="21"/>
        <v>41893</v>
      </c>
      <c r="W166" s="5">
        <f t="shared" ca="1" si="19"/>
        <v>0.57319069332397998</v>
      </c>
      <c r="Z166" s="4" t="e">
        <f ca="1">IF(OFFSET('Calc Canada'!$A$1,0,0,300)="",MATCH("Error",AF166,0),OFFSET('Calc Canada'!$A$1,0,0,300))</f>
        <v>#N/A</v>
      </c>
      <c r="AA166" s="5" t="str">
        <f ca="1">IF(OFFSET('Calc Canada'!$A$1,0,MATCH(W$1,'Calc Canada'!$1:$1,0)-1,300)="","",OFFSET('Calc Canada'!$A$1,0,MATCH(W$1,'Calc Canada'!$1:$1,0)-1,300))</f>
        <v/>
      </c>
      <c r="AB166" s="5" t="str">
        <f ca="1">IF(OFFSET('Calc Canada'!$A$1,0,MATCH(X$1,'Calc Canada'!$1:$1,0)-1,300)="","",OFFSET('Calc Canada'!$A$1,0,MATCH(X$1,'Calc Canada'!$1:$1,0)-1,300))</f>
        <v/>
      </c>
      <c r="AC166" t="str">
        <f t="shared" ca="1" si="17"/>
        <v/>
      </c>
      <c r="AD166" t="str">
        <f t="shared" ca="1" si="18"/>
        <v/>
      </c>
    </row>
    <row r="167" spans="1:30" x14ac:dyDescent="0.25">
      <c r="A167" s="4">
        <v>41892</v>
      </c>
      <c r="B167">
        <v>1.4742999999999999</v>
      </c>
      <c r="C167" s="5">
        <v>1.677</v>
      </c>
      <c r="D167">
        <v>2.0299999999999998</v>
      </c>
      <c r="E167">
        <v>2.3075000000000001</v>
      </c>
      <c r="F167">
        <v>2.6588000000000003</v>
      </c>
      <c r="G167">
        <v>3.1802999999999999</v>
      </c>
      <c r="H167">
        <f t="shared" ca="1" si="22"/>
        <v>0.42366778684589496</v>
      </c>
      <c r="I167">
        <f t="shared" ca="1" si="22"/>
        <v>0.29801604052342734</v>
      </c>
      <c r="J167">
        <f t="shared" ca="1" si="22"/>
        <v>0.20691676436107842</v>
      </c>
      <c r="K167">
        <f t="shared" ca="1" si="22"/>
        <v>0.23427606585057004</v>
      </c>
      <c r="L167">
        <f t="shared" ca="1" si="22"/>
        <v>0.16266119577960159</v>
      </c>
      <c r="M167">
        <f t="shared" ca="1" si="22"/>
        <v>0.2826441230393158</v>
      </c>
      <c r="N167">
        <f t="shared" ca="1" si="22"/>
        <v>0.18459389343444443</v>
      </c>
      <c r="O167">
        <f t="shared" ca="1" si="22"/>
        <v>0.20592028135990631</v>
      </c>
      <c r="P167">
        <f t="shared" ca="1" si="22"/>
        <v>0.23368589103971277</v>
      </c>
      <c r="Q167">
        <f t="shared" ca="1" si="22"/>
        <v>0.30539859167173794</v>
      </c>
      <c r="R167">
        <f t="shared" ca="1" si="22"/>
        <v>0.57549824150058626</v>
      </c>
      <c r="S167">
        <f t="shared" ca="1" si="22"/>
        <v>0.3685814771395079</v>
      </c>
      <c r="T167">
        <f t="shared" ca="1" si="22"/>
        <v>0.4182797844741572</v>
      </c>
      <c r="V167" s="4">
        <f t="shared" si="21"/>
        <v>41892</v>
      </c>
      <c r="W167" s="5">
        <f t="shared" ca="1" si="19"/>
        <v>0.57549824150058626</v>
      </c>
      <c r="Z167" s="4" t="e">
        <f ca="1">IF(OFFSET('Calc Canada'!$A$1,0,0,300)="",MATCH("Error",AF167,0),OFFSET('Calc Canada'!$A$1,0,0,300))</f>
        <v>#N/A</v>
      </c>
      <c r="AA167" s="5" t="str">
        <f ca="1">IF(OFFSET('Calc Canada'!$A$1,0,MATCH(W$1,'Calc Canada'!$1:$1,0)-1,300)="","",OFFSET('Calc Canada'!$A$1,0,MATCH(W$1,'Calc Canada'!$1:$1,0)-1,300))</f>
        <v/>
      </c>
      <c r="AB167" s="5" t="str">
        <f ca="1">IF(OFFSET('Calc Canada'!$A$1,0,MATCH(X$1,'Calc Canada'!$1:$1,0)-1,300)="","",OFFSET('Calc Canada'!$A$1,0,MATCH(X$1,'Calc Canada'!$1:$1,0)-1,300))</f>
        <v/>
      </c>
      <c r="AC167" t="str">
        <f t="shared" ca="1" si="17"/>
        <v/>
      </c>
      <c r="AD167" t="str">
        <f t="shared" ca="1" si="18"/>
        <v/>
      </c>
    </row>
    <row r="168" spans="1:30" x14ac:dyDescent="0.25">
      <c r="A168" s="4">
        <v>41891</v>
      </c>
      <c r="B168">
        <v>1.4617</v>
      </c>
      <c r="C168" s="5">
        <v>1.6619999999999999</v>
      </c>
      <c r="D168">
        <v>2.0059999999999998</v>
      </c>
      <c r="E168">
        <v>2.2711999999999999</v>
      </c>
      <c r="F168">
        <v>2.621</v>
      </c>
      <c r="G168">
        <v>3.15</v>
      </c>
      <c r="H168">
        <f t="shared" ca="1" si="22"/>
        <v>0.42495367510809129</v>
      </c>
      <c r="I168">
        <f t="shared" ca="1" si="22"/>
        <v>0.29673078581902862</v>
      </c>
      <c r="J168">
        <f t="shared" ca="1" si="22"/>
        <v>0.20375525676716216</v>
      </c>
      <c r="K168">
        <f t="shared" ca="1" si="22"/>
        <v>0.2287587337186234</v>
      </c>
      <c r="L168">
        <f t="shared" ca="1" si="22"/>
        <v>0.15708108748445188</v>
      </c>
      <c r="M168">
        <f t="shared" ca="1" si="22"/>
        <v>0.27653806047966639</v>
      </c>
      <c r="N168">
        <f t="shared" ca="1" si="22"/>
        <v>0.17822580645161298</v>
      </c>
      <c r="O168">
        <f t="shared" ca="1" si="22"/>
        <v>0.20719066516614354</v>
      </c>
      <c r="P168">
        <f t="shared" ca="1" si="22"/>
        <v>0.2350806451612904</v>
      </c>
      <c r="Q168">
        <f t="shared" ca="1" si="22"/>
        <v>0.30576923076923085</v>
      </c>
      <c r="R168">
        <f t="shared" ca="1" si="22"/>
        <v>0.56802700941775763</v>
      </c>
      <c r="S168">
        <f t="shared" ca="1" si="22"/>
        <v>0.36427175265059542</v>
      </c>
      <c r="T168">
        <f t="shared" ca="1" si="22"/>
        <v>0.41330645161290336</v>
      </c>
      <c r="V168" s="4">
        <f t="shared" si="21"/>
        <v>41891</v>
      </c>
      <c r="W168" s="5">
        <f t="shared" ca="1" si="19"/>
        <v>0.56802700941775763</v>
      </c>
      <c r="Z168" s="4" t="e">
        <f ca="1">IF(OFFSET('Calc Canada'!$A$1,0,0,300)="",MATCH("Error",AF168,0),OFFSET('Calc Canada'!$A$1,0,0,300))</f>
        <v>#N/A</v>
      </c>
      <c r="AA168" s="5" t="str">
        <f ca="1">IF(OFFSET('Calc Canada'!$A$1,0,MATCH(W$1,'Calc Canada'!$1:$1,0)-1,300)="","",OFFSET('Calc Canada'!$A$1,0,MATCH(W$1,'Calc Canada'!$1:$1,0)-1,300))</f>
        <v/>
      </c>
      <c r="AB168" s="5" t="str">
        <f ca="1">IF(OFFSET('Calc Canada'!$A$1,0,MATCH(X$1,'Calc Canada'!$1:$1,0)-1,300)="","",OFFSET('Calc Canada'!$A$1,0,MATCH(X$1,'Calc Canada'!$1:$1,0)-1,300))</f>
        <v/>
      </c>
      <c r="AC168" t="str">
        <f t="shared" ca="1" si="17"/>
        <v/>
      </c>
      <c r="AD168" t="str">
        <f t="shared" ca="1" si="18"/>
        <v/>
      </c>
    </row>
    <row r="169" spans="1:30" x14ac:dyDescent="0.25">
      <c r="A169" s="4">
        <v>41890</v>
      </c>
      <c r="B169">
        <v>1.4413</v>
      </c>
      <c r="C169" s="5">
        <v>1.6339999999999999</v>
      </c>
      <c r="D169">
        <v>1.9731000000000001</v>
      </c>
      <c r="E169">
        <v>2.2374999999999998</v>
      </c>
      <c r="F169">
        <v>2.5849000000000002</v>
      </c>
      <c r="G169">
        <v>3.1362000000000001</v>
      </c>
      <c r="H169">
        <f t="shared" ca="1" si="22"/>
        <v>0.42589801557397672</v>
      </c>
      <c r="I169">
        <f t="shared" ca="1" si="22"/>
        <v>0.29651976215459963</v>
      </c>
      <c r="J169">
        <f t="shared" ca="1" si="22"/>
        <v>0.20007080063720584</v>
      </c>
      <c r="K169">
        <f t="shared" ca="1" si="22"/>
        <v>0.23119972018188151</v>
      </c>
      <c r="L169">
        <f t="shared" ca="1" si="22"/>
        <v>0.15599740397663564</v>
      </c>
      <c r="M169">
        <f t="shared" ca="1" si="22"/>
        <v>0.2780523714375851</v>
      </c>
      <c r="N169">
        <f t="shared" ca="1" si="22"/>
        <v>0.17600852083610685</v>
      </c>
      <c r="O169">
        <f t="shared" ca="1" si="22"/>
        <v>0.20496784471060261</v>
      </c>
      <c r="P169">
        <f t="shared" ca="1" si="22"/>
        <v>0.23126081746771424</v>
      </c>
      <c r="Q169">
        <f t="shared" ca="1" si="22"/>
        <v>0.29868454990972432</v>
      </c>
      <c r="R169">
        <f t="shared" ca="1" si="22"/>
        <v>0.56103604932444406</v>
      </c>
      <c r="S169">
        <f t="shared" ca="1" si="22"/>
        <v>0.36096524868723823</v>
      </c>
      <c r="T169">
        <f t="shared" ca="1" si="22"/>
        <v>0.40726933830382112</v>
      </c>
      <c r="V169" s="4">
        <f t="shared" si="21"/>
        <v>41890</v>
      </c>
      <c r="W169" s="5">
        <f t="shared" ca="1" si="19"/>
        <v>0.56103604932444406</v>
      </c>
      <c r="Z169" s="4" t="e">
        <f ca="1">IF(OFFSET('Calc Canada'!$A$1,0,0,300)="",MATCH("Error",AF169,0),OFFSET('Calc Canada'!$A$1,0,0,300))</f>
        <v>#N/A</v>
      </c>
      <c r="AA169" s="5" t="str">
        <f ca="1">IF(OFFSET('Calc Canada'!$A$1,0,MATCH(W$1,'Calc Canada'!$1:$1,0)-1,300)="","",OFFSET('Calc Canada'!$A$1,0,MATCH(W$1,'Calc Canada'!$1:$1,0)-1,300))</f>
        <v/>
      </c>
      <c r="AB169" s="5" t="str">
        <f ca="1">IF(OFFSET('Calc Canada'!$A$1,0,MATCH(X$1,'Calc Canada'!$1:$1,0)-1,300)="","",OFFSET('Calc Canada'!$A$1,0,MATCH(X$1,'Calc Canada'!$1:$1,0)-1,300))</f>
        <v/>
      </c>
      <c r="AC169" t="str">
        <f t="shared" ca="1" si="17"/>
        <v/>
      </c>
      <c r="AD169" t="str">
        <f t="shared" ca="1" si="18"/>
        <v/>
      </c>
    </row>
    <row r="170" spans="1:30" x14ac:dyDescent="0.25">
      <c r="A170" s="4">
        <v>41887</v>
      </c>
      <c r="B170">
        <v>1.4333</v>
      </c>
      <c r="C170" s="5">
        <v>1.621</v>
      </c>
      <c r="D170">
        <v>1.9520999999999999</v>
      </c>
      <c r="E170">
        <v>2.2187000000000001</v>
      </c>
      <c r="F170">
        <v>2.5590000000000002</v>
      </c>
      <c r="G170">
        <v>3.13</v>
      </c>
      <c r="H170">
        <f t="shared" ca="1" si="22"/>
        <v>0.42156862745098028</v>
      </c>
      <c r="I170">
        <f t="shared" ca="1" si="22"/>
        <v>0.2941280980723105</v>
      </c>
      <c r="J170">
        <f t="shared" ca="1" si="22"/>
        <v>0.19514351387988446</v>
      </c>
      <c r="K170">
        <f t="shared" ca="1" si="22"/>
        <v>0.23683041662965279</v>
      </c>
      <c r="L170">
        <f t="shared" ca="1" si="22"/>
        <v>0.15712854364354345</v>
      </c>
      <c r="M170">
        <f t="shared" ca="1" si="22"/>
        <v>0.28422174840085301</v>
      </c>
      <c r="N170">
        <f t="shared" ca="1" si="22"/>
        <v>0.17667329357190203</v>
      </c>
      <c r="O170">
        <f t="shared" ca="1" si="22"/>
        <v>0.20056580420816883</v>
      </c>
      <c r="P170">
        <f t="shared" ca="1" si="22"/>
        <v>0.22551358515573233</v>
      </c>
      <c r="Q170">
        <f t="shared" ca="1" si="22"/>
        <v>0.28890398166228037</v>
      </c>
      <c r="R170">
        <f t="shared" ca="1" si="22"/>
        <v>0.55283786173159677</v>
      </c>
      <c r="S170">
        <f t="shared" ca="1" si="22"/>
        <v>0.35769434785171228</v>
      </c>
      <c r="T170">
        <f t="shared" ca="1" si="22"/>
        <v>0.40218687872763437</v>
      </c>
      <c r="V170" s="4">
        <f t="shared" si="21"/>
        <v>41887</v>
      </c>
      <c r="W170" s="5">
        <f t="shared" ca="1" si="19"/>
        <v>0.55283786173159677</v>
      </c>
      <c r="Z170" s="4" t="e">
        <f ca="1">IF(OFFSET('Calc Canada'!$A$1,0,0,300)="",MATCH("Error",AF170,0),OFFSET('Calc Canada'!$A$1,0,0,300))</f>
        <v>#N/A</v>
      </c>
      <c r="AA170" s="5" t="str">
        <f ca="1">IF(OFFSET('Calc Canada'!$A$1,0,MATCH(W$1,'Calc Canada'!$1:$1,0)-1,300)="","",OFFSET('Calc Canada'!$A$1,0,MATCH(W$1,'Calc Canada'!$1:$1,0)-1,300))</f>
        <v/>
      </c>
      <c r="AB170" s="5" t="str">
        <f ca="1">IF(OFFSET('Calc Canada'!$A$1,0,MATCH(X$1,'Calc Canada'!$1:$1,0)-1,300)="","",OFFSET('Calc Canada'!$A$1,0,MATCH(X$1,'Calc Canada'!$1:$1,0)-1,300))</f>
        <v/>
      </c>
      <c r="AC170" t="str">
        <f t="shared" ca="1" si="17"/>
        <v/>
      </c>
      <c r="AD170" t="str">
        <f t="shared" ca="1" si="18"/>
        <v/>
      </c>
    </row>
    <row r="171" spans="1:30" x14ac:dyDescent="0.25">
      <c r="A171" s="4">
        <v>41886</v>
      </c>
      <c r="B171">
        <v>1.4454</v>
      </c>
      <c r="C171" s="5">
        <v>1.6316000000000002</v>
      </c>
      <c r="D171">
        <v>1.9612000000000001</v>
      </c>
      <c r="E171">
        <v>2.2313999999999998</v>
      </c>
      <c r="F171">
        <v>2.5720000000000001</v>
      </c>
      <c r="G171">
        <v>3.1208999999999998</v>
      </c>
      <c r="H171">
        <f t="shared" ca="1" si="22"/>
        <v>0.41933842239185748</v>
      </c>
      <c r="I171">
        <f t="shared" ca="1" si="22"/>
        <v>0.29256169004083071</v>
      </c>
      <c r="J171">
        <f t="shared" ca="1" si="22"/>
        <v>0.19671739779170394</v>
      </c>
      <c r="K171">
        <f t="shared" ca="1" si="22"/>
        <v>0.2398366767264333</v>
      </c>
      <c r="L171">
        <f t="shared" ca="1" si="22"/>
        <v>0.16126529394210673</v>
      </c>
      <c r="M171">
        <f t="shared" ca="1" si="22"/>
        <v>0.2873245427477667</v>
      </c>
      <c r="N171">
        <f t="shared" ca="1" si="22"/>
        <v>0.18142751628281734</v>
      </c>
      <c r="O171">
        <f t="shared" ca="1" si="22"/>
        <v>0.20328260220829619</v>
      </c>
      <c r="P171">
        <f t="shared" ca="1" si="22"/>
        <v>0.22869804606190849</v>
      </c>
      <c r="Q171">
        <f t="shared" ca="1" si="22"/>
        <v>0.29369664568422893</v>
      </c>
      <c r="R171">
        <f t="shared" ca="1" si="22"/>
        <v>0.56126529394210689</v>
      </c>
      <c r="S171">
        <f t="shared" ca="1" si="22"/>
        <v>0.36454789615040289</v>
      </c>
      <c r="T171">
        <f t="shared" ca="1" si="22"/>
        <v>0.4101255623447258</v>
      </c>
      <c r="V171" s="4">
        <f t="shared" si="21"/>
        <v>41886</v>
      </c>
      <c r="W171" s="5">
        <f t="shared" ca="1" si="19"/>
        <v>0.56126529394210689</v>
      </c>
      <c r="Z171" s="4" t="e">
        <f ca="1">IF(OFFSET('Calc Canada'!$A$1,0,0,300)="",MATCH("Error",AF171,0),OFFSET('Calc Canada'!$A$1,0,0,300))</f>
        <v>#N/A</v>
      </c>
      <c r="AA171" s="5" t="str">
        <f ca="1">IF(OFFSET('Calc Canada'!$A$1,0,MATCH(W$1,'Calc Canada'!$1:$1,0)-1,300)="","",OFFSET('Calc Canada'!$A$1,0,MATCH(W$1,'Calc Canada'!$1:$1,0)-1,300))</f>
        <v/>
      </c>
      <c r="AB171" s="5" t="str">
        <f ca="1">IF(OFFSET('Calc Canada'!$A$1,0,MATCH(X$1,'Calc Canada'!$1:$1,0)-1,300)="","",OFFSET('Calc Canada'!$A$1,0,MATCH(X$1,'Calc Canada'!$1:$1,0)-1,300))</f>
        <v/>
      </c>
      <c r="AC171" t="str">
        <f t="shared" ca="1" si="17"/>
        <v/>
      </c>
      <c r="AD171" t="str">
        <f t="shared" ca="1" si="18"/>
        <v/>
      </c>
    </row>
    <row r="172" spans="1:30" x14ac:dyDescent="0.25">
      <c r="A172" s="4">
        <v>41885</v>
      </c>
      <c r="B172">
        <v>1.4369000000000001</v>
      </c>
      <c r="C172" s="5">
        <v>1.6194</v>
      </c>
      <c r="D172">
        <v>1.9481000000000002</v>
      </c>
      <c r="E172">
        <v>2.2050000000000001</v>
      </c>
      <c r="F172">
        <v>2.5345</v>
      </c>
      <c r="G172">
        <v>3.0853000000000002</v>
      </c>
      <c r="H172">
        <f t="shared" ca="1" si="22"/>
        <v>0.42793907043353757</v>
      </c>
      <c r="I172">
        <f t="shared" ca="1" si="22"/>
        <v>0.29947157434402355</v>
      </c>
      <c r="J172">
        <f t="shared" ca="1" si="22"/>
        <v>0.1994054841057997</v>
      </c>
      <c r="K172">
        <f t="shared" ca="1" si="22"/>
        <v>0.23405612244897953</v>
      </c>
      <c r="L172">
        <f t="shared" ca="1" si="22"/>
        <v>0.155848095122543</v>
      </c>
      <c r="M172">
        <f t="shared" ca="1" si="22"/>
        <v>0.28073434597311758</v>
      </c>
      <c r="N172">
        <f t="shared" ca="1" si="22"/>
        <v>0.17525069922914241</v>
      </c>
      <c r="O172">
        <f t="shared" ca="1" si="22"/>
        <v>0.19989080320310598</v>
      </c>
      <c r="P172">
        <f t="shared" ca="1" si="22"/>
        <v>0.22477658776178447</v>
      </c>
      <c r="Q172">
        <f t="shared" ca="1" si="22"/>
        <v>0.28974674639465348</v>
      </c>
      <c r="R172">
        <f t="shared" ca="1" si="22"/>
        <v>0.5551443824314487</v>
      </c>
      <c r="S172">
        <f t="shared" ca="1" si="22"/>
        <v>0.35573889832564898</v>
      </c>
      <c r="T172">
        <f t="shared" ca="1" si="22"/>
        <v>0.40002728699092688</v>
      </c>
      <c r="V172" s="4">
        <f t="shared" si="21"/>
        <v>41885</v>
      </c>
      <c r="W172" s="5">
        <f t="shared" ca="1" si="19"/>
        <v>0.5551443824314487</v>
      </c>
      <c r="Z172" s="4" t="e">
        <f ca="1">IF(OFFSET('Calc Canada'!$A$1,0,0,300)="",MATCH("Error",AF172,0),OFFSET('Calc Canada'!$A$1,0,0,300))</f>
        <v>#N/A</v>
      </c>
      <c r="AA172" s="5" t="str">
        <f ca="1">IF(OFFSET('Calc Canada'!$A$1,0,MATCH(W$1,'Calc Canada'!$1:$1,0)-1,300)="","",OFFSET('Calc Canada'!$A$1,0,MATCH(W$1,'Calc Canada'!$1:$1,0)-1,300))</f>
        <v/>
      </c>
      <c r="AB172" s="5" t="str">
        <f ca="1">IF(OFFSET('Calc Canada'!$A$1,0,MATCH(X$1,'Calc Canada'!$1:$1,0)-1,300)="","",OFFSET('Calc Canada'!$A$1,0,MATCH(X$1,'Calc Canada'!$1:$1,0)-1,300))</f>
        <v/>
      </c>
      <c r="AC172" t="str">
        <f t="shared" ca="1" si="17"/>
        <v/>
      </c>
      <c r="AD172" t="str">
        <f t="shared" ca="1" si="18"/>
        <v/>
      </c>
    </row>
    <row r="173" spans="1:30" x14ac:dyDescent="0.25">
      <c r="A173" s="4">
        <v>41884</v>
      </c>
      <c r="B173">
        <v>1.4473</v>
      </c>
      <c r="C173" s="5">
        <v>1.6288</v>
      </c>
      <c r="D173">
        <v>1.9597</v>
      </c>
      <c r="E173">
        <v>2.2172000000000001</v>
      </c>
      <c r="F173">
        <v>2.5531000000000001</v>
      </c>
      <c r="G173">
        <v>3.1093999999999999</v>
      </c>
      <c r="H173">
        <f t="shared" ref="H173:T188" ca="1" si="23">IF(ISERROR(ABS(OFFSET($A$11,ROW()-11,MATCH(LEFT(H$9,2),$A$11:$G$11,0)-1)-OFFSET($A$11,ROW()-11,MATCH(RIGHT(H$9,2),$A$11:$G$11,0)-1))/ABS(OFFSET($A$11,ROW()-11,MATCH(LEFT(H$10,2),$A$11:$G$11,0)-1)-OFFSET($A$11,ROW()-11,MATCH(RIGHT(H$10,2),$A$11:$G$11,0)-1))),"",ABS(OFFSET($A$11,ROW()-11,MATCH(LEFT(H$9,2),$A$11:$G$11,0)-1)-OFFSET($A$11,ROW()-11,MATCH(RIGHT(H$9,2),$A$11:$G$11,0)-1))/ABS(OFFSET($A$11,ROW()-11,MATCH(LEFT(H$10,2),$A$11:$G$11,0)-1)-OFFSET($A$11,ROW()-11,MATCH(RIGHT(H$10,2),$A$11:$G$11,0)-1)))</f>
        <v>0.42979607741265097</v>
      </c>
      <c r="I173">
        <f t="shared" ca="1" si="23"/>
        <v>0.2992403689636462</v>
      </c>
      <c r="J173">
        <f t="shared" ca="1" si="23"/>
        <v>0.19908549425425665</v>
      </c>
      <c r="K173">
        <f t="shared" ca="1" si="23"/>
        <v>0.23286308554892388</v>
      </c>
      <c r="L173">
        <f t="shared" ca="1" si="23"/>
        <v>0.15492449311112452</v>
      </c>
      <c r="M173">
        <f t="shared" ca="1" si="23"/>
        <v>0.27858920263983561</v>
      </c>
      <c r="N173">
        <f t="shared" ca="1" si="23"/>
        <v>0.17391598000810488</v>
      </c>
      <c r="O173">
        <f t="shared" ca="1" si="23"/>
        <v>0.20209373683893875</v>
      </c>
      <c r="P173">
        <f t="shared" ca="1" si="23"/>
        <v>0.22686748615426186</v>
      </c>
      <c r="Q173">
        <f t="shared" ca="1" si="23"/>
        <v>0.29216317300165268</v>
      </c>
      <c r="R173">
        <f t="shared" ca="1" si="23"/>
        <v>0.55610372420431997</v>
      </c>
      <c r="S173">
        <f t="shared" ca="1" si="23"/>
        <v>0.35701822995006327</v>
      </c>
      <c r="T173">
        <f t="shared" ca="1" si="23"/>
        <v>0.40078346616236671</v>
      </c>
      <c r="V173" s="4">
        <f t="shared" si="21"/>
        <v>41884</v>
      </c>
      <c r="W173" s="5">
        <f t="shared" ca="1" si="19"/>
        <v>0.55610372420431997</v>
      </c>
      <c r="Z173" s="4" t="e">
        <f ca="1">IF(OFFSET('Calc Canada'!$A$1,0,0,300)="",MATCH("Error",AF173,0),OFFSET('Calc Canada'!$A$1,0,0,300))</f>
        <v>#N/A</v>
      </c>
      <c r="AA173" s="5" t="str">
        <f ca="1">IF(OFFSET('Calc Canada'!$A$1,0,MATCH(W$1,'Calc Canada'!$1:$1,0)-1,300)="","",OFFSET('Calc Canada'!$A$1,0,MATCH(W$1,'Calc Canada'!$1:$1,0)-1,300))</f>
        <v/>
      </c>
      <c r="AB173" s="5" t="str">
        <f ca="1">IF(OFFSET('Calc Canada'!$A$1,0,MATCH(X$1,'Calc Canada'!$1:$1,0)-1,300)="","",OFFSET('Calc Canada'!$A$1,0,MATCH(X$1,'Calc Canada'!$1:$1,0)-1,300))</f>
        <v/>
      </c>
      <c r="AC173" t="str">
        <f t="shared" ca="1" si="17"/>
        <v/>
      </c>
      <c r="AD173" t="str">
        <f t="shared" ca="1" si="18"/>
        <v/>
      </c>
    </row>
    <row r="174" spans="1:30" x14ac:dyDescent="0.25">
      <c r="A174" s="4">
        <v>41883</v>
      </c>
      <c r="B174">
        <v>1.4258</v>
      </c>
      <c r="C174" s="5">
        <v>1.5859999999999999</v>
      </c>
      <c r="D174">
        <v>1.8841000000000001</v>
      </c>
      <c r="E174">
        <v>2.1312000000000002</v>
      </c>
      <c r="F174">
        <v>2.4592999999999998</v>
      </c>
      <c r="G174">
        <v>3.0196000000000001</v>
      </c>
      <c r="H174">
        <f t="shared" ca="1" si="23"/>
        <v>0.4225971080238165</v>
      </c>
      <c r="I174">
        <f t="shared" ca="1" si="23"/>
        <v>0.28843734881470756</v>
      </c>
      <c r="J174">
        <f t="shared" ca="1" si="23"/>
        <v>0.18703726941899876</v>
      </c>
      <c r="K174">
        <f t="shared" ca="1" si="23"/>
        <v>0.23909046927914865</v>
      </c>
      <c r="L174">
        <f t="shared" ca="1" si="23"/>
        <v>0.15503827330907272</v>
      </c>
      <c r="M174">
        <f t="shared" ca="1" si="23"/>
        <v>0.28294973090575987</v>
      </c>
      <c r="N174">
        <f t="shared" ca="1" si="23"/>
        <v>0.17236328125000006</v>
      </c>
      <c r="O174">
        <f t="shared" ca="1" si="23"/>
        <v>0.2058602083071901</v>
      </c>
      <c r="P174">
        <f t="shared" ca="1" si="23"/>
        <v>0.22886439732142827</v>
      </c>
      <c r="Q174">
        <f t="shared" ca="1" si="23"/>
        <v>0.28894760017613352</v>
      </c>
      <c r="R174">
        <f t="shared" ca="1" si="23"/>
        <v>0.5479357510352616</v>
      </c>
      <c r="S174">
        <f t="shared" ca="1" si="23"/>
        <v>0.36089848161626281</v>
      </c>
      <c r="T174">
        <f t="shared" ca="1" si="23"/>
        <v>0.40122767857142833</v>
      </c>
      <c r="V174" s="4">
        <f t="shared" si="21"/>
        <v>41883</v>
      </c>
      <c r="W174" s="5">
        <f t="shared" ca="1" si="19"/>
        <v>0.5479357510352616</v>
      </c>
      <c r="Z174" s="4" t="e">
        <f ca="1">IF(OFFSET('Calc Canada'!$A$1,0,0,300)="",MATCH("Error",AF174,0),OFFSET('Calc Canada'!$A$1,0,0,300))</f>
        <v>#N/A</v>
      </c>
      <c r="AA174" s="5" t="str">
        <f ca="1">IF(OFFSET('Calc Canada'!$A$1,0,MATCH(W$1,'Calc Canada'!$1:$1,0)-1,300)="","",OFFSET('Calc Canada'!$A$1,0,MATCH(W$1,'Calc Canada'!$1:$1,0)-1,300))</f>
        <v/>
      </c>
      <c r="AB174" s="5" t="str">
        <f ca="1">IF(OFFSET('Calc Canada'!$A$1,0,MATCH(X$1,'Calc Canada'!$1:$1,0)-1,300)="","",OFFSET('Calc Canada'!$A$1,0,MATCH(X$1,'Calc Canada'!$1:$1,0)-1,300))</f>
        <v/>
      </c>
      <c r="AC174" t="str">
        <f t="shared" ca="1" si="17"/>
        <v/>
      </c>
      <c r="AD174" t="str">
        <f t="shared" ca="1" si="18"/>
        <v/>
      </c>
    </row>
    <row r="175" spans="1:30" x14ac:dyDescent="0.25">
      <c r="A175" s="4">
        <v>41880</v>
      </c>
      <c r="B175">
        <v>1.4258</v>
      </c>
      <c r="C175" s="5">
        <v>1.5899999999999999</v>
      </c>
      <c r="D175">
        <v>1.8868</v>
      </c>
      <c r="E175">
        <v>2.1312000000000002</v>
      </c>
      <c r="F175">
        <v>2.4592999999999998</v>
      </c>
      <c r="G175">
        <v>3.0196000000000001</v>
      </c>
      <c r="H175">
        <f t="shared" ca="1" si="23"/>
        <v>0.42075418202438342</v>
      </c>
      <c r="I175">
        <f t="shared" ca="1" si="23"/>
        <v>0.28717948717948738</v>
      </c>
      <c r="J175">
        <f t="shared" ca="1" si="23"/>
        <v>0.18622160873384375</v>
      </c>
      <c r="K175">
        <f t="shared" ca="1" si="23"/>
        <v>0.23647798742138385</v>
      </c>
      <c r="L175">
        <f t="shared" ca="1" si="23"/>
        <v>0.15334420880913549</v>
      </c>
      <c r="M175">
        <f t="shared" ca="1" si="23"/>
        <v>0.28114574945358356</v>
      </c>
      <c r="N175">
        <f t="shared" ca="1" si="23"/>
        <v>0.17095691102406277</v>
      </c>
      <c r="O175">
        <f t="shared" ca="1" si="23"/>
        <v>0.2058602083071901</v>
      </c>
      <c r="P175">
        <f t="shared" ca="1" si="23"/>
        <v>0.22950475657526551</v>
      </c>
      <c r="Q175">
        <f t="shared" ca="1" si="23"/>
        <v>0.28963629943502789</v>
      </c>
      <c r="R175">
        <f t="shared" ca="1" si="23"/>
        <v>0.5454260258501693</v>
      </c>
      <c r="S175">
        <f t="shared" ca="1" si="23"/>
        <v>0.35920441711632561</v>
      </c>
      <c r="T175">
        <f t="shared" ca="1" si="23"/>
        <v>0.40046166759932827</v>
      </c>
      <c r="V175" s="4">
        <f t="shared" si="21"/>
        <v>41880</v>
      </c>
      <c r="W175" s="5">
        <f t="shared" ca="1" si="19"/>
        <v>0.5454260258501693</v>
      </c>
      <c r="Z175" s="4" t="e">
        <f ca="1">IF(OFFSET('Calc Canada'!$A$1,0,0,300)="",MATCH("Error",AF175,0),OFFSET('Calc Canada'!$A$1,0,0,300))</f>
        <v>#N/A</v>
      </c>
      <c r="AA175" s="5" t="str">
        <f ca="1">IF(OFFSET('Calc Canada'!$A$1,0,MATCH(W$1,'Calc Canada'!$1:$1,0)-1,300)="","",OFFSET('Calc Canada'!$A$1,0,MATCH(W$1,'Calc Canada'!$1:$1,0)-1,300))</f>
        <v/>
      </c>
      <c r="AB175" s="5" t="str">
        <f ca="1">IF(OFFSET('Calc Canada'!$A$1,0,MATCH(X$1,'Calc Canada'!$1:$1,0)-1,300)="","",OFFSET('Calc Canada'!$A$1,0,MATCH(X$1,'Calc Canada'!$1:$1,0)-1,300))</f>
        <v/>
      </c>
      <c r="AC175" t="str">
        <f t="shared" ca="1" si="17"/>
        <v/>
      </c>
      <c r="AD175" t="str">
        <f t="shared" ca="1" si="18"/>
        <v/>
      </c>
    </row>
    <row r="176" spans="1:30" x14ac:dyDescent="0.25">
      <c r="A176" s="4">
        <v>41879</v>
      </c>
      <c r="B176">
        <v>1.4203999999999999</v>
      </c>
      <c r="C176" s="5">
        <v>1.5834999999999999</v>
      </c>
      <c r="D176">
        <v>1.8772</v>
      </c>
      <c r="E176">
        <v>2.1259999999999999</v>
      </c>
      <c r="F176">
        <v>2.4516999999999998</v>
      </c>
      <c r="G176">
        <v>3.0184000000000002</v>
      </c>
      <c r="H176">
        <f t="shared" ca="1" si="23"/>
        <v>0.41624149659863957</v>
      </c>
      <c r="I176">
        <f t="shared" ca="1" si="23"/>
        <v>0.28478619218462148</v>
      </c>
      <c r="J176">
        <f t="shared" ca="1" si="23"/>
        <v>0.18379224030037547</v>
      </c>
      <c r="K176">
        <f t="shared" ca="1" si="23"/>
        <v>0.24124890914379904</v>
      </c>
      <c r="L176">
        <f t="shared" ca="1" si="23"/>
        <v>0.15569461827284095</v>
      </c>
      <c r="M176">
        <f t="shared" ca="1" si="23"/>
        <v>0.28656991476618288</v>
      </c>
      <c r="N176">
        <f t="shared" ca="1" si="23"/>
        <v>0.17339187399818792</v>
      </c>
      <c r="O176">
        <f t="shared" ca="1" si="23"/>
        <v>0.20381727158948673</v>
      </c>
      <c r="P176">
        <f t="shared" ca="1" si="23"/>
        <v>0.22698445884730631</v>
      </c>
      <c r="Q176">
        <f t="shared" ca="1" si="23"/>
        <v>0.28540133193130024</v>
      </c>
      <c r="R176">
        <f t="shared" ca="1" si="23"/>
        <v>0.54330413016270318</v>
      </c>
      <c r="S176">
        <f t="shared" ca="1" si="23"/>
        <v>0.35951188986232768</v>
      </c>
      <c r="T176">
        <f t="shared" ca="1" si="23"/>
        <v>0.40037633284549423</v>
      </c>
      <c r="V176" s="4">
        <f t="shared" si="21"/>
        <v>41879</v>
      </c>
      <c r="W176" s="5">
        <f t="shared" ca="1" si="19"/>
        <v>0.54330413016270318</v>
      </c>
      <c r="Z176" s="4" t="e">
        <f ca="1">IF(OFFSET('Calc Canada'!$A$1,0,0,300)="",MATCH("Error",AF176,0),OFFSET('Calc Canada'!$A$1,0,0,300))</f>
        <v>#N/A</v>
      </c>
      <c r="AA176" s="5" t="str">
        <f ca="1">IF(OFFSET('Calc Canada'!$A$1,0,MATCH(W$1,'Calc Canada'!$1:$1,0)-1,300)="","",OFFSET('Calc Canada'!$A$1,0,MATCH(W$1,'Calc Canada'!$1:$1,0)-1,300))</f>
        <v/>
      </c>
      <c r="AB176" s="5" t="str">
        <f ca="1">IF(OFFSET('Calc Canada'!$A$1,0,MATCH(X$1,'Calc Canada'!$1:$1,0)-1,300)="","",OFFSET('Calc Canada'!$A$1,0,MATCH(X$1,'Calc Canada'!$1:$1,0)-1,300))</f>
        <v/>
      </c>
      <c r="AC176" t="str">
        <f t="shared" ca="1" si="17"/>
        <v/>
      </c>
      <c r="AD176" t="str">
        <f t="shared" ca="1" si="18"/>
        <v/>
      </c>
    </row>
    <row r="177" spans="1:30" x14ac:dyDescent="0.25">
      <c r="A177" s="4">
        <v>41878</v>
      </c>
      <c r="B177">
        <v>1.4224999999999999</v>
      </c>
      <c r="C177" s="5">
        <v>1.5855000000000001</v>
      </c>
      <c r="D177">
        <v>1.8763999999999998</v>
      </c>
      <c r="E177">
        <v>2.1349999999999998</v>
      </c>
      <c r="F177">
        <v>2.4592999999999998</v>
      </c>
      <c r="G177">
        <v>3.0329999999999999</v>
      </c>
      <c r="H177">
        <f t="shared" ca="1" si="23"/>
        <v>0.40828070175438563</v>
      </c>
      <c r="I177">
        <f t="shared" ca="1" si="23"/>
        <v>0.28057484567901209</v>
      </c>
      <c r="J177">
        <f t="shared" ca="1" si="23"/>
        <v>0.18062713443030096</v>
      </c>
      <c r="K177">
        <f t="shared" ca="1" si="23"/>
        <v>0.24942129629629625</v>
      </c>
      <c r="L177">
        <f t="shared" ca="1" si="23"/>
        <v>0.16057125116423468</v>
      </c>
      <c r="M177">
        <f t="shared" ca="1" si="23"/>
        <v>0.29594872968642716</v>
      </c>
      <c r="N177">
        <f t="shared" ca="1" si="23"/>
        <v>0.17865284974093262</v>
      </c>
      <c r="O177">
        <f t="shared" ca="1" si="23"/>
        <v>0.2013660353927352</v>
      </c>
      <c r="P177">
        <f t="shared" ca="1" si="23"/>
        <v>0.22404145077720214</v>
      </c>
      <c r="Q177">
        <f t="shared" ca="1" si="23"/>
        <v>0.28039080062251426</v>
      </c>
      <c r="R177">
        <f t="shared" ca="1" si="23"/>
        <v>0.54256442098727087</v>
      </c>
      <c r="S177">
        <f t="shared" ca="1" si="23"/>
        <v>0.36193728655696988</v>
      </c>
      <c r="T177">
        <f t="shared" ca="1" si="23"/>
        <v>0.40269430051813476</v>
      </c>
      <c r="V177" s="4">
        <f t="shared" si="21"/>
        <v>41878</v>
      </c>
      <c r="W177" s="5">
        <f t="shared" ca="1" si="19"/>
        <v>0.54256442098727087</v>
      </c>
      <c r="Z177" s="4" t="e">
        <f ca="1">IF(OFFSET('Calc Canada'!$A$1,0,0,300)="",MATCH("Error",AF177,0),OFFSET('Calc Canada'!$A$1,0,0,300))</f>
        <v>#N/A</v>
      </c>
      <c r="AA177" s="5" t="str">
        <f ca="1">IF(OFFSET('Calc Canada'!$A$1,0,MATCH(W$1,'Calc Canada'!$1:$1,0)-1,300)="","",OFFSET('Calc Canada'!$A$1,0,MATCH(W$1,'Calc Canada'!$1:$1,0)-1,300))</f>
        <v/>
      </c>
      <c r="AB177" s="5" t="str">
        <f ca="1">IF(OFFSET('Calc Canada'!$A$1,0,MATCH(X$1,'Calc Canada'!$1:$1,0)-1,300)="","",OFFSET('Calc Canada'!$A$1,0,MATCH(X$1,'Calc Canada'!$1:$1,0)-1,300))</f>
        <v/>
      </c>
      <c r="AC177" t="str">
        <f t="shared" ca="1" si="17"/>
        <v/>
      </c>
      <c r="AD177" t="str">
        <f t="shared" ca="1" si="18"/>
        <v/>
      </c>
    </row>
    <row r="178" spans="1:30" x14ac:dyDescent="0.25">
      <c r="A178" s="4">
        <v>41877</v>
      </c>
      <c r="B178">
        <v>1.425</v>
      </c>
      <c r="C178" s="5">
        <v>1.5928</v>
      </c>
      <c r="D178">
        <v>1.9064999999999999</v>
      </c>
      <c r="E178">
        <v>2.1596000000000002</v>
      </c>
      <c r="F178">
        <v>2.4952000000000001</v>
      </c>
      <c r="G178">
        <v>3.0710000000000002</v>
      </c>
      <c r="H178">
        <f t="shared" ca="1" si="23"/>
        <v>0.42703512115436948</v>
      </c>
      <c r="I178">
        <f t="shared" ca="1" si="23"/>
        <v>0.29312278078863752</v>
      </c>
      <c r="J178">
        <f t="shared" ca="1" si="23"/>
        <v>0.19058323207776418</v>
      </c>
      <c r="K178">
        <f t="shared" ca="1" si="23"/>
        <v>0.23649785086899675</v>
      </c>
      <c r="L178">
        <f t="shared" ca="1" si="23"/>
        <v>0.15376670716889448</v>
      </c>
      <c r="M178">
        <f t="shared" ca="1" si="23"/>
        <v>0.28047429078014219</v>
      </c>
      <c r="N178">
        <f t="shared" ca="1" si="23"/>
        <v>0.17122175618996097</v>
      </c>
      <c r="O178">
        <f t="shared" ca="1" si="23"/>
        <v>0.20388821385176176</v>
      </c>
      <c r="P178">
        <f t="shared" ca="1" si="23"/>
        <v>0.22703287782438092</v>
      </c>
      <c r="Q178">
        <f t="shared" ca="1" si="23"/>
        <v>0.28819235723486458</v>
      </c>
      <c r="R178">
        <f t="shared" ca="1" si="23"/>
        <v>0.54823815309842039</v>
      </c>
      <c r="S178">
        <f t="shared" ca="1" si="23"/>
        <v>0.35765492102065627</v>
      </c>
      <c r="T178">
        <f t="shared" ca="1" si="23"/>
        <v>0.39825463401434186</v>
      </c>
      <c r="V178" s="4">
        <f t="shared" si="21"/>
        <v>41877</v>
      </c>
      <c r="W178" s="5">
        <f t="shared" ca="1" si="19"/>
        <v>0.54823815309842039</v>
      </c>
      <c r="Z178" s="4" t="e">
        <f ca="1">IF(OFFSET('Calc Canada'!$A$1,0,0,300)="",MATCH("Error",AF178,0),OFFSET('Calc Canada'!$A$1,0,0,300))</f>
        <v>#N/A</v>
      </c>
      <c r="AA178" s="5" t="str">
        <f ca="1">IF(OFFSET('Calc Canada'!$A$1,0,MATCH(W$1,'Calc Canada'!$1:$1,0)-1,300)="","",OFFSET('Calc Canada'!$A$1,0,MATCH(W$1,'Calc Canada'!$1:$1,0)-1,300))</f>
        <v/>
      </c>
      <c r="AB178" s="5" t="str">
        <f ca="1">IF(OFFSET('Calc Canada'!$A$1,0,MATCH(X$1,'Calc Canada'!$1:$1,0)-1,300)="","",OFFSET('Calc Canada'!$A$1,0,MATCH(X$1,'Calc Canada'!$1:$1,0)-1,300))</f>
        <v/>
      </c>
      <c r="AC178" t="str">
        <f t="shared" ca="1" si="17"/>
        <v/>
      </c>
      <c r="AD178" t="str">
        <f t="shared" ca="1" si="18"/>
        <v/>
      </c>
    </row>
    <row r="179" spans="1:30" x14ac:dyDescent="0.25">
      <c r="A179" s="4">
        <v>41876</v>
      </c>
      <c r="B179">
        <v>1.4106000000000001</v>
      </c>
      <c r="C179" s="5">
        <v>1.5838000000000001</v>
      </c>
      <c r="D179">
        <v>1.9052</v>
      </c>
      <c r="E179">
        <v>2.1623999999999999</v>
      </c>
      <c r="F179">
        <v>2.4870000000000001</v>
      </c>
      <c r="G179">
        <v>3.0630000000000002</v>
      </c>
      <c r="H179">
        <f t="shared" ca="1" si="23"/>
        <v>0.42750731577547219</v>
      </c>
      <c r="I179">
        <f t="shared" ca="1" si="23"/>
        <v>0.29858788554440718</v>
      </c>
      <c r="J179">
        <f t="shared" ca="1" si="23"/>
        <v>0.19450496247881863</v>
      </c>
      <c r="K179">
        <f t="shared" ca="1" si="23"/>
        <v>0.23894463024897794</v>
      </c>
      <c r="L179">
        <f t="shared" ca="1" si="23"/>
        <v>0.15565238441055426</v>
      </c>
      <c r="M179">
        <f t="shared" ca="1" si="23"/>
        <v>0.28476527900797149</v>
      </c>
      <c r="N179">
        <f t="shared" ca="1" si="23"/>
        <v>0.17387777176852343</v>
      </c>
      <c r="O179">
        <f t="shared" ca="1" si="23"/>
        <v>0.19644153957879459</v>
      </c>
      <c r="P179">
        <f t="shared" ca="1" si="23"/>
        <v>0.2194429421308817</v>
      </c>
      <c r="Q179">
        <f t="shared" ca="1" si="23"/>
        <v>0.28035930212471943</v>
      </c>
      <c r="R179">
        <f t="shared" ca="1" si="23"/>
        <v>0.54659888646816746</v>
      </c>
      <c r="S179">
        <f t="shared" ca="1" si="23"/>
        <v>0.35209392398934886</v>
      </c>
      <c r="T179">
        <f t="shared" ca="1" si="23"/>
        <v>0.39332071389940515</v>
      </c>
      <c r="V179" s="4">
        <f t="shared" si="21"/>
        <v>41876</v>
      </c>
      <c r="W179" s="5">
        <f t="shared" ca="1" si="19"/>
        <v>0.54659888646816746</v>
      </c>
      <c r="Z179" s="4" t="e">
        <f ca="1">IF(OFFSET('Calc Canada'!$A$1,0,0,300)="",MATCH("Error",AF179,0),OFFSET('Calc Canada'!$A$1,0,0,300))</f>
        <v>#N/A</v>
      </c>
      <c r="AA179" s="5" t="str">
        <f ca="1">IF(OFFSET('Calc Canada'!$A$1,0,MATCH(W$1,'Calc Canada'!$1:$1,0)-1,300)="","",OFFSET('Calc Canada'!$A$1,0,MATCH(W$1,'Calc Canada'!$1:$1,0)-1,300))</f>
        <v/>
      </c>
      <c r="AB179" s="5" t="str">
        <f ca="1">IF(OFFSET('Calc Canada'!$A$1,0,MATCH(X$1,'Calc Canada'!$1:$1,0)-1,300)="","",OFFSET('Calc Canada'!$A$1,0,MATCH(X$1,'Calc Canada'!$1:$1,0)-1,300))</f>
        <v/>
      </c>
      <c r="AC179" t="str">
        <f t="shared" ca="1" si="17"/>
        <v/>
      </c>
      <c r="AD179" t="str">
        <f t="shared" ca="1" si="18"/>
        <v/>
      </c>
    </row>
    <row r="180" spans="1:30" x14ac:dyDescent="0.25">
      <c r="A180" s="4">
        <v>41873</v>
      </c>
      <c r="B180">
        <v>1.4142000000000001</v>
      </c>
      <c r="C180" s="5">
        <v>1.589</v>
      </c>
      <c r="D180">
        <v>1.9123000000000001</v>
      </c>
      <c r="E180">
        <v>2.1793</v>
      </c>
      <c r="F180">
        <v>2.5219</v>
      </c>
      <c r="G180">
        <v>3.0987999999999998</v>
      </c>
      <c r="H180">
        <f t="shared" ca="1" si="23"/>
        <v>0.42255914259573935</v>
      </c>
      <c r="I180">
        <f t="shared" ca="1" si="23"/>
        <v>0.29186602870813411</v>
      </c>
      <c r="J180">
        <f t="shared" ca="1" si="23"/>
        <v>0.19191499465748557</v>
      </c>
      <c r="K180">
        <f t="shared" ca="1" si="23"/>
        <v>0.24103999277782787</v>
      </c>
      <c r="L180">
        <f t="shared" ca="1" si="23"/>
        <v>0.15849459812418376</v>
      </c>
      <c r="M180">
        <f t="shared" ca="1" si="23"/>
        <v>0.28620430914353079</v>
      </c>
      <c r="N180">
        <f t="shared" ca="1" si="23"/>
        <v>0.17684461518081862</v>
      </c>
      <c r="O180">
        <f t="shared" ca="1" si="23"/>
        <v>0.20337172028968306</v>
      </c>
      <c r="P180">
        <f t="shared" ca="1" si="23"/>
        <v>0.22691747251291566</v>
      </c>
      <c r="Q180">
        <f t="shared" ca="1" si="23"/>
        <v>0.28874841972187115</v>
      </c>
      <c r="R180">
        <f t="shared" ca="1" si="23"/>
        <v>0.55378131307135237</v>
      </c>
      <c r="S180">
        <f t="shared" ca="1" si="23"/>
        <v>0.36186631841386679</v>
      </c>
      <c r="T180">
        <f t="shared" ca="1" si="23"/>
        <v>0.40376208769373428</v>
      </c>
      <c r="V180" s="4">
        <f t="shared" si="21"/>
        <v>41873</v>
      </c>
      <c r="W180" s="5">
        <f t="shared" ca="1" si="19"/>
        <v>0.55378131307135237</v>
      </c>
      <c r="Z180" s="4" t="e">
        <f ca="1">IF(OFFSET('Calc Canada'!$A$1,0,0,300)="",MATCH("Error",AF180,0),OFFSET('Calc Canada'!$A$1,0,0,300))</f>
        <v>#N/A</v>
      </c>
      <c r="AA180" s="5" t="str">
        <f ca="1">IF(OFFSET('Calc Canada'!$A$1,0,MATCH(W$1,'Calc Canada'!$1:$1,0)-1,300)="","",OFFSET('Calc Canada'!$A$1,0,MATCH(W$1,'Calc Canada'!$1:$1,0)-1,300))</f>
        <v/>
      </c>
      <c r="AB180" s="5" t="str">
        <f ca="1">IF(OFFSET('Calc Canada'!$A$1,0,MATCH(X$1,'Calc Canada'!$1:$1,0)-1,300)="","",OFFSET('Calc Canada'!$A$1,0,MATCH(X$1,'Calc Canada'!$1:$1,0)-1,300))</f>
        <v/>
      </c>
      <c r="AC180" t="str">
        <f t="shared" ca="1" si="17"/>
        <v/>
      </c>
      <c r="AD180" t="str">
        <f t="shared" ca="1" si="18"/>
        <v/>
      </c>
    </row>
    <row r="181" spans="1:30" x14ac:dyDescent="0.25">
      <c r="A181" s="4">
        <v>41872</v>
      </c>
      <c r="B181">
        <v>1.4088000000000001</v>
      </c>
      <c r="C181" s="5">
        <v>1.5834000000000001</v>
      </c>
      <c r="D181">
        <v>1.9062000000000001</v>
      </c>
      <c r="E181">
        <v>2.1817000000000002</v>
      </c>
      <c r="F181">
        <v>2.532</v>
      </c>
      <c r="G181">
        <v>3.1143999999999998</v>
      </c>
      <c r="H181">
        <f t="shared" ca="1" si="23"/>
        <v>0.41764781989908129</v>
      </c>
      <c r="I181">
        <f t="shared" ca="1" si="23"/>
        <v>0.28739316239316237</v>
      </c>
      <c r="J181">
        <f t="shared" ca="1" si="23"/>
        <v>0.18925891181988744</v>
      </c>
      <c r="K181">
        <f t="shared" ca="1" si="23"/>
        <v>0.24528133903133911</v>
      </c>
      <c r="L181">
        <f t="shared" ca="1" si="23"/>
        <v>0.16152673545966237</v>
      </c>
      <c r="M181">
        <f t="shared" ca="1" si="23"/>
        <v>0.29042799915665202</v>
      </c>
      <c r="N181">
        <f t="shared" ca="1" si="23"/>
        <v>0.17994774657086879</v>
      </c>
      <c r="O181">
        <f t="shared" ca="1" si="23"/>
        <v>0.20538227016885546</v>
      </c>
      <c r="P181">
        <f t="shared" ca="1" si="23"/>
        <v>0.22880470280862175</v>
      </c>
      <c r="Q181">
        <f t="shared" ca="1" si="23"/>
        <v>0.28993544115212705</v>
      </c>
      <c r="R181">
        <f t="shared" ca="1" si="23"/>
        <v>0.55616791744840521</v>
      </c>
      <c r="S181">
        <f t="shared" ca="1" si="23"/>
        <v>0.3669090056285178</v>
      </c>
      <c r="T181">
        <f t="shared" ca="1" si="23"/>
        <v>0.40875244937949057</v>
      </c>
      <c r="V181" s="4">
        <f t="shared" si="21"/>
        <v>41872</v>
      </c>
      <c r="W181" s="5">
        <f t="shared" ca="1" si="19"/>
        <v>0.55616791744840521</v>
      </c>
      <c r="Z181" s="4" t="e">
        <f ca="1">IF(OFFSET('Calc Canada'!$A$1,0,0,300)="",MATCH("Error",AF181,0),OFFSET('Calc Canada'!$A$1,0,0,300))</f>
        <v>#N/A</v>
      </c>
      <c r="AA181" s="5" t="str">
        <f ca="1">IF(OFFSET('Calc Canada'!$A$1,0,MATCH(W$1,'Calc Canada'!$1:$1,0)-1,300)="","",OFFSET('Calc Canada'!$A$1,0,MATCH(W$1,'Calc Canada'!$1:$1,0)-1,300))</f>
        <v/>
      </c>
      <c r="AB181" s="5" t="str">
        <f ca="1">IF(OFFSET('Calc Canada'!$A$1,0,MATCH(X$1,'Calc Canada'!$1:$1,0)-1,300)="","",OFFSET('Calc Canada'!$A$1,0,MATCH(X$1,'Calc Canada'!$1:$1,0)-1,300))</f>
        <v/>
      </c>
      <c r="AC181" t="str">
        <f t="shared" ca="1" si="17"/>
        <v/>
      </c>
      <c r="AD181" t="str">
        <f t="shared" ca="1" si="18"/>
        <v/>
      </c>
    </row>
    <row r="182" spans="1:30" x14ac:dyDescent="0.25">
      <c r="A182" s="4">
        <v>41871</v>
      </c>
      <c r="B182">
        <v>1.4111</v>
      </c>
      <c r="C182" s="5">
        <v>1.587</v>
      </c>
      <c r="D182">
        <v>1.9152</v>
      </c>
      <c r="E182">
        <v>2.1937000000000002</v>
      </c>
      <c r="F182">
        <v>2.5476999999999999</v>
      </c>
      <c r="G182">
        <v>3.1310000000000002</v>
      </c>
      <c r="H182">
        <f t="shared" ca="1" si="23"/>
        <v>0.41937132634807051</v>
      </c>
      <c r="I182">
        <f t="shared" ca="1" si="23"/>
        <v>0.28875593876473704</v>
      </c>
      <c r="J182">
        <f t="shared" ca="1" si="23"/>
        <v>0.19082504796790511</v>
      </c>
      <c r="K182">
        <f t="shared" ca="1" si="23"/>
        <v>0.24502903396093634</v>
      </c>
      <c r="L182">
        <f t="shared" ca="1" si="23"/>
        <v>0.16192801907087631</v>
      </c>
      <c r="M182">
        <f t="shared" ca="1" si="23"/>
        <v>0.2898927865098368</v>
      </c>
      <c r="N182">
        <f t="shared" ca="1" si="23"/>
        <v>0.18037564766839387</v>
      </c>
      <c r="O182">
        <f t="shared" ca="1" si="23"/>
        <v>0.20582592011163417</v>
      </c>
      <c r="P182">
        <f t="shared" ca="1" si="23"/>
        <v>0.22927461139896346</v>
      </c>
      <c r="Q182">
        <f t="shared" ca="1" si="23"/>
        <v>0.29116631024839579</v>
      </c>
      <c r="R182">
        <f t="shared" ca="1" si="23"/>
        <v>0.55857898715041554</v>
      </c>
      <c r="S182">
        <f t="shared" ca="1" si="23"/>
        <v>0.36775393918251048</v>
      </c>
      <c r="T182">
        <f t="shared" ca="1" si="23"/>
        <v>0.40965025906735736</v>
      </c>
      <c r="V182" s="4">
        <f t="shared" si="21"/>
        <v>41871</v>
      </c>
      <c r="W182" s="5">
        <f t="shared" ca="1" si="19"/>
        <v>0.55857898715041554</v>
      </c>
      <c r="Z182" s="4" t="e">
        <f ca="1">IF(OFFSET('Calc Canada'!$A$1,0,0,300)="",MATCH("Error",AF182,0),OFFSET('Calc Canada'!$A$1,0,0,300))</f>
        <v>#N/A</v>
      </c>
      <c r="AA182" s="5" t="str">
        <f ca="1">IF(OFFSET('Calc Canada'!$A$1,0,MATCH(W$1,'Calc Canada'!$1:$1,0)-1,300)="","",OFFSET('Calc Canada'!$A$1,0,MATCH(W$1,'Calc Canada'!$1:$1,0)-1,300))</f>
        <v/>
      </c>
      <c r="AB182" s="5" t="str">
        <f ca="1">IF(OFFSET('Calc Canada'!$A$1,0,MATCH(X$1,'Calc Canada'!$1:$1,0)-1,300)="","",OFFSET('Calc Canada'!$A$1,0,MATCH(X$1,'Calc Canada'!$1:$1,0)-1,300))</f>
        <v/>
      </c>
      <c r="AC182" t="str">
        <f t="shared" ca="1" si="17"/>
        <v/>
      </c>
      <c r="AD182" t="str">
        <f t="shared" ca="1" si="18"/>
        <v/>
      </c>
    </row>
    <row r="183" spans="1:30" x14ac:dyDescent="0.25">
      <c r="A183" s="4">
        <v>41870</v>
      </c>
      <c r="B183">
        <v>1.3927</v>
      </c>
      <c r="C183" s="5">
        <v>1.5657999999999999</v>
      </c>
      <c r="D183">
        <v>1.8885000000000001</v>
      </c>
      <c r="E183">
        <v>2.1659999999999999</v>
      </c>
      <c r="F183">
        <v>2.5230000000000001</v>
      </c>
      <c r="G183">
        <v>3.1015000000000001</v>
      </c>
      <c r="H183">
        <f t="shared" ca="1" si="23"/>
        <v>0.41730246993404924</v>
      </c>
      <c r="I183">
        <f t="shared" ca="1" si="23"/>
        <v>0.28549942493143432</v>
      </c>
      <c r="J183">
        <f t="shared" ca="1" si="23"/>
        <v>0.18884597378277165</v>
      </c>
      <c r="K183">
        <f t="shared" ca="1" si="23"/>
        <v>0.24551004158188078</v>
      </c>
      <c r="L183">
        <f t="shared" ca="1" si="23"/>
        <v>0.16239466292134822</v>
      </c>
      <c r="M183">
        <f t="shared" ca="1" si="23"/>
        <v>0.28990806519013768</v>
      </c>
      <c r="N183">
        <f t="shared" ca="1" si="23"/>
        <v>0.18069935534284026</v>
      </c>
      <c r="O183">
        <f t="shared" ca="1" si="23"/>
        <v>0.20891853932584281</v>
      </c>
      <c r="P183">
        <f t="shared" ca="1" si="23"/>
        <v>0.23246727876538395</v>
      </c>
      <c r="Q183">
        <f t="shared" ca="1" si="23"/>
        <v>0.29431162407254757</v>
      </c>
      <c r="R183">
        <f t="shared" ca="1" si="23"/>
        <v>0.56015917602996268</v>
      </c>
      <c r="S183">
        <f t="shared" ca="1" si="23"/>
        <v>0.37131320224719105</v>
      </c>
      <c r="T183">
        <f t="shared" ca="1" si="23"/>
        <v>0.41316663410822424</v>
      </c>
      <c r="V183" s="4">
        <f t="shared" si="21"/>
        <v>41870</v>
      </c>
      <c r="W183" s="5">
        <f t="shared" ca="1" si="19"/>
        <v>0.56015917602996268</v>
      </c>
      <c r="Z183" s="4" t="e">
        <f ca="1">IF(OFFSET('Calc Canada'!$A$1,0,0,300)="",MATCH("Error",AF183,0),OFFSET('Calc Canada'!$A$1,0,0,300))</f>
        <v>#N/A</v>
      </c>
      <c r="AA183" s="5" t="str">
        <f ca="1">IF(OFFSET('Calc Canada'!$A$1,0,MATCH(W$1,'Calc Canada'!$1:$1,0)-1,300)="","",OFFSET('Calc Canada'!$A$1,0,MATCH(W$1,'Calc Canada'!$1:$1,0)-1,300))</f>
        <v/>
      </c>
      <c r="AB183" s="5" t="str">
        <f ca="1">IF(OFFSET('Calc Canada'!$A$1,0,MATCH(X$1,'Calc Canada'!$1:$1,0)-1,300)="","",OFFSET('Calc Canada'!$A$1,0,MATCH(X$1,'Calc Canada'!$1:$1,0)-1,300))</f>
        <v/>
      </c>
      <c r="AC183" t="str">
        <f t="shared" ca="1" si="17"/>
        <v/>
      </c>
      <c r="AD183" t="str">
        <f t="shared" ca="1" si="18"/>
        <v/>
      </c>
    </row>
    <row r="184" spans="1:30" x14ac:dyDescent="0.25">
      <c r="A184" s="4">
        <v>41869</v>
      </c>
      <c r="B184">
        <v>1.3951</v>
      </c>
      <c r="C184" s="5">
        <v>1.5674999999999999</v>
      </c>
      <c r="D184">
        <v>1.88</v>
      </c>
      <c r="E184">
        <v>2.1587000000000001</v>
      </c>
      <c r="F184">
        <v>2.5194999999999999</v>
      </c>
      <c r="G184">
        <v>3.1019999999999999</v>
      </c>
      <c r="H184">
        <f t="shared" ca="1" si="23"/>
        <v>0.40924567836563641</v>
      </c>
      <c r="I184">
        <f t="shared" ca="1" si="23"/>
        <v>0.27792600498043407</v>
      </c>
      <c r="J184">
        <f t="shared" ca="1" si="23"/>
        <v>0.18308043822133693</v>
      </c>
      <c r="K184">
        <f t="shared" ca="1" si="23"/>
        <v>0.24786552828175046</v>
      </c>
      <c r="L184">
        <f t="shared" ca="1" si="23"/>
        <v>0.16327845802331722</v>
      </c>
      <c r="M184">
        <f t="shared" ca="1" si="23"/>
        <v>0.29275210084033632</v>
      </c>
      <c r="N184">
        <f t="shared" ca="1" si="23"/>
        <v>0.18162267839687207</v>
      </c>
      <c r="O184">
        <f t="shared" ca="1" si="23"/>
        <v>0.21137735075282665</v>
      </c>
      <c r="P184">
        <f t="shared" ca="1" si="23"/>
        <v>0.23512544802867369</v>
      </c>
      <c r="Q184">
        <f t="shared" ca="1" si="23"/>
        <v>0.29525368248772488</v>
      </c>
      <c r="R184">
        <f t="shared" ca="1" si="23"/>
        <v>0.55773624699748081</v>
      </c>
      <c r="S184">
        <f t="shared" ca="1" si="23"/>
        <v>0.37465580877614391</v>
      </c>
      <c r="T184">
        <f t="shared" ca="1" si="23"/>
        <v>0.41674812642554576</v>
      </c>
      <c r="V184" s="4">
        <f t="shared" si="21"/>
        <v>41869</v>
      </c>
      <c r="W184" s="5">
        <f t="shared" ca="1" si="19"/>
        <v>0.55773624699748081</v>
      </c>
      <c r="Z184" s="4" t="e">
        <f ca="1">IF(OFFSET('Calc Canada'!$A$1,0,0,300)="",MATCH("Error",AF184,0),OFFSET('Calc Canada'!$A$1,0,0,300))</f>
        <v>#N/A</v>
      </c>
      <c r="AA184" s="5" t="str">
        <f ca="1">IF(OFFSET('Calc Canada'!$A$1,0,MATCH(W$1,'Calc Canada'!$1:$1,0)-1,300)="","",OFFSET('Calc Canada'!$A$1,0,MATCH(W$1,'Calc Canada'!$1:$1,0)-1,300))</f>
        <v/>
      </c>
      <c r="AB184" s="5" t="str">
        <f ca="1">IF(OFFSET('Calc Canada'!$A$1,0,MATCH(X$1,'Calc Canada'!$1:$1,0)-1,300)="","",OFFSET('Calc Canada'!$A$1,0,MATCH(X$1,'Calc Canada'!$1:$1,0)-1,300))</f>
        <v/>
      </c>
      <c r="AC184" t="str">
        <f t="shared" ca="1" si="17"/>
        <v/>
      </c>
      <c r="AD184" t="str">
        <f t="shared" ca="1" si="18"/>
        <v/>
      </c>
    </row>
    <row r="185" spans="1:30" x14ac:dyDescent="0.25">
      <c r="A185" s="4">
        <v>41866</v>
      </c>
      <c r="B185">
        <v>1.3794</v>
      </c>
      <c r="C185" s="5">
        <v>1.5575000000000001</v>
      </c>
      <c r="D185">
        <v>1.8460000000000001</v>
      </c>
      <c r="E185">
        <v>2.1211000000000002</v>
      </c>
      <c r="F185">
        <v>2.4822000000000002</v>
      </c>
      <c r="G185">
        <v>3.0701999999999998</v>
      </c>
      <c r="H185">
        <f t="shared" ca="1" si="23"/>
        <v>0.38897128218956434</v>
      </c>
      <c r="I185">
        <f t="shared" ca="1" si="23"/>
        <v>0.26160681900616606</v>
      </c>
      <c r="J185">
        <f t="shared" ca="1" si="23"/>
        <v>0.17062928791104803</v>
      </c>
      <c r="K185">
        <f t="shared" ca="1" si="23"/>
        <v>0.24945593035908603</v>
      </c>
      <c r="L185">
        <f t="shared" ca="1" si="23"/>
        <v>0.16270404542228539</v>
      </c>
      <c r="M185">
        <f t="shared" ca="1" si="23"/>
        <v>0.2975018925056776</v>
      </c>
      <c r="N185">
        <f t="shared" ca="1" si="23"/>
        <v>0.18186024988431293</v>
      </c>
      <c r="O185">
        <f t="shared" ca="1" si="23"/>
        <v>0.21356754199195646</v>
      </c>
      <c r="P185">
        <f t="shared" ca="1" si="23"/>
        <v>0.23871223639849279</v>
      </c>
      <c r="Q185">
        <f t="shared" ca="1" si="23"/>
        <v>0.29496814246038233</v>
      </c>
      <c r="R185">
        <f t="shared" ca="1" si="23"/>
        <v>0.54690087532528986</v>
      </c>
      <c r="S185">
        <f t="shared" ca="1" si="23"/>
        <v>0.37627158741424188</v>
      </c>
      <c r="T185">
        <f t="shared" ca="1" si="23"/>
        <v>0.42057248628280575</v>
      </c>
      <c r="V185" s="4">
        <f t="shared" si="21"/>
        <v>41866</v>
      </c>
      <c r="W185" s="5">
        <f t="shared" ca="1" si="19"/>
        <v>0.54690087532528986</v>
      </c>
      <c r="Z185" s="4" t="e">
        <f ca="1">IF(OFFSET('Calc Canada'!$A$1,0,0,300)="",MATCH("Error",AF185,0),OFFSET('Calc Canada'!$A$1,0,0,300))</f>
        <v>#N/A</v>
      </c>
      <c r="AA185" s="5" t="str">
        <f ca="1">IF(OFFSET('Calc Canada'!$A$1,0,MATCH(W$1,'Calc Canada'!$1:$1,0)-1,300)="","",OFFSET('Calc Canada'!$A$1,0,MATCH(W$1,'Calc Canada'!$1:$1,0)-1,300))</f>
        <v/>
      </c>
      <c r="AB185" s="5" t="str">
        <f ca="1">IF(OFFSET('Calc Canada'!$A$1,0,MATCH(X$1,'Calc Canada'!$1:$1,0)-1,300)="","",OFFSET('Calc Canada'!$A$1,0,MATCH(X$1,'Calc Canada'!$1:$1,0)-1,300))</f>
        <v/>
      </c>
      <c r="AC185" t="str">
        <f t="shared" ca="1" si="17"/>
        <v/>
      </c>
      <c r="AD185" t="str">
        <f t="shared" ca="1" si="18"/>
        <v/>
      </c>
    </row>
    <row r="186" spans="1:30" x14ac:dyDescent="0.25">
      <c r="A186" s="4">
        <v>41865</v>
      </c>
      <c r="B186">
        <v>1.3900999999999999</v>
      </c>
      <c r="C186" s="5">
        <v>1.5625</v>
      </c>
      <c r="D186">
        <v>1.875</v>
      </c>
      <c r="E186">
        <v>2.1671999999999998</v>
      </c>
      <c r="F186">
        <v>2.5350000000000001</v>
      </c>
      <c r="G186">
        <v>3.1177999999999999</v>
      </c>
      <c r="H186">
        <f t="shared" ca="1" si="23"/>
        <v>0.40213614721400082</v>
      </c>
      <c r="I186">
        <f t="shared" ca="1" si="23"/>
        <v>0.27294960258537859</v>
      </c>
      <c r="J186">
        <f t="shared" ca="1" si="23"/>
        <v>0.18087630954448111</v>
      </c>
      <c r="K186">
        <f t="shared" ca="1" si="23"/>
        <v>0.25521879640143219</v>
      </c>
      <c r="L186">
        <f t="shared" ca="1" si="23"/>
        <v>0.1691265844764715</v>
      </c>
      <c r="M186">
        <f t="shared" ca="1" si="23"/>
        <v>0.30046272493573239</v>
      </c>
      <c r="N186">
        <f t="shared" ca="1" si="23"/>
        <v>0.18787372211148962</v>
      </c>
      <c r="O186">
        <f t="shared" ca="1" si="23"/>
        <v>0.21288418128147268</v>
      </c>
      <c r="P186">
        <f t="shared" ca="1" si="23"/>
        <v>0.23648170770912388</v>
      </c>
      <c r="Q186">
        <f t="shared" ca="1" si="23"/>
        <v>0.29594464113292596</v>
      </c>
      <c r="R186">
        <f t="shared" ca="1" si="23"/>
        <v>0.56288707530242532</v>
      </c>
      <c r="S186">
        <f t="shared" ca="1" si="23"/>
        <v>0.38201076575794418</v>
      </c>
      <c r="T186">
        <f t="shared" ca="1" si="23"/>
        <v>0.42435542982061353</v>
      </c>
      <c r="V186" s="4">
        <f t="shared" si="21"/>
        <v>41865</v>
      </c>
      <c r="W186" s="5">
        <f t="shared" ca="1" si="19"/>
        <v>0.56288707530242532</v>
      </c>
      <c r="Z186" s="4" t="e">
        <f ca="1">IF(OFFSET('Calc Canada'!$A$1,0,0,300)="",MATCH("Error",AF186,0),OFFSET('Calc Canada'!$A$1,0,0,300))</f>
        <v>#N/A</v>
      </c>
      <c r="AA186" s="5" t="str">
        <f ca="1">IF(OFFSET('Calc Canada'!$A$1,0,MATCH(W$1,'Calc Canada'!$1:$1,0)-1,300)="","",OFFSET('Calc Canada'!$A$1,0,MATCH(W$1,'Calc Canada'!$1:$1,0)-1,300))</f>
        <v/>
      </c>
      <c r="AB186" s="5" t="str">
        <f ca="1">IF(OFFSET('Calc Canada'!$A$1,0,MATCH(X$1,'Calc Canada'!$1:$1,0)-1,300)="","",OFFSET('Calc Canada'!$A$1,0,MATCH(X$1,'Calc Canada'!$1:$1,0)-1,300))</f>
        <v/>
      </c>
      <c r="AC186" t="str">
        <f t="shared" ca="1" si="17"/>
        <v/>
      </c>
      <c r="AD186" t="str">
        <f t="shared" ca="1" si="18"/>
        <v/>
      </c>
    </row>
    <row r="187" spans="1:30" x14ac:dyDescent="0.25">
      <c r="A187" s="4">
        <v>41864</v>
      </c>
      <c r="B187">
        <v>1.3921000000000001</v>
      </c>
      <c r="C187" s="5">
        <v>1.5779000000000001</v>
      </c>
      <c r="D187">
        <v>1.9</v>
      </c>
      <c r="E187">
        <v>2.1825000000000001</v>
      </c>
      <c r="F187">
        <v>2.5503</v>
      </c>
      <c r="G187">
        <v>3.1425000000000001</v>
      </c>
      <c r="H187">
        <f t="shared" ca="1" si="23"/>
        <v>0.40751518218623461</v>
      </c>
      <c r="I187">
        <f t="shared" ca="1" si="23"/>
        <v>0.27810395441201852</v>
      </c>
      <c r="J187">
        <f t="shared" ca="1" si="23"/>
        <v>0.18401508226691032</v>
      </c>
      <c r="K187">
        <f t="shared" ca="1" si="23"/>
        <v>0.2439129683992404</v>
      </c>
      <c r="L187">
        <f t="shared" ca="1" si="23"/>
        <v>0.16139168190127981</v>
      </c>
      <c r="M187">
        <f t="shared" ca="1" si="23"/>
        <v>0.29051830522418781</v>
      </c>
      <c r="N187">
        <f t="shared" ca="1" si="23"/>
        <v>0.18055733094720708</v>
      </c>
      <c r="O187">
        <f t="shared" ca="1" si="23"/>
        <v>0.21012340036563065</v>
      </c>
      <c r="P187">
        <f t="shared" ca="1" si="23"/>
        <v>0.23507605777834584</v>
      </c>
      <c r="Q187">
        <f t="shared" ca="1" si="23"/>
        <v>0.29601609657947675</v>
      </c>
      <c r="R187">
        <f t="shared" ca="1" si="23"/>
        <v>0.55553016453382087</v>
      </c>
      <c r="S187">
        <f t="shared" ca="1" si="23"/>
        <v>0.37151508226691049</v>
      </c>
      <c r="T187">
        <f t="shared" ca="1" si="23"/>
        <v>0.41563338872555294</v>
      </c>
      <c r="V187" s="4">
        <f t="shared" si="21"/>
        <v>41864</v>
      </c>
      <c r="W187" s="5">
        <f t="shared" ca="1" si="19"/>
        <v>0.55553016453382087</v>
      </c>
      <c r="Z187" s="4" t="e">
        <f ca="1">IF(OFFSET('Calc Canada'!$A$1,0,0,300)="",MATCH("Error",AF187,0),OFFSET('Calc Canada'!$A$1,0,0,300))</f>
        <v>#N/A</v>
      </c>
      <c r="AA187" s="5" t="str">
        <f ca="1">IF(OFFSET('Calc Canada'!$A$1,0,MATCH(W$1,'Calc Canada'!$1:$1,0)-1,300)="","",OFFSET('Calc Canada'!$A$1,0,MATCH(W$1,'Calc Canada'!$1:$1,0)-1,300))</f>
        <v/>
      </c>
      <c r="AB187" s="5" t="str">
        <f ca="1">IF(OFFSET('Calc Canada'!$A$1,0,MATCH(X$1,'Calc Canada'!$1:$1,0)-1,300)="","",OFFSET('Calc Canada'!$A$1,0,MATCH(X$1,'Calc Canada'!$1:$1,0)-1,300))</f>
        <v/>
      </c>
      <c r="AC187" t="str">
        <f t="shared" ca="1" si="17"/>
        <v/>
      </c>
      <c r="AD187" t="str">
        <f t="shared" ca="1" si="18"/>
        <v/>
      </c>
    </row>
    <row r="188" spans="1:30" x14ac:dyDescent="0.25">
      <c r="A188" s="4">
        <v>41863</v>
      </c>
      <c r="B188">
        <v>1.4115</v>
      </c>
      <c r="C188" s="5">
        <v>1.593</v>
      </c>
      <c r="D188">
        <v>1.9350000000000001</v>
      </c>
      <c r="E188">
        <v>2.2147999999999999</v>
      </c>
      <c r="F188">
        <v>2.5807000000000002</v>
      </c>
      <c r="G188">
        <v>3.1635</v>
      </c>
      <c r="H188">
        <f t="shared" ca="1" si="23"/>
        <v>0.42574380679696266</v>
      </c>
      <c r="I188">
        <f t="shared" ca="1" si="23"/>
        <v>0.29250769757098871</v>
      </c>
      <c r="J188">
        <f t="shared" ca="1" si="23"/>
        <v>0.19520547945205485</v>
      </c>
      <c r="K188">
        <f t="shared" ca="1" si="23"/>
        <v>0.2393089291823467</v>
      </c>
      <c r="L188">
        <f t="shared" ca="1" si="23"/>
        <v>0.15970319634703187</v>
      </c>
      <c r="M188">
        <f t="shared" ca="1" si="23"/>
        <v>0.28328439809658779</v>
      </c>
      <c r="N188">
        <f t="shared" ca="1" si="23"/>
        <v>0.17815982171283021</v>
      </c>
      <c r="O188">
        <f t="shared" ca="1" si="23"/>
        <v>0.20884703196347051</v>
      </c>
      <c r="P188">
        <f t="shared" ca="1" si="23"/>
        <v>0.23298312639286872</v>
      </c>
      <c r="Q188">
        <f t="shared" ca="1" si="23"/>
        <v>0.29784289784289814</v>
      </c>
      <c r="R188">
        <f t="shared" ca="1" si="23"/>
        <v>0.56375570776255723</v>
      </c>
      <c r="S188">
        <f t="shared" ca="1" si="23"/>
        <v>0.36855022831050238</v>
      </c>
      <c r="T188">
        <f t="shared" ca="1" si="23"/>
        <v>0.4111429481056989</v>
      </c>
      <c r="V188" s="4">
        <f t="shared" si="21"/>
        <v>41863</v>
      </c>
      <c r="W188" s="5">
        <f t="shared" ca="1" si="19"/>
        <v>0.56375570776255723</v>
      </c>
      <c r="Z188" s="4" t="e">
        <f ca="1">IF(OFFSET('Calc Canada'!$A$1,0,0,300)="",MATCH("Error",AF188,0),OFFSET('Calc Canada'!$A$1,0,0,300))</f>
        <v>#N/A</v>
      </c>
      <c r="AA188" s="5" t="str">
        <f ca="1">IF(OFFSET('Calc Canada'!$A$1,0,MATCH(W$1,'Calc Canada'!$1:$1,0)-1,300)="","",OFFSET('Calc Canada'!$A$1,0,MATCH(W$1,'Calc Canada'!$1:$1,0)-1,300))</f>
        <v/>
      </c>
      <c r="AB188" s="5" t="str">
        <f ca="1">IF(OFFSET('Calc Canada'!$A$1,0,MATCH(X$1,'Calc Canada'!$1:$1,0)-1,300)="","",OFFSET('Calc Canada'!$A$1,0,MATCH(X$1,'Calc Canada'!$1:$1,0)-1,300))</f>
        <v/>
      </c>
      <c r="AC188" t="str">
        <f t="shared" ca="1" si="17"/>
        <v/>
      </c>
      <c r="AD188" t="str">
        <f t="shared" ca="1" si="18"/>
        <v/>
      </c>
    </row>
    <row r="189" spans="1:30" x14ac:dyDescent="0.25">
      <c r="A189" s="4">
        <v>41862</v>
      </c>
      <c r="B189">
        <v>1.3868</v>
      </c>
      <c r="C189" s="5">
        <v>1.5630999999999999</v>
      </c>
      <c r="D189">
        <v>1.8881999999999999</v>
      </c>
      <c r="E189">
        <v>2.1755</v>
      </c>
      <c r="F189">
        <v>2.5430000000000001</v>
      </c>
      <c r="G189">
        <v>3.1339999999999999</v>
      </c>
      <c r="H189">
        <f t="shared" ref="H189:T204" ca="1" si="24">IF(ISERROR(ABS(OFFSET($A$11,ROW()-11,MATCH(LEFT(H$9,2),$A$11:$G$11,0)-1)-OFFSET($A$11,ROW()-11,MATCH(RIGHT(H$9,2),$A$11:$G$11,0)-1))/ABS(OFFSET($A$11,ROW()-11,MATCH(LEFT(H$10,2),$A$11:$G$11,0)-1)-OFFSET($A$11,ROW()-11,MATCH(RIGHT(H$10,2),$A$11:$G$11,0)-1))),"",ABS(OFFSET($A$11,ROW()-11,MATCH(LEFT(H$9,2),$A$11:$G$11,0)-1)-OFFSET($A$11,ROW()-11,MATCH(RIGHT(H$9,2),$A$11:$G$11,0)-1))/ABS(OFFSET($A$11,ROW()-11,MATCH(LEFT(H$10,2),$A$11:$G$11,0)-1)-OFFSET($A$11,ROW()-11,MATCH(RIGHT(H$10,2),$A$11:$G$11,0)-1)))</f>
        <v>0.41219728667427408</v>
      </c>
      <c r="I189">
        <f t="shared" ca="1" si="24"/>
        <v>0.28117972669088387</v>
      </c>
      <c r="J189">
        <f t="shared" ca="1" si="24"/>
        <v>0.18606913919413917</v>
      </c>
      <c r="K189">
        <f t="shared" ca="1" si="24"/>
        <v>0.24848642103442317</v>
      </c>
      <c r="L189">
        <f t="shared" ca="1" si="24"/>
        <v>0.16443452380952389</v>
      </c>
      <c r="M189">
        <f t="shared" ca="1" si="24"/>
        <v>0.2931931829778549</v>
      </c>
      <c r="N189">
        <f t="shared" ca="1" si="24"/>
        <v>0.18288878986568216</v>
      </c>
      <c r="O189">
        <f t="shared" ca="1" si="24"/>
        <v>0.21033653846153857</v>
      </c>
      <c r="P189">
        <f t="shared" ca="1" si="24"/>
        <v>0.23394232605512774</v>
      </c>
      <c r="Q189">
        <f t="shared" ca="1" si="24"/>
        <v>0.2949911703323167</v>
      </c>
      <c r="R189">
        <f t="shared" ca="1" si="24"/>
        <v>0.56084020146520164</v>
      </c>
      <c r="S189">
        <f t="shared" ca="1" si="24"/>
        <v>0.37477106227106244</v>
      </c>
      <c r="T189">
        <f t="shared" ca="1" si="24"/>
        <v>0.4168311159208099</v>
      </c>
      <c r="V189" s="4">
        <f t="shared" si="21"/>
        <v>41862</v>
      </c>
      <c r="W189" s="5">
        <f t="shared" ca="1" si="19"/>
        <v>0.56084020146520164</v>
      </c>
      <c r="Z189" s="4" t="e">
        <f ca="1">IF(OFFSET('Calc Canada'!$A$1,0,0,300)="",MATCH("Error",AF189,0),OFFSET('Calc Canada'!$A$1,0,0,300))</f>
        <v>#N/A</v>
      </c>
      <c r="AA189" s="5" t="str">
        <f ca="1">IF(OFFSET('Calc Canada'!$A$1,0,MATCH(W$1,'Calc Canada'!$1:$1,0)-1,300)="","",OFFSET('Calc Canada'!$A$1,0,MATCH(W$1,'Calc Canada'!$1:$1,0)-1,300))</f>
        <v/>
      </c>
      <c r="AB189" s="5" t="str">
        <f ca="1">IF(OFFSET('Calc Canada'!$A$1,0,MATCH(X$1,'Calc Canada'!$1:$1,0)-1,300)="","",OFFSET('Calc Canada'!$A$1,0,MATCH(X$1,'Calc Canada'!$1:$1,0)-1,300))</f>
        <v/>
      </c>
      <c r="AC189" t="str">
        <f t="shared" ca="1" si="17"/>
        <v/>
      </c>
      <c r="AD189" t="str">
        <f t="shared" ca="1" si="18"/>
        <v/>
      </c>
    </row>
    <row r="190" spans="1:30" x14ac:dyDescent="0.25">
      <c r="A190" s="4">
        <v>41859</v>
      </c>
      <c r="B190">
        <v>1.3778000000000001</v>
      </c>
      <c r="C190" s="5">
        <v>1.5483</v>
      </c>
      <c r="D190">
        <v>1.8593999999999999</v>
      </c>
      <c r="E190">
        <v>2.1471</v>
      </c>
      <c r="F190">
        <v>2.5160999999999998</v>
      </c>
      <c r="G190">
        <v>3.1122999999999998</v>
      </c>
      <c r="H190">
        <f t="shared" ca="1" si="24"/>
        <v>0.40439360457558815</v>
      </c>
      <c r="I190">
        <f t="shared" ca="1" si="24"/>
        <v>0.27330229289291053</v>
      </c>
      <c r="J190">
        <f t="shared" ca="1" si="24"/>
        <v>0.17936004612280196</v>
      </c>
      <c r="K190">
        <f t="shared" ca="1" si="24"/>
        <v>0.25274532197136096</v>
      </c>
      <c r="L190">
        <f t="shared" ca="1" si="24"/>
        <v>0.16586912654943795</v>
      </c>
      <c r="M190">
        <f t="shared" ca="1" si="24"/>
        <v>0.29727216367017995</v>
      </c>
      <c r="N190">
        <f t="shared" ca="1" si="24"/>
        <v>0.18395140664961643</v>
      </c>
      <c r="O190">
        <f t="shared" ca="1" si="24"/>
        <v>0.21274142404151042</v>
      </c>
      <c r="P190">
        <f t="shared" ca="1" si="24"/>
        <v>0.235933503836317</v>
      </c>
      <c r="Q190">
        <f t="shared" ca="1" si="24"/>
        <v>0.29451672120680006</v>
      </c>
      <c r="R190">
        <f t="shared" ca="1" si="24"/>
        <v>0.55797059671375038</v>
      </c>
      <c r="S190">
        <f t="shared" ca="1" si="24"/>
        <v>0.37861055059094839</v>
      </c>
      <c r="T190">
        <f t="shared" ca="1" si="24"/>
        <v>0.41988491048593346</v>
      </c>
      <c r="V190" s="4">
        <f t="shared" si="21"/>
        <v>41859</v>
      </c>
      <c r="W190" s="5">
        <f t="shared" ca="1" si="19"/>
        <v>0.55797059671375038</v>
      </c>
      <c r="Z190" s="4" t="e">
        <f ca="1">IF(OFFSET('Calc Canada'!$A$1,0,0,300)="",MATCH("Error",AF190,0),OFFSET('Calc Canada'!$A$1,0,0,300))</f>
        <v>#N/A</v>
      </c>
      <c r="AA190" s="5" t="str">
        <f ca="1">IF(OFFSET('Calc Canada'!$A$1,0,MATCH(W$1,'Calc Canada'!$1:$1,0)-1,300)="","",OFFSET('Calc Canada'!$A$1,0,MATCH(W$1,'Calc Canada'!$1:$1,0)-1,300))</f>
        <v/>
      </c>
      <c r="AB190" s="5" t="str">
        <f ca="1">IF(OFFSET('Calc Canada'!$A$1,0,MATCH(X$1,'Calc Canada'!$1:$1,0)-1,300)="","",OFFSET('Calc Canada'!$A$1,0,MATCH(X$1,'Calc Canada'!$1:$1,0)-1,300))</f>
        <v/>
      </c>
      <c r="AC190" t="str">
        <f t="shared" ca="1" si="17"/>
        <v/>
      </c>
      <c r="AD190" t="str">
        <f t="shared" ca="1" si="18"/>
        <v/>
      </c>
    </row>
    <row r="191" spans="1:30" x14ac:dyDescent="0.25">
      <c r="A191" s="4">
        <v>41858</v>
      </c>
      <c r="B191">
        <v>1.3892</v>
      </c>
      <c r="C191" s="5">
        <v>1.5666</v>
      </c>
      <c r="D191">
        <v>1.8698000000000001</v>
      </c>
      <c r="E191">
        <v>2.1598999999999999</v>
      </c>
      <c r="F191">
        <v>2.5286999999999997</v>
      </c>
      <c r="G191">
        <v>3.1105999999999998</v>
      </c>
      <c r="H191">
        <f t="shared" ca="1" si="24"/>
        <v>0.39340858959387592</v>
      </c>
      <c r="I191">
        <f t="shared" ca="1" si="24"/>
        <v>0.26608161474330866</v>
      </c>
      <c r="J191">
        <f t="shared" ca="1" si="24"/>
        <v>0.17613570349715357</v>
      </c>
      <c r="K191">
        <f t="shared" ca="1" si="24"/>
        <v>0.25458534444931974</v>
      </c>
      <c r="L191">
        <f t="shared" ca="1" si="24"/>
        <v>0.16852561868246765</v>
      </c>
      <c r="M191">
        <f t="shared" ca="1" si="24"/>
        <v>0.30152790770190196</v>
      </c>
      <c r="N191">
        <f t="shared" ca="1" si="24"/>
        <v>0.18788860103626934</v>
      </c>
      <c r="O191">
        <f t="shared" ca="1" si="24"/>
        <v>0.21424421982107578</v>
      </c>
      <c r="P191">
        <f t="shared" ca="1" si="24"/>
        <v>0.2388601036269429</v>
      </c>
      <c r="Q191">
        <f t="shared" ca="1" si="24"/>
        <v>0.29722759509993546</v>
      </c>
      <c r="R191">
        <f t="shared" ca="1" si="24"/>
        <v>0.55890554200069698</v>
      </c>
      <c r="S191">
        <f t="shared" ca="1" si="24"/>
        <v>0.38276983850354346</v>
      </c>
      <c r="T191">
        <f t="shared" ca="1" si="24"/>
        <v>0.42674870466321224</v>
      </c>
      <c r="V191" s="4">
        <f t="shared" si="21"/>
        <v>41858</v>
      </c>
      <c r="W191" s="5">
        <f t="shared" ca="1" si="19"/>
        <v>0.55890554200069698</v>
      </c>
      <c r="Z191" s="4" t="e">
        <f ca="1">IF(OFFSET('Calc Canada'!$A$1,0,0,300)="",MATCH("Error",AF191,0),OFFSET('Calc Canada'!$A$1,0,0,300))</f>
        <v>#N/A</v>
      </c>
      <c r="AA191" s="5" t="str">
        <f ca="1">IF(OFFSET('Calc Canada'!$A$1,0,MATCH(W$1,'Calc Canada'!$1:$1,0)-1,300)="","",OFFSET('Calc Canada'!$A$1,0,MATCH(W$1,'Calc Canada'!$1:$1,0)-1,300))</f>
        <v/>
      </c>
      <c r="AB191" s="5" t="str">
        <f ca="1">IF(OFFSET('Calc Canada'!$A$1,0,MATCH(X$1,'Calc Canada'!$1:$1,0)-1,300)="","",OFFSET('Calc Canada'!$A$1,0,MATCH(X$1,'Calc Canada'!$1:$1,0)-1,300))</f>
        <v/>
      </c>
      <c r="AC191" t="str">
        <f t="shared" ca="1" si="17"/>
        <v/>
      </c>
      <c r="AD191" t="str">
        <f t="shared" ca="1" si="18"/>
        <v/>
      </c>
    </row>
    <row r="192" spans="1:30" x14ac:dyDescent="0.25">
      <c r="A192" s="4">
        <v>41857</v>
      </c>
      <c r="B192">
        <v>1.3993</v>
      </c>
      <c r="C192" s="5">
        <v>1.5768</v>
      </c>
      <c r="D192">
        <v>1.8942000000000001</v>
      </c>
      <c r="E192">
        <v>2.1846000000000001</v>
      </c>
      <c r="F192">
        <v>2.5544000000000002</v>
      </c>
      <c r="G192">
        <v>3.1284999999999998</v>
      </c>
      <c r="H192">
        <f t="shared" ca="1" si="24"/>
        <v>0.4041767477397174</v>
      </c>
      <c r="I192">
        <f t="shared" ca="1" si="24"/>
        <v>0.27478140420742797</v>
      </c>
      <c r="J192">
        <f t="shared" ca="1" si="24"/>
        <v>0.18355308813324089</v>
      </c>
      <c r="K192">
        <f t="shared" ca="1" si="24"/>
        <v>0.25140680460566178</v>
      </c>
      <c r="L192">
        <f t="shared" ca="1" si="24"/>
        <v>0.16793893129770993</v>
      </c>
      <c r="M192">
        <f t="shared" ca="1" si="24"/>
        <v>0.29705400981996716</v>
      </c>
      <c r="N192">
        <f t="shared" ca="1" si="24"/>
        <v>0.18714957788232262</v>
      </c>
      <c r="O192">
        <f t="shared" ca="1" si="24"/>
        <v>0.2138561184362712</v>
      </c>
      <c r="P192">
        <f t="shared" ca="1" si="24"/>
        <v>0.23831926274408724</v>
      </c>
      <c r="Q192">
        <f t="shared" ca="1" si="24"/>
        <v>0.29960301385400651</v>
      </c>
      <c r="R192">
        <f t="shared" ca="1" si="24"/>
        <v>0.56534813786722204</v>
      </c>
      <c r="S192">
        <f t="shared" ca="1" si="24"/>
        <v>0.38179504973398115</v>
      </c>
      <c r="T192">
        <f t="shared" ca="1" si="24"/>
        <v>0.42546884062640988</v>
      </c>
      <c r="V192" s="4">
        <f t="shared" si="21"/>
        <v>41857</v>
      </c>
      <c r="W192" s="5">
        <f t="shared" ca="1" si="19"/>
        <v>0.56534813786722204</v>
      </c>
      <c r="Z192" s="4" t="e">
        <f ca="1">IF(OFFSET('Calc Canada'!$A$1,0,0,300)="",MATCH("Error",AF192,0),OFFSET('Calc Canada'!$A$1,0,0,300))</f>
        <v>#N/A</v>
      </c>
      <c r="AA192" s="5" t="str">
        <f ca="1">IF(OFFSET('Calc Canada'!$A$1,0,MATCH(W$1,'Calc Canada'!$1:$1,0)-1,300)="","",OFFSET('Calc Canada'!$A$1,0,MATCH(W$1,'Calc Canada'!$1:$1,0)-1,300))</f>
        <v/>
      </c>
      <c r="AB192" s="5" t="str">
        <f ca="1">IF(OFFSET('Calc Canada'!$A$1,0,MATCH(X$1,'Calc Canada'!$1:$1,0)-1,300)="","",OFFSET('Calc Canada'!$A$1,0,MATCH(X$1,'Calc Canada'!$1:$1,0)-1,300))</f>
        <v/>
      </c>
      <c r="AC192" t="str">
        <f t="shared" ca="1" si="17"/>
        <v/>
      </c>
      <c r="AD192" t="str">
        <f t="shared" ca="1" si="18"/>
        <v/>
      </c>
    </row>
    <row r="193" spans="1:30" x14ac:dyDescent="0.25">
      <c r="A193" s="4">
        <v>41856</v>
      </c>
      <c r="B193">
        <v>1.3956</v>
      </c>
      <c r="C193" s="5">
        <v>1.5765</v>
      </c>
      <c r="D193">
        <v>1.8980000000000001</v>
      </c>
      <c r="E193">
        <v>2.1796000000000002</v>
      </c>
      <c r="F193">
        <v>2.5558000000000001</v>
      </c>
      <c r="G193">
        <v>3.1153</v>
      </c>
      <c r="H193">
        <f t="shared" ca="1" si="24"/>
        <v>0.41007653061224492</v>
      </c>
      <c r="I193">
        <f t="shared" ca="1" si="24"/>
        <v>0.27710739527667649</v>
      </c>
      <c r="J193">
        <f t="shared" ca="1" si="24"/>
        <v>0.18695121242077115</v>
      </c>
      <c r="K193">
        <f t="shared" ca="1" si="24"/>
        <v>0.2427167729701776</v>
      </c>
      <c r="L193">
        <f t="shared" ca="1" si="24"/>
        <v>0.16374949119032395</v>
      </c>
      <c r="M193">
        <f t="shared" ca="1" si="24"/>
        <v>0.28755233329929547</v>
      </c>
      <c r="N193">
        <f t="shared" ca="1" si="24"/>
        <v>0.18299974005718747</v>
      </c>
      <c r="O193">
        <f t="shared" ca="1" si="24"/>
        <v>0.21875908588707324</v>
      </c>
      <c r="P193">
        <f t="shared" ca="1" si="24"/>
        <v>0.24447621523264873</v>
      </c>
      <c r="Q193">
        <f t="shared" ca="1" si="24"/>
        <v>0.3090446069169473</v>
      </c>
      <c r="R193">
        <f t="shared" ca="1" si="24"/>
        <v>0.56945978949816833</v>
      </c>
      <c r="S193">
        <f t="shared" ca="1" si="24"/>
        <v>0.38250857707739716</v>
      </c>
      <c r="T193">
        <f t="shared" ca="1" si="24"/>
        <v>0.42747595528983623</v>
      </c>
      <c r="V193" s="4">
        <f t="shared" si="21"/>
        <v>41856</v>
      </c>
      <c r="W193" s="5">
        <f t="shared" ca="1" si="19"/>
        <v>0.56945978949816833</v>
      </c>
      <c r="Z193" s="4" t="e">
        <f ca="1">IF(OFFSET('Calc Canada'!$A$1,0,0,300)="",MATCH("Error",AF193,0),OFFSET('Calc Canada'!$A$1,0,0,300))</f>
        <v>#N/A</v>
      </c>
      <c r="AA193" s="5" t="str">
        <f ca="1">IF(OFFSET('Calc Canada'!$A$1,0,MATCH(W$1,'Calc Canada'!$1:$1,0)-1,300)="","",OFFSET('Calc Canada'!$A$1,0,MATCH(W$1,'Calc Canada'!$1:$1,0)-1,300))</f>
        <v/>
      </c>
      <c r="AB193" s="5" t="str">
        <f ca="1">IF(OFFSET('Calc Canada'!$A$1,0,MATCH(X$1,'Calc Canada'!$1:$1,0)-1,300)="","",OFFSET('Calc Canada'!$A$1,0,MATCH(X$1,'Calc Canada'!$1:$1,0)-1,300))</f>
        <v/>
      </c>
      <c r="AC193" t="str">
        <f t="shared" ca="1" si="17"/>
        <v/>
      </c>
      <c r="AD193" t="str">
        <f t="shared" ca="1" si="18"/>
        <v/>
      </c>
    </row>
    <row r="194" spans="1:30" x14ac:dyDescent="0.25">
      <c r="A194" s="4">
        <v>41855</v>
      </c>
      <c r="B194">
        <v>1.3837999999999999</v>
      </c>
      <c r="C194" s="5">
        <v>1.571</v>
      </c>
      <c r="D194">
        <v>1.8839999999999999</v>
      </c>
      <c r="E194">
        <v>2.1797</v>
      </c>
      <c r="F194">
        <v>2.5594999999999999</v>
      </c>
      <c r="G194">
        <v>3.1141999999999999</v>
      </c>
      <c r="H194">
        <f t="shared" ca="1" si="24"/>
        <v>0.3932654856137705</v>
      </c>
      <c r="I194">
        <f t="shared" ca="1" si="24"/>
        <v>0.26622437696691331</v>
      </c>
      <c r="J194">
        <f t="shared" ca="1" si="24"/>
        <v>0.18088303282478038</v>
      </c>
      <c r="K194">
        <f t="shared" ca="1" si="24"/>
        <v>0.25150973887896577</v>
      </c>
      <c r="L194">
        <f t="shared" ca="1" si="24"/>
        <v>0.1708853444290338</v>
      </c>
      <c r="M194">
        <f t="shared" ca="1" si="24"/>
        <v>0.29914011127971685</v>
      </c>
      <c r="N194">
        <f t="shared" ca="1" si="24"/>
        <v>0.1916148263348886</v>
      </c>
      <c r="O194">
        <f t="shared" ca="1" si="24"/>
        <v>0.21948682385575585</v>
      </c>
      <c r="P194">
        <f t="shared" ca="1" si="24"/>
        <v>0.24611197511664071</v>
      </c>
      <c r="Q194">
        <f t="shared" ca="1" si="24"/>
        <v>0.30873028775808808</v>
      </c>
      <c r="R194">
        <f t="shared" ca="1" si="24"/>
        <v>0.57125520110957007</v>
      </c>
      <c r="S194">
        <f t="shared" ca="1" si="24"/>
        <v>0.39037216828478966</v>
      </c>
      <c r="T194">
        <f t="shared" ca="1" si="24"/>
        <v>0.43772680145152931</v>
      </c>
      <c r="V194" s="4">
        <f t="shared" si="21"/>
        <v>41855</v>
      </c>
      <c r="W194" s="5">
        <f t="shared" ca="1" si="19"/>
        <v>0.57125520110957007</v>
      </c>
      <c r="Z194" s="4" t="e">
        <f ca="1">IF(OFFSET('Calc Canada'!$A$1,0,0,300)="",MATCH("Error",AF194,0),OFFSET('Calc Canada'!$A$1,0,0,300))</f>
        <v>#N/A</v>
      </c>
      <c r="AA194" s="5" t="str">
        <f ca="1">IF(OFFSET('Calc Canada'!$A$1,0,MATCH(W$1,'Calc Canada'!$1:$1,0)-1,300)="","",OFFSET('Calc Canada'!$A$1,0,MATCH(W$1,'Calc Canada'!$1:$1,0)-1,300))</f>
        <v/>
      </c>
      <c r="AB194" s="5" t="str">
        <f ca="1">IF(OFFSET('Calc Canada'!$A$1,0,MATCH(X$1,'Calc Canada'!$1:$1,0)-1,300)="","",OFFSET('Calc Canada'!$A$1,0,MATCH(X$1,'Calc Canada'!$1:$1,0)-1,300))</f>
        <v/>
      </c>
      <c r="AC194" t="str">
        <f t="shared" ca="1" si="17"/>
        <v/>
      </c>
      <c r="AD194" t="str">
        <f t="shared" ca="1" si="18"/>
        <v/>
      </c>
    </row>
    <row r="195" spans="1:30" x14ac:dyDescent="0.25">
      <c r="A195" s="4">
        <v>41852</v>
      </c>
      <c r="B195">
        <v>1.3837999999999999</v>
      </c>
      <c r="C195" s="5">
        <v>1.5779999999999998</v>
      </c>
      <c r="D195">
        <v>1.8841999999999999</v>
      </c>
      <c r="E195">
        <v>2.1798000000000002</v>
      </c>
      <c r="F195">
        <v>2.5596000000000001</v>
      </c>
      <c r="G195">
        <v>3.1143000000000001</v>
      </c>
      <c r="H195">
        <f t="shared" ca="1" si="24"/>
        <v>0.38467336683417075</v>
      </c>
      <c r="I195">
        <f t="shared" ca="1" si="24"/>
        <v>0.26041843850995067</v>
      </c>
      <c r="J195">
        <f t="shared" ca="1" si="24"/>
        <v>0.17694308003467207</v>
      </c>
      <c r="K195">
        <f t="shared" ca="1" si="24"/>
        <v>0.25140329988093235</v>
      </c>
      <c r="L195">
        <f t="shared" ca="1" si="24"/>
        <v>0.17081768275065026</v>
      </c>
      <c r="M195">
        <f t="shared" ca="1" si="24"/>
        <v>0.30114099429502877</v>
      </c>
      <c r="N195">
        <f t="shared" ca="1" si="24"/>
        <v>0.19241033652281472</v>
      </c>
      <c r="O195">
        <f t="shared" ca="1" si="24"/>
        <v>0.21947414042184332</v>
      </c>
      <c r="P195">
        <f t="shared" ca="1" si="24"/>
        <v>0.24721734036321022</v>
      </c>
      <c r="Q195">
        <f t="shared" ca="1" si="24"/>
        <v>0.30875538574099654</v>
      </c>
      <c r="R195">
        <f t="shared" ca="1" si="24"/>
        <v>0.56723490320716563</v>
      </c>
      <c r="S195">
        <f t="shared" ca="1" si="24"/>
        <v>0.39029182317249361</v>
      </c>
      <c r="T195">
        <f t="shared" ca="1" si="24"/>
        <v>0.43962767688602494</v>
      </c>
      <c r="V195" s="4">
        <f t="shared" si="21"/>
        <v>41852</v>
      </c>
      <c r="W195" s="5">
        <f t="shared" ca="1" si="19"/>
        <v>0.56723490320716563</v>
      </c>
      <c r="Z195" s="4" t="e">
        <f ca="1">IF(OFFSET('Calc Canada'!$A$1,0,0,300)="",MATCH("Error",AF195,0),OFFSET('Calc Canada'!$A$1,0,0,300))</f>
        <v>#N/A</v>
      </c>
      <c r="AA195" s="5" t="str">
        <f ca="1">IF(OFFSET('Calc Canada'!$A$1,0,MATCH(W$1,'Calc Canada'!$1:$1,0)-1,300)="","",OFFSET('Calc Canada'!$A$1,0,MATCH(W$1,'Calc Canada'!$1:$1,0)-1,300))</f>
        <v/>
      </c>
      <c r="AB195" s="5" t="str">
        <f ca="1">IF(OFFSET('Calc Canada'!$A$1,0,MATCH(X$1,'Calc Canada'!$1:$1,0)-1,300)="","",OFFSET('Calc Canada'!$A$1,0,MATCH(X$1,'Calc Canada'!$1:$1,0)-1,300))</f>
        <v/>
      </c>
      <c r="AC195" t="str">
        <f t="shared" ref="AC195:AC258" ca="1" si="25">IF(AND(AA195&lt;&gt;"",AB195&lt;&gt;""),ABS(AA195-AB195),"")</f>
        <v/>
      </c>
      <c r="AD195" t="str">
        <f t="shared" ref="AD195:AD258" ca="1" si="26">IF(ISNA(MATCH("",AC195:AC214,0)),AVERAGE(AC195:AC214),"")</f>
        <v/>
      </c>
    </row>
    <row r="196" spans="1:30" x14ac:dyDescent="0.25">
      <c r="A196" s="4">
        <v>41851</v>
      </c>
      <c r="B196">
        <v>1.4117999999999999</v>
      </c>
      <c r="C196" s="5">
        <v>1.5986</v>
      </c>
      <c r="D196">
        <v>1.9375</v>
      </c>
      <c r="E196">
        <v>2.2282000000000002</v>
      </c>
      <c r="F196">
        <v>2.5989</v>
      </c>
      <c r="G196">
        <v>3.16</v>
      </c>
      <c r="H196">
        <f t="shared" ca="1" si="24"/>
        <v>0.41511513963743246</v>
      </c>
      <c r="I196">
        <f t="shared" ca="1" si="24"/>
        <v>0.28548563726728998</v>
      </c>
      <c r="J196">
        <f t="shared" ca="1" si="24"/>
        <v>0.19385653815352932</v>
      </c>
      <c r="K196">
        <f t="shared" ca="1" si="24"/>
        <v>0.24488248673237314</v>
      </c>
      <c r="L196">
        <f t="shared" ca="1" si="24"/>
        <v>0.16628532204553262</v>
      </c>
      <c r="M196">
        <f t="shared" ca="1" si="24"/>
        <v>0.29061281615515366</v>
      </c>
      <c r="N196">
        <f t="shared" ca="1" si="24"/>
        <v>0.18617907006532608</v>
      </c>
      <c r="O196">
        <f t="shared" ca="1" si="24"/>
        <v>0.21204667658162668</v>
      </c>
      <c r="P196">
        <f t="shared" ca="1" si="24"/>
        <v>0.23741514025874202</v>
      </c>
      <c r="Q196">
        <f t="shared" ca="1" si="24"/>
        <v>0.30323108384458058</v>
      </c>
      <c r="R196">
        <f t="shared" ca="1" si="24"/>
        <v>0.57218853678068859</v>
      </c>
      <c r="S196">
        <f t="shared" ca="1" si="24"/>
        <v>0.37833199862715933</v>
      </c>
      <c r="T196">
        <f t="shared" ca="1" si="24"/>
        <v>0.42359421032406808</v>
      </c>
      <c r="V196" s="4">
        <f t="shared" si="21"/>
        <v>41851</v>
      </c>
      <c r="W196" s="5">
        <f t="shared" ca="1" si="19"/>
        <v>0.57218853678068859</v>
      </c>
      <c r="Z196" s="4" t="e">
        <f ca="1">IF(OFFSET('Calc Canada'!$A$1,0,0,300)="",MATCH("Error",AF196,0),OFFSET('Calc Canada'!$A$1,0,0,300))</f>
        <v>#N/A</v>
      </c>
      <c r="AA196" s="5" t="str">
        <f ca="1">IF(OFFSET('Calc Canada'!$A$1,0,MATCH(W$1,'Calc Canada'!$1:$1,0)-1,300)="","",OFFSET('Calc Canada'!$A$1,0,MATCH(W$1,'Calc Canada'!$1:$1,0)-1,300))</f>
        <v/>
      </c>
      <c r="AB196" s="5" t="str">
        <f ca="1">IF(OFFSET('Calc Canada'!$A$1,0,MATCH(X$1,'Calc Canada'!$1:$1,0)-1,300)="","",OFFSET('Calc Canada'!$A$1,0,MATCH(X$1,'Calc Canada'!$1:$1,0)-1,300))</f>
        <v/>
      </c>
      <c r="AC196" t="str">
        <f t="shared" ca="1" si="25"/>
        <v/>
      </c>
      <c r="AD196" t="str">
        <f t="shared" ca="1" si="26"/>
        <v/>
      </c>
    </row>
    <row r="197" spans="1:30" x14ac:dyDescent="0.25">
      <c r="A197" s="4">
        <v>41850</v>
      </c>
      <c r="B197">
        <v>1.423</v>
      </c>
      <c r="C197" s="5">
        <v>1.6055999999999999</v>
      </c>
      <c r="D197">
        <v>1.9418</v>
      </c>
      <c r="E197">
        <v>2.2275</v>
      </c>
      <c r="F197">
        <v>2.5935000000000001</v>
      </c>
      <c r="G197">
        <v>3.1608000000000001</v>
      </c>
      <c r="H197">
        <f t="shared" ca="1" si="24"/>
        <v>0.41789931634555633</v>
      </c>
      <c r="I197">
        <f t="shared" ca="1" si="24"/>
        <v>0.28722768047842806</v>
      </c>
      <c r="J197">
        <f t="shared" ca="1" si="24"/>
        <v>0.19346299919438373</v>
      </c>
      <c r="K197">
        <f t="shared" ca="1" si="24"/>
        <v>0.24408372490388727</v>
      </c>
      <c r="L197">
        <f t="shared" ca="1" si="24"/>
        <v>0.16440326850040285</v>
      </c>
      <c r="M197">
        <f t="shared" ca="1" si="24"/>
        <v>0.28919931167122176</v>
      </c>
      <c r="N197">
        <f t="shared" ca="1" si="24"/>
        <v>0.18370627572016462</v>
      </c>
      <c r="O197">
        <f t="shared" ca="1" si="24"/>
        <v>0.21061111750489131</v>
      </c>
      <c r="P197">
        <f t="shared" ca="1" si="24"/>
        <v>0.23533950617283955</v>
      </c>
      <c r="Q197">
        <f t="shared" ca="1" si="24"/>
        <v>0.30024610336341268</v>
      </c>
      <c r="R197">
        <f t="shared" ca="1" si="24"/>
        <v>0.56847738519967783</v>
      </c>
      <c r="S197">
        <f t="shared" ca="1" si="24"/>
        <v>0.37501438600529413</v>
      </c>
      <c r="T197">
        <f t="shared" ca="1" si="24"/>
        <v>0.41904578189300418</v>
      </c>
      <c r="V197" s="4">
        <f t="shared" si="21"/>
        <v>41850</v>
      </c>
      <c r="W197" s="5">
        <f t="shared" ca="1" si="19"/>
        <v>0.56847738519967783</v>
      </c>
      <c r="Z197" s="4" t="e">
        <f ca="1">IF(OFFSET('Calc Canada'!$A$1,0,0,300)="",MATCH("Error",AF197,0),OFFSET('Calc Canada'!$A$1,0,0,300))</f>
        <v>#N/A</v>
      </c>
      <c r="AA197" s="5" t="str">
        <f ca="1">IF(OFFSET('Calc Canada'!$A$1,0,MATCH(W$1,'Calc Canada'!$1:$1,0)-1,300)="","",OFFSET('Calc Canada'!$A$1,0,MATCH(W$1,'Calc Canada'!$1:$1,0)-1,300))</f>
        <v/>
      </c>
      <c r="AB197" s="5" t="str">
        <f ca="1">IF(OFFSET('Calc Canada'!$A$1,0,MATCH(X$1,'Calc Canada'!$1:$1,0)-1,300)="","",OFFSET('Calc Canada'!$A$1,0,MATCH(X$1,'Calc Canada'!$1:$1,0)-1,300))</f>
        <v/>
      </c>
      <c r="AC197" t="str">
        <f t="shared" ca="1" si="25"/>
        <v/>
      </c>
      <c r="AD197" t="str">
        <f t="shared" ca="1" si="26"/>
        <v/>
      </c>
    </row>
    <row r="198" spans="1:30" x14ac:dyDescent="0.25">
      <c r="A198" s="4">
        <v>41849</v>
      </c>
      <c r="B198">
        <v>1.3934</v>
      </c>
      <c r="C198" s="5">
        <v>1.5706</v>
      </c>
      <c r="D198">
        <v>1.8860999999999999</v>
      </c>
      <c r="E198">
        <v>2.1673999999999998</v>
      </c>
      <c r="F198">
        <v>2.5225999999999997</v>
      </c>
      <c r="G198">
        <v>3.1025999999999998</v>
      </c>
      <c r="H198">
        <f t="shared" ca="1" si="24"/>
        <v>0.40762273901808782</v>
      </c>
      <c r="I198">
        <f t="shared" ca="1" si="24"/>
        <v>0.27940134608572437</v>
      </c>
      <c r="J198">
        <f t="shared" ca="1" si="24"/>
        <v>0.18458928153522111</v>
      </c>
      <c r="K198">
        <f t="shared" ca="1" si="24"/>
        <v>0.24911441728657452</v>
      </c>
      <c r="L198">
        <f t="shared" ca="1" si="24"/>
        <v>0.16457992043061076</v>
      </c>
      <c r="M198">
        <f t="shared" ca="1" si="24"/>
        <v>0.29548319327731087</v>
      </c>
      <c r="N198">
        <f t="shared" ca="1" si="24"/>
        <v>0.18361618798955609</v>
      </c>
      <c r="O198">
        <f t="shared" ca="1" si="24"/>
        <v>0.20781652234963727</v>
      </c>
      <c r="P198">
        <f t="shared" ca="1" si="24"/>
        <v>0.23185378590078329</v>
      </c>
      <c r="Q198">
        <f t="shared" ca="1" si="24"/>
        <v>0.29198520345252771</v>
      </c>
      <c r="R198">
        <f t="shared" ca="1" si="24"/>
        <v>0.55698572431546911</v>
      </c>
      <c r="S198">
        <f t="shared" ca="1" si="24"/>
        <v>0.37239644278024803</v>
      </c>
      <c r="T198">
        <f t="shared" ca="1" si="24"/>
        <v>0.41546997389033935</v>
      </c>
      <c r="V198" s="4">
        <f t="shared" si="21"/>
        <v>41849</v>
      </c>
      <c r="W198" s="5">
        <f t="shared" ca="1" si="19"/>
        <v>0.55698572431546911</v>
      </c>
      <c r="Z198" s="4" t="e">
        <f ca="1">IF(OFFSET('Calc Canada'!$A$1,0,0,300)="",MATCH("Error",AF198,0),OFFSET('Calc Canada'!$A$1,0,0,300))</f>
        <v>#N/A</v>
      </c>
      <c r="AA198" s="5" t="str">
        <f ca="1">IF(OFFSET('Calc Canada'!$A$1,0,MATCH(W$1,'Calc Canada'!$1:$1,0)-1,300)="","",OFFSET('Calc Canada'!$A$1,0,MATCH(W$1,'Calc Canada'!$1:$1,0)-1,300))</f>
        <v/>
      </c>
      <c r="AB198" s="5" t="str">
        <f ca="1">IF(OFFSET('Calc Canada'!$A$1,0,MATCH(X$1,'Calc Canada'!$1:$1,0)-1,300)="","",OFFSET('Calc Canada'!$A$1,0,MATCH(X$1,'Calc Canada'!$1:$1,0)-1,300))</f>
        <v/>
      </c>
      <c r="AC198" t="str">
        <f t="shared" ca="1" si="25"/>
        <v/>
      </c>
      <c r="AD198" t="str">
        <f t="shared" ca="1" si="26"/>
        <v/>
      </c>
    </row>
    <row r="199" spans="1:30" x14ac:dyDescent="0.25">
      <c r="A199" s="4">
        <v>41848</v>
      </c>
      <c r="B199">
        <v>1.3974</v>
      </c>
      <c r="C199" s="5">
        <v>1.5792000000000002</v>
      </c>
      <c r="D199">
        <v>1.9056999999999999</v>
      </c>
      <c r="E199">
        <v>2.1930000000000001</v>
      </c>
      <c r="F199">
        <v>2.5529999999999999</v>
      </c>
      <c r="G199">
        <v>3.1347</v>
      </c>
      <c r="H199">
        <f t="shared" ca="1" si="24"/>
        <v>0.41038210155857185</v>
      </c>
      <c r="I199">
        <f t="shared" ca="1" si="24"/>
        <v>0.28253721010730337</v>
      </c>
      <c r="J199">
        <f t="shared" ca="1" si="24"/>
        <v>0.18793530190525515</v>
      </c>
      <c r="K199">
        <f t="shared" ca="1" si="24"/>
        <v>0.24861543786777443</v>
      </c>
      <c r="L199">
        <f t="shared" ca="1" si="24"/>
        <v>0.16537155356012209</v>
      </c>
      <c r="M199">
        <f t="shared" ca="1" si="24"/>
        <v>0.29502978024234972</v>
      </c>
      <c r="N199">
        <f t="shared" ca="1" si="24"/>
        <v>0.18469945355191264</v>
      </c>
      <c r="O199">
        <f t="shared" ca="1" si="24"/>
        <v>0.20721809704714203</v>
      </c>
      <c r="P199">
        <f t="shared" ca="1" si="24"/>
        <v>0.23143683702989387</v>
      </c>
      <c r="Q199">
        <f t="shared" ca="1" si="24"/>
        <v>0.29292107404393802</v>
      </c>
      <c r="R199">
        <f t="shared" ca="1" si="24"/>
        <v>0.56052495251251933</v>
      </c>
      <c r="S199">
        <f t="shared" ca="1" si="24"/>
        <v>0.37258965060726412</v>
      </c>
      <c r="T199">
        <f t="shared" ca="1" si="24"/>
        <v>0.41613629058180651</v>
      </c>
      <c r="V199" s="4">
        <f t="shared" si="21"/>
        <v>41848</v>
      </c>
      <c r="W199" s="5">
        <f t="shared" ca="1" si="19"/>
        <v>0.56052495251251933</v>
      </c>
      <c r="Z199" s="4" t="e">
        <f ca="1">IF(OFFSET('Calc Canada'!$A$1,0,0,300)="",MATCH("Error",AF199,0),OFFSET('Calc Canada'!$A$1,0,0,300))</f>
        <v>#N/A</v>
      </c>
      <c r="AA199" s="5" t="str">
        <f ca="1">IF(OFFSET('Calc Canada'!$A$1,0,MATCH(W$1,'Calc Canada'!$1:$1,0)-1,300)="","",OFFSET('Calc Canada'!$A$1,0,MATCH(W$1,'Calc Canada'!$1:$1,0)-1,300))</f>
        <v/>
      </c>
      <c r="AB199" s="5" t="str">
        <f ca="1">IF(OFFSET('Calc Canada'!$A$1,0,MATCH(X$1,'Calc Canada'!$1:$1,0)-1,300)="","",OFFSET('Calc Canada'!$A$1,0,MATCH(X$1,'Calc Canada'!$1:$1,0)-1,300))</f>
        <v/>
      </c>
      <c r="AC199" t="str">
        <f t="shared" ca="1" si="25"/>
        <v/>
      </c>
      <c r="AD199" t="str">
        <f t="shared" ca="1" si="26"/>
        <v/>
      </c>
    </row>
    <row r="200" spans="1:30" x14ac:dyDescent="0.25">
      <c r="A200" s="4">
        <v>41845</v>
      </c>
      <c r="B200">
        <v>1.3932</v>
      </c>
      <c r="C200" s="5">
        <v>1.5739999999999998</v>
      </c>
      <c r="D200">
        <v>1.897</v>
      </c>
      <c r="E200">
        <v>2.1848000000000001</v>
      </c>
      <c r="F200">
        <v>2.5493999999999999</v>
      </c>
      <c r="G200">
        <v>3.1322000000000001</v>
      </c>
      <c r="H200">
        <f t="shared" ca="1" si="24"/>
        <v>0.4080343607882771</v>
      </c>
      <c r="I200">
        <f t="shared" ca="1" si="24"/>
        <v>0.27936343193219182</v>
      </c>
      <c r="J200">
        <f t="shared" ca="1" si="24"/>
        <v>0.18573893041978157</v>
      </c>
      <c r="K200">
        <f t="shared" ca="1" si="24"/>
        <v>0.24891887216744515</v>
      </c>
      <c r="L200">
        <f t="shared" ca="1" si="24"/>
        <v>0.16549741230592296</v>
      </c>
      <c r="M200">
        <f t="shared" ca="1" si="24"/>
        <v>0.29505843756407629</v>
      </c>
      <c r="N200">
        <f t="shared" ca="1" si="24"/>
        <v>0.18470029521242459</v>
      </c>
      <c r="O200">
        <f t="shared" ca="1" si="24"/>
        <v>0.20966072455434145</v>
      </c>
      <c r="P200">
        <f t="shared" ca="1" si="24"/>
        <v>0.23398793479655997</v>
      </c>
      <c r="Q200">
        <f t="shared" ca="1" si="24"/>
        <v>0.29517487046632107</v>
      </c>
      <c r="R200">
        <f t="shared" ca="1" si="24"/>
        <v>0.56089706728004596</v>
      </c>
      <c r="S200">
        <f t="shared" ca="1" si="24"/>
        <v>0.37515813686026445</v>
      </c>
      <c r="T200">
        <f t="shared" ca="1" si="24"/>
        <v>0.41868823000898459</v>
      </c>
      <c r="V200" s="4">
        <f t="shared" si="21"/>
        <v>41845</v>
      </c>
      <c r="W200" s="5">
        <f t="shared" ca="1" si="19"/>
        <v>0.56089706728004596</v>
      </c>
      <c r="Z200" s="4" t="e">
        <f ca="1">IF(OFFSET('Calc Canada'!$A$1,0,0,300)="",MATCH("Error",AF200,0),OFFSET('Calc Canada'!$A$1,0,0,300))</f>
        <v>#N/A</v>
      </c>
      <c r="AA200" s="5" t="str">
        <f ca="1">IF(OFFSET('Calc Canada'!$A$1,0,MATCH(W$1,'Calc Canada'!$1:$1,0)-1,300)="","",OFFSET('Calc Canada'!$A$1,0,MATCH(W$1,'Calc Canada'!$1:$1,0)-1,300))</f>
        <v/>
      </c>
      <c r="AB200" s="5" t="str">
        <f ca="1">IF(OFFSET('Calc Canada'!$A$1,0,MATCH(X$1,'Calc Canada'!$1:$1,0)-1,300)="","",OFFSET('Calc Canada'!$A$1,0,MATCH(X$1,'Calc Canada'!$1:$1,0)-1,300))</f>
        <v/>
      </c>
      <c r="AC200" t="str">
        <f t="shared" ca="1" si="25"/>
        <v/>
      </c>
      <c r="AD200" t="str">
        <f t="shared" ca="1" si="26"/>
        <v/>
      </c>
    </row>
    <row r="201" spans="1:30" x14ac:dyDescent="0.25">
      <c r="A201" s="4">
        <v>41844</v>
      </c>
      <c r="B201">
        <v>1.4108000000000001</v>
      </c>
      <c r="C201" s="5">
        <v>1.601</v>
      </c>
      <c r="D201">
        <v>1.9325000000000001</v>
      </c>
      <c r="E201">
        <v>2.2191000000000001</v>
      </c>
      <c r="F201">
        <v>2.5884</v>
      </c>
      <c r="G201">
        <v>3.169</v>
      </c>
      <c r="H201">
        <f t="shared" ca="1" si="24"/>
        <v>0.4101200049486578</v>
      </c>
      <c r="I201">
        <f t="shared" ca="1" si="24"/>
        <v>0.28150475543478271</v>
      </c>
      <c r="J201">
        <f t="shared" ca="1" si="24"/>
        <v>0.18854510294619506</v>
      </c>
      <c r="K201">
        <f t="shared" ca="1" si="24"/>
        <v>0.24337635869565216</v>
      </c>
      <c r="L201">
        <f t="shared" ca="1" si="24"/>
        <v>0.16300762143100897</v>
      </c>
      <c r="M201">
        <f t="shared" ca="1" si="24"/>
        <v>0.29025724123961916</v>
      </c>
      <c r="N201">
        <f t="shared" ca="1" si="24"/>
        <v>0.18278061224489794</v>
      </c>
      <c r="O201">
        <f t="shared" ca="1" si="24"/>
        <v>0.21004436355363437</v>
      </c>
      <c r="P201">
        <f t="shared" ca="1" si="24"/>
        <v>0.23552295918367344</v>
      </c>
      <c r="Q201">
        <f t="shared" ca="1" si="24"/>
        <v>0.29866558835422563</v>
      </c>
      <c r="R201">
        <f t="shared" ca="1" si="24"/>
        <v>0.5615970879308384</v>
      </c>
      <c r="S201">
        <f t="shared" ca="1" si="24"/>
        <v>0.37305198498464337</v>
      </c>
      <c r="T201">
        <f t="shared" ca="1" si="24"/>
        <v>0.41830357142857139</v>
      </c>
      <c r="V201" s="4">
        <f t="shared" si="21"/>
        <v>41844</v>
      </c>
      <c r="W201" s="5">
        <f t="shared" ca="1" si="19"/>
        <v>0.5615970879308384</v>
      </c>
      <c r="Z201" s="4" t="e">
        <f ca="1">IF(OFFSET('Calc Canada'!$A$1,0,0,300)="",MATCH("Error",AF201,0),OFFSET('Calc Canada'!$A$1,0,0,300))</f>
        <v>#N/A</v>
      </c>
      <c r="AA201" s="5" t="str">
        <f ca="1">IF(OFFSET('Calc Canada'!$A$1,0,MATCH(W$1,'Calc Canada'!$1:$1,0)-1,300)="","",OFFSET('Calc Canada'!$A$1,0,MATCH(W$1,'Calc Canada'!$1:$1,0)-1,300))</f>
        <v/>
      </c>
      <c r="AB201" s="5" t="str">
        <f ca="1">IF(OFFSET('Calc Canada'!$A$1,0,MATCH(X$1,'Calc Canada'!$1:$1,0)-1,300)="","",OFFSET('Calc Canada'!$A$1,0,MATCH(X$1,'Calc Canada'!$1:$1,0)-1,300))</f>
        <v/>
      </c>
      <c r="AC201" t="str">
        <f t="shared" ca="1" si="25"/>
        <v/>
      </c>
      <c r="AD201" t="str">
        <f t="shared" ca="1" si="26"/>
        <v/>
      </c>
    </row>
    <row r="202" spans="1:30" x14ac:dyDescent="0.25">
      <c r="A202" s="4">
        <v>41843</v>
      </c>
      <c r="B202">
        <v>1.3942999999999999</v>
      </c>
      <c r="C202" s="5">
        <v>1.5748</v>
      </c>
      <c r="D202">
        <v>1.8965000000000001</v>
      </c>
      <c r="E202">
        <v>2.1930999999999998</v>
      </c>
      <c r="F202">
        <v>2.5678999999999998</v>
      </c>
      <c r="G202">
        <v>3.1387</v>
      </c>
      <c r="H202">
        <f t="shared" ca="1" si="24"/>
        <v>0.40272909364046083</v>
      </c>
      <c r="I202">
        <f t="shared" ca="1" si="24"/>
        <v>0.27411383776414461</v>
      </c>
      <c r="J202">
        <f t="shared" ca="1" si="24"/>
        <v>0.18441871130474666</v>
      </c>
      <c r="K202">
        <f t="shared" ca="1" si="24"/>
        <v>0.25272665303340131</v>
      </c>
      <c r="L202">
        <f t="shared" ca="1" si="24"/>
        <v>0.17002980967667949</v>
      </c>
      <c r="M202">
        <f t="shared" ca="1" si="24"/>
        <v>0.29866075923874713</v>
      </c>
      <c r="N202">
        <f t="shared" ca="1" si="24"/>
        <v>0.18965406995332165</v>
      </c>
      <c r="O202">
        <f t="shared" ca="1" si="24"/>
        <v>0.21485897729878467</v>
      </c>
      <c r="P202">
        <f t="shared" ca="1" si="24"/>
        <v>0.23965726708868854</v>
      </c>
      <c r="Q202">
        <f t="shared" ca="1" si="24"/>
        <v>0.30172274995974885</v>
      </c>
      <c r="R202">
        <f t="shared" ca="1" si="24"/>
        <v>0.56930749828021088</v>
      </c>
      <c r="S202">
        <f t="shared" ca="1" si="24"/>
        <v>0.38488878697546419</v>
      </c>
      <c r="T202">
        <f t="shared" ca="1" si="24"/>
        <v>0.42931133704201019</v>
      </c>
      <c r="V202" s="4">
        <f t="shared" si="21"/>
        <v>41843</v>
      </c>
      <c r="W202" s="5">
        <f t="shared" ca="1" si="19"/>
        <v>0.56930749828021088</v>
      </c>
      <c r="Z202" s="4" t="e">
        <f ca="1">IF(OFFSET('Calc Canada'!$A$1,0,0,300)="",MATCH("Error",AF202,0),OFFSET('Calc Canada'!$A$1,0,0,300))</f>
        <v>#N/A</v>
      </c>
      <c r="AA202" s="5" t="str">
        <f ca="1">IF(OFFSET('Calc Canada'!$A$1,0,MATCH(W$1,'Calc Canada'!$1:$1,0)-1,300)="","",OFFSET('Calc Canada'!$A$1,0,MATCH(W$1,'Calc Canada'!$1:$1,0)-1,300))</f>
        <v/>
      </c>
      <c r="AB202" s="5" t="str">
        <f ca="1">IF(OFFSET('Calc Canada'!$A$1,0,MATCH(X$1,'Calc Canada'!$1:$1,0)-1,300)="","",OFFSET('Calc Canada'!$A$1,0,MATCH(X$1,'Calc Canada'!$1:$1,0)-1,300))</f>
        <v/>
      </c>
      <c r="AC202" t="str">
        <f t="shared" ca="1" si="25"/>
        <v/>
      </c>
      <c r="AD202" t="str">
        <f t="shared" ca="1" si="26"/>
        <v/>
      </c>
    </row>
    <row r="203" spans="1:30" x14ac:dyDescent="0.25">
      <c r="A203" s="4">
        <v>41842</v>
      </c>
      <c r="B203">
        <v>1.3927</v>
      </c>
      <c r="C203" s="5">
        <v>1.5745</v>
      </c>
      <c r="D203">
        <v>1.8883000000000001</v>
      </c>
      <c r="E203">
        <v>2.1812999999999998</v>
      </c>
      <c r="F203">
        <v>2.5579000000000001</v>
      </c>
      <c r="G203">
        <v>3.129</v>
      </c>
      <c r="H203">
        <f t="shared" ca="1" si="24"/>
        <v>0.39792036520415952</v>
      </c>
      <c r="I203">
        <f t="shared" ca="1" si="24"/>
        <v>0.2693099897013389</v>
      </c>
      <c r="J203">
        <f t="shared" ca="1" si="24"/>
        <v>0.18072913666993037</v>
      </c>
      <c r="K203">
        <f t="shared" ca="1" si="24"/>
        <v>0.25145897699965647</v>
      </c>
      <c r="L203">
        <f t="shared" ca="1" si="24"/>
        <v>0.16874964003916357</v>
      </c>
      <c r="M203">
        <f t="shared" ca="1" si="24"/>
        <v>0.29794590197274728</v>
      </c>
      <c r="N203">
        <f t="shared" ca="1" si="24"/>
        <v>0.18848504342232211</v>
      </c>
      <c r="O203">
        <f t="shared" ca="1" si="24"/>
        <v>0.21689800149743724</v>
      </c>
      <c r="P203">
        <f t="shared" ca="1" si="24"/>
        <v>0.24226439369572228</v>
      </c>
      <c r="Q203">
        <f t="shared" ca="1" si="24"/>
        <v>0.30353832513903467</v>
      </c>
      <c r="R203">
        <f t="shared" ca="1" si="24"/>
        <v>0.56637677820653121</v>
      </c>
      <c r="S203">
        <f t="shared" ca="1" si="24"/>
        <v>0.3856476415366008</v>
      </c>
      <c r="T203">
        <f t="shared" ca="1" si="24"/>
        <v>0.43074943711804436</v>
      </c>
      <c r="V203" s="4">
        <f t="shared" si="21"/>
        <v>41842</v>
      </c>
      <c r="W203" s="5">
        <f t="shared" ca="1" si="19"/>
        <v>0.56637677820653121</v>
      </c>
      <c r="Z203" s="4" t="e">
        <f ca="1">IF(OFFSET('Calc Canada'!$A$1,0,0,300)="",MATCH("Error",AF203,0),OFFSET('Calc Canada'!$A$1,0,0,300))</f>
        <v>#N/A</v>
      </c>
      <c r="AA203" s="5" t="str">
        <f ca="1">IF(OFFSET('Calc Canada'!$A$1,0,MATCH(W$1,'Calc Canada'!$1:$1,0)-1,300)="","",OFFSET('Calc Canada'!$A$1,0,MATCH(W$1,'Calc Canada'!$1:$1,0)-1,300))</f>
        <v/>
      </c>
      <c r="AB203" s="5" t="str">
        <f ca="1">IF(OFFSET('Calc Canada'!$A$1,0,MATCH(X$1,'Calc Canada'!$1:$1,0)-1,300)="","",OFFSET('Calc Canada'!$A$1,0,MATCH(X$1,'Calc Canada'!$1:$1,0)-1,300))</f>
        <v/>
      </c>
      <c r="AC203" t="str">
        <f t="shared" ca="1" si="25"/>
        <v/>
      </c>
      <c r="AD203" t="str">
        <f t="shared" ca="1" si="26"/>
        <v/>
      </c>
    </row>
    <row r="204" spans="1:30" x14ac:dyDescent="0.25">
      <c r="A204" s="4">
        <v>41841</v>
      </c>
      <c r="B204">
        <v>1.3986000000000001</v>
      </c>
      <c r="C204" s="5">
        <v>1.5819999999999999</v>
      </c>
      <c r="D204">
        <v>1.8980999999999999</v>
      </c>
      <c r="E204">
        <v>2.1953999999999998</v>
      </c>
      <c r="F204">
        <v>2.5666000000000002</v>
      </c>
      <c r="G204">
        <v>3.133</v>
      </c>
      <c r="H204">
        <f t="shared" ca="1" si="24"/>
        <v>0.39671184738955845</v>
      </c>
      <c r="I204">
        <f t="shared" ca="1" si="24"/>
        <v>0.27063356164383562</v>
      </c>
      <c r="J204">
        <f t="shared" ca="1" si="24"/>
        <v>0.18225322878228786</v>
      </c>
      <c r="K204">
        <f t="shared" ca="1" si="24"/>
        <v>0.25453767123287657</v>
      </c>
      <c r="L204">
        <f t="shared" ca="1" si="24"/>
        <v>0.17141374538745383</v>
      </c>
      <c r="M204">
        <f t="shared" ca="1" si="24"/>
        <v>0.30195003046922586</v>
      </c>
      <c r="N204">
        <f t="shared" ca="1" si="24"/>
        <v>0.19168278529980648</v>
      </c>
      <c r="O204">
        <f t="shared" ca="1" si="24"/>
        <v>0.21402214022140245</v>
      </c>
      <c r="P204">
        <f t="shared" ca="1" si="24"/>
        <v>0.23932946486137999</v>
      </c>
      <c r="Q204">
        <f t="shared" ca="1" si="24"/>
        <v>0.30059114098307588</v>
      </c>
      <c r="R204">
        <f t="shared" ca="1" si="24"/>
        <v>0.56768911439114411</v>
      </c>
      <c r="S204">
        <f t="shared" ca="1" si="24"/>
        <v>0.38543588560885628</v>
      </c>
      <c r="T204">
        <f t="shared" ca="1" si="24"/>
        <v>0.43101225016118649</v>
      </c>
      <c r="V204" s="4">
        <f t="shared" si="21"/>
        <v>41841</v>
      </c>
      <c r="W204" s="5">
        <f t="shared" ref="W204:W267" ca="1" si="27">OFFSET($H$12,0,MATCH(selectCanada,$H$12:$T$12,0)-1,300,1)</f>
        <v>0.56768911439114411</v>
      </c>
      <c r="Z204" s="4" t="e">
        <f ca="1">IF(OFFSET('Calc Canada'!$A$1,0,0,300)="",MATCH("Error",AF204,0),OFFSET('Calc Canada'!$A$1,0,0,300))</f>
        <v>#N/A</v>
      </c>
      <c r="AA204" s="5" t="str">
        <f ca="1">IF(OFFSET('Calc Canada'!$A$1,0,MATCH(W$1,'Calc Canada'!$1:$1,0)-1,300)="","",OFFSET('Calc Canada'!$A$1,0,MATCH(W$1,'Calc Canada'!$1:$1,0)-1,300))</f>
        <v/>
      </c>
      <c r="AB204" s="5" t="str">
        <f ca="1">IF(OFFSET('Calc Canada'!$A$1,0,MATCH(X$1,'Calc Canada'!$1:$1,0)-1,300)="","",OFFSET('Calc Canada'!$A$1,0,MATCH(X$1,'Calc Canada'!$1:$1,0)-1,300))</f>
        <v/>
      </c>
      <c r="AC204" t="str">
        <f t="shared" ca="1" si="25"/>
        <v/>
      </c>
      <c r="AD204" t="str">
        <f t="shared" ca="1" si="26"/>
        <v/>
      </c>
    </row>
    <row r="205" spans="1:30" x14ac:dyDescent="0.25">
      <c r="A205" s="4">
        <v>41838</v>
      </c>
      <c r="B205">
        <v>1.3940000000000001</v>
      </c>
      <c r="C205" s="5">
        <v>1.5794999999999999</v>
      </c>
      <c r="D205">
        <v>1.9094</v>
      </c>
      <c r="E205">
        <v>2.2111999999999998</v>
      </c>
      <c r="F205">
        <v>2.5956000000000001</v>
      </c>
      <c r="G205">
        <v>3.1739999999999999</v>
      </c>
      <c r="H205">
        <f t="shared" ref="H205:T220" ca="1" si="28">IF(ISERROR(ABS(OFFSET($A$11,ROW()-11,MATCH(LEFT(H$9,2),$A$11:$G$11,0)-1)-OFFSET($A$11,ROW()-11,MATCH(RIGHT(H$9,2),$A$11:$G$11,0)-1))/ABS(OFFSET($A$11,ROW()-11,MATCH(LEFT(H$10,2),$A$11:$G$11,0)-1)-OFFSET($A$11,ROW()-11,MATCH(RIGHT(H$10,2),$A$11:$G$11,0)-1))),"",ABS(OFFSET($A$11,ROW()-11,MATCH(LEFT(H$9,2),$A$11:$G$11,0)-1)-OFFSET($A$11,ROW()-11,MATCH(RIGHT(H$9,2),$A$11:$G$11,0)-1))/ABS(OFFSET($A$11,ROW()-11,MATCH(LEFT(H$10,2),$A$11:$G$11,0)-1)-OFFSET($A$11,ROW()-11,MATCH(RIGHT(H$10,2),$A$11:$G$11,0)-1)))</f>
        <v>0.40369554576603062</v>
      </c>
      <c r="I205">
        <f t="shared" ca="1" si="28"/>
        <v>0.27455059920106534</v>
      </c>
      <c r="J205">
        <f t="shared" ca="1" si="28"/>
        <v>0.18533707865168547</v>
      </c>
      <c r="K205">
        <f t="shared" ca="1" si="28"/>
        <v>0.25116511318242329</v>
      </c>
      <c r="L205">
        <f t="shared" ca="1" si="28"/>
        <v>0.16955056179775274</v>
      </c>
      <c r="M205">
        <f t="shared" ca="1" si="28"/>
        <v>0.29701801003838185</v>
      </c>
      <c r="N205">
        <f t="shared" ca="1" si="28"/>
        <v>0.18927563499529623</v>
      </c>
      <c r="O205">
        <f t="shared" ca="1" si="28"/>
        <v>0.21595505617977548</v>
      </c>
      <c r="P205">
        <f t="shared" ca="1" si="28"/>
        <v>0.24107870805895285</v>
      </c>
      <c r="Q205">
        <f t="shared" ca="1" si="28"/>
        <v>0.30396963466708865</v>
      </c>
      <c r="R205">
        <f t="shared" ca="1" si="28"/>
        <v>0.57084269662921372</v>
      </c>
      <c r="S205">
        <f t="shared" ca="1" si="28"/>
        <v>0.38550561797752819</v>
      </c>
      <c r="T205">
        <f t="shared" ca="1" si="28"/>
        <v>0.43035434305424908</v>
      </c>
      <c r="V205" s="4">
        <f t="shared" si="21"/>
        <v>41838</v>
      </c>
      <c r="W205" s="5">
        <f t="shared" ca="1" si="27"/>
        <v>0.57084269662921372</v>
      </c>
      <c r="Z205" s="4" t="e">
        <f ca="1">IF(OFFSET('Calc Canada'!$A$1,0,0,300)="",MATCH("Error",AF205,0),OFFSET('Calc Canada'!$A$1,0,0,300))</f>
        <v>#N/A</v>
      </c>
      <c r="AA205" s="5" t="str">
        <f ca="1">IF(OFFSET('Calc Canada'!$A$1,0,MATCH(W$1,'Calc Canada'!$1:$1,0)-1,300)="","",OFFSET('Calc Canada'!$A$1,0,MATCH(W$1,'Calc Canada'!$1:$1,0)-1,300))</f>
        <v/>
      </c>
      <c r="AB205" s="5" t="str">
        <f ca="1">IF(OFFSET('Calc Canada'!$A$1,0,MATCH(X$1,'Calc Canada'!$1:$1,0)-1,300)="","",OFFSET('Calc Canada'!$A$1,0,MATCH(X$1,'Calc Canada'!$1:$1,0)-1,300))</f>
        <v/>
      </c>
      <c r="AC205" t="str">
        <f t="shared" ca="1" si="25"/>
        <v/>
      </c>
      <c r="AD205" t="str">
        <f t="shared" ca="1" si="26"/>
        <v/>
      </c>
    </row>
    <row r="206" spans="1:30" x14ac:dyDescent="0.25">
      <c r="A206" s="4">
        <v>41837</v>
      </c>
      <c r="B206">
        <v>1.3749</v>
      </c>
      <c r="C206" s="5">
        <v>1.554</v>
      </c>
      <c r="D206">
        <v>1.8700999999999999</v>
      </c>
      <c r="E206">
        <v>2.1755</v>
      </c>
      <c r="F206">
        <v>2.5569999999999999</v>
      </c>
      <c r="G206">
        <v>3.1518000000000002</v>
      </c>
      <c r="H206">
        <f t="shared" ca="1" si="28"/>
        <v>0.39482887834124386</v>
      </c>
      <c r="I206">
        <f t="shared" ca="1" si="28"/>
        <v>0.26740546485068933</v>
      </c>
      <c r="J206">
        <f t="shared" ca="1" si="28"/>
        <v>0.17789408520456965</v>
      </c>
      <c r="K206">
        <f t="shared" ca="1" si="28"/>
        <v>0.25835377717621194</v>
      </c>
      <c r="L206">
        <f t="shared" ca="1" si="28"/>
        <v>0.17187236197872705</v>
      </c>
      <c r="M206">
        <f t="shared" ca="1" si="28"/>
        <v>0.30448654037886358</v>
      </c>
      <c r="N206">
        <f t="shared" ca="1" si="28"/>
        <v>0.19113781449493059</v>
      </c>
      <c r="O206">
        <f t="shared" ca="1" si="28"/>
        <v>0.21469975800551519</v>
      </c>
      <c r="P206">
        <f t="shared" ca="1" si="28"/>
        <v>0.23876580297909622</v>
      </c>
      <c r="Q206">
        <f t="shared" ca="1" si="28"/>
        <v>0.29765155652648817</v>
      </c>
      <c r="R206">
        <f t="shared" ca="1" si="28"/>
        <v>0.56446620518881185</v>
      </c>
      <c r="S206">
        <f t="shared" ca="1" si="28"/>
        <v>0.38657211998424224</v>
      </c>
      <c r="T206">
        <f t="shared" ca="1" si="28"/>
        <v>0.42990361747402678</v>
      </c>
      <c r="V206" s="4">
        <f t="shared" ref="V206:V269" si="29">IF(A206&lt;&gt;"",A206,"")</f>
        <v>41837</v>
      </c>
      <c r="W206" s="5">
        <f t="shared" ca="1" si="27"/>
        <v>0.56446620518881185</v>
      </c>
      <c r="Z206" s="4" t="e">
        <f ca="1">IF(OFFSET('Calc Canada'!$A$1,0,0,300)="",MATCH("Error",AF206,0),OFFSET('Calc Canada'!$A$1,0,0,300))</f>
        <v>#N/A</v>
      </c>
      <c r="AA206" s="5" t="str">
        <f ca="1">IF(OFFSET('Calc Canada'!$A$1,0,MATCH(W$1,'Calc Canada'!$1:$1,0)-1,300)="","",OFFSET('Calc Canada'!$A$1,0,MATCH(W$1,'Calc Canada'!$1:$1,0)-1,300))</f>
        <v/>
      </c>
      <c r="AB206" s="5" t="str">
        <f ca="1">IF(OFFSET('Calc Canada'!$A$1,0,MATCH(X$1,'Calc Canada'!$1:$1,0)-1,300)="","",OFFSET('Calc Canada'!$A$1,0,MATCH(X$1,'Calc Canada'!$1:$1,0)-1,300))</f>
        <v/>
      </c>
      <c r="AC206" t="str">
        <f t="shared" ca="1" si="25"/>
        <v/>
      </c>
      <c r="AD206" t="str">
        <f t="shared" ca="1" si="26"/>
        <v/>
      </c>
    </row>
    <row r="207" spans="1:30" x14ac:dyDescent="0.25">
      <c r="A207" s="4">
        <v>41836</v>
      </c>
      <c r="B207">
        <v>1.403</v>
      </c>
      <c r="C207" s="5">
        <v>1.597</v>
      </c>
      <c r="D207">
        <v>1.9319999999999999</v>
      </c>
      <c r="E207">
        <v>2.2389999999999999</v>
      </c>
      <c r="F207">
        <v>2.6267</v>
      </c>
      <c r="G207">
        <v>3.2250000000000001</v>
      </c>
      <c r="H207">
        <f t="shared" ca="1" si="28"/>
        <v>0.40071770334928231</v>
      </c>
      <c r="I207">
        <f t="shared" ca="1" si="28"/>
        <v>0.27375990847429921</v>
      </c>
      <c r="J207">
        <f t="shared" ca="1" si="28"/>
        <v>0.18386388583973653</v>
      </c>
      <c r="K207">
        <f t="shared" ca="1" si="28"/>
        <v>0.25087848328838763</v>
      </c>
      <c r="L207">
        <f t="shared" ca="1" si="28"/>
        <v>0.16849615806805704</v>
      </c>
      <c r="M207">
        <f t="shared" ca="1" si="28"/>
        <v>0.2981450908031465</v>
      </c>
      <c r="N207">
        <f t="shared" ca="1" si="28"/>
        <v>0.18857493857493851</v>
      </c>
      <c r="O207">
        <f t="shared" ca="1" si="28"/>
        <v>0.21278814489571907</v>
      </c>
      <c r="P207">
        <f t="shared" ca="1" si="28"/>
        <v>0.23814496314496322</v>
      </c>
      <c r="Q207">
        <f t="shared" ca="1" si="28"/>
        <v>0.29984532095901012</v>
      </c>
      <c r="R207">
        <f t="shared" ca="1" si="28"/>
        <v>0.56514818880351259</v>
      </c>
      <c r="S207">
        <f t="shared" ca="1" si="28"/>
        <v>0.38128430296377613</v>
      </c>
      <c r="T207">
        <f t="shared" ca="1" si="28"/>
        <v>0.42671990171990176</v>
      </c>
      <c r="V207" s="4">
        <f t="shared" si="29"/>
        <v>41836</v>
      </c>
      <c r="W207" s="5">
        <f t="shared" ca="1" si="27"/>
        <v>0.56514818880351259</v>
      </c>
      <c r="Z207" s="4" t="e">
        <f ca="1">IF(OFFSET('Calc Canada'!$A$1,0,0,300)="",MATCH("Error",AF207,0),OFFSET('Calc Canada'!$A$1,0,0,300))</f>
        <v>#N/A</v>
      </c>
      <c r="AA207" s="5" t="str">
        <f ca="1">IF(OFFSET('Calc Canada'!$A$1,0,MATCH(W$1,'Calc Canada'!$1:$1,0)-1,300)="","",OFFSET('Calc Canada'!$A$1,0,MATCH(W$1,'Calc Canada'!$1:$1,0)-1,300))</f>
        <v/>
      </c>
      <c r="AB207" s="5" t="str">
        <f ca="1">IF(OFFSET('Calc Canada'!$A$1,0,MATCH(X$1,'Calc Canada'!$1:$1,0)-1,300)="","",OFFSET('Calc Canada'!$A$1,0,MATCH(X$1,'Calc Canada'!$1:$1,0)-1,300))</f>
        <v/>
      </c>
      <c r="AC207" t="str">
        <f t="shared" ca="1" si="25"/>
        <v/>
      </c>
      <c r="AD207" t="str">
        <f t="shared" ca="1" si="26"/>
        <v/>
      </c>
    </row>
    <row r="208" spans="1:30" x14ac:dyDescent="0.25">
      <c r="A208" s="4">
        <v>41835</v>
      </c>
      <c r="B208">
        <v>1.4142999999999999</v>
      </c>
      <c r="C208" s="5">
        <v>1.6139999999999999</v>
      </c>
      <c r="D208">
        <v>1.9525000000000001</v>
      </c>
      <c r="E208">
        <v>2.2625000000000002</v>
      </c>
      <c r="F208">
        <v>2.6526000000000001</v>
      </c>
      <c r="G208">
        <v>3.246</v>
      </c>
      <c r="H208">
        <f t="shared" ca="1" si="28"/>
        <v>0.39908040556472546</v>
      </c>
      <c r="I208">
        <f t="shared" ca="1" si="28"/>
        <v>0.27335863684083034</v>
      </c>
      <c r="J208">
        <f t="shared" ca="1" si="28"/>
        <v>0.18480100453130985</v>
      </c>
      <c r="K208">
        <f t="shared" ca="1" si="28"/>
        <v>0.25034321246870711</v>
      </c>
      <c r="L208">
        <f t="shared" ca="1" si="28"/>
        <v>0.16924168804935308</v>
      </c>
      <c r="M208">
        <f t="shared" ca="1" si="28"/>
        <v>0.29847872135567111</v>
      </c>
      <c r="N208">
        <f t="shared" ca="1" si="28"/>
        <v>0.18995098039215688</v>
      </c>
      <c r="O208">
        <f t="shared" ca="1" si="28"/>
        <v>0.21297155647758906</v>
      </c>
      <c r="P208">
        <f t="shared" ca="1" si="28"/>
        <v>0.23903186274509797</v>
      </c>
      <c r="Q208">
        <f t="shared" ca="1" si="28"/>
        <v>0.3015848473134905</v>
      </c>
      <c r="R208">
        <f t="shared" ca="1" si="28"/>
        <v>0.56701424905825193</v>
      </c>
      <c r="S208">
        <f t="shared" ca="1" si="28"/>
        <v>0.38221324452694211</v>
      </c>
      <c r="T208">
        <f t="shared" ca="1" si="28"/>
        <v>0.42898284313725482</v>
      </c>
      <c r="V208" s="4">
        <f t="shared" si="29"/>
        <v>41835</v>
      </c>
      <c r="W208" s="5">
        <f t="shared" ca="1" si="27"/>
        <v>0.56701424905825193</v>
      </c>
      <c r="Z208" s="4" t="e">
        <f ca="1">IF(OFFSET('Calc Canada'!$A$1,0,0,300)="",MATCH("Error",AF208,0),OFFSET('Calc Canada'!$A$1,0,0,300))</f>
        <v>#N/A</v>
      </c>
      <c r="AA208" s="5" t="str">
        <f ca="1">IF(OFFSET('Calc Canada'!$A$1,0,MATCH(W$1,'Calc Canada'!$1:$1,0)-1,300)="","",OFFSET('Calc Canada'!$A$1,0,MATCH(W$1,'Calc Canada'!$1:$1,0)-1,300))</f>
        <v/>
      </c>
      <c r="AB208" s="5" t="str">
        <f ca="1">IF(OFFSET('Calc Canada'!$A$1,0,MATCH(X$1,'Calc Canada'!$1:$1,0)-1,300)="","",OFFSET('Calc Canada'!$A$1,0,MATCH(X$1,'Calc Canada'!$1:$1,0)-1,300))</f>
        <v/>
      </c>
      <c r="AC208" t="str">
        <f t="shared" ca="1" si="25"/>
        <v/>
      </c>
      <c r="AD208" t="str">
        <f t="shared" ca="1" si="26"/>
        <v/>
      </c>
    </row>
    <row r="209" spans="1:30" x14ac:dyDescent="0.25">
      <c r="A209" s="4">
        <v>41834</v>
      </c>
      <c r="B209">
        <v>1.4157</v>
      </c>
      <c r="C209" s="5">
        <v>1.6097000000000001</v>
      </c>
      <c r="D209">
        <v>1.95</v>
      </c>
      <c r="E209">
        <v>2.2606999999999999</v>
      </c>
      <c r="F209">
        <v>2.6513</v>
      </c>
      <c r="G209">
        <v>3.2446000000000002</v>
      </c>
      <c r="H209">
        <f t="shared" ca="1" si="28"/>
        <v>0.40272189349112408</v>
      </c>
      <c r="I209">
        <f t="shared" ca="1" si="28"/>
        <v>0.27541275493687262</v>
      </c>
      <c r="J209">
        <f t="shared" ca="1" si="28"/>
        <v>0.18606812838318104</v>
      </c>
      <c r="K209">
        <f t="shared" ca="1" si="28"/>
        <v>0.25145678213013917</v>
      </c>
      <c r="L209">
        <f t="shared" ca="1" si="28"/>
        <v>0.16988353655202579</v>
      </c>
      <c r="M209">
        <f t="shared" ca="1" si="28"/>
        <v>0.2982910906298003</v>
      </c>
      <c r="N209">
        <f t="shared" ca="1" si="28"/>
        <v>0.19004220441617223</v>
      </c>
      <c r="O209">
        <f t="shared" ca="1" si="28"/>
        <v>0.21357099896112419</v>
      </c>
      <c r="P209">
        <f t="shared" ca="1" si="28"/>
        <v>0.23891369502721882</v>
      </c>
      <c r="Q209">
        <f t="shared" ca="1" si="28"/>
        <v>0.30171481538699213</v>
      </c>
      <c r="R209">
        <f t="shared" ca="1" si="28"/>
        <v>0.56952266389633099</v>
      </c>
      <c r="S209">
        <f t="shared" ca="1" si="28"/>
        <v>0.38345453551314995</v>
      </c>
      <c r="T209">
        <f t="shared" ca="1" si="28"/>
        <v>0.42895589944339108</v>
      </c>
      <c r="V209" s="4">
        <f t="shared" si="29"/>
        <v>41834</v>
      </c>
      <c r="W209" s="5">
        <f t="shared" ca="1" si="27"/>
        <v>0.56952266389633099</v>
      </c>
      <c r="Z209" s="4" t="e">
        <f ca="1">IF(OFFSET('Calc Canada'!$A$1,0,0,300)="",MATCH("Error",AF209,0),OFFSET('Calc Canada'!$A$1,0,0,300))</f>
        <v>#N/A</v>
      </c>
      <c r="AA209" s="5" t="str">
        <f ca="1">IF(OFFSET('Calc Canada'!$A$1,0,MATCH(W$1,'Calc Canada'!$1:$1,0)-1,300)="","",OFFSET('Calc Canada'!$A$1,0,MATCH(W$1,'Calc Canada'!$1:$1,0)-1,300))</f>
        <v/>
      </c>
      <c r="AB209" s="5" t="str">
        <f ca="1">IF(OFFSET('Calc Canada'!$A$1,0,MATCH(X$1,'Calc Canada'!$1:$1,0)-1,300)="","",OFFSET('Calc Canada'!$A$1,0,MATCH(X$1,'Calc Canada'!$1:$1,0)-1,300))</f>
        <v/>
      </c>
      <c r="AC209" t="str">
        <f t="shared" ca="1" si="25"/>
        <v/>
      </c>
      <c r="AD209" t="str">
        <f t="shared" ca="1" si="26"/>
        <v/>
      </c>
    </row>
    <row r="210" spans="1:30" x14ac:dyDescent="0.25">
      <c r="A210" s="4">
        <v>41831</v>
      </c>
      <c r="B210">
        <v>1.4215</v>
      </c>
      <c r="C210" s="5">
        <v>1.615</v>
      </c>
      <c r="D210">
        <v>1.9569999999999999</v>
      </c>
      <c r="E210">
        <v>2.2534999999999998</v>
      </c>
      <c r="F210">
        <v>2.653</v>
      </c>
      <c r="G210">
        <v>3.2422</v>
      </c>
      <c r="H210">
        <f t="shared" ca="1" si="28"/>
        <v>0.41105769230769224</v>
      </c>
      <c r="I210">
        <f t="shared" ca="1" si="28"/>
        <v>0.27771010962241155</v>
      </c>
      <c r="J210">
        <f t="shared" ca="1" si="28"/>
        <v>0.18783984181908051</v>
      </c>
      <c r="K210">
        <f t="shared" ca="1" si="28"/>
        <v>0.24076329679252942</v>
      </c>
      <c r="L210">
        <f t="shared" ca="1" si="28"/>
        <v>0.16284945350689295</v>
      </c>
      <c r="M210">
        <f t="shared" ca="1" si="28"/>
        <v>0.28564547206165702</v>
      </c>
      <c r="N210">
        <f t="shared" ca="1" si="28"/>
        <v>0.18221484759095377</v>
      </c>
      <c r="O210">
        <f t="shared" ca="1" si="28"/>
        <v>0.21942110177404306</v>
      </c>
      <c r="P210">
        <f t="shared" ca="1" si="28"/>
        <v>0.24551376597836785</v>
      </c>
      <c r="Q210">
        <f t="shared" ca="1" si="28"/>
        <v>0.31084656084656098</v>
      </c>
      <c r="R210">
        <f t="shared" ca="1" si="28"/>
        <v>0.57011039710001654</v>
      </c>
      <c r="S210">
        <f t="shared" ca="1" si="28"/>
        <v>0.38227055528093601</v>
      </c>
      <c r="T210">
        <f t="shared" ca="1" si="28"/>
        <v>0.42772861356932163</v>
      </c>
      <c r="V210" s="4">
        <f t="shared" si="29"/>
        <v>41831</v>
      </c>
      <c r="W210" s="5">
        <f t="shared" ca="1" si="27"/>
        <v>0.57011039710001654</v>
      </c>
      <c r="Z210" s="4" t="e">
        <f ca="1">IF(OFFSET('Calc Canada'!$A$1,0,0,300)="",MATCH("Error",AF210,0),OFFSET('Calc Canada'!$A$1,0,0,300))</f>
        <v>#N/A</v>
      </c>
      <c r="AA210" s="5" t="str">
        <f ca="1">IF(OFFSET('Calc Canada'!$A$1,0,MATCH(W$1,'Calc Canada'!$1:$1,0)-1,300)="","",OFFSET('Calc Canada'!$A$1,0,MATCH(W$1,'Calc Canada'!$1:$1,0)-1,300))</f>
        <v/>
      </c>
      <c r="AB210" s="5" t="str">
        <f ca="1">IF(OFFSET('Calc Canada'!$A$1,0,MATCH(X$1,'Calc Canada'!$1:$1,0)-1,300)="","",OFFSET('Calc Canada'!$A$1,0,MATCH(X$1,'Calc Canada'!$1:$1,0)-1,300))</f>
        <v/>
      </c>
      <c r="AC210" t="str">
        <f t="shared" ca="1" si="25"/>
        <v/>
      </c>
      <c r="AD210" t="str">
        <f t="shared" ca="1" si="26"/>
        <v/>
      </c>
    </row>
    <row r="211" spans="1:30" x14ac:dyDescent="0.25">
      <c r="A211" s="4">
        <v>41830</v>
      </c>
      <c r="B211">
        <v>1.4372</v>
      </c>
      <c r="C211" s="5">
        <v>1.637</v>
      </c>
      <c r="D211">
        <v>1.984</v>
      </c>
      <c r="E211">
        <v>2.2913000000000001</v>
      </c>
      <c r="F211">
        <v>2.6785000000000001</v>
      </c>
      <c r="G211">
        <v>3.2641</v>
      </c>
      <c r="H211">
        <f t="shared" ca="1" si="28"/>
        <v>0.40627561175506371</v>
      </c>
      <c r="I211">
        <f t="shared" ca="1" si="28"/>
        <v>0.27954563763796014</v>
      </c>
      <c r="J211">
        <f t="shared" ca="1" si="28"/>
        <v>0.18993924133778531</v>
      </c>
      <c r="K211">
        <f t="shared" ca="1" si="28"/>
        <v>0.24756303874969798</v>
      </c>
      <c r="L211">
        <f t="shared" ca="1" si="28"/>
        <v>0.16820844052766989</v>
      </c>
      <c r="M211">
        <f t="shared" ca="1" si="28"/>
        <v>0.29505520883341346</v>
      </c>
      <c r="N211">
        <f t="shared" ca="1" si="28"/>
        <v>0.18886362239567336</v>
      </c>
      <c r="O211">
        <f t="shared" ca="1" si="28"/>
        <v>0.2119437298155345</v>
      </c>
      <c r="P211">
        <f t="shared" ca="1" si="28"/>
        <v>0.23796939339929937</v>
      </c>
      <c r="Q211">
        <f t="shared" ca="1" si="28"/>
        <v>0.30247636903366926</v>
      </c>
      <c r="R211">
        <f t="shared" ca="1" si="28"/>
        <v>0.57009141168098976</v>
      </c>
      <c r="S211">
        <f t="shared" ca="1" si="28"/>
        <v>0.38015217034320442</v>
      </c>
      <c r="T211">
        <f t="shared" ca="1" si="28"/>
        <v>0.42683301579497274</v>
      </c>
      <c r="V211" s="4">
        <f t="shared" si="29"/>
        <v>41830</v>
      </c>
      <c r="W211" s="5">
        <f t="shared" ca="1" si="27"/>
        <v>0.57009141168098976</v>
      </c>
      <c r="Z211" s="4" t="e">
        <f ca="1">IF(OFFSET('Calc Canada'!$A$1,0,0,300)="",MATCH("Error",AF211,0),OFFSET('Calc Canada'!$A$1,0,0,300))</f>
        <v>#N/A</v>
      </c>
      <c r="AA211" s="5" t="str">
        <f ca="1">IF(OFFSET('Calc Canada'!$A$1,0,MATCH(W$1,'Calc Canada'!$1:$1,0)-1,300)="","",OFFSET('Calc Canada'!$A$1,0,MATCH(W$1,'Calc Canada'!$1:$1,0)-1,300))</f>
        <v/>
      </c>
      <c r="AB211" s="5" t="str">
        <f ca="1">IF(OFFSET('Calc Canada'!$A$1,0,MATCH(X$1,'Calc Canada'!$1:$1,0)-1,300)="","",OFFSET('Calc Canada'!$A$1,0,MATCH(X$1,'Calc Canada'!$1:$1,0)-1,300))</f>
        <v/>
      </c>
      <c r="AC211" t="str">
        <f t="shared" ca="1" si="25"/>
        <v/>
      </c>
      <c r="AD211" t="str">
        <f t="shared" ca="1" si="26"/>
        <v/>
      </c>
    </row>
    <row r="212" spans="1:30" x14ac:dyDescent="0.25">
      <c r="A212" s="4">
        <v>41829</v>
      </c>
      <c r="B212">
        <v>1.4372</v>
      </c>
      <c r="C212" s="5">
        <v>1.6360000000000001</v>
      </c>
      <c r="D212">
        <v>1.9870000000000001</v>
      </c>
      <c r="E212">
        <v>2.2957999999999998</v>
      </c>
      <c r="F212">
        <v>2.6827999999999999</v>
      </c>
      <c r="G212">
        <v>3.2606999999999999</v>
      </c>
      <c r="H212">
        <f t="shared" ca="1" si="28"/>
        <v>0.40880503144654096</v>
      </c>
      <c r="I212">
        <f t="shared" ca="1" si="28"/>
        <v>0.28179190751445088</v>
      </c>
      <c r="J212">
        <f t="shared" ca="1" si="28"/>
        <v>0.19248697559638059</v>
      </c>
      <c r="K212">
        <f t="shared" ca="1" si="28"/>
        <v>0.24791265253692982</v>
      </c>
      <c r="L212">
        <f t="shared" ca="1" si="28"/>
        <v>0.16934466684946517</v>
      </c>
      <c r="M212">
        <f t="shared" ca="1" si="28"/>
        <v>0.29499426824608316</v>
      </c>
      <c r="N212">
        <f t="shared" ca="1" si="28"/>
        <v>0.19006585831230366</v>
      </c>
      <c r="O212">
        <f t="shared" ca="1" si="28"/>
        <v>0.21222922950370168</v>
      </c>
      <c r="P212">
        <f t="shared" ca="1" si="28"/>
        <v>0.2381978211362098</v>
      </c>
      <c r="Q212">
        <f t="shared" ca="1" si="28"/>
        <v>0.30383920860485203</v>
      </c>
      <c r="R212">
        <f t="shared" ca="1" si="28"/>
        <v>0.57406087194954747</v>
      </c>
      <c r="S212">
        <f t="shared" ca="1" si="28"/>
        <v>0.38157389635316685</v>
      </c>
      <c r="T212">
        <f t="shared" ca="1" si="28"/>
        <v>0.42826367944851346</v>
      </c>
      <c r="V212" s="4">
        <f t="shared" si="29"/>
        <v>41829</v>
      </c>
      <c r="W212" s="5">
        <f t="shared" ca="1" si="27"/>
        <v>0.57406087194954747</v>
      </c>
      <c r="Z212" s="4" t="e">
        <f ca="1">IF(OFFSET('Calc Canada'!$A$1,0,0,300)="",MATCH("Error",AF212,0),OFFSET('Calc Canada'!$A$1,0,0,300))</f>
        <v>#N/A</v>
      </c>
      <c r="AA212" s="5" t="str">
        <f ca="1">IF(OFFSET('Calc Canada'!$A$1,0,MATCH(W$1,'Calc Canada'!$1:$1,0)-1,300)="","",OFFSET('Calc Canada'!$A$1,0,MATCH(W$1,'Calc Canada'!$1:$1,0)-1,300))</f>
        <v/>
      </c>
      <c r="AB212" s="5" t="str">
        <f ca="1">IF(OFFSET('Calc Canada'!$A$1,0,MATCH(X$1,'Calc Canada'!$1:$1,0)-1,300)="","",OFFSET('Calc Canada'!$A$1,0,MATCH(X$1,'Calc Canada'!$1:$1,0)-1,300))</f>
        <v/>
      </c>
      <c r="AC212" t="str">
        <f t="shared" ca="1" si="25"/>
        <v/>
      </c>
      <c r="AD212" t="str">
        <f t="shared" ca="1" si="26"/>
        <v/>
      </c>
    </row>
    <row r="213" spans="1:30" x14ac:dyDescent="0.25">
      <c r="A213" s="4">
        <v>41828</v>
      </c>
      <c r="B213">
        <v>1.4317</v>
      </c>
      <c r="C213" s="5">
        <v>1.631</v>
      </c>
      <c r="D213">
        <v>1.9773000000000001</v>
      </c>
      <c r="E213">
        <v>2.2927</v>
      </c>
      <c r="F213">
        <v>2.6850000000000001</v>
      </c>
      <c r="G213">
        <v>3.2667000000000002</v>
      </c>
      <c r="H213">
        <f t="shared" ca="1" si="28"/>
        <v>0.40220673635307791</v>
      </c>
      <c r="I213">
        <f t="shared" ca="1" si="28"/>
        <v>0.2763105401739408</v>
      </c>
      <c r="J213">
        <f t="shared" ca="1" si="28"/>
        <v>0.18871934604904633</v>
      </c>
      <c r="K213">
        <f t="shared" ca="1" si="28"/>
        <v>0.25165562913907275</v>
      </c>
      <c r="L213">
        <f t="shared" ca="1" si="28"/>
        <v>0.17188010899182554</v>
      </c>
      <c r="M213">
        <f t="shared" ca="1" si="28"/>
        <v>0.29924098671726745</v>
      </c>
      <c r="N213">
        <f t="shared" ca="1" si="28"/>
        <v>0.19282264473925528</v>
      </c>
      <c r="O213">
        <f t="shared" ca="1" si="28"/>
        <v>0.21378746594005452</v>
      </c>
      <c r="P213">
        <f t="shared" ca="1" si="28"/>
        <v>0.23983615577428627</v>
      </c>
      <c r="Q213">
        <f t="shared" ca="1" si="28"/>
        <v>0.30425003877772611</v>
      </c>
      <c r="R213">
        <f t="shared" ca="1" si="28"/>
        <v>0.57438692098092636</v>
      </c>
      <c r="S213">
        <f t="shared" ca="1" si="28"/>
        <v>0.38566757493188009</v>
      </c>
      <c r="T213">
        <f t="shared" ca="1" si="28"/>
        <v>0.43265880051354155</v>
      </c>
      <c r="V213" s="4">
        <f t="shared" si="29"/>
        <v>41828</v>
      </c>
      <c r="W213" s="5">
        <f t="shared" ca="1" si="27"/>
        <v>0.57438692098092636</v>
      </c>
      <c r="Z213" s="4" t="e">
        <f ca="1">IF(OFFSET('Calc Canada'!$A$1,0,0,300)="",MATCH("Error",AF213,0),OFFSET('Calc Canada'!$A$1,0,0,300))</f>
        <v>#N/A</v>
      </c>
      <c r="AA213" s="5" t="str">
        <f ca="1">IF(OFFSET('Calc Canada'!$A$1,0,MATCH(W$1,'Calc Canada'!$1:$1,0)-1,300)="","",OFFSET('Calc Canada'!$A$1,0,MATCH(W$1,'Calc Canada'!$1:$1,0)-1,300))</f>
        <v/>
      </c>
      <c r="AB213" s="5" t="str">
        <f ca="1">IF(OFFSET('Calc Canada'!$A$1,0,MATCH(X$1,'Calc Canada'!$1:$1,0)-1,300)="","",OFFSET('Calc Canada'!$A$1,0,MATCH(X$1,'Calc Canada'!$1:$1,0)-1,300))</f>
        <v/>
      </c>
      <c r="AC213" t="str">
        <f t="shared" ca="1" si="25"/>
        <v/>
      </c>
      <c r="AD213" t="str">
        <f t="shared" ca="1" si="26"/>
        <v/>
      </c>
    </row>
    <row r="214" spans="1:30" x14ac:dyDescent="0.25">
      <c r="A214" s="4">
        <v>41827</v>
      </c>
      <c r="B214">
        <v>1.4461999999999999</v>
      </c>
      <c r="C214" s="5">
        <v>1.6463000000000001</v>
      </c>
      <c r="D214">
        <v>2.0205000000000002</v>
      </c>
      <c r="E214">
        <v>2.3487</v>
      </c>
      <c r="F214">
        <v>2.7343999999999999</v>
      </c>
      <c r="G214">
        <v>3.3079999999999998</v>
      </c>
      <c r="H214">
        <f t="shared" ca="1" si="28"/>
        <v>0.4146260387811635</v>
      </c>
      <c r="I214">
        <f t="shared" ca="1" si="28"/>
        <v>0.29048284427883875</v>
      </c>
      <c r="J214">
        <f t="shared" ca="1" si="28"/>
        <v>0.2009882909012784</v>
      </c>
      <c r="K214">
        <f t="shared" ca="1" si="28"/>
        <v>0.25477410340009299</v>
      </c>
      <c r="L214">
        <f t="shared" ca="1" si="28"/>
        <v>0.17628101836931992</v>
      </c>
      <c r="M214">
        <f t="shared" ca="1" si="28"/>
        <v>0.30162668872346282</v>
      </c>
      <c r="N214">
        <f t="shared" ca="1" si="28"/>
        <v>0.19750857555515428</v>
      </c>
      <c r="O214">
        <f t="shared" ca="1" si="28"/>
        <v>0.20716510903426788</v>
      </c>
      <c r="P214">
        <f t="shared" ca="1" si="28"/>
        <v>0.23211169284467714</v>
      </c>
      <c r="Q214">
        <f t="shared" ca="1" si="28"/>
        <v>0.29957281553398063</v>
      </c>
      <c r="R214">
        <f t="shared" ca="1" si="28"/>
        <v>0.5844344183048662</v>
      </c>
      <c r="S214">
        <f t="shared" ca="1" si="28"/>
        <v>0.3834461274035878</v>
      </c>
      <c r="T214">
        <f t="shared" ca="1" si="28"/>
        <v>0.42962026839983142</v>
      </c>
      <c r="V214" s="4">
        <f t="shared" si="29"/>
        <v>41827</v>
      </c>
      <c r="W214" s="5">
        <f t="shared" ca="1" si="27"/>
        <v>0.5844344183048662</v>
      </c>
      <c r="Z214" s="4" t="e">
        <f ca="1">IF(OFFSET('Calc Canada'!$A$1,0,0,300)="",MATCH("Error",AF214,0),OFFSET('Calc Canada'!$A$1,0,0,300))</f>
        <v>#N/A</v>
      </c>
      <c r="AA214" s="5" t="str">
        <f ca="1">IF(OFFSET('Calc Canada'!$A$1,0,MATCH(W$1,'Calc Canada'!$1:$1,0)-1,300)="","",OFFSET('Calc Canada'!$A$1,0,MATCH(W$1,'Calc Canada'!$1:$1,0)-1,300))</f>
        <v/>
      </c>
      <c r="AB214" s="5" t="str">
        <f ca="1">IF(OFFSET('Calc Canada'!$A$1,0,MATCH(X$1,'Calc Canada'!$1:$1,0)-1,300)="","",OFFSET('Calc Canada'!$A$1,0,MATCH(X$1,'Calc Canada'!$1:$1,0)-1,300))</f>
        <v/>
      </c>
      <c r="AC214" t="str">
        <f t="shared" ca="1" si="25"/>
        <v/>
      </c>
      <c r="AD214" t="str">
        <f t="shared" ca="1" si="26"/>
        <v/>
      </c>
    </row>
    <row r="215" spans="1:30" x14ac:dyDescent="0.25">
      <c r="A215" s="4">
        <v>41824</v>
      </c>
      <c r="B215">
        <v>1.4525000000000001</v>
      </c>
      <c r="C215" s="5">
        <v>1.6619999999999999</v>
      </c>
      <c r="D215">
        <v>2.0394999999999999</v>
      </c>
      <c r="E215">
        <v>2.3652000000000002</v>
      </c>
      <c r="F215">
        <v>2.7637</v>
      </c>
      <c r="G215">
        <v>3.3224999999999998</v>
      </c>
      <c r="H215">
        <f t="shared" ca="1" si="28"/>
        <v>0.41360797633395413</v>
      </c>
      <c r="I215">
        <f t="shared" ca="1" si="28"/>
        <v>0.28790420988407561</v>
      </c>
      <c r="J215">
        <f t="shared" ca="1" si="28"/>
        <v>0.2018716577540107</v>
      </c>
      <c r="K215">
        <f t="shared" ca="1" si="28"/>
        <v>0.24839841366687029</v>
      </c>
      <c r="L215">
        <f t="shared" ca="1" si="28"/>
        <v>0.17417112299465262</v>
      </c>
      <c r="M215">
        <f t="shared" ca="1" si="28"/>
        <v>0.29563402015067647</v>
      </c>
      <c r="N215">
        <f t="shared" ca="1" si="28"/>
        <v>0.19614573923517034</v>
      </c>
      <c r="O215">
        <f t="shared" ca="1" si="28"/>
        <v>0.21310160427807481</v>
      </c>
      <c r="P215">
        <f t="shared" ca="1" si="28"/>
        <v>0.23998795543510984</v>
      </c>
      <c r="Q215">
        <f t="shared" ca="1" si="28"/>
        <v>0.31060015588464529</v>
      </c>
      <c r="R215">
        <f t="shared" ca="1" si="28"/>
        <v>0.58914438502673816</v>
      </c>
      <c r="S215">
        <f t="shared" ca="1" si="28"/>
        <v>0.38727272727272744</v>
      </c>
      <c r="T215">
        <f t="shared" ca="1" si="28"/>
        <v>0.43613369467028018</v>
      </c>
      <c r="V215" s="4">
        <f t="shared" si="29"/>
        <v>41824</v>
      </c>
      <c r="W215" s="5">
        <f t="shared" ca="1" si="27"/>
        <v>0.58914438502673816</v>
      </c>
      <c r="Z215" s="4" t="e">
        <f ca="1">IF(OFFSET('Calc Canada'!$A$1,0,0,300)="",MATCH("Error",AF215,0),OFFSET('Calc Canada'!$A$1,0,0,300))</f>
        <v>#N/A</v>
      </c>
      <c r="AA215" s="5" t="str">
        <f ca="1">IF(OFFSET('Calc Canada'!$A$1,0,MATCH(W$1,'Calc Canada'!$1:$1,0)-1,300)="","",OFFSET('Calc Canada'!$A$1,0,MATCH(W$1,'Calc Canada'!$1:$1,0)-1,300))</f>
        <v/>
      </c>
      <c r="AB215" s="5" t="str">
        <f ca="1">IF(OFFSET('Calc Canada'!$A$1,0,MATCH(X$1,'Calc Canada'!$1:$1,0)-1,300)="","",OFFSET('Calc Canada'!$A$1,0,MATCH(X$1,'Calc Canada'!$1:$1,0)-1,300))</f>
        <v/>
      </c>
      <c r="AC215" t="str">
        <f t="shared" ca="1" si="25"/>
        <v/>
      </c>
      <c r="AD215" t="str">
        <f t="shared" ca="1" si="26"/>
        <v/>
      </c>
    </row>
    <row r="216" spans="1:30" x14ac:dyDescent="0.25">
      <c r="A216" s="4">
        <v>41823</v>
      </c>
      <c r="B216">
        <v>1.45</v>
      </c>
      <c r="C216" s="5">
        <v>1.6548</v>
      </c>
      <c r="D216">
        <v>2.0345</v>
      </c>
      <c r="E216">
        <v>2.3574000000000002</v>
      </c>
      <c r="F216">
        <v>2.7547000000000001</v>
      </c>
      <c r="G216">
        <v>3.3172000000000001</v>
      </c>
      <c r="H216">
        <f t="shared" ca="1" si="28"/>
        <v>0.41844831386378645</v>
      </c>
      <c r="I216">
        <f t="shared" ca="1" si="28"/>
        <v>0.29102475664903799</v>
      </c>
      <c r="J216">
        <f t="shared" ca="1" si="28"/>
        <v>0.20335261353898881</v>
      </c>
      <c r="K216">
        <f t="shared" ca="1" si="28"/>
        <v>0.24748984440867644</v>
      </c>
      <c r="L216">
        <f t="shared" ca="1" si="28"/>
        <v>0.17293273350471303</v>
      </c>
      <c r="M216">
        <f t="shared" ca="1" si="28"/>
        <v>0.29357214292208395</v>
      </c>
      <c r="N216">
        <f t="shared" ca="1" si="28"/>
        <v>0.19423724735322437</v>
      </c>
      <c r="O216">
        <f t="shared" ca="1" si="28"/>
        <v>0.2127784918594687</v>
      </c>
      <c r="P216">
        <f t="shared" ca="1" si="28"/>
        <v>0.23899181905678535</v>
      </c>
      <c r="Q216">
        <f t="shared" ca="1" si="28"/>
        <v>0.30973727293989234</v>
      </c>
      <c r="R216">
        <f t="shared" ca="1" si="28"/>
        <v>0.58906383890317049</v>
      </c>
      <c r="S216">
        <f t="shared" ca="1" si="28"/>
        <v>0.38571122536418173</v>
      </c>
      <c r="T216">
        <f t="shared" ca="1" si="28"/>
        <v>0.43322906641000969</v>
      </c>
      <c r="V216" s="4">
        <f t="shared" si="29"/>
        <v>41823</v>
      </c>
      <c r="W216" s="5">
        <f t="shared" ca="1" si="27"/>
        <v>0.58906383890317049</v>
      </c>
      <c r="Z216" s="4" t="e">
        <f ca="1">IF(OFFSET('Calc Canada'!$A$1,0,0,300)="",MATCH("Error",AF216,0),OFFSET('Calc Canada'!$A$1,0,0,300))</f>
        <v>#N/A</v>
      </c>
      <c r="AA216" s="5" t="str">
        <f ca="1">IF(OFFSET('Calc Canada'!$A$1,0,MATCH(W$1,'Calc Canada'!$1:$1,0)-1,300)="","",OFFSET('Calc Canada'!$A$1,0,MATCH(W$1,'Calc Canada'!$1:$1,0)-1,300))</f>
        <v/>
      </c>
      <c r="AB216" s="5" t="str">
        <f ca="1">IF(OFFSET('Calc Canada'!$A$1,0,MATCH(X$1,'Calc Canada'!$1:$1,0)-1,300)="","",OFFSET('Calc Canada'!$A$1,0,MATCH(X$1,'Calc Canada'!$1:$1,0)-1,300))</f>
        <v/>
      </c>
      <c r="AC216" t="str">
        <f t="shared" ca="1" si="25"/>
        <v/>
      </c>
      <c r="AD216" t="str">
        <f t="shared" ca="1" si="26"/>
        <v/>
      </c>
    </row>
    <row r="217" spans="1:30" x14ac:dyDescent="0.25">
      <c r="A217" s="4">
        <v>41822</v>
      </c>
      <c r="B217">
        <v>1.4498</v>
      </c>
      <c r="C217" s="5">
        <v>1.647</v>
      </c>
      <c r="D217">
        <v>2.0255000000000001</v>
      </c>
      <c r="E217">
        <v>2.3498000000000001</v>
      </c>
      <c r="F217">
        <v>2.7561</v>
      </c>
      <c r="G217">
        <v>3.3197000000000001</v>
      </c>
      <c r="H217">
        <f t="shared" ca="1" si="28"/>
        <v>0.42055555555555557</v>
      </c>
      <c r="I217">
        <f t="shared" ca="1" si="28"/>
        <v>0.2897496746536018</v>
      </c>
      <c r="J217">
        <f t="shared" ca="1" si="28"/>
        <v>0.20241724156372001</v>
      </c>
      <c r="K217">
        <f t="shared" ca="1" si="28"/>
        <v>0.24825843986833043</v>
      </c>
      <c r="L217">
        <f t="shared" ca="1" si="28"/>
        <v>0.17343173431734318</v>
      </c>
      <c r="M217">
        <f t="shared" ca="1" si="28"/>
        <v>0.29239924262915884</v>
      </c>
      <c r="N217">
        <f t="shared" ca="1" si="28"/>
        <v>0.19387816105697375</v>
      </c>
      <c r="O217">
        <f t="shared" ca="1" si="28"/>
        <v>0.21728434675651095</v>
      </c>
      <c r="P217">
        <f t="shared" ca="1" si="28"/>
        <v>0.24290069946792603</v>
      </c>
      <c r="Q217">
        <f t="shared" ca="1" si="28"/>
        <v>0.31393911296553845</v>
      </c>
      <c r="R217">
        <f t="shared" ca="1" si="28"/>
        <v>0.59313332263757412</v>
      </c>
      <c r="S217">
        <f t="shared" ca="1" si="28"/>
        <v>0.39071608107385414</v>
      </c>
      <c r="T217">
        <f t="shared" ca="1" si="28"/>
        <v>0.43677886052489978</v>
      </c>
      <c r="V217" s="4">
        <f t="shared" si="29"/>
        <v>41822</v>
      </c>
      <c r="W217" s="5">
        <f t="shared" ca="1" si="27"/>
        <v>0.59313332263757412</v>
      </c>
      <c r="Z217" s="4" t="e">
        <f ca="1">IF(OFFSET('Calc Canada'!$A$1,0,0,300)="",MATCH("Error",AF217,0),OFFSET('Calc Canada'!$A$1,0,0,300))</f>
        <v>#N/A</v>
      </c>
      <c r="AA217" s="5" t="str">
        <f ca="1">IF(OFFSET('Calc Canada'!$A$1,0,MATCH(W$1,'Calc Canada'!$1:$1,0)-1,300)="","",OFFSET('Calc Canada'!$A$1,0,MATCH(W$1,'Calc Canada'!$1:$1,0)-1,300))</f>
        <v/>
      </c>
      <c r="AB217" s="5" t="str">
        <f ca="1">IF(OFFSET('Calc Canada'!$A$1,0,MATCH(X$1,'Calc Canada'!$1:$1,0)-1,300)="","",OFFSET('Calc Canada'!$A$1,0,MATCH(X$1,'Calc Canada'!$1:$1,0)-1,300))</f>
        <v/>
      </c>
      <c r="AC217" t="str">
        <f t="shared" ca="1" si="25"/>
        <v/>
      </c>
      <c r="AD217" t="str">
        <f t="shared" ca="1" si="26"/>
        <v/>
      </c>
    </row>
    <row r="218" spans="1:30" x14ac:dyDescent="0.25">
      <c r="A218" s="4">
        <v>41821</v>
      </c>
      <c r="B218">
        <v>1.4198999999999999</v>
      </c>
      <c r="C218" s="5">
        <v>1.6040000000000001</v>
      </c>
      <c r="D218">
        <v>1.9485999999999999</v>
      </c>
      <c r="E218">
        <v>2.2719</v>
      </c>
      <c r="F218">
        <v>2.6692999999999998</v>
      </c>
      <c r="G218">
        <v>3.2530999999999999</v>
      </c>
      <c r="H218">
        <f t="shared" ca="1" si="28"/>
        <v>0.40446009389671334</v>
      </c>
      <c r="I218">
        <f t="shared" ca="1" si="28"/>
        <v>0.2758123899471745</v>
      </c>
      <c r="J218">
        <f t="shared" ca="1" si="28"/>
        <v>0.18797730744054103</v>
      </c>
      <c r="K218">
        <f t="shared" ca="1" si="28"/>
        <v>0.25876420681927342</v>
      </c>
      <c r="L218">
        <f t="shared" ca="1" si="28"/>
        <v>0.17635828060222569</v>
      </c>
      <c r="M218">
        <f t="shared" ca="1" si="28"/>
        <v>0.30348258706467685</v>
      </c>
      <c r="N218">
        <f t="shared" ca="1" si="28"/>
        <v>0.19604632830028512</v>
      </c>
      <c r="O218">
        <f t="shared" ca="1" si="28"/>
        <v>0.21677940213833721</v>
      </c>
      <c r="P218">
        <f t="shared" ca="1" si="28"/>
        <v>0.24097992844581881</v>
      </c>
      <c r="Q218">
        <f t="shared" ca="1" si="28"/>
        <v>0.30463779225756976</v>
      </c>
      <c r="R218">
        <f t="shared" ca="1" si="28"/>
        <v>0.58111499018110391</v>
      </c>
      <c r="S218">
        <f t="shared" ca="1" si="28"/>
        <v>0.39313768274056293</v>
      </c>
      <c r="T218">
        <f t="shared" ca="1" si="28"/>
        <v>0.4370262567461039</v>
      </c>
      <c r="V218" s="4">
        <f t="shared" si="29"/>
        <v>41821</v>
      </c>
      <c r="W218" s="5">
        <f t="shared" ca="1" si="27"/>
        <v>0.58111499018110391</v>
      </c>
      <c r="Z218" s="4" t="e">
        <f ca="1">IF(OFFSET('Calc Canada'!$A$1,0,0,300)="",MATCH("Error",AF218,0),OFFSET('Calc Canada'!$A$1,0,0,300))</f>
        <v>#N/A</v>
      </c>
      <c r="AA218" s="5" t="str">
        <f ca="1">IF(OFFSET('Calc Canada'!$A$1,0,MATCH(W$1,'Calc Canada'!$1:$1,0)-1,300)="","",OFFSET('Calc Canada'!$A$1,0,MATCH(W$1,'Calc Canada'!$1:$1,0)-1,300))</f>
        <v/>
      </c>
      <c r="AB218" s="5" t="str">
        <f ca="1">IF(OFFSET('Calc Canada'!$A$1,0,MATCH(X$1,'Calc Canada'!$1:$1,0)-1,300)="","",OFFSET('Calc Canada'!$A$1,0,MATCH(X$1,'Calc Canada'!$1:$1,0)-1,300))</f>
        <v/>
      </c>
      <c r="AC218" t="str">
        <f t="shared" ca="1" si="25"/>
        <v/>
      </c>
      <c r="AD218" t="str">
        <f t="shared" ca="1" si="26"/>
        <v/>
      </c>
    </row>
    <row r="219" spans="1:30" x14ac:dyDescent="0.25">
      <c r="A219" s="4">
        <v>41820</v>
      </c>
      <c r="B219">
        <v>1.4198</v>
      </c>
      <c r="C219" s="5">
        <v>1.6040000000000001</v>
      </c>
      <c r="D219">
        <v>1.9491000000000001</v>
      </c>
      <c r="E219">
        <v>2.2723</v>
      </c>
      <c r="F219">
        <v>2.6696</v>
      </c>
      <c r="G219">
        <v>3.2532999999999999</v>
      </c>
      <c r="H219">
        <f t="shared" ca="1" si="28"/>
        <v>0.4048093841642228</v>
      </c>
      <c r="I219">
        <f t="shared" ca="1" si="28"/>
        <v>0.27612417986877896</v>
      </c>
      <c r="J219">
        <f t="shared" ca="1" si="28"/>
        <v>0.18821925279520044</v>
      </c>
      <c r="K219">
        <f t="shared" ca="1" si="28"/>
        <v>0.25860137622019519</v>
      </c>
      <c r="L219">
        <f t="shared" ca="1" si="28"/>
        <v>0.17627488410144529</v>
      </c>
      <c r="M219">
        <f t="shared" ca="1" si="28"/>
        <v>0.3033033033033033</v>
      </c>
      <c r="N219">
        <f t="shared" ca="1" si="28"/>
        <v>0.19596192324016248</v>
      </c>
      <c r="O219">
        <f t="shared" ca="1" si="28"/>
        <v>0.21668939187346606</v>
      </c>
      <c r="P219">
        <f t="shared" ca="1" si="28"/>
        <v>0.24089007457709333</v>
      </c>
      <c r="Q219">
        <f t="shared" ca="1" si="28"/>
        <v>0.30463119153504065</v>
      </c>
      <c r="R219">
        <f t="shared" ca="1" si="28"/>
        <v>0.58118352877011181</v>
      </c>
      <c r="S219">
        <f t="shared" ca="1" si="28"/>
        <v>0.39296427597491135</v>
      </c>
      <c r="T219">
        <f t="shared" ca="1" si="28"/>
        <v>0.43685199781725581</v>
      </c>
      <c r="V219" s="4">
        <f t="shared" si="29"/>
        <v>41820</v>
      </c>
      <c r="W219" s="5">
        <f t="shared" ca="1" si="27"/>
        <v>0.58118352877011181</v>
      </c>
      <c r="Z219" s="4" t="e">
        <f ca="1">IF(OFFSET('Calc Canada'!$A$1,0,0,300)="",MATCH("Error",AF219,0),OFFSET('Calc Canada'!$A$1,0,0,300))</f>
        <v>#N/A</v>
      </c>
      <c r="AA219" s="5" t="str">
        <f ca="1">IF(OFFSET('Calc Canada'!$A$1,0,MATCH(W$1,'Calc Canada'!$1:$1,0)-1,300)="","",OFFSET('Calc Canada'!$A$1,0,MATCH(W$1,'Calc Canada'!$1:$1,0)-1,300))</f>
        <v/>
      </c>
      <c r="AB219" s="5" t="str">
        <f ca="1">IF(OFFSET('Calc Canada'!$A$1,0,MATCH(X$1,'Calc Canada'!$1:$1,0)-1,300)="","",OFFSET('Calc Canada'!$A$1,0,MATCH(X$1,'Calc Canada'!$1:$1,0)-1,300))</f>
        <v/>
      </c>
      <c r="AC219" t="str">
        <f t="shared" ca="1" si="25"/>
        <v/>
      </c>
      <c r="AD219" t="str">
        <f t="shared" ca="1" si="26"/>
        <v/>
      </c>
    </row>
    <row r="220" spans="1:30" x14ac:dyDescent="0.25">
      <c r="A220" s="4">
        <v>41817</v>
      </c>
      <c r="B220">
        <v>1.4357</v>
      </c>
      <c r="C220" s="5">
        <v>1.6240999999999999</v>
      </c>
      <c r="D220">
        <v>1.9701</v>
      </c>
      <c r="E220">
        <v>2.2919</v>
      </c>
      <c r="F220">
        <v>2.6894</v>
      </c>
      <c r="G220">
        <v>3.2837000000000001</v>
      </c>
      <c r="H220">
        <f t="shared" ca="1" si="28"/>
        <v>0.40411118897453874</v>
      </c>
      <c r="I220">
        <f t="shared" ca="1" si="28"/>
        <v>0.27598309005344185</v>
      </c>
      <c r="J220">
        <f t="shared" ca="1" si="28"/>
        <v>0.18722943722943727</v>
      </c>
      <c r="K220">
        <f t="shared" ca="1" si="28"/>
        <v>0.25668022652947281</v>
      </c>
      <c r="L220">
        <f t="shared" ca="1" si="28"/>
        <v>0.17413419913419917</v>
      </c>
      <c r="M220">
        <f t="shared" ca="1" si="28"/>
        <v>0.30207453299540038</v>
      </c>
      <c r="N220">
        <f t="shared" ca="1" si="28"/>
        <v>0.1939021450952037</v>
      </c>
      <c r="O220">
        <f t="shared" ca="1" si="28"/>
        <v>0.21509740259740256</v>
      </c>
      <c r="P220">
        <f t="shared" ca="1" si="28"/>
        <v>0.23951554591467819</v>
      </c>
      <c r="Q220">
        <f t="shared" ca="1" si="28"/>
        <v>0.30260353227771009</v>
      </c>
      <c r="R220">
        <f t="shared" ca="1" si="28"/>
        <v>0.57646103896103895</v>
      </c>
      <c r="S220">
        <f t="shared" ca="1" si="28"/>
        <v>0.38923160173160176</v>
      </c>
      <c r="T220">
        <f t="shared" ca="1" si="28"/>
        <v>0.43341769100988187</v>
      </c>
      <c r="V220" s="4">
        <f t="shared" si="29"/>
        <v>41817</v>
      </c>
      <c r="W220" s="5">
        <f t="shared" ca="1" si="27"/>
        <v>0.57646103896103895</v>
      </c>
      <c r="Z220" s="4" t="e">
        <f ca="1">IF(OFFSET('Calc Canada'!$A$1,0,0,300)="",MATCH("Error",AF220,0),OFFSET('Calc Canada'!$A$1,0,0,300))</f>
        <v>#N/A</v>
      </c>
      <c r="AA220" s="5" t="str">
        <f ca="1">IF(OFFSET('Calc Canada'!$A$1,0,MATCH(W$1,'Calc Canada'!$1:$1,0)-1,300)="","",OFFSET('Calc Canada'!$A$1,0,MATCH(W$1,'Calc Canada'!$1:$1,0)-1,300))</f>
        <v/>
      </c>
      <c r="AB220" s="5" t="str">
        <f ca="1">IF(OFFSET('Calc Canada'!$A$1,0,MATCH(X$1,'Calc Canada'!$1:$1,0)-1,300)="","",OFFSET('Calc Canada'!$A$1,0,MATCH(X$1,'Calc Canada'!$1:$1,0)-1,300))</f>
        <v/>
      </c>
      <c r="AC220" t="str">
        <f t="shared" ca="1" si="25"/>
        <v/>
      </c>
      <c r="AD220" t="str">
        <f t="shared" ca="1" si="26"/>
        <v/>
      </c>
    </row>
    <row r="221" spans="1:30" x14ac:dyDescent="0.25">
      <c r="A221" s="4">
        <v>41816</v>
      </c>
      <c r="B221">
        <v>1.4268000000000001</v>
      </c>
      <c r="C221" s="5">
        <v>1.6168</v>
      </c>
      <c r="D221">
        <v>1.972</v>
      </c>
      <c r="E221">
        <v>2.2907999999999999</v>
      </c>
      <c r="F221">
        <v>2.6795999999999998</v>
      </c>
      <c r="G221">
        <v>3.2983000000000002</v>
      </c>
      <c r="H221">
        <f t="shared" ref="H221:T236" ca="1" si="30">IF(ISERROR(ABS(OFFSET($A$11,ROW()-11,MATCH(LEFT(H$9,2),$A$11:$G$11,0)-1)-OFFSET($A$11,ROW()-11,MATCH(RIGHT(H$9,2),$A$11:$G$11,0)-1))/ABS(OFFSET($A$11,ROW()-11,MATCH(LEFT(H$10,2),$A$11:$G$11,0)-1)-OFFSET($A$11,ROW()-11,MATCH(RIGHT(H$10,2),$A$11:$G$11,0)-1))),"",ABS(OFFSET($A$11,ROW()-11,MATCH(LEFT(H$9,2),$A$11:$G$11,0)-1)-OFFSET($A$11,ROW()-11,MATCH(RIGHT(H$9,2),$A$11:$G$11,0)-1))/ABS(OFFSET($A$11,ROW()-11,MATCH(LEFT(H$10,2),$A$11:$G$11,0)-1)-OFFSET($A$11,ROW()-11,MATCH(RIGHT(H$10,2),$A$11:$G$11,0)-1)))</f>
        <v>0.41111111111111115</v>
      </c>
      <c r="I221">
        <f t="shared" ca="1" si="30"/>
        <v>0.28352490421455945</v>
      </c>
      <c r="J221">
        <f t="shared" ca="1" si="30"/>
        <v>0.1897942826609671</v>
      </c>
      <c r="K221">
        <f t="shared" ca="1" si="30"/>
        <v>0.25446998722860797</v>
      </c>
      <c r="L221">
        <f t="shared" ca="1" si="30"/>
        <v>0.17034464333422386</v>
      </c>
      <c r="M221">
        <f t="shared" ca="1" si="30"/>
        <v>0.29996236356793382</v>
      </c>
      <c r="N221">
        <f t="shared" ca="1" si="30"/>
        <v>0.18959262563187626</v>
      </c>
      <c r="O221">
        <f t="shared" ca="1" si="30"/>
        <v>0.20774779588565309</v>
      </c>
      <c r="P221">
        <f t="shared" ca="1" si="30"/>
        <v>0.23122212310437096</v>
      </c>
      <c r="Q221">
        <f t="shared" ca="1" si="30"/>
        <v>0.29314634698032099</v>
      </c>
      <c r="R221">
        <f t="shared" ca="1" si="30"/>
        <v>0.5678867218808441</v>
      </c>
      <c r="S221">
        <f t="shared" ca="1" si="30"/>
        <v>0.37809243921987695</v>
      </c>
      <c r="T221">
        <f t="shared" ca="1" si="30"/>
        <v>0.42081474873624719</v>
      </c>
      <c r="V221" s="4">
        <f t="shared" si="29"/>
        <v>41816</v>
      </c>
      <c r="W221" s="5">
        <f t="shared" ca="1" si="27"/>
        <v>0.5678867218808441</v>
      </c>
      <c r="Z221" s="4" t="e">
        <f ca="1">IF(OFFSET('Calc Canada'!$A$1,0,0,300)="",MATCH("Error",AF221,0),OFFSET('Calc Canada'!$A$1,0,0,300))</f>
        <v>#N/A</v>
      </c>
      <c r="AA221" s="5" t="str">
        <f ca="1">IF(OFFSET('Calc Canada'!$A$1,0,MATCH(W$1,'Calc Canada'!$1:$1,0)-1,300)="","",OFFSET('Calc Canada'!$A$1,0,MATCH(W$1,'Calc Canada'!$1:$1,0)-1,300))</f>
        <v/>
      </c>
      <c r="AB221" s="5" t="str">
        <f ca="1">IF(OFFSET('Calc Canada'!$A$1,0,MATCH(X$1,'Calc Canada'!$1:$1,0)-1,300)="","",OFFSET('Calc Canada'!$A$1,0,MATCH(X$1,'Calc Canada'!$1:$1,0)-1,300))</f>
        <v/>
      </c>
      <c r="AC221" t="str">
        <f t="shared" ca="1" si="25"/>
        <v/>
      </c>
      <c r="AD221" t="str">
        <f t="shared" ca="1" si="26"/>
        <v/>
      </c>
    </row>
    <row r="222" spans="1:30" x14ac:dyDescent="0.25">
      <c r="A222" s="4">
        <v>41815</v>
      </c>
      <c r="B222">
        <v>1.4360999999999999</v>
      </c>
      <c r="C222" s="5">
        <v>1.6316000000000002</v>
      </c>
      <c r="D222">
        <v>2.0036</v>
      </c>
      <c r="E222">
        <v>2.3281999999999998</v>
      </c>
      <c r="F222">
        <v>2.7183000000000002</v>
      </c>
      <c r="G222">
        <v>3.3326000000000002</v>
      </c>
      <c r="H222">
        <f t="shared" ca="1" si="30"/>
        <v>0.41699361058177326</v>
      </c>
      <c r="I222">
        <f t="shared" ca="1" si="30"/>
        <v>0.29012634534393994</v>
      </c>
      <c r="J222">
        <f t="shared" ca="1" si="30"/>
        <v>0.19615080411283936</v>
      </c>
      <c r="K222">
        <f t="shared" ca="1" si="30"/>
        <v>0.25315863359850238</v>
      </c>
      <c r="L222">
        <f t="shared" ca="1" si="30"/>
        <v>0.17115739520168718</v>
      </c>
      <c r="M222">
        <f t="shared" ca="1" si="30"/>
        <v>0.29870249378853386</v>
      </c>
      <c r="N222">
        <f t="shared" ca="1" si="30"/>
        <v>0.19082892416225736</v>
      </c>
      <c r="O222">
        <f t="shared" ca="1" si="30"/>
        <v>0.20569470076456645</v>
      </c>
      <c r="P222">
        <f t="shared" ca="1" si="30"/>
        <v>0.22933568489124065</v>
      </c>
      <c r="Q222">
        <f t="shared" ca="1" si="30"/>
        <v>0.29352896914973686</v>
      </c>
      <c r="R222">
        <f t="shared" ca="1" si="30"/>
        <v>0.57300290007909294</v>
      </c>
      <c r="S222">
        <f t="shared" ca="1" si="30"/>
        <v>0.37685209596625363</v>
      </c>
      <c r="T222">
        <f t="shared" ca="1" si="30"/>
        <v>0.42016460905349801</v>
      </c>
      <c r="V222" s="4">
        <f t="shared" si="29"/>
        <v>41815</v>
      </c>
      <c r="W222" s="5">
        <f t="shared" ca="1" si="27"/>
        <v>0.57300290007909294</v>
      </c>
      <c r="Z222" s="4" t="e">
        <f ca="1">IF(OFFSET('Calc Canada'!$A$1,0,0,300)="",MATCH("Error",AF222,0),OFFSET('Calc Canada'!$A$1,0,0,300))</f>
        <v>#N/A</v>
      </c>
      <c r="AA222" s="5" t="str">
        <f ca="1">IF(OFFSET('Calc Canada'!$A$1,0,MATCH(W$1,'Calc Canada'!$1:$1,0)-1,300)="","",OFFSET('Calc Canada'!$A$1,0,MATCH(W$1,'Calc Canada'!$1:$1,0)-1,300))</f>
        <v/>
      </c>
      <c r="AB222" s="5" t="str">
        <f ca="1">IF(OFFSET('Calc Canada'!$A$1,0,MATCH(X$1,'Calc Canada'!$1:$1,0)-1,300)="","",OFFSET('Calc Canada'!$A$1,0,MATCH(X$1,'Calc Canada'!$1:$1,0)-1,300))</f>
        <v/>
      </c>
      <c r="AC222" t="str">
        <f t="shared" ca="1" si="25"/>
        <v/>
      </c>
      <c r="AD222" t="str">
        <f t="shared" ca="1" si="26"/>
        <v/>
      </c>
    </row>
    <row r="223" spans="1:30" x14ac:dyDescent="0.25">
      <c r="A223" s="4">
        <v>41814</v>
      </c>
      <c r="B223">
        <v>1.4382999999999999</v>
      </c>
      <c r="C223" s="5">
        <v>1.6315</v>
      </c>
      <c r="D223">
        <v>1.9971999999999999</v>
      </c>
      <c r="E223">
        <v>2.3294999999999999</v>
      </c>
      <c r="F223">
        <v>2.7194000000000003</v>
      </c>
      <c r="G223">
        <v>3.3359999999999999</v>
      </c>
      <c r="H223">
        <f t="shared" ca="1" si="30"/>
        <v>0.41034560143626564</v>
      </c>
      <c r="I223">
        <f t="shared" ca="1" si="30"/>
        <v>0.2854578096947934</v>
      </c>
      <c r="J223">
        <f t="shared" ca="1" si="30"/>
        <v>0.19270696105812296</v>
      </c>
      <c r="K223">
        <f t="shared" ca="1" si="30"/>
        <v>0.25938646475684957</v>
      </c>
      <c r="L223">
        <f t="shared" ca="1" si="30"/>
        <v>0.17510670812035625</v>
      </c>
      <c r="M223">
        <f t="shared" ca="1" si="30"/>
        <v>0.30545086864601523</v>
      </c>
      <c r="N223">
        <f t="shared" ca="1" si="30"/>
        <v>0.19495453212085659</v>
      </c>
      <c r="O223">
        <f t="shared" ca="1" si="30"/>
        <v>0.20545924013279251</v>
      </c>
      <c r="P223">
        <f t="shared" ca="1" si="30"/>
        <v>0.22874743326488728</v>
      </c>
      <c r="Q223">
        <f t="shared" ca="1" si="30"/>
        <v>0.29123095309232178</v>
      </c>
      <c r="R223">
        <f t="shared" ca="1" si="30"/>
        <v>0.57327290931127173</v>
      </c>
      <c r="S223">
        <f t="shared" ca="1" si="30"/>
        <v>0.38056594825314877</v>
      </c>
      <c r="T223">
        <f t="shared" ca="1" si="30"/>
        <v>0.42370196538574389</v>
      </c>
      <c r="V223" s="4">
        <f t="shared" si="29"/>
        <v>41814</v>
      </c>
      <c r="W223" s="5">
        <f t="shared" ca="1" si="27"/>
        <v>0.57327290931127173</v>
      </c>
      <c r="Z223" s="4" t="e">
        <f ca="1">IF(OFFSET('Calc Canada'!$A$1,0,0,300)="",MATCH("Error",AF223,0),OFFSET('Calc Canada'!$A$1,0,0,300))</f>
        <v>#N/A</v>
      </c>
      <c r="AA223" s="5" t="str">
        <f ca="1">IF(OFFSET('Calc Canada'!$A$1,0,MATCH(W$1,'Calc Canada'!$1:$1,0)-1,300)="","",OFFSET('Calc Canada'!$A$1,0,MATCH(W$1,'Calc Canada'!$1:$1,0)-1,300))</f>
        <v/>
      </c>
      <c r="AB223" s="5" t="str">
        <f ca="1">IF(OFFSET('Calc Canada'!$A$1,0,MATCH(X$1,'Calc Canada'!$1:$1,0)-1,300)="","",OFFSET('Calc Canada'!$A$1,0,MATCH(X$1,'Calc Canada'!$1:$1,0)-1,300))</f>
        <v/>
      </c>
      <c r="AC223" t="str">
        <f t="shared" ca="1" si="25"/>
        <v/>
      </c>
      <c r="AD223" t="str">
        <f t="shared" ca="1" si="26"/>
        <v/>
      </c>
    </row>
    <row r="224" spans="1:30" x14ac:dyDescent="0.25">
      <c r="A224" s="4">
        <v>41813</v>
      </c>
      <c r="B224">
        <v>1.4609000000000001</v>
      </c>
      <c r="C224" s="5">
        <v>1.6667000000000001</v>
      </c>
      <c r="D224">
        <v>2.0625</v>
      </c>
      <c r="E224">
        <v>2.3864000000000001</v>
      </c>
      <c r="F224">
        <v>2.7656999999999998</v>
      </c>
      <c r="G224">
        <v>3.363</v>
      </c>
      <c r="H224">
        <f t="shared" ca="1" si="30"/>
        <v>0.42766072393300913</v>
      </c>
      <c r="I224">
        <f t="shared" ca="1" si="30"/>
        <v>0.30334150827713058</v>
      </c>
      <c r="J224">
        <f t="shared" ca="1" si="30"/>
        <v>0.20808579990536771</v>
      </c>
      <c r="K224">
        <f t="shared" ca="1" si="30"/>
        <v>0.24823727774371562</v>
      </c>
      <c r="L224">
        <f t="shared" ca="1" si="30"/>
        <v>0.17028547394984495</v>
      </c>
      <c r="M224">
        <f t="shared" ca="1" si="30"/>
        <v>0.29472247497725218</v>
      </c>
      <c r="N224">
        <f t="shared" ca="1" si="30"/>
        <v>0.19094499793668579</v>
      </c>
      <c r="O224">
        <f t="shared" ca="1" si="30"/>
        <v>0.19941117712002512</v>
      </c>
      <c r="P224">
        <f t="shared" ca="1" si="30"/>
        <v>0.22360431527442065</v>
      </c>
      <c r="Q224">
        <f t="shared" ca="1" si="30"/>
        <v>0.29165705497885408</v>
      </c>
      <c r="R224">
        <f t="shared" ca="1" si="30"/>
        <v>0.57778245097523784</v>
      </c>
      <c r="S224">
        <f t="shared" ca="1" si="30"/>
        <v>0.3696966510698701</v>
      </c>
      <c r="T224">
        <f t="shared" ca="1" si="30"/>
        <v>0.41454931321110644</v>
      </c>
      <c r="V224" s="4">
        <f t="shared" si="29"/>
        <v>41813</v>
      </c>
      <c r="W224" s="5">
        <f t="shared" ca="1" si="27"/>
        <v>0.57778245097523784</v>
      </c>
      <c r="Z224" s="4" t="e">
        <f ca="1">IF(OFFSET('Calc Canada'!$A$1,0,0,300)="",MATCH("Error",AF224,0),OFFSET('Calc Canada'!$A$1,0,0,300))</f>
        <v>#N/A</v>
      </c>
      <c r="AA224" s="5" t="str">
        <f ca="1">IF(OFFSET('Calc Canada'!$A$1,0,MATCH(W$1,'Calc Canada'!$1:$1,0)-1,300)="","",OFFSET('Calc Canada'!$A$1,0,MATCH(W$1,'Calc Canada'!$1:$1,0)-1,300))</f>
        <v/>
      </c>
      <c r="AB224" s="5" t="str">
        <f ca="1">IF(OFFSET('Calc Canada'!$A$1,0,MATCH(X$1,'Calc Canada'!$1:$1,0)-1,300)="","",OFFSET('Calc Canada'!$A$1,0,MATCH(X$1,'Calc Canada'!$1:$1,0)-1,300))</f>
        <v/>
      </c>
      <c r="AC224" t="str">
        <f t="shared" ca="1" si="25"/>
        <v/>
      </c>
      <c r="AD224" t="str">
        <f t="shared" ca="1" si="26"/>
        <v/>
      </c>
    </row>
    <row r="225" spans="1:30" x14ac:dyDescent="0.25">
      <c r="A225" s="4">
        <v>41810</v>
      </c>
      <c r="B225">
        <v>1.45</v>
      </c>
      <c r="C225" s="5">
        <v>1.6431</v>
      </c>
      <c r="D225">
        <v>2.0106000000000002</v>
      </c>
      <c r="E225">
        <v>2.335</v>
      </c>
      <c r="F225">
        <v>2.7208999999999999</v>
      </c>
      <c r="G225">
        <v>3.3140999999999998</v>
      </c>
      <c r="H225">
        <f t="shared" ca="1" si="30"/>
        <v>0.41525423728813576</v>
      </c>
      <c r="I225">
        <f t="shared" ca="1" si="30"/>
        <v>0.28916515854905989</v>
      </c>
      <c r="J225">
        <f t="shared" ca="1" si="30"/>
        <v>0.19714607585429977</v>
      </c>
      <c r="K225">
        <f t="shared" ca="1" si="30"/>
        <v>0.2552521834920134</v>
      </c>
      <c r="L225">
        <f t="shared" ca="1" si="30"/>
        <v>0.17402499865887014</v>
      </c>
      <c r="M225">
        <f t="shared" ca="1" si="30"/>
        <v>0.30098348487660032</v>
      </c>
      <c r="N225">
        <f t="shared" ca="1" si="30"/>
        <v>0.19413524835427878</v>
      </c>
      <c r="O225">
        <f t="shared" ca="1" si="30"/>
        <v>0.20701679094469178</v>
      </c>
      <c r="P225">
        <f t="shared" ca="1" si="30"/>
        <v>0.23093955715140632</v>
      </c>
      <c r="Q225">
        <f t="shared" ca="1" si="30"/>
        <v>0.29604909858074419</v>
      </c>
      <c r="R225">
        <f t="shared" ca="1" si="30"/>
        <v>0.57818786545786172</v>
      </c>
      <c r="S225">
        <f t="shared" ca="1" si="30"/>
        <v>0.38104178960356189</v>
      </c>
      <c r="T225">
        <f t="shared" ca="1" si="30"/>
        <v>0.4250748055056851</v>
      </c>
      <c r="V225" s="4">
        <f t="shared" si="29"/>
        <v>41810</v>
      </c>
      <c r="W225" s="5">
        <f t="shared" ca="1" si="27"/>
        <v>0.57818786545786172</v>
      </c>
      <c r="Z225" s="4" t="e">
        <f ca="1">IF(OFFSET('Calc Canada'!$A$1,0,0,300)="",MATCH("Error",AF225,0),OFFSET('Calc Canada'!$A$1,0,0,300))</f>
        <v>#N/A</v>
      </c>
      <c r="AA225" s="5" t="str">
        <f ca="1">IF(OFFSET('Calc Canada'!$A$1,0,MATCH(W$1,'Calc Canada'!$1:$1,0)-1,300)="","",OFFSET('Calc Canada'!$A$1,0,MATCH(W$1,'Calc Canada'!$1:$1,0)-1,300))</f>
        <v/>
      </c>
      <c r="AB225" s="5" t="str">
        <f ca="1">IF(OFFSET('Calc Canada'!$A$1,0,MATCH(X$1,'Calc Canada'!$1:$1,0)-1,300)="","",OFFSET('Calc Canada'!$A$1,0,MATCH(X$1,'Calc Canada'!$1:$1,0)-1,300))</f>
        <v/>
      </c>
      <c r="AC225" t="str">
        <f t="shared" ca="1" si="25"/>
        <v/>
      </c>
      <c r="AD225" t="str">
        <f t="shared" ca="1" si="26"/>
        <v/>
      </c>
    </row>
    <row r="226" spans="1:30" x14ac:dyDescent="0.25">
      <c r="A226" s="4">
        <v>41809</v>
      </c>
      <c r="B226">
        <v>1.3942999999999999</v>
      </c>
      <c r="C226" s="5">
        <v>1.5770999999999999</v>
      </c>
      <c r="D226">
        <v>1.9293</v>
      </c>
      <c r="E226">
        <v>2.2705000000000002</v>
      </c>
      <c r="F226">
        <v>2.6772</v>
      </c>
      <c r="G226">
        <v>3.2845</v>
      </c>
      <c r="H226">
        <f t="shared" ca="1" si="30"/>
        <v>0.40196302214106361</v>
      </c>
      <c r="I226">
        <f t="shared" ca="1" si="30"/>
        <v>0.27453425832099154</v>
      </c>
      <c r="J226">
        <f t="shared" ca="1" si="30"/>
        <v>0.18632948894296902</v>
      </c>
      <c r="K226">
        <f t="shared" ca="1" si="30"/>
        <v>0.26595993452334565</v>
      </c>
      <c r="L226">
        <f t="shared" ca="1" si="30"/>
        <v>0.180509998941911</v>
      </c>
      <c r="M226">
        <f t="shared" ca="1" si="30"/>
        <v>0.31015362239796396</v>
      </c>
      <c r="N226">
        <f t="shared" ca="1" si="30"/>
        <v>0.19983600796532749</v>
      </c>
      <c r="O226">
        <f t="shared" ca="1" si="30"/>
        <v>0.21516241667548397</v>
      </c>
      <c r="P226">
        <f t="shared" ca="1" si="30"/>
        <v>0.23819843036195376</v>
      </c>
      <c r="Q226">
        <f t="shared" ca="1" si="30"/>
        <v>0.30010330578512384</v>
      </c>
      <c r="R226">
        <f t="shared" ca="1" si="30"/>
        <v>0.58200190456036405</v>
      </c>
      <c r="S226">
        <f t="shared" ca="1" si="30"/>
        <v>0.39567241561739497</v>
      </c>
      <c r="T226">
        <f t="shared" ca="1" si="30"/>
        <v>0.43803443832728123</v>
      </c>
      <c r="V226" s="4">
        <f t="shared" si="29"/>
        <v>41809</v>
      </c>
      <c r="W226" s="5">
        <f t="shared" ca="1" si="27"/>
        <v>0.58200190456036405</v>
      </c>
      <c r="Z226" s="4" t="e">
        <f ca="1">IF(OFFSET('Calc Canada'!$A$1,0,0,300)="",MATCH("Error",AF226,0),OFFSET('Calc Canada'!$A$1,0,0,300))</f>
        <v>#N/A</v>
      </c>
      <c r="AA226" s="5" t="str">
        <f ca="1">IF(OFFSET('Calc Canada'!$A$1,0,MATCH(W$1,'Calc Canada'!$1:$1,0)-1,300)="","",OFFSET('Calc Canada'!$A$1,0,MATCH(W$1,'Calc Canada'!$1:$1,0)-1,300))</f>
        <v/>
      </c>
      <c r="AB226" s="5" t="str">
        <f ca="1">IF(OFFSET('Calc Canada'!$A$1,0,MATCH(X$1,'Calc Canada'!$1:$1,0)-1,300)="","",OFFSET('Calc Canada'!$A$1,0,MATCH(X$1,'Calc Canada'!$1:$1,0)-1,300))</f>
        <v/>
      </c>
      <c r="AC226" t="str">
        <f t="shared" ca="1" si="25"/>
        <v/>
      </c>
      <c r="AD226" t="str">
        <f t="shared" ca="1" si="26"/>
        <v/>
      </c>
    </row>
    <row r="227" spans="1:30" x14ac:dyDescent="0.25">
      <c r="A227" s="4">
        <v>41808</v>
      </c>
      <c r="B227">
        <v>1.4097</v>
      </c>
      <c r="C227" s="5">
        <v>1.5949</v>
      </c>
      <c r="D227">
        <v>1.948</v>
      </c>
      <c r="E227">
        <v>2.2829000000000002</v>
      </c>
      <c r="F227">
        <v>2.6758999999999999</v>
      </c>
      <c r="G227">
        <v>3.26</v>
      </c>
      <c r="H227">
        <f t="shared" ca="1" si="30"/>
        <v>0.40437471369674749</v>
      </c>
      <c r="I227">
        <f t="shared" ca="1" si="30"/>
        <v>0.27886589796240718</v>
      </c>
      <c r="J227">
        <f t="shared" ca="1" si="30"/>
        <v>0.19083391882397449</v>
      </c>
      <c r="K227">
        <f t="shared" ca="1" si="30"/>
        <v>0.26449218132996383</v>
      </c>
      <c r="L227">
        <f t="shared" ca="1" si="30"/>
        <v>0.18099767605253214</v>
      </c>
      <c r="M227">
        <f t="shared" ca="1" si="30"/>
        <v>0.30980573543015744</v>
      </c>
      <c r="N227">
        <f t="shared" ca="1" si="30"/>
        <v>0.20112906131763872</v>
      </c>
      <c r="O227">
        <f t="shared" ca="1" si="30"/>
        <v>0.21239798951521366</v>
      </c>
      <c r="P227">
        <f t="shared" ca="1" si="30"/>
        <v>0.23602186054891588</v>
      </c>
      <c r="Q227">
        <f t="shared" ca="1" si="30"/>
        <v>0.29954268292682917</v>
      </c>
      <c r="R227">
        <f t="shared" ca="1" si="30"/>
        <v>0.58422958439172035</v>
      </c>
      <c r="S227">
        <f t="shared" ca="1" si="30"/>
        <v>0.3933956655677458</v>
      </c>
      <c r="T227">
        <f t="shared" ca="1" si="30"/>
        <v>0.43715092186655463</v>
      </c>
      <c r="V227" s="4">
        <f t="shared" si="29"/>
        <v>41808</v>
      </c>
      <c r="W227" s="5">
        <f t="shared" ca="1" si="27"/>
        <v>0.58422958439172035</v>
      </c>
      <c r="Z227" s="4" t="e">
        <f ca="1">IF(OFFSET('Calc Canada'!$A$1,0,0,300)="",MATCH("Error",AF227,0),OFFSET('Calc Canada'!$A$1,0,0,300))</f>
        <v>#N/A</v>
      </c>
      <c r="AA227" s="5" t="str">
        <f ca="1">IF(OFFSET('Calc Canada'!$A$1,0,MATCH(W$1,'Calc Canada'!$1:$1,0)-1,300)="","",OFFSET('Calc Canada'!$A$1,0,MATCH(W$1,'Calc Canada'!$1:$1,0)-1,300))</f>
        <v/>
      </c>
      <c r="AB227" s="5" t="str">
        <f ca="1">IF(OFFSET('Calc Canada'!$A$1,0,MATCH(X$1,'Calc Canada'!$1:$1,0)-1,300)="","",OFFSET('Calc Canada'!$A$1,0,MATCH(X$1,'Calc Canada'!$1:$1,0)-1,300))</f>
        <v/>
      </c>
      <c r="AC227" t="str">
        <f t="shared" ca="1" si="25"/>
        <v/>
      </c>
      <c r="AD227" t="str">
        <f t="shared" ca="1" si="26"/>
        <v/>
      </c>
    </row>
    <row r="228" spans="1:30" x14ac:dyDescent="0.25">
      <c r="A228" s="4">
        <v>41807</v>
      </c>
      <c r="B228">
        <v>1.4224999999999999</v>
      </c>
      <c r="C228" s="5">
        <v>1.6169</v>
      </c>
      <c r="D228">
        <v>1.9910000000000001</v>
      </c>
      <c r="E228">
        <v>2.3273999999999999</v>
      </c>
      <c r="F228">
        <v>2.7202000000000002</v>
      </c>
      <c r="G228">
        <v>3.2949999999999999</v>
      </c>
      <c r="H228">
        <f t="shared" ca="1" si="30"/>
        <v>0.41341584705492329</v>
      </c>
      <c r="I228">
        <f t="shared" ca="1" si="30"/>
        <v>0.28827926331201359</v>
      </c>
      <c r="J228">
        <f t="shared" ca="1" si="30"/>
        <v>0.19978638184245665</v>
      </c>
      <c r="K228">
        <f t="shared" ca="1" si="30"/>
        <v>0.25922786468367093</v>
      </c>
      <c r="L228">
        <f t="shared" ca="1" si="30"/>
        <v>0.1796528704939919</v>
      </c>
      <c r="M228">
        <f t="shared" ca="1" si="30"/>
        <v>0.30490347140396967</v>
      </c>
      <c r="N228">
        <f t="shared" ca="1" si="30"/>
        <v>0.20046481139383818</v>
      </c>
      <c r="O228">
        <f t="shared" ca="1" si="30"/>
        <v>0.20977303070761028</v>
      </c>
      <c r="P228">
        <f t="shared" ca="1" si="30"/>
        <v>0.23407425064060561</v>
      </c>
      <c r="Q228">
        <f t="shared" ca="1" si="30"/>
        <v>0.30122699386503093</v>
      </c>
      <c r="R228">
        <f t="shared" ca="1" si="30"/>
        <v>0.58921228304405882</v>
      </c>
      <c r="S228">
        <f t="shared" ca="1" si="30"/>
        <v>0.38942590120160214</v>
      </c>
      <c r="T228">
        <f t="shared" ca="1" si="30"/>
        <v>0.43453906203444376</v>
      </c>
      <c r="V228" s="4">
        <f t="shared" si="29"/>
        <v>41807</v>
      </c>
      <c r="W228" s="5">
        <f t="shared" ca="1" si="27"/>
        <v>0.58921228304405882</v>
      </c>
      <c r="Z228" s="4" t="e">
        <f ca="1">IF(OFFSET('Calc Canada'!$A$1,0,0,300)="",MATCH("Error",AF228,0),OFFSET('Calc Canada'!$A$1,0,0,300))</f>
        <v>#N/A</v>
      </c>
      <c r="AA228" s="5" t="str">
        <f ca="1">IF(OFFSET('Calc Canada'!$A$1,0,MATCH(W$1,'Calc Canada'!$1:$1,0)-1,300)="","",OFFSET('Calc Canada'!$A$1,0,MATCH(W$1,'Calc Canada'!$1:$1,0)-1,300))</f>
        <v/>
      </c>
      <c r="AB228" s="5" t="str">
        <f ca="1">IF(OFFSET('Calc Canada'!$A$1,0,MATCH(X$1,'Calc Canada'!$1:$1,0)-1,300)="","",OFFSET('Calc Canada'!$A$1,0,MATCH(X$1,'Calc Canada'!$1:$1,0)-1,300))</f>
        <v/>
      </c>
      <c r="AC228" t="str">
        <f t="shared" ca="1" si="25"/>
        <v/>
      </c>
      <c r="AD228" t="str">
        <f t="shared" ca="1" si="26"/>
        <v/>
      </c>
    </row>
    <row r="229" spans="1:30" x14ac:dyDescent="0.25">
      <c r="A229" s="4">
        <v>41806</v>
      </c>
      <c r="B229">
        <v>1.4113</v>
      </c>
      <c r="C229" s="5">
        <v>1.5972</v>
      </c>
      <c r="D229">
        <v>1.9643000000000002</v>
      </c>
      <c r="E229">
        <v>2.2991000000000001</v>
      </c>
      <c r="F229">
        <v>2.6920000000000002</v>
      </c>
      <c r="G229">
        <v>3.2673000000000001</v>
      </c>
      <c r="H229">
        <f t="shared" ca="1" si="30"/>
        <v>0.41349403018697922</v>
      </c>
      <c r="I229">
        <f t="shared" ca="1" si="30"/>
        <v>0.2866401186850942</v>
      </c>
      <c r="J229">
        <f t="shared" ca="1" si="30"/>
        <v>0.19779094827586216</v>
      </c>
      <c r="K229">
        <f t="shared" ca="1" si="30"/>
        <v>0.26141953619114544</v>
      </c>
      <c r="L229">
        <f t="shared" ca="1" si="30"/>
        <v>0.18038793103448275</v>
      </c>
      <c r="M229">
        <f t="shared" ca="1" si="30"/>
        <v>0.30580928023383258</v>
      </c>
      <c r="N229">
        <f t="shared" ca="1" si="30"/>
        <v>0.20046703790192202</v>
      </c>
      <c r="O229">
        <f t="shared" ca="1" si="30"/>
        <v>0.21169181034482759</v>
      </c>
      <c r="P229">
        <f t="shared" ca="1" si="30"/>
        <v>0.2352553739297048</v>
      </c>
      <c r="Q229">
        <f t="shared" ca="1" si="30"/>
        <v>0.30153491941673066</v>
      </c>
      <c r="R229">
        <f t="shared" ca="1" si="30"/>
        <v>0.58987068965517253</v>
      </c>
      <c r="S229">
        <f t="shared" ca="1" si="30"/>
        <v>0.39207974137931034</v>
      </c>
      <c r="T229">
        <f t="shared" ca="1" si="30"/>
        <v>0.4357224118316268</v>
      </c>
      <c r="V229" s="4">
        <f t="shared" si="29"/>
        <v>41806</v>
      </c>
      <c r="W229" s="5">
        <f t="shared" ca="1" si="27"/>
        <v>0.58987068965517253</v>
      </c>
      <c r="Z229" s="4" t="e">
        <f ca="1">IF(OFFSET('Calc Canada'!$A$1,0,0,300)="",MATCH("Error",AF229,0),OFFSET('Calc Canada'!$A$1,0,0,300))</f>
        <v>#N/A</v>
      </c>
      <c r="AA229" s="5" t="str">
        <f ca="1">IF(OFFSET('Calc Canada'!$A$1,0,MATCH(W$1,'Calc Canada'!$1:$1,0)-1,300)="","",OFFSET('Calc Canada'!$A$1,0,MATCH(W$1,'Calc Canada'!$1:$1,0)-1,300))</f>
        <v/>
      </c>
      <c r="AB229" s="5" t="str">
        <f ca="1">IF(OFFSET('Calc Canada'!$A$1,0,MATCH(X$1,'Calc Canada'!$1:$1,0)-1,300)="","",OFFSET('Calc Canada'!$A$1,0,MATCH(X$1,'Calc Canada'!$1:$1,0)-1,300))</f>
        <v/>
      </c>
      <c r="AC229" t="str">
        <f t="shared" ca="1" si="25"/>
        <v/>
      </c>
      <c r="AD229" t="str">
        <f t="shared" ca="1" si="26"/>
        <v/>
      </c>
    </row>
    <row r="230" spans="1:30" x14ac:dyDescent="0.25">
      <c r="A230" s="4">
        <v>41803</v>
      </c>
      <c r="B230">
        <v>1.4027000000000001</v>
      </c>
      <c r="C230" s="5">
        <v>1.589</v>
      </c>
      <c r="D230">
        <v>1.9651000000000001</v>
      </c>
      <c r="E230">
        <v>2.3132000000000001</v>
      </c>
      <c r="F230">
        <v>2.7156000000000002</v>
      </c>
      <c r="G230">
        <v>3.2800000000000002</v>
      </c>
      <c r="H230">
        <f t="shared" ca="1" si="30"/>
        <v>0.41306974190005497</v>
      </c>
      <c r="I230">
        <f t="shared" ca="1" si="30"/>
        <v>0.28646507730977228</v>
      </c>
      <c r="J230">
        <f t="shared" ca="1" si="30"/>
        <v>0.20034091514408994</v>
      </c>
      <c r="K230">
        <f t="shared" ca="1" si="30"/>
        <v>0.26513824358290811</v>
      </c>
      <c r="L230">
        <f t="shared" ca="1" si="30"/>
        <v>0.18542587759015611</v>
      </c>
      <c r="M230">
        <f t="shared" ca="1" si="30"/>
        <v>0.30898278004615659</v>
      </c>
      <c r="N230">
        <f t="shared" ca="1" si="30"/>
        <v>0.20585452395032527</v>
      </c>
      <c r="O230">
        <f t="shared" ca="1" si="30"/>
        <v>0.21435039684653495</v>
      </c>
      <c r="P230">
        <f t="shared" ca="1" si="30"/>
        <v>0.23796570076877588</v>
      </c>
      <c r="Q230">
        <f t="shared" ca="1" si="30"/>
        <v>0.30603087687276603</v>
      </c>
      <c r="R230">
        <f t="shared" ca="1" si="30"/>
        <v>0.60011718958078097</v>
      </c>
      <c r="S230">
        <f t="shared" ca="1" si="30"/>
        <v>0.39977627443669106</v>
      </c>
      <c r="T230">
        <f t="shared" ca="1" si="30"/>
        <v>0.44382022471910115</v>
      </c>
      <c r="V230" s="4">
        <f t="shared" si="29"/>
        <v>41803</v>
      </c>
      <c r="W230" s="5">
        <f t="shared" ca="1" si="27"/>
        <v>0.60011718958078097</v>
      </c>
      <c r="Z230" s="4" t="e">
        <f ca="1">IF(OFFSET('Calc Canada'!$A$1,0,0,300)="",MATCH("Error",AF230,0),OFFSET('Calc Canada'!$A$1,0,0,300))</f>
        <v>#N/A</v>
      </c>
      <c r="AA230" s="5" t="str">
        <f ca="1">IF(OFFSET('Calc Canada'!$A$1,0,MATCH(W$1,'Calc Canada'!$1:$1,0)-1,300)="","",OFFSET('Calc Canada'!$A$1,0,MATCH(W$1,'Calc Canada'!$1:$1,0)-1,300))</f>
        <v/>
      </c>
      <c r="AB230" s="5" t="str">
        <f ca="1">IF(OFFSET('Calc Canada'!$A$1,0,MATCH(X$1,'Calc Canada'!$1:$1,0)-1,300)="","",OFFSET('Calc Canada'!$A$1,0,MATCH(X$1,'Calc Canada'!$1:$1,0)-1,300))</f>
        <v/>
      </c>
      <c r="AC230" t="str">
        <f t="shared" ca="1" si="25"/>
        <v/>
      </c>
      <c r="AD230" t="str">
        <f t="shared" ca="1" si="26"/>
        <v/>
      </c>
    </row>
    <row r="231" spans="1:30" x14ac:dyDescent="0.25">
      <c r="A231" s="4">
        <v>41802</v>
      </c>
      <c r="B231">
        <v>1.3881999999999999</v>
      </c>
      <c r="C231" s="5">
        <v>1.5794000000000001</v>
      </c>
      <c r="D231">
        <v>1.9668000000000001</v>
      </c>
      <c r="E231">
        <v>2.3124000000000002</v>
      </c>
      <c r="F231">
        <v>2.7128000000000001</v>
      </c>
      <c r="G231">
        <v>3.2837999999999998</v>
      </c>
      <c r="H231">
        <f t="shared" ca="1" si="30"/>
        <v>0.41917333910408983</v>
      </c>
      <c r="I231">
        <f t="shared" ca="1" si="30"/>
        <v>0.29246565000754937</v>
      </c>
      <c r="J231">
        <f t="shared" ca="1" si="30"/>
        <v>0.20436801012871914</v>
      </c>
      <c r="K231">
        <f t="shared" ca="1" si="30"/>
        <v>0.26090895364638389</v>
      </c>
      <c r="L231">
        <f t="shared" ca="1" si="30"/>
        <v>0.1823169445030598</v>
      </c>
      <c r="M231">
        <f t="shared" ca="1" si="30"/>
        <v>0.3049232398094231</v>
      </c>
      <c r="N231">
        <f t="shared" ca="1" si="30"/>
        <v>0.20276930298052112</v>
      </c>
      <c r="O231">
        <f t="shared" ca="1" si="30"/>
        <v>0.21122599704579018</v>
      </c>
      <c r="P231">
        <f t="shared" ca="1" si="30"/>
        <v>0.23492137995775636</v>
      </c>
      <c r="Q231">
        <f t="shared" ca="1" si="30"/>
        <v>0.30402429764616551</v>
      </c>
      <c r="R231">
        <f t="shared" ca="1" si="30"/>
        <v>0.59791095167756914</v>
      </c>
      <c r="S231">
        <f t="shared" ca="1" si="30"/>
        <v>0.39354294154885</v>
      </c>
      <c r="T231">
        <f t="shared" ca="1" si="30"/>
        <v>0.43769068293827745</v>
      </c>
      <c r="V231" s="4">
        <f t="shared" si="29"/>
        <v>41802</v>
      </c>
      <c r="W231" s="5">
        <f t="shared" ca="1" si="27"/>
        <v>0.59791095167756914</v>
      </c>
      <c r="Z231" s="4" t="e">
        <f ca="1">IF(OFFSET('Calc Canada'!$A$1,0,0,300)="",MATCH("Error",AF231,0),OFFSET('Calc Canada'!$A$1,0,0,300))</f>
        <v>#N/A</v>
      </c>
      <c r="AA231" s="5" t="str">
        <f ca="1">IF(OFFSET('Calc Canada'!$A$1,0,MATCH(W$1,'Calc Canada'!$1:$1,0)-1,300)="","",OFFSET('Calc Canada'!$A$1,0,MATCH(W$1,'Calc Canada'!$1:$1,0)-1,300))</f>
        <v/>
      </c>
      <c r="AB231" s="5" t="str">
        <f ca="1">IF(OFFSET('Calc Canada'!$A$1,0,MATCH(X$1,'Calc Canada'!$1:$1,0)-1,300)="","",OFFSET('Calc Canada'!$A$1,0,MATCH(X$1,'Calc Canada'!$1:$1,0)-1,300))</f>
        <v/>
      </c>
      <c r="AC231" t="str">
        <f t="shared" ca="1" si="25"/>
        <v/>
      </c>
      <c r="AD231" t="str">
        <f t="shared" ca="1" si="26"/>
        <v/>
      </c>
    </row>
    <row r="232" spans="1:30" x14ac:dyDescent="0.25">
      <c r="A232" s="4">
        <v>41801</v>
      </c>
      <c r="B232">
        <v>1.3893</v>
      </c>
      <c r="C232" s="5">
        <v>1.5899000000000001</v>
      </c>
      <c r="D232">
        <v>1.9929999999999999</v>
      </c>
      <c r="E232">
        <v>2.339</v>
      </c>
      <c r="F232">
        <v>2.7465999999999999</v>
      </c>
      <c r="G232">
        <v>3.3182999999999998</v>
      </c>
      <c r="H232">
        <f t="shared" ca="1" si="30"/>
        <v>0.42444982626092431</v>
      </c>
      <c r="I232">
        <f t="shared" ca="1" si="30"/>
        <v>0.29698666470198171</v>
      </c>
      <c r="J232">
        <f t="shared" ca="1" si="30"/>
        <v>0.20896837739761526</v>
      </c>
      <c r="K232">
        <f t="shared" ca="1" si="30"/>
        <v>0.25491785161718122</v>
      </c>
      <c r="L232">
        <f t="shared" ca="1" si="30"/>
        <v>0.17936754795230694</v>
      </c>
      <c r="M232">
        <f t="shared" ca="1" si="30"/>
        <v>0.2991268263162446</v>
      </c>
      <c r="N232">
        <f t="shared" ca="1" si="30"/>
        <v>0.20018514232816487</v>
      </c>
      <c r="O232">
        <f t="shared" ca="1" si="30"/>
        <v>0.21130119232763089</v>
      </c>
      <c r="P232">
        <f t="shared" ca="1" si="30"/>
        <v>0.23582504049988431</v>
      </c>
      <c r="Q232">
        <f t="shared" ca="1" si="30"/>
        <v>0.30755300686636988</v>
      </c>
      <c r="R232">
        <f t="shared" ca="1" si="30"/>
        <v>0.59963711767755312</v>
      </c>
      <c r="S232">
        <f t="shared" ca="1" si="30"/>
        <v>0.39066874027993787</v>
      </c>
      <c r="T232">
        <f t="shared" ca="1" si="30"/>
        <v>0.43601018282804915</v>
      </c>
      <c r="V232" s="4">
        <f t="shared" si="29"/>
        <v>41801</v>
      </c>
      <c r="W232" s="5">
        <f t="shared" ca="1" si="27"/>
        <v>0.59963711767755312</v>
      </c>
      <c r="Z232" s="4" t="e">
        <f ca="1">IF(OFFSET('Calc Canada'!$A$1,0,0,300)="",MATCH("Error",AF232,0),OFFSET('Calc Canada'!$A$1,0,0,300))</f>
        <v>#N/A</v>
      </c>
      <c r="AA232" s="5" t="str">
        <f ca="1">IF(OFFSET('Calc Canada'!$A$1,0,MATCH(W$1,'Calc Canada'!$1:$1,0)-1,300)="","",OFFSET('Calc Canada'!$A$1,0,MATCH(W$1,'Calc Canada'!$1:$1,0)-1,300))</f>
        <v/>
      </c>
      <c r="AB232" s="5" t="str">
        <f ca="1">IF(OFFSET('Calc Canada'!$A$1,0,MATCH(X$1,'Calc Canada'!$1:$1,0)-1,300)="","",OFFSET('Calc Canada'!$A$1,0,MATCH(X$1,'Calc Canada'!$1:$1,0)-1,300))</f>
        <v/>
      </c>
      <c r="AC232" t="str">
        <f t="shared" ca="1" si="25"/>
        <v/>
      </c>
      <c r="AD232" t="str">
        <f t="shared" ca="1" si="26"/>
        <v/>
      </c>
    </row>
    <row r="233" spans="1:30" x14ac:dyDescent="0.25">
      <c r="A233" s="4">
        <v>41800</v>
      </c>
      <c r="B233">
        <v>1.3902999999999999</v>
      </c>
      <c r="C233" s="5">
        <v>1.5885</v>
      </c>
      <c r="D233">
        <v>1.992</v>
      </c>
      <c r="E233">
        <v>2.3388</v>
      </c>
      <c r="F233">
        <v>2.7481</v>
      </c>
      <c r="G233">
        <v>3.3106</v>
      </c>
      <c r="H233">
        <f t="shared" ca="1" si="30"/>
        <v>0.42540853979968363</v>
      </c>
      <c r="I233">
        <f t="shared" ca="1" si="30"/>
        <v>0.29717189571365438</v>
      </c>
      <c r="J233">
        <f t="shared" ca="1" si="30"/>
        <v>0.21012341821590375</v>
      </c>
      <c r="K233">
        <f t="shared" ca="1" si="30"/>
        <v>0.25541316836058325</v>
      </c>
      <c r="L233">
        <f t="shared" ca="1" si="30"/>
        <v>0.1805967817528511</v>
      </c>
      <c r="M233">
        <f t="shared" ca="1" si="30"/>
        <v>0.2990686443601242</v>
      </c>
      <c r="N233">
        <f t="shared" ca="1" si="30"/>
        <v>0.20138203356367226</v>
      </c>
      <c r="O233">
        <f t="shared" ca="1" si="30"/>
        <v>0.21314377961776804</v>
      </c>
      <c r="P233">
        <f t="shared" ca="1" si="30"/>
        <v>0.23767493176935137</v>
      </c>
      <c r="Q233">
        <f t="shared" ca="1" si="30"/>
        <v>0.3104049749734567</v>
      </c>
      <c r="R233">
        <f t="shared" ca="1" si="30"/>
        <v>0.60386397958652294</v>
      </c>
      <c r="S233">
        <f t="shared" ca="1" si="30"/>
        <v>0.39374056137061914</v>
      </c>
      <c r="T233">
        <f t="shared" ca="1" si="30"/>
        <v>0.43905696533302363</v>
      </c>
      <c r="V233" s="4">
        <f t="shared" si="29"/>
        <v>41800</v>
      </c>
      <c r="W233" s="5">
        <f t="shared" ca="1" si="27"/>
        <v>0.60386397958652294</v>
      </c>
      <c r="Z233" s="4" t="e">
        <f ca="1">IF(OFFSET('Calc Canada'!$A$1,0,0,300)="",MATCH("Error",AF233,0),OFFSET('Calc Canada'!$A$1,0,0,300))</f>
        <v>#N/A</v>
      </c>
      <c r="AA233" s="5" t="str">
        <f ca="1">IF(OFFSET('Calc Canada'!$A$1,0,MATCH(W$1,'Calc Canada'!$1:$1,0)-1,300)="","",OFFSET('Calc Canada'!$A$1,0,MATCH(W$1,'Calc Canada'!$1:$1,0)-1,300))</f>
        <v/>
      </c>
      <c r="AB233" s="5" t="str">
        <f ca="1">IF(OFFSET('Calc Canada'!$A$1,0,MATCH(X$1,'Calc Canada'!$1:$1,0)-1,300)="","",OFFSET('Calc Canada'!$A$1,0,MATCH(X$1,'Calc Canada'!$1:$1,0)-1,300))</f>
        <v/>
      </c>
      <c r="AC233" t="str">
        <f t="shared" ca="1" si="25"/>
        <v/>
      </c>
      <c r="AD233" t="str">
        <f t="shared" ca="1" si="26"/>
        <v/>
      </c>
    </row>
    <row r="234" spans="1:30" x14ac:dyDescent="0.25">
      <c r="A234" s="4">
        <v>41799</v>
      </c>
      <c r="B234">
        <v>1.3794</v>
      </c>
      <c r="C234" s="5">
        <v>1.5708</v>
      </c>
      <c r="D234">
        <v>1.9698</v>
      </c>
      <c r="E234">
        <v>2.3155999999999999</v>
      </c>
      <c r="F234">
        <v>2.7250999999999999</v>
      </c>
      <c r="G234">
        <v>3.2961999999999998</v>
      </c>
      <c r="H234">
        <f t="shared" ca="1" si="30"/>
        <v>0.42619098483230083</v>
      </c>
      <c r="I234">
        <f t="shared" ca="1" si="30"/>
        <v>0.29649996284461622</v>
      </c>
      <c r="J234">
        <f t="shared" ca="1" si="30"/>
        <v>0.20815943238731222</v>
      </c>
      <c r="K234">
        <f t="shared" ca="1" si="30"/>
        <v>0.25696663446533397</v>
      </c>
      <c r="L234">
        <f t="shared" ca="1" si="30"/>
        <v>0.18040484140233717</v>
      </c>
      <c r="M234">
        <f t="shared" ca="1" si="30"/>
        <v>0.299575500303214</v>
      </c>
      <c r="N234">
        <f t="shared" ca="1" si="30"/>
        <v>0.20041729454039639</v>
      </c>
      <c r="O234">
        <f t="shared" ca="1" si="30"/>
        <v>0.21363731218697829</v>
      </c>
      <c r="P234">
        <f t="shared" ca="1" si="30"/>
        <v>0.23733626985046946</v>
      </c>
      <c r="Q234">
        <f t="shared" ca="1" si="30"/>
        <v>0.30873039806996383</v>
      </c>
      <c r="R234">
        <f t="shared" ca="1" si="30"/>
        <v>0.60220158597662765</v>
      </c>
      <c r="S234">
        <f t="shared" ca="1" si="30"/>
        <v>0.39404215358931549</v>
      </c>
      <c r="T234">
        <f t="shared" ca="1" si="30"/>
        <v>0.43775356439086582</v>
      </c>
      <c r="V234" s="4">
        <f t="shared" si="29"/>
        <v>41799</v>
      </c>
      <c r="W234" s="5">
        <f t="shared" ca="1" si="27"/>
        <v>0.60220158597662765</v>
      </c>
      <c r="Z234" s="4" t="e">
        <f ca="1">IF(OFFSET('Calc Canada'!$A$1,0,0,300)="",MATCH("Error",AF234,0),OFFSET('Calc Canada'!$A$1,0,0,300))</f>
        <v>#N/A</v>
      </c>
      <c r="AA234" s="5" t="str">
        <f ca="1">IF(OFFSET('Calc Canada'!$A$1,0,MATCH(W$1,'Calc Canada'!$1:$1,0)-1,300)="","",OFFSET('Calc Canada'!$A$1,0,MATCH(W$1,'Calc Canada'!$1:$1,0)-1,300))</f>
        <v/>
      </c>
      <c r="AB234" s="5" t="str">
        <f ca="1">IF(OFFSET('Calc Canada'!$A$1,0,MATCH(X$1,'Calc Canada'!$1:$1,0)-1,300)="","",OFFSET('Calc Canada'!$A$1,0,MATCH(X$1,'Calc Canada'!$1:$1,0)-1,300))</f>
        <v/>
      </c>
      <c r="AC234" t="str">
        <f t="shared" ca="1" si="25"/>
        <v/>
      </c>
      <c r="AD234" t="str">
        <f t="shared" ca="1" si="26"/>
        <v/>
      </c>
    </row>
    <row r="235" spans="1:30" x14ac:dyDescent="0.25">
      <c r="A235" s="4">
        <v>41796</v>
      </c>
      <c r="B235">
        <v>1.3713</v>
      </c>
      <c r="C235" s="5">
        <v>1.5674999999999999</v>
      </c>
      <c r="D235">
        <v>1.9632000000000001</v>
      </c>
      <c r="E235">
        <v>2.3172000000000001</v>
      </c>
      <c r="F235">
        <v>2.726</v>
      </c>
      <c r="G235">
        <v>3.2923</v>
      </c>
      <c r="H235">
        <f t="shared" ca="1" si="30"/>
        <v>0.41833174754202357</v>
      </c>
      <c r="I235">
        <f t="shared" ca="1" si="30"/>
        <v>0.29209419059570396</v>
      </c>
      <c r="J235">
        <f t="shared" ca="1" si="30"/>
        <v>0.20598646538261331</v>
      </c>
      <c r="K235">
        <f t="shared" ca="1" si="30"/>
        <v>0.26131246770502703</v>
      </c>
      <c r="L235">
        <f t="shared" ca="1" si="30"/>
        <v>0.18427902134305055</v>
      </c>
      <c r="M235">
        <f t="shared" ca="1" si="30"/>
        <v>0.30556754423823917</v>
      </c>
      <c r="N235">
        <f t="shared" ca="1" si="30"/>
        <v>0.20524118738404457</v>
      </c>
      <c r="O235">
        <f t="shared" ca="1" si="30"/>
        <v>0.21280583029672037</v>
      </c>
      <c r="P235">
        <f t="shared" ca="1" si="30"/>
        <v>0.2370129870129869</v>
      </c>
      <c r="Q235">
        <f t="shared" ca="1" si="30"/>
        <v>0.30757655556391533</v>
      </c>
      <c r="R235">
        <f t="shared" ca="1" si="30"/>
        <v>0.60307131702238426</v>
      </c>
      <c r="S235">
        <f t="shared" ca="1" si="30"/>
        <v>0.39708485163977092</v>
      </c>
      <c r="T235">
        <f t="shared" ca="1" si="30"/>
        <v>0.44225417439703146</v>
      </c>
      <c r="V235" s="4">
        <f t="shared" si="29"/>
        <v>41796</v>
      </c>
      <c r="W235" s="5">
        <f t="shared" ca="1" si="27"/>
        <v>0.60307131702238426</v>
      </c>
      <c r="Z235" s="4" t="e">
        <f ca="1">IF(OFFSET('Calc Canada'!$A$1,0,0,300)="",MATCH("Error",AF235,0),OFFSET('Calc Canada'!$A$1,0,0,300))</f>
        <v>#N/A</v>
      </c>
      <c r="AA235" s="5" t="str">
        <f ca="1">IF(OFFSET('Calc Canada'!$A$1,0,MATCH(W$1,'Calc Canada'!$1:$1,0)-1,300)="","",OFFSET('Calc Canada'!$A$1,0,MATCH(W$1,'Calc Canada'!$1:$1,0)-1,300))</f>
        <v/>
      </c>
      <c r="AB235" s="5" t="str">
        <f ca="1">IF(OFFSET('Calc Canada'!$A$1,0,MATCH(X$1,'Calc Canada'!$1:$1,0)-1,300)="","",OFFSET('Calc Canada'!$A$1,0,MATCH(X$1,'Calc Canada'!$1:$1,0)-1,300))</f>
        <v/>
      </c>
      <c r="AC235" t="str">
        <f t="shared" ca="1" si="25"/>
        <v/>
      </c>
      <c r="AD235" t="str">
        <f t="shared" ca="1" si="26"/>
        <v/>
      </c>
    </row>
    <row r="236" spans="1:30" x14ac:dyDescent="0.25">
      <c r="A236" s="4">
        <v>41795</v>
      </c>
      <c r="B236">
        <v>1.3695999999999999</v>
      </c>
      <c r="C236" s="5">
        <v>1.5668</v>
      </c>
      <c r="D236">
        <v>1.9755</v>
      </c>
      <c r="E236">
        <v>2.3273999999999999</v>
      </c>
      <c r="F236">
        <v>2.74</v>
      </c>
      <c r="G236">
        <v>3.2945000000000002</v>
      </c>
      <c r="H236">
        <f t="shared" ca="1" si="30"/>
        <v>0.42670703695969936</v>
      </c>
      <c r="I236">
        <f t="shared" ca="1" si="30"/>
        <v>0.29823409223584352</v>
      </c>
      <c r="J236">
        <f t="shared" ca="1" si="30"/>
        <v>0.21232271806327602</v>
      </c>
      <c r="K236">
        <f t="shared" ca="1" si="30"/>
        <v>0.25678633975481596</v>
      </c>
      <c r="L236">
        <f t="shared" ca="1" si="30"/>
        <v>0.18281469167229458</v>
      </c>
      <c r="M236">
        <f t="shared" ca="1" si="30"/>
        <v>0.29994885782475267</v>
      </c>
      <c r="N236">
        <f t="shared" ca="1" si="30"/>
        <v>0.2036811946518492</v>
      </c>
      <c r="O236">
        <f t="shared" ca="1" si="30"/>
        <v>0.21434879734012169</v>
      </c>
      <c r="P236">
        <f t="shared" ca="1" si="30"/>
        <v>0.23881460901776944</v>
      </c>
      <c r="Q236">
        <f t="shared" ca="1" si="30"/>
        <v>0.31281273692191075</v>
      </c>
      <c r="R236">
        <f t="shared" ca="1" si="30"/>
        <v>0.60948620707569223</v>
      </c>
      <c r="S236">
        <f t="shared" ca="1" si="30"/>
        <v>0.39716348901241627</v>
      </c>
      <c r="T236">
        <f t="shared" ca="1" si="30"/>
        <v>0.4424958036696186</v>
      </c>
      <c r="V236" s="4">
        <f t="shared" si="29"/>
        <v>41795</v>
      </c>
      <c r="W236" s="5">
        <f t="shared" ca="1" si="27"/>
        <v>0.60948620707569223</v>
      </c>
      <c r="Z236" s="4" t="e">
        <f ca="1">IF(OFFSET('Calc Canada'!$A$1,0,0,300)="",MATCH("Error",AF236,0),OFFSET('Calc Canada'!$A$1,0,0,300))</f>
        <v>#N/A</v>
      </c>
      <c r="AA236" s="5" t="str">
        <f ca="1">IF(OFFSET('Calc Canada'!$A$1,0,MATCH(W$1,'Calc Canada'!$1:$1,0)-1,300)="","",OFFSET('Calc Canada'!$A$1,0,MATCH(W$1,'Calc Canada'!$1:$1,0)-1,300))</f>
        <v/>
      </c>
      <c r="AB236" s="5" t="str">
        <f ca="1">IF(OFFSET('Calc Canada'!$A$1,0,MATCH(X$1,'Calc Canada'!$1:$1,0)-1,300)="","",OFFSET('Calc Canada'!$A$1,0,MATCH(X$1,'Calc Canada'!$1:$1,0)-1,300))</f>
        <v/>
      </c>
      <c r="AC236" t="str">
        <f t="shared" ca="1" si="25"/>
        <v/>
      </c>
      <c r="AD236" t="str">
        <f t="shared" ca="1" si="26"/>
        <v/>
      </c>
    </row>
    <row r="237" spans="1:30" x14ac:dyDescent="0.25">
      <c r="A237" s="4">
        <v>41794</v>
      </c>
      <c r="B237">
        <v>1.3711</v>
      </c>
      <c r="C237" s="5">
        <v>1.5760999999999998</v>
      </c>
      <c r="D237">
        <v>1.9649999999999999</v>
      </c>
      <c r="E237">
        <v>2.3397000000000001</v>
      </c>
      <c r="F237">
        <v>2.7555000000000001</v>
      </c>
      <c r="G237">
        <v>3.2959999999999998</v>
      </c>
      <c r="H237">
        <f t="shared" ref="H237:T252" ca="1" si="31">IF(ISERROR(ABS(OFFSET($A$11,ROW()-11,MATCH(LEFT(H$9,2),$A$11:$G$11,0)-1)-OFFSET($A$11,ROW()-11,MATCH(RIGHT(H$9,2),$A$11:$G$11,0)-1))/ABS(OFFSET($A$11,ROW()-11,MATCH(LEFT(H$10,2),$A$11:$G$11,0)-1)-OFFSET($A$11,ROW()-11,MATCH(RIGHT(H$10,2),$A$11:$G$11,0)-1))),"",ABS(OFFSET($A$11,ROW()-11,MATCH(LEFT(H$9,2),$A$11:$G$11,0)-1)-OFFSET($A$11,ROW()-11,MATCH(RIGHT(H$9,2),$A$11:$G$11,0)-1))/ABS(OFFSET($A$11,ROW()-11,MATCH(LEFT(H$10,2),$A$11:$G$11,0)-1)-OFFSET($A$11,ROW()-11,MATCH(RIGHT(H$10,2),$A$11:$G$11,0)-1)))</f>
        <v>0.40150733016725165</v>
      </c>
      <c r="I237">
        <f t="shared" ca="1" si="31"/>
        <v>0.28091592025426176</v>
      </c>
      <c r="J237">
        <f t="shared" ca="1" si="31"/>
        <v>0.20203646942698325</v>
      </c>
      <c r="K237">
        <f t="shared" ca="1" si="31"/>
        <v>0.27065876914186671</v>
      </c>
      <c r="L237">
        <f t="shared" ca="1" si="31"/>
        <v>0.19465946282923804</v>
      </c>
      <c r="M237">
        <f t="shared" ca="1" si="31"/>
        <v>0.31770391724605745</v>
      </c>
      <c r="N237">
        <f t="shared" ca="1" si="31"/>
        <v>0.21786150357578943</v>
      </c>
      <c r="O237">
        <f t="shared" ca="1" si="31"/>
        <v>0.21601122136214868</v>
      </c>
      <c r="P237">
        <f t="shared" ca="1" si="31"/>
        <v>0.24175824175824173</v>
      </c>
      <c r="Q237">
        <f t="shared" ca="1" si="31"/>
        <v>0.31239669421487598</v>
      </c>
      <c r="R237">
        <f t="shared" ca="1" si="31"/>
        <v>0.61270715361836992</v>
      </c>
      <c r="S237">
        <f t="shared" ca="1" si="31"/>
        <v>0.41067068419138669</v>
      </c>
      <c r="T237">
        <f t="shared" ca="1" si="31"/>
        <v>0.45961974533403116</v>
      </c>
      <c r="V237" s="4">
        <f t="shared" si="29"/>
        <v>41794</v>
      </c>
      <c r="W237" s="5">
        <f t="shared" ca="1" si="27"/>
        <v>0.61270715361836992</v>
      </c>
      <c r="Z237" s="4" t="e">
        <f ca="1">IF(OFFSET('Calc Canada'!$A$1,0,0,300)="",MATCH("Error",AF237,0),OFFSET('Calc Canada'!$A$1,0,0,300))</f>
        <v>#N/A</v>
      </c>
      <c r="AA237" s="5" t="str">
        <f ca="1">IF(OFFSET('Calc Canada'!$A$1,0,MATCH(W$1,'Calc Canada'!$1:$1,0)-1,300)="","",OFFSET('Calc Canada'!$A$1,0,MATCH(W$1,'Calc Canada'!$1:$1,0)-1,300))</f>
        <v/>
      </c>
      <c r="AB237" s="5" t="str">
        <f ca="1">IF(OFFSET('Calc Canada'!$A$1,0,MATCH(X$1,'Calc Canada'!$1:$1,0)-1,300)="","",OFFSET('Calc Canada'!$A$1,0,MATCH(X$1,'Calc Canada'!$1:$1,0)-1,300))</f>
        <v/>
      </c>
      <c r="AC237" t="str">
        <f t="shared" ca="1" si="25"/>
        <v/>
      </c>
      <c r="AD237" t="str">
        <f t="shared" ca="1" si="26"/>
        <v/>
      </c>
    </row>
    <row r="238" spans="1:30" x14ac:dyDescent="0.25">
      <c r="A238" s="4">
        <v>41793</v>
      </c>
      <c r="B238">
        <v>1.3816999999999999</v>
      </c>
      <c r="C238" s="5">
        <v>1.5792999999999999</v>
      </c>
      <c r="D238">
        <v>1.9864999999999999</v>
      </c>
      <c r="E238">
        <v>2.3359000000000001</v>
      </c>
      <c r="F238">
        <v>2.7441</v>
      </c>
      <c r="G238">
        <v>3.2850000000000001</v>
      </c>
      <c r="H238">
        <f t="shared" ca="1" si="31"/>
        <v>0.4267449172081324</v>
      </c>
      <c r="I238">
        <f t="shared" ca="1" si="31"/>
        <v>0.29888432178508512</v>
      </c>
      <c r="J238">
        <f t="shared" ca="1" si="31"/>
        <v>0.21394420217516943</v>
      </c>
      <c r="K238">
        <f t="shared" ca="1" si="31"/>
        <v>0.25645918966529663</v>
      </c>
      <c r="L238">
        <f t="shared" ca="1" si="31"/>
        <v>0.18357589449902806</v>
      </c>
      <c r="M238">
        <f t="shared" ca="1" si="31"/>
        <v>0.29996565934065944</v>
      </c>
      <c r="N238">
        <f t="shared" ca="1" si="31"/>
        <v>0.20484258662132857</v>
      </c>
      <c r="O238">
        <f t="shared" ca="1" si="31"/>
        <v>0.21446960542216142</v>
      </c>
      <c r="P238">
        <f t="shared" ca="1" si="31"/>
        <v>0.23931523714603967</v>
      </c>
      <c r="Q238">
        <f t="shared" ca="1" si="31"/>
        <v>0.31436272622256439</v>
      </c>
      <c r="R238">
        <f t="shared" ca="1" si="31"/>
        <v>0.61198970209635895</v>
      </c>
      <c r="S238">
        <f t="shared" ca="1" si="31"/>
        <v>0.39804549992118948</v>
      </c>
      <c r="T238">
        <f t="shared" ca="1" si="31"/>
        <v>0.44415782376736823</v>
      </c>
      <c r="V238" s="4">
        <f t="shared" si="29"/>
        <v>41793</v>
      </c>
      <c r="W238" s="5">
        <f t="shared" ca="1" si="27"/>
        <v>0.61198970209635895</v>
      </c>
      <c r="Z238" s="4" t="e">
        <f ca="1">IF(OFFSET('Calc Canada'!$A$1,0,0,300)="",MATCH("Error",AF238,0),OFFSET('Calc Canada'!$A$1,0,0,300))</f>
        <v>#N/A</v>
      </c>
      <c r="AA238" s="5" t="str">
        <f ca="1">IF(OFFSET('Calc Canada'!$A$1,0,MATCH(W$1,'Calc Canada'!$1:$1,0)-1,300)="","",OFFSET('Calc Canada'!$A$1,0,MATCH(W$1,'Calc Canada'!$1:$1,0)-1,300))</f>
        <v/>
      </c>
      <c r="AB238" s="5" t="str">
        <f ca="1">IF(OFFSET('Calc Canada'!$A$1,0,MATCH(X$1,'Calc Canada'!$1:$1,0)-1,300)="","",OFFSET('Calc Canada'!$A$1,0,MATCH(X$1,'Calc Canada'!$1:$1,0)-1,300))</f>
        <v/>
      </c>
      <c r="AC238" t="str">
        <f t="shared" ca="1" si="25"/>
        <v/>
      </c>
      <c r="AD238" t="str">
        <f t="shared" ca="1" si="26"/>
        <v/>
      </c>
    </row>
    <row r="239" spans="1:30" x14ac:dyDescent="0.25">
      <c r="A239" s="4">
        <v>41792</v>
      </c>
      <c r="B239">
        <v>1.3734999999999999</v>
      </c>
      <c r="C239" s="5">
        <v>1.5586</v>
      </c>
      <c r="D239">
        <v>1.9395</v>
      </c>
      <c r="E239">
        <v>2.2770999999999999</v>
      </c>
      <c r="F239">
        <v>2.6790000000000003</v>
      </c>
      <c r="G239">
        <v>3.2296999999999998</v>
      </c>
      <c r="H239">
        <f t="shared" ca="1" si="31"/>
        <v>0.42153607791057995</v>
      </c>
      <c r="I239">
        <f t="shared" ca="1" si="31"/>
        <v>0.2917656070471083</v>
      </c>
      <c r="J239">
        <f t="shared" ca="1" si="31"/>
        <v>0.20520418058398882</v>
      </c>
      <c r="K239">
        <f t="shared" ca="1" si="31"/>
        <v>0.25859823822290295</v>
      </c>
      <c r="L239">
        <f t="shared" ca="1" si="31"/>
        <v>0.18187695291455658</v>
      </c>
      <c r="M239">
        <f t="shared" ca="1" si="31"/>
        <v>0.30132095680114229</v>
      </c>
      <c r="N239">
        <f t="shared" ca="1" si="31"/>
        <v>0.20202261983124883</v>
      </c>
      <c r="O239">
        <f t="shared" ca="1" si="31"/>
        <v>0.21651761663613855</v>
      </c>
      <c r="P239">
        <f t="shared" ca="1" si="31"/>
        <v>0.2405002692837056</v>
      </c>
      <c r="Q239">
        <f t="shared" ca="1" si="31"/>
        <v>0.31150209269880674</v>
      </c>
      <c r="R239">
        <f t="shared" ca="1" si="31"/>
        <v>0.603598750134684</v>
      </c>
      <c r="S239">
        <f t="shared" ca="1" si="31"/>
        <v>0.39839456955069513</v>
      </c>
      <c r="T239">
        <f t="shared" ca="1" si="31"/>
        <v>0.44252288911495441</v>
      </c>
      <c r="V239" s="4">
        <f t="shared" si="29"/>
        <v>41792</v>
      </c>
      <c r="W239" s="5">
        <f t="shared" ca="1" si="27"/>
        <v>0.603598750134684</v>
      </c>
      <c r="Z239" s="4" t="e">
        <f ca="1">IF(OFFSET('Calc Canada'!$A$1,0,0,300)="",MATCH("Error",AF239,0),OFFSET('Calc Canada'!$A$1,0,0,300))</f>
        <v>#N/A</v>
      </c>
      <c r="AA239" s="5" t="str">
        <f ca="1">IF(OFFSET('Calc Canada'!$A$1,0,MATCH(W$1,'Calc Canada'!$1:$1,0)-1,300)="","",OFFSET('Calc Canada'!$A$1,0,MATCH(W$1,'Calc Canada'!$1:$1,0)-1,300))</f>
        <v/>
      </c>
      <c r="AB239" s="5" t="str">
        <f ca="1">IF(OFFSET('Calc Canada'!$A$1,0,MATCH(X$1,'Calc Canada'!$1:$1,0)-1,300)="","",OFFSET('Calc Canada'!$A$1,0,MATCH(X$1,'Calc Canada'!$1:$1,0)-1,300))</f>
        <v/>
      </c>
      <c r="AC239" t="str">
        <f t="shared" ca="1" si="25"/>
        <v/>
      </c>
      <c r="AD239" t="str">
        <f t="shared" ca="1" si="26"/>
        <v/>
      </c>
    </row>
    <row r="240" spans="1:30" x14ac:dyDescent="0.25">
      <c r="A240" s="4">
        <v>41789</v>
      </c>
      <c r="B240">
        <v>1.3603000000000001</v>
      </c>
      <c r="C240" s="5">
        <v>1.5381</v>
      </c>
      <c r="D240">
        <v>1.9005999999999998</v>
      </c>
      <c r="E240">
        <v>2.2439999999999998</v>
      </c>
      <c r="F240">
        <v>2.641</v>
      </c>
      <c r="G240">
        <v>3.2054999999999998</v>
      </c>
      <c r="H240">
        <f t="shared" ca="1" si="31"/>
        <v>0.4102070838519859</v>
      </c>
      <c r="I240">
        <f t="shared" ca="1" si="31"/>
        <v>0.2830483329429217</v>
      </c>
      <c r="J240">
        <f t="shared" ca="1" si="31"/>
        <v>0.19645566876219372</v>
      </c>
      <c r="K240">
        <f t="shared" ca="1" si="31"/>
        <v>0.26813461388303267</v>
      </c>
      <c r="L240">
        <f t="shared" ca="1" si="31"/>
        <v>0.18610448731844786</v>
      </c>
      <c r="M240">
        <f t="shared" ca="1" si="31"/>
        <v>0.31136095747574571</v>
      </c>
      <c r="N240">
        <f t="shared" ca="1" si="31"/>
        <v>0.2059493822718004</v>
      </c>
      <c r="O240">
        <f t="shared" ca="1" si="31"/>
        <v>0.21515282896163035</v>
      </c>
      <c r="P240">
        <f t="shared" ca="1" si="31"/>
        <v>0.23809523809523828</v>
      </c>
      <c r="Q240">
        <f t="shared" ca="1" si="31"/>
        <v>0.30423787263391849</v>
      </c>
      <c r="R240">
        <f t="shared" ca="1" si="31"/>
        <v>0.59771298504227188</v>
      </c>
      <c r="S240">
        <f t="shared" ca="1" si="31"/>
        <v>0.40125731628007821</v>
      </c>
      <c r="T240">
        <f t="shared" ca="1" si="31"/>
        <v>0.44404462036703868</v>
      </c>
      <c r="V240" s="4">
        <f t="shared" si="29"/>
        <v>41789</v>
      </c>
      <c r="W240" s="5">
        <f t="shared" ca="1" si="27"/>
        <v>0.59771298504227188</v>
      </c>
      <c r="Z240" s="4" t="e">
        <f ca="1">IF(OFFSET('Calc Canada'!$A$1,0,0,300)="",MATCH("Error",AF240,0),OFFSET('Calc Canada'!$A$1,0,0,300))</f>
        <v>#N/A</v>
      </c>
      <c r="AA240" s="5" t="str">
        <f ca="1">IF(OFFSET('Calc Canada'!$A$1,0,MATCH(W$1,'Calc Canada'!$1:$1,0)-1,300)="","",OFFSET('Calc Canada'!$A$1,0,MATCH(W$1,'Calc Canada'!$1:$1,0)-1,300))</f>
        <v/>
      </c>
      <c r="AB240" s="5" t="str">
        <f ca="1">IF(OFFSET('Calc Canada'!$A$1,0,MATCH(X$1,'Calc Canada'!$1:$1,0)-1,300)="","",OFFSET('Calc Canada'!$A$1,0,MATCH(X$1,'Calc Canada'!$1:$1,0)-1,300))</f>
        <v/>
      </c>
      <c r="AC240" t="str">
        <f t="shared" ca="1" si="25"/>
        <v/>
      </c>
      <c r="AD240" t="str">
        <f t="shared" ca="1" si="26"/>
        <v/>
      </c>
    </row>
    <row r="241" spans="1:30" x14ac:dyDescent="0.25">
      <c r="A241" s="4">
        <v>41788</v>
      </c>
      <c r="B241">
        <v>1.3628</v>
      </c>
      <c r="C241" s="5">
        <v>1.5474999999999999</v>
      </c>
      <c r="D241">
        <v>1.9243000000000001</v>
      </c>
      <c r="E241">
        <v>2.2640000000000002</v>
      </c>
      <c r="F241">
        <v>2.669</v>
      </c>
      <c r="G241">
        <v>3.2210000000000001</v>
      </c>
      <c r="H241">
        <f t="shared" ca="1" si="31"/>
        <v>0.41810918774966727</v>
      </c>
      <c r="I241">
        <f t="shared" ca="1" si="31"/>
        <v>0.28847037207165843</v>
      </c>
      <c r="J241">
        <f t="shared" ca="1" si="31"/>
        <v>0.20277688085243797</v>
      </c>
      <c r="K241">
        <f t="shared" ca="1" si="31"/>
        <v>0.26006737099984695</v>
      </c>
      <c r="L241">
        <f t="shared" ca="1" si="31"/>
        <v>0.18281132278549139</v>
      </c>
      <c r="M241">
        <f t="shared" ca="1" si="31"/>
        <v>0.30289790459206428</v>
      </c>
      <c r="N241">
        <f t="shared" ca="1" si="31"/>
        <v>0.2029877502240813</v>
      </c>
      <c r="O241">
        <f t="shared" ca="1" si="31"/>
        <v>0.21795285760413291</v>
      </c>
      <c r="P241">
        <f t="shared" ca="1" si="31"/>
        <v>0.24200776815058248</v>
      </c>
      <c r="Q241">
        <f t="shared" ca="1" si="31"/>
        <v>0.3123313025372097</v>
      </c>
      <c r="R241">
        <f t="shared" ca="1" si="31"/>
        <v>0.6035410612420623</v>
      </c>
      <c r="S241">
        <f t="shared" ca="1" si="31"/>
        <v>0.4007641803896243</v>
      </c>
      <c r="T241">
        <f t="shared" ca="1" si="31"/>
        <v>0.44499551837466378</v>
      </c>
      <c r="V241" s="4">
        <f t="shared" si="29"/>
        <v>41788</v>
      </c>
      <c r="W241" s="5">
        <f t="shared" ca="1" si="27"/>
        <v>0.6035410612420623</v>
      </c>
      <c r="Z241" s="4" t="e">
        <f ca="1">IF(OFFSET('Calc Canada'!$A$1,0,0,300)="",MATCH("Error",AF241,0),OFFSET('Calc Canada'!$A$1,0,0,300))</f>
        <v>#N/A</v>
      </c>
      <c r="AA241" s="5" t="str">
        <f ca="1">IF(OFFSET('Calc Canada'!$A$1,0,MATCH(W$1,'Calc Canada'!$1:$1,0)-1,300)="","",OFFSET('Calc Canada'!$A$1,0,MATCH(W$1,'Calc Canada'!$1:$1,0)-1,300))</f>
        <v/>
      </c>
      <c r="AB241" s="5" t="str">
        <f ca="1">IF(OFFSET('Calc Canada'!$A$1,0,MATCH(X$1,'Calc Canada'!$1:$1,0)-1,300)="","",OFFSET('Calc Canada'!$A$1,0,MATCH(X$1,'Calc Canada'!$1:$1,0)-1,300))</f>
        <v/>
      </c>
      <c r="AC241" t="str">
        <f t="shared" ca="1" si="25"/>
        <v/>
      </c>
      <c r="AD241" t="str">
        <f t="shared" ca="1" si="26"/>
        <v/>
      </c>
    </row>
    <row r="242" spans="1:30" x14ac:dyDescent="0.25">
      <c r="A242" s="4">
        <v>41787</v>
      </c>
      <c r="B242">
        <v>1.3452</v>
      </c>
      <c r="C242" s="5">
        <v>1.522</v>
      </c>
      <c r="D242">
        <v>1.8879999999999999</v>
      </c>
      <c r="E242">
        <v>2.2298999999999998</v>
      </c>
      <c r="F242">
        <v>2.6158000000000001</v>
      </c>
      <c r="G242">
        <v>3.1903000000000001</v>
      </c>
      <c r="H242">
        <f t="shared" ca="1" si="31"/>
        <v>0.41369955917260082</v>
      </c>
      <c r="I242">
        <f t="shared" ca="1" si="31"/>
        <v>0.28805288839918136</v>
      </c>
      <c r="J242">
        <f t="shared" ca="1" si="31"/>
        <v>0.19836323234513026</v>
      </c>
      <c r="K242">
        <f t="shared" ca="1" si="31"/>
        <v>0.26908547143081996</v>
      </c>
      <c r="L242">
        <f t="shared" ca="1" si="31"/>
        <v>0.18530160966885253</v>
      </c>
      <c r="M242">
        <f t="shared" ca="1" si="31"/>
        <v>0.31257999634302419</v>
      </c>
      <c r="N242">
        <f t="shared" ca="1" si="31"/>
        <v>0.20493915962356882</v>
      </c>
      <c r="O242">
        <f t="shared" ca="1" si="31"/>
        <v>0.20914855563384116</v>
      </c>
      <c r="P242">
        <f t="shared" ca="1" si="31"/>
        <v>0.23131331295330596</v>
      </c>
      <c r="Q242">
        <f t="shared" ca="1" si="31"/>
        <v>0.29632189203716525</v>
      </c>
      <c r="R242">
        <f t="shared" ca="1" si="31"/>
        <v>0.59281339764782393</v>
      </c>
      <c r="S242">
        <f t="shared" ca="1" si="31"/>
        <v>0.39445016530269372</v>
      </c>
      <c r="T242">
        <f t="shared" ca="1" si="31"/>
        <v>0.43625247257687477</v>
      </c>
      <c r="V242" s="4">
        <f t="shared" si="29"/>
        <v>41787</v>
      </c>
      <c r="W242" s="5">
        <f t="shared" ca="1" si="27"/>
        <v>0.59281339764782393</v>
      </c>
      <c r="Z242" s="4" t="e">
        <f ca="1">IF(OFFSET('Calc Canada'!$A$1,0,0,300)="",MATCH("Error",AF242,0),OFFSET('Calc Canada'!$A$1,0,0,300))</f>
        <v>#N/A</v>
      </c>
      <c r="AA242" s="5" t="str">
        <f ca="1">IF(OFFSET('Calc Canada'!$A$1,0,MATCH(W$1,'Calc Canada'!$1:$1,0)-1,300)="","",OFFSET('Calc Canada'!$A$1,0,MATCH(W$1,'Calc Canada'!$1:$1,0)-1,300))</f>
        <v/>
      </c>
      <c r="AB242" s="5" t="str">
        <f ca="1">IF(OFFSET('Calc Canada'!$A$1,0,MATCH(X$1,'Calc Canada'!$1:$1,0)-1,300)="","",OFFSET('Calc Canada'!$A$1,0,MATCH(X$1,'Calc Canada'!$1:$1,0)-1,300))</f>
        <v/>
      </c>
      <c r="AC242" t="str">
        <f t="shared" ca="1" si="25"/>
        <v/>
      </c>
      <c r="AD242" t="str">
        <f t="shared" ca="1" si="26"/>
        <v/>
      </c>
    </row>
    <row r="243" spans="1:30" x14ac:dyDescent="0.25">
      <c r="A243" s="4">
        <v>41786</v>
      </c>
      <c r="B243">
        <v>1.3651</v>
      </c>
      <c r="C243" s="5">
        <v>1.5506</v>
      </c>
      <c r="D243">
        <v>1.9384999999999999</v>
      </c>
      <c r="E243">
        <v>2.2896999999999998</v>
      </c>
      <c r="F243">
        <v>2.6989999999999998</v>
      </c>
      <c r="G243">
        <v>3.2593000000000001</v>
      </c>
      <c r="H243">
        <f t="shared" ca="1" si="31"/>
        <v>0.41953277092796881</v>
      </c>
      <c r="I243">
        <f t="shared" ca="1" si="31"/>
        <v>0.29080140940100452</v>
      </c>
      <c r="J243">
        <f t="shared" ca="1" si="31"/>
        <v>0.20478302185619254</v>
      </c>
      <c r="K243">
        <f t="shared" ca="1" si="31"/>
        <v>0.26328810255641349</v>
      </c>
      <c r="L243">
        <f t="shared" ca="1" si="31"/>
        <v>0.18540808784711221</v>
      </c>
      <c r="M243">
        <f t="shared" ca="1" si="31"/>
        <v>0.30581678857540928</v>
      </c>
      <c r="N243">
        <f t="shared" ca="1" si="31"/>
        <v>0.20553637268098551</v>
      </c>
      <c r="O243">
        <f t="shared" ca="1" si="31"/>
        <v>0.21608066730017947</v>
      </c>
      <c r="P243">
        <f t="shared" ca="1" si="31"/>
        <v>0.23953883068999823</v>
      </c>
      <c r="Q243">
        <f t="shared" ca="1" si="31"/>
        <v>0.3098879466989703</v>
      </c>
      <c r="R243">
        <f t="shared" ca="1" si="31"/>
        <v>0.60627177700348422</v>
      </c>
      <c r="S243">
        <f t="shared" ca="1" si="31"/>
        <v>0.40148875514729171</v>
      </c>
      <c r="T243">
        <f t="shared" ca="1" si="31"/>
        <v>0.44507520337098372</v>
      </c>
      <c r="V243" s="4">
        <f t="shared" si="29"/>
        <v>41786</v>
      </c>
      <c r="W243" s="5">
        <f t="shared" ca="1" si="27"/>
        <v>0.60627177700348422</v>
      </c>
      <c r="Z243" s="4" t="e">
        <f ca="1">IF(OFFSET('Calc Canada'!$A$1,0,0,300)="",MATCH("Error",AF243,0),OFFSET('Calc Canada'!$A$1,0,0,300))</f>
        <v>#N/A</v>
      </c>
      <c r="AA243" s="5" t="str">
        <f ca="1">IF(OFFSET('Calc Canada'!$A$1,0,MATCH(W$1,'Calc Canada'!$1:$1,0)-1,300)="","",OFFSET('Calc Canada'!$A$1,0,MATCH(W$1,'Calc Canada'!$1:$1,0)-1,300))</f>
        <v/>
      </c>
      <c r="AB243" s="5" t="str">
        <f ca="1">IF(OFFSET('Calc Canada'!$A$1,0,MATCH(X$1,'Calc Canada'!$1:$1,0)-1,300)="","",OFFSET('Calc Canada'!$A$1,0,MATCH(X$1,'Calc Canada'!$1:$1,0)-1,300))</f>
        <v/>
      </c>
      <c r="AC243" t="str">
        <f t="shared" ca="1" si="25"/>
        <v/>
      </c>
      <c r="AD243" t="str">
        <f t="shared" ca="1" si="26"/>
        <v/>
      </c>
    </row>
    <row r="244" spans="1:30" x14ac:dyDescent="0.25">
      <c r="A244" s="4">
        <v>41785</v>
      </c>
      <c r="B244">
        <v>1.3675999999999999</v>
      </c>
      <c r="C244" s="5">
        <v>1.5739999999999998</v>
      </c>
      <c r="D244">
        <v>1.9567000000000001</v>
      </c>
      <c r="E244">
        <v>2.3124000000000002</v>
      </c>
      <c r="F244">
        <v>2.7191000000000001</v>
      </c>
      <c r="G244">
        <v>3.2747999999999999</v>
      </c>
      <c r="H244">
        <f t="shared" ca="1" si="31"/>
        <v>0.40505927180355644</v>
      </c>
      <c r="I244">
        <f t="shared" ca="1" si="31"/>
        <v>0.28316685164631905</v>
      </c>
      <c r="J244">
        <f t="shared" ca="1" si="31"/>
        <v>0.20066065436241626</v>
      </c>
      <c r="K244">
        <f t="shared" ca="1" si="31"/>
        <v>0.26318904920458758</v>
      </c>
      <c r="L244">
        <f t="shared" ca="1" si="31"/>
        <v>0.1865037751677853</v>
      </c>
      <c r="M244">
        <f t="shared" ca="1" si="31"/>
        <v>0.31062789276045766</v>
      </c>
      <c r="N244">
        <f t="shared" ca="1" si="31"/>
        <v>0.20913687676387588</v>
      </c>
      <c r="O244">
        <f t="shared" ca="1" si="31"/>
        <v>0.2132445469798657</v>
      </c>
      <c r="P244">
        <f t="shared" ca="1" si="31"/>
        <v>0.23912276575729058</v>
      </c>
      <c r="Q244">
        <f t="shared" ca="1" si="31"/>
        <v>0.30855018587360589</v>
      </c>
      <c r="R244">
        <f t="shared" ca="1" si="31"/>
        <v>0.60040897651006719</v>
      </c>
      <c r="S244">
        <f t="shared" ca="1" si="31"/>
        <v>0.39974832214765099</v>
      </c>
      <c r="T244">
        <f t="shared" ca="1" si="31"/>
        <v>0.44825964252116646</v>
      </c>
      <c r="V244" s="4">
        <f t="shared" si="29"/>
        <v>41785</v>
      </c>
      <c r="W244" s="5">
        <f t="shared" ca="1" si="27"/>
        <v>0.60040897651006719</v>
      </c>
      <c r="Z244" s="4" t="e">
        <f ca="1">IF(OFFSET('Calc Canada'!$A$1,0,0,300)="",MATCH("Error",AF244,0),OFFSET('Calc Canada'!$A$1,0,0,300))</f>
        <v>#N/A</v>
      </c>
      <c r="AA244" s="5" t="str">
        <f ca="1">IF(OFFSET('Calc Canada'!$A$1,0,MATCH(W$1,'Calc Canada'!$1:$1,0)-1,300)="","",OFFSET('Calc Canada'!$A$1,0,MATCH(W$1,'Calc Canada'!$1:$1,0)-1,300))</f>
        <v/>
      </c>
      <c r="AB244" s="5" t="str">
        <f ca="1">IF(OFFSET('Calc Canada'!$A$1,0,MATCH(X$1,'Calc Canada'!$1:$1,0)-1,300)="","",OFFSET('Calc Canada'!$A$1,0,MATCH(X$1,'Calc Canada'!$1:$1,0)-1,300))</f>
        <v/>
      </c>
      <c r="AC244" t="str">
        <f t="shared" ca="1" si="25"/>
        <v/>
      </c>
      <c r="AD244" t="str">
        <f t="shared" ca="1" si="26"/>
        <v/>
      </c>
    </row>
    <row r="245" spans="1:30" x14ac:dyDescent="0.25">
      <c r="A245" s="4">
        <v>41782</v>
      </c>
      <c r="B245">
        <v>1.3639000000000001</v>
      </c>
      <c r="C245" s="5">
        <v>1.5528999999999999</v>
      </c>
      <c r="D245">
        <v>1.9479</v>
      </c>
      <c r="E245">
        <v>2.2961</v>
      </c>
      <c r="F245">
        <v>2.7012999999999998</v>
      </c>
      <c r="G245">
        <v>3.2637999999999998</v>
      </c>
      <c r="H245">
        <f t="shared" ca="1" si="31"/>
        <v>0.42372881355932207</v>
      </c>
      <c r="I245">
        <f t="shared" ca="1" si="31"/>
        <v>0.29534918498579343</v>
      </c>
      <c r="J245">
        <f t="shared" ca="1" si="31"/>
        <v>0.20790567924627615</v>
      </c>
      <c r="K245">
        <f t="shared" ca="1" si="31"/>
        <v>0.2603559144608944</v>
      </c>
      <c r="L245">
        <f t="shared" ca="1" si="31"/>
        <v>0.18327280383178068</v>
      </c>
      <c r="M245">
        <f t="shared" ca="1" si="31"/>
        <v>0.30320445837687227</v>
      </c>
      <c r="N245">
        <f t="shared" ca="1" si="31"/>
        <v>0.20351861593313467</v>
      </c>
      <c r="O245">
        <f t="shared" ca="1" si="31"/>
        <v>0.21327438286225583</v>
      </c>
      <c r="P245">
        <f t="shared" ca="1" si="31"/>
        <v>0.23683441463557181</v>
      </c>
      <c r="Q245">
        <f t="shared" ca="1" si="31"/>
        <v>0.3079261342047267</v>
      </c>
      <c r="R245">
        <f t="shared" ca="1" si="31"/>
        <v>0.60445286594031267</v>
      </c>
      <c r="S245">
        <f t="shared" ca="1" si="31"/>
        <v>0.39654718669403649</v>
      </c>
      <c r="T245">
        <f t="shared" ca="1" si="31"/>
        <v>0.44035303056870645</v>
      </c>
      <c r="V245" s="4">
        <f t="shared" si="29"/>
        <v>41782</v>
      </c>
      <c r="W245" s="5">
        <f t="shared" ca="1" si="27"/>
        <v>0.60445286594031267</v>
      </c>
      <c r="Z245" s="4" t="e">
        <f ca="1">IF(OFFSET('Calc Canada'!$A$1,0,0,300)="",MATCH("Error",AF245,0),OFFSET('Calc Canada'!$A$1,0,0,300))</f>
        <v>#N/A</v>
      </c>
      <c r="AA245" s="5" t="str">
        <f ca="1">IF(OFFSET('Calc Canada'!$A$1,0,MATCH(W$1,'Calc Canada'!$1:$1,0)-1,300)="","",OFFSET('Calc Canada'!$A$1,0,MATCH(W$1,'Calc Canada'!$1:$1,0)-1,300))</f>
        <v/>
      </c>
      <c r="AB245" s="5" t="str">
        <f ca="1">IF(OFFSET('Calc Canada'!$A$1,0,MATCH(X$1,'Calc Canada'!$1:$1,0)-1,300)="","",OFFSET('Calc Canada'!$A$1,0,MATCH(X$1,'Calc Canada'!$1:$1,0)-1,300))</f>
        <v/>
      </c>
      <c r="AC245" t="str">
        <f t="shared" ca="1" si="25"/>
        <v/>
      </c>
      <c r="AD245" t="str">
        <f t="shared" ca="1" si="26"/>
        <v/>
      </c>
    </row>
    <row r="246" spans="1:30" x14ac:dyDescent="0.25">
      <c r="A246" s="4">
        <v>41781</v>
      </c>
      <c r="B246">
        <v>1.3674999999999999</v>
      </c>
      <c r="C246" s="5">
        <v>1.5629999999999999</v>
      </c>
      <c r="D246">
        <v>1.966</v>
      </c>
      <c r="E246">
        <v>2.3184</v>
      </c>
      <c r="F246">
        <v>2.7250000000000001</v>
      </c>
      <c r="G246">
        <v>3.2909999999999999</v>
      </c>
      <c r="H246">
        <f t="shared" ca="1" si="31"/>
        <v>0.42380902303081291</v>
      </c>
      <c r="I246">
        <f t="shared" ca="1" si="31"/>
        <v>0.29686924493554329</v>
      </c>
      <c r="J246">
        <f t="shared" ca="1" si="31"/>
        <v>0.20951390694047312</v>
      </c>
      <c r="K246">
        <f t="shared" ca="1" si="31"/>
        <v>0.25959484346224676</v>
      </c>
      <c r="L246">
        <f t="shared" ca="1" si="31"/>
        <v>0.18320769430725242</v>
      </c>
      <c r="M246">
        <f t="shared" ca="1" si="31"/>
        <v>0.30327022375215146</v>
      </c>
      <c r="N246">
        <f t="shared" ca="1" si="31"/>
        <v>0.20393518518518522</v>
      </c>
      <c r="O246">
        <f t="shared" ca="1" si="31"/>
        <v>0.21138549519105801</v>
      </c>
      <c r="P246">
        <f t="shared" ca="1" si="31"/>
        <v>0.23530092592592597</v>
      </c>
      <c r="Q246">
        <f t="shared" ca="1" si="31"/>
        <v>0.30686792452830197</v>
      </c>
      <c r="R246">
        <f t="shared" ca="1" si="31"/>
        <v>0.60410709643878358</v>
      </c>
      <c r="S246">
        <f t="shared" ca="1" si="31"/>
        <v>0.39459318949831046</v>
      </c>
      <c r="T246">
        <f t="shared" ca="1" si="31"/>
        <v>0.43923611111111116</v>
      </c>
      <c r="V246" s="4">
        <f t="shared" si="29"/>
        <v>41781</v>
      </c>
      <c r="W246" s="5">
        <f t="shared" ca="1" si="27"/>
        <v>0.60410709643878358</v>
      </c>
      <c r="Z246" s="4" t="e">
        <f ca="1">IF(OFFSET('Calc Canada'!$A$1,0,0,300)="",MATCH("Error",AF246,0),OFFSET('Calc Canada'!$A$1,0,0,300))</f>
        <v>#N/A</v>
      </c>
      <c r="AA246" s="5" t="str">
        <f ca="1">IF(OFFSET('Calc Canada'!$A$1,0,MATCH(W$1,'Calc Canada'!$1:$1,0)-1,300)="","",OFFSET('Calc Canada'!$A$1,0,MATCH(W$1,'Calc Canada'!$1:$1,0)-1,300))</f>
        <v/>
      </c>
      <c r="AB246" s="5" t="str">
        <f ca="1">IF(OFFSET('Calc Canada'!$A$1,0,MATCH(X$1,'Calc Canada'!$1:$1,0)-1,300)="","",OFFSET('Calc Canada'!$A$1,0,MATCH(X$1,'Calc Canada'!$1:$1,0)-1,300))</f>
        <v/>
      </c>
      <c r="AC246" t="str">
        <f t="shared" ca="1" si="25"/>
        <v/>
      </c>
      <c r="AD246" t="str">
        <f t="shared" ca="1" si="26"/>
        <v/>
      </c>
    </row>
    <row r="247" spans="1:30" x14ac:dyDescent="0.25">
      <c r="A247" s="4">
        <v>41780</v>
      </c>
      <c r="B247">
        <v>1.3618999999999999</v>
      </c>
      <c r="C247" s="5">
        <v>1.5493000000000001</v>
      </c>
      <c r="D247">
        <v>1.948</v>
      </c>
      <c r="E247">
        <v>2.2932000000000001</v>
      </c>
      <c r="F247">
        <v>2.6993999999999998</v>
      </c>
      <c r="G247">
        <v>3.2707000000000002</v>
      </c>
      <c r="H247">
        <f t="shared" ca="1" si="31"/>
        <v>0.42811124234940379</v>
      </c>
      <c r="I247">
        <f t="shared" ca="1" si="31"/>
        <v>0.29809345794392511</v>
      </c>
      <c r="J247">
        <f t="shared" ca="1" si="31"/>
        <v>0.20887468566638714</v>
      </c>
      <c r="K247">
        <f t="shared" ca="1" si="31"/>
        <v>0.25809345794392535</v>
      </c>
      <c r="L247">
        <f t="shared" ca="1" si="31"/>
        <v>0.18084660519698245</v>
      </c>
      <c r="M247">
        <f t="shared" ca="1" si="31"/>
        <v>0.3001478132336321</v>
      </c>
      <c r="N247">
        <f t="shared" ca="1" si="31"/>
        <v>0.2005344487045429</v>
      </c>
      <c r="O247">
        <f t="shared" ca="1" si="31"/>
        <v>0.21280385582564942</v>
      </c>
      <c r="P247">
        <f t="shared" ca="1" si="31"/>
        <v>0.23597072150575094</v>
      </c>
      <c r="Q247">
        <f t="shared" ca="1" si="31"/>
        <v>0.30709911544567897</v>
      </c>
      <c r="R247">
        <f t="shared" ca="1" si="31"/>
        <v>0.60252514668901902</v>
      </c>
      <c r="S247">
        <f t="shared" ca="1" si="31"/>
        <v>0.3936504610226319</v>
      </c>
      <c r="T247">
        <f t="shared" ca="1" si="31"/>
        <v>0.43650517021029384</v>
      </c>
      <c r="V247" s="4">
        <f t="shared" si="29"/>
        <v>41780</v>
      </c>
      <c r="W247" s="5">
        <f t="shared" ca="1" si="27"/>
        <v>0.60252514668901902</v>
      </c>
      <c r="Z247" s="4" t="e">
        <f ca="1">IF(OFFSET('Calc Canada'!$A$1,0,0,300)="",MATCH("Error",AF247,0),OFFSET('Calc Canada'!$A$1,0,0,300))</f>
        <v>#N/A</v>
      </c>
      <c r="AA247" s="5" t="str">
        <f ca="1">IF(OFFSET('Calc Canada'!$A$1,0,MATCH(W$1,'Calc Canada'!$1:$1,0)-1,300)="","",OFFSET('Calc Canada'!$A$1,0,MATCH(W$1,'Calc Canada'!$1:$1,0)-1,300))</f>
        <v/>
      </c>
      <c r="AB247" s="5" t="str">
        <f ca="1">IF(OFFSET('Calc Canada'!$A$1,0,MATCH(X$1,'Calc Canada'!$1:$1,0)-1,300)="","",OFFSET('Calc Canada'!$A$1,0,MATCH(X$1,'Calc Canada'!$1:$1,0)-1,300))</f>
        <v/>
      </c>
      <c r="AC247" t="str">
        <f t="shared" ca="1" si="25"/>
        <v/>
      </c>
      <c r="AD247" t="str">
        <f t="shared" ca="1" si="26"/>
        <v/>
      </c>
    </row>
    <row r="248" spans="1:30" x14ac:dyDescent="0.25">
      <c r="A248" s="4">
        <v>41779</v>
      </c>
      <c r="B248">
        <v>1.3555999999999999</v>
      </c>
      <c r="C248" s="5">
        <v>1.5369000000000002</v>
      </c>
      <c r="D248">
        <v>1.9226999999999999</v>
      </c>
      <c r="E248">
        <v>2.2675999999999998</v>
      </c>
      <c r="F248">
        <v>2.6764999999999999</v>
      </c>
      <c r="G248">
        <v>3.2429999999999999</v>
      </c>
      <c r="H248">
        <f t="shared" ca="1" si="31"/>
        <v>0.42302631578947342</v>
      </c>
      <c r="I248">
        <f t="shared" ca="1" si="31"/>
        <v>0.29207358619123303</v>
      </c>
      <c r="J248">
        <f t="shared" ca="1" si="31"/>
        <v>0.20440818056585763</v>
      </c>
      <c r="K248">
        <f t="shared" ca="1" si="31"/>
        <v>0.26110984934514347</v>
      </c>
      <c r="L248">
        <f t="shared" ca="1" si="31"/>
        <v>0.1827381583130232</v>
      </c>
      <c r="M248">
        <f t="shared" ca="1" si="31"/>
        <v>0.30265005265005274</v>
      </c>
      <c r="N248">
        <f t="shared" ca="1" si="31"/>
        <v>0.20215696618017703</v>
      </c>
      <c r="O248">
        <f t="shared" ca="1" si="31"/>
        <v>0.2166472395888524</v>
      </c>
      <c r="P248">
        <f t="shared" ca="1" si="31"/>
        <v>0.23966942148760337</v>
      </c>
      <c r="Q248">
        <f t="shared" ca="1" si="31"/>
        <v>0.30970234037718702</v>
      </c>
      <c r="R248">
        <f t="shared" ca="1" si="31"/>
        <v>0.60379357846773329</v>
      </c>
      <c r="S248">
        <f t="shared" ca="1" si="31"/>
        <v>0.39938539790187561</v>
      </c>
      <c r="T248">
        <f t="shared" ca="1" si="31"/>
        <v>0.44182638766778043</v>
      </c>
      <c r="V248" s="4">
        <f t="shared" si="29"/>
        <v>41779</v>
      </c>
      <c r="W248" s="5">
        <f t="shared" ca="1" si="27"/>
        <v>0.60379357846773329</v>
      </c>
      <c r="Z248" s="4" t="e">
        <f ca="1">IF(OFFSET('Calc Canada'!$A$1,0,0,300)="",MATCH("Error",AF248,0),OFFSET('Calc Canada'!$A$1,0,0,300))</f>
        <v>#N/A</v>
      </c>
      <c r="AA248" s="5" t="str">
        <f ca="1">IF(OFFSET('Calc Canada'!$A$1,0,MATCH(W$1,'Calc Canada'!$1:$1,0)-1,300)="","",OFFSET('Calc Canada'!$A$1,0,MATCH(W$1,'Calc Canada'!$1:$1,0)-1,300))</f>
        <v/>
      </c>
      <c r="AB248" s="5" t="str">
        <f ca="1">IF(OFFSET('Calc Canada'!$A$1,0,MATCH(X$1,'Calc Canada'!$1:$1,0)-1,300)="","",OFFSET('Calc Canada'!$A$1,0,MATCH(X$1,'Calc Canada'!$1:$1,0)-1,300))</f>
        <v/>
      </c>
      <c r="AC248" t="str">
        <f t="shared" ca="1" si="25"/>
        <v/>
      </c>
      <c r="AD248" t="str">
        <f t="shared" ca="1" si="26"/>
        <v/>
      </c>
    </row>
    <row r="249" spans="1:30" x14ac:dyDescent="0.25">
      <c r="A249" s="4">
        <v>41778</v>
      </c>
      <c r="B249">
        <v>1.3513999999999999</v>
      </c>
      <c r="C249" s="5">
        <v>1.5341</v>
      </c>
      <c r="D249">
        <v>1.9195</v>
      </c>
      <c r="E249">
        <v>2.2614999999999998</v>
      </c>
      <c r="F249">
        <v>2.6604999999999999</v>
      </c>
      <c r="G249">
        <v>3.22</v>
      </c>
      <c r="H249">
        <f t="shared" ca="1" si="31"/>
        <v>0.42346994835732338</v>
      </c>
      <c r="I249">
        <f t="shared" ca="1" si="31"/>
        <v>0.29440073332824074</v>
      </c>
      <c r="J249">
        <f t="shared" ca="1" si="31"/>
        <v>0.20625066895001601</v>
      </c>
      <c r="K249">
        <f t="shared" ca="1" si="31"/>
        <v>0.26124818577648756</v>
      </c>
      <c r="L249">
        <f t="shared" ca="1" si="31"/>
        <v>0.18302472439259329</v>
      </c>
      <c r="M249">
        <f t="shared" ca="1" si="31"/>
        <v>0.30362215909090901</v>
      </c>
      <c r="N249">
        <f t="shared" ca="1" si="31"/>
        <v>0.20285900705854429</v>
      </c>
      <c r="O249">
        <f t="shared" ca="1" si="31"/>
        <v>0.21352884512469225</v>
      </c>
      <c r="P249">
        <f t="shared" ca="1" si="31"/>
        <v>0.23666884156830179</v>
      </c>
      <c r="Q249">
        <f t="shared" ca="1" si="31"/>
        <v>0.30680507497116488</v>
      </c>
      <c r="R249">
        <f t="shared" ca="1" si="31"/>
        <v>0.60280423846730158</v>
      </c>
      <c r="S249">
        <f t="shared" ca="1" si="31"/>
        <v>0.39655356951728554</v>
      </c>
      <c r="T249">
        <f t="shared" ca="1" si="31"/>
        <v>0.43952784862684607</v>
      </c>
      <c r="V249" s="4">
        <f t="shared" si="29"/>
        <v>41778</v>
      </c>
      <c r="W249" s="5">
        <f t="shared" ca="1" si="27"/>
        <v>0.60280423846730158</v>
      </c>
      <c r="Z249" s="4" t="e">
        <f ca="1">IF(OFFSET('Calc Canada'!$A$1,0,0,300)="",MATCH("Error",AF249,0),OFFSET('Calc Canada'!$A$1,0,0,300))</f>
        <v>#N/A</v>
      </c>
      <c r="AA249" s="5" t="str">
        <f ca="1">IF(OFFSET('Calc Canada'!$A$1,0,MATCH(W$1,'Calc Canada'!$1:$1,0)-1,300)="","",OFFSET('Calc Canada'!$A$1,0,MATCH(W$1,'Calc Canada'!$1:$1,0)-1,300))</f>
        <v/>
      </c>
      <c r="AB249" s="5" t="str">
        <f ca="1">IF(OFFSET('Calc Canada'!$A$1,0,MATCH(X$1,'Calc Canada'!$1:$1,0)-1,300)="","",OFFSET('Calc Canada'!$A$1,0,MATCH(X$1,'Calc Canada'!$1:$1,0)-1,300))</f>
        <v/>
      </c>
      <c r="AC249" t="str">
        <f t="shared" ca="1" si="25"/>
        <v/>
      </c>
      <c r="AD249" t="str">
        <f t="shared" ca="1" si="26"/>
        <v/>
      </c>
    </row>
    <row r="250" spans="1:30" x14ac:dyDescent="0.25">
      <c r="A250" s="4">
        <v>41775</v>
      </c>
      <c r="B250">
        <v>1.3512999999999999</v>
      </c>
      <c r="C250" s="5">
        <v>1.5341</v>
      </c>
      <c r="D250">
        <v>1.9196</v>
      </c>
      <c r="E250">
        <v>2.2616000000000001</v>
      </c>
      <c r="F250">
        <v>2.6606000000000001</v>
      </c>
      <c r="G250">
        <v>3.22</v>
      </c>
      <c r="H250">
        <f t="shared" ca="1" si="31"/>
        <v>0.42348676260573426</v>
      </c>
      <c r="I250">
        <f t="shared" ca="1" si="31"/>
        <v>0.2944321393110822</v>
      </c>
      <c r="J250">
        <f t="shared" ca="1" si="31"/>
        <v>0.20629314496708936</v>
      </c>
      <c r="K250">
        <f t="shared" ca="1" si="31"/>
        <v>0.26120827923317808</v>
      </c>
      <c r="L250">
        <f t="shared" ca="1" si="31"/>
        <v>0.18301493016535561</v>
      </c>
      <c r="M250">
        <f t="shared" ca="1" si="31"/>
        <v>0.30359520639147808</v>
      </c>
      <c r="N250">
        <f t="shared" ca="1" si="31"/>
        <v>0.20285900705854443</v>
      </c>
      <c r="O250">
        <f t="shared" ca="1" si="31"/>
        <v>0.21351741852624817</v>
      </c>
      <c r="P250">
        <f t="shared" ca="1" si="31"/>
        <v>0.23666884156830179</v>
      </c>
      <c r="Q250">
        <f t="shared" ca="1" si="31"/>
        <v>0.30682866810212239</v>
      </c>
      <c r="R250">
        <f t="shared" ca="1" si="31"/>
        <v>0.6028254936586932</v>
      </c>
      <c r="S250">
        <f t="shared" ca="1" si="31"/>
        <v>0.39653234869160381</v>
      </c>
      <c r="T250">
        <f t="shared" ca="1" si="31"/>
        <v>0.43952784862684618</v>
      </c>
      <c r="V250" s="4">
        <f t="shared" si="29"/>
        <v>41775</v>
      </c>
      <c r="W250" s="5">
        <f t="shared" ca="1" si="27"/>
        <v>0.6028254936586932</v>
      </c>
      <c r="Z250" s="4" t="e">
        <f ca="1">IF(OFFSET('Calc Canada'!$A$1,0,0,300)="",MATCH("Error",AF250,0),OFFSET('Calc Canada'!$A$1,0,0,300))</f>
        <v>#N/A</v>
      </c>
      <c r="AA250" s="5" t="str">
        <f ca="1">IF(OFFSET('Calc Canada'!$A$1,0,MATCH(W$1,'Calc Canada'!$1:$1,0)-1,300)="","",OFFSET('Calc Canada'!$A$1,0,MATCH(W$1,'Calc Canada'!$1:$1,0)-1,300))</f>
        <v/>
      </c>
      <c r="AB250" s="5" t="str">
        <f ca="1">IF(OFFSET('Calc Canada'!$A$1,0,MATCH(X$1,'Calc Canada'!$1:$1,0)-1,300)="","",OFFSET('Calc Canada'!$A$1,0,MATCH(X$1,'Calc Canada'!$1:$1,0)-1,300))</f>
        <v/>
      </c>
      <c r="AC250" t="str">
        <f t="shared" ca="1" si="25"/>
        <v/>
      </c>
      <c r="AD250" t="str">
        <f t="shared" ca="1" si="26"/>
        <v/>
      </c>
    </row>
    <row r="251" spans="1:30" x14ac:dyDescent="0.25">
      <c r="A251" s="4">
        <v>41774</v>
      </c>
      <c r="B251">
        <v>1.3522000000000001</v>
      </c>
      <c r="C251" s="5">
        <v>1.5259</v>
      </c>
      <c r="D251">
        <v>1.9098000000000002</v>
      </c>
      <c r="E251">
        <v>2.2490000000000001</v>
      </c>
      <c r="F251">
        <v>2.6480000000000001</v>
      </c>
      <c r="G251">
        <v>3.2157</v>
      </c>
      <c r="H251">
        <f t="shared" ca="1" si="31"/>
        <v>0.42807760927743099</v>
      </c>
      <c r="I251">
        <f t="shared" ca="1" si="31"/>
        <v>0.29626485568760619</v>
      </c>
      <c r="J251">
        <f t="shared" ca="1" si="31"/>
        <v>0.20601019586799041</v>
      </c>
      <c r="K251">
        <f t="shared" ca="1" si="31"/>
        <v>0.26176879148016663</v>
      </c>
      <c r="L251">
        <f t="shared" ca="1" si="31"/>
        <v>0.18202307485913602</v>
      </c>
      <c r="M251">
        <f t="shared" ca="1" si="31"/>
        <v>0.30229034845379193</v>
      </c>
      <c r="N251">
        <f t="shared" ca="1" si="31"/>
        <v>0.20073381465262158</v>
      </c>
      <c r="O251">
        <f t="shared" ca="1" si="31"/>
        <v>0.21411322779715591</v>
      </c>
      <c r="P251">
        <f t="shared" ca="1" si="31"/>
        <v>0.23612261806130905</v>
      </c>
      <c r="Q251">
        <f t="shared" ca="1" si="31"/>
        <v>0.30553641167011264</v>
      </c>
      <c r="R251">
        <f t="shared" ca="1" si="31"/>
        <v>0.60214649852428237</v>
      </c>
      <c r="S251">
        <f t="shared" ca="1" si="31"/>
        <v>0.39613630265629191</v>
      </c>
      <c r="T251">
        <f t="shared" ca="1" si="31"/>
        <v>0.43685643271393065</v>
      </c>
      <c r="V251" s="4">
        <f t="shared" si="29"/>
        <v>41774</v>
      </c>
      <c r="W251" s="5">
        <f t="shared" ca="1" si="27"/>
        <v>0.60214649852428237</v>
      </c>
      <c r="Z251" s="4" t="e">
        <f ca="1">IF(OFFSET('Calc Canada'!$A$1,0,0,300)="",MATCH("Error",AF251,0),OFFSET('Calc Canada'!$A$1,0,0,300))</f>
        <v>#N/A</v>
      </c>
      <c r="AA251" s="5" t="str">
        <f ca="1">IF(OFFSET('Calc Canada'!$A$1,0,MATCH(W$1,'Calc Canada'!$1:$1,0)-1,300)="","",OFFSET('Calc Canada'!$A$1,0,MATCH(W$1,'Calc Canada'!$1:$1,0)-1,300))</f>
        <v/>
      </c>
      <c r="AB251" s="5" t="str">
        <f ca="1">IF(OFFSET('Calc Canada'!$A$1,0,MATCH(X$1,'Calc Canada'!$1:$1,0)-1,300)="","",OFFSET('Calc Canada'!$A$1,0,MATCH(X$1,'Calc Canada'!$1:$1,0)-1,300))</f>
        <v/>
      </c>
      <c r="AC251" t="str">
        <f t="shared" ca="1" si="25"/>
        <v/>
      </c>
      <c r="AD251" t="str">
        <f t="shared" ca="1" si="26"/>
        <v/>
      </c>
    </row>
    <row r="252" spans="1:30" x14ac:dyDescent="0.25">
      <c r="A252" s="4">
        <v>41773</v>
      </c>
      <c r="B252">
        <v>1.3578999999999999</v>
      </c>
      <c r="C252" s="5">
        <v>1.5348999999999999</v>
      </c>
      <c r="D252">
        <v>1.9335</v>
      </c>
      <c r="E252">
        <v>2.2759999999999998</v>
      </c>
      <c r="F252">
        <v>2.6749999999999998</v>
      </c>
      <c r="G252">
        <v>3.2560000000000002</v>
      </c>
      <c r="H252">
        <f t="shared" ca="1" si="31"/>
        <v>0.43415749918309565</v>
      </c>
      <c r="I252">
        <f t="shared" ca="1" si="31"/>
        <v>0.30263457596234156</v>
      </c>
      <c r="J252">
        <f t="shared" ca="1" si="31"/>
        <v>0.20999947315736789</v>
      </c>
      <c r="K252">
        <f t="shared" ca="1" si="31"/>
        <v>0.2600409991648317</v>
      </c>
      <c r="L252">
        <f t="shared" ca="1" si="31"/>
        <v>0.18044360149623295</v>
      </c>
      <c r="M252">
        <f t="shared" ca="1" si="31"/>
        <v>0.30041224453995247</v>
      </c>
      <c r="N252">
        <f t="shared" ca="1" si="31"/>
        <v>0.19900063912614011</v>
      </c>
      <c r="O252">
        <f t="shared" ca="1" si="31"/>
        <v>0.21021021021021019</v>
      </c>
      <c r="P252">
        <f t="shared" ca="1" si="31"/>
        <v>0.23182848178490498</v>
      </c>
      <c r="Q252">
        <f t="shared" ca="1" si="31"/>
        <v>0.30170132325141774</v>
      </c>
      <c r="R252">
        <f t="shared" ca="1" si="31"/>
        <v>0.60065328486381098</v>
      </c>
      <c r="S252">
        <f t="shared" ca="1" si="31"/>
        <v>0.39065381170644314</v>
      </c>
      <c r="T252">
        <f t="shared" ca="1" si="31"/>
        <v>0.43082912091104508</v>
      </c>
      <c r="V252" s="4">
        <f t="shared" si="29"/>
        <v>41773</v>
      </c>
      <c r="W252" s="5">
        <f t="shared" ca="1" si="27"/>
        <v>0.60065328486381098</v>
      </c>
      <c r="Z252" s="4" t="e">
        <f ca="1">IF(OFFSET('Calc Canada'!$A$1,0,0,300)="",MATCH("Error",AF252,0),OFFSET('Calc Canada'!$A$1,0,0,300))</f>
        <v>#N/A</v>
      </c>
      <c r="AA252" s="5" t="str">
        <f ca="1">IF(OFFSET('Calc Canada'!$A$1,0,MATCH(W$1,'Calc Canada'!$1:$1,0)-1,300)="","",OFFSET('Calc Canada'!$A$1,0,MATCH(W$1,'Calc Canada'!$1:$1,0)-1,300))</f>
        <v/>
      </c>
      <c r="AB252" s="5" t="str">
        <f ca="1">IF(OFFSET('Calc Canada'!$A$1,0,MATCH(X$1,'Calc Canada'!$1:$1,0)-1,300)="","",OFFSET('Calc Canada'!$A$1,0,MATCH(X$1,'Calc Canada'!$1:$1,0)-1,300))</f>
        <v/>
      </c>
      <c r="AC252" t="str">
        <f t="shared" ca="1" si="25"/>
        <v/>
      </c>
      <c r="AD252" t="str">
        <f t="shared" ca="1" si="26"/>
        <v/>
      </c>
    </row>
    <row r="253" spans="1:30" x14ac:dyDescent="0.25">
      <c r="A253" s="4">
        <v>41772</v>
      </c>
      <c r="B253">
        <v>1.3754</v>
      </c>
      <c r="C253" s="5">
        <v>1.5727</v>
      </c>
      <c r="D253">
        <v>1.9979</v>
      </c>
      <c r="E253">
        <v>2.3456999999999999</v>
      </c>
      <c r="F253">
        <v>2.7410000000000001</v>
      </c>
      <c r="G253">
        <v>3.3130999999999999</v>
      </c>
      <c r="H253">
        <f t="shared" ref="H253:T268" ca="1" si="32">IF(ISERROR(ABS(OFFSET($A$11,ROW()-11,MATCH(LEFT(H$9,2),$A$11:$G$11,0)-1)-OFFSET($A$11,ROW()-11,MATCH(RIGHT(H$9,2),$A$11:$G$11,0)-1))/ABS(OFFSET($A$11,ROW()-11,MATCH(LEFT(H$10,2),$A$11:$G$11,0)-1)-OFFSET($A$11,ROW()-11,MATCH(RIGHT(H$10,2),$A$11:$G$11,0)-1))),"",ABS(OFFSET($A$11,ROW()-11,MATCH(LEFT(H$9,2),$A$11:$G$11,0)-1)-OFFSET($A$11,ROW()-11,MATCH(RIGHT(H$9,2),$A$11:$G$11,0)-1))/ABS(OFFSET($A$11,ROW()-11,MATCH(LEFT(H$10,2),$A$11:$G$11,0)-1)-OFFSET($A$11,ROW()-11,MATCH(RIGHT(H$10,2),$A$11:$G$11,0)-1)))</f>
        <v>0.43821498505616824</v>
      </c>
      <c r="I253">
        <f t="shared" ca="1" si="32"/>
        <v>0.31136496777973049</v>
      </c>
      <c r="J253">
        <f t="shared" ca="1" si="32"/>
        <v>0.21943541311864584</v>
      </c>
      <c r="K253">
        <f t="shared" ca="1" si="32"/>
        <v>0.25468658465143518</v>
      </c>
      <c r="L253">
        <f t="shared" ca="1" si="32"/>
        <v>0.1794911493007173</v>
      </c>
      <c r="M253">
        <f t="shared" ca="1" si="32"/>
        <v>0.29769750920140364</v>
      </c>
      <c r="N253">
        <f t="shared" ca="1" si="32"/>
        <v>0.19983911744426563</v>
      </c>
      <c r="O253">
        <f t="shared" ca="1" si="32"/>
        <v>0.20400474789699138</v>
      </c>
      <c r="P253">
        <f t="shared" ca="1" si="32"/>
        <v>0.22713169386347978</v>
      </c>
      <c r="Q253">
        <f t="shared" ca="1" si="32"/>
        <v>0.30056265206812671</v>
      </c>
      <c r="R253">
        <f t="shared" ca="1" si="32"/>
        <v>0.6029313103163545</v>
      </c>
      <c r="S253">
        <f t="shared" ca="1" si="32"/>
        <v>0.38349589719770866</v>
      </c>
      <c r="T253">
        <f t="shared" ca="1" si="32"/>
        <v>0.42697081130774539</v>
      </c>
      <c r="V253" s="4">
        <f t="shared" si="29"/>
        <v>41772</v>
      </c>
      <c r="W253" s="5">
        <f t="shared" ca="1" si="27"/>
        <v>0.6029313103163545</v>
      </c>
      <c r="Z253" s="4" t="e">
        <f ca="1">IF(OFFSET('Calc Canada'!$A$1,0,0,300)="",MATCH("Error",AF253,0),OFFSET('Calc Canada'!$A$1,0,0,300))</f>
        <v>#N/A</v>
      </c>
      <c r="AA253" s="5" t="str">
        <f ca="1">IF(OFFSET('Calc Canada'!$A$1,0,MATCH(W$1,'Calc Canada'!$1:$1,0)-1,300)="","",OFFSET('Calc Canada'!$A$1,0,MATCH(W$1,'Calc Canada'!$1:$1,0)-1,300))</f>
        <v/>
      </c>
      <c r="AB253" s="5" t="str">
        <f ca="1">IF(OFFSET('Calc Canada'!$A$1,0,MATCH(X$1,'Calc Canada'!$1:$1,0)-1,300)="","",OFFSET('Calc Canada'!$A$1,0,MATCH(X$1,'Calc Canada'!$1:$1,0)-1,300))</f>
        <v/>
      </c>
      <c r="AC253" t="str">
        <f t="shared" ca="1" si="25"/>
        <v/>
      </c>
      <c r="AD253" t="str">
        <f t="shared" ca="1" si="26"/>
        <v/>
      </c>
    </row>
    <row r="254" spans="1:30" x14ac:dyDescent="0.25">
      <c r="A254" s="4">
        <v>41771</v>
      </c>
      <c r="B254">
        <v>1.3820999999999999</v>
      </c>
      <c r="C254" s="5">
        <v>1.5918999999999999</v>
      </c>
      <c r="D254">
        <v>2.0318000000000001</v>
      </c>
      <c r="E254">
        <v>2.387</v>
      </c>
      <c r="F254">
        <v>2.7888999999999999</v>
      </c>
      <c r="G254">
        <v>3.3467000000000002</v>
      </c>
      <c r="H254">
        <f t="shared" ca="1" si="32"/>
        <v>0.43775500049756205</v>
      </c>
      <c r="I254">
        <f t="shared" ca="1" si="32"/>
        <v>0.31269547910150708</v>
      </c>
      <c r="J254">
        <f t="shared" ca="1" si="32"/>
        <v>0.22391326478672507</v>
      </c>
      <c r="K254">
        <f t="shared" ca="1" si="32"/>
        <v>0.25248791583736135</v>
      </c>
      <c r="L254">
        <f t="shared" ca="1" si="32"/>
        <v>0.18080016288302958</v>
      </c>
      <c r="M254">
        <f t="shared" ca="1" si="32"/>
        <v>0.29674185463659142</v>
      </c>
      <c r="N254">
        <f t="shared" ca="1" si="32"/>
        <v>0.20241622976977428</v>
      </c>
      <c r="O254">
        <f t="shared" ca="1" si="32"/>
        <v>0.20457090501883327</v>
      </c>
      <c r="P254">
        <f t="shared" ca="1" si="32"/>
        <v>0.22902894916799627</v>
      </c>
      <c r="Q254">
        <f t="shared" ca="1" si="32"/>
        <v>0.30565061981899755</v>
      </c>
      <c r="R254">
        <f t="shared" ca="1" si="32"/>
        <v>0.60928433268858795</v>
      </c>
      <c r="S254">
        <f t="shared" ca="1" si="32"/>
        <v>0.38537106790186287</v>
      </c>
      <c r="T254">
        <f t="shared" ca="1" si="32"/>
        <v>0.43144517893777051</v>
      </c>
      <c r="V254" s="4">
        <f t="shared" si="29"/>
        <v>41771</v>
      </c>
      <c r="W254" s="5">
        <f t="shared" ca="1" si="27"/>
        <v>0.60928433268858795</v>
      </c>
      <c r="Z254" s="4" t="e">
        <f ca="1">IF(OFFSET('Calc Canada'!$A$1,0,0,300)="",MATCH("Error",AF254,0),OFFSET('Calc Canada'!$A$1,0,0,300))</f>
        <v>#N/A</v>
      </c>
      <c r="AA254" s="5" t="str">
        <f ca="1">IF(OFFSET('Calc Canada'!$A$1,0,MATCH(W$1,'Calc Canada'!$1:$1,0)-1,300)="","",OFFSET('Calc Canada'!$A$1,0,MATCH(W$1,'Calc Canada'!$1:$1,0)-1,300))</f>
        <v/>
      </c>
      <c r="AB254" s="5" t="str">
        <f ca="1">IF(OFFSET('Calc Canada'!$A$1,0,MATCH(X$1,'Calc Canada'!$1:$1,0)-1,300)="","",OFFSET('Calc Canada'!$A$1,0,MATCH(X$1,'Calc Canada'!$1:$1,0)-1,300))</f>
        <v/>
      </c>
      <c r="AC254" t="str">
        <f t="shared" ca="1" si="25"/>
        <v/>
      </c>
      <c r="AD254" t="str">
        <f t="shared" ca="1" si="26"/>
        <v/>
      </c>
    </row>
    <row r="255" spans="1:30" x14ac:dyDescent="0.25">
      <c r="A255" s="4">
        <v>41768</v>
      </c>
      <c r="B255">
        <v>1.3715999999999999</v>
      </c>
      <c r="C255" s="5">
        <v>1.5746</v>
      </c>
      <c r="D255">
        <v>2.0019</v>
      </c>
      <c r="E255">
        <v>2.3515999999999999</v>
      </c>
      <c r="F255">
        <v>2.7490000000000001</v>
      </c>
      <c r="G255">
        <v>3.3201999999999998</v>
      </c>
      <c r="H255">
        <f t="shared" ca="1" si="32"/>
        <v>0.43602040816326532</v>
      </c>
      <c r="I255">
        <f t="shared" ca="1" si="32"/>
        <v>0.31022215768839839</v>
      </c>
      <c r="J255">
        <f t="shared" ca="1" si="32"/>
        <v>0.21928564097300629</v>
      </c>
      <c r="K255">
        <f t="shared" ca="1" si="32"/>
        <v>0.25388412951938422</v>
      </c>
      <c r="L255">
        <f t="shared" ca="1" si="32"/>
        <v>0.17946217797392996</v>
      </c>
      <c r="M255">
        <f t="shared" ca="1" si="32"/>
        <v>0.29776907356948218</v>
      </c>
      <c r="N255">
        <f t="shared" ca="1" si="32"/>
        <v>0.2003322639780018</v>
      </c>
      <c r="O255">
        <f t="shared" ca="1" si="32"/>
        <v>0.20394129118341384</v>
      </c>
      <c r="P255">
        <f t="shared" ca="1" si="32"/>
        <v>0.2276581118240148</v>
      </c>
      <c r="Q255">
        <f t="shared" ca="1" si="32"/>
        <v>0.3014488356216341</v>
      </c>
      <c r="R255">
        <f t="shared" ca="1" si="32"/>
        <v>0.60268911013035009</v>
      </c>
      <c r="S255">
        <f t="shared" ca="1" si="32"/>
        <v>0.3834034691573438</v>
      </c>
      <c r="T255">
        <f t="shared" ca="1" si="32"/>
        <v>0.4279903758020166</v>
      </c>
      <c r="V255" s="4">
        <f t="shared" si="29"/>
        <v>41768</v>
      </c>
      <c r="W255" s="5">
        <f t="shared" ca="1" si="27"/>
        <v>0.60268911013035009</v>
      </c>
      <c r="Z255" s="4" t="e">
        <f ca="1">IF(OFFSET('Calc Canada'!$A$1,0,0,300)="",MATCH("Error",AF255,0),OFFSET('Calc Canada'!$A$1,0,0,300))</f>
        <v>#N/A</v>
      </c>
      <c r="AA255" s="5" t="str">
        <f ca="1">IF(OFFSET('Calc Canada'!$A$1,0,MATCH(W$1,'Calc Canada'!$1:$1,0)-1,300)="","",OFFSET('Calc Canada'!$A$1,0,MATCH(W$1,'Calc Canada'!$1:$1,0)-1,300))</f>
        <v/>
      </c>
      <c r="AB255" s="5" t="str">
        <f ca="1">IF(OFFSET('Calc Canada'!$A$1,0,MATCH(X$1,'Calc Canada'!$1:$1,0)-1,300)="","",OFFSET('Calc Canada'!$A$1,0,MATCH(X$1,'Calc Canada'!$1:$1,0)-1,300))</f>
        <v/>
      </c>
      <c r="AC255" t="str">
        <f t="shared" ca="1" si="25"/>
        <v/>
      </c>
      <c r="AD255" t="str">
        <f t="shared" ca="1" si="26"/>
        <v/>
      </c>
    </row>
    <row r="256" spans="1:30" x14ac:dyDescent="0.25">
      <c r="A256" s="4">
        <v>41767</v>
      </c>
      <c r="B256">
        <v>1.3895</v>
      </c>
      <c r="C256" s="5">
        <v>1.5906</v>
      </c>
      <c r="D256">
        <v>2.0249999999999999</v>
      </c>
      <c r="E256">
        <v>2.3700999999999999</v>
      </c>
      <c r="F256">
        <v>2.7561999999999998</v>
      </c>
      <c r="G256">
        <v>3.3258000000000001</v>
      </c>
      <c r="H256">
        <f t="shared" ca="1" si="32"/>
        <v>0.44299408525392608</v>
      </c>
      <c r="I256">
        <f t="shared" ca="1" si="32"/>
        <v>0.31784590619740977</v>
      </c>
      <c r="J256">
        <f t="shared" ca="1" si="32"/>
        <v>0.22434540102256875</v>
      </c>
      <c r="K256">
        <f t="shared" ca="1" si="32"/>
        <v>0.25250603643813568</v>
      </c>
      <c r="L256">
        <f t="shared" ca="1" si="32"/>
        <v>0.17822651448639154</v>
      </c>
      <c r="M256">
        <f t="shared" ca="1" si="32"/>
        <v>0.29607069320521623</v>
      </c>
      <c r="N256">
        <f t="shared" ca="1" si="32"/>
        <v>0.19888197325956658</v>
      </c>
      <c r="O256">
        <f t="shared" ca="1" si="32"/>
        <v>0.19940091927903728</v>
      </c>
      <c r="P256">
        <f t="shared" ca="1" si="32"/>
        <v>0.22251037344398333</v>
      </c>
      <c r="Q256">
        <f t="shared" ca="1" si="32"/>
        <v>0.29681734317343161</v>
      </c>
      <c r="R256">
        <f t="shared" ca="1" si="32"/>
        <v>0.60197283478799757</v>
      </c>
      <c r="S256">
        <f t="shared" ca="1" si="32"/>
        <v>0.37762743376542879</v>
      </c>
      <c r="T256">
        <f t="shared" ca="1" si="32"/>
        <v>0.42139234670354991</v>
      </c>
      <c r="V256" s="4">
        <f t="shared" si="29"/>
        <v>41767</v>
      </c>
      <c r="W256" s="5">
        <f t="shared" ca="1" si="27"/>
        <v>0.60197283478799757</v>
      </c>
      <c r="Z256" s="4" t="e">
        <f ca="1">IF(OFFSET('Calc Canada'!$A$1,0,0,300)="",MATCH("Error",AF256,0),OFFSET('Calc Canada'!$A$1,0,0,300))</f>
        <v>#N/A</v>
      </c>
      <c r="AA256" s="5" t="str">
        <f ca="1">IF(OFFSET('Calc Canada'!$A$1,0,MATCH(W$1,'Calc Canada'!$1:$1,0)-1,300)="","",OFFSET('Calc Canada'!$A$1,0,MATCH(W$1,'Calc Canada'!$1:$1,0)-1,300))</f>
        <v/>
      </c>
      <c r="AB256" s="5" t="str">
        <f ca="1">IF(OFFSET('Calc Canada'!$A$1,0,MATCH(X$1,'Calc Canada'!$1:$1,0)-1,300)="","",OFFSET('Calc Canada'!$A$1,0,MATCH(X$1,'Calc Canada'!$1:$1,0)-1,300))</f>
        <v/>
      </c>
      <c r="AC256" t="str">
        <f t="shared" ca="1" si="25"/>
        <v/>
      </c>
      <c r="AD256" t="str">
        <f t="shared" ca="1" si="26"/>
        <v/>
      </c>
    </row>
    <row r="257" spans="1:30" x14ac:dyDescent="0.25">
      <c r="A257" s="4">
        <v>41766</v>
      </c>
      <c r="B257">
        <v>1.3907</v>
      </c>
      <c r="C257" s="5">
        <v>1.5914999999999999</v>
      </c>
      <c r="D257">
        <v>2.0245000000000002</v>
      </c>
      <c r="E257">
        <v>2.3740000000000001</v>
      </c>
      <c r="F257">
        <v>2.7565</v>
      </c>
      <c r="G257">
        <v>3.3174999999999999</v>
      </c>
      <c r="H257">
        <f t="shared" ca="1" si="32"/>
        <v>0.4403539103020444</v>
      </c>
      <c r="I257">
        <f t="shared" ca="1" si="32"/>
        <v>0.31703031190511077</v>
      </c>
      <c r="J257">
        <f t="shared" ca="1" si="32"/>
        <v>0.22472493253062087</v>
      </c>
      <c r="K257">
        <f t="shared" ca="1" si="32"/>
        <v>0.25589398154927512</v>
      </c>
      <c r="L257">
        <f t="shared" ca="1" si="32"/>
        <v>0.18138883122275273</v>
      </c>
      <c r="M257">
        <f t="shared" ca="1" si="32"/>
        <v>0.29999999999999993</v>
      </c>
      <c r="N257">
        <f t="shared" ca="1" si="32"/>
        <v>0.20249130938586324</v>
      </c>
      <c r="O257">
        <f t="shared" ca="1" si="32"/>
        <v>0.1985156736558023</v>
      </c>
      <c r="P257">
        <f t="shared" ca="1" si="32"/>
        <v>0.2216106604866743</v>
      </c>
      <c r="Q257">
        <f t="shared" ca="1" si="32"/>
        <v>0.29582366589327141</v>
      </c>
      <c r="R257">
        <f t="shared" ca="1" si="32"/>
        <v>0.60462943740917585</v>
      </c>
      <c r="S257">
        <f t="shared" ca="1" si="32"/>
        <v>0.37990450487855504</v>
      </c>
      <c r="T257">
        <f t="shared" ca="1" si="32"/>
        <v>0.42410196987253751</v>
      </c>
      <c r="V257" s="4">
        <f t="shared" si="29"/>
        <v>41766</v>
      </c>
      <c r="W257" s="5">
        <f t="shared" ca="1" si="27"/>
        <v>0.60462943740917585</v>
      </c>
      <c r="Z257" s="4" t="e">
        <f ca="1">IF(OFFSET('Calc Canada'!$A$1,0,0,300)="",MATCH("Error",AF257,0),OFFSET('Calc Canada'!$A$1,0,0,300))</f>
        <v>#N/A</v>
      </c>
      <c r="AA257" s="5" t="str">
        <f ca="1">IF(OFFSET('Calc Canada'!$A$1,0,MATCH(W$1,'Calc Canada'!$1:$1,0)-1,300)="","",OFFSET('Calc Canada'!$A$1,0,MATCH(W$1,'Calc Canada'!$1:$1,0)-1,300))</f>
        <v/>
      </c>
      <c r="AB257" s="5" t="str">
        <f ca="1">IF(OFFSET('Calc Canada'!$A$1,0,MATCH(X$1,'Calc Canada'!$1:$1,0)-1,300)="","",OFFSET('Calc Canada'!$A$1,0,MATCH(X$1,'Calc Canada'!$1:$1,0)-1,300))</f>
        <v/>
      </c>
      <c r="AC257" t="str">
        <f t="shared" ca="1" si="25"/>
        <v/>
      </c>
      <c r="AD257" t="str">
        <f t="shared" ca="1" si="26"/>
        <v/>
      </c>
    </row>
    <row r="258" spans="1:30" x14ac:dyDescent="0.25">
      <c r="A258" s="4">
        <v>41765</v>
      </c>
      <c r="B258">
        <v>1.3865000000000001</v>
      </c>
      <c r="C258" s="5">
        <v>1.5895000000000001</v>
      </c>
      <c r="D258">
        <v>2.0205000000000002</v>
      </c>
      <c r="E258">
        <v>2.3635000000000002</v>
      </c>
      <c r="F258">
        <v>2.7524999999999999</v>
      </c>
      <c r="G258">
        <v>3.3075000000000001</v>
      </c>
      <c r="H258">
        <f t="shared" ca="1" si="32"/>
        <v>0.44114636642784033</v>
      </c>
      <c r="I258">
        <f t="shared" ca="1" si="32"/>
        <v>0.31551976573938512</v>
      </c>
      <c r="J258">
        <f t="shared" ca="1" si="32"/>
        <v>0.22436231129619991</v>
      </c>
      <c r="K258">
        <f t="shared" ca="1" si="32"/>
        <v>0.25109809663250365</v>
      </c>
      <c r="L258">
        <f t="shared" ca="1" si="32"/>
        <v>0.17855283706402914</v>
      </c>
      <c r="M258">
        <f t="shared" ca="1" si="32"/>
        <v>0.29492691315563202</v>
      </c>
      <c r="N258">
        <f t="shared" ca="1" si="32"/>
        <v>0.19965075669383003</v>
      </c>
      <c r="O258">
        <f t="shared" ca="1" si="32"/>
        <v>0.20249869859448194</v>
      </c>
      <c r="P258">
        <f t="shared" ca="1" si="32"/>
        <v>0.22642607683352725</v>
      </c>
      <c r="Q258">
        <f t="shared" ca="1" si="32"/>
        <v>0.3022533022533021</v>
      </c>
      <c r="R258">
        <f t="shared" ca="1" si="32"/>
        <v>0.60541384695471101</v>
      </c>
      <c r="S258">
        <f t="shared" ca="1" si="32"/>
        <v>0.38105153565851108</v>
      </c>
      <c r="T258">
        <f t="shared" ca="1" si="32"/>
        <v>0.42607683352735726</v>
      </c>
      <c r="V258" s="4">
        <f t="shared" si="29"/>
        <v>41765</v>
      </c>
      <c r="W258" s="5">
        <f t="shared" ca="1" si="27"/>
        <v>0.60541384695471101</v>
      </c>
      <c r="Z258" s="4" t="e">
        <f ca="1">IF(OFFSET('Calc Canada'!$A$1,0,0,300)="",MATCH("Error",AF258,0),OFFSET('Calc Canada'!$A$1,0,0,300))</f>
        <v>#N/A</v>
      </c>
      <c r="AA258" s="5" t="str">
        <f ca="1">IF(OFFSET('Calc Canada'!$A$1,0,MATCH(W$1,'Calc Canada'!$1:$1,0)-1,300)="","",OFFSET('Calc Canada'!$A$1,0,MATCH(W$1,'Calc Canada'!$1:$1,0)-1,300))</f>
        <v/>
      </c>
      <c r="AB258" s="5" t="str">
        <f ca="1">IF(OFFSET('Calc Canada'!$A$1,0,MATCH(X$1,'Calc Canada'!$1:$1,0)-1,300)="","",OFFSET('Calc Canada'!$A$1,0,MATCH(X$1,'Calc Canada'!$1:$1,0)-1,300))</f>
        <v/>
      </c>
      <c r="AC258" t="str">
        <f t="shared" ca="1" si="25"/>
        <v/>
      </c>
      <c r="AD258" t="str">
        <f t="shared" ca="1" si="26"/>
        <v/>
      </c>
    </row>
    <row r="259" spans="1:30" x14ac:dyDescent="0.25">
      <c r="A259" s="4">
        <v>41764</v>
      </c>
      <c r="B259">
        <v>1.389</v>
      </c>
      <c r="C259" s="5">
        <v>1.5840000000000001</v>
      </c>
      <c r="D259">
        <v>2.0165000000000002</v>
      </c>
      <c r="E259">
        <v>2.3645</v>
      </c>
      <c r="F259">
        <v>2.7534999999999998</v>
      </c>
      <c r="G259">
        <v>3.319</v>
      </c>
      <c r="H259">
        <f t="shared" ca="1" si="32"/>
        <v>0.4433623782675552</v>
      </c>
      <c r="I259">
        <f t="shared" ca="1" si="32"/>
        <v>0.31696592158299758</v>
      </c>
      <c r="J259">
        <f t="shared" ca="1" si="32"/>
        <v>0.22409326424870474</v>
      </c>
      <c r="K259">
        <f t="shared" ca="1" si="32"/>
        <v>0.25503847563209958</v>
      </c>
      <c r="L259">
        <f t="shared" ca="1" si="32"/>
        <v>0.18031088082901547</v>
      </c>
      <c r="M259">
        <f t="shared" ca="1" si="32"/>
        <v>0.29756306113723807</v>
      </c>
      <c r="N259">
        <f t="shared" ca="1" si="32"/>
        <v>0.20057636887608063</v>
      </c>
      <c r="O259">
        <f t="shared" ca="1" si="32"/>
        <v>0.20155440414507761</v>
      </c>
      <c r="P259">
        <f t="shared" ca="1" si="32"/>
        <v>0.22420749279538896</v>
      </c>
      <c r="Q259">
        <f t="shared" ca="1" si="32"/>
        <v>0.29865642994241831</v>
      </c>
      <c r="R259">
        <f t="shared" ca="1" si="32"/>
        <v>0.60595854922279779</v>
      </c>
      <c r="S259">
        <f t="shared" ca="1" si="32"/>
        <v>0.38186528497409311</v>
      </c>
      <c r="T259">
        <f t="shared" ca="1" si="32"/>
        <v>0.42478386167146959</v>
      </c>
      <c r="V259" s="4">
        <f t="shared" si="29"/>
        <v>41764</v>
      </c>
      <c r="W259" s="5">
        <f t="shared" ca="1" si="27"/>
        <v>0.60595854922279779</v>
      </c>
      <c r="Z259" s="4" t="e">
        <f ca="1">IF(OFFSET('Calc Canada'!$A$1,0,0,300)="",MATCH("Error",AF259,0),OFFSET('Calc Canada'!$A$1,0,0,300))</f>
        <v>#N/A</v>
      </c>
      <c r="AA259" s="5" t="str">
        <f ca="1">IF(OFFSET('Calc Canada'!$A$1,0,MATCH(W$1,'Calc Canada'!$1:$1,0)-1,300)="","",OFFSET('Calc Canada'!$A$1,0,MATCH(W$1,'Calc Canada'!$1:$1,0)-1,300))</f>
        <v/>
      </c>
      <c r="AB259" s="5" t="str">
        <f ca="1">IF(OFFSET('Calc Canada'!$A$1,0,MATCH(X$1,'Calc Canada'!$1:$1,0)-1,300)="","",OFFSET('Calc Canada'!$A$1,0,MATCH(X$1,'Calc Canada'!$1:$1,0)-1,300))</f>
        <v/>
      </c>
      <c r="AC259" t="str">
        <f t="shared" ref="AC259:AC300" ca="1" si="33">IF(AND(AA259&lt;&gt;"",AB259&lt;&gt;""),ABS(AA259-AB259),"")</f>
        <v/>
      </c>
      <c r="AD259" t="str">
        <f t="shared" ref="AD259:AD300" ca="1" si="34">IF(ISNA(MATCH("",AC259:AC278,0)),AVERAGE(AC259:AC278),"")</f>
        <v/>
      </c>
    </row>
    <row r="260" spans="1:30" x14ac:dyDescent="0.25">
      <c r="A260" s="4">
        <v>41761</v>
      </c>
      <c r="B260">
        <v>1.3812</v>
      </c>
      <c r="C260" s="5">
        <v>1.5737999999999999</v>
      </c>
      <c r="D260">
        <v>1.9927999999999999</v>
      </c>
      <c r="E260">
        <v>2.3380000000000001</v>
      </c>
      <c r="F260">
        <v>2.7316000000000003</v>
      </c>
      <c r="G260">
        <v>3.3047</v>
      </c>
      <c r="H260">
        <f t="shared" ca="1" si="32"/>
        <v>0.43791806020066887</v>
      </c>
      <c r="I260">
        <f t="shared" ca="1" si="32"/>
        <v>0.31027843601895733</v>
      </c>
      <c r="J260">
        <f t="shared" ca="1" si="32"/>
        <v>0.21783207694307255</v>
      </c>
      <c r="K260">
        <f t="shared" ca="1" si="32"/>
        <v>0.25562796208530814</v>
      </c>
      <c r="L260">
        <f t="shared" ca="1" si="32"/>
        <v>0.17946451780608275</v>
      </c>
      <c r="M260">
        <f t="shared" ca="1" si="32"/>
        <v>0.29815166695456907</v>
      </c>
      <c r="N260">
        <f t="shared" ca="1" si="32"/>
        <v>0.19943382055578032</v>
      </c>
      <c r="O260">
        <f t="shared" ca="1" si="32"/>
        <v>0.20462698206394603</v>
      </c>
      <c r="P260">
        <f t="shared" ca="1" si="32"/>
        <v>0.22739615229071589</v>
      </c>
      <c r="Q260">
        <f t="shared" ca="1" si="32"/>
        <v>0.30002286759661573</v>
      </c>
      <c r="R260">
        <f t="shared" ca="1" si="32"/>
        <v>0.60192357681310127</v>
      </c>
      <c r="S260">
        <f t="shared" ca="1" si="32"/>
        <v>0.38409149987002877</v>
      </c>
      <c r="T260">
        <f t="shared" ca="1" si="32"/>
        <v>0.42682997284649621</v>
      </c>
      <c r="V260" s="4">
        <f t="shared" si="29"/>
        <v>41761</v>
      </c>
      <c r="W260" s="5">
        <f t="shared" ca="1" si="27"/>
        <v>0.60192357681310127</v>
      </c>
      <c r="Z260" s="4" t="e">
        <f ca="1">IF(OFFSET('Calc Canada'!$A$1,0,0,300)="",MATCH("Error",AF260,0),OFFSET('Calc Canada'!$A$1,0,0,300))</f>
        <v>#N/A</v>
      </c>
      <c r="AA260" s="5" t="str">
        <f ca="1">IF(OFFSET('Calc Canada'!$A$1,0,MATCH(W$1,'Calc Canada'!$1:$1,0)-1,300)="","",OFFSET('Calc Canada'!$A$1,0,MATCH(W$1,'Calc Canada'!$1:$1,0)-1,300))</f>
        <v/>
      </c>
      <c r="AB260" s="5" t="str">
        <f ca="1">IF(OFFSET('Calc Canada'!$A$1,0,MATCH(X$1,'Calc Canada'!$1:$1,0)-1,300)="","",OFFSET('Calc Canada'!$A$1,0,MATCH(X$1,'Calc Canada'!$1:$1,0)-1,300))</f>
        <v/>
      </c>
      <c r="AC260" t="str">
        <f t="shared" ca="1" si="33"/>
        <v/>
      </c>
      <c r="AD260" t="str">
        <f t="shared" ca="1" si="34"/>
        <v/>
      </c>
    </row>
    <row r="261" spans="1:30" x14ac:dyDescent="0.25">
      <c r="A261" s="4">
        <v>41760</v>
      </c>
      <c r="B261">
        <v>1.3904000000000001</v>
      </c>
      <c r="C261" s="5">
        <v>1.5735000000000001</v>
      </c>
      <c r="D261">
        <v>1.9929999999999999</v>
      </c>
      <c r="E261">
        <v>2.3504999999999998</v>
      </c>
      <c r="F261">
        <v>2.7503000000000002</v>
      </c>
      <c r="G261">
        <v>3.3265000000000002</v>
      </c>
      <c r="H261">
        <f t="shared" ca="1" si="32"/>
        <v>0.43693365274450563</v>
      </c>
      <c r="I261">
        <f t="shared" ca="1" si="32"/>
        <v>0.30847856460033807</v>
      </c>
      <c r="J261">
        <f t="shared" ca="1" si="32"/>
        <v>0.21667269252621235</v>
      </c>
      <c r="K261">
        <f t="shared" ca="1" si="32"/>
        <v>0.26288697698360164</v>
      </c>
      <c r="L261">
        <f t="shared" ca="1" si="32"/>
        <v>0.18464955322555648</v>
      </c>
      <c r="M261">
        <f t="shared" ca="1" si="32"/>
        <v>0.30378993881713112</v>
      </c>
      <c r="N261">
        <f t="shared" ca="1" si="32"/>
        <v>0.20393610952652591</v>
      </c>
      <c r="O261">
        <f t="shared" ca="1" si="32"/>
        <v>0.20649759826455263</v>
      </c>
      <c r="P261">
        <f t="shared" ca="1" si="32"/>
        <v>0.22806617227609832</v>
      </c>
      <c r="Q261">
        <f t="shared" ca="1" si="32"/>
        <v>0.29981252343457088</v>
      </c>
      <c r="R261">
        <f t="shared" ca="1" si="32"/>
        <v>0.6078198440163215</v>
      </c>
      <c r="S261">
        <f t="shared" ca="1" si="32"/>
        <v>0.39114715149010909</v>
      </c>
      <c r="T261">
        <f t="shared" ca="1" si="32"/>
        <v>0.43200228180262423</v>
      </c>
      <c r="V261" s="4">
        <f t="shared" si="29"/>
        <v>41760</v>
      </c>
      <c r="W261" s="5">
        <f t="shared" ca="1" si="27"/>
        <v>0.6078198440163215</v>
      </c>
      <c r="Z261" s="4" t="e">
        <f ca="1">IF(OFFSET('Calc Canada'!$A$1,0,0,300)="",MATCH("Error",AF261,0),OFFSET('Calc Canada'!$A$1,0,0,300))</f>
        <v>#N/A</v>
      </c>
      <c r="AA261" s="5" t="str">
        <f ca="1">IF(OFFSET('Calc Canada'!$A$1,0,MATCH(W$1,'Calc Canada'!$1:$1,0)-1,300)="","",OFFSET('Calc Canada'!$A$1,0,MATCH(W$1,'Calc Canada'!$1:$1,0)-1,300))</f>
        <v/>
      </c>
      <c r="AB261" s="5" t="str">
        <f ca="1">IF(OFFSET('Calc Canada'!$A$1,0,MATCH(X$1,'Calc Canada'!$1:$1,0)-1,300)="","",OFFSET('Calc Canada'!$A$1,0,MATCH(X$1,'Calc Canada'!$1:$1,0)-1,300))</f>
        <v/>
      </c>
      <c r="AC261" t="str">
        <f t="shared" ca="1" si="33"/>
        <v/>
      </c>
      <c r="AD261" t="str">
        <f t="shared" ca="1" si="34"/>
        <v/>
      </c>
    </row>
    <row r="262" spans="1:30" x14ac:dyDescent="0.25">
      <c r="A262" s="4">
        <v>41759</v>
      </c>
      <c r="B262">
        <v>1.3908</v>
      </c>
      <c r="C262" s="5">
        <v>1.5945</v>
      </c>
      <c r="D262">
        <v>2.0339999999999998</v>
      </c>
      <c r="E262">
        <v>2.3816999999999999</v>
      </c>
      <c r="F262">
        <v>2.7852000000000001</v>
      </c>
      <c r="G262">
        <v>3.3544999999999998</v>
      </c>
      <c r="H262">
        <f t="shared" ca="1" si="32"/>
        <v>0.44353617923100197</v>
      </c>
      <c r="I262">
        <f t="shared" ca="1" si="32"/>
        <v>0.31518932874354544</v>
      </c>
      <c r="J262">
        <f t="shared" ca="1" si="32"/>
        <v>0.22381219127157909</v>
      </c>
      <c r="K262">
        <f t="shared" ca="1" si="32"/>
        <v>0.24935456110154913</v>
      </c>
      <c r="L262">
        <f t="shared" ca="1" si="32"/>
        <v>0.1770637062687784</v>
      </c>
      <c r="M262">
        <f t="shared" ca="1" si="32"/>
        <v>0.29201310153691112</v>
      </c>
      <c r="N262">
        <f t="shared" ca="1" si="32"/>
        <v>0.19755681818181828</v>
      </c>
      <c r="O262">
        <f t="shared" ca="1" si="32"/>
        <v>0.20547945205479465</v>
      </c>
      <c r="P262">
        <f t="shared" ca="1" si="32"/>
        <v>0.22926136363636376</v>
      </c>
      <c r="Q262">
        <f t="shared" ca="1" si="32"/>
        <v>0.30556607345702402</v>
      </c>
      <c r="R262">
        <f t="shared" ca="1" si="32"/>
        <v>0.60635534959515214</v>
      </c>
      <c r="S262">
        <f t="shared" ca="1" si="32"/>
        <v>0.38254315832357305</v>
      </c>
      <c r="T262">
        <f t="shared" ca="1" si="32"/>
        <v>0.42681818181818204</v>
      </c>
      <c r="V262" s="4">
        <f t="shared" si="29"/>
        <v>41759</v>
      </c>
      <c r="W262" s="5">
        <f t="shared" ca="1" si="27"/>
        <v>0.60635534959515214</v>
      </c>
      <c r="Z262" s="4" t="e">
        <f ca="1">IF(OFFSET('Calc Canada'!$A$1,0,0,300)="",MATCH("Error",AF262,0),OFFSET('Calc Canada'!$A$1,0,0,300))</f>
        <v>#N/A</v>
      </c>
      <c r="AA262" s="5" t="str">
        <f ca="1">IF(OFFSET('Calc Canada'!$A$1,0,MATCH(W$1,'Calc Canada'!$1:$1,0)-1,300)="","",OFFSET('Calc Canada'!$A$1,0,MATCH(W$1,'Calc Canada'!$1:$1,0)-1,300))</f>
        <v/>
      </c>
      <c r="AB262" s="5" t="str">
        <f ca="1">IF(OFFSET('Calc Canada'!$A$1,0,MATCH(X$1,'Calc Canada'!$1:$1,0)-1,300)="","",OFFSET('Calc Canada'!$A$1,0,MATCH(X$1,'Calc Canada'!$1:$1,0)-1,300))</f>
        <v/>
      </c>
      <c r="AC262" t="str">
        <f t="shared" ca="1" si="33"/>
        <v/>
      </c>
      <c r="AD262" t="str">
        <f t="shared" ca="1" si="34"/>
        <v/>
      </c>
    </row>
    <row r="263" spans="1:30" x14ac:dyDescent="0.25">
      <c r="A263" s="4">
        <v>41758</v>
      </c>
      <c r="B263">
        <v>1.4075</v>
      </c>
      <c r="C263" s="5">
        <v>1.617</v>
      </c>
      <c r="D263">
        <v>2.0648</v>
      </c>
      <c r="E263">
        <v>2.4148000000000001</v>
      </c>
      <c r="F263">
        <v>2.8155000000000001</v>
      </c>
      <c r="G263">
        <v>3.38</v>
      </c>
      <c r="H263">
        <f t="shared" ca="1" si="32"/>
        <v>0.44455475032264463</v>
      </c>
      <c r="I263">
        <f t="shared" ca="1" si="32"/>
        <v>0.31803977272727268</v>
      </c>
      <c r="J263">
        <f t="shared" ca="1" si="32"/>
        <v>0.22702154626108997</v>
      </c>
      <c r="K263">
        <f t="shared" ca="1" si="32"/>
        <v>0.2485795454545455</v>
      </c>
      <c r="L263">
        <f t="shared" ca="1" si="32"/>
        <v>0.17743979721166039</v>
      </c>
      <c r="M263">
        <f t="shared" ca="1" si="32"/>
        <v>0.29203170629954112</v>
      </c>
      <c r="N263">
        <f t="shared" ca="1" si="32"/>
        <v>0.19852524106636421</v>
      </c>
      <c r="O263">
        <f t="shared" ca="1" si="32"/>
        <v>0.20314321926489232</v>
      </c>
      <c r="P263">
        <f t="shared" ca="1" si="32"/>
        <v>0.22728304027226323</v>
      </c>
      <c r="Q263">
        <f t="shared" ca="1" si="32"/>
        <v>0.30466849148418496</v>
      </c>
      <c r="R263">
        <f t="shared" ca="1" si="32"/>
        <v>0.60760456273764263</v>
      </c>
      <c r="S263">
        <f t="shared" ca="1" si="32"/>
        <v>0.38058301647655268</v>
      </c>
      <c r="T263">
        <f t="shared" ca="1" si="32"/>
        <v>0.42580828133862747</v>
      </c>
      <c r="V263" s="4">
        <f t="shared" si="29"/>
        <v>41758</v>
      </c>
      <c r="W263" s="5">
        <f t="shared" ca="1" si="27"/>
        <v>0.60760456273764263</v>
      </c>
      <c r="Z263" s="4" t="e">
        <f ca="1">IF(OFFSET('Calc Canada'!$A$1,0,0,300)="",MATCH("Error",AF263,0),OFFSET('Calc Canada'!$A$1,0,0,300))</f>
        <v>#N/A</v>
      </c>
      <c r="AA263" s="5" t="str">
        <f ca="1">IF(OFFSET('Calc Canada'!$A$1,0,MATCH(W$1,'Calc Canada'!$1:$1,0)-1,300)="","",OFFSET('Calc Canada'!$A$1,0,MATCH(W$1,'Calc Canada'!$1:$1,0)-1,300))</f>
        <v/>
      </c>
      <c r="AB263" s="5" t="str">
        <f ca="1">IF(OFFSET('Calc Canada'!$A$1,0,MATCH(X$1,'Calc Canada'!$1:$1,0)-1,300)="","",OFFSET('Calc Canada'!$A$1,0,MATCH(X$1,'Calc Canada'!$1:$1,0)-1,300))</f>
        <v/>
      </c>
      <c r="AC263" t="str">
        <f t="shared" ca="1" si="33"/>
        <v/>
      </c>
      <c r="AD263" t="str">
        <f t="shared" ca="1" si="34"/>
        <v/>
      </c>
    </row>
    <row r="264" spans="1:30" x14ac:dyDescent="0.25">
      <c r="A264" s="4">
        <v>41757</v>
      </c>
      <c r="B264">
        <v>1.3945000000000001</v>
      </c>
      <c r="C264" s="5">
        <v>1.6025</v>
      </c>
      <c r="D264">
        <v>2.036</v>
      </c>
      <c r="E264">
        <v>2.3875000000000002</v>
      </c>
      <c r="F264">
        <v>2.7974999999999999</v>
      </c>
      <c r="G264">
        <v>3.3753000000000002</v>
      </c>
      <c r="H264">
        <f t="shared" ca="1" si="32"/>
        <v>0.43655589123867067</v>
      </c>
      <c r="I264">
        <f t="shared" ca="1" si="32"/>
        <v>0.30898075552387744</v>
      </c>
      <c r="J264">
        <f t="shared" ca="1" si="32"/>
        <v>0.21885096930533116</v>
      </c>
      <c r="K264">
        <f t="shared" ca="1" si="32"/>
        <v>0.2505345687811833</v>
      </c>
      <c r="L264">
        <f t="shared" ca="1" si="32"/>
        <v>0.17745355411954772</v>
      </c>
      <c r="M264">
        <f t="shared" ca="1" si="32"/>
        <v>0.29414225941422611</v>
      </c>
      <c r="N264">
        <f t="shared" ca="1" si="32"/>
        <v>0.1982739169675091</v>
      </c>
      <c r="O264">
        <f t="shared" ca="1" si="32"/>
        <v>0.20698707592891744</v>
      </c>
      <c r="P264">
        <f t="shared" ca="1" si="32"/>
        <v>0.23127256317689512</v>
      </c>
      <c r="Q264">
        <f t="shared" ca="1" si="32"/>
        <v>0.30613006794594166</v>
      </c>
      <c r="R264">
        <f t="shared" ca="1" si="32"/>
        <v>0.60329159935379628</v>
      </c>
      <c r="S264">
        <f t="shared" ca="1" si="32"/>
        <v>0.38444063004846518</v>
      </c>
      <c r="T264">
        <f t="shared" ca="1" si="32"/>
        <v>0.42954648014440422</v>
      </c>
      <c r="V264" s="4">
        <f t="shared" si="29"/>
        <v>41757</v>
      </c>
      <c r="W264" s="5">
        <f t="shared" ca="1" si="27"/>
        <v>0.60329159935379628</v>
      </c>
      <c r="Z264" s="4" t="e">
        <f ca="1">IF(OFFSET('Calc Canada'!$A$1,0,0,300)="",MATCH("Error",AF264,0),OFFSET('Calc Canada'!$A$1,0,0,300))</f>
        <v>#N/A</v>
      </c>
      <c r="AA264" s="5" t="str">
        <f ca="1">IF(OFFSET('Calc Canada'!$A$1,0,MATCH(W$1,'Calc Canada'!$1:$1,0)-1,300)="","",OFFSET('Calc Canada'!$A$1,0,MATCH(W$1,'Calc Canada'!$1:$1,0)-1,300))</f>
        <v/>
      </c>
      <c r="AB264" s="5" t="str">
        <f ca="1">IF(OFFSET('Calc Canada'!$A$1,0,MATCH(X$1,'Calc Canada'!$1:$1,0)-1,300)="","",OFFSET('Calc Canada'!$A$1,0,MATCH(X$1,'Calc Canada'!$1:$1,0)-1,300))</f>
        <v/>
      </c>
      <c r="AC264" t="str">
        <f t="shared" ca="1" si="33"/>
        <v/>
      </c>
      <c r="AD264" t="str">
        <f t="shared" ca="1" si="34"/>
        <v/>
      </c>
    </row>
    <row r="265" spans="1:30" x14ac:dyDescent="0.25">
      <c r="A265" s="4">
        <v>41754</v>
      </c>
      <c r="B265">
        <v>1.3900000000000001</v>
      </c>
      <c r="C265" s="5">
        <v>1.5926</v>
      </c>
      <c r="D265">
        <v>2.0179999999999998</v>
      </c>
      <c r="E265">
        <v>2.3755999999999999</v>
      </c>
      <c r="F265">
        <v>2.782</v>
      </c>
      <c r="G265">
        <v>3.3481999999999998</v>
      </c>
      <c r="H265">
        <f t="shared" ca="1" si="32"/>
        <v>0.4316152597402596</v>
      </c>
      <c r="I265">
        <f t="shared" ca="1" si="32"/>
        <v>0.30560344827586194</v>
      </c>
      <c r="J265">
        <f t="shared" ca="1" si="32"/>
        <v>0.21724032274537833</v>
      </c>
      <c r="K265">
        <f t="shared" ca="1" si="32"/>
        <v>0.25689655172413806</v>
      </c>
      <c r="L265">
        <f t="shared" ca="1" si="32"/>
        <v>0.18261668879583301</v>
      </c>
      <c r="M265">
        <f t="shared" ca="1" si="32"/>
        <v>0.3006557928367245</v>
      </c>
      <c r="N265">
        <f t="shared" ca="1" si="32"/>
        <v>0.20369104579630906</v>
      </c>
      <c r="O265">
        <f t="shared" ca="1" si="32"/>
        <v>0.20753753447043211</v>
      </c>
      <c r="P265">
        <f t="shared" ca="1" si="32"/>
        <v>0.23148781043517894</v>
      </c>
      <c r="Q265">
        <f t="shared" ca="1" si="32"/>
        <v>0.30551796722297403</v>
      </c>
      <c r="R265">
        <f t="shared" ca="1" si="32"/>
        <v>0.60739454601164344</v>
      </c>
      <c r="S265">
        <f t="shared" ca="1" si="32"/>
        <v>0.39015422326626509</v>
      </c>
      <c r="T265">
        <f t="shared" ca="1" si="32"/>
        <v>0.435178856231488</v>
      </c>
      <c r="V265" s="4">
        <f t="shared" si="29"/>
        <v>41754</v>
      </c>
      <c r="W265" s="5">
        <f t="shared" ca="1" si="27"/>
        <v>0.60739454601164344</v>
      </c>
      <c r="Z265" s="4" t="e">
        <f ca="1">IF(OFFSET('Calc Canada'!$A$1,0,0,300)="",MATCH("Error",AF265,0),OFFSET('Calc Canada'!$A$1,0,0,300))</f>
        <v>#N/A</v>
      </c>
      <c r="AA265" s="5" t="str">
        <f ca="1">IF(OFFSET('Calc Canada'!$A$1,0,MATCH(W$1,'Calc Canada'!$1:$1,0)-1,300)="","",OFFSET('Calc Canada'!$A$1,0,MATCH(W$1,'Calc Canada'!$1:$1,0)-1,300))</f>
        <v/>
      </c>
      <c r="AB265" s="5" t="str">
        <f ca="1">IF(OFFSET('Calc Canada'!$A$1,0,MATCH(X$1,'Calc Canada'!$1:$1,0)-1,300)="","",OFFSET('Calc Canada'!$A$1,0,MATCH(X$1,'Calc Canada'!$1:$1,0)-1,300))</f>
        <v/>
      </c>
      <c r="AC265" t="str">
        <f t="shared" ca="1" si="33"/>
        <v/>
      </c>
      <c r="AD265" t="str">
        <f t="shared" ca="1" si="34"/>
        <v/>
      </c>
    </row>
    <row r="266" spans="1:30" x14ac:dyDescent="0.25">
      <c r="A266" s="4">
        <v>41753</v>
      </c>
      <c r="B266">
        <v>1.3959999999999999</v>
      </c>
      <c r="C266" s="5">
        <v>1.6023000000000001</v>
      </c>
      <c r="D266">
        <v>2.0430000000000001</v>
      </c>
      <c r="E266">
        <v>2.3974000000000002</v>
      </c>
      <c r="F266">
        <v>2.806</v>
      </c>
      <c r="G266">
        <v>3.3608000000000002</v>
      </c>
      <c r="H266">
        <f t="shared" ca="1" si="32"/>
        <v>0.44008388256440978</v>
      </c>
      <c r="I266">
        <f t="shared" ca="1" si="32"/>
        <v>0.31255319148936173</v>
      </c>
      <c r="J266">
        <f t="shared" ca="1" si="32"/>
        <v>0.22429763843648209</v>
      </c>
      <c r="K266">
        <f t="shared" ca="1" si="32"/>
        <v>0.25134751773049646</v>
      </c>
      <c r="L266">
        <f t="shared" ca="1" si="32"/>
        <v>0.18037459283387622</v>
      </c>
      <c r="M266">
        <f t="shared" ca="1" si="32"/>
        <v>0.29442552130929639</v>
      </c>
      <c r="N266">
        <f t="shared" ca="1" si="32"/>
        <v>0.20153539948820018</v>
      </c>
      <c r="O266">
        <f t="shared" ca="1" si="32"/>
        <v>0.20796009771986959</v>
      </c>
      <c r="P266">
        <f t="shared" ca="1" si="32"/>
        <v>0.23235712254762572</v>
      </c>
      <c r="Q266">
        <f t="shared" ca="1" si="32"/>
        <v>0.31006222492032159</v>
      </c>
      <c r="R266">
        <f t="shared" ca="1" si="32"/>
        <v>0.6126323289902279</v>
      </c>
      <c r="S266">
        <f t="shared" ca="1" si="32"/>
        <v>0.38833469055374581</v>
      </c>
      <c r="T266">
        <f t="shared" ca="1" si="32"/>
        <v>0.4338925220358259</v>
      </c>
      <c r="V266" s="4">
        <f t="shared" si="29"/>
        <v>41753</v>
      </c>
      <c r="W266" s="5">
        <f t="shared" ca="1" si="27"/>
        <v>0.6126323289902279</v>
      </c>
      <c r="Z266" s="4" t="e">
        <f ca="1">IF(OFFSET('Calc Canada'!$A$1,0,0,300)="",MATCH("Error",AF266,0),OFFSET('Calc Canada'!$A$1,0,0,300))</f>
        <v>#N/A</v>
      </c>
      <c r="AA266" s="5" t="str">
        <f ca="1">IF(OFFSET('Calc Canada'!$A$1,0,MATCH(W$1,'Calc Canada'!$1:$1,0)-1,300)="","",OFFSET('Calc Canada'!$A$1,0,MATCH(W$1,'Calc Canada'!$1:$1,0)-1,300))</f>
        <v/>
      </c>
      <c r="AB266" s="5" t="str">
        <f ca="1">IF(OFFSET('Calc Canada'!$A$1,0,MATCH(X$1,'Calc Canada'!$1:$1,0)-1,300)="","",OFFSET('Calc Canada'!$A$1,0,MATCH(X$1,'Calc Canada'!$1:$1,0)-1,300))</f>
        <v/>
      </c>
      <c r="AC266" t="str">
        <f t="shared" ca="1" si="33"/>
        <v/>
      </c>
      <c r="AD266" t="str">
        <f t="shared" ca="1" si="34"/>
        <v/>
      </c>
    </row>
    <row r="267" spans="1:30" x14ac:dyDescent="0.25">
      <c r="A267" s="4">
        <v>41752</v>
      </c>
      <c r="B267">
        <v>1.3940000000000001</v>
      </c>
      <c r="C267" s="5">
        <v>1.6052999999999999</v>
      </c>
      <c r="D267">
        <v>2.0514999999999999</v>
      </c>
      <c r="E267">
        <v>2.4024000000000001</v>
      </c>
      <c r="F267">
        <v>2.8096999999999999</v>
      </c>
      <c r="G267">
        <v>3.3515000000000001</v>
      </c>
      <c r="H267">
        <f t="shared" ca="1" si="32"/>
        <v>0.44248314161047198</v>
      </c>
      <c r="I267">
        <f t="shared" ca="1" si="32"/>
        <v>0.31517976972522427</v>
      </c>
      <c r="J267">
        <f t="shared" ca="1" si="32"/>
        <v>0.22794380587484031</v>
      </c>
      <c r="K267">
        <f t="shared" ca="1" si="32"/>
        <v>0.24786324786324807</v>
      </c>
      <c r="L267">
        <f t="shared" ca="1" si="32"/>
        <v>0.17925925925925937</v>
      </c>
      <c r="M267">
        <f t="shared" ca="1" si="32"/>
        <v>0.29134838923945555</v>
      </c>
      <c r="N267">
        <f t="shared" ca="1" si="32"/>
        <v>0.20095063566601773</v>
      </c>
      <c r="O267">
        <f t="shared" ca="1" si="32"/>
        <v>0.20807151979565761</v>
      </c>
      <c r="P267">
        <f t="shared" ca="1" si="32"/>
        <v>0.23324934142709869</v>
      </c>
      <c r="Q267">
        <f t="shared" ca="1" si="32"/>
        <v>0.31330769230769207</v>
      </c>
      <c r="R267">
        <f t="shared" ca="1" si="32"/>
        <v>0.61527458492975728</v>
      </c>
      <c r="S267">
        <f t="shared" ca="1" si="32"/>
        <v>0.38733077905491697</v>
      </c>
      <c r="T267">
        <f t="shared" ca="1" si="32"/>
        <v>0.43419997709311642</v>
      </c>
      <c r="V267" s="4">
        <f t="shared" si="29"/>
        <v>41752</v>
      </c>
      <c r="W267" s="5">
        <f t="shared" ca="1" si="27"/>
        <v>0.61527458492975728</v>
      </c>
      <c r="Z267" s="4" t="e">
        <f ca="1">IF(OFFSET('Calc Canada'!$A$1,0,0,300)="",MATCH("Error",AF267,0),OFFSET('Calc Canada'!$A$1,0,0,300))</f>
        <v>#N/A</v>
      </c>
      <c r="AA267" s="5" t="str">
        <f ca="1">IF(OFFSET('Calc Canada'!$A$1,0,MATCH(W$1,'Calc Canada'!$1:$1,0)-1,300)="","",OFFSET('Calc Canada'!$A$1,0,MATCH(W$1,'Calc Canada'!$1:$1,0)-1,300))</f>
        <v/>
      </c>
      <c r="AB267" s="5" t="str">
        <f ca="1">IF(OFFSET('Calc Canada'!$A$1,0,MATCH(X$1,'Calc Canada'!$1:$1,0)-1,300)="","",OFFSET('Calc Canada'!$A$1,0,MATCH(X$1,'Calc Canada'!$1:$1,0)-1,300))</f>
        <v/>
      </c>
      <c r="AC267" t="str">
        <f t="shared" ca="1" si="33"/>
        <v/>
      </c>
      <c r="AD267" t="str">
        <f t="shared" ca="1" si="34"/>
        <v/>
      </c>
    </row>
    <row r="268" spans="1:30" x14ac:dyDescent="0.25">
      <c r="A268" s="4">
        <v>41751</v>
      </c>
      <c r="B268">
        <v>1.3955</v>
      </c>
      <c r="C268" s="5">
        <v>1.6099999999999999</v>
      </c>
      <c r="D268">
        <v>2.0640000000000001</v>
      </c>
      <c r="E268">
        <v>2.4176000000000002</v>
      </c>
      <c r="F268">
        <v>2.8239999999999998</v>
      </c>
      <c r="G268">
        <v>3.3544999999999998</v>
      </c>
      <c r="H268">
        <f t="shared" ca="1" si="32"/>
        <v>0.44418354368457108</v>
      </c>
      <c r="I268">
        <f t="shared" ca="1" si="32"/>
        <v>0.31781589079453987</v>
      </c>
      <c r="J268">
        <f t="shared" ca="1" si="32"/>
        <v>0.23175089331291487</v>
      </c>
      <c r="K268">
        <f t="shared" ca="1" si="32"/>
        <v>0.24753237661883107</v>
      </c>
      <c r="L268">
        <f t="shared" ca="1" si="32"/>
        <v>0.18050025523226143</v>
      </c>
      <c r="M268">
        <f t="shared" ca="1" si="32"/>
        <v>0.29126853377265249</v>
      </c>
      <c r="N268">
        <f t="shared" ca="1" si="32"/>
        <v>0.20269418171395823</v>
      </c>
      <c r="O268">
        <f t="shared" ca="1" si="32"/>
        <v>0.20745278203164863</v>
      </c>
      <c r="P268">
        <f t="shared" ca="1" si="32"/>
        <v>0.23296073373459425</v>
      </c>
      <c r="Q268">
        <f t="shared" ca="1" si="32"/>
        <v>0.31491669895389363</v>
      </c>
      <c r="R268">
        <f t="shared" ca="1" si="32"/>
        <v>0.61970393057682494</v>
      </c>
      <c r="S268">
        <f t="shared" ca="1" si="32"/>
        <v>0.38795303726391006</v>
      </c>
      <c r="T268">
        <f t="shared" ca="1" si="32"/>
        <v>0.4356549154485525</v>
      </c>
      <c r="V268" s="4">
        <f t="shared" si="29"/>
        <v>41751</v>
      </c>
      <c r="W268" s="5">
        <f t="shared" ref="W268:W274" ca="1" si="35">OFFSET($H$12,0,MATCH(selectCanada,$H$12:$T$12,0)-1,300,1)</f>
        <v>0.61970393057682494</v>
      </c>
      <c r="Z268" s="4" t="e">
        <f ca="1">IF(OFFSET('Calc Canada'!$A$1,0,0,300)="",MATCH("Error",AF268,0),OFFSET('Calc Canada'!$A$1,0,0,300))</f>
        <v>#N/A</v>
      </c>
      <c r="AA268" s="5" t="str">
        <f ca="1">IF(OFFSET('Calc Canada'!$A$1,0,MATCH(W$1,'Calc Canada'!$1:$1,0)-1,300)="","",OFFSET('Calc Canada'!$A$1,0,MATCH(W$1,'Calc Canada'!$1:$1,0)-1,300))</f>
        <v/>
      </c>
      <c r="AB268" s="5" t="str">
        <f ca="1">IF(OFFSET('Calc Canada'!$A$1,0,MATCH(X$1,'Calc Canada'!$1:$1,0)-1,300)="","",OFFSET('Calc Canada'!$A$1,0,MATCH(X$1,'Calc Canada'!$1:$1,0)-1,300))</f>
        <v/>
      </c>
      <c r="AC268" t="str">
        <f t="shared" ca="1" si="33"/>
        <v/>
      </c>
      <c r="AD268" t="str">
        <f t="shared" ca="1" si="34"/>
        <v/>
      </c>
    </row>
    <row r="269" spans="1:30" x14ac:dyDescent="0.25">
      <c r="A269" s="4">
        <v>41750</v>
      </c>
      <c r="B269">
        <v>1.3974</v>
      </c>
      <c r="C269" s="5">
        <v>1.6127</v>
      </c>
      <c r="D269">
        <v>2.0710000000000002</v>
      </c>
      <c r="E269">
        <v>2.4228000000000001</v>
      </c>
      <c r="F269">
        <v>2.8275999999999999</v>
      </c>
      <c r="G269">
        <v>3.3675999999999999</v>
      </c>
      <c r="H269">
        <f t="shared" ref="H269:T274" ca="1" si="36">IF(ISERROR(ABS(OFFSET($A$11,ROW()-11,MATCH(LEFT(H$9,2),$A$11:$G$11,0)-1)-OFFSET($A$11,ROW()-11,MATCH(RIGHT(H$9,2),$A$11:$G$11,0)-1))/ABS(OFFSET($A$11,ROW()-11,MATCH(LEFT(H$10,2),$A$11:$G$11,0)-1)-OFFSET($A$11,ROW()-11,MATCH(RIGHT(H$10,2),$A$11:$G$11,0)-1))),"",ABS(OFFSET($A$11,ROW()-11,MATCH(LEFT(H$9,2),$A$11:$G$11,0)-1)-OFFSET($A$11,ROW()-11,MATCH(RIGHT(H$9,2),$A$11:$G$11,0)-1))/ABS(OFFSET($A$11,ROW()-11,MATCH(LEFT(H$10,2),$A$11:$G$11,0)-1)-OFFSET($A$11,ROW()-11,MATCH(RIGHT(H$10,2),$A$11:$G$11,0)-1)))</f>
        <v>0.44694753267017762</v>
      </c>
      <c r="I269">
        <f t="shared" ca="1" si="36"/>
        <v>0.32044469304992323</v>
      </c>
      <c r="J269">
        <f t="shared" ca="1" si="36"/>
        <v>0.23261597807329212</v>
      </c>
      <c r="K269">
        <f t="shared" ca="1" si="36"/>
        <v>0.24597958327506636</v>
      </c>
      <c r="L269">
        <f t="shared" ca="1" si="36"/>
        <v>0.17856055222820014</v>
      </c>
      <c r="M269">
        <f t="shared" ca="1" si="36"/>
        <v>0.28957115812000983</v>
      </c>
      <c r="N269">
        <f t="shared" ca="1" si="36"/>
        <v>0.20046726309191401</v>
      </c>
      <c r="O269">
        <f t="shared" ca="1" si="36"/>
        <v>0.20546137447974816</v>
      </c>
      <c r="P269">
        <f t="shared" ca="1" si="36"/>
        <v>0.23066841415465261</v>
      </c>
      <c r="Q269">
        <f t="shared" ca="1" si="36"/>
        <v>0.31220114144686095</v>
      </c>
      <c r="R269">
        <f t="shared" ca="1" si="36"/>
        <v>0.61663790478124048</v>
      </c>
      <c r="S269">
        <f t="shared" ca="1" si="36"/>
        <v>0.38402192670794832</v>
      </c>
      <c r="T269">
        <f t="shared" ca="1" si="36"/>
        <v>0.4311356772465666</v>
      </c>
      <c r="V269" s="4">
        <f t="shared" si="29"/>
        <v>41750</v>
      </c>
      <c r="W269" s="5">
        <f t="shared" ca="1" si="35"/>
        <v>0.61663790478124048</v>
      </c>
      <c r="Z269" s="4" t="e">
        <f ca="1">IF(OFFSET('Calc Canada'!$A$1,0,0,300)="",MATCH("Error",AF269,0),OFFSET('Calc Canada'!$A$1,0,0,300))</f>
        <v>#N/A</v>
      </c>
      <c r="AA269" s="5" t="str">
        <f ca="1">IF(OFFSET('Calc Canada'!$A$1,0,MATCH(W$1,'Calc Canada'!$1:$1,0)-1,300)="","",OFFSET('Calc Canada'!$A$1,0,MATCH(W$1,'Calc Canada'!$1:$1,0)-1,300))</f>
        <v/>
      </c>
      <c r="AB269" s="5" t="str">
        <f ca="1">IF(OFFSET('Calc Canada'!$A$1,0,MATCH(X$1,'Calc Canada'!$1:$1,0)-1,300)="","",OFFSET('Calc Canada'!$A$1,0,MATCH(X$1,'Calc Canada'!$1:$1,0)-1,300))</f>
        <v/>
      </c>
      <c r="AC269" t="str">
        <f t="shared" ca="1" si="33"/>
        <v/>
      </c>
      <c r="AD269" t="str">
        <f t="shared" ca="1" si="34"/>
        <v/>
      </c>
    </row>
    <row r="270" spans="1:30" x14ac:dyDescent="0.25">
      <c r="A270" s="4">
        <v>41747</v>
      </c>
      <c r="B270">
        <v>1.3996999999999999</v>
      </c>
      <c r="C270" s="5">
        <v>1.6127</v>
      </c>
      <c r="D270">
        <v>2.0659999999999998</v>
      </c>
      <c r="E270">
        <v>2.4188999999999998</v>
      </c>
      <c r="F270">
        <v>2.8231999999999999</v>
      </c>
      <c r="G270">
        <v>3.3645</v>
      </c>
      <c r="H270">
        <f t="shared" ca="1" si="36"/>
        <v>0.44476059654631073</v>
      </c>
      <c r="I270">
        <f t="shared" ca="1" si="36"/>
        <v>0.31844046364594297</v>
      </c>
      <c r="J270">
        <f t="shared" ca="1" si="36"/>
        <v>0.23071050488599337</v>
      </c>
      <c r="K270">
        <f t="shared" ca="1" si="36"/>
        <v>0.24791008078679311</v>
      </c>
      <c r="L270">
        <f t="shared" ca="1" si="36"/>
        <v>0.17961115635179151</v>
      </c>
      <c r="M270">
        <f t="shared" ca="1" si="36"/>
        <v>0.2915324246179265</v>
      </c>
      <c r="N270">
        <f t="shared" ca="1" si="36"/>
        <v>0.20144993720744375</v>
      </c>
      <c r="O270">
        <f t="shared" ca="1" si="36"/>
        <v>0.20577157980456029</v>
      </c>
      <c r="P270">
        <f t="shared" ca="1" si="36"/>
        <v>0.23079118620847133</v>
      </c>
      <c r="Q270">
        <f t="shared" ca="1" si="36"/>
        <v>0.31135926068540626</v>
      </c>
      <c r="R270">
        <f t="shared" ca="1" si="36"/>
        <v>0.6160932410423452</v>
      </c>
      <c r="S270">
        <f t="shared" ca="1" si="36"/>
        <v>0.38538273615635182</v>
      </c>
      <c r="T270">
        <f t="shared" ca="1" si="36"/>
        <v>0.43224112341591509</v>
      </c>
      <c r="V270" s="4">
        <f>IF(A270&lt;&gt;"",A270,"")</f>
        <v>41747</v>
      </c>
      <c r="W270" s="5">
        <f t="shared" ca="1" si="35"/>
        <v>0.6160932410423452</v>
      </c>
      <c r="Z270" s="4" t="e">
        <f ca="1">IF(OFFSET('Calc Canada'!$A$1,0,0,300)="",MATCH("Error",AF270,0),OFFSET('Calc Canada'!$A$1,0,0,300))</f>
        <v>#N/A</v>
      </c>
      <c r="AA270" s="5" t="str">
        <f ca="1">IF(OFFSET('Calc Canada'!$A$1,0,MATCH(W$1,'Calc Canada'!$1:$1,0)-1,300)="","",OFFSET('Calc Canada'!$A$1,0,MATCH(W$1,'Calc Canada'!$1:$1,0)-1,300))</f>
        <v/>
      </c>
      <c r="AB270" s="5" t="str">
        <f ca="1">IF(OFFSET('Calc Canada'!$A$1,0,MATCH(X$1,'Calc Canada'!$1:$1,0)-1,300)="","",OFFSET('Calc Canada'!$A$1,0,MATCH(X$1,'Calc Canada'!$1:$1,0)-1,300))</f>
        <v/>
      </c>
      <c r="AC270" t="str">
        <f t="shared" ca="1" si="33"/>
        <v/>
      </c>
      <c r="AD270" t="str">
        <f t="shared" ca="1" si="34"/>
        <v/>
      </c>
    </row>
    <row r="271" spans="1:30" x14ac:dyDescent="0.25">
      <c r="A271" s="4">
        <v>41746</v>
      </c>
      <c r="B271">
        <v>1.3995</v>
      </c>
      <c r="C271" s="5">
        <v>1.6129</v>
      </c>
      <c r="D271">
        <v>2.0670000000000002</v>
      </c>
      <c r="E271">
        <v>2.4195000000000002</v>
      </c>
      <c r="F271">
        <v>2.8289999999999997</v>
      </c>
      <c r="G271">
        <v>3.3660000000000001</v>
      </c>
      <c r="H271">
        <f t="shared" ca="1" si="36"/>
        <v>0.4451960784313726</v>
      </c>
      <c r="I271">
        <f t="shared" ca="1" si="36"/>
        <v>0.31766351871283682</v>
      </c>
      <c r="J271">
        <f t="shared" ca="1" si="36"/>
        <v>0.23091787439613534</v>
      </c>
      <c r="K271">
        <f t="shared" ca="1" si="36"/>
        <v>0.24658971668415536</v>
      </c>
      <c r="L271">
        <f t="shared" ca="1" si="36"/>
        <v>0.17925247902364608</v>
      </c>
      <c r="M271">
        <f t="shared" ca="1" si="36"/>
        <v>0.28986103116520034</v>
      </c>
      <c r="N271">
        <f t="shared" ca="1" si="36"/>
        <v>0.20107238605898123</v>
      </c>
      <c r="O271">
        <f t="shared" ca="1" si="36"/>
        <v>0.20823798627002263</v>
      </c>
      <c r="P271">
        <f t="shared" ca="1" si="36"/>
        <v>0.23358621869830556</v>
      </c>
      <c r="Q271">
        <f t="shared" ca="1" si="36"/>
        <v>0.31524249422632761</v>
      </c>
      <c r="R271">
        <f t="shared" ca="1" si="36"/>
        <v>0.61840833968980402</v>
      </c>
      <c r="S271">
        <f t="shared" ca="1" si="36"/>
        <v>0.38749046529366871</v>
      </c>
      <c r="T271">
        <f t="shared" ca="1" si="36"/>
        <v>0.43465860475728679</v>
      </c>
      <c r="V271" s="4">
        <f>IF(A271&lt;&gt;"",A271,"")</f>
        <v>41746</v>
      </c>
      <c r="W271" s="5">
        <f t="shared" ca="1" si="35"/>
        <v>0.61840833968980402</v>
      </c>
      <c r="Z271" s="4" t="e">
        <f ca="1">IF(OFFSET('Calc Canada'!$A$1,0,0,300)="",MATCH("Error",AF271,0),OFFSET('Calc Canada'!$A$1,0,0,300))</f>
        <v>#N/A</v>
      </c>
      <c r="AA271" s="5" t="str">
        <f ca="1">IF(OFFSET('Calc Canada'!$A$1,0,MATCH(W$1,'Calc Canada'!$1:$1,0)-1,300)="","",OFFSET('Calc Canada'!$A$1,0,MATCH(W$1,'Calc Canada'!$1:$1,0)-1,300))</f>
        <v/>
      </c>
      <c r="AB271" s="5" t="str">
        <f ca="1">IF(OFFSET('Calc Canada'!$A$1,0,MATCH(X$1,'Calc Canada'!$1:$1,0)-1,300)="","",OFFSET('Calc Canada'!$A$1,0,MATCH(X$1,'Calc Canada'!$1:$1,0)-1,300))</f>
        <v/>
      </c>
      <c r="AC271" t="str">
        <f t="shared" ca="1" si="33"/>
        <v/>
      </c>
      <c r="AD271" t="str">
        <f t="shared" ca="1" si="34"/>
        <v/>
      </c>
    </row>
    <row r="272" spans="1:30" x14ac:dyDescent="0.25">
      <c r="A272" s="4">
        <v>41745</v>
      </c>
      <c r="B272">
        <v>1.3753</v>
      </c>
      <c r="C272" s="5">
        <v>1.5782</v>
      </c>
      <c r="D272">
        <v>2.0093999999999999</v>
      </c>
      <c r="E272">
        <v>2.3614999999999999</v>
      </c>
      <c r="F272">
        <v>2.7694999999999999</v>
      </c>
      <c r="G272">
        <v>3.327</v>
      </c>
      <c r="H272">
        <f t="shared" ca="1" si="36"/>
        <v>0.43723382680997752</v>
      </c>
      <c r="I272">
        <f t="shared" ca="1" si="36"/>
        <v>0.30928130827714806</v>
      </c>
      <c r="J272">
        <f t="shared" ca="1" si="36"/>
        <v>0.22093559460982723</v>
      </c>
      <c r="K272">
        <f t="shared" ca="1" si="36"/>
        <v>0.25254626308994416</v>
      </c>
      <c r="L272">
        <f t="shared" ca="1" si="36"/>
        <v>0.18040682481938827</v>
      </c>
      <c r="M272">
        <f t="shared" ca="1" si="36"/>
        <v>0.2955594728447915</v>
      </c>
      <c r="N272">
        <f t="shared" ca="1" si="36"/>
        <v>0.20133806038426355</v>
      </c>
      <c r="O272">
        <f t="shared" ca="1" si="36"/>
        <v>0.20904852180150635</v>
      </c>
      <c r="P272">
        <f t="shared" ca="1" si="36"/>
        <v>0.23330283623055806</v>
      </c>
      <c r="Q272">
        <f t="shared" ca="1" si="36"/>
        <v>0.30965391621129318</v>
      </c>
      <c r="R272">
        <f t="shared" ca="1" si="36"/>
        <v>0.6103909412307218</v>
      </c>
      <c r="S272">
        <f t="shared" ca="1" si="36"/>
        <v>0.38945534662089459</v>
      </c>
      <c r="T272">
        <f t="shared" ca="1" si="36"/>
        <v>0.43464089661482164</v>
      </c>
      <c r="V272" s="4">
        <f>IF(A272&lt;&gt;"",A272,"")</f>
        <v>41745</v>
      </c>
      <c r="W272" s="5">
        <f t="shared" ca="1" si="35"/>
        <v>0.6103909412307218</v>
      </c>
      <c r="Z272" s="4" t="e">
        <f ca="1">IF(OFFSET('Calc Canada'!$A$1,0,0,300)="",MATCH("Error",AF272,0),OFFSET('Calc Canada'!$A$1,0,0,300))</f>
        <v>#N/A</v>
      </c>
      <c r="AA272" s="5" t="str">
        <f ca="1">IF(OFFSET('Calc Canada'!$A$1,0,MATCH(W$1,'Calc Canada'!$1:$1,0)-1,300)="","",OFFSET('Calc Canada'!$A$1,0,MATCH(W$1,'Calc Canada'!$1:$1,0)-1,300))</f>
        <v/>
      </c>
      <c r="AB272" s="5" t="str">
        <f ca="1">IF(OFFSET('Calc Canada'!$A$1,0,MATCH(X$1,'Calc Canada'!$1:$1,0)-1,300)="","",OFFSET('Calc Canada'!$A$1,0,MATCH(X$1,'Calc Canada'!$1:$1,0)-1,300))</f>
        <v/>
      </c>
      <c r="AC272" t="str">
        <f t="shared" ca="1" si="33"/>
        <v/>
      </c>
      <c r="AD272" t="str">
        <f t="shared" ca="1" si="34"/>
        <v/>
      </c>
    </row>
    <row r="273" spans="1:30" x14ac:dyDescent="0.25">
      <c r="A273" s="4">
        <v>41744</v>
      </c>
      <c r="B273">
        <v>1.3738000000000001</v>
      </c>
      <c r="C273" s="5">
        <v>1.5693999999999999</v>
      </c>
      <c r="D273">
        <v>1.9935</v>
      </c>
      <c r="E273">
        <v>2.3531</v>
      </c>
      <c r="F273">
        <v>2.7627999999999999</v>
      </c>
      <c r="G273">
        <v>3.3414999999999999</v>
      </c>
      <c r="H273">
        <f t="shared" ca="1" si="36"/>
        <v>0.43306443377923026</v>
      </c>
      <c r="I273">
        <f t="shared" ca="1" si="36"/>
        <v>0.30532757379409664</v>
      </c>
      <c r="J273">
        <f t="shared" ca="1" si="36"/>
        <v>0.21553082278802674</v>
      </c>
      <c r="K273">
        <f t="shared" ca="1" si="36"/>
        <v>0.25889128869690425</v>
      </c>
      <c r="L273">
        <f t="shared" ca="1" si="36"/>
        <v>0.18275143568633428</v>
      </c>
      <c r="M273">
        <f t="shared" ca="1" si="36"/>
        <v>0.30132394838277182</v>
      </c>
      <c r="N273">
        <f t="shared" ca="1" si="36"/>
        <v>0.20292308560464981</v>
      </c>
      <c r="O273">
        <f t="shared" ca="1" si="36"/>
        <v>0.20821263403974183</v>
      </c>
      <c r="P273">
        <f t="shared" ca="1" si="36"/>
        <v>0.2311946278426725</v>
      </c>
      <c r="Q273">
        <f t="shared" ca="1" si="36"/>
        <v>0.30393175074183976</v>
      </c>
      <c r="R273">
        <f t="shared" ca="1" si="36"/>
        <v>0.60649489251410282</v>
      </c>
      <c r="S273">
        <f t="shared" ca="1" si="36"/>
        <v>0.39096406972607611</v>
      </c>
      <c r="T273">
        <f t="shared" ca="1" si="36"/>
        <v>0.43411771344732231</v>
      </c>
      <c r="V273" s="4">
        <f>IF(A273&lt;&gt;"",A273,"")</f>
        <v>41744</v>
      </c>
      <c r="W273" s="5">
        <f t="shared" ca="1" si="35"/>
        <v>0.60649489251410282</v>
      </c>
      <c r="Z273" s="4" t="e">
        <f ca="1">IF(OFFSET('Calc Canada'!$A$1,0,0,300)="",MATCH("Error",AF273,0),OFFSET('Calc Canada'!$A$1,0,0,300))</f>
        <v>#N/A</v>
      </c>
      <c r="AA273" s="5" t="str">
        <f ca="1">IF(OFFSET('Calc Canada'!$A$1,0,MATCH(W$1,'Calc Canada'!$1:$1,0)-1,300)="","",OFFSET('Calc Canada'!$A$1,0,MATCH(W$1,'Calc Canada'!$1:$1,0)-1,300))</f>
        <v/>
      </c>
      <c r="AB273" s="5" t="str">
        <f ca="1">IF(OFFSET('Calc Canada'!$A$1,0,MATCH(X$1,'Calc Canada'!$1:$1,0)-1,300)="","",OFFSET('Calc Canada'!$A$1,0,MATCH(X$1,'Calc Canada'!$1:$1,0)-1,300))</f>
        <v/>
      </c>
      <c r="AC273" t="str">
        <f t="shared" ca="1" si="33"/>
        <v/>
      </c>
      <c r="AD273" t="str">
        <f t="shared" ca="1" si="34"/>
        <v/>
      </c>
    </row>
    <row r="274" spans="1:30" x14ac:dyDescent="0.25">
      <c r="A274" s="4">
        <v>41743</v>
      </c>
      <c r="B274">
        <v>1.3785000000000001</v>
      </c>
      <c r="C274" s="5">
        <v>1.5827</v>
      </c>
      <c r="D274">
        <v>2.0230000000000001</v>
      </c>
      <c r="E274">
        <v>2.3811</v>
      </c>
      <c r="F274">
        <v>2.7955000000000001</v>
      </c>
      <c r="G274">
        <v>3.3628</v>
      </c>
      <c r="H274">
        <f t="shared" ca="1" si="36"/>
        <v>0.43915818870935586</v>
      </c>
      <c r="I274">
        <f t="shared" ca="1" si="36"/>
        <v>0.31072688779110808</v>
      </c>
      <c r="J274">
        <f t="shared" ca="1" si="36"/>
        <v>0.2218918510305902</v>
      </c>
      <c r="K274">
        <f t="shared" ca="1" si="36"/>
        <v>0.2527170077628792</v>
      </c>
      <c r="L274">
        <f t="shared" ca="1" si="36"/>
        <v>0.18046666330695957</v>
      </c>
      <c r="M274">
        <f t="shared" ca="1" si="36"/>
        <v>0.29526715039577822</v>
      </c>
      <c r="N274">
        <f t="shared" ca="1" si="36"/>
        <v>0.20116847368125379</v>
      </c>
      <c r="O274">
        <f t="shared" ca="1" si="36"/>
        <v>0.20883938920526135</v>
      </c>
      <c r="P274">
        <f t="shared" ca="1" si="36"/>
        <v>0.23279591034211566</v>
      </c>
      <c r="Q274">
        <f t="shared" ca="1" si="36"/>
        <v>0.30929989550679216</v>
      </c>
      <c r="R274">
        <f t="shared" ca="1" si="36"/>
        <v>0.61119790354281112</v>
      </c>
      <c r="S274">
        <f t="shared" ca="1" si="36"/>
        <v>0.38930605251222095</v>
      </c>
      <c r="T274">
        <f t="shared" ca="1" si="36"/>
        <v>0.43396438402336945</v>
      </c>
      <c r="V274" s="4">
        <f>IF(A274&lt;&gt;"",A274,"")</f>
        <v>41743</v>
      </c>
      <c r="W274" s="5">
        <f t="shared" ca="1" si="35"/>
        <v>0.61119790354281112</v>
      </c>
      <c r="Z274" s="4" t="e">
        <f ca="1">IF(OFFSET('Calc Canada'!$A$1,0,0,300)="",MATCH("Error",AF274,0),OFFSET('Calc Canada'!$A$1,0,0,300))</f>
        <v>#N/A</v>
      </c>
      <c r="AA274" s="5" t="str">
        <f ca="1">IF(OFFSET('Calc Canada'!$A$1,0,MATCH(W$1,'Calc Canada'!$1:$1,0)-1,300)="","",OFFSET('Calc Canada'!$A$1,0,MATCH(W$1,'Calc Canada'!$1:$1,0)-1,300))</f>
        <v/>
      </c>
      <c r="AB274" s="5" t="str">
        <f ca="1">IF(OFFSET('Calc Canada'!$A$1,0,MATCH(X$1,'Calc Canada'!$1:$1,0)-1,300)="","",OFFSET('Calc Canada'!$A$1,0,MATCH(X$1,'Calc Canada'!$1:$1,0)-1,300))</f>
        <v/>
      </c>
      <c r="AC274" t="str">
        <f t="shared" ca="1" si="33"/>
        <v/>
      </c>
      <c r="AD274" t="str">
        <f t="shared" ca="1" si="34"/>
        <v/>
      </c>
    </row>
    <row r="275" spans="1:30" x14ac:dyDescent="0.25">
      <c r="A275" s="4">
        <v>41740</v>
      </c>
      <c r="B275">
        <v>1.3738000000000001</v>
      </c>
      <c r="C275" s="5">
        <v>1.5785</v>
      </c>
      <c r="D275">
        <v>2.0110999999999999</v>
      </c>
      <c r="E275">
        <v>2.3734999999999999</v>
      </c>
      <c r="F275">
        <v>2.7880000000000003</v>
      </c>
      <c r="G275">
        <v>3.3740000000000001</v>
      </c>
      <c r="Z275" s="4" t="e">
        <f ca="1">IF(OFFSET('Calc Canada'!$A$1,0,0,300)="",MATCH("Error",AF275,0),OFFSET('Calc Canada'!$A$1,0,0,300))</f>
        <v>#N/A</v>
      </c>
      <c r="AA275" s="5" t="str">
        <f ca="1">IF(OFFSET('Calc Canada'!$A$1,0,MATCH(W$1,'Calc Canada'!$1:$1,0)-1,300)="","",OFFSET('Calc Canada'!$A$1,0,MATCH(W$1,'Calc Canada'!$1:$1,0)-1,300))</f>
        <v/>
      </c>
      <c r="AB275" s="5" t="str">
        <f ca="1">IF(OFFSET('Calc Canada'!$A$1,0,MATCH(X$1,'Calc Canada'!$1:$1,0)-1,300)="","",OFFSET('Calc Canada'!$A$1,0,MATCH(X$1,'Calc Canada'!$1:$1,0)-1,300))</f>
        <v/>
      </c>
      <c r="AC275" t="str">
        <f t="shared" ca="1" si="33"/>
        <v/>
      </c>
      <c r="AD275" t="str">
        <f t="shared" ca="1" si="34"/>
        <v/>
      </c>
    </row>
    <row r="276" spans="1:30" x14ac:dyDescent="0.25">
      <c r="A276" s="4">
        <v>41739</v>
      </c>
      <c r="B276">
        <v>1.3820000000000001</v>
      </c>
      <c r="C276" s="5">
        <v>1.5885</v>
      </c>
      <c r="D276">
        <v>2.0398000000000001</v>
      </c>
      <c r="E276">
        <v>2.4037999999999999</v>
      </c>
      <c r="F276">
        <v>2.8260000000000001</v>
      </c>
      <c r="G276">
        <v>3.3904999999999998</v>
      </c>
      <c r="Z276" s="4" t="e">
        <f ca="1">IF(OFFSET('Calc Canada'!$A$1,0,0,300)="",MATCH("Error",AF276,0),OFFSET('Calc Canada'!$A$1,0,0,300))</f>
        <v>#N/A</v>
      </c>
      <c r="AA276" s="5" t="str">
        <f ca="1">IF(OFFSET('Calc Canada'!$A$1,0,MATCH(W$1,'Calc Canada'!$1:$1,0)-1,300)="","",OFFSET('Calc Canada'!$A$1,0,MATCH(W$1,'Calc Canada'!$1:$1,0)-1,300))</f>
        <v/>
      </c>
      <c r="AB276" s="5" t="str">
        <f ca="1">IF(OFFSET('Calc Canada'!$A$1,0,MATCH(X$1,'Calc Canada'!$1:$1,0)-1,300)="","",OFFSET('Calc Canada'!$A$1,0,MATCH(X$1,'Calc Canada'!$1:$1,0)-1,300))</f>
        <v/>
      </c>
      <c r="AC276" t="str">
        <f t="shared" ca="1" si="33"/>
        <v/>
      </c>
      <c r="AD276" t="str">
        <f t="shared" ca="1" si="34"/>
        <v/>
      </c>
    </row>
    <row r="277" spans="1:30" x14ac:dyDescent="0.25">
      <c r="A277" s="4">
        <v>41738</v>
      </c>
      <c r="B277">
        <v>1.3893</v>
      </c>
      <c r="C277" s="5">
        <v>1.6012999999999999</v>
      </c>
      <c r="D277">
        <v>2.0659999999999998</v>
      </c>
      <c r="E277">
        <v>2.4291</v>
      </c>
      <c r="F277">
        <v>2.8420000000000001</v>
      </c>
      <c r="G277">
        <v>3.4055</v>
      </c>
      <c r="Z277" s="4" t="e">
        <f ca="1">IF(OFFSET('Calc Canada'!$A$1,0,0,300)="",MATCH("Error",AF277,0),OFFSET('Calc Canada'!$A$1,0,0,300))</f>
        <v>#N/A</v>
      </c>
      <c r="AA277" s="5" t="str">
        <f ca="1">IF(OFFSET('Calc Canada'!$A$1,0,MATCH(W$1,'Calc Canada'!$1:$1,0)-1,300)="","",OFFSET('Calc Canada'!$A$1,0,MATCH(W$1,'Calc Canada'!$1:$1,0)-1,300))</f>
        <v/>
      </c>
      <c r="AB277" s="5" t="str">
        <f ca="1">IF(OFFSET('Calc Canada'!$A$1,0,MATCH(X$1,'Calc Canada'!$1:$1,0)-1,300)="","",OFFSET('Calc Canada'!$A$1,0,MATCH(X$1,'Calc Canada'!$1:$1,0)-1,300))</f>
        <v/>
      </c>
      <c r="AC277" t="str">
        <f t="shared" ca="1" si="33"/>
        <v/>
      </c>
      <c r="AD277" t="str">
        <f t="shared" ca="1" si="34"/>
        <v/>
      </c>
    </row>
    <row r="278" spans="1:30" x14ac:dyDescent="0.25">
      <c r="A278" s="4">
        <v>41737</v>
      </c>
      <c r="B278">
        <v>1.3945000000000001</v>
      </c>
      <c r="C278" s="5">
        <v>1.6099999999999999</v>
      </c>
      <c r="D278">
        <v>2.0828000000000002</v>
      </c>
      <c r="E278">
        <v>2.4426000000000001</v>
      </c>
      <c r="F278">
        <v>2.8410000000000002</v>
      </c>
      <c r="G278">
        <v>3.3864999999999998</v>
      </c>
      <c r="Z278" s="4" t="e">
        <f ca="1">IF(OFFSET('Calc Canada'!$A$1,0,0,300)="",MATCH("Error",AF278,0),OFFSET('Calc Canada'!$A$1,0,0,300))</f>
        <v>#N/A</v>
      </c>
      <c r="AA278" s="5" t="str">
        <f ca="1">IF(OFFSET('Calc Canada'!$A$1,0,MATCH(W$1,'Calc Canada'!$1:$1,0)-1,300)="","",OFFSET('Calc Canada'!$A$1,0,MATCH(W$1,'Calc Canada'!$1:$1,0)-1,300))</f>
        <v/>
      </c>
      <c r="AB278" s="5" t="str">
        <f ca="1">IF(OFFSET('Calc Canada'!$A$1,0,MATCH(X$1,'Calc Canada'!$1:$1,0)-1,300)="","",OFFSET('Calc Canada'!$A$1,0,MATCH(X$1,'Calc Canada'!$1:$1,0)-1,300))</f>
        <v/>
      </c>
      <c r="AC278" t="str">
        <f t="shared" ca="1" si="33"/>
        <v/>
      </c>
      <c r="AD278" t="str">
        <f t="shared" ca="1" si="34"/>
        <v/>
      </c>
    </row>
    <row r="279" spans="1:30" x14ac:dyDescent="0.25">
      <c r="A279" s="4">
        <v>41736</v>
      </c>
      <c r="B279">
        <v>1.3945000000000001</v>
      </c>
      <c r="C279" s="5">
        <v>1.6097999999999999</v>
      </c>
      <c r="D279">
        <v>2.0777999999999999</v>
      </c>
      <c r="E279">
        <v>2.4422999999999999</v>
      </c>
      <c r="F279">
        <v>2.8397999999999999</v>
      </c>
      <c r="G279">
        <v>3.3925000000000001</v>
      </c>
      <c r="Z279" s="4" t="e">
        <f ca="1">IF(OFFSET('Calc Canada'!$A$1,0,0,300)="",MATCH("Error",AF279,0),OFFSET('Calc Canada'!$A$1,0,0,300))</f>
        <v>#N/A</v>
      </c>
      <c r="AA279" s="5" t="str">
        <f ca="1">IF(OFFSET('Calc Canada'!$A$1,0,MATCH(W$1,'Calc Canada'!$1:$1,0)-1,300)="","",OFFSET('Calc Canada'!$A$1,0,MATCH(W$1,'Calc Canada'!$1:$1,0)-1,300))</f>
        <v/>
      </c>
      <c r="AB279" s="5" t="str">
        <f ca="1">IF(OFFSET('Calc Canada'!$A$1,0,MATCH(X$1,'Calc Canada'!$1:$1,0)-1,300)="","",OFFSET('Calc Canada'!$A$1,0,MATCH(X$1,'Calc Canada'!$1:$1,0)-1,300))</f>
        <v/>
      </c>
      <c r="AC279" t="str">
        <f t="shared" ca="1" si="33"/>
        <v/>
      </c>
      <c r="AD279" t="str">
        <f t="shared" ca="1" si="34"/>
        <v/>
      </c>
    </row>
    <row r="280" spans="1:30" x14ac:dyDescent="0.25">
      <c r="A280" s="4">
        <v>41733</v>
      </c>
      <c r="B280">
        <v>1.3978999999999999</v>
      </c>
      <c r="C280" s="5">
        <v>1.6141999999999999</v>
      </c>
      <c r="D280">
        <v>2.0981999999999998</v>
      </c>
      <c r="E280">
        <v>2.4619</v>
      </c>
      <c r="F280">
        <v>2.8664000000000001</v>
      </c>
      <c r="G280">
        <v>3.4163000000000001</v>
      </c>
      <c r="Z280" s="4" t="e">
        <f ca="1">IF(OFFSET('Calc Canada'!$A$1,0,0,300)="",MATCH("Error",AF280,0),OFFSET('Calc Canada'!$A$1,0,0,300))</f>
        <v>#N/A</v>
      </c>
      <c r="AA280" s="5" t="str">
        <f ca="1">IF(OFFSET('Calc Canada'!$A$1,0,MATCH(W$1,'Calc Canada'!$1:$1,0)-1,300)="","",OFFSET('Calc Canada'!$A$1,0,MATCH(W$1,'Calc Canada'!$1:$1,0)-1,300))</f>
        <v/>
      </c>
      <c r="AB280" s="5" t="str">
        <f ca="1">IF(OFFSET('Calc Canada'!$A$1,0,MATCH(X$1,'Calc Canada'!$1:$1,0)-1,300)="","",OFFSET('Calc Canada'!$A$1,0,MATCH(X$1,'Calc Canada'!$1:$1,0)-1,300))</f>
        <v/>
      </c>
      <c r="AC280" t="str">
        <f t="shared" ca="1" si="33"/>
        <v/>
      </c>
      <c r="AD280" t="str">
        <f t="shared" ca="1" si="34"/>
        <v/>
      </c>
    </row>
    <row r="281" spans="1:30" x14ac:dyDescent="0.25">
      <c r="A281" s="4">
        <v>41732</v>
      </c>
      <c r="B281">
        <v>1.4116</v>
      </c>
      <c r="C281" s="5">
        <v>1.6383999999999999</v>
      </c>
      <c r="D281">
        <v>2.137</v>
      </c>
      <c r="E281">
        <v>2.5066999999999999</v>
      </c>
      <c r="F281">
        <v>2.9207999999999998</v>
      </c>
      <c r="G281">
        <v>3.4664999999999999</v>
      </c>
      <c r="Z281" s="4" t="e">
        <f ca="1">IF(OFFSET('Calc Canada'!$A$1,0,0,300)="",MATCH("Error",AF281,0),OFFSET('Calc Canada'!$A$1,0,0,300))</f>
        <v>#N/A</v>
      </c>
      <c r="AA281" s="5" t="str">
        <f ca="1">IF(OFFSET('Calc Canada'!$A$1,0,MATCH(W$1,'Calc Canada'!$1:$1,0)-1,300)="","",OFFSET('Calc Canada'!$A$1,0,MATCH(W$1,'Calc Canada'!$1:$1,0)-1,300))</f>
        <v/>
      </c>
      <c r="AB281" s="5" t="str">
        <f ca="1">IF(OFFSET('Calc Canada'!$A$1,0,MATCH(X$1,'Calc Canada'!$1:$1,0)-1,300)="","",OFFSET('Calc Canada'!$A$1,0,MATCH(X$1,'Calc Canada'!$1:$1,0)-1,300))</f>
        <v/>
      </c>
      <c r="AC281" t="str">
        <f t="shared" ca="1" si="33"/>
        <v/>
      </c>
      <c r="AD281" t="str">
        <f t="shared" ca="1" si="34"/>
        <v/>
      </c>
    </row>
    <row r="282" spans="1:30" x14ac:dyDescent="0.25">
      <c r="A282" s="4">
        <v>41731</v>
      </c>
      <c r="B282">
        <v>1.4073</v>
      </c>
      <c r="C282" s="5">
        <v>1.6311</v>
      </c>
      <c r="D282">
        <v>2.1265000000000001</v>
      </c>
      <c r="E282">
        <v>2.4992999999999999</v>
      </c>
      <c r="F282">
        <v>2.9255</v>
      </c>
      <c r="G282">
        <v>3.4632999999999998</v>
      </c>
      <c r="Z282" s="4" t="e">
        <f ca="1">IF(OFFSET('Calc Canada'!$A$1,0,0,300)="",MATCH("Error",AF282,0),OFFSET('Calc Canada'!$A$1,0,0,300))</f>
        <v>#N/A</v>
      </c>
      <c r="AA282" s="5" t="str">
        <f ca="1">IF(OFFSET('Calc Canada'!$A$1,0,MATCH(W$1,'Calc Canada'!$1:$1,0)-1,300)="","",OFFSET('Calc Canada'!$A$1,0,MATCH(W$1,'Calc Canada'!$1:$1,0)-1,300))</f>
        <v/>
      </c>
      <c r="AB282" s="5" t="str">
        <f ca="1">IF(OFFSET('Calc Canada'!$A$1,0,MATCH(X$1,'Calc Canada'!$1:$1,0)-1,300)="","",OFFSET('Calc Canada'!$A$1,0,MATCH(X$1,'Calc Canada'!$1:$1,0)-1,300))</f>
        <v/>
      </c>
      <c r="AC282" t="str">
        <f t="shared" ca="1" si="33"/>
        <v/>
      </c>
      <c r="AD282" t="str">
        <f t="shared" ca="1" si="34"/>
        <v/>
      </c>
    </row>
    <row r="283" spans="1:30" x14ac:dyDescent="0.25">
      <c r="A283" s="4">
        <v>41730</v>
      </c>
      <c r="B283">
        <v>1.3847</v>
      </c>
      <c r="C283" s="5">
        <v>1.5975000000000001</v>
      </c>
      <c r="D283">
        <v>2.0665</v>
      </c>
      <c r="E283">
        <v>2.4407000000000001</v>
      </c>
      <c r="F283">
        <v>2.8730000000000002</v>
      </c>
      <c r="G283">
        <v>3.4340000000000002</v>
      </c>
      <c r="Z283" s="4" t="e">
        <f ca="1">IF(OFFSET('Calc Canada'!$A$1,0,0,300)="",MATCH("Error",AF283,0),OFFSET('Calc Canada'!$A$1,0,0,300))</f>
        <v>#N/A</v>
      </c>
      <c r="AA283" s="5" t="str">
        <f ca="1">IF(OFFSET('Calc Canada'!$A$1,0,MATCH(W$1,'Calc Canada'!$1:$1,0)-1,300)="","",OFFSET('Calc Canada'!$A$1,0,MATCH(W$1,'Calc Canada'!$1:$1,0)-1,300))</f>
        <v/>
      </c>
      <c r="AB283" s="5" t="str">
        <f ca="1">IF(OFFSET('Calc Canada'!$A$1,0,MATCH(X$1,'Calc Canada'!$1:$1,0)-1,300)="","",OFFSET('Calc Canada'!$A$1,0,MATCH(X$1,'Calc Canada'!$1:$1,0)-1,300))</f>
        <v/>
      </c>
      <c r="AC283" t="str">
        <f t="shared" ca="1" si="33"/>
        <v/>
      </c>
      <c r="AD283" t="str">
        <f t="shared" ca="1" si="34"/>
        <v/>
      </c>
    </row>
    <row r="284" spans="1:30" x14ac:dyDescent="0.25">
      <c r="A284" s="4">
        <v>41729</v>
      </c>
      <c r="B284">
        <v>1.3714999999999999</v>
      </c>
      <c r="C284" s="5">
        <v>1.5855000000000001</v>
      </c>
      <c r="D284">
        <v>2.0459999999999998</v>
      </c>
      <c r="E284">
        <v>2.4159999999999999</v>
      </c>
      <c r="F284">
        <v>2.8374999999999999</v>
      </c>
      <c r="G284">
        <v>3.3923000000000001</v>
      </c>
      <c r="Z284" s="4" t="e">
        <f ca="1">IF(OFFSET('Calc Canada'!$A$1,0,0,300)="",MATCH("Error",AF284,0),OFFSET('Calc Canada'!$A$1,0,0,300))</f>
        <v>#N/A</v>
      </c>
      <c r="AA284" s="5" t="str">
        <f ca="1">IF(OFFSET('Calc Canada'!$A$1,0,MATCH(W$1,'Calc Canada'!$1:$1,0)-1,300)="","",OFFSET('Calc Canada'!$A$1,0,MATCH(W$1,'Calc Canada'!$1:$1,0)-1,300))</f>
        <v/>
      </c>
      <c r="AB284" s="5" t="str">
        <f ca="1">IF(OFFSET('Calc Canada'!$A$1,0,MATCH(X$1,'Calc Canada'!$1:$1,0)-1,300)="","",OFFSET('Calc Canada'!$A$1,0,MATCH(X$1,'Calc Canada'!$1:$1,0)-1,300))</f>
        <v/>
      </c>
      <c r="AC284" t="str">
        <f t="shared" ca="1" si="33"/>
        <v/>
      </c>
      <c r="AD284" t="str">
        <f t="shared" ca="1" si="34"/>
        <v/>
      </c>
    </row>
    <row r="285" spans="1:30" x14ac:dyDescent="0.25">
      <c r="A285" s="4">
        <v>41726</v>
      </c>
      <c r="B285">
        <v>1.3782000000000001</v>
      </c>
      <c r="C285" s="5">
        <v>1.5813999999999999</v>
      </c>
      <c r="D285">
        <v>2.0440999999999998</v>
      </c>
      <c r="E285">
        <v>2.4087999999999998</v>
      </c>
      <c r="F285">
        <v>2.8245</v>
      </c>
      <c r="G285">
        <v>3.3736999999999999</v>
      </c>
      <c r="Z285" s="4" t="e">
        <f ca="1">IF(OFFSET('Calc Canada'!$A$1,0,0,300)="",MATCH("Error",AF285,0),OFFSET('Calc Canada'!$A$1,0,0,300))</f>
        <v>#N/A</v>
      </c>
      <c r="AA285" s="5" t="str">
        <f ca="1">IF(OFFSET('Calc Canada'!$A$1,0,MATCH(W$1,'Calc Canada'!$1:$1,0)-1,300)="","",OFFSET('Calc Canada'!$A$1,0,MATCH(W$1,'Calc Canada'!$1:$1,0)-1,300))</f>
        <v/>
      </c>
      <c r="AB285" s="5" t="str">
        <f ca="1">IF(OFFSET('Calc Canada'!$A$1,0,MATCH(X$1,'Calc Canada'!$1:$1,0)-1,300)="","",OFFSET('Calc Canada'!$A$1,0,MATCH(X$1,'Calc Canada'!$1:$1,0)-1,300))</f>
        <v/>
      </c>
      <c r="AC285" t="str">
        <f t="shared" ca="1" si="33"/>
        <v/>
      </c>
      <c r="AD285" t="str">
        <f t="shared" ca="1" si="34"/>
        <v/>
      </c>
    </row>
    <row r="286" spans="1:30" x14ac:dyDescent="0.25">
      <c r="A286" s="4">
        <v>41725</v>
      </c>
      <c r="B286">
        <v>1.3745000000000001</v>
      </c>
      <c r="C286" s="5">
        <v>1.5769</v>
      </c>
      <c r="D286">
        <v>2.0379999999999998</v>
      </c>
      <c r="E286">
        <v>2.4009</v>
      </c>
      <c r="F286">
        <v>2.8209999999999997</v>
      </c>
      <c r="G286">
        <v>3.3628</v>
      </c>
      <c r="Z286" s="4" t="e">
        <f ca="1">IF(OFFSET('Calc Canada'!$A$1,0,0,300)="",MATCH("Error",AF286,0),OFFSET('Calc Canada'!$A$1,0,0,300))</f>
        <v>#N/A</v>
      </c>
      <c r="AA286" s="5" t="str">
        <f ca="1">IF(OFFSET('Calc Canada'!$A$1,0,MATCH(W$1,'Calc Canada'!$1:$1,0)-1,300)="","",OFFSET('Calc Canada'!$A$1,0,MATCH(W$1,'Calc Canada'!$1:$1,0)-1,300))</f>
        <v/>
      </c>
      <c r="AB286" s="5" t="str">
        <f ca="1">IF(OFFSET('Calc Canada'!$A$1,0,MATCH(X$1,'Calc Canada'!$1:$1,0)-1,300)="","",OFFSET('Calc Canada'!$A$1,0,MATCH(X$1,'Calc Canada'!$1:$1,0)-1,300))</f>
        <v/>
      </c>
      <c r="AC286" t="str">
        <f t="shared" ca="1" si="33"/>
        <v/>
      </c>
      <c r="AD286" t="str">
        <f t="shared" ca="1" si="34"/>
        <v/>
      </c>
    </row>
    <row r="287" spans="1:30" x14ac:dyDescent="0.25">
      <c r="A287" s="4">
        <v>41724</v>
      </c>
      <c r="B287">
        <v>1.3738000000000001</v>
      </c>
      <c r="C287" s="5">
        <v>1.5699999999999998</v>
      </c>
      <c r="D287">
        <v>2.0375000000000001</v>
      </c>
      <c r="E287">
        <v>2.4115000000000002</v>
      </c>
      <c r="F287">
        <v>2.8374999999999999</v>
      </c>
      <c r="G287">
        <v>3.3894000000000002</v>
      </c>
      <c r="Z287" s="4" t="e">
        <f ca="1">IF(OFFSET('Calc Canada'!$A$1,0,0,300)="",MATCH("Error",AF287,0),OFFSET('Calc Canada'!$A$1,0,0,300))</f>
        <v>#N/A</v>
      </c>
      <c r="AA287" s="5" t="str">
        <f ca="1">IF(OFFSET('Calc Canada'!$A$1,0,MATCH(W$1,'Calc Canada'!$1:$1,0)-1,300)="","",OFFSET('Calc Canada'!$A$1,0,MATCH(W$1,'Calc Canada'!$1:$1,0)-1,300))</f>
        <v/>
      </c>
      <c r="AB287" s="5" t="str">
        <f ca="1">IF(OFFSET('Calc Canada'!$A$1,0,MATCH(X$1,'Calc Canada'!$1:$1,0)-1,300)="","",OFFSET('Calc Canada'!$A$1,0,MATCH(X$1,'Calc Canada'!$1:$1,0)-1,300))</f>
        <v/>
      </c>
      <c r="AC287" t="str">
        <f t="shared" ca="1" si="33"/>
        <v/>
      </c>
      <c r="AD287" t="str">
        <f t="shared" ca="1" si="34"/>
        <v/>
      </c>
    </row>
    <row r="288" spans="1:30" x14ac:dyDescent="0.25">
      <c r="A288" s="4">
        <v>41723</v>
      </c>
      <c r="B288">
        <v>1.379</v>
      </c>
      <c r="C288" s="5">
        <v>1.5840000000000001</v>
      </c>
      <c r="D288">
        <v>2.0590000000000002</v>
      </c>
      <c r="E288">
        <v>2.4294000000000002</v>
      </c>
      <c r="F288">
        <v>2.86</v>
      </c>
      <c r="G288">
        <v>3.4093</v>
      </c>
      <c r="Z288" s="4" t="e">
        <f ca="1">IF(OFFSET('Calc Canada'!$A$1,0,0,300)="",MATCH("Error",AF288,0),OFFSET('Calc Canada'!$A$1,0,0,300))</f>
        <v>#N/A</v>
      </c>
      <c r="AA288" s="5" t="str">
        <f ca="1">IF(OFFSET('Calc Canada'!$A$1,0,MATCH(W$1,'Calc Canada'!$1:$1,0)-1,300)="","",OFFSET('Calc Canada'!$A$1,0,MATCH(W$1,'Calc Canada'!$1:$1,0)-1,300))</f>
        <v/>
      </c>
      <c r="AB288" s="5" t="str">
        <f ca="1">IF(OFFSET('Calc Canada'!$A$1,0,MATCH(X$1,'Calc Canada'!$1:$1,0)-1,300)="","",OFFSET('Calc Canada'!$A$1,0,MATCH(X$1,'Calc Canada'!$1:$1,0)-1,300))</f>
        <v/>
      </c>
      <c r="AC288" t="str">
        <f t="shared" ca="1" si="33"/>
        <v/>
      </c>
      <c r="AD288" t="str">
        <f t="shared" ca="1" si="34"/>
        <v/>
      </c>
    </row>
    <row r="289" spans="1:30" x14ac:dyDescent="0.25">
      <c r="A289" s="4">
        <v>41722</v>
      </c>
      <c r="B289">
        <v>1.3805000000000001</v>
      </c>
      <c r="C289" s="5">
        <v>1.5810999999999999</v>
      </c>
      <c r="D289">
        <v>2.0474999999999999</v>
      </c>
      <c r="E289">
        <v>2.4165000000000001</v>
      </c>
      <c r="F289">
        <v>2.8330000000000002</v>
      </c>
      <c r="G289">
        <v>3.3654999999999999</v>
      </c>
      <c r="Z289" s="4" t="e">
        <f ca="1">IF(OFFSET('Calc Canada'!$A$1,0,0,300)="",MATCH("Error",AF289,0),OFFSET('Calc Canada'!$A$1,0,0,300))</f>
        <v>#N/A</v>
      </c>
      <c r="AA289" s="5" t="str">
        <f ca="1">IF(OFFSET('Calc Canada'!$A$1,0,MATCH(W$1,'Calc Canada'!$1:$1,0)-1,300)="","",OFFSET('Calc Canada'!$A$1,0,MATCH(W$1,'Calc Canada'!$1:$1,0)-1,300))</f>
        <v/>
      </c>
      <c r="AB289" s="5" t="str">
        <f ca="1">IF(OFFSET('Calc Canada'!$A$1,0,MATCH(X$1,'Calc Canada'!$1:$1,0)-1,300)="","",OFFSET('Calc Canada'!$A$1,0,MATCH(X$1,'Calc Canada'!$1:$1,0)-1,300))</f>
        <v/>
      </c>
      <c r="AC289" t="str">
        <f t="shared" ca="1" si="33"/>
        <v/>
      </c>
      <c r="AD289" t="str">
        <f t="shared" ca="1" si="34"/>
        <v/>
      </c>
    </row>
    <row r="290" spans="1:30" x14ac:dyDescent="0.25">
      <c r="A290" s="4">
        <v>41719</v>
      </c>
      <c r="B290">
        <v>1.3848</v>
      </c>
      <c r="C290" s="5">
        <v>1.5880000000000001</v>
      </c>
      <c r="D290">
        <v>2.0640000000000001</v>
      </c>
      <c r="E290">
        <v>2.4359999999999999</v>
      </c>
      <c r="F290">
        <v>2.8614999999999999</v>
      </c>
      <c r="G290">
        <v>3.3835000000000002</v>
      </c>
      <c r="Z290" s="4" t="e">
        <f ca="1">IF(OFFSET('Calc Canada'!$A$1,0,0,300)="",MATCH("Error",AF290,0),OFFSET('Calc Canada'!$A$1,0,0,300))</f>
        <v>#N/A</v>
      </c>
      <c r="AA290" s="5" t="str">
        <f ca="1">IF(OFFSET('Calc Canada'!$A$1,0,MATCH(W$1,'Calc Canada'!$1:$1,0)-1,300)="","",OFFSET('Calc Canada'!$A$1,0,MATCH(W$1,'Calc Canada'!$1:$1,0)-1,300))</f>
        <v/>
      </c>
      <c r="AB290" s="5" t="str">
        <f ca="1">IF(OFFSET('Calc Canada'!$A$1,0,MATCH(X$1,'Calc Canada'!$1:$1,0)-1,300)="","",OFFSET('Calc Canada'!$A$1,0,MATCH(X$1,'Calc Canada'!$1:$1,0)-1,300))</f>
        <v/>
      </c>
      <c r="AC290" t="str">
        <f t="shared" ca="1" si="33"/>
        <v/>
      </c>
      <c r="AD290" t="str">
        <f t="shared" ca="1" si="34"/>
        <v/>
      </c>
    </row>
    <row r="291" spans="1:30" x14ac:dyDescent="0.25">
      <c r="A291" s="4">
        <v>41718</v>
      </c>
      <c r="B291">
        <v>1.3787</v>
      </c>
      <c r="C291" s="5">
        <v>1.5853000000000002</v>
      </c>
      <c r="D291">
        <v>2.0672999999999999</v>
      </c>
      <c r="E291">
        <v>2.4424000000000001</v>
      </c>
      <c r="F291">
        <v>2.8769999999999998</v>
      </c>
      <c r="G291">
        <v>3.4060000000000001</v>
      </c>
      <c r="Z291" s="4" t="e">
        <f ca="1">IF(OFFSET('Calc Canada'!$A$1,0,0,300)="",MATCH("Error",AF291,0),OFFSET('Calc Canada'!$A$1,0,0,300))</f>
        <v>#N/A</v>
      </c>
      <c r="AA291" s="5" t="str">
        <f ca="1">IF(OFFSET('Calc Canada'!$A$1,0,MATCH(W$1,'Calc Canada'!$1:$1,0)-1,300)="","",OFFSET('Calc Canada'!$A$1,0,MATCH(W$1,'Calc Canada'!$1:$1,0)-1,300))</f>
        <v/>
      </c>
      <c r="AB291" s="5" t="str">
        <f ca="1">IF(OFFSET('Calc Canada'!$A$1,0,MATCH(X$1,'Calc Canada'!$1:$1,0)-1,300)="","",OFFSET('Calc Canada'!$A$1,0,MATCH(X$1,'Calc Canada'!$1:$1,0)-1,300))</f>
        <v/>
      </c>
      <c r="AC291" t="str">
        <f t="shared" ca="1" si="33"/>
        <v/>
      </c>
      <c r="AD291" t="str">
        <f t="shared" ca="1" si="34"/>
        <v/>
      </c>
    </row>
    <row r="292" spans="1:30" x14ac:dyDescent="0.25">
      <c r="A292" s="4">
        <v>41717</v>
      </c>
      <c r="B292">
        <v>1.37</v>
      </c>
      <c r="C292" s="5">
        <v>1.5744</v>
      </c>
      <c r="D292">
        <v>2.0510000000000002</v>
      </c>
      <c r="E292">
        <v>2.4173999999999998</v>
      </c>
      <c r="F292">
        <v>2.8500999999999999</v>
      </c>
      <c r="G292">
        <v>3.4035000000000002</v>
      </c>
      <c r="Z292" s="4" t="e">
        <f ca="1">IF(OFFSET('Calc Canada'!$A$1,0,0,300)="",MATCH("Error",AF292,0),OFFSET('Calc Canada'!$A$1,0,0,300))</f>
        <v>#N/A</v>
      </c>
      <c r="AA292" s="5" t="str">
        <f ca="1">IF(OFFSET('Calc Canada'!$A$1,0,MATCH(W$1,'Calc Canada'!$1:$1,0)-1,300)="","",OFFSET('Calc Canada'!$A$1,0,MATCH(W$1,'Calc Canada'!$1:$1,0)-1,300))</f>
        <v/>
      </c>
      <c r="AB292" s="5" t="str">
        <f ca="1">IF(OFFSET('Calc Canada'!$A$1,0,MATCH(X$1,'Calc Canada'!$1:$1,0)-1,300)="","",OFFSET('Calc Canada'!$A$1,0,MATCH(X$1,'Calc Canada'!$1:$1,0)-1,300))</f>
        <v/>
      </c>
      <c r="AC292" t="str">
        <f t="shared" ca="1" si="33"/>
        <v/>
      </c>
      <c r="AD292" t="str">
        <f t="shared" ca="1" si="34"/>
        <v/>
      </c>
    </row>
    <row r="293" spans="1:30" x14ac:dyDescent="0.25">
      <c r="A293" s="4">
        <v>41716</v>
      </c>
      <c r="B293">
        <v>1.3149</v>
      </c>
      <c r="C293" s="5">
        <v>1.5034000000000001</v>
      </c>
      <c r="D293">
        <v>1.952</v>
      </c>
      <c r="E293">
        <v>2.3298999999999999</v>
      </c>
      <c r="F293">
        <v>2.7770000000000001</v>
      </c>
      <c r="G293">
        <v>3.3669000000000002</v>
      </c>
      <c r="Z293" s="4" t="e">
        <f ca="1">IF(OFFSET('Calc Canada'!$A$1,0,0,300)="",MATCH("Error",AF293,0),OFFSET('Calc Canada'!$A$1,0,0,300))</f>
        <v>#N/A</v>
      </c>
      <c r="AA293" s="5" t="str">
        <f ca="1">IF(OFFSET('Calc Canada'!$A$1,0,MATCH(W$1,'Calc Canada'!$1:$1,0)-1,300)="","",OFFSET('Calc Canada'!$A$1,0,MATCH(W$1,'Calc Canada'!$1:$1,0)-1,300))</f>
        <v/>
      </c>
      <c r="AB293" s="5" t="str">
        <f ca="1">IF(OFFSET('Calc Canada'!$A$1,0,MATCH(X$1,'Calc Canada'!$1:$1,0)-1,300)="","",OFFSET('Calc Canada'!$A$1,0,MATCH(X$1,'Calc Canada'!$1:$1,0)-1,300))</f>
        <v/>
      </c>
      <c r="AC293" t="str">
        <f t="shared" ca="1" si="33"/>
        <v/>
      </c>
      <c r="AD293" t="str">
        <f t="shared" ca="1" si="34"/>
        <v/>
      </c>
    </row>
    <row r="294" spans="1:30" x14ac:dyDescent="0.25">
      <c r="A294" s="4">
        <v>41715</v>
      </c>
      <c r="B294">
        <v>1.3405</v>
      </c>
      <c r="C294" s="5">
        <v>1.5283</v>
      </c>
      <c r="D294">
        <v>1.9818</v>
      </c>
      <c r="E294">
        <v>2.3532999999999999</v>
      </c>
      <c r="F294">
        <v>2.7989999999999999</v>
      </c>
      <c r="G294">
        <v>3.3807999999999998</v>
      </c>
      <c r="Z294" s="4" t="e">
        <f ca="1">IF(OFFSET('Calc Canada'!$A$1,0,0,300)="",MATCH("Error",AF294,0),OFFSET('Calc Canada'!$A$1,0,0,300))</f>
        <v>#N/A</v>
      </c>
      <c r="AA294" s="5" t="str">
        <f ca="1">IF(OFFSET('Calc Canada'!$A$1,0,MATCH(W$1,'Calc Canada'!$1:$1,0)-1,300)="","",OFFSET('Calc Canada'!$A$1,0,MATCH(W$1,'Calc Canada'!$1:$1,0)-1,300))</f>
        <v/>
      </c>
      <c r="AB294" s="5" t="str">
        <f ca="1">IF(OFFSET('Calc Canada'!$A$1,0,MATCH(X$1,'Calc Canada'!$1:$1,0)-1,300)="","",OFFSET('Calc Canada'!$A$1,0,MATCH(X$1,'Calc Canada'!$1:$1,0)-1,300))</f>
        <v/>
      </c>
      <c r="AC294" t="str">
        <f t="shared" ca="1" si="33"/>
        <v/>
      </c>
      <c r="AD294" t="str">
        <f t="shared" ca="1" si="34"/>
        <v/>
      </c>
    </row>
    <row r="295" spans="1:30" x14ac:dyDescent="0.25">
      <c r="A295" s="4">
        <v>41712</v>
      </c>
      <c r="B295">
        <v>1.3237000000000001</v>
      </c>
      <c r="C295" s="5">
        <v>1.5047000000000001</v>
      </c>
      <c r="D295">
        <v>1.9333</v>
      </c>
      <c r="E295">
        <v>2.3109000000000002</v>
      </c>
      <c r="F295">
        <v>2.7622999999999998</v>
      </c>
      <c r="G295">
        <v>3.3466</v>
      </c>
      <c r="Z295" s="4" t="e">
        <f ca="1">IF(OFFSET('Calc Canada'!$A$1,0,0,300)="",MATCH("Error",AF295,0),OFFSET('Calc Canada'!$A$1,0,0,300))</f>
        <v>#N/A</v>
      </c>
      <c r="AA295" s="5" t="str">
        <f ca="1">IF(OFFSET('Calc Canada'!$A$1,0,MATCH(W$1,'Calc Canada'!$1:$1,0)-1,300)="","",OFFSET('Calc Canada'!$A$1,0,MATCH(W$1,'Calc Canada'!$1:$1,0)-1,300))</f>
        <v/>
      </c>
      <c r="AB295" s="5" t="str">
        <f ca="1">IF(OFFSET('Calc Canada'!$A$1,0,MATCH(X$1,'Calc Canada'!$1:$1,0)-1,300)="","",OFFSET('Calc Canada'!$A$1,0,MATCH(X$1,'Calc Canada'!$1:$1,0)-1,300))</f>
        <v/>
      </c>
      <c r="AC295" t="str">
        <f t="shared" ca="1" si="33"/>
        <v/>
      </c>
      <c r="AD295" t="str">
        <f t="shared" ca="1" si="34"/>
        <v/>
      </c>
    </row>
    <row r="296" spans="1:30" x14ac:dyDescent="0.25">
      <c r="A296" s="4">
        <v>41711</v>
      </c>
      <c r="B296">
        <v>1.3260000000000001</v>
      </c>
      <c r="C296" s="5">
        <v>1.4984</v>
      </c>
      <c r="D296">
        <v>1.921</v>
      </c>
      <c r="E296">
        <v>2.2984999999999998</v>
      </c>
      <c r="F296">
        <v>2.7320000000000002</v>
      </c>
      <c r="G296">
        <v>3.3534999999999999</v>
      </c>
      <c r="Z296" s="4" t="e">
        <f ca="1">IF(OFFSET('Calc Canada'!$A$1,0,0,300)="",MATCH("Error",AF296,0),OFFSET('Calc Canada'!$A$1,0,0,300))</f>
        <v>#N/A</v>
      </c>
      <c r="AA296" s="5" t="str">
        <f ca="1">IF(OFFSET('Calc Canada'!$A$1,0,MATCH(W$1,'Calc Canada'!$1:$1,0)-1,300)="","",OFFSET('Calc Canada'!$A$1,0,MATCH(W$1,'Calc Canada'!$1:$1,0)-1,300))</f>
        <v/>
      </c>
      <c r="AB296" s="5" t="str">
        <f ca="1">IF(OFFSET('Calc Canada'!$A$1,0,MATCH(X$1,'Calc Canada'!$1:$1,0)-1,300)="","",OFFSET('Calc Canada'!$A$1,0,MATCH(X$1,'Calc Canada'!$1:$1,0)-1,300))</f>
        <v/>
      </c>
      <c r="AC296" t="str">
        <f t="shared" ca="1" si="33"/>
        <v/>
      </c>
      <c r="AD296" t="str">
        <f t="shared" ca="1" si="34"/>
        <v/>
      </c>
    </row>
    <row r="297" spans="1:30" x14ac:dyDescent="0.25">
      <c r="A297" s="4">
        <v>41710</v>
      </c>
      <c r="B297">
        <v>1.3345</v>
      </c>
      <c r="C297" s="5">
        <v>1.5190000000000001</v>
      </c>
      <c r="D297">
        <v>1.9702999999999999</v>
      </c>
      <c r="E297">
        <v>2.3548</v>
      </c>
      <c r="F297">
        <v>2.8144999999999998</v>
      </c>
      <c r="G297">
        <v>3.4081000000000001</v>
      </c>
      <c r="Z297" s="4" t="e">
        <f ca="1">IF(OFFSET('Calc Canada'!$A$1,0,0,300)="",MATCH("Error",AF297,0),OFFSET('Calc Canada'!$A$1,0,0,300))</f>
        <v>#N/A</v>
      </c>
      <c r="AA297" s="5" t="str">
        <f ca="1">IF(OFFSET('Calc Canada'!$A$1,0,MATCH(W$1,'Calc Canada'!$1:$1,0)-1,300)="","",OFFSET('Calc Canada'!$A$1,0,MATCH(W$1,'Calc Canada'!$1:$1,0)-1,300))</f>
        <v/>
      </c>
      <c r="AB297" s="5" t="str">
        <f ca="1">IF(OFFSET('Calc Canada'!$A$1,0,MATCH(X$1,'Calc Canada'!$1:$1,0)-1,300)="","",OFFSET('Calc Canada'!$A$1,0,MATCH(X$1,'Calc Canada'!$1:$1,0)-1,300))</f>
        <v/>
      </c>
      <c r="AC297" t="str">
        <f t="shared" ca="1" si="33"/>
        <v/>
      </c>
      <c r="AD297" t="str">
        <f t="shared" ca="1" si="34"/>
        <v/>
      </c>
    </row>
    <row r="298" spans="1:30" x14ac:dyDescent="0.25">
      <c r="A298" s="4">
        <v>41709</v>
      </c>
      <c r="B298">
        <v>1.3443000000000001</v>
      </c>
      <c r="C298" s="5">
        <v>1.5383</v>
      </c>
      <c r="D298">
        <v>1.9969000000000001</v>
      </c>
      <c r="E298">
        <v>2.3883000000000001</v>
      </c>
      <c r="F298">
        <v>2.8485</v>
      </c>
      <c r="G298">
        <v>3.4365000000000001</v>
      </c>
      <c r="Z298" s="4" t="e">
        <f ca="1">IF(OFFSET('Calc Canada'!$A$1,0,0,300)="",MATCH("Error",AF298,0),OFFSET('Calc Canada'!$A$1,0,0,300))</f>
        <v>#N/A</v>
      </c>
      <c r="AA298" s="5" t="str">
        <f ca="1">IF(OFFSET('Calc Canada'!$A$1,0,MATCH(W$1,'Calc Canada'!$1:$1,0)-1,300)="","",OFFSET('Calc Canada'!$A$1,0,MATCH(W$1,'Calc Canada'!$1:$1,0)-1,300))</f>
        <v/>
      </c>
      <c r="AB298" s="5" t="str">
        <f ca="1">IF(OFFSET('Calc Canada'!$A$1,0,MATCH(X$1,'Calc Canada'!$1:$1,0)-1,300)="","",OFFSET('Calc Canada'!$A$1,0,MATCH(X$1,'Calc Canada'!$1:$1,0)-1,300))</f>
        <v/>
      </c>
      <c r="AC298" t="str">
        <f t="shared" ca="1" si="33"/>
        <v/>
      </c>
      <c r="AD298" t="str">
        <f t="shared" ca="1" si="34"/>
        <v/>
      </c>
    </row>
    <row r="299" spans="1:30" x14ac:dyDescent="0.25">
      <c r="A299" s="4">
        <v>41708</v>
      </c>
      <c r="B299">
        <v>1.3526</v>
      </c>
      <c r="C299" s="5">
        <v>1.5464</v>
      </c>
      <c r="D299">
        <v>2.0150000000000001</v>
      </c>
      <c r="E299">
        <v>2.4074999999999998</v>
      </c>
      <c r="F299">
        <v>2.8595000000000002</v>
      </c>
      <c r="G299">
        <v>3.4474999999999998</v>
      </c>
      <c r="Z299" s="4" t="e">
        <f ca="1">IF(OFFSET('Calc Canada'!$A$1,0,0,300)="",MATCH("Error",AF299,0),OFFSET('Calc Canada'!$A$1,0,0,300))</f>
        <v>#N/A</v>
      </c>
      <c r="AA299" s="5" t="str">
        <f ca="1">IF(OFFSET('Calc Canada'!$A$1,0,MATCH(W$1,'Calc Canada'!$1:$1,0)-1,300)="","",OFFSET('Calc Canada'!$A$1,0,MATCH(W$1,'Calc Canada'!$1:$1,0)-1,300))</f>
        <v/>
      </c>
      <c r="AB299" s="5" t="str">
        <f ca="1">IF(OFFSET('Calc Canada'!$A$1,0,MATCH(X$1,'Calc Canada'!$1:$1,0)-1,300)="","",OFFSET('Calc Canada'!$A$1,0,MATCH(X$1,'Calc Canada'!$1:$1,0)-1,300))</f>
        <v/>
      </c>
      <c r="AC299" t="str">
        <f t="shared" ca="1" si="33"/>
        <v/>
      </c>
      <c r="AD299" t="str">
        <f t="shared" ca="1" si="34"/>
        <v/>
      </c>
    </row>
    <row r="300" spans="1:30" x14ac:dyDescent="0.25">
      <c r="A300" s="4">
        <v>41705</v>
      </c>
      <c r="B300">
        <v>1.3580000000000001</v>
      </c>
      <c r="C300" s="5">
        <v>1.56</v>
      </c>
      <c r="D300">
        <v>2.0409999999999999</v>
      </c>
      <c r="E300">
        <v>2.4300000000000002</v>
      </c>
      <c r="F300">
        <v>2.8839999999999999</v>
      </c>
      <c r="G300">
        <v>3.4609999999999999</v>
      </c>
      <c r="Z300" s="4" t="e">
        <f ca="1">IF(OFFSET('Calc Canada'!$A$1,0,0,300)="",MATCH("Error",AF300,0),OFFSET('Calc Canada'!$A$1,0,0,300))</f>
        <v>#N/A</v>
      </c>
      <c r="AA300" s="5" t="str">
        <f ca="1">IF(OFFSET('Calc Canada'!$A$1,0,MATCH(W$1,'Calc Canada'!$1:$1,0)-1,300)="","",OFFSET('Calc Canada'!$A$1,0,MATCH(W$1,'Calc Canada'!$1:$1,0)-1,300))</f>
        <v/>
      </c>
      <c r="AB300" s="5" t="str">
        <f ca="1">IF(OFFSET('Calc Canada'!$A$1,0,MATCH(X$1,'Calc Canada'!$1:$1,0)-1,300)="","",OFFSET('Calc Canada'!$A$1,0,MATCH(X$1,'Calc Canada'!$1:$1,0)-1,300))</f>
        <v/>
      </c>
      <c r="AC300" t="str">
        <f t="shared" ca="1" si="33"/>
        <v/>
      </c>
      <c r="AD300" t="str">
        <f t="shared" ca="1" si="34"/>
        <v/>
      </c>
    </row>
    <row r="301" spans="1:30" x14ac:dyDescent="0.25">
      <c r="A301" s="4">
        <v>41704</v>
      </c>
      <c r="B301">
        <v>1.361</v>
      </c>
      <c r="C301" s="5">
        <v>1.5609999999999999</v>
      </c>
      <c r="D301">
        <v>2.0350000000000001</v>
      </c>
      <c r="E301">
        <v>2.4165999999999999</v>
      </c>
      <c r="F301">
        <v>2.863</v>
      </c>
      <c r="G301">
        <v>3.4224999999999999</v>
      </c>
    </row>
    <row r="302" spans="1:30" x14ac:dyDescent="0.25">
      <c r="A302" s="4">
        <v>41703</v>
      </c>
      <c r="B302">
        <v>1.3525</v>
      </c>
      <c r="C302" s="5">
        <v>1.5427</v>
      </c>
      <c r="D302">
        <v>2.0105</v>
      </c>
      <c r="E302">
        <v>2.3853</v>
      </c>
      <c r="F302">
        <v>2.8374999999999999</v>
      </c>
      <c r="G302">
        <v>3.3978000000000002</v>
      </c>
    </row>
    <row r="303" spans="1:30" x14ac:dyDescent="0.25">
      <c r="A303" s="4">
        <v>41702</v>
      </c>
      <c r="B303">
        <v>1.327</v>
      </c>
      <c r="C303" s="5">
        <v>1.5209999999999999</v>
      </c>
      <c r="D303">
        <v>1.9883</v>
      </c>
      <c r="E303">
        <v>2.3704999999999998</v>
      </c>
      <c r="F303">
        <v>2.83</v>
      </c>
      <c r="G303">
        <v>3.407</v>
      </c>
    </row>
    <row r="304" spans="1:30" x14ac:dyDescent="0.25">
      <c r="A304" s="4">
        <v>41701</v>
      </c>
      <c r="B304">
        <v>1.3080000000000001</v>
      </c>
      <c r="C304" s="5">
        <v>1.4849999999999999</v>
      </c>
      <c r="D304">
        <v>1.925</v>
      </c>
      <c r="E304">
        <v>2.3085</v>
      </c>
      <c r="F304">
        <v>2.7610000000000001</v>
      </c>
      <c r="G304">
        <v>3.3609999999999998</v>
      </c>
    </row>
    <row r="305" spans="1:7" x14ac:dyDescent="0.25">
      <c r="A305" s="4">
        <v>41698</v>
      </c>
      <c r="B305">
        <v>1.3029999999999999</v>
      </c>
      <c r="C305" s="5">
        <v>1.4950000000000001</v>
      </c>
      <c r="D305">
        <v>1.948</v>
      </c>
      <c r="E305">
        <v>2.3285</v>
      </c>
      <c r="F305">
        <v>2.7789999999999999</v>
      </c>
      <c r="G305">
        <v>3.379</v>
      </c>
    </row>
    <row r="306" spans="1:7" x14ac:dyDescent="0.25">
      <c r="A306" s="4">
        <v>41697</v>
      </c>
      <c r="B306">
        <v>1.296</v>
      </c>
      <c r="C306" s="5">
        <v>1.4809999999999999</v>
      </c>
      <c r="D306">
        <v>1.929</v>
      </c>
      <c r="E306">
        <v>2.31</v>
      </c>
      <c r="F306">
        <v>2.766</v>
      </c>
      <c r="G306">
        <v>3.3688000000000002</v>
      </c>
    </row>
    <row r="307" spans="1:7" x14ac:dyDescent="0.25">
      <c r="A307" s="4">
        <v>41696</v>
      </c>
      <c r="B307">
        <v>1.3174999999999999</v>
      </c>
      <c r="C307" s="5">
        <v>1.5037</v>
      </c>
      <c r="D307">
        <v>1.9430000000000001</v>
      </c>
      <c r="E307">
        <v>2.3330000000000002</v>
      </c>
      <c r="F307">
        <v>2.7873000000000001</v>
      </c>
      <c r="G307">
        <v>3.3864999999999998</v>
      </c>
    </row>
    <row r="308" spans="1:7" x14ac:dyDescent="0.25">
      <c r="A308" s="4">
        <v>41695</v>
      </c>
      <c r="B308">
        <v>1.3320000000000001</v>
      </c>
      <c r="C308" s="5">
        <v>1.5305</v>
      </c>
      <c r="D308">
        <v>1.9845000000000002</v>
      </c>
      <c r="E308">
        <v>2.3791000000000002</v>
      </c>
      <c r="F308">
        <v>2.8275000000000001</v>
      </c>
      <c r="G308">
        <v>3.42</v>
      </c>
    </row>
    <row r="309" spans="1:7" x14ac:dyDescent="0.25">
      <c r="A309" s="4">
        <v>41694</v>
      </c>
      <c r="B309">
        <v>1.321</v>
      </c>
      <c r="C309" s="5">
        <v>1.5295000000000001</v>
      </c>
      <c r="D309">
        <v>2.0053000000000001</v>
      </c>
      <c r="E309">
        <v>2.3942000000000001</v>
      </c>
      <c r="F309">
        <v>2.8468</v>
      </c>
      <c r="G309">
        <v>3.4365000000000001</v>
      </c>
    </row>
    <row r="310" spans="1:7" x14ac:dyDescent="0.25">
      <c r="A310" s="4">
        <v>41691</v>
      </c>
      <c r="B310">
        <v>1.3180000000000001</v>
      </c>
      <c r="C310" s="5">
        <v>1.514</v>
      </c>
      <c r="D310">
        <v>1.984</v>
      </c>
      <c r="E310">
        <v>2.387</v>
      </c>
      <c r="F310">
        <v>2.843</v>
      </c>
      <c r="G310">
        <v>3.4420000000000002</v>
      </c>
    </row>
    <row r="311" spans="1:7" x14ac:dyDescent="0.25">
      <c r="A311" s="4">
        <v>41690</v>
      </c>
      <c r="B311">
        <v>1.302</v>
      </c>
      <c r="C311" s="5">
        <v>1.5110000000000001</v>
      </c>
      <c r="D311">
        <v>2.0019999999999998</v>
      </c>
      <c r="E311">
        <v>2.4079999999999999</v>
      </c>
      <c r="F311">
        <v>2.871</v>
      </c>
      <c r="G311">
        <v>3.4670000000000001</v>
      </c>
    </row>
    <row r="312" spans="1:7" x14ac:dyDescent="0.25">
      <c r="A312" s="4">
        <v>41689</v>
      </c>
      <c r="B312">
        <v>1.31</v>
      </c>
      <c r="C312" s="5">
        <v>1.5121</v>
      </c>
      <c r="D312">
        <v>2.0114999999999998</v>
      </c>
      <c r="E312">
        <v>2.4180000000000001</v>
      </c>
      <c r="F312">
        <v>2.8824999999999998</v>
      </c>
      <c r="G312">
        <v>3.4775</v>
      </c>
    </row>
    <row r="313" spans="1:7" x14ac:dyDescent="0.25">
      <c r="A313" s="4">
        <v>41688</v>
      </c>
      <c r="B313">
        <v>1.2974999999999999</v>
      </c>
      <c r="C313" s="5">
        <v>1.5030000000000001</v>
      </c>
      <c r="D313">
        <v>2.0009999999999999</v>
      </c>
      <c r="E313">
        <v>2.4104999999999999</v>
      </c>
      <c r="F313">
        <v>2.8740000000000001</v>
      </c>
      <c r="G313">
        <v>3.4695</v>
      </c>
    </row>
    <row r="314" spans="1:7" x14ac:dyDescent="0.25">
      <c r="A314" s="4">
        <v>41687</v>
      </c>
      <c r="B314">
        <v>1.3240000000000001</v>
      </c>
      <c r="C314" s="5">
        <v>1.524</v>
      </c>
      <c r="D314">
        <v>2.0209999999999999</v>
      </c>
      <c r="E314">
        <v>2.431</v>
      </c>
      <c r="F314">
        <v>2.9015</v>
      </c>
      <c r="G314">
        <v>3.4784999999999999</v>
      </c>
    </row>
    <row r="315" spans="1:7" x14ac:dyDescent="0.25">
      <c r="A315" s="4">
        <v>41684</v>
      </c>
      <c r="B315">
        <v>1.3165</v>
      </c>
      <c r="C315" s="5">
        <v>1.526</v>
      </c>
      <c r="D315">
        <v>2.0234999999999999</v>
      </c>
      <c r="E315">
        <v>2.4344999999999999</v>
      </c>
      <c r="F315">
        <v>2.895</v>
      </c>
      <c r="G315">
        <v>3.4704999999999999</v>
      </c>
    </row>
    <row r="316" spans="1:7" x14ac:dyDescent="0.25">
      <c r="A316" s="4">
        <v>41683</v>
      </c>
      <c r="B316">
        <v>1.3195000000000001</v>
      </c>
      <c r="C316" s="5">
        <v>1.5249999999999999</v>
      </c>
      <c r="D316">
        <v>2.0175000000000001</v>
      </c>
      <c r="E316">
        <v>2.4245000000000001</v>
      </c>
      <c r="F316">
        <v>2.8875000000000002</v>
      </c>
      <c r="G316">
        <v>3.4655</v>
      </c>
    </row>
    <row r="317" spans="1:7" x14ac:dyDescent="0.25">
      <c r="A317" s="4">
        <v>41682</v>
      </c>
      <c r="B317">
        <v>1.337</v>
      </c>
      <c r="C317" s="5">
        <v>1.544</v>
      </c>
      <c r="D317">
        <v>2.0465</v>
      </c>
      <c r="E317">
        <v>2.4535</v>
      </c>
      <c r="F317">
        <v>2.919</v>
      </c>
      <c r="G317">
        <v>3.496</v>
      </c>
    </row>
    <row r="318" spans="1:7" x14ac:dyDescent="0.25">
      <c r="A318" s="4">
        <v>41681</v>
      </c>
      <c r="B318">
        <v>1.3180000000000001</v>
      </c>
      <c r="C318" s="5">
        <v>1.5190000000000001</v>
      </c>
      <c r="D318">
        <v>2.0165000000000002</v>
      </c>
      <c r="E318">
        <v>2.4285000000000001</v>
      </c>
      <c r="F318">
        <v>2.9020000000000001</v>
      </c>
      <c r="G318">
        <v>3.4914999999999998</v>
      </c>
    </row>
    <row r="319" spans="1:7" x14ac:dyDescent="0.25">
      <c r="A319" s="4">
        <v>41680</v>
      </c>
      <c r="B319">
        <v>1.29</v>
      </c>
      <c r="C319" s="5">
        <v>1.4851000000000001</v>
      </c>
      <c r="D319">
        <v>1.9744999999999999</v>
      </c>
      <c r="E319">
        <v>2.3864999999999998</v>
      </c>
      <c r="F319">
        <v>2.8574999999999999</v>
      </c>
      <c r="G319">
        <v>3.4535</v>
      </c>
    </row>
    <row r="320" spans="1:7" x14ac:dyDescent="0.25">
      <c r="A320" s="4">
        <v>41677</v>
      </c>
      <c r="B320">
        <v>1.2889999999999999</v>
      </c>
      <c r="C320" s="5">
        <v>1.492</v>
      </c>
      <c r="D320">
        <v>1.9864999999999999</v>
      </c>
      <c r="E320">
        <v>2.3935</v>
      </c>
      <c r="F320">
        <v>2.8639999999999999</v>
      </c>
      <c r="G320">
        <v>3.4624999999999999</v>
      </c>
    </row>
    <row r="321" spans="1:7" x14ac:dyDescent="0.25">
      <c r="A321" s="4">
        <v>41676</v>
      </c>
      <c r="B321">
        <v>1.29</v>
      </c>
      <c r="C321" s="5">
        <v>1.5</v>
      </c>
      <c r="D321">
        <v>2.0009999999999999</v>
      </c>
      <c r="E321">
        <v>2.4135</v>
      </c>
      <c r="F321">
        <v>2.8919999999999999</v>
      </c>
      <c r="G321">
        <v>3.4754999999999998</v>
      </c>
    </row>
    <row r="322" spans="1:7" x14ac:dyDescent="0.25">
      <c r="A322" s="4">
        <v>41675</v>
      </c>
      <c r="B322">
        <v>1.2789999999999999</v>
      </c>
      <c r="C322" s="5">
        <v>1.4842</v>
      </c>
      <c r="D322">
        <v>1.9624999999999999</v>
      </c>
      <c r="E322">
        <v>2.3609999999999998</v>
      </c>
      <c r="F322">
        <v>2.835</v>
      </c>
      <c r="G322">
        <v>3.4350000000000001</v>
      </c>
    </row>
    <row r="323" spans="1:7" x14ac:dyDescent="0.25">
      <c r="A323" s="4">
        <v>41674</v>
      </c>
      <c r="B323">
        <v>1.276</v>
      </c>
      <c r="C323" s="5">
        <v>1.466</v>
      </c>
      <c r="D323">
        <v>1.9315</v>
      </c>
      <c r="E323">
        <v>2.3304999999999998</v>
      </c>
      <c r="F323">
        <v>2.798</v>
      </c>
      <c r="G323">
        <v>3.3904999999999998</v>
      </c>
    </row>
    <row r="324" spans="1:7" x14ac:dyDescent="0.25">
      <c r="A324" s="4">
        <v>41673</v>
      </c>
      <c r="B324">
        <v>1.246</v>
      </c>
      <c r="C324" s="5">
        <v>1.43</v>
      </c>
      <c r="D324">
        <v>1.8885000000000001</v>
      </c>
      <c r="E324">
        <v>2.2885</v>
      </c>
      <c r="F324">
        <v>2.754</v>
      </c>
      <c r="G324">
        <v>3.351</v>
      </c>
    </row>
    <row r="325" spans="1:7" x14ac:dyDescent="0.25">
      <c r="A325" s="4">
        <v>41670</v>
      </c>
      <c r="B325">
        <v>1.2515000000000001</v>
      </c>
      <c r="C325" s="5">
        <v>1.4445000000000001</v>
      </c>
      <c r="D325">
        <v>1.9180000000000001</v>
      </c>
      <c r="E325">
        <v>2.3224999999999998</v>
      </c>
      <c r="F325">
        <v>2.7814999999999999</v>
      </c>
      <c r="G325">
        <v>3.3755000000000002</v>
      </c>
    </row>
    <row r="326" spans="1:7" x14ac:dyDescent="0.25">
      <c r="A326" s="4">
        <v>41669</v>
      </c>
      <c r="B326">
        <v>1.272</v>
      </c>
      <c r="C326" s="5">
        <v>1.47</v>
      </c>
      <c r="D326">
        <v>1.9525000000000001</v>
      </c>
      <c r="E326">
        <v>2.3624999999999998</v>
      </c>
      <c r="F326">
        <v>2.8289999999999997</v>
      </c>
      <c r="G326">
        <v>3.4165000000000001</v>
      </c>
    </row>
    <row r="327" spans="1:7" x14ac:dyDescent="0.25">
      <c r="A327" s="4">
        <v>41668</v>
      </c>
      <c r="B327">
        <v>1.266</v>
      </c>
      <c r="C327" s="5">
        <v>1.466</v>
      </c>
      <c r="D327">
        <v>1.9495</v>
      </c>
      <c r="E327">
        <v>2.3595000000000002</v>
      </c>
      <c r="F327">
        <v>2.8260000000000001</v>
      </c>
      <c r="G327">
        <v>3.4104999999999999</v>
      </c>
    </row>
    <row r="328" spans="1:7" x14ac:dyDescent="0.25">
      <c r="A328" s="4">
        <v>41667</v>
      </c>
      <c r="B328">
        <v>1.2669999999999999</v>
      </c>
      <c r="C328" s="5">
        <v>1.4790000000000001</v>
      </c>
      <c r="D328">
        <v>1.9809999999999999</v>
      </c>
      <c r="E328">
        <v>2.4045000000000001</v>
      </c>
      <c r="F328">
        <v>2.8780000000000001</v>
      </c>
      <c r="G328">
        <v>3.4584999999999999</v>
      </c>
    </row>
    <row r="329" spans="1:7" x14ac:dyDescent="0.25">
      <c r="A329" s="4">
        <v>41666</v>
      </c>
      <c r="B329">
        <v>1.29</v>
      </c>
      <c r="C329" s="5">
        <v>1.4990000000000001</v>
      </c>
      <c r="D329">
        <v>1.9933000000000001</v>
      </c>
      <c r="E329">
        <v>2.4175</v>
      </c>
      <c r="F329">
        <v>2.887</v>
      </c>
      <c r="G329">
        <v>3.4645000000000001</v>
      </c>
    </row>
    <row r="330" spans="1:7" x14ac:dyDescent="0.25">
      <c r="A330" s="4">
        <v>41663</v>
      </c>
      <c r="B330">
        <v>1.254</v>
      </c>
      <c r="C330" s="5">
        <v>1.47</v>
      </c>
      <c r="D330">
        <v>1.95</v>
      </c>
      <c r="E330">
        <v>2.379</v>
      </c>
      <c r="F330">
        <v>2.839</v>
      </c>
      <c r="G330">
        <v>3.43</v>
      </c>
    </row>
    <row r="331" spans="1:7" x14ac:dyDescent="0.25">
      <c r="A331" s="4">
        <v>41662</v>
      </c>
      <c r="B331">
        <v>1.2570000000000001</v>
      </c>
      <c r="C331" s="5">
        <v>1.468</v>
      </c>
      <c r="D331">
        <v>1.9575</v>
      </c>
      <c r="E331">
        <v>2.3845000000000001</v>
      </c>
      <c r="F331">
        <v>2.859</v>
      </c>
      <c r="G331">
        <v>3.4504999999999999</v>
      </c>
    </row>
    <row r="332" spans="1:7" x14ac:dyDescent="0.25">
      <c r="A332" s="4">
        <v>41661</v>
      </c>
      <c r="B332">
        <v>1.2849999999999999</v>
      </c>
      <c r="C332" s="5">
        <v>1.518</v>
      </c>
      <c r="D332">
        <v>2.0419999999999998</v>
      </c>
      <c r="E332">
        <v>2.4744999999999999</v>
      </c>
      <c r="F332">
        <v>2.9464999999999999</v>
      </c>
      <c r="G332">
        <v>3.5285000000000002</v>
      </c>
    </row>
    <row r="333" spans="1:7" x14ac:dyDescent="0.25">
      <c r="A333" s="4">
        <v>41660</v>
      </c>
      <c r="B333">
        <v>1.3049999999999999</v>
      </c>
      <c r="C333" s="5">
        <v>1.5425</v>
      </c>
      <c r="D333">
        <v>2.0754999999999999</v>
      </c>
      <c r="E333">
        <v>2.4944999999999999</v>
      </c>
      <c r="F333">
        <v>2.952</v>
      </c>
      <c r="G333">
        <v>3.5215000000000001</v>
      </c>
    </row>
    <row r="334" spans="1:7" x14ac:dyDescent="0.25">
      <c r="A334" s="4">
        <v>41659</v>
      </c>
      <c r="B334">
        <v>1.2829999999999999</v>
      </c>
      <c r="C334" s="5">
        <v>1.5089999999999999</v>
      </c>
      <c r="D334">
        <v>2.0274999999999999</v>
      </c>
      <c r="E334">
        <v>2.4624999999999999</v>
      </c>
      <c r="F334">
        <v>2.9335</v>
      </c>
      <c r="G334">
        <v>3.5244999999999997</v>
      </c>
    </row>
    <row r="335" spans="1:7" x14ac:dyDescent="0.25">
      <c r="A335" s="4">
        <v>41656</v>
      </c>
      <c r="B335">
        <v>1.29</v>
      </c>
      <c r="C335" s="5">
        <v>1.5225</v>
      </c>
      <c r="D335">
        <v>2.0514999999999999</v>
      </c>
      <c r="E335">
        <v>2.4832999999999998</v>
      </c>
      <c r="F335">
        <v>2.9512999999999998</v>
      </c>
      <c r="G335">
        <v>3.5365000000000002</v>
      </c>
    </row>
    <row r="336" spans="1:7" x14ac:dyDescent="0.25">
      <c r="A336" s="4">
        <v>41655</v>
      </c>
      <c r="B336">
        <v>1.3089999999999999</v>
      </c>
      <c r="C336" s="5">
        <v>1.5449999999999999</v>
      </c>
      <c r="D336">
        <v>2.0825</v>
      </c>
      <c r="E336">
        <v>2.5154999999999998</v>
      </c>
      <c r="F336">
        <v>2.976</v>
      </c>
      <c r="G336">
        <v>3.5514999999999999</v>
      </c>
    </row>
    <row r="337" spans="1:7" x14ac:dyDescent="0.25">
      <c r="A337" s="4">
        <v>41654</v>
      </c>
      <c r="B337">
        <v>1.33</v>
      </c>
      <c r="C337" s="5">
        <v>1.5758999999999999</v>
      </c>
      <c r="D337">
        <v>2.1265000000000001</v>
      </c>
      <c r="E337">
        <v>2.5545</v>
      </c>
      <c r="F337">
        <v>3.0145</v>
      </c>
      <c r="G337">
        <v>3.5794999999999999</v>
      </c>
    </row>
    <row r="338" spans="1:7" x14ac:dyDescent="0.25">
      <c r="A338" s="4">
        <v>41653</v>
      </c>
      <c r="B338">
        <v>1.323</v>
      </c>
      <c r="C338" s="5">
        <v>1.5674999999999999</v>
      </c>
      <c r="D338">
        <v>2.1164999999999998</v>
      </c>
      <c r="E338">
        <v>2.5474999999999999</v>
      </c>
      <c r="F338">
        <v>3.0105</v>
      </c>
      <c r="G338">
        <v>3.5739999999999998</v>
      </c>
    </row>
    <row r="339" spans="1:7" x14ac:dyDescent="0.25">
      <c r="A339" s="4">
        <v>41652</v>
      </c>
      <c r="B339">
        <v>1.3029999999999999</v>
      </c>
      <c r="C339" s="5">
        <v>1.5394999999999999</v>
      </c>
      <c r="D339">
        <v>2.0745</v>
      </c>
      <c r="E339">
        <v>2.5074999999999998</v>
      </c>
      <c r="F339">
        <v>2.972</v>
      </c>
      <c r="G339">
        <v>3.5375000000000001</v>
      </c>
    </row>
    <row r="340" spans="1:7" x14ac:dyDescent="0.25">
      <c r="A340" s="4">
        <v>41649</v>
      </c>
      <c r="B340">
        <v>1.2803</v>
      </c>
      <c r="C340" s="5">
        <v>1.5175000000000001</v>
      </c>
      <c r="D340">
        <v>2.0644999999999998</v>
      </c>
      <c r="E340">
        <v>2.5015000000000001</v>
      </c>
      <c r="F340">
        <v>2.9735</v>
      </c>
      <c r="G340">
        <v>3.5434999999999999</v>
      </c>
    </row>
    <row r="341" spans="1:7" x14ac:dyDescent="0.25">
      <c r="A341" s="4">
        <v>41648</v>
      </c>
      <c r="B341">
        <v>1.363</v>
      </c>
      <c r="C341" s="5">
        <v>1.6204000000000001</v>
      </c>
      <c r="D341">
        <v>2.2033</v>
      </c>
      <c r="E341">
        <v>2.6360000000000001</v>
      </c>
      <c r="F341">
        <v>3.093</v>
      </c>
      <c r="G341">
        <v>3.6219999999999999</v>
      </c>
    </row>
    <row r="342" spans="1:7" x14ac:dyDescent="0.25">
      <c r="A342" s="4">
        <v>41647</v>
      </c>
      <c r="B342">
        <v>1.373</v>
      </c>
      <c r="C342" s="5">
        <v>1.6387</v>
      </c>
      <c r="D342">
        <v>2.2244999999999999</v>
      </c>
      <c r="E342">
        <v>2.6574999999999998</v>
      </c>
      <c r="F342">
        <v>3.1230000000000002</v>
      </c>
      <c r="G342">
        <v>3.6310000000000002</v>
      </c>
    </row>
    <row r="343" spans="1:7" x14ac:dyDescent="0.25">
      <c r="A343" s="4">
        <v>41646</v>
      </c>
      <c r="B343">
        <v>1.3734999999999999</v>
      </c>
      <c r="C343" s="5">
        <v>1.6280000000000001</v>
      </c>
      <c r="D343">
        <v>2.1964999999999999</v>
      </c>
      <c r="E343">
        <v>2.6254999999999997</v>
      </c>
      <c r="F343">
        <v>3.0840000000000001</v>
      </c>
      <c r="G343">
        <v>3.5845000000000002</v>
      </c>
    </row>
    <row r="344" spans="1:7" x14ac:dyDescent="0.25">
      <c r="A344" s="4">
        <v>41645</v>
      </c>
      <c r="B344">
        <v>1.401</v>
      </c>
      <c r="C344" s="5">
        <v>1.6667000000000001</v>
      </c>
      <c r="D344">
        <v>2.2530000000000001</v>
      </c>
      <c r="E344">
        <v>2.6804999999999999</v>
      </c>
      <c r="F344">
        <v>3.1390000000000002</v>
      </c>
      <c r="G344">
        <v>3.6295000000000002</v>
      </c>
    </row>
    <row r="345" spans="1:7" x14ac:dyDescent="0.25">
      <c r="A345" s="4">
        <v>41642</v>
      </c>
      <c r="B345">
        <v>1.4060000000000001</v>
      </c>
      <c r="C345" s="5">
        <v>1.6840000000000002</v>
      </c>
      <c r="D345">
        <v>2.2875000000000001</v>
      </c>
      <c r="E345">
        <v>2.718</v>
      </c>
      <c r="F345">
        <v>3.1775000000000002</v>
      </c>
      <c r="G345">
        <v>3.6535000000000002</v>
      </c>
    </row>
    <row r="346" spans="1:7" x14ac:dyDescent="0.25">
      <c r="A346" s="4">
        <v>41641</v>
      </c>
      <c r="B346">
        <v>1.3940000000000001</v>
      </c>
      <c r="C346" s="5">
        <v>1.6715</v>
      </c>
      <c r="D346">
        <v>2.2720000000000002</v>
      </c>
      <c r="E346">
        <v>2.7039999999999997</v>
      </c>
      <c r="F346">
        <v>3.1675</v>
      </c>
      <c r="G346">
        <v>3.6461000000000001</v>
      </c>
    </row>
    <row r="347" spans="1:7" x14ac:dyDescent="0.25">
      <c r="A347" s="4">
        <v>41639</v>
      </c>
      <c r="B347">
        <v>1.393</v>
      </c>
      <c r="C347" s="5">
        <v>1.675</v>
      </c>
      <c r="D347">
        <v>2.2850000000000001</v>
      </c>
      <c r="E347">
        <v>2.7229999999999999</v>
      </c>
      <c r="F347">
        <v>3.1935000000000002</v>
      </c>
      <c r="G347">
        <v>3.6764999999999999</v>
      </c>
    </row>
    <row r="348" spans="1:7" x14ac:dyDescent="0.25">
      <c r="A348" s="4">
        <v>41638</v>
      </c>
      <c r="B348">
        <v>1.389</v>
      </c>
      <c r="C348" s="5">
        <v>1.675</v>
      </c>
      <c r="D348">
        <v>2.2869999999999999</v>
      </c>
      <c r="E348">
        <v>2.7229999999999999</v>
      </c>
      <c r="F348">
        <v>3.1935000000000002</v>
      </c>
      <c r="G348">
        <v>3.6764999999999999</v>
      </c>
    </row>
    <row r="349" spans="1:7" x14ac:dyDescent="0.25">
      <c r="A349" s="4">
        <v>41635</v>
      </c>
      <c r="B349">
        <v>1.4115</v>
      </c>
      <c r="C349" s="5">
        <v>1.6625000000000001</v>
      </c>
      <c r="D349">
        <v>2.2545000000000002</v>
      </c>
      <c r="E349">
        <v>2.6865000000000001</v>
      </c>
      <c r="F349">
        <v>3.1545000000000001</v>
      </c>
      <c r="G349">
        <v>3.6320000000000001</v>
      </c>
    </row>
    <row r="350" spans="1:7" x14ac:dyDescent="0.25">
      <c r="A350" s="4">
        <v>41634</v>
      </c>
      <c r="B350">
        <v>1.3839999999999999</v>
      </c>
      <c r="C350" s="5">
        <v>1.6915</v>
      </c>
      <c r="D350">
        <v>2.2965</v>
      </c>
      <c r="E350">
        <v>2.7335000000000003</v>
      </c>
      <c r="F350">
        <v>3.2035</v>
      </c>
      <c r="G350">
        <v>3.6720000000000002</v>
      </c>
    </row>
    <row r="351" spans="1:7" x14ac:dyDescent="0.25">
      <c r="A351" s="4">
        <v>41633</v>
      </c>
      <c r="B351">
        <v>1.3959999999999999</v>
      </c>
      <c r="C351" s="5">
        <v>1.6579999999999999</v>
      </c>
      <c r="D351">
        <v>2.238</v>
      </c>
      <c r="E351">
        <v>2.6615000000000002</v>
      </c>
      <c r="F351">
        <v>3.1310000000000002</v>
      </c>
      <c r="G351">
        <v>3.6215000000000002</v>
      </c>
    </row>
    <row r="352" spans="1:7" x14ac:dyDescent="0.25">
      <c r="A352" s="4">
        <v>41632</v>
      </c>
      <c r="B352">
        <v>1.3959999999999999</v>
      </c>
      <c r="C352" s="5">
        <v>1.6579999999999999</v>
      </c>
      <c r="D352">
        <v>2.2334999999999998</v>
      </c>
      <c r="E352">
        <v>2.6675</v>
      </c>
      <c r="F352">
        <v>3.1335000000000002</v>
      </c>
      <c r="G352">
        <v>3.6189999999999998</v>
      </c>
    </row>
    <row r="353" spans="1:7" x14ac:dyDescent="0.25">
      <c r="A353" s="4">
        <v>41631</v>
      </c>
      <c r="B353">
        <v>1.3865000000000001</v>
      </c>
      <c r="C353" s="5">
        <v>1.6600000000000001</v>
      </c>
      <c r="D353">
        <v>2.2334999999999998</v>
      </c>
      <c r="E353">
        <v>2.6675</v>
      </c>
      <c r="F353">
        <v>3.1335000000000002</v>
      </c>
      <c r="G353">
        <v>3.6189999999999998</v>
      </c>
    </row>
    <row r="354" spans="1:7" x14ac:dyDescent="0.25">
      <c r="A354" s="4">
        <v>41628</v>
      </c>
      <c r="B354">
        <v>1.3580000000000001</v>
      </c>
      <c r="C354" s="5">
        <v>1.643</v>
      </c>
      <c r="D354">
        <v>2.2025000000000001</v>
      </c>
      <c r="E354">
        <v>2.6324999999999998</v>
      </c>
      <c r="F354">
        <v>3.0964999999999998</v>
      </c>
      <c r="G354">
        <v>3.5949999999999998</v>
      </c>
    </row>
    <row r="355" spans="1:7" x14ac:dyDescent="0.25">
      <c r="A355" s="4">
        <v>41627</v>
      </c>
      <c r="B355">
        <v>1.399</v>
      </c>
      <c r="C355" s="5">
        <v>1.6179999999999999</v>
      </c>
      <c r="D355">
        <v>2.1855000000000002</v>
      </c>
      <c r="E355">
        <v>2.6215000000000002</v>
      </c>
      <c r="F355">
        <v>3.0910000000000002</v>
      </c>
      <c r="G355">
        <v>3.6015000000000001</v>
      </c>
    </row>
    <row r="356" spans="1:7" x14ac:dyDescent="0.25">
      <c r="A356" s="4">
        <v>41626</v>
      </c>
      <c r="B356">
        <v>1.371</v>
      </c>
      <c r="C356" s="5">
        <v>1.6520000000000001</v>
      </c>
      <c r="D356">
        <v>2.2115</v>
      </c>
      <c r="E356">
        <v>2.6574999999999998</v>
      </c>
      <c r="F356">
        <v>3.1339999999999999</v>
      </c>
      <c r="G356">
        <v>3.6520000000000001</v>
      </c>
    </row>
    <row r="357" spans="1:7" x14ac:dyDescent="0.25">
      <c r="A357" s="4">
        <v>41625</v>
      </c>
      <c r="B357">
        <v>1.375</v>
      </c>
      <c r="C357" s="5">
        <v>1.6145</v>
      </c>
      <c r="D357">
        <v>2.1635</v>
      </c>
      <c r="E357">
        <v>2.6122999999999998</v>
      </c>
      <c r="F357">
        <v>3.1042999999999998</v>
      </c>
      <c r="G357">
        <v>3.6404999999999998</v>
      </c>
    </row>
    <row r="358" spans="1:7" x14ac:dyDescent="0.25">
      <c r="A358" s="4">
        <v>41624</v>
      </c>
      <c r="B358">
        <v>1.3860000000000001</v>
      </c>
      <c r="C358" s="5">
        <v>1.6135000000000002</v>
      </c>
      <c r="D358">
        <v>2.1435</v>
      </c>
      <c r="E358">
        <v>2.5834999999999999</v>
      </c>
      <c r="F358">
        <v>3.0585</v>
      </c>
      <c r="G358">
        <v>3.6114999999999999</v>
      </c>
    </row>
    <row r="359" spans="1:7" x14ac:dyDescent="0.25">
      <c r="A359" s="4">
        <v>41621</v>
      </c>
      <c r="B359">
        <v>1.3754999999999999</v>
      </c>
      <c r="C359" s="5">
        <v>1.6215000000000002</v>
      </c>
      <c r="D359">
        <v>2.1684999999999999</v>
      </c>
      <c r="E359">
        <v>2.6135000000000002</v>
      </c>
      <c r="F359">
        <v>3.0920000000000001</v>
      </c>
      <c r="G359">
        <v>3.6284999999999998</v>
      </c>
    </row>
    <row r="360" spans="1:7" x14ac:dyDescent="0.25">
      <c r="A360" s="4">
        <v>41620</v>
      </c>
      <c r="B360">
        <v>1.371</v>
      </c>
      <c r="C360" s="5">
        <v>1.6099999999999999</v>
      </c>
      <c r="D360">
        <v>2.1545000000000001</v>
      </c>
      <c r="E360">
        <v>2.6005000000000003</v>
      </c>
      <c r="F360">
        <v>3.0794999999999999</v>
      </c>
      <c r="G360">
        <v>3.6219999999999999</v>
      </c>
    </row>
    <row r="361" spans="1:7" x14ac:dyDescent="0.25">
      <c r="A361" s="4">
        <v>41619</v>
      </c>
      <c r="B361">
        <v>1.3654999999999999</v>
      </c>
      <c r="C361" s="5">
        <v>1.603</v>
      </c>
      <c r="D361">
        <v>2.1455000000000002</v>
      </c>
      <c r="E361">
        <v>2.5925000000000002</v>
      </c>
      <c r="F361">
        <v>3.0754999999999999</v>
      </c>
      <c r="G361">
        <v>3.6219999999999999</v>
      </c>
    </row>
    <row r="362" spans="1:7" x14ac:dyDescent="0.25">
      <c r="A362" s="4">
        <v>41618</v>
      </c>
      <c r="B362">
        <v>1.343</v>
      </c>
      <c r="C362" s="5">
        <v>1.5935000000000001</v>
      </c>
      <c r="D362">
        <v>2.1244999999999998</v>
      </c>
      <c r="E362">
        <v>2.573</v>
      </c>
      <c r="F362">
        <v>3.0505</v>
      </c>
      <c r="G362">
        <v>3.6059999999999999</v>
      </c>
    </row>
    <row r="363" spans="1:7" x14ac:dyDescent="0.25">
      <c r="A363" s="4">
        <v>41617</v>
      </c>
      <c r="B363">
        <v>1.35</v>
      </c>
      <c r="C363" s="5">
        <v>1.5590000000000002</v>
      </c>
      <c r="D363">
        <v>2.0785</v>
      </c>
      <c r="E363">
        <v>2.5225</v>
      </c>
      <c r="F363">
        <v>2.9980000000000002</v>
      </c>
      <c r="G363">
        <v>3.5575000000000001</v>
      </c>
    </row>
    <row r="364" spans="1:7" x14ac:dyDescent="0.25">
      <c r="A364" s="4">
        <v>41614</v>
      </c>
      <c r="B364">
        <v>1.3574999999999999</v>
      </c>
      <c r="C364" s="5">
        <v>1.569</v>
      </c>
      <c r="D364">
        <v>2.1065</v>
      </c>
      <c r="E364">
        <v>2.5615000000000001</v>
      </c>
      <c r="F364">
        <v>3.0550000000000002</v>
      </c>
      <c r="G364">
        <v>3.6315</v>
      </c>
    </row>
    <row r="365" spans="1:7" x14ac:dyDescent="0.25">
      <c r="A365" s="4">
        <v>41613</v>
      </c>
      <c r="B365">
        <v>1.357</v>
      </c>
      <c r="C365" s="5">
        <v>1.5794999999999999</v>
      </c>
      <c r="D365">
        <v>2.1265000000000001</v>
      </c>
      <c r="E365">
        <v>2.5804999999999998</v>
      </c>
      <c r="F365">
        <v>3.077</v>
      </c>
      <c r="G365">
        <v>3.653</v>
      </c>
    </row>
    <row r="366" spans="1:7" x14ac:dyDescent="0.25">
      <c r="A366" s="4">
        <v>41612</v>
      </c>
      <c r="B366">
        <v>1.3374999999999999</v>
      </c>
      <c r="C366" s="5">
        <v>1.5788</v>
      </c>
      <c r="D366">
        <v>2.1248</v>
      </c>
      <c r="E366">
        <v>2.5825</v>
      </c>
      <c r="F366">
        <v>3.0830000000000002</v>
      </c>
      <c r="G366">
        <v>3.6720000000000002</v>
      </c>
    </row>
    <row r="367" spans="1:7" x14ac:dyDescent="0.25">
      <c r="A367" s="4">
        <v>41611</v>
      </c>
      <c r="B367">
        <v>1.3474999999999999</v>
      </c>
      <c r="C367" s="5">
        <v>1.5529999999999999</v>
      </c>
      <c r="D367">
        <v>2.1164999999999998</v>
      </c>
      <c r="E367">
        <v>2.4805999999999999</v>
      </c>
      <c r="F367">
        <v>3.0735000000000001</v>
      </c>
      <c r="G367">
        <v>3.6810999999999998</v>
      </c>
    </row>
    <row r="368" spans="1:7" x14ac:dyDescent="0.25">
      <c r="A368" s="4">
        <v>41610</v>
      </c>
      <c r="B368">
        <v>1.3780000000000001</v>
      </c>
      <c r="C368" s="5">
        <v>1.5554999999999999</v>
      </c>
      <c r="D368">
        <v>2.0680000000000001</v>
      </c>
      <c r="E368">
        <v>2.5060000000000002</v>
      </c>
      <c r="F368">
        <v>3.0034999999999998</v>
      </c>
      <c r="G368">
        <v>3.6</v>
      </c>
    </row>
    <row r="369" spans="1:7" x14ac:dyDescent="0.25">
      <c r="A369" s="4">
        <v>41607</v>
      </c>
      <c r="B369">
        <v>1.3613</v>
      </c>
      <c r="C369" s="5">
        <v>1.5009999999999999</v>
      </c>
      <c r="D369">
        <v>2.0985</v>
      </c>
      <c r="E369">
        <v>2.4525000000000001</v>
      </c>
      <c r="F369">
        <v>3.0185</v>
      </c>
      <c r="G369">
        <v>3.6040000000000001</v>
      </c>
    </row>
    <row r="370" spans="1:7" x14ac:dyDescent="0.25">
      <c r="A370" s="4">
        <v>41606</v>
      </c>
      <c r="B370">
        <v>1.3580000000000001</v>
      </c>
      <c r="C370" s="5">
        <v>1.5580000000000001</v>
      </c>
      <c r="D370">
        <v>2.0430000000000001</v>
      </c>
      <c r="E370">
        <v>2.4733000000000001</v>
      </c>
      <c r="F370">
        <v>2.9548000000000001</v>
      </c>
      <c r="G370">
        <v>3.5590000000000002</v>
      </c>
    </row>
    <row r="371" spans="1:7" x14ac:dyDescent="0.25">
      <c r="A371" s="4">
        <v>41605</v>
      </c>
      <c r="B371">
        <v>1.3634999999999999</v>
      </c>
      <c r="C371" s="5">
        <v>1.5514999999999999</v>
      </c>
      <c r="D371">
        <v>2.0325000000000002</v>
      </c>
      <c r="E371">
        <v>2.4554999999999998</v>
      </c>
      <c r="F371">
        <v>2.931</v>
      </c>
      <c r="G371">
        <v>3.5404999999999998</v>
      </c>
    </row>
    <row r="372" spans="1:7" x14ac:dyDescent="0.25">
      <c r="A372" s="4">
        <v>41604</v>
      </c>
      <c r="B372">
        <v>1.3645</v>
      </c>
      <c r="C372" s="5">
        <v>1.5537000000000001</v>
      </c>
      <c r="D372">
        <v>2.0335000000000001</v>
      </c>
      <c r="E372">
        <v>2.4609999999999999</v>
      </c>
      <c r="F372">
        <v>2.9445000000000001</v>
      </c>
      <c r="G372">
        <v>3.5465</v>
      </c>
    </row>
    <row r="373" spans="1:7" x14ac:dyDescent="0.25">
      <c r="A373" s="4">
        <v>41603</v>
      </c>
      <c r="B373">
        <v>1.3794999999999999</v>
      </c>
      <c r="C373" s="5">
        <v>1.5508999999999999</v>
      </c>
      <c r="D373">
        <v>2.0305</v>
      </c>
      <c r="E373">
        <v>2.4525000000000001</v>
      </c>
      <c r="F373">
        <v>2.9325000000000001</v>
      </c>
      <c r="G373">
        <v>3.5295999999999998</v>
      </c>
    </row>
    <row r="374" spans="1:7" x14ac:dyDescent="0.25">
      <c r="A374" s="4">
        <v>41600</v>
      </c>
      <c r="B374">
        <v>1.377</v>
      </c>
      <c r="C374" s="5">
        <v>1.5721000000000001</v>
      </c>
      <c r="D374">
        <v>2.0625</v>
      </c>
      <c r="E374">
        <v>2.492</v>
      </c>
      <c r="F374">
        <v>2.9664999999999999</v>
      </c>
      <c r="G374">
        <v>3.5558999999999998</v>
      </c>
    </row>
    <row r="375" spans="1:7" x14ac:dyDescent="0.25">
      <c r="A375" s="4">
        <v>41599</v>
      </c>
      <c r="B375">
        <v>1.3745000000000001</v>
      </c>
      <c r="C375" s="5">
        <v>1.5825</v>
      </c>
      <c r="D375">
        <v>2.0855000000000001</v>
      </c>
      <c r="E375">
        <v>2.5129999999999999</v>
      </c>
      <c r="F375">
        <v>2.996</v>
      </c>
      <c r="G375">
        <v>3.5804999999999998</v>
      </c>
    </row>
    <row r="376" spans="1:7" x14ac:dyDescent="0.25">
      <c r="A376" s="4">
        <v>41598</v>
      </c>
      <c r="B376">
        <v>1.4033</v>
      </c>
      <c r="C376" s="5">
        <v>1.5865</v>
      </c>
      <c r="D376">
        <v>2.1015000000000001</v>
      </c>
      <c r="E376">
        <v>2.54</v>
      </c>
      <c r="F376">
        <v>3.0430000000000001</v>
      </c>
      <c r="G376">
        <v>3.6330999999999998</v>
      </c>
    </row>
    <row r="377" spans="1:7" x14ac:dyDescent="0.25">
      <c r="A377" s="4">
        <v>41597</v>
      </c>
      <c r="B377">
        <v>1.409</v>
      </c>
      <c r="C377" s="5">
        <v>1.617</v>
      </c>
      <c r="D377">
        <v>2.1164999999999998</v>
      </c>
      <c r="E377">
        <v>2.5474999999999999</v>
      </c>
      <c r="F377">
        <v>3.0470000000000002</v>
      </c>
      <c r="G377">
        <v>3.6404999999999998</v>
      </c>
    </row>
    <row r="378" spans="1:7" x14ac:dyDescent="0.25">
      <c r="A378" s="4">
        <v>41596</v>
      </c>
      <c r="B378">
        <v>1.3879999999999999</v>
      </c>
      <c r="C378" s="5">
        <v>1.6137000000000001</v>
      </c>
      <c r="D378">
        <v>2.0884999999999998</v>
      </c>
      <c r="E378">
        <v>2.4925000000000002</v>
      </c>
      <c r="F378">
        <v>2.9660000000000002</v>
      </c>
      <c r="G378">
        <v>3.5354999999999999</v>
      </c>
    </row>
    <row r="379" spans="1:7" x14ac:dyDescent="0.25">
      <c r="A379" s="4">
        <v>41593</v>
      </c>
      <c r="B379">
        <v>1.4060000000000001</v>
      </c>
      <c r="C379" s="5">
        <v>1.5865</v>
      </c>
      <c r="D379">
        <v>2.056</v>
      </c>
      <c r="E379">
        <v>2.4595000000000002</v>
      </c>
      <c r="F379">
        <v>2.93</v>
      </c>
      <c r="G379">
        <v>3.5045000000000002</v>
      </c>
    </row>
    <row r="380" spans="1:7" x14ac:dyDescent="0.25">
      <c r="A380" s="4">
        <v>41592</v>
      </c>
      <c r="B380">
        <v>1.4</v>
      </c>
      <c r="C380" s="5">
        <v>1.6200999999999999</v>
      </c>
      <c r="D380">
        <v>2.1080000000000001</v>
      </c>
      <c r="E380">
        <v>2.5068000000000001</v>
      </c>
      <c r="F380">
        <v>2.98</v>
      </c>
      <c r="G380">
        <v>3.5508999999999999</v>
      </c>
    </row>
    <row r="381" spans="1:7" x14ac:dyDescent="0.25">
      <c r="A381" s="4">
        <v>41591</v>
      </c>
      <c r="B381">
        <v>1.4055</v>
      </c>
      <c r="C381" s="5">
        <v>1.6219999999999999</v>
      </c>
      <c r="D381">
        <v>2.1154999999999999</v>
      </c>
      <c r="E381">
        <v>2.5175000000000001</v>
      </c>
      <c r="F381">
        <v>2.9870000000000001</v>
      </c>
      <c r="G381">
        <v>3.5566</v>
      </c>
    </row>
    <row r="382" spans="1:7" x14ac:dyDescent="0.25">
      <c r="A382" s="4">
        <v>41590</v>
      </c>
      <c r="B382">
        <v>1.4355</v>
      </c>
      <c r="C382" s="5">
        <v>1.645</v>
      </c>
      <c r="D382">
        <v>2.1644999999999999</v>
      </c>
      <c r="E382">
        <v>2.5775000000000001</v>
      </c>
      <c r="F382">
        <v>3.0425</v>
      </c>
      <c r="G382">
        <v>3.6175000000000002</v>
      </c>
    </row>
    <row r="383" spans="1:7" x14ac:dyDescent="0.25">
      <c r="A383" s="4">
        <v>41589</v>
      </c>
      <c r="B383">
        <v>1.4119999999999999</v>
      </c>
      <c r="C383" s="5">
        <v>1.6859999999999999</v>
      </c>
      <c r="D383">
        <v>2.2170000000000001</v>
      </c>
      <c r="E383">
        <v>2.6320000000000001</v>
      </c>
      <c r="F383">
        <v>3.101</v>
      </c>
      <c r="G383">
        <v>3.6524999999999999</v>
      </c>
    </row>
    <row r="384" spans="1:7" x14ac:dyDescent="0.25">
      <c r="A384" s="4">
        <v>41586</v>
      </c>
      <c r="B384">
        <v>1.4239999999999999</v>
      </c>
      <c r="C384" s="5">
        <v>1.6644999999999999</v>
      </c>
      <c r="D384">
        <v>2.1880000000000002</v>
      </c>
      <c r="E384">
        <v>2.5990000000000002</v>
      </c>
      <c r="F384">
        <v>3.0710000000000002</v>
      </c>
      <c r="G384">
        <v>3.6135000000000002</v>
      </c>
    </row>
    <row r="385" spans="1:7" x14ac:dyDescent="0.25">
      <c r="A385" s="4">
        <v>41585</v>
      </c>
      <c r="B385">
        <v>1.3940000000000001</v>
      </c>
      <c r="C385" s="5">
        <v>1.6680000000000001</v>
      </c>
      <c r="D385">
        <v>2.1924999999999999</v>
      </c>
      <c r="E385">
        <v>2.5985</v>
      </c>
      <c r="F385">
        <v>3.0685000000000002</v>
      </c>
      <c r="G385">
        <v>3.6109999999999998</v>
      </c>
    </row>
    <row r="386" spans="1:7" x14ac:dyDescent="0.25">
      <c r="A386" s="4">
        <v>41584</v>
      </c>
      <c r="B386">
        <v>1.409</v>
      </c>
      <c r="C386" s="5">
        <v>1.6186</v>
      </c>
      <c r="D386">
        <v>2.1124999999999998</v>
      </c>
      <c r="E386">
        <v>2.516</v>
      </c>
      <c r="F386">
        <v>2.9794999999999998</v>
      </c>
      <c r="G386">
        <v>3.5329999999999999</v>
      </c>
    </row>
    <row r="387" spans="1:7" x14ac:dyDescent="0.25">
      <c r="A387" s="4">
        <v>41583</v>
      </c>
      <c r="B387">
        <v>1.423</v>
      </c>
      <c r="C387" s="5">
        <v>1.6495</v>
      </c>
      <c r="D387">
        <v>2.1455000000000002</v>
      </c>
      <c r="E387">
        <v>2.5474999999999999</v>
      </c>
      <c r="F387">
        <v>3.0070000000000001</v>
      </c>
      <c r="G387">
        <v>3.5620000000000003</v>
      </c>
    </row>
    <row r="388" spans="1:7" x14ac:dyDescent="0.25">
      <c r="A388" s="4">
        <v>41582</v>
      </c>
      <c r="B388">
        <v>1.415</v>
      </c>
      <c r="C388" s="5">
        <v>1.6644999999999999</v>
      </c>
      <c r="D388">
        <v>2.1734999999999998</v>
      </c>
      <c r="E388">
        <v>2.5665</v>
      </c>
      <c r="F388">
        <v>3.0129999999999999</v>
      </c>
      <c r="G388">
        <v>3.5548000000000002</v>
      </c>
    </row>
    <row r="389" spans="1:7" x14ac:dyDescent="0.25">
      <c r="A389" s="4">
        <v>41579</v>
      </c>
      <c r="B389">
        <v>1.4178999999999999</v>
      </c>
      <c r="C389" s="5">
        <v>1.655</v>
      </c>
      <c r="D389">
        <v>2.1459999999999999</v>
      </c>
      <c r="E389">
        <v>2.5350000000000001</v>
      </c>
      <c r="F389">
        <v>2.976</v>
      </c>
      <c r="G389">
        <v>3.5310999999999999</v>
      </c>
    </row>
    <row r="390" spans="1:7" x14ac:dyDescent="0.25">
      <c r="A390" s="4">
        <v>41578</v>
      </c>
      <c r="B390">
        <v>1.393</v>
      </c>
      <c r="C390" s="5">
        <v>1.6577</v>
      </c>
      <c r="D390">
        <v>2.1459999999999999</v>
      </c>
      <c r="E390">
        <v>2.5441000000000003</v>
      </c>
      <c r="F390">
        <v>2.984</v>
      </c>
      <c r="G390">
        <v>3.5232000000000001</v>
      </c>
    </row>
    <row r="391" spans="1:7" x14ac:dyDescent="0.25">
      <c r="A391" s="4">
        <v>41577</v>
      </c>
      <c r="B391">
        <v>1.385</v>
      </c>
      <c r="C391" s="5">
        <v>1.6179999999999999</v>
      </c>
      <c r="D391">
        <v>2.0905</v>
      </c>
      <c r="E391">
        <v>2.472</v>
      </c>
      <c r="F391">
        <v>2.8980000000000001</v>
      </c>
      <c r="G391">
        <v>3.4466999999999999</v>
      </c>
    </row>
    <row r="392" spans="1:7" x14ac:dyDescent="0.25">
      <c r="A392" s="4">
        <v>41576</v>
      </c>
      <c r="B392">
        <v>1.377</v>
      </c>
      <c r="C392" s="5">
        <v>1.6114000000000002</v>
      </c>
      <c r="D392">
        <v>2.0825</v>
      </c>
      <c r="E392">
        <v>2.4634999999999998</v>
      </c>
      <c r="F392">
        <v>2.8940000000000001</v>
      </c>
      <c r="G392">
        <v>3.4615</v>
      </c>
    </row>
    <row r="393" spans="1:7" x14ac:dyDescent="0.25">
      <c r="A393" s="4">
        <v>41575</v>
      </c>
      <c r="B393">
        <v>1.3774999999999999</v>
      </c>
      <c r="C393" s="5">
        <v>1.5960000000000001</v>
      </c>
      <c r="D393">
        <v>2.0665</v>
      </c>
      <c r="E393">
        <v>2.4504999999999999</v>
      </c>
      <c r="F393">
        <v>2.8879999999999999</v>
      </c>
      <c r="G393">
        <v>3.4533</v>
      </c>
    </row>
    <row r="394" spans="1:7" x14ac:dyDescent="0.25">
      <c r="A394" s="4">
        <v>41572</v>
      </c>
      <c r="B394">
        <v>1.3694999999999999</v>
      </c>
      <c r="C394" s="5">
        <v>1.5981999999999998</v>
      </c>
      <c r="D394">
        <v>2.08</v>
      </c>
      <c r="E394">
        <v>2.4668999999999999</v>
      </c>
      <c r="F394">
        <v>2.9039999999999999</v>
      </c>
      <c r="G394">
        <v>3.4723999999999999</v>
      </c>
    </row>
    <row r="395" spans="1:7" x14ac:dyDescent="0.25">
      <c r="A395" s="4">
        <v>41571</v>
      </c>
      <c r="B395">
        <v>1.3780000000000001</v>
      </c>
      <c r="C395" s="5">
        <v>1.5876999999999999</v>
      </c>
      <c r="D395">
        <v>2.0674999999999999</v>
      </c>
      <c r="E395">
        <v>2.4544999999999999</v>
      </c>
      <c r="F395">
        <v>2.8919999999999999</v>
      </c>
      <c r="G395">
        <v>3.4664999999999999</v>
      </c>
    </row>
    <row r="396" spans="1:7" x14ac:dyDescent="0.25">
      <c r="A396" s="4">
        <v>41570</v>
      </c>
      <c r="B396">
        <v>1.3839999999999999</v>
      </c>
      <c r="C396" s="5">
        <v>1.5965</v>
      </c>
      <c r="D396">
        <v>2.0785</v>
      </c>
      <c r="E396">
        <v>2.4624999999999999</v>
      </c>
      <c r="F396">
        <v>2.8970000000000002</v>
      </c>
      <c r="G396">
        <v>3.4683000000000002</v>
      </c>
    </row>
    <row r="397" spans="1:7" x14ac:dyDescent="0.25">
      <c r="A397" s="4">
        <v>41569</v>
      </c>
      <c r="B397">
        <v>1.4339999999999999</v>
      </c>
      <c r="C397" s="5">
        <v>1.6095999999999999</v>
      </c>
      <c r="D397">
        <v>2.09</v>
      </c>
      <c r="E397">
        <v>2.4687999999999999</v>
      </c>
      <c r="F397">
        <v>2.9039999999999999</v>
      </c>
      <c r="G397">
        <v>3.4697</v>
      </c>
    </row>
    <row r="398" spans="1:7" x14ac:dyDescent="0.25">
      <c r="A398" s="4">
        <v>41568</v>
      </c>
      <c r="B398">
        <v>1.4670000000000001</v>
      </c>
      <c r="C398" s="5">
        <v>1.673</v>
      </c>
      <c r="D398">
        <v>2.1555</v>
      </c>
      <c r="E398">
        <v>2.5289999999999999</v>
      </c>
      <c r="F398">
        <v>2.9529999999999998</v>
      </c>
      <c r="G398">
        <v>3.5125000000000002</v>
      </c>
    </row>
    <row r="399" spans="1:7" x14ac:dyDescent="0.25">
      <c r="A399" s="4">
        <v>41565</v>
      </c>
      <c r="B399">
        <v>1.4510000000000001</v>
      </c>
      <c r="C399" s="5">
        <v>1.7164999999999999</v>
      </c>
      <c r="D399">
        <v>2.2080000000000002</v>
      </c>
      <c r="E399">
        <v>2.5874999999999999</v>
      </c>
      <c r="F399">
        <v>3.02</v>
      </c>
      <c r="G399">
        <v>3.5615000000000001</v>
      </c>
    </row>
    <row r="400" spans="1:7" x14ac:dyDescent="0.25">
      <c r="A400" s="4">
        <v>41564</v>
      </c>
      <c r="B400">
        <v>1.446</v>
      </c>
      <c r="C400" s="5">
        <v>1.7029999999999998</v>
      </c>
      <c r="D400">
        <v>2.198</v>
      </c>
      <c r="E400">
        <v>2.5834999999999999</v>
      </c>
      <c r="F400">
        <v>3.0059999999999998</v>
      </c>
      <c r="G400">
        <v>3.5465</v>
      </c>
    </row>
    <row r="401" spans="1:7" x14ac:dyDescent="0.25">
      <c r="A401" s="4">
        <v>41563</v>
      </c>
      <c r="B401">
        <v>1.478</v>
      </c>
      <c r="C401" s="5">
        <v>1.7025000000000001</v>
      </c>
      <c r="D401">
        <v>2.2120000000000002</v>
      </c>
      <c r="E401">
        <v>2.601</v>
      </c>
      <c r="F401">
        <v>3.0314999999999999</v>
      </c>
      <c r="G401">
        <v>3.5590000000000002</v>
      </c>
    </row>
    <row r="402" spans="1:7" x14ac:dyDescent="0.25">
      <c r="A402" s="4">
        <v>41562</v>
      </c>
      <c r="B402">
        <v>1.5</v>
      </c>
      <c r="C402" s="5">
        <v>1.752</v>
      </c>
      <c r="D402">
        <v>2.2690000000000001</v>
      </c>
      <c r="E402">
        <v>2.6564999999999999</v>
      </c>
      <c r="F402">
        <v>3.0794999999999999</v>
      </c>
      <c r="G402">
        <v>3.589</v>
      </c>
    </row>
    <row r="403" spans="1:7" x14ac:dyDescent="0.25">
      <c r="A403" s="4">
        <v>41561</v>
      </c>
      <c r="B403">
        <v>1.472</v>
      </c>
      <c r="C403" s="5">
        <v>1.78</v>
      </c>
      <c r="D403">
        <v>2.3045</v>
      </c>
      <c r="E403">
        <v>2.694</v>
      </c>
      <c r="F403">
        <v>3.1175000000000002</v>
      </c>
      <c r="G403">
        <v>3.6160000000000001</v>
      </c>
    </row>
    <row r="404" spans="1:7" x14ac:dyDescent="0.25">
      <c r="A404" s="4">
        <v>41558</v>
      </c>
      <c r="B404">
        <v>1.4790000000000001</v>
      </c>
      <c r="C404" s="5">
        <v>1.752</v>
      </c>
      <c r="D404">
        <v>2.27</v>
      </c>
      <c r="E404">
        <v>2.6520000000000001</v>
      </c>
      <c r="F404">
        <v>3.0720000000000001</v>
      </c>
      <c r="G404">
        <v>3.593</v>
      </c>
    </row>
    <row r="405" spans="1:7" x14ac:dyDescent="0.25">
      <c r="A405" s="4">
        <v>41557</v>
      </c>
      <c r="B405">
        <v>1.4849999999999999</v>
      </c>
      <c r="C405" s="5">
        <v>1.75</v>
      </c>
      <c r="D405">
        <v>2.2679999999999998</v>
      </c>
      <c r="E405">
        <v>2.6539999999999999</v>
      </c>
      <c r="F405">
        <v>3.0764999999999998</v>
      </c>
      <c r="G405">
        <v>3.5874999999999999</v>
      </c>
    </row>
    <row r="406" spans="1:7" x14ac:dyDescent="0.25">
      <c r="A406" s="4">
        <v>41556</v>
      </c>
      <c r="B406">
        <v>1.4689999999999999</v>
      </c>
      <c r="C406" s="5">
        <v>1.7582</v>
      </c>
      <c r="D406">
        <v>2.2835000000000001</v>
      </c>
      <c r="E406">
        <v>2.6659999999999999</v>
      </c>
      <c r="F406">
        <v>3.0779999999999998</v>
      </c>
      <c r="G406">
        <v>3.6015000000000001</v>
      </c>
    </row>
    <row r="407" spans="1:7" x14ac:dyDescent="0.25">
      <c r="A407" s="4">
        <v>41555</v>
      </c>
      <c r="B407">
        <v>1.4610000000000001</v>
      </c>
      <c r="C407" s="5">
        <v>1.742</v>
      </c>
      <c r="D407">
        <v>2.2614999999999998</v>
      </c>
      <c r="E407">
        <v>2.6425000000000001</v>
      </c>
      <c r="F407">
        <v>3.0579999999999998</v>
      </c>
      <c r="G407">
        <v>3.5655000000000001</v>
      </c>
    </row>
    <row r="408" spans="1:7" x14ac:dyDescent="0.25">
      <c r="A408" s="4">
        <v>41554</v>
      </c>
      <c r="B408">
        <v>1.458</v>
      </c>
      <c r="C408" s="5">
        <v>1.7347000000000001</v>
      </c>
      <c r="D408">
        <v>2.2595000000000001</v>
      </c>
      <c r="E408">
        <v>2.6390000000000002</v>
      </c>
      <c r="F408">
        <v>3.0510000000000002</v>
      </c>
      <c r="G408">
        <v>3.5585</v>
      </c>
    </row>
    <row r="409" spans="1:7" x14ac:dyDescent="0.25">
      <c r="A409" s="4">
        <v>41551</v>
      </c>
      <c r="B409">
        <v>1.4570000000000001</v>
      </c>
      <c r="C409" s="5">
        <v>1.7284999999999999</v>
      </c>
      <c r="D409">
        <v>2.2509999999999999</v>
      </c>
      <c r="E409">
        <v>2.6280000000000001</v>
      </c>
      <c r="F409">
        <v>3.0485000000000002</v>
      </c>
      <c r="G409">
        <v>3.5585</v>
      </c>
    </row>
    <row r="410" spans="1:7" x14ac:dyDescent="0.25">
      <c r="A410" s="4">
        <v>41550</v>
      </c>
      <c r="B410">
        <v>1.448</v>
      </c>
      <c r="C410" s="5">
        <v>1.7298</v>
      </c>
      <c r="D410">
        <v>2.2599999999999998</v>
      </c>
      <c r="E410">
        <v>2.6371000000000002</v>
      </c>
      <c r="F410">
        <v>3.0605000000000002</v>
      </c>
      <c r="G410">
        <v>3.5720000000000001</v>
      </c>
    </row>
    <row r="411" spans="1:7" x14ac:dyDescent="0.25">
      <c r="A411" s="4">
        <v>41549</v>
      </c>
      <c r="B411">
        <v>1.4595</v>
      </c>
      <c r="C411" s="5">
        <v>1.718</v>
      </c>
      <c r="D411">
        <v>2.2280000000000002</v>
      </c>
      <c r="E411">
        <v>2.6112000000000002</v>
      </c>
      <c r="F411">
        <v>3.03</v>
      </c>
      <c r="G411">
        <v>3.5550000000000002</v>
      </c>
    </row>
    <row r="412" spans="1:7" x14ac:dyDescent="0.25">
      <c r="A412" s="4">
        <v>41548</v>
      </c>
      <c r="B412">
        <v>1.4729000000000001</v>
      </c>
      <c r="C412" s="5">
        <v>1.7321</v>
      </c>
      <c r="D412">
        <v>2.2505000000000002</v>
      </c>
      <c r="E412">
        <v>2.6257000000000001</v>
      </c>
      <c r="F412">
        <v>3.0430000000000001</v>
      </c>
      <c r="G412">
        <v>3.5667</v>
      </c>
    </row>
    <row r="413" spans="1:7" x14ac:dyDescent="0.25">
      <c r="A413" s="4">
        <v>41547</v>
      </c>
      <c r="B413">
        <v>1.4238</v>
      </c>
      <c r="C413" s="5">
        <v>1.754</v>
      </c>
      <c r="D413">
        <v>2.2725</v>
      </c>
      <c r="E413">
        <v>2.6452999999999998</v>
      </c>
      <c r="F413">
        <v>3.06</v>
      </c>
      <c r="G413">
        <v>3.5716999999999999</v>
      </c>
    </row>
    <row r="414" spans="1:7" x14ac:dyDescent="0.25">
      <c r="A414" s="4">
        <v>41544</v>
      </c>
      <c r="B414">
        <v>1.472</v>
      </c>
      <c r="C414" s="5">
        <v>1.7374000000000001</v>
      </c>
      <c r="D414">
        <v>2.246</v>
      </c>
      <c r="E414">
        <v>2.5709</v>
      </c>
      <c r="F414">
        <v>3.0335000000000001</v>
      </c>
      <c r="G414">
        <v>3.5422000000000002</v>
      </c>
    </row>
    <row r="415" spans="1:7" x14ac:dyDescent="0.25">
      <c r="A415" s="4">
        <v>41543</v>
      </c>
      <c r="B415">
        <v>1.4950000000000001</v>
      </c>
      <c r="C415" s="5">
        <v>1.7484999999999999</v>
      </c>
      <c r="D415">
        <v>2.2549999999999999</v>
      </c>
      <c r="E415">
        <v>2.6328</v>
      </c>
      <c r="F415">
        <v>3.0455000000000001</v>
      </c>
      <c r="G415">
        <v>3.5550000000000002</v>
      </c>
    </row>
    <row r="416" spans="1:7" x14ac:dyDescent="0.25">
      <c r="A416" s="4">
        <v>41542</v>
      </c>
      <c r="B416">
        <v>1.4895</v>
      </c>
      <c r="C416" s="5">
        <v>1.778</v>
      </c>
      <c r="D416">
        <v>2.2965</v>
      </c>
      <c r="E416">
        <v>2.6724999999999999</v>
      </c>
      <c r="F416">
        <v>3.0825</v>
      </c>
      <c r="G416">
        <v>3.5867</v>
      </c>
    </row>
    <row r="417" spans="1:7" x14ac:dyDescent="0.25">
      <c r="A417" s="4">
        <v>41541</v>
      </c>
      <c r="B417">
        <v>1.4889999999999999</v>
      </c>
      <c r="C417" s="5">
        <v>1.7692000000000001</v>
      </c>
      <c r="D417">
        <v>2.2720000000000002</v>
      </c>
      <c r="E417">
        <v>2.6478000000000002</v>
      </c>
      <c r="F417">
        <v>3.0590000000000002</v>
      </c>
      <c r="G417">
        <v>3.5714999999999999</v>
      </c>
    </row>
    <row r="418" spans="1:7" x14ac:dyDescent="0.25">
      <c r="A418" s="4">
        <v>41540</v>
      </c>
      <c r="B418">
        <v>1.4915</v>
      </c>
      <c r="C418" s="5">
        <v>1.7755000000000001</v>
      </c>
      <c r="D418">
        <v>2.2965</v>
      </c>
      <c r="E418">
        <v>2.6675</v>
      </c>
      <c r="F418">
        <v>3.0649999999999999</v>
      </c>
      <c r="G418">
        <v>3.5737000000000001</v>
      </c>
    </row>
    <row r="419" spans="1:7" x14ac:dyDescent="0.25">
      <c r="A419" s="4">
        <v>41537</v>
      </c>
      <c r="B419">
        <v>1.5082</v>
      </c>
      <c r="C419" s="5">
        <v>1.7846</v>
      </c>
      <c r="D419">
        <v>2.3275000000000001</v>
      </c>
      <c r="E419">
        <v>2.7044999999999999</v>
      </c>
      <c r="F419">
        <v>3.1030000000000002</v>
      </c>
      <c r="G419">
        <v>3.5994999999999999</v>
      </c>
    </row>
    <row r="420" spans="1:7" x14ac:dyDescent="0.25">
      <c r="A420" s="4">
        <v>41536</v>
      </c>
      <c r="B420">
        <v>1.53</v>
      </c>
      <c r="C420" s="5">
        <v>1.8106</v>
      </c>
      <c r="D420">
        <v>2.3595000000000002</v>
      </c>
      <c r="E420">
        <v>2.7404999999999999</v>
      </c>
      <c r="F420">
        <v>3.1419999999999999</v>
      </c>
      <c r="G420">
        <v>3.6349999999999998</v>
      </c>
    </row>
    <row r="421" spans="1:7" x14ac:dyDescent="0.25">
      <c r="A421" s="4">
        <v>41535</v>
      </c>
      <c r="B421">
        <v>1.5505</v>
      </c>
      <c r="C421" s="5">
        <v>1.8388</v>
      </c>
      <c r="D421">
        <v>2.3864999999999998</v>
      </c>
      <c r="E421">
        <v>2.7652000000000001</v>
      </c>
      <c r="F421">
        <v>3.1680000000000001</v>
      </c>
      <c r="G421">
        <v>3.661</v>
      </c>
    </row>
    <row r="422" spans="1:7" x14ac:dyDescent="0.25">
      <c r="A422" s="4">
        <v>41534</v>
      </c>
      <c r="B422">
        <v>1.5865</v>
      </c>
      <c r="C422" s="5">
        <v>1.8458000000000001</v>
      </c>
      <c r="D422">
        <v>2.3780000000000001</v>
      </c>
      <c r="E422">
        <v>2.7488999999999999</v>
      </c>
      <c r="F422">
        <v>3.1509999999999998</v>
      </c>
      <c r="G422">
        <v>3.64</v>
      </c>
    </row>
    <row r="423" spans="1:7" x14ac:dyDescent="0.25">
      <c r="A423" s="4">
        <v>41533</v>
      </c>
      <c r="B423">
        <v>1.595</v>
      </c>
      <c r="C423" s="5">
        <v>1.897</v>
      </c>
      <c r="D423">
        <v>2.4595000000000002</v>
      </c>
      <c r="E423">
        <v>2.8334999999999999</v>
      </c>
      <c r="F423">
        <v>3.234</v>
      </c>
      <c r="G423">
        <v>3.7010000000000001</v>
      </c>
    </row>
    <row r="424" spans="1:7" x14ac:dyDescent="0.25">
      <c r="A424" s="4">
        <v>41530</v>
      </c>
      <c r="B424">
        <v>1.6114999999999999</v>
      </c>
      <c r="C424" s="5">
        <v>1.909</v>
      </c>
      <c r="D424">
        <v>2.4655</v>
      </c>
      <c r="E424">
        <v>2.8500999999999999</v>
      </c>
      <c r="F424">
        <v>3.2614999999999998</v>
      </c>
      <c r="G424">
        <v>3.7393000000000001</v>
      </c>
    </row>
    <row r="425" spans="1:7" x14ac:dyDescent="0.25">
      <c r="A425" s="4">
        <v>41529</v>
      </c>
      <c r="B425">
        <v>1.6137000000000001</v>
      </c>
      <c r="C425" s="5">
        <v>1.9228000000000001</v>
      </c>
      <c r="D425">
        <v>2.4624999999999999</v>
      </c>
      <c r="E425">
        <v>2.8300999999999998</v>
      </c>
      <c r="F425">
        <v>3.2160000000000002</v>
      </c>
      <c r="G425">
        <v>3.6616</v>
      </c>
    </row>
    <row r="426" spans="1:7" x14ac:dyDescent="0.25">
      <c r="A426" s="4">
        <v>41528</v>
      </c>
      <c r="B426">
        <v>1.6229</v>
      </c>
      <c r="C426" s="5">
        <v>1.9312</v>
      </c>
      <c r="D426">
        <v>2.4710000000000001</v>
      </c>
      <c r="E426">
        <v>2.8487999999999998</v>
      </c>
      <c r="F426">
        <v>3.2425000000000002</v>
      </c>
      <c r="G426">
        <v>3.6823999999999999</v>
      </c>
    </row>
    <row r="427" spans="1:7" x14ac:dyDescent="0.25">
      <c r="A427" s="4">
        <v>41527</v>
      </c>
      <c r="B427">
        <v>1.6465000000000001</v>
      </c>
      <c r="C427" s="5">
        <v>1.9378</v>
      </c>
      <c r="D427">
        <v>2.4874999999999998</v>
      </c>
      <c r="E427">
        <v>2.8595000000000002</v>
      </c>
      <c r="F427">
        <v>3.254</v>
      </c>
      <c r="G427">
        <v>3.6926999999999999</v>
      </c>
    </row>
    <row r="428" spans="1:7" x14ac:dyDescent="0.25">
      <c r="A428" s="4">
        <v>41526</v>
      </c>
      <c r="B428">
        <v>1.6234999999999999</v>
      </c>
      <c r="C428" s="5">
        <v>1.9621</v>
      </c>
      <c r="D428">
        <v>2.5255000000000001</v>
      </c>
      <c r="E428">
        <v>2.8994999999999997</v>
      </c>
      <c r="F428">
        <v>3.298</v>
      </c>
      <c r="G428">
        <v>3.7320000000000002</v>
      </c>
    </row>
    <row r="429" spans="1:7" x14ac:dyDescent="0.25">
      <c r="A429" s="4">
        <v>41523</v>
      </c>
      <c r="B429">
        <v>1.619</v>
      </c>
      <c r="C429" s="5">
        <v>1.9316</v>
      </c>
      <c r="D429">
        <v>2.4725000000000001</v>
      </c>
      <c r="E429">
        <v>2.8365</v>
      </c>
      <c r="F429">
        <v>3.2290000000000001</v>
      </c>
      <c r="G429">
        <v>3.6680000000000001</v>
      </c>
    </row>
    <row r="430" spans="1:7" x14ac:dyDescent="0.25">
      <c r="A430" s="4">
        <v>41522</v>
      </c>
      <c r="B430">
        <v>1.6404000000000001</v>
      </c>
      <c r="C430" s="5">
        <v>1.9401999999999999</v>
      </c>
      <c r="D430">
        <v>2.5070000000000001</v>
      </c>
      <c r="E430">
        <v>2.8649</v>
      </c>
      <c r="F430">
        <v>3.2509999999999999</v>
      </c>
      <c r="G430">
        <v>3.6863999999999999</v>
      </c>
    </row>
    <row r="431" spans="1:7" x14ac:dyDescent="0.25">
      <c r="A431" s="4">
        <v>41521</v>
      </c>
      <c r="B431">
        <v>1.5805</v>
      </c>
      <c r="C431" s="5">
        <v>1.9628999999999999</v>
      </c>
      <c r="D431">
        <v>2.5394999999999999</v>
      </c>
      <c r="E431">
        <v>2.9016000000000002</v>
      </c>
      <c r="F431">
        <v>3.286</v>
      </c>
      <c r="G431">
        <v>3.7054999999999998</v>
      </c>
    </row>
    <row r="432" spans="1:7" x14ac:dyDescent="0.25">
      <c r="A432" s="4">
        <v>41520</v>
      </c>
      <c r="B432">
        <v>1.5594000000000001</v>
      </c>
      <c r="C432" s="5">
        <v>1.8837999999999999</v>
      </c>
      <c r="D432">
        <v>2.4380000000000002</v>
      </c>
      <c r="E432">
        <v>2.8025000000000002</v>
      </c>
      <c r="F432">
        <v>3.1970000000000001</v>
      </c>
      <c r="G432">
        <v>3.6366000000000001</v>
      </c>
    </row>
    <row r="433" spans="1:7" x14ac:dyDescent="0.25">
      <c r="A433" s="4">
        <v>41519</v>
      </c>
      <c r="B433">
        <v>1.5270000000000001</v>
      </c>
      <c r="C433" s="5">
        <v>1.8517000000000001</v>
      </c>
      <c r="D433">
        <v>2.3845000000000001</v>
      </c>
      <c r="E433">
        <v>2.7465000000000002</v>
      </c>
      <c r="F433">
        <v>3.14</v>
      </c>
      <c r="G433">
        <v>3.5947</v>
      </c>
    </row>
    <row r="434" spans="1:7" x14ac:dyDescent="0.25">
      <c r="A434" s="4">
        <v>41516</v>
      </c>
      <c r="B434">
        <v>1.5209999999999999</v>
      </c>
      <c r="C434" s="5">
        <v>1.8044</v>
      </c>
      <c r="D434">
        <v>2.3149999999999999</v>
      </c>
      <c r="E434">
        <v>2.6757</v>
      </c>
      <c r="F434">
        <v>3.0705</v>
      </c>
      <c r="G434">
        <v>3.5169999999999999</v>
      </c>
    </row>
    <row r="435" spans="1:7" x14ac:dyDescent="0.25">
      <c r="A435" s="4">
        <v>41515</v>
      </c>
      <c r="B435">
        <v>1.5329999999999999</v>
      </c>
      <c r="C435" s="5">
        <v>1.8047</v>
      </c>
      <c r="D435">
        <v>2.3205</v>
      </c>
      <c r="E435">
        <v>2.6757</v>
      </c>
      <c r="F435">
        <v>3.0579999999999998</v>
      </c>
      <c r="G435">
        <v>3.5140000000000002</v>
      </c>
    </row>
    <row r="436" spans="1:7" x14ac:dyDescent="0.25">
      <c r="A436" s="4">
        <v>41514</v>
      </c>
      <c r="B436">
        <v>1.54</v>
      </c>
      <c r="C436" s="5">
        <v>1.8157999999999999</v>
      </c>
      <c r="D436">
        <v>2.3380000000000001</v>
      </c>
      <c r="E436">
        <v>2.6745000000000001</v>
      </c>
      <c r="F436">
        <v>3.0714999999999999</v>
      </c>
      <c r="G436">
        <v>3.5055000000000001</v>
      </c>
    </row>
    <row r="437" spans="1:7" x14ac:dyDescent="0.25">
      <c r="A437" s="4">
        <v>41513</v>
      </c>
      <c r="B437">
        <v>1.506</v>
      </c>
      <c r="C437" s="5">
        <v>1.8235000000000001</v>
      </c>
      <c r="D437">
        <v>2.2725</v>
      </c>
      <c r="E437">
        <v>2.6894999999999998</v>
      </c>
      <c r="F437">
        <v>3.004</v>
      </c>
      <c r="G437">
        <v>3.5164999999999997</v>
      </c>
    </row>
    <row r="438" spans="1:7" x14ac:dyDescent="0.25">
      <c r="A438" s="4">
        <v>41512</v>
      </c>
      <c r="B438">
        <v>1.53</v>
      </c>
      <c r="C438" s="5">
        <v>1.7768999999999999</v>
      </c>
      <c r="D438">
        <v>2.3445</v>
      </c>
      <c r="E438">
        <v>2.6245000000000003</v>
      </c>
      <c r="F438">
        <v>3.0920000000000001</v>
      </c>
      <c r="G438">
        <v>3.4575</v>
      </c>
    </row>
    <row r="439" spans="1:7" x14ac:dyDescent="0.25">
      <c r="A439" s="4">
        <v>41509</v>
      </c>
      <c r="B439">
        <v>1.5335000000000001</v>
      </c>
      <c r="C439" s="5">
        <v>1.8218999999999999</v>
      </c>
      <c r="D439">
        <v>2.3885000000000001</v>
      </c>
      <c r="E439">
        <v>2.7121</v>
      </c>
      <c r="F439">
        <v>3.1535000000000002</v>
      </c>
      <c r="G439">
        <v>3.5329999999999999</v>
      </c>
    </row>
    <row r="440" spans="1:7" x14ac:dyDescent="0.25">
      <c r="A440" s="4">
        <v>41508</v>
      </c>
      <c r="B440">
        <v>1.5430000000000001</v>
      </c>
      <c r="C440" s="5">
        <v>1.8359000000000001</v>
      </c>
      <c r="D440">
        <v>2.423</v>
      </c>
      <c r="E440">
        <v>2.7595000000000001</v>
      </c>
      <c r="F440">
        <v>3.1960000000000002</v>
      </c>
      <c r="G440">
        <v>3.5874999999999999</v>
      </c>
    </row>
    <row r="441" spans="1:7" x14ac:dyDescent="0.25">
      <c r="A441" s="4">
        <v>41507</v>
      </c>
      <c r="B441">
        <v>1.5535000000000001</v>
      </c>
      <c r="C441" s="5">
        <v>1.8529</v>
      </c>
      <c r="D441">
        <v>2.4344999999999999</v>
      </c>
      <c r="E441">
        <v>2.7965</v>
      </c>
      <c r="F441">
        <v>3.2069999999999999</v>
      </c>
      <c r="G441">
        <v>3.6395</v>
      </c>
    </row>
    <row r="442" spans="1:7" x14ac:dyDescent="0.25">
      <c r="A442" s="4">
        <v>41506</v>
      </c>
      <c r="B442">
        <v>1.5215000000000001</v>
      </c>
      <c r="C442" s="5">
        <v>1.8639999999999999</v>
      </c>
      <c r="D442">
        <v>2.3565</v>
      </c>
      <c r="E442">
        <v>2.8075000000000001</v>
      </c>
      <c r="F442">
        <v>3.1265000000000001</v>
      </c>
      <c r="G442">
        <v>3.6345000000000001</v>
      </c>
    </row>
    <row r="443" spans="1:7" x14ac:dyDescent="0.25">
      <c r="A443" s="4">
        <v>41505</v>
      </c>
      <c r="B443">
        <v>1.556</v>
      </c>
      <c r="C443" s="5">
        <v>1.8149999999999999</v>
      </c>
      <c r="D443">
        <v>2.4249999999999998</v>
      </c>
      <c r="E443">
        <v>2.7271999999999998</v>
      </c>
      <c r="F443">
        <v>3.1960000000000002</v>
      </c>
      <c r="G443">
        <v>3.5682999999999998</v>
      </c>
    </row>
    <row r="444" spans="1:7" x14ac:dyDescent="0.25">
      <c r="A444" s="4">
        <v>41502</v>
      </c>
      <c r="B444">
        <v>1.5550000000000002</v>
      </c>
      <c r="C444" s="5">
        <v>1.8597000000000001</v>
      </c>
      <c r="D444">
        <v>2.3980000000000001</v>
      </c>
      <c r="E444">
        <v>2.7928999999999999</v>
      </c>
      <c r="F444">
        <v>3.1629999999999998</v>
      </c>
      <c r="G444">
        <v>3.6223999999999998</v>
      </c>
    </row>
    <row r="445" spans="1:7" x14ac:dyDescent="0.25">
      <c r="A445" s="4">
        <v>41501</v>
      </c>
      <c r="B445">
        <v>1.548</v>
      </c>
      <c r="C445" s="5">
        <v>1.847</v>
      </c>
      <c r="D445">
        <v>2.3689999999999998</v>
      </c>
      <c r="E445">
        <v>2.7629999999999999</v>
      </c>
      <c r="F445">
        <v>3.1223000000000001</v>
      </c>
      <c r="G445">
        <v>3.585</v>
      </c>
    </row>
    <row r="446" spans="1:7" x14ac:dyDescent="0.25">
      <c r="A446" s="4">
        <v>41500</v>
      </c>
      <c r="B446">
        <v>1.5338000000000001</v>
      </c>
      <c r="C446" s="5">
        <v>1.8188</v>
      </c>
      <c r="D446">
        <v>2.3220000000000001</v>
      </c>
      <c r="E446">
        <v>2.7273000000000001</v>
      </c>
      <c r="F446">
        <v>3.0779999999999998</v>
      </c>
      <c r="G446">
        <v>3.5449999999999999</v>
      </c>
    </row>
    <row r="447" spans="1:7" x14ac:dyDescent="0.25">
      <c r="A447" s="4">
        <v>41499</v>
      </c>
      <c r="B447">
        <v>1.544</v>
      </c>
      <c r="C447" s="5">
        <v>1.8002</v>
      </c>
      <c r="D447">
        <v>2.3079999999999998</v>
      </c>
      <c r="E447">
        <v>2.6802999999999999</v>
      </c>
      <c r="F447">
        <v>3.0659999999999998</v>
      </c>
      <c r="G447">
        <v>3.5024999999999999</v>
      </c>
    </row>
    <row r="448" spans="1:7" x14ac:dyDescent="0.25">
      <c r="A448" s="4">
        <v>41498</v>
      </c>
      <c r="B448">
        <v>1.4750000000000001</v>
      </c>
      <c r="C448" s="5">
        <v>1.7961</v>
      </c>
      <c r="D448">
        <v>2.2229999999999999</v>
      </c>
      <c r="E448">
        <v>2.6665000000000001</v>
      </c>
      <c r="F448">
        <v>2.9849999999999999</v>
      </c>
      <c r="G448">
        <v>3.4765000000000001</v>
      </c>
    </row>
    <row r="449" spans="1:7" x14ac:dyDescent="0.25">
      <c r="A449" s="4">
        <v>41495</v>
      </c>
      <c r="B449">
        <v>1.4830000000000001</v>
      </c>
      <c r="C449" s="5">
        <v>1.7343</v>
      </c>
      <c r="D449">
        <v>2.2015000000000002</v>
      </c>
      <c r="E449">
        <v>2.5789999999999997</v>
      </c>
      <c r="F449">
        <v>2.9420000000000002</v>
      </c>
      <c r="G449">
        <v>3.4213</v>
      </c>
    </row>
    <row r="450" spans="1:7" x14ac:dyDescent="0.25">
      <c r="A450" s="4">
        <v>41494</v>
      </c>
      <c r="B450">
        <v>1.4898</v>
      </c>
      <c r="C450" s="5">
        <v>1.7246999999999999</v>
      </c>
      <c r="D450">
        <v>2.2200000000000002</v>
      </c>
      <c r="E450">
        <v>2.5474999999999999</v>
      </c>
      <c r="F450">
        <v>2.9619999999999997</v>
      </c>
      <c r="G450">
        <v>3.3824999999999998</v>
      </c>
    </row>
    <row r="451" spans="1:7" x14ac:dyDescent="0.25">
      <c r="A451" s="4">
        <v>41493</v>
      </c>
      <c r="B451">
        <v>1.4990000000000001</v>
      </c>
      <c r="C451" s="5">
        <v>1.7387999999999999</v>
      </c>
      <c r="D451">
        <v>2.2124999999999999</v>
      </c>
      <c r="E451">
        <v>2.5674999999999999</v>
      </c>
      <c r="F451">
        <v>2.964</v>
      </c>
      <c r="G451">
        <v>3.4024999999999999</v>
      </c>
    </row>
    <row r="452" spans="1:7" x14ac:dyDescent="0.25">
      <c r="A452" s="4">
        <v>41492</v>
      </c>
      <c r="B452">
        <v>1.5110000000000001</v>
      </c>
      <c r="C452" s="5">
        <v>1.7391000000000001</v>
      </c>
      <c r="D452">
        <v>2.2235</v>
      </c>
      <c r="E452">
        <v>2.5634999999999999</v>
      </c>
      <c r="F452">
        <v>2.9889999999999999</v>
      </c>
      <c r="G452">
        <v>3.4135</v>
      </c>
    </row>
    <row r="453" spans="1:7" x14ac:dyDescent="0.25">
      <c r="A453" s="4">
        <v>41491</v>
      </c>
      <c r="B453">
        <v>1.518</v>
      </c>
      <c r="C453" s="5">
        <v>1.7511999999999999</v>
      </c>
      <c r="D453">
        <v>2.2090000000000001</v>
      </c>
      <c r="E453">
        <v>2.5779999999999998</v>
      </c>
      <c r="F453">
        <v>2.9699999999999998</v>
      </c>
      <c r="G453">
        <v>3.4352999999999998</v>
      </c>
    </row>
    <row r="454" spans="1:7" x14ac:dyDescent="0.25">
      <c r="A454" s="4">
        <v>41488</v>
      </c>
      <c r="B454">
        <v>1.5190000000000001</v>
      </c>
      <c r="C454" s="5">
        <v>1.7499</v>
      </c>
      <c r="D454">
        <v>2.2084999999999999</v>
      </c>
      <c r="E454">
        <v>2.5609999999999999</v>
      </c>
      <c r="F454">
        <v>2.9670000000000001</v>
      </c>
      <c r="G454">
        <v>3.4239999999999999</v>
      </c>
    </row>
    <row r="455" spans="1:7" x14ac:dyDescent="0.25">
      <c r="A455" s="4">
        <v>41487</v>
      </c>
      <c r="B455">
        <v>1.5508</v>
      </c>
      <c r="C455" s="5">
        <v>1.7513999999999998</v>
      </c>
      <c r="D455">
        <v>2.302</v>
      </c>
      <c r="E455">
        <v>2.5594999999999999</v>
      </c>
      <c r="F455">
        <v>3.052</v>
      </c>
      <c r="G455">
        <v>3.411</v>
      </c>
    </row>
    <row r="456" spans="1:7" x14ac:dyDescent="0.25">
      <c r="A456" s="4">
        <v>41486</v>
      </c>
      <c r="B456">
        <v>1.5106000000000002</v>
      </c>
      <c r="C456" s="5">
        <v>1.7932999999999999</v>
      </c>
      <c r="D456">
        <v>2.1974999999999998</v>
      </c>
      <c r="E456">
        <v>2.6265000000000001</v>
      </c>
      <c r="F456">
        <v>2.9319999999999999</v>
      </c>
      <c r="G456">
        <v>3.4579</v>
      </c>
    </row>
    <row r="457" spans="1:7" x14ac:dyDescent="0.25">
      <c r="A457" s="4">
        <v>41485</v>
      </c>
      <c r="B457">
        <v>1.5327999999999999</v>
      </c>
      <c r="C457" s="5">
        <v>1.7455000000000001</v>
      </c>
      <c r="D457">
        <v>2.2534999999999998</v>
      </c>
      <c r="E457">
        <v>2.5423999999999998</v>
      </c>
      <c r="F457">
        <v>2.9929999999999999</v>
      </c>
      <c r="G457">
        <v>3.3755000000000002</v>
      </c>
    </row>
    <row r="458" spans="1:7" x14ac:dyDescent="0.25">
      <c r="A458" s="4">
        <v>41484</v>
      </c>
      <c r="B458">
        <v>1.5194000000000001</v>
      </c>
      <c r="C458" s="5">
        <v>1.7728000000000002</v>
      </c>
      <c r="D458">
        <v>2.2275</v>
      </c>
      <c r="E458">
        <v>2.5975000000000001</v>
      </c>
      <c r="F458">
        <v>2.9710000000000001</v>
      </c>
      <c r="G458">
        <v>3.4325999999999999</v>
      </c>
    </row>
    <row r="459" spans="1:7" x14ac:dyDescent="0.25">
      <c r="A459" s="4">
        <v>41481</v>
      </c>
      <c r="B459">
        <v>1.5022</v>
      </c>
      <c r="C459" s="5">
        <v>1.7509999999999999</v>
      </c>
      <c r="D459">
        <v>2.1850000000000001</v>
      </c>
      <c r="E459">
        <v>2.5735000000000001</v>
      </c>
      <c r="F459">
        <v>2.9249999999999998</v>
      </c>
      <c r="G459">
        <v>3.4064999999999999</v>
      </c>
    </row>
    <row r="460" spans="1:7" x14ac:dyDescent="0.25">
      <c r="A460" s="4">
        <v>41480</v>
      </c>
      <c r="B460">
        <v>1.5077</v>
      </c>
      <c r="C460" s="5">
        <v>1.728</v>
      </c>
      <c r="D460">
        <v>2.1995</v>
      </c>
      <c r="E460">
        <v>2.5304000000000002</v>
      </c>
      <c r="F460">
        <v>2.9340000000000002</v>
      </c>
      <c r="G460">
        <v>3.3574999999999999</v>
      </c>
    </row>
    <row r="461" spans="1:7" x14ac:dyDescent="0.25">
      <c r="A461" s="4">
        <v>41479</v>
      </c>
      <c r="B461">
        <v>1.4973000000000001</v>
      </c>
      <c r="C461" s="5">
        <v>1.7376</v>
      </c>
      <c r="D461">
        <v>2.2105000000000001</v>
      </c>
      <c r="E461">
        <v>2.5427</v>
      </c>
      <c r="F461">
        <v>2.9470000000000001</v>
      </c>
      <c r="G461">
        <v>3.3647999999999998</v>
      </c>
    </row>
    <row r="462" spans="1:7" x14ac:dyDescent="0.25">
      <c r="A462" s="4">
        <v>41478</v>
      </c>
      <c r="B462">
        <v>1.4682999999999999</v>
      </c>
      <c r="C462" s="5">
        <v>1.7366000000000001</v>
      </c>
      <c r="D462">
        <v>2.1305000000000001</v>
      </c>
      <c r="E462">
        <v>2.5540000000000003</v>
      </c>
      <c r="F462">
        <v>2.8694999999999999</v>
      </c>
      <c r="G462">
        <v>3.3654000000000002</v>
      </c>
    </row>
    <row r="463" spans="1:7" x14ac:dyDescent="0.25">
      <c r="A463" s="4">
        <v>41477</v>
      </c>
      <c r="B463">
        <v>1.4360999999999999</v>
      </c>
      <c r="C463" s="5">
        <v>1.6870000000000001</v>
      </c>
      <c r="D463">
        <v>2.0968</v>
      </c>
      <c r="E463">
        <v>2.4754999999999998</v>
      </c>
      <c r="F463">
        <v>2.8247999999999998</v>
      </c>
      <c r="G463">
        <v>3.3140000000000001</v>
      </c>
    </row>
    <row r="464" spans="1:7" x14ac:dyDescent="0.25">
      <c r="A464" s="4">
        <v>41474</v>
      </c>
      <c r="B464">
        <v>1.4321999999999999</v>
      </c>
      <c r="C464" s="5">
        <v>1.661</v>
      </c>
      <c r="D464">
        <v>2.1145</v>
      </c>
      <c r="E464">
        <v>2.4373</v>
      </c>
      <c r="F464">
        <v>2.8369999999999997</v>
      </c>
      <c r="G464">
        <v>3.2665000000000002</v>
      </c>
    </row>
    <row r="465" spans="1:7" x14ac:dyDescent="0.25">
      <c r="A465" s="4">
        <v>41473</v>
      </c>
      <c r="B465">
        <v>1.4429000000000001</v>
      </c>
      <c r="C465" s="5">
        <v>1.6699000000000002</v>
      </c>
      <c r="D465">
        <v>2.1395</v>
      </c>
      <c r="E465">
        <v>2.4523999999999999</v>
      </c>
      <c r="F465">
        <v>2.8769999999999998</v>
      </c>
      <c r="G465">
        <v>3.2835000000000001</v>
      </c>
    </row>
    <row r="466" spans="1:7" x14ac:dyDescent="0.25">
      <c r="A466" s="4">
        <v>41472</v>
      </c>
      <c r="B466">
        <v>1.4360999999999999</v>
      </c>
      <c r="C466" s="5">
        <v>1.6842000000000001</v>
      </c>
      <c r="D466">
        <v>2.1175000000000002</v>
      </c>
      <c r="E466">
        <v>2.4855</v>
      </c>
      <c r="F466">
        <v>2.8529999999999998</v>
      </c>
      <c r="G466">
        <v>3.3220999999999998</v>
      </c>
    </row>
    <row r="467" spans="1:7" x14ac:dyDescent="0.25">
      <c r="A467" s="4">
        <v>41471</v>
      </c>
      <c r="B467">
        <v>1.4579</v>
      </c>
      <c r="C467" s="5">
        <v>1.6756</v>
      </c>
      <c r="D467">
        <v>2.1442999999999999</v>
      </c>
      <c r="E467">
        <v>2.4598</v>
      </c>
      <c r="F467">
        <v>2.8768000000000002</v>
      </c>
      <c r="G467">
        <v>3.3105000000000002</v>
      </c>
    </row>
    <row r="468" spans="1:7" x14ac:dyDescent="0.25">
      <c r="A468" s="4">
        <v>41470</v>
      </c>
      <c r="B468">
        <v>1.4645999999999999</v>
      </c>
      <c r="C468" s="5">
        <v>1.6991000000000001</v>
      </c>
      <c r="D468">
        <v>2.1655000000000002</v>
      </c>
      <c r="E468">
        <v>2.4863</v>
      </c>
      <c r="F468">
        <v>2.8879999999999999</v>
      </c>
      <c r="G468">
        <v>3.3067000000000002</v>
      </c>
    </row>
    <row r="469" spans="1:7" x14ac:dyDescent="0.25">
      <c r="A469" s="4">
        <v>41467</v>
      </c>
      <c r="B469">
        <v>1.4694</v>
      </c>
      <c r="C469" s="5">
        <v>1.7088999999999999</v>
      </c>
      <c r="D469">
        <v>2.1835</v>
      </c>
      <c r="E469">
        <v>2.5024999999999999</v>
      </c>
      <c r="F469">
        <v>2.9060000000000001</v>
      </c>
      <c r="G469">
        <v>3.3115000000000001</v>
      </c>
    </row>
    <row r="470" spans="1:7" x14ac:dyDescent="0.25">
      <c r="A470" s="4">
        <v>41466</v>
      </c>
      <c r="B470">
        <v>1.4649000000000001</v>
      </c>
      <c r="C470" s="5">
        <v>1.7157</v>
      </c>
      <c r="D470">
        <v>2.1915</v>
      </c>
      <c r="E470">
        <v>2.5207000000000002</v>
      </c>
      <c r="F470">
        <v>2.9159999999999999</v>
      </c>
      <c r="G470">
        <v>3.3144999999999998</v>
      </c>
    </row>
    <row r="471" spans="1:7" x14ac:dyDescent="0.25">
      <c r="A471" s="4">
        <v>41465</v>
      </c>
      <c r="B471">
        <v>1.4807000000000001</v>
      </c>
      <c r="C471" s="5">
        <v>1.7151999999999998</v>
      </c>
      <c r="D471">
        <v>2.2294999999999998</v>
      </c>
      <c r="E471">
        <v>2.5301</v>
      </c>
      <c r="F471">
        <v>2.9590000000000001</v>
      </c>
      <c r="G471">
        <v>3.3144999999999998</v>
      </c>
    </row>
    <row r="472" spans="1:7" x14ac:dyDescent="0.25">
      <c r="A472" s="4">
        <v>41464</v>
      </c>
      <c r="B472">
        <v>1.4786000000000001</v>
      </c>
      <c r="C472" s="5">
        <v>1.7412999999999998</v>
      </c>
      <c r="D472">
        <v>2.23</v>
      </c>
      <c r="E472">
        <v>2.5710999999999999</v>
      </c>
      <c r="F472">
        <v>2.9569999999999999</v>
      </c>
      <c r="G472">
        <v>3.3378000000000001</v>
      </c>
    </row>
    <row r="473" spans="1:7" x14ac:dyDescent="0.25">
      <c r="A473" s="4">
        <v>41463</v>
      </c>
      <c r="B473">
        <v>1.4902</v>
      </c>
      <c r="C473" s="5">
        <v>1.7387999999999999</v>
      </c>
      <c r="D473">
        <v>2.2414999999999998</v>
      </c>
      <c r="E473">
        <v>2.5695000000000001</v>
      </c>
      <c r="F473">
        <v>2.9630000000000001</v>
      </c>
      <c r="G473">
        <v>3.3239999999999998</v>
      </c>
    </row>
    <row r="474" spans="1:7" x14ac:dyDescent="0.25">
      <c r="A474" s="4">
        <v>41460</v>
      </c>
      <c r="B474">
        <v>1.5640000000000001</v>
      </c>
      <c r="C474" s="5">
        <v>1.7528000000000001</v>
      </c>
      <c r="D474">
        <v>2.3302999999999998</v>
      </c>
      <c r="E474">
        <v>2.5827999999999998</v>
      </c>
      <c r="F474">
        <v>3.0493000000000001</v>
      </c>
      <c r="G474">
        <v>3.3313999999999999</v>
      </c>
    </row>
    <row r="475" spans="1:7" x14ac:dyDescent="0.25">
      <c r="A475" s="4">
        <v>41459</v>
      </c>
      <c r="B475">
        <v>1.5185999999999999</v>
      </c>
      <c r="C475" s="5">
        <v>1.8307</v>
      </c>
      <c r="D475">
        <v>2.2195</v>
      </c>
      <c r="E475">
        <v>2.6696</v>
      </c>
      <c r="F475">
        <v>2.9060000000000001</v>
      </c>
      <c r="G475">
        <v>3.3791000000000002</v>
      </c>
    </row>
    <row r="476" spans="1:7" x14ac:dyDescent="0.25">
      <c r="A476" s="4">
        <v>41458</v>
      </c>
      <c r="B476">
        <v>1.5255000000000001</v>
      </c>
      <c r="C476" s="5">
        <v>1.7669999999999999</v>
      </c>
      <c r="D476">
        <v>2.2410000000000001</v>
      </c>
      <c r="E476">
        <v>2.5415000000000001</v>
      </c>
      <c r="F476">
        <v>2.9119999999999999</v>
      </c>
      <c r="G476">
        <v>3.2648999999999999</v>
      </c>
    </row>
    <row r="477" spans="1:7" x14ac:dyDescent="0.25">
      <c r="A477" s="4">
        <v>41457</v>
      </c>
      <c r="B477">
        <v>1.5415000000000001</v>
      </c>
      <c r="C477" s="5">
        <v>1.7768999999999999</v>
      </c>
      <c r="D477">
        <v>2.2294999999999998</v>
      </c>
      <c r="E477">
        <v>2.5503999999999998</v>
      </c>
      <c r="F477">
        <v>2.895</v>
      </c>
      <c r="G477">
        <v>3.262</v>
      </c>
    </row>
    <row r="478" spans="1:7" x14ac:dyDescent="0.25">
      <c r="A478" s="4">
        <v>41456</v>
      </c>
      <c r="B478">
        <v>1.5609999999999999</v>
      </c>
      <c r="C478" s="5">
        <v>1.78</v>
      </c>
      <c r="D478">
        <v>2.2524999999999999</v>
      </c>
      <c r="E478">
        <v>2.5413999999999999</v>
      </c>
      <c r="F478">
        <v>2.93</v>
      </c>
      <c r="G478">
        <v>3.2543000000000002</v>
      </c>
    </row>
    <row r="479" spans="1:7" x14ac:dyDescent="0.25">
      <c r="A479" s="4">
        <v>41453</v>
      </c>
      <c r="B479">
        <v>1.5611999999999999</v>
      </c>
      <c r="C479" s="5">
        <v>1.8010000000000002</v>
      </c>
      <c r="D479">
        <v>2.2294999999999998</v>
      </c>
      <c r="E479">
        <v>2.5678000000000001</v>
      </c>
      <c r="F479">
        <v>2.9</v>
      </c>
      <c r="G479">
        <v>3.2951999999999999</v>
      </c>
    </row>
    <row r="480" spans="1:7" x14ac:dyDescent="0.25">
      <c r="A480" s="4">
        <v>41452</v>
      </c>
      <c r="B480">
        <v>1.5464</v>
      </c>
      <c r="C480" s="5">
        <v>1.8005</v>
      </c>
      <c r="D480">
        <v>2.29</v>
      </c>
      <c r="E480">
        <v>2.5705</v>
      </c>
      <c r="F480">
        <v>3</v>
      </c>
      <c r="G480">
        <v>3.2974999999999999</v>
      </c>
    </row>
    <row r="481" spans="1:7" x14ac:dyDescent="0.25">
      <c r="A481" s="4">
        <v>41451</v>
      </c>
      <c r="B481">
        <v>1.5697999999999999</v>
      </c>
      <c r="C481" s="5">
        <v>1.7799</v>
      </c>
      <c r="D481">
        <v>2.3395000000000001</v>
      </c>
      <c r="E481">
        <v>2.5457999999999998</v>
      </c>
      <c r="F481">
        <v>3.0470000000000002</v>
      </c>
      <c r="G481">
        <v>3.2915000000000001</v>
      </c>
    </row>
    <row r="482" spans="1:7" x14ac:dyDescent="0.25">
      <c r="A482" s="4">
        <v>41450</v>
      </c>
      <c r="B482">
        <v>1.6095999999999999</v>
      </c>
      <c r="C482" s="5">
        <v>1.8176000000000001</v>
      </c>
      <c r="D482">
        <v>2.3115000000000001</v>
      </c>
      <c r="E482">
        <v>2.6215000000000002</v>
      </c>
      <c r="F482">
        <v>3.0009999999999999</v>
      </c>
      <c r="G482">
        <v>3.3843999999999999</v>
      </c>
    </row>
    <row r="483" spans="1:7" x14ac:dyDescent="0.25">
      <c r="A483" s="4">
        <v>41449</v>
      </c>
      <c r="B483">
        <v>1.5859999999999999</v>
      </c>
      <c r="C483" s="5">
        <v>1.8580000000000001</v>
      </c>
      <c r="D483">
        <v>2.2690000000000001</v>
      </c>
      <c r="E483">
        <v>2.6722000000000001</v>
      </c>
      <c r="F483">
        <v>2.95</v>
      </c>
      <c r="G483">
        <v>3.4096000000000002</v>
      </c>
    </row>
    <row r="484" spans="1:7" x14ac:dyDescent="0.25">
      <c r="A484" s="4">
        <v>41446</v>
      </c>
      <c r="B484">
        <v>1.5782</v>
      </c>
      <c r="C484" s="5">
        <v>1.8427</v>
      </c>
      <c r="D484">
        <v>2.1755</v>
      </c>
      <c r="E484">
        <v>2.6326000000000001</v>
      </c>
      <c r="F484">
        <v>2.8475000000000001</v>
      </c>
      <c r="G484">
        <v>3.3643999999999998</v>
      </c>
    </row>
    <row r="485" spans="1:7" x14ac:dyDescent="0.25">
      <c r="A485" s="4">
        <v>41445</v>
      </c>
      <c r="B485">
        <v>1.5344</v>
      </c>
      <c r="C485" s="5">
        <v>1.8085</v>
      </c>
      <c r="D485">
        <v>2.0975000000000001</v>
      </c>
      <c r="E485">
        <v>2.5815999999999999</v>
      </c>
      <c r="F485">
        <v>2.7389999999999999</v>
      </c>
      <c r="G485">
        <v>3.3290000000000002</v>
      </c>
    </row>
    <row r="486" spans="1:7" x14ac:dyDescent="0.25">
      <c r="A486" s="4">
        <v>41444</v>
      </c>
      <c r="B486">
        <v>1.5079</v>
      </c>
      <c r="C486" s="5">
        <v>1.748</v>
      </c>
      <c r="D486">
        <v>1.9715</v>
      </c>
      <c r="E486">
        <v>2.4861</v>
      </c>
      <c r="F486">
        <v>2.641</v>
      </c>
      <c r="G486">
        <v>3.2454999999999998</v>
      </c>
    </row>
    <row r="487" spans="1:7" x14ac:dyDescent="0.25">
      <c r="A487" s="4">
        <v>41443</v>
      </c>
      <c r="B487">
        <v>1.4513</v>
      </c>
      <c r="C487" s="5">
        <v>1.7</v>
      </c>
      <c r="D487">
        <v>1.95</v>
      </c>
      <c r="E487">
        <v>2.3860999999999999</v>
      </c>
      <c r="F487">
        <v>2.6259999999999999</v>
      </c>
      <c r="G487">
        <v>3.1288999999999998</v>
      </c>
    </row>
    <row r="488" spans="1:7" x14ac:dyDescent="0.25">
      <c r="A488" s="4">
        <v>41442</v>
      </c>
      <c r="B488">
        <v>1.4409000000000001</v>
      </c>
      <c r="C488" s="5">
        <v>1.6169</v>
      </c>
      <c r="D488">
        <v>1.9455</v>
      </c>
      <c r="E488">
        <v>2.2671999999999999</v>
      </c>
      <c r="F488">
        <v>2.5985</v>
      </c>
      <c r="G488">
        <v>3.069</v>
      </c>
    </row>
    <row r="489" spans="1:7" x14ac:dyDescent="0.25">
      <c r="A489" s="4">
        <v>41439</v>
      </c>
      <c r="B489">
        <v>1.4394</v>
      </c>
      <c r="C489" s="5">
        <v>1.6049</v>
      </c>
      <c r="D489">
        <v>1.9744999999999999</v>
      </c>
      <c r="E489">
        <v>2.2490000000000001</v>
      </c>
      <c r="F489">
        <v>2.6145</v>
      </c>
      <c r="G489">
        <v>3.0554999999999999</v>
      </c>
    </row>
    <row r="490" spans="1:7" x14ac:dyDescent="0.25">
      <c r="A490" s="4">
        <v>41438</v>
      </c>
      <c r="B490">
        <v>1.4500999999999999</v>
      </c>
      <c r="C490" s="5">
        <v>1.6044</v>
      </c>
      <c r="D490">
        <v>2.0415000000000001</v>
      </c>
      <c r="E490">
        <v>2.2342</v>
      </c>
      <c r="F490">
        <v>2.681</v>
      </c>
      <c r="G490">
        <v>3.0354999999999999</v>
      </c>
    </row>
    <row r="491" spans="1:7" x14ac:dyDescent="0.25">
      <c r="A491" s="4">
        <v>41437</v>
      </c>
      <c r="B491">
        <v>1.4944</v>
      </c>
      <c r="C491" s="5">
        <v>1.6261999999999999</v>
      </c>
      <c r="D491">
        <v>2.0345</v>
      </c>
      <c r="E491">
        <v>2.2595000000000001</v>
      </c>
      <c r="F491">
        <v>2.6560000000000001</v>
      </c>
      <c r="G491">
        <v>3.0510000000000002</v>
      </c>
    </row>
    <row r="492" spans="1:7" x14ac:dyDescent="0.25">
      <c r="A492" s="4">
        <v>41436</v>
      </c>
      <c r="B492">
        <v>1.4864999999999999</v>
      </c>
      <c r="C492" s="5">
        <v>1.6814</v>
      </c>
      <c r="D492">
        <v>2.0625</v>
      </c>
      <c r="E492">
        <v>2.3426999999999998</v>
      </c>
      <c r="F492">
        <v>2.6863999999999999</v>
      </c>
      <c r="G492">
        <v>3.1196000000000002</v>
      </c>
    </row>
    <row r="493" spans="1:7" x14ac:dyDescent="0.25">
      <c r="A493" s="4">
        <v>41435</v>
      </c>
      <c r="B493">
        <v>1.5044</v>
      </c>
      <c r="C493" s="5">
        <v>1.667</v>
      </c>
      <c r="D493">
        <v>1.9885000000000002</v>
      </c>
      <c r="E493">
        <v>2.3149999999999999</v>
      </c>
      <c r="F493">
        <v>2.629</v>
      </c>
      <c r="G493">
        <v>3.097</v>
      </c>
    </row>
    <row r="494" spans="1:7" x14ac:dyDescent="0.25">
      <c r="A494" s="4">
        <v>41432</v>
      </c>
      <c r="B494">
        <v>1.4685000000000001</v>
      </c>
      <c r="C494" s="5">
        <v>1.6870000000000001</v>
      </c>
      <c r="D494">
        <v>1.8631</v>
      </c>
      <c r="E494">
        <v>2.3477999999999999</v>
      </c>
      <c r="F494">
        <v>2.5183999999999997</v>
      </c>
      <c r="G494">
        <v>3.1185</v>
      </c>
    </row>
    <row r="495" spans="1:7" x14ac:dyDescent="0.25">
      <c r="A495" s="4">
        <v>41431</v>
      </c>
      <c r="B495">
        <v>1.3945000000000001</v>
      </c>
      <c r="C495" s="5">
        <v>1.6293</v>
      </c>
      <c r="D495">
        <v>1.8665</v>
      </c>
      <c r="E495">
        <v>2.2705000000000002</v>
      </c>
      <c r="F495">
        <v>2.5175999999999998</v>
      </c>
      <c r="G495">
        <v>3.0735000000000001</v>
      </c>
    </row>
    <row r="496" spans="1:7" x14ac:dyDescent="0.25">
      <c r="A496" s="4">
        <v>41430</v>
      </c>
      <c r="B496">
        <v>1.3955</v>
      </c>
      <c r="C496" s="5">
        <v>1.5415999999999999</v>
      </c>
      <c r="D496">
        <v>1.8895</v>
      </c>
      <c r="E496">
        <v>2.1539999999999999</v>
      </c>
      <c r="F496">
        <v>2.5451999999999999</v>
      </c>
      <c r="G496">
        <v>2.9676</v>
      </c>
    </row>
    <row r="497" spans="1:7" x14ac:dyDescent="0.25">
      <c r="A497" s="4">
        <v>41429</v>
      </c>
      <c r="B497">
        <v>1.4114</v>
      </c>
      <c r="C497" s="5">
        <v>1.5444</v>
      </c>
      <c r="D497">
        <v>1.8679000000000001</v>
      </c>
      <c r="E497">
        <v>2.1532999999999998</v>
      </c>
      <c r="F497">
        <v>2.5127999999999999</v>
      </c>
      <c r="G497">
        <v>2.9649999999999999</v>
      </c>
    </row>
    <row r="498" spans="1:7" x14ac:dyDescent="0.25">
      <c r="A498" s="4">
        <v>41428</v>
      </c>
      <c r="B498">
        <v>1.4139999999999999</v>
      </c>
      <c r="C498" s="5">
        <v>1.5672999999999999</v>
      </c>
      <c r="D498">
        <v>1.8818999999999999</v>
      </c>
      <c r="E498">
        <v>2.1764999999999999</v>
      </c>
      <c r="F498">
        <v>2.5230000000000001</v>
      </c>
      <c r="G498">
        <v>2.9685000000000001</v>
      </c>
    </row>
    <row r="499" spans="1:7" x14ac:dyDescent="0.25">
      <c r="A499" s="4">
        <v>41425</v>
      </c>
      <c r="B499">
        <v>1.4295</v>
      </c>
      <c r="C499" s="5">
        <v>1.5620000000000001</v>
      </c>
      <c r="D499">
        <v>1.8806</v>
      </c>
      <c r="E499">
        <v>2.1528999999999998</v>
      </c>
      <c r="F499">
        <v>2.5198999999999998</v>
      </c>
      <c r="G499">
        <v>2.9356999999999998</v>
      </c>
    </row>
    <row r="500" spans="1:7" x14ac:dyDescent="0.25">
      <c r="A500" s="4">
        <v>41424</v>
      </c>
      <c r="B500">
        <v>1.4238</v>
      </c>
      <c r="C500" s="5">
        <v>1.5712000000000002</v>
      </c>
      <c r="D500">
        <v>1.8807</v>
      </c>
      <c r="E500">
        <v>2.1669999999999998</v>
      </c>
      <c r="F500">
        <v>2.5295999999999998</v>
      </c>
      <c r="G500">
        <v>2.9556</v>
      </c>
    </row>
    <row r="501" spans="1:7" x14ac:dyDescent="0.25">
      <c r="A501" s="4">
        <v>41423</v>
      </c>
      <c r="B501">
        <v>1.4212</v>
      </c>
      <c r="C501" s="5">
        <v>1.5640000000000001</v>
      </c>
      <c r="D501">
        <v>1.8807</v>
      </c>
      <c r="E501">
        <v>2.1627999999999998</v>
      </c>
      <c r="F501">
        <v>2.5293999999999999</v>
      </c>
      <c r="G501">
        <v>2.9592999999999998</v>
      </c>
    </row>
    <row r="502" spans="1:7" x14ac:dyDescent="0.25">
      <c r="A502" s="4">
        <v>41422</v>
      </c>
      <c r="B502">
        <v>1.4186000000000001</v>
      </c>
      <c r="C502" s="5">
        <v>1.5620000000000001</v>
      </c>
      <c r="D502">
        <v>1.7966</v>
      </c>
      <c r="E502">
        <v>2.1648000000000001</v>
      </c>
      <c r="F502">
        <v>2.4374000000000002</v>
      </c>
      <c r="G502">
        <v>2.9704999999999999</v>
      </c>
    </row>
    <row r="503" spans="1:7" x14ac:dyDescent="0.25">
      <c r="A503" s="4">
        <v>41421</v>
      </c>
      <c r="B503">
        <v>1.3928</v>
      </c>
      <c r="C503" s="5">
        <v>1.5615000000000001</v>
      </c>
      <c r="D503">
        <v>1.7793999999999999</v>
      </c>
      <c r="E503">
        <v>2.1625000000000001</v>
      </c>
      <c r="F503">
        <v>2.415</v>
      </c>
      <c r="G503">
        <v>2.9828999999999999</v>
      </c>
    </row>
    <row r="504" spans="1:7" x14ac:dyDescent="0.25">
      <c r="A504" s="4">
        <v>41418</v>
      </c>
      <c r="B504">
        <v>1.3714</v>
      </c>
      <c r="C504" s="5">
        <v>1.5110999999999999</v>
      </c>
      <c r="D504">
        <v>1.7765</v>
      </c>
      <c r="E504">
        <v>2.0268000000000002</v>
      </c>
      <c r="F504">
        <v>2.4133</v>
      </c>
      <c r="G504">
        <v>2.92</v>
      </c>
    </row>
    <row r="505" spans="1:7" x14ac:dyDescent="0.25">
      <c r="A505" s="4">
        <v>41417</v>
      </c>
      <c r="B505">
        <v>1.3740999999999999</v>
      </c>
      <c r="C505" s="5">
        <v>1.4908999999999999</v>
      </c>
      <c r="D505">
        <v>1.7755000000000001</v>
      </c>
      <c r="E505">
        <v>2.0516000000000001</v>
      </c>
      <c r="F505">
        <v>2.4209000000000001</v>
      </c>
      <c r="G505">
        <v>2.8980000000000001</v>
      </c>
    </row>
    <row r="506" spans="1:7" x14ac:dyDescent="0.25">
      <c r="A506" s="4">
        <v>41416</v>
      </c>
      <c r="B506">
        <v>1.3725000000000001</v>
      </c>
      <c r="C506" s="5">
        <v>1.4923999999999999</v>
      </c>
      <c r="D506">
        <v>1.7122999999999999</v>
      </c>
      <c r="E506">
        <v>2.0491000000000001</v>
      </c>
      <c r="F506">
        <v>2.3490000000000002</v>
      </c>
      <c r="G506">
        <v>2.8909000000000002</v>
      </c>
    </row>
    <row r="507" spans="1:7" x14ac:dyDescent="0.25">
      <c r="A507" s="4">
        <v>41415</v>
      </c>
      <c r="B507">
        <v>1.3414999999999999</v>
      </c>
      <c r="C507" s="5">
        <v>1.4870000000000001</v>
      </c>
      <c r="D507">
        <v>1.7383999999999999</v>
      </c>
      <c r="E507">
        <v>2.0571999999999999</v>
      </c>
      <c r="F507">
        <v>2.359</v>
      </c>
      <c r="G507">
        <v>2.8853999999999997</v>
      </c>
    </row>
    <row r="508" spans="1:7" x14ac:dyDescent="0.25">
      <c r="A508" s="4">
        <v>41414</v>
      </c>
      <c r="B508">
        <v>1.3427</v>
      </c>
      <c r="C508" s="5">
        <v>1.4474</v>
      </c>
      <c r="D508">
        <v>1.7383</v>
      </c>
      <c r="E508">
        <v>1.9845000000000002</v>
      </c>
      <c r="F508">
        <v>2.3589000000000002</v>
      </c>
      <c r="G508">
        <v>2.8285</v>
      </c>
    </row>
    <row r="509" spans="1:7" x14ac:dyDescent="0.25">
      <c r="A509" s="4">
        <v>41411</v>
      </c>
      <c r="B509">
        <v>1.3427</v>
      </c>
      <c r="C509" s="5">
        <v>1.4546000000000001</v>
      </c>
      <c r="D509">
        <v>1.7275</v>
      </c>
      <c r="E509">
        <v>2.0076999999999998</v>
      </c>
      <c r="F509">
        <v>2.3365</v>
      </c>
      <c r="G509">
        <v>2.8242000000000003</v>
      </c>
    </row>
    <row r="510" spans="1:7" x14ac:dyDescent="0.25">
      <c r="A510" s="4">
        <v>41410</v>
      </c>
      <c r="B510">
        <v>1.353</v>
      </c>
      <c r="C510" s="5">
        <v>1.4553</v>
      </c>
      <c r="D510">
        <v>1.7694999999999999</v>
      </c>
      <c r="E510">
        <v>2.0076000000000001</v>
      </c>
      <c r="F510">
        <v>2.3795000000000002</v>
      </c>
      <c r="G510">
        <v>2.8242000000000003</v>
      </c>
    </row>
    <row r="511" spans="1:7" x14ac:dyDescent="0.25">
      <c r="A511" s="4">
        <v>41409</v>
      </c>
      <c r="B511">
        <v>1.3728</v>
      </c>
      <c r="C511" s="5">
        <v>1.4586000000000001</v>
      </c>
      <c r="D511">
        <v>1.8085</v>
      </c>
      <c r="E511">
        <v>1.9876</v>
      </c>
      <c r="F511">
        <v>2.4205000000000001</v>
      </c>
      <c r="G511">
        <v>2.7873999999999999</v>
      </c>
    </row>
    <row r="512" spans="1:7" x14ac:dyDescent="0.25">
      <c r="A512" s="4">
        <v>41408</v>
      </c>
      <c r="B512">
        <v>1.3892</v>
      </c>
      <c r="C512" s="5">
        <v>1.4895</v>
      </c>
      <c r="D512">
        <v>1.77</v>
      </c>
      <c r="E512">
        <v>2.0314999999999999</v>
      </c>
      <c r="F512">
        <v>2.3795999999999999</v>
      </c>
      <c r="G512">
        <v>2.8313000000000001</v>
      </c>
    </row>
    <row r="513" spans="1:7" x14ac:dyDescent="0.25">
      <c r="A513" s="4">
        <v>41407</v>
      </c>
      <c r="B513">
        <v>1.3719999999999999</v>
      </c>
      <c r="C513" s="5">
        <v>1.5135999999999998</v>
      </c>
      <c r="D513">
        <v>1.7534999999999998</v>
      </c>
      <c r="E513">
        <v>2.0716999999999999</v>
      </c>
      <c r="F513">
        <v>2.3540000000000001</v>
      </c>
      <c r="G513">
        <v>2.8645</v>
      </c>
    </row>
    <row r="514" spans="1:7" x14ac:dyDescent="0.25">
      <c r="A514" s="4">
        <v>41404</v>
      </c>
      <c r="B514">
        <v>1.3540000000000001</v>
      </c>
      <c r="C514" s="5">
        <v>1.486</v>
      </c>
      <c r="D514">
        <v>1.675</v>
      </c>
      <c r="E514">
        <v>2.0299</v>
      </c>
      <c r="F514">
        <v>2.2570000000000001</v>
      </c>
      <c r="G514">
        <v>2.843</v>
      </c>
    </row>
    <row r="515" spans="1:7" x14ac:dyDescent="0.25">
      <c r="A515" s="4">
        <v>41403</v>
      </c>
      <c r="B515">
        <v>1.3174000000000001</v>
      </c>
      <c r="C515" s="5">
        <v>1.4691000000000001</v>
      </c>
      <c r="D515">
        <v>1.6785000000000001</v>
      </c>
      <c r="E515">
        <v>2.0089999999999999</v>
      </c>
      <c r="F515">
        <v>2.2637999999999998</v>
      </c>
      <c r="G515">
        <v>2.8033000000000001</v>
      </c>
    </row>
    <row r="516" spans="1:7" x14ac:dyDescent="0.25">
      <c r="A516" s="4">
        <v>41402</v>
      </c>
      <c r="B516">
        <v>1.3160000000000001</v>
      </c>
      <c r="C516" s="5">
        <v>1.4193</v>
      </c>
      <c r="D516">
        <v>1.6905000000000001</v>
      </c>
      <c r="E516">
        <v>1.9171</v>
      </c>
      <c r="F516">
        <v>2.2793999999999999</v>
      </c>
      <c r="G516">
        <v>2.7210000000000001</v>
      </c>
    </row>
    <row r="517" spans="1:7" x14ac:dyDescent="0.25">
      <c r="A517" s="4">
        <v>41401</v>
      </c>
      <c r="B517">
        <v>1.321</v>
      </c>
      <c r="C517" s="5">
        <v>1.423</v>
      </c>
      <c r="D517">
        <v>1.6884999999999999</v>
      </c>
      <c r="E517">
        <v>1.9216</v>
      </c>
      <c r="F517">
        <v>2.2725</v>
      </c>
      <c r="G517">
        <v>2.7359999999999998</v>
      </c>
    </row>
    <row r="518" spans="1:7" x14ac:dyDescent="0.25">
      <c r="A518" s="4">
        <v>41400</v>
      </c>
      <c r="B518">
        <v>1.321</v>
      </c>
      <c r="C518" s="5">
        <v>1.4315</v>
      </c>
      <c r="D518">
        <v>1.6505000000000001</v>
      </c>
      <c r="E518">
        <v>1.9382000000000001</v>
      </c>
      <c r="F518">
        <v>2.2324999999999999</v>
      </c>
      <c r="G518">
        <v>2.7465000000000002</v>
      </c>
    </row>
    <row r="519" spans="1:7" x14ac:dyDescent="0.25">
      <c r="A519" s="4">
        <v>41397</v>
      </c>
      <c r="B519">
        <v>1.3067</v>
      </c>
      <c r="C519" s="5">
        <v>1.4289000000000001</v>
      </c>
      <c r="D519">
        <v>1.571</v>
      </c>
      <c r="E519">
        <v>1.9260999999999999</v>
      </c>
      <c r="F519">
        <v>2.1305999999999998</v>
      </c>
      <c r="G519">
        <v>2.742</v>
      </c>
    </row>
    <row r="520" spans="1:7" x14ac:dyDescent="0.25">
      <c r="A520" s="4">
        <v>41396</v>
      </c>
      <c r="B520">
        <v>1.2610000000000001</v>
      </c>
      <c r="C520" s="5">
        <v>1.4088000000000001</v>
      </c>
      <c r="D520">
        <v>1.5765</v>
      </c>
      <c r="E520">
        <v>1.8917000000000002</v>
      </c>
      <c r="F520">
        <v>2.1396000000000002</v>
      </c>
      <c r="G520">
        <v>2.7037</v>
      </c>
    </row>
    <row r="521" spans="1:7" x14ac:dyDescent="0.25">
      <c r="A521" s="4">
        <v>41395</v>
      </c>
      <c r="B521">
        <v>1.2625</v>
      </c>
      <c r="C521" s="5">
        <v>1.3521000000000001</v>
      </c>
      <c r="D521">
        <v>1.5885</v>
      </c>
      <c r="E521">
        <v>1.8028</v>
      </c>
      <c r="F521">
        <v>2.1568999999999998</v>
      </c>
      <c r="G521">
        <v>2.6185</v>
      </c>
    </row>
    <row r="522" spans="1:7" x14ac:dyDescent="0.25">
      <c r="A522" s="4">
        <v>41394</v>
      </c>
      <c r="B522">
        <v>1.2730000000000001</v>
      </c>
      <c r="C522" s="5">
        <v>1.3488</v>
      </c>
      <c r="D522">
        <v>1.5979999999999999</v>
      </c>
      <c r="E522">
        <v>1.8105</v>
      </c>
      <c r="F522">
        <v>2.1606999999999998</v>
      </c>
      <c r="G522">
        <v>2.6219999999999999</v>
      </c>
    </row>
    <row r="523" spans="1:7" x14ac:dyDescent="0.25">
      <c r="A523" s="4">
        <v>41393</v>
      </c>
      <c r="B523">
        <v>1.2805</v>
      </c>
      <c r="C523" s="5">
        <v>1.3618000000000001</v>
      </c>
      <c r="D523">
        <v>1.6045</v>
      </c>
      <c r="E523">
        <v>1.8265</v>
      </c>
      <c r="F523">
        <v>2.1720000000000002</v>
      </c>
      <c r="G523">
        <v>2.6461000000000001</v>
      </c>
    </row>
    <row r="524" spans="1:7" x14ac:dyDescent="0.25">
      <c r="A524" s="4">
        <v>41390</v>
      </c>
      <c r="B524">
        <v>1.286</v>
      </c>
      <c r="C524" s="5">
        <v>1.3717999999999999</v>
      </c>
      <c r="D524">
        <v>1.6234999999999999</v>
      </c>
      <c r="E524">
        <v>1.8340000000000001</v>
      </c>
      <c r="F524">
        <v>2.2006000000000001</v>
      </c>
      <c r="G524">
        <v>2.6455000000000002</v>
      </c>
    </row>
    <row r="525" spans="1:7" x14ac:dyDescent="0.25">
      <c r="A525" s="4">
        <v>41389</v>
      </c>
      <c r="B525">
        <v>1.2945</v>
      </c>
      <c r="C525" s="5">
        <v>1.3785000000000001</v>
      </c>
      <c r="D525">
        <v>1.609</v>
      </c>
      <c r="E525">
        <v>1.8389</v>
      </c>
      <c r="F525">
        <v>2.1758000000000002</v>
      </c>
      <c r="G525">
        <v>2.6608999999999998</v>
      </c>
    </row>
    <row r="526" spans="1:7" x14ac:dyDescent="0.25">
      <c r="A526" s="4">
        <v>41388</v>
      </c>
      <c r="B526">
        <v>1.2847</v>
      </c>
      <c r="C526" s="5">
        <v>1.3839999999999999</v>
      </c>
      <c r="D526">
        <v>1.6074999999999999</v>
      </c>
      <c r="E526">
        <v>1.8702999999999999</v>
      </c>
      <c r="F526">
        <v>2.1814</v>
      </c>
      <c r="G526">
        <v>2.6870000000000003</v>
      </c>
    </row>
    <row r="527" spans="1:7" x14ac:dyDescent="0.25">
      <c r="A527" s="4">
        <v>41387</v>
      </c>
      <c r="B527">
        <v>1.2818000000000001</v>
      </c>
      <c r="C527" s="5">
        <v>1.3727</v>
      </c>
      <c r="D527">
        <v>1.6040000000000001</v>
      </c>
      <c r="E527">
        <v>1.847</v>
      </c>
      <c r="F527">
        <v>2.1770999999999998</v>
      </c>
      <c r="G527">
        <v>2.665</v>
      </c>
    </row>
    <row r="528" spans="1:7" x14ac:dyDescent="0.25">
      <c r="A528" s="4">
        <v>41386</v>
      </c>
      <c r="B528">
        <v>1.284</v>
      </c>
      <c r="C528" s="5">
        <v>1.3752</v>
      </c>
      <c r="D528">
        <v>1.5994999999999999</v>
      </c>
      <c r="E528">
        <v>1.849</v>
      </c>
      <c r="F528">
        <v>2.1781999999999999</v>
      </c>
      <c r="G528">
        <v>2.6710000000000003</v>
      </c>
    </row>
    <row r="529" spans="1:7" x14ac:dyDescent="0.25">
      <c r="A529" s="4">
        <v>41383</v>
      </c>
      <c r="B529">
        <v>1.276</v>
      </c>
      <c r="C529" s="5">
        <v>1.3679999999999999</v>
      </c>
      <c r="D529">
        <v>1.5985</v>
      </c>
      <c r="E529">
        <v>1.8420000000000001</v>
      </c>
      <c r="F529">
        <v>2.1713</v>
      </c>
      <c r="G529">
        <v>2.6615000000000002</v>
      </c>
    </row>
    <row r="530" spans="1:7" x14ac:dyDescent="0.25">
      <c r="A530" s="4">
        <v>41382</v>
      </c>
      <c r="B530">
        <v>1.2725</v>
      </c>
      <c r="C530" s="5">
        <v>1.3642000000000001</v>
      </c>
      <c r="D530">
        <v>1.6055000000000001</v>
      </c>
      <c r="E530">
        <v>1.843</v>
      </c>
      <c r="F530">
        <v>2.1814999999999998</v>
      </c>
      <c r="G530">
        <v>2.6535000000000002</v>
      </c>
    </row>
    <row r="531" spans="1:7" x14ac:dyDescent="0.25">
      <c r="A531" s="4">
        <v>41381</v>
      </c>
      <c r="B531">
        <v>1.272</v>
      </c>
      <c r="C531" s="5">
        <v>1.3597000000000001</v>
      </c>
      <c r="D531">
        <v>1.625</v>
      </c>
      <c r="E531">
        <v>1.8425</v>
      </c>
      <c r="F531">
        <v>2.2176999999999998</v>
      </c>
      <c r="G531">
        <v>2.65</v>
      </c>
    </row>
    <row r="532" spans="1:7" x14ac:dyDescent="0.25">
      <c r="A532" s="4">
        <v>41380</v>
      </c>
      <c r="B532">
        <v>1.2753000000000001</v>
      </c>
      <c r="C532" s="5">
        <v>1.3613999999999999</v>
      </c>
      <c r="D532">
        <v>1.6160000000000001</v>
      </c>
      <c r="E532">
        <v>1.8441000000000001</v>
      </c>
      <c r="F532">
        <v>2.2054999999999998</v>
      </c>
      <c r="G532">
        <v>2.6619999999999999</v>
      </c>
    </row>
    <row r="533" spans="1:7" x14ac:dyDescent="0.25">
      <c r="A533" s="4">
        <v>41379</v>
      </c>
      <c r="B533">
        <v>1.278</v>
      </c>
      <c r="C533" s="5">
        <v>1.375</v>
      </c>
      <c r="E533">
        <v>1.8717000000000001</v>
      </c>
      <c r="G533">
        <v>2.6930000000000001</v>
      </c>
    </row>
    <row r="534" spans="1:7" x14ac:dyDescent="0.25">
      <c r="A534" s="4"/>
      <c r="C534" s="5">
        <v>1.3778000000000001</v>
      </c>
      <c r="E534">
        <v>1.8611</v>
      </c>
      <c r="G534">
        <v>2.6825000000000001</v>
      </c>
    </row>
    <row r="535" spans="1:7" x14ac:dyDescent="0.25">
      <c r="A535" s="4"/>
      <c r="C535" s="5"/>
    </row>
    <row r="536" spans="1:7" x14ac:dyDescent="0.25">
      <c r="A536" s="4"/>
    </row>
  </sheetData>
  <phoneticPr fontId="5" type="noConversion"/>
  <pageMargins left="0.7" right="0.7" top="0.75" bottom="0.75" header="0.3" footer="0.3"/>
  <pageSetup orientation="portrait"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
  <dimension ref="A1:IV535"/>
  <sheetViews>
    <sheetView workbookViewId="0">
      <selection activeCell="A13" sqref="A13"/>
    </sheetView>
  </sheetViews>
  <sheetFormatPr defaultRowHeight="15" x14ac:dyDescent="0.25"/>
  <cols>
    <col min="1" max="1" width="10.7109375" bestFit="1" customWidth="1"/>
    <col min="2" max="2" width="9.7109375" bestFit="1" customWidth="1"/>
    <col min="8" max="14" width="13.28515625" bestFit="1" customWidth="1"/>
    <col min="15" max="15" width="12.85546875" customWidth="1"/>
    <col min="16" max="18" width="13.28515625" bestFit="1" customWidth="1"/>
    <col min="21" max="22" width="9.7109375" bestFit="1" customWidth="1"/>
    <col min="26" max="26" width="9.7109375" style="4" bestFit="1" customWidth="1"/>
    <col min="27" max="27" width="9.7109375" style="5" bestFit="1" customWidth="1"/>
  </cols>
  <sheetData>
    <row r="1" spans="1:256" x14ac:dyDescent="0.25">
      <c r="D1" s="2" t="s">
        <v>6</v>
      </c>
      <c r="E1" s="2" t="s">
        <v>7</v>
      </c>
      <c r="F1" s="2" t="s">
        <v>8</v>
      </c>
      <c r="G1" s="2" t="s">
        <v>9</v>
      </c>
      <c r="H1" s="2" t="s">
        <v>19</v>
      </c>
      <c r="I1" s="2" t="s">
        <v>20</v>
      </c>
      <c r="S1" t="s">
        <v>83</v>
      </c>
      <c r="U1" t="s">
        <v>85</v>
      </c>
      <c r="V1">
        <f ca="1">IF(ISERROR(MID([1]!getformula('Calc Canada'!A2),SEARCH("rows=",[1]!getformula('Calc Canada'!A2),1)+5,LEN([1]!getformula('Calc Canada'!A2))-SEARCH("rows=",[1]!getformula('Calc Canada'!A2),1)-6)),0,MID([1]!getformula('Calc Canada'!A2),SEARCH("rows=",[1]!getformula('Calc Canada'!A2),1)+5,LEN([1]!getformula('Calc Canada'!A2))-SEARCH("rows=",[1]!getformula('Calc Canada'!A2),1)-6))</f>
        <v>0</v>
      </c>
      <c r="W1" t="s">
        <v>96</v>
      </c>
      <c r="X1" t="s">
        <v>97</v>
      </c>
      <c r="AB1" s="5"/>
    </row>
    <row r="2" spans="1:256" x14ac:dyDescent="0.25">
      <c r="D2" t="str">
        <f>_xll.BDP($B3&amp;" govt","YLD_CNV_MID")</f>
        <v>#N/A Requesting Data...</v>
      </c>
      <c r="E2" t="str">
        <f>_xll.BDP($B4&amp;" govt","YLD_CNV_MID")</f>
        <v>#N/A Requesting Data...</v>
      </c>
      <c r="F2" t="str">
        <f>_xll.BDP($B5&amp;" govt","YLD_CNV_MID")</f>
        <v>#N/A Requesting Data...</v>
      </c>
      <c r="G2" t="str">
        <f>_xll.BDP($B6&amp;" govt","YLD_CNV_MID")</f>
        <v>#N/A Requesting Data...</v>
      </c>
      <c r="H2" t="str">
        <f>_xll.BDP($B7&amp;" govt","YLD_CNV_MID")</f>
        <v>#N/A Requesting Data...</v>
      </c>
      <c r="I2" t="str">
        <f>_xll.BDP($B8&amp;" govt","YLD_CNV_MID")</f>
        <v>#N/A Requesting Data...</v>
      </c>
      <c r="J2" t="s">
        <v>31</v>
      </c>
      <c r="K2" s="4" t="e">
        <f ca="1">OFFSET($A$1,IF(ISERROR(MATCH(L2,A:A,0)),MATCH(WORKDAY(L2,-1),A:A,0),MATCH(L2,A:A,0))-1,0)</f>
        <v>#VALUE!</v>
      </c>
      <c r="L2" s="4" t="e">
        <f>WORKDAY($A$13,-5)</f>
        <v>#VALUE!</v>
      </c>
      <c r="M2" s="4" t="e">
        <f ca="1">OFFSET($A$1,IF(ISERROR(MATCH(L2,A:A,0)),MATCH(WORKDAY(L2,-1),A:A,0),MATCH(L2,A:A,0))-1,0)</f>
        <v>#VALUE!</v>
      </c>
      <c r="S2" t="s">
        <v>84</v>
      </c>
      <c r="U2" s="4">
        <v>40206</v>
      </c>
      <c r="V2" s="4">
        <v>40571</v>
      </c>
      <c r="Z2" s="4" t="str">
        <f ca="1">IF(OFFSET('Calc Canada'!$A$1,0,0,300)="","",OFFSET('Calc Canada'!$A$1,0,0,300))</f>
        <v>#N/A Invalid Security</v>
      </c>
      <c r="AA2" s="5" t="e">
        <f ca="1">IF(OFFSET('Calc Canada'!$A$1,0,MATCH(W$1,'Calc Canada'!$1:$1,0)-1,300)="","",OFFSET('Calc Canada'!$A$1,0,MATCH(W$1,'Calc Canada'!$1:$1,0)-1,300))</f>
        <v>#N/A</v>
      </c>
      <c r="AB2" s="5" t="e">
        <f ca="1">IF(OFFSET('Calc Canada'!$A$1,0,MATCH(X$1,'Calc Canada'!$1:$1,0)-1,300)="","",OFFSET('Calc Canada'!$A$1,0,MATCH(X$1,'Calc Canada'!$1:$1,0)-1,300))</f>
        <v>#N/A</v>
      </c>
      <c r="AC2" t="e">
        <f ca="1">IF(AND(AA2&lt;&gt;"",AB2&lt;&gt;""),ABS(AA2-AB2),"")</f>
        <v>#N/A</v>
      </c>
      <c r="AD2" t="e">
        <f ca="1">IF(ISNA(MATCH("",AC2:AC21,0)),AVERAGE(AC2:AC21),"")</f>
        <v>#N/A</v>
      </c>
    </row>
    <row r="3" spans="1:256" x14ac:dyDescent="0.25">
      <c r="A3" s="2" t="s">
        <v>6</v>
      </c>
      <c r="B3" t="s">
        <v>0</v>
      </c>
      <c r="C3" t="str">
        <f>_xll.BDP($B3&amp;" govt","YLD_CNV_MID")</f>
        <v>#N/A Requesting Data...</v>
      </c>
      <c r="D3" t="str">
        <f>IF(D$1='TRSYS Canada'!$A3,"",ABS($C3-D$2)*100)</f>
        <v/>
      </c>
      <c r="E3" t="e">
        <f>IF(E$1='TRSYS Canada'!$A3,"",ABS($C3-E$2)*100)</f>
        <v>#VALUE!</v>
      </c>
      <c r="F3" t="e">
        <f>IF(F$1='TRSYS Canada'!$A3,"",ABS($C3-F$2)*100)</f>
        <v>#VALUE!</v>
      </c>
      <c r="G3" t="e">
        <f>IF(G$1='TRSYS Canada'!$A3,"",ABS($C3-G$2)*100)</f>
        <v>#VALUE!</v>
      </c>
      <c r="H3" t="e">
        <f>IF(H$1='TRSYS Canada'!$A3,"",ABS($C3-H$2)*100)</f>
        <v>#VALUE!</v>
      </c>
      <c r="I3" t="e">
        <f>IF(I$1='TRSYS Canada'!$A3,"",ABS($C3-I$2)*100)</f>
        <v>#VALUE!</v>
      </c>
      <c r="J3" t="s">
        <v>32</v>
      </c>
      <c r="K3" s="4" t="e">
        <f ca="1">OFFSET($A$1,IF(ISERROR(MATCH(L3,A:A,0)),MATCH(WORKDAY(L3,-1),A:A,0),MATCH(L3,A:A,0))-1,0)</f>
        <v>#VALUE!</v>
      </c>
      <c r="L3" s="4" t="e">
        <f>EDATE($A$13,-1)</f>
        <v>#VALUE!</v>
      </c>
      <c r="M3" s="4" t="e">
        <f ca="1">OFFSET($A$1,IF(ISERROR(MATCH(L3,A:A,0)),MATCH(WORKDAY(L3,-1),A:A,0),MATCH(L3,A:A,0))-1,0)</f>
        <v>#VALUE!</v>
      </c>
      <c r="U3" s="4">
        <f>startCanada</f>
        <v>42005</v>
      </c>
      <c r="V3" s="4">
        <f>endCanada</f>
        <v>42094</v>
      </c>
      <c r="Z3" s="4" t="str">
        <f ca="1">IF(OFFSET('Calc Canada'!$A$1,0,0,300)="","",OFFSET('Calc Canada'!$A$1,0,0,300))</f>
        <v/>
      </c>
      <c r="AA3" s="5" t="e">
        <f ca="1">IF(OFFSET('Calc Canada'!$A$1,0,MATCH(W$1,'Calc Canada'!$1:$1,0)-1,300)="","",OFFSET('Calc Canada'!$A$1,0,MATCH(W$1,'Calc Canada'!$1:$1,0)-1,300))</f>
        <v>#N/A</v>
      </c>
      <c r="AB3" s="5" t="e">
        <f ca="1">IF(OFFSET('Calc Canada'!$A$1,0,MATCH(X$1,'Calc Canada'!$1:$1,0)-1,300)="","",OFFSET('Calc Canada'!$A$1,0,MATCH(X$1,'Calc Canada'!$1:$1,0)-1,300))</f>
        <v>#N/A</v>
      </c>
      <c r="AC3" t="e">
        <f t="shared" ref="AC3:AC66" ca="1" si="0">IF(AND(AA3&lt;&gt;"",AB3&lt;&gt;""),ABS(AA3-AB3),"")</f>
        <v>#N/A</v>
      </c>
      <c r="AD3" t="e">
        <f t="shared" ref="AD3:AD66" ca="1" si="1">IF(ISNA(MATCH("",AC3:AC22,0)),AVERAGE(AC3:AC22),"")</f>
        <v>#N/A</v>
      </c>
    </row>
    <row r="4" spans="1:256" x14ac:dyDescent="0.25">
      <c r="A4" s="2" t="s">
        <v>7</v>
      </c>
      <c r="B4" t="s">
        <v>1</v>
      </c>
      <c r="C4" t="str">
        <f>_xll.BDP($B4&amp;" govt","YLD_CNV_MID")</f>
        <v>#N/A Requesting Data...</v>
      </c>
      <c r="D4" t="e">
        <f>IF(D$1='TRSYS Canada'!$A4,"",ABS($C4-D$2)*100)</f>
        <v>#VALUE!</v>
      </c>
      <c r="E4" t="str">
        <f>IF(E$1='TRSYS Canada'!$A4,"",ABS($C4-E$2)*100)</f>
        <v/>
      </c>
      <c r="F4" t="e">
        <f>IF(F$1='TRSYS Canada'!$A4,"",ABS($C4-F$2)*100)</f>
        <v>#VALUE!</v>
      </c>
      <c r="G4" t="e">
        <f>IF(G$1='TRSYS Canada'!$A4,"",ABS($C4-G$2)*100)</f>
        <v>#VALUE!</v>
      </c>
      <c r="H4" t="e">
        <f>IF(H$1='TRSYS Canada'!$A4,"",ABS($C4-H$2)*100)</f>
        <v>#VALUE!</v>
      </c>
      <c r="I4" t="e">
        <f>IF(I$1='TRSYS Canada'!$A4,"",ABS($C4-I$2)*100)</f>
        <v>#VALUE!</v>
      </c>
      <c r="J4" t="s">
        <v>33</v>
      </c>
      <c r="K4" s="4" t="e">
        <f ca="1">OFFSET($A$1,IF(ISERROR(MATCH(L4,A:A,0)),MATCH(WORKDAY(L4,-1),A:A,0),MATCH(L4,A:A,0))-1,0)</f>
        <v>#VALUE!</v>
      </c>
      <c r="L4" s="4" t="e">
        <f>EDATE($A$13,-3)</f>
        <v>#VALUE!</v>
      </c>
      <c r="M4" s="4" t="e">
        <f ca="1">OFFSET($A$1,IF(ISERROR(MATCH(L4,A:A,0)),MATCH(WORKDAY(L4,-1),A:A,0),MATCH(L4,A:A,0))-1,0)</f>
        <v>#VALUE!</v>
      </c>
      <c r="Z4" s="4" t="str">
        <f ca="1">IF(OFFSET('Calc Canada'!$A$1,0,0,300)="","",OFFSET('Calc Canada'!$A$1,0,0,300))</f>
        <v/>
      </c>
      <c r="AA4" s="5" t="e">
        <f ca="1">IF(OFFSET('Calc Canada'!$A$1,0,MATCH(W$1,'Calc Canada'!$1:$1,0)-1,300)="","",OFFSET('Calc Canada'!$A$1,0,MATCH(W$1,'Calc Canada'!$1:$1,0)-1,300))</f>
        <v>#N/A</v>
      </c>
      <c r="AB4" s="5" t="e">
        <f ca="1">IF(OFFSET('Calc Canada'!$A$1,0,MATCH(X$1,'Calc Canada'!$1:$1,0)-1,300)="","",OFFSET('Calc Canada'!$A$1,0,MATCH(X$1,'Calc Canada'!$1:$1,0)-1,300))</f>
        <v>#N/A</v>
      </c>
      <c r="AC4" t="e">
        <f t="shared" ca="1" si="0"/>
        <v>#N/A</v>
      </c>
      <c r="AD4" t="e">
        <f t="shared" ca="1" si="1"/>
        <v>#N/A</v>
      </c>
    </row>
    <row r="5" spans="1:256" x14ac:dyDescent="0.25">
      <c r="A5" s="2" t="s">
        <v>8</v>
      </c>
      <c r="B5" t="s">
        <v>2</v>
      </c>
      <c r="C5" t="str">
        <f>_xll.BDP($B5&amp;" govt","YLD_CNV_MID")</f>
        <v>#N/A Requesting Data...</v>
      </c>
      <c r="D5" t="e">
        <f>IF(D$1='TRSYS Canada'!$A5,"",ABS($C5-D$2)*100)</f>
        <v>#VALUE!</v>
      </c>
      <c r="E5" t="e">
        <f>IF(E$1='TRSYS Canada'!$A5,"",ABS($C5-E$2)*100)</f>
        <v>#VALUE!</v>
      </c>
      <c r="F5" t="str">
        <f>IF(F$1='TRSYS Canada'!$A5,"",ABS($C5-F$2)*100)</f>
        <v/>
      </c>
      <c r="G5" t="e">
        <f>IF(G$1='TRSYS Canada'!$A5,"",ABS($C5-G$2)*100)</f>
        <v>#VALUE!</v>
      </c>
      <c r="H5" t="e">
        <f>IF(H$1='TRSYS Canada'!$A5,"",ABS($C5-H$2)*100)</f>
        <v>#VALUE!</v>
      </c>
      <c r="I5" t="e">
        <f>IF(I$1='TRSYS Canada'!$A5,"",ABS($C5-I$2)*100)</f>
        <v>#VALUE!</v>
      </c>
      <c r="J5" t="s">
        <v>34</v>
      </c>
      <c r="K5" s="4" t="e">
        <f ca="1">OFFSET($A$1,IF(ISERROR(MATCH(L5,A:A,0)),MATCH(WORKDAY(L5,-1),A:A,0),MATCH(L5,A:A,0))-1,0)</f>
        <v>#VALUE!</v>
      </c>
      <c r="L5" s="4" t="e">
        <f>EDATE($A$13,-6)</f>
        <v>#VALUE!</v>
      </c>
      <c r="M5" s="4" t="e">
        <f ca="1">OFFSET($A$1,IF(ISERROR(MATCH(L5,A:A,0)),MATCH(WORKDAY(L5,-1),A:A,0),MATCH(L5,A:A,0))-1,0)</f>
        <v>#VALUE!</v>
      </c>
      <c r="Z5" s="4" t="str">
        <f ca="1">IF(OFFSET('Calc Canada'!$A$1,0,0,300)="","",OFFSET('Calc Canada'!$A$1,0,0,300))</f>
        <v/>
      </c>
      <c r="AA5" s="5" t="e">
        <f ca="1">IF(OFFSET('Calc Canada'!$A$1,0,MATCH(W$1,'Calc Canada'!$1:$1,0)-1,300)="","",OFFSET('Calc Canada'!$A$1,0,MATCH(W$1,'Calc Canada'!$1:$1,0)-1,300))</f>
        <v>#N/A</v>
      </c>
      <c r="AB5" s="5" t="e">
        <f ca="1">IF(OFFSET('Calc Canada'!$A$1,0,MATCH(X$1,'Calc Canada'!$1:$1,0)-1,300)="","",OFFSET('Calc Canada'!$A$1,0,MATCH(X$1,'Calc Canada'!$1:$1,0)-1,300))</f>
        <v>#N/A</v>
      </c>
      <c r="AC5" t="e">
        <f t="shared" ca="1" si="0"/>
        <v>#N/A</v>
      </c>
      <c r="AD5" t="e">
        <f t="shared" ca="1" si="1"/>
        <v>#N/A</v>
      </c>
    </row>
    <row r="6" spans="1:256" x14ac:dyDescent="0.25">
      <c r="A6" s="2" t="s">
        <v>9</v>
      </c>
      <c r="B6" t="s">
        <v>3</v>
      </c>
      <c r="C6" t="str">
        <f>_xll.BDP($B6&amp;" govt","YLD_CNV_MID")</f>
        <v>#N/A Requesting Data...</v>
      </c>
      <c r="D6" t="e">
        <f>IF(D$1='TRSYS Canada'!$A6,"",ABS($C6-D$2)*100)</f>
        <v>#VALUE!</v>
      </c>
      <c r="E6" t="e">
        <f>IF(E$1='TRSYS Canada'!$A6,"",ABS($C6-E$2)*100)</f>
        <v>#VALUE!</v>
      </c>
      <c r="F6" t="e">
        <f>IF(F$1='TRSYS Canada'!$A6,"",ABS($C6-F$2)*100)</f>
        <v>#VALUE!</v>
      </c>
      <c r="G6" t="str">
        <f>IF(G$1='TRSYS Canada'!$A6,"",ABS($C6-G$2)*100)</f>
        <v/>
      </c>
      <c r="H6" t="e">
        <f>IF(H$1='TRSYS Canada'!$A6,"",ABS($C6-H$2)*100)</f>
        <v>#VALUE!</v>
      </c>
      <c r="I6" t="e">
        <f>IF(I$1='TRSYS Canada'!$A6,"",ABS($C6-I$2)*100)</f>
        <v>#VALUE!</v>
      </c>
      <c r="J6" t="s">
        <v>39</v>
      </c>
      <c r="K6" s="4" t="e">
        <f ca="1">OFFSET($A$1,IF(ISERROR(MATCH(L6,A:A,0)),MATCH(WORKDAY(L6,-1),A:A,0),MATCH(L6,A:A,0))-1,0)</f>
        <v>#VALUE!</v>
      </c>
      <c r="L6" s="4" t="e">
        <f>EDATE($A$13,-12)</f>
        <v>#VALUE!</v>
      </c>
      <c r="M6" s="4" t="e">
        <f ca="1">OFFSET($A$1,IF(ISERROR(MATCH(L6,A:A,0)),MATCH(WORKDAY(L6,-1),A:A,0),MATCH(L6,A:A,0))-1,0)</f>
        <v>#VALUE!</v>
      </c>
      <c r="Z6" s="4" t="str">
        <f ca="1">IF(OFFSET('Calc Canada'!$A$1,0,0,300)="","",OFFSET('Calc Canada'!$A$1,0,0,300))</f>
        <v/>
      </c>
      <c r="AA6" s="5" t="e">
        <f ca="1">IF(OFFSET('Calc Canada'!$A$1,0,MATCH(W$1,'Calc Canada'!$1:$1,0)-1,300)="","",OFFSET('Calc Canada'!$A$1,0,MATCH(W$1,'Calc Canada'!$1:$1,0)-1,300))</f>
        <v>#N/A</v>
      </c>
      <c r="AB6" s="5" t="e">
        <f ca="1">IF(OFFSET('Calc Canada'!$A$1,0,MATCH(X$1,'Calc Canada'!$1:$1,0)-1,300)="","",OFFSET('Calc Canada'!$A$1,0,MATCH(X$1,'Calc Canada'!$1:$1,0)-1,300))</f>
        <v>#N/A</v>
      </c>
      <c r="AC6" t="e">
        <f t="shared" ca="1" si="0"/>
        <v>#N/A</v>
      </c>
      <c r="AD6" t="e">
        <f t="shared" ca="1" si="1"/>
        <v>#N/A</v>
      </c>
    </row>
    <row r="7" spans="1:256" x14ac:dyDescent="0.25">
      <c r="A7" s="2" t="s">
        <v>19</v>
      </c>
      <c r="B7" t="s">
        <v>4</v>
      </c>
      <c r="C7" t="str">
        <f>_xll.BDP($B7&amp;" govt","YLD_CNV_MID")</f>
        <v>#N/A Requesting Data...</v>
      </c>
      <c r="D7" t="e">
        <f>IF(D$1='TRSYS Canada'!$A7,"",ABS($C7-D$2)*100)</f>
        <v>#VALUE!</v>
      </c>
      <c r="E7" t="e">
        <f>IF(E$1='TRSYS Canada'!$A7,"",ABS($C7-E$2)*100)</f>
        <v>#VALUE!</v>
      </c>
      <c r="F7" t="e">
        <f>IF(F$1='TRSYS Canada'!$A7,"",ABS($C7-F$2)*100)</f>
        <v>#VALUE!</v>
      </c>
      <c r="G7" t="e">
        <f>IF(G$1='TRSYS Canada'!$A7,"",ABS($C7-G$2)*100)</f>
        <v>#VALUE!</v>
      </c>
      <c r="H7" t="str">
        <f>IF(H$1='TRSYS Canada'!$A7,"",ABS($C7-H$2)*100)</f>
        <v/>
      </c>
      <c r="I7" t="e">
        <f>IF(I$1='TRSYS Canada'!$A7,"",ABS($C7-I$2)*100)</f>
        <v>#VALUE!</v>
      </c>
      <c r="Z7" s="4" t="str">
        <f ca="1">IF(OFFSET('Calc Canada'!$A$1,0,0,300)="","",OFFSET('Calc Canada'!$A$1,0,0,300))</f>
        <v/>
      </c>
      <c r="AA7" s="5" t="e">
        <f ca="1">IF(OFFSET('Calc Canada'!$A$1,0,MATCH(W$1,'Calc Canada'!$1:$1,0)-1,300)="","",OFFSET('Calc Canada'!$A$1,0,MATCH(W$1,'Calc Canada'!$1:$1,0)-1,300))</f>
        <v>#N/A</v>
      </c>
      <c r="AB7" s="5" t="e">
        <f ca="1">IF(OFFSET('Calc Canada'!$A$1,0,MATCH(X$1,'Calc Canada'!$1:$1,0)-1,300)="","",OFFSET('Calc Canada'!$A$1,0,MATCH(X$1,'Calc Canada'!$1:$1,0)-1,300))</f>
        <v>#N/A</v>
      </c>
      <c r="AC7" t="e">
        <f t="shared" ca="1" si="0"/>
        <v>#N/A</v>
      </c>
      <c r="AD7" t="e">
        <f t="shared" ca="1" si="1"/>
        <v>#N/A</v>
      </c>
    </row>
    <row r="8" spans="1:256" x14ac:dyDescent="0.25">
      <c r="A8" s="2" t="s">
        <v>20</v>
      </c>
      <c r="B8" t="s">
        <v>5</v>
      </c>
      <c r="C8" t="str">
        <f>_xll.BDP($B8&amp;" govt","YLD_CNV_MID")</f>
        <v>#N/A Requesting Data...</v>
      </c>
      <c r="D8" t="e">
        <f>IF(D$1='TRSYS Canada'!$A8,"",ABS($C8-D$2)*100)</f>
        <v>#VALUE!</v>
      </c>
      <c r="E8" t="e">
        <f>IF(E$1='TRSYS Canada'!$A8,"",ABS($C8-E$2)*100)</f>
        <v>#VALUE!</v>
      </c>
      <c r="F8" t="e">
        <f>IF(F$1='TRSYS Canada'!$A8,"",ABS($C8-F$2)*100)</f>
        <v>#VALUE!</v>
      </c>
      <c r="G8" t="e">
        <f>IF(G$1='TRSYS Canada'!$A8,"",ABS($C8-G$2)*100)</f>
        <v>#VALUE!</v>
      </c>
      <c r="H8" t="e">
        <f>IF(H$1='TRSYS Canada'!$A8,"",ABS($C8-H$2)*100)</f>
        <v>#VALUE!</v>
      </c>
      <c r="I8" t="str">
        <f>IF(I$1='TRSYS Canada'!$A8,"",ABS($C8-I$2)*100)</f>
        <v/>
      </c>
      <c r="Z8" s="4" t="str">
        <f ca="1">IF(OFFSET('Calc Canada'!$A$1,0,0,300)="","",OFFSET('Calc Canada'!$A$1,0,0,300))</f>
        <v/>
      </c>
      <c r="AA8" s="5" t="e">
        <f ca="1">IF(OFFSET('Calc Canada'!$A$1,0,MATCH(W$1,'Calc Canada'!$1:$1,0)-1,300)="","",OFFSET('Calc Canada'!$A$1,0,MATCH(W$1,'Calc Canada'!$1:$1,0)-1,300))</f>
        <v>#N/A</v>
      </c>
      <c r="AB8" s="5" t="e">
        <f ca="1">IF(OFFSET('Calc Canada'!$A$1,0,MATCH(X$1,'Calc Canada'!$1:$1,0)-1,300)="","",OFFSET('Calc Canada'!$A$1,0,MATCH(X$1,'Calc Canada'!$1:$1,0)-1,300))</f>
        <v>#N/A</v>
      </c>
      <c r="AC8" t="e">
        <f t="shared" ca="1" si="0"/>
        <v>#N/A</v>
      </c>
      <c r="AD8" t="e">
        <f t="shared" ca="1" si="1"/>
        <v>#N/A</v>
      </c>
    </row>
    <row r="9" spans="1:256" x14ac:dyDescent="0.25">
      <c r="H9" s="1" t="s">
        <v>10</v>
      </c>
      <c r="I9" s="1" t="s">
        <v>10</v>
      </c>
      <c r="J9" s="1" t="s">
        <v>10</v>
      </c>
      <c r="K9" s="1" t="s">
        <v>11</v>
      </c>
      <c r="L9" s="1" t="s">
        <v>11</v>
      </c>
      <c r="M9" s="1" t="s">
        <v>11</v>
      </c>
      <c r="N9" s="1" t="s">
        <v>11</v>
      </c>
      <c r="O9" s="1" t="s">
        <v>12</v>
      </c>
      <c r="P9" s="1" t="s">
        <v>12</v>
      </c>
      <c r="Q9" s="1" t="s">
        <v>12</v>
      </c>
      <c r="R9" s="1" t="s">
        <v>17</v>
      </c>
      <c r="S9" s="1" t="s">
        <v>86</v>
      </c>
      <c r="T9" s="1" t="s">
        <v>86</v>
      </c>
      <c r="Z9" s="4" t="str">
        <f ca="1">IF(OFFSET('Calc Canada'!$A$1,0,0,300)="","",OFFSET('Calc Canada'!$A$1,0,0,300))</f>
        <v/>
      </c>
      <c r="AA9" s="5" t="e">
        <f ca="1">IF(OFFSET('Calc Canada'!$A$1,0,MATCH(W$1,'Calc Canada'!$1:$1,0)-1,300)="","",OFFSET('Calc Canada'!$A$1,0,MATCH(W$1,'Calc Canada'!$1:$1,0)-1,300))</f>
        <v>#N/A</v>
      </c>
      <c r="AB9" s="5" t="e">
        <f ca="1">IF(OFFSET('Calc Canada'!$A$1,0,MATCH(X$1,'Calc Canada'!$1:$1,0)-1,300)="","",OFFSET('Calc Canada'!$A$1,0,MATCH(X$1,'Calc Canada'!$1:$1,0)-1,300))</f>
        <v>#N/A</v>
      </c>
      <c r="AC9" t="e">
        <f t="shared" ca="1" si="0"/>
        <v>#N/A</v>
      </c>
      <c r="AD9" t="e">
        <f t="shared" ca="1" si="1"/>
        <v>#N/A</v>
      </c>
    </row>
    <row r="10" spans="1:256" x14ac:dyDescent="0.25">
      <c r="H10" s="1" t="s">
        <v>13</v>
      </c>
      <c r="I10" s="1" t="s">
        <v>14</v>
      </c>
      <c r="J10" s="1" t="s">
        <v>15</v>
      </c>
      <c r="K10" s="1" t="s">
        <v>14</v>
      </c>
      <c r="L10" s="1" t="s">
        <v>15</v>
      </c>
      <c r="M10" s="1" t="s">
        <v>17</v>
      </c>
      <c r="N10" s="1" t="s">
        <v>16</v>
      </c>
      <c r="O10" s="1" t="s">
        <v>15</v>
      </c>
      <c r="P10" s="1" t="s">
        <v>16</v>
      </c>
      <c r="Q10" s="1" t="s">
        <v>18</v>
      </c>
      <c r="R10" s="1" t="s">
        <v>15</v>
      </c>
      <c r="S10" s="1" t="s">
        <v>15</v>
      </c>
      <c r="T10" s="1" t="s">
        <v>16</v>
      </c>
      <c r="Z10" s="4" t="str">
        <f ca="1">IF(OFFSET('Calc Canada'!$A$1,0,0,300)="","",OFFSET('Calc Canada'!$A$1,0,0,300))</f>
        <v/>
      </c>
      <c r="AA10" s="5" t="e">
        <f ca="1">IF(OFFSET('Calc Canada'!$A$1,0,MATCH(W$1,'Calc Canada'!$1:$1,0)-1,300)="","",OFFSET('Calc Canada'!$A$1,0,MATCH(W$1,'Calc Canada'!$1:$1,0)-1,300))</f>
        <v>#N/A</v>
      </c>
      <c r="AB10" s="5" t="e">
        <f ca="1">IF(OFFSET('Calc Canada'!$A$1,0,MATCH(X$1,'Calc Canada'!$1:$1,0)-1,300)="","",OFFSET('Calc Canada'!$A$1,0,MATCH(X$1,'Calc Canada'!$1:$1,0)-1,300))</f>
        <v>#N/A</v>
      </c>
      <c r="AC10" t="e">
        <f t="shared" ca="1" si="0"/>
        <v>#N/A</v>
      </c>
      <c r="AD10" t="e">
        <f t="shared" ca="1" si="1"/>
        <v>#N/A</v>
      </c>
    </row>
    <row r="11" spans="1:256" x14ac:dyDescent="0.25">
      <c r="B11" s="1" t="s">
        <v>6</v>
      </c>
      <c r="C11" s="1" t="s">
        <v>7</v>
      </c>
      <c r="D11" s="1" t="s">
        <v>8</v>
      </c>
      <c r="E11" s="1" t="s">
        <v>9</v>
      </c>
      <c r="F11" s="1" t="s">
        <v>19</v>
      </c>
      <c r="G11" s="1" t="s">
        <v>20</v>
      </c>
      <c r="H11">
        <v>1</v>
      </c>
      <c r="I11">
        <v>2</v>
      </c>
      <c r="J11">
        <v>3</v>
      </c>
      <c r="K11">
        <v>4</v>
      </c>
      <c r="L11">
        <v>5</v>
      </c>
      <c r="M11">
        <v>6</v>
      </c>
      <c r="N11">
        <v>7</v>
      </c>
      <c r="O11">
        <v>8</v>
      </c>
      <c r="P11">
        <v>9</v>
      </c>
      <c r="Q11">
        <v>10</v>
      </c>
      <c r="R11">
        <v>11</v>
      </c>
      <c r="S11">
        <v>12</v>
      </c>
      <c r="T11">
        <v>13</v>
      </c>
      <c r="Z11" s="4" t="str">
        <f ca="1">IF(OFFSET('Calc Canada'!$A$1,0,0,300)="","",OFFSET('Calc Canada'!$A$1,0,0,300))</f>
        <v/>
      </c>
      <c r="AA11" s="5" t="e">
        <f ca="1">IF(OFFSET('Calc Canada'!$A$1,0,MATCH(W$1,'Calc Canada'!$1:$1,0)-1,300)="","",OFFSET('Calc Canada'!$A$1,0,MATCH(W$1,'Calc Canada'!$1:$1,0)-1,300))</f>
        <v>#N/A</v>
      </c>
      <c r="AB11" s="5" t="e">
        <f ca="1">IF(OFFSET('Calc Canada'!$A$1,0,MATCH(X$1,'Calc Canada'!$1:$1,0)-1,300)="","",OFFSET('Calc Canada'!$A$1,0,MATCH(X$1,'Calc Canada'!$1:$1,0)-1,300))</f>
        <v>#N/A</v>
      </c>
      <c r="AC11" t="e">
        <f t="shared" ca="1" si="0"/>
        <v>#N/A</v>
      </c>
      <c r="AD11" t="e">
        <f t="shared" ca="1" si="1"/>
        <v>#N/A</v>
      </c>
    </row>
    <row r="12" spans="1:256" x14ac:dyDescent="0.25">
      <c r="A12" t="s">
        <v>130</v>
      </c>
      <c r="B12" t="s">
        <v>107</v>
      </c>
      <c r="C12" t="s">
        <v>108</v>
      </c>
      <c r="D12" t="s">
        <v>109</v>
      </c>
      <c r="E12" t="s">
        <v>110</v>
      </c>
      <c r="F12" t="s">
        <v>111</v>
      </c>
      <c r="G12" t="s">
        <v>112</v>
      </c>
      <c r="H12" t="str">
        <f t="shared" ref="H12:T12" si="2">H9&amp;" vs "&amp;H10</f>
        <v>03-05 vs 02-07</v>
      </c>
      <c r="I12" t="str">
        <f t="shared" si="2"/>
        <v>03-05 vs 02-10</v>
      </c>
      <c r="J12" t="str">
        <f t="shared" si="2"/>
        <v>03-05 vs 02-30</v>
      </c>
      <c r="K12" t="str">
        <f t="shared" si="2"/>
        <v>05-07 vs 02-10</v>
      </c>
      <c r="L12" t="str">
        <f t="shared" si="2"/>
        <v>05-07 vs 02-30</v>
      </c>
      <c r="M12" t="str">
        <f t="shared" si="2"/>
        <v>05-07 vs 03-10</v>
      </c>
      <c r="N12" t="str">
        <f t="shared" si="2"/>
        <v>05-07 vs 03-30</v>
      </c>
      <c r="O12" t="str">
        <f t="shared" si="2"/>
        <v>07-10 vs 02-30</v>
      </c>
      <c r="P12" t="str">
        <f t="shared" si="2"/>
        <v>07-10 vs 03-30</v>
      </c>
      <c r="Q12" t="str">
        <f t="shared" si="2"/>
        <v>07-10 vs 05-30</v>
      </c>
      <c r="R12" t="str">
        <f t="shared" si="2"/>
        <v>03-10 vs 02-30</v>
      </c>
      <c r="S12" t="str">
        <f t="shared" si="2"/>
        <v>05-10 vs 02-30</v>
      </c>
      <c r="T12" t="str">
        <f t="shared" si="2"/>
        <v>05-10 vs 03-30</v>
      </c>
      <c r="W12" s="5" t="str">
        <f ca="1">"TRSY: "&amp;OFFSET($H$12,0,MATCH(selectCanada,$H$12:$T$12,0)-1,300,1)</f>
        <v>TRSY: 03-10 vs 02-30</v>
      </c>
      <c r="Z12" s="4" t="str">
        <f ca="1">IF(OFFSET('Calc Canada'!$A$1,0,0,300)="","",OFFSET('Calc Canada'!$A$1,0,0,300))</f>
        <v/>
      </c>
      <c r="AA12" s="5" t="e">
        <f ca="1">IF(OFFSET('Calc Canada'!$A$1,0,MATCH(W$1,'Calc Canada'!$1:$1,0)-1,300)="","",OFFSET('Calc Canada'!$A$1,0,MATCH(W$1,'Calc Canada'!$1:$1,0)-1,300))</f>
        <v>#N/A</v>
      </c>
      <c r="AB12" s="5" t="e">
        <f ca="1">IF(OFFSET('Calc Canada'!$A$1,0,MATCH(X$1,'Calc Canada'!$1:$1,0)-1,300)="","",OFFSET('Calc Canada'!$A$1,0,MATCH(X$1,'Calc Canada'!$1:$1,0)-1,300))</f>
        <v>#N/A</v>
      </c>
      <c r="AC12" t="e">
        <f t="shared" ca="1" si="0"/>
        <v>#N/A</v>
      </c>
      <c r="AD12" t="e">
        <f t="shared" ca="1" si="1"/>
        <v>#N/A</v>
      </c>
    </row>
    <row r="13" spans="1:256" x14ac:dyDescent="0.25">
      <c r="A13" s="4" t="str">
        <f>_xll.BDH(B$12&amp;" govt","YLD_CNV_MID","ed-2ay","","Sort=D","cols=2;rows=522")</f>
        <v>#N/A Requesting Data...</v>
      </c>
      <c r="B13">
        <v>0.499</v>
      </c>
      <c r="C13" s="5" t="str">
        <f>_xll.BDH(C$12&amp;" govt","YLD_CNV_MID","ed-2ay","","Dts=H","Sort=D","cols=1;rows=522")</f>
        <v>#N/A Requesting Data...</v>
      </c>
      <c r="D13" s="5" t="str">
        <f>_xll.BDH(D$12&amp;" govt","YLD_CNV_MID","ed-2ay","","Dts=H","Sort=D","cols=1;rows=522")</f>
        <v>#N/A Requesting Data...</v>
      </c>
      <c r="E13" s="5" t="str">
        <f>_xll.BDH(E$12&amp;" govt","YLD_CNV_MID","ed-2ay","","Dts=H","Sort=D","cols=1;rows=522")</f>
        <v>#N/A Requesting Data...</v>
      </c>
      <c r="F13" s="5" t="str">
        <f>_xll.BDH(F$12&amp;" govt","YLD_CNV_MID","ed-2ay","","Dts=H","Sort=D","cols=1;rows=522")</f>
        <v>#N/A Requesting Data...</v>
      </c>
      <c r="G13" s="5" t="str">
        <f>_xll.BDH(G$12&amp;" govt","YLD_CNV_MID","ed-2ay","","Dts=H","Sort=D","cols=1;rows=522")</f>
        <v>#N/A Requesting Data...</v>
      </c>
      <c r="H13" t="str">
        <f ca="1">IF(ISERROR(ABS(OFFSET($A$11,ROW()-11,MATCH(LEFT(H$9,2),$A$11:$G$11,0)-1)-OFFSET($A$11,ROW()-11,MATCH(RIGHT(H$9,2),$A$11:$G$11,0)-1))/ABS(OFFSET($A$11,ROW()-11,MATCH(LEFT(H$10,2),$A$11:$G$11,0)-1)-OFFSET($A$11,ROW()-11,MATCH(RIGHT(H$10,2),$A$11:$G$11,0)-1))),"",ABS(OFFSET($A$11,ROW()-11,MATCH(LEFT(H$9,2),$A$11:$G$11,0)-1)-OFFSET($A$11,ROW()-11,MATCH(RIGHT(H$9,2),$A$11:$G$11,0)-1))/ABS(OFFSET($A$11,ROW()-11,MATCH(LEFT(H$10,2),$A$11:$G$11,0)-1)-OFFSET($A$11,ROW()-11,MATCH(RIGHT(H$10,2),$A$11:$G$11,0)-1)))</f>
        <v/>
      </c>
      <c r="I13" t="str">
        <f t="shared" ref="H13:T28" ca="1" si="3">IF(ISERROR(ABS(OFFSET($A$11,ROW()-11,MATCH(LEFT(I$9,2),$A$11:$G$11,0)-1)-OFFSET($A$11,ROW()-11,MATCH(RIGHT(I$9,2),$A$11:$G$11,0)-1))/ABS(OFFSET($A$11,ROW()-11,MATCH(LEFT(I$10,2),$A$11:$G$11,0)-1)-OFFSET($A$11,ROW()-11,MATCH(RIGHT(I$10,2),$A$11:$G$11,0)-1))),"",ABS(OFFSET($A$11,ROW()-11,MATCH(LEFT(I$9,2),$A$11:$G$11,0)-1)-OFFSET($A$11,ROW()-11,MATCH(RIGHT(I$9,2),$A$11:$G$11,0)-1))/ABS(OFFSET($A$11,ROW()-11,MATCH(LEFT(I$10,2),$A$11:$G$11,0)-1)-OFFSET($A$11,ROW()-11,MATCH(RIGHT(I$10,2),$A$11:$G$11,0)-1)))</f>
        <v/>
      </c>
      <c r="J13" t="str">
        <f t="shared" ca="1" si="3"/>
        <v/>
      </c>
      <c r="K13" t="str">
        <f t="shared" ca="1" si="3"/>
        <v/>
      </c>
      <c r="L13" t="str">
        <f t="shared" ca="1" si="3"/>
        <v/>
      </c>
      <c r="M13" t="str">
        <f t="shared" ca="1" si="3"/>
        <v/>
      </c>
      <c r="N13" t="str">
        <f t="shared" ca="1" si="3"/>
        <v/>
      </c>
      <c r="O13" t="str">
        <f t="shared" ca="1" si="3"/>
        <v/>
      </c>
      <c r="P13" t="str">
        <f t="shared" ca="1" si="3"/>
        <v/>
      </c>
      <c r="Q13" t="str">
        <f t="shared" ca="1" si="3"/>
        <v/>
      </c>
      <c r="R13" t="str">
        <f t="shared" ca="1" si="3"/>
        <v/>
      </c>
      <c r="S13" t="str">
        <f ca="1">IF(ISERROR(ABS(OFFSET($A$11,ROW()-11,MATCH(LEFT(S$9,2),$A$11:$G$11,0)-1)-OFFSET($A$11,ROW()-11,MATCH(RIGHT(S$9,2),$A$11:$G$11,0)-1))/ABS(OFFSET($A$11,ROW()-11,MATCH(LEFT(S$10,2),$A$11:$G$11,0)-1)-OFFSET($A$11,ROW()-11,MATCH(RIGHT(S$10,2),$A$11:$G$11,0)-1))),"",ABS(OFFSET($A$11,ROW()-11,MATCH(LEFT(S$9,2),$A$11:$G$11,0)-1)-OFFSET($A$11,ROW()-11,MATCH(RIGHT(S$9,2),$A$11:$G$11,0)-1))/ABS(OFFSET($A$11,ROW()-11,MATCH(LEFT(S$10,2),$A$11:$G$11,0)-1)-OFFSET($A$11,ROW()-11,MATCH(RIGHT(S$10,2),$A$11:$G$11,0)-1)))</f>
        <v/>
      </c>
      <c r="T13" t="str">
        <f t="shared" ca="1" si="3"/>
        <v/>
      </c>
      <c r="U13" s="4"/>
      <c r="V13" s="4" t="str">
        <f>IF(A13&lt;&gt;"",A13,"")</f>
        <v>#N/A Requesting Data...</v>
      </c>
      <c r="W13" s="5" t="str">
        <f t="shared" ref="W13:W75" ca="1" si="4">OFFSET($H$12,0,MATCH(selectCanada,$H$12:$T$12,0)-1,300,1)</f>
        <v/>
      </c>
      <c r="X13" s="4"/>
      <c r="Y13" s="4"/>
      <c r="Z13" s="4" t="str">
        <f ca="1">IF(OFFSET('Calc Canada'!$A$1,0,0,300)="","",OFFSET('Calc Canada'!$A$1,0,0,300))</f>
        <v/>
      </c>
      <c r="AA13" s="5" t="e">
        <f ca="1">IF(OFFSET('Calc Canada'!$A$1,0,MATCH(W$1,'Calc Canada'!$1:$1,0)-1,300)="","",OFFSET('Calc Canada'!$A$1,0,MATCH(W$1,'Calc Canada'!$1:$1,0)-1,300))</f>
        <v>#N/A</v>
      </c>
      <c r="AB13" s="5" t="e">
        <f ca="1">IF(OFFSET('Calc Canada'!$A$1,0,MATCH(X$1,'Calc Canada'!$1:$1,0)-1,300)="","",OFFSET('Calc Canada'!$A$1,0,MATCH(X$1,'Calc Canada'!$1:$1,0)-1,300))</f>
        <v>#N/A</v>
      </c>
      <c r="AC13" t="e">
        <f t="shared" ca="1" si="0"/>
        <v>#N/A</v>
      </c>
      <c r="AD13" t="e">
        <f t="shared" ca="1" si="1"/>
        <v>#N/A</v>
      </c>
      <c r="AE13" s="4"/>
      <c r="AF13" s="4"/>
      <c r="AG13" s="4"/>
      <c r="AH13" s="4"/>
      <c r="AI13" s="4"/>
      <c r="AJ13" s="4"/>
      <c r="AK13" s="4"/>
      <c r="AL13" s="4"/>
      <c r="AM13" s="4"/>
      <c r="AN13" s="4"/>
      <c r="AO13" s="4"/>
      <c r="AP13" s="4"/>
      <c r="AQ13" s="4"/>
      <c r="AR13" s="4"/>
      <c r="AS13" s="4"/>
      <c r="AT13" s="4"/>
      <c r="AU13" s="4"/>
      <c r="AV13" s="4"/>
      <c r="AW13" s="4"/>
      <c r="AX13" s="4"/>
      <c r="AY13" s="4"/>
      <c r="AZ13" s="4"/>
      <c r="BA13" s="4"/>
      <c r="BB13" s="4"/>
      <c r="BC13" s="4"/>
      <c r="BD13" s="4"/>
      <c r="BE13" s="4"/>
      <c r="BF13" s="4"/>
      <c r="BG13" s="4"/>
      <c r="BH13" s="4"/>
      <c r="BI13" s="4"/>
      <c r="BJ13" s="4"/>
      <c r="BK13" s="4"/>
      <c r="BL13" s="4"/>
      <c r="BM13" s="4"/>
      <c r="BN13" s="4"/>
      <c r="BO13" s="4"/>
      <c r="BP13" s="4"/>
      <c r="BQ13" s="4"/>
      <c r="BR13" s="4"/>
      <c r="BS13" s="4"/>
      <c r="BT13" s="4"/>
      <c r="BU13" s="4"/>
      <c r="BV13" s="4"/>
      <c r="BW13" s="4"/>
      <c r="BX13" s="4"/>
      <c r="BY13" s="4"/>
      <c r="BZ13" s="4"/>
      <c r="CA13" s="4"/>
      <c r="CB13" s="4"/>
      <c r="CC13" s="4"/>
      <c r="CD13" s="4"/>
      <c r="CE13" s="4"/>
      <c r="CF13" s="4"/>
      <c r="CG13" s="4"/>
      <c r="CH13" s="4"/>
      <c r="CI13" s="4"/>
      <c r="CJ13" s="4"/>
      <c r="CK13" s="4"/>
      <c r="CL13" s="4"/>
      <c r="CM13" s="4"/>
      <c r="CN13" s="4"/>
      <c r="CO13" s="4"/>
      <c r="CP13" s="4"/>
      <c r="CQ13" s="4"/>
      <c r="CR13" s="4"/>
      <c r="CS13" s="4"/>
      <c r="CT13" s="4"/>
      <c r="CU13" s="4"/>
      <c r="CV13" s="4"/>
      <c r="CW13" s="4"/>
      <c r="CX13" s="4"/>
      <c r="CY13" s="4"/>
      <c r="CZ13" s="4"/>
      <c r="DA13" s="4"/>
      <c r="DB13" s="4"/>
      <c r="DC13" s="4"/>
      <c r="DD13" s="4"/>
      <c r="DE13" s="4"/>
      <c r="DF13" s="4"/>
      <c r="DG13" s="4"/>
      <c r="DH13" s="4"/>
      <c r="DI13" s="4"/>
      <c r="DJ13" s="4"/>
      <c r="DK13" s="4"/>
      <c r="DL13" s="4"/>
      <c r="DM13" s="4"/>
      <c r="DN13" s="4"/>
      <c r="DO13" s="4"/>
      <c r="DP13" s="4"/>
      <c r="DQ13" s="4"/>
      <c r="DR13" s="4"/>
      <c r="DS13" s="4"/>
      <c r="DT13" s="4"/>
      <c r="DU13" s="4"/>
      <c r="DV13" s="4"/>
      <c r="DW13" s="4"/>
      <c r="DX13" s="4"/>
      <c r="DY13" s="4"/>
      <c r="DZ13" s="4"/>
      <c r="EA13" s="4"/>
      <c r="EB13" s="4"/>
      <c r="EC13" s="4"/>
      <c r="ED13" s="4"/>
      <c r="EE13" s="4"/>
      <c r="EF13" s="4"/>
      <c r="EG13" s="4"/>
      <c r="EH13" s="4"/>
      <c r="EI13" s="4"/>
      <c r="EJ13" s="4"/>
      <c r="EK13" s="4"/>
      <c r="EL13" s="4"/>
      <c r="EM13" s="4"/>
      <c r="EN13" s="4"/>
      <c r="EO13" s="4"/>
      <c r="EP13" s="4"/>
      <c r="EQ13" s="4"/>
      <c r="ER13" s="4"/>
      <c r="ES13" s="4"/>
      <c r="ET13" s="4"/>
      <c r="EU13" s="4"/>
      <c r="EV13" s="4"/>
      <c r="EW13" s="4"/>
      <c r="EX13" s="4"/>
      <c r="EY13" s="4"/>
      <c r="EZ13" s="4"/>
      <c r="FA13" s="4"/>
      <c r="FB13" s="4"/>
      <c r="FC13" s="4"/>
      <c r="FD13" s="4"/>
      <c r="FE13" s="4"/>
      <c r="FF13" s="4"/>
      <c r="FG13" s="4"/>
      <c r="FH13" s="4"/>
      <c r="FI13" s="4"/>
      <c r="FJ13" s="4"/>
      <c r="FK13" s="4"/>
      <c r="FL13" s="4"/>
      <c r="FM13" s="4"/>
      <c r="FN13" s="4"/>
      <c r="FO13" s="4"/>
      <c r="FP13" s="4"/>
      <c r="FQ13" s="4"/>
      <c r="FR13" s="4"/>
      <c r="FS13" s="4"/>
      <c r="FT13" s="4"/>
      <c r="FU13" s="4"/>
      <c r="FV13" s="4"/>
      <c r="FW13" s="4"/>
      <c r="FX13" s="4"/>
      <c r="FY13" s="4"/>
      <c r="FZ13" s="4"/>
      <c r="GA13" s="4"/>
      <c r="GB13" s="4"/>
      <c r="GC13" s="4"/>
      <c r="GD13" s="4"/>
      <c r="GE13" s="4"/>
      <c r="GF13" s="4"/>
      <c r="GG13" s="4"/>
      <c r="GH13" s="4"/>
      <c r="GI13" s="4"/>
      <c r="GJ13" s="4"/>
      <c r="GK13" s="4"/>
      <c r="GL13" s="4"/>
      <c r="GM13" s="4"/>
      <c r="GN13" s="4"/>
      <c r="GO13" s="4"/>
      <c r="GP13" s="4"/>
      <c r="GQ13" s="4"/>
      <c r="GR13" s="4"/>
      <c r="GS13" s="4"/>
      <c r="GT13" s="4"/>
      <c r="GU13" s="4"/>
      <c r="GV13" s="4"/>
      <c r="GW13" s="4"/>
      <c r="GX13" s="4"/>
      <c r="GY13" s="4"/>
      <c r="GZ13" s="4"/>
      <c r="HA13" s="4"/>
      <c r="HB13" s="4"/>
      <c r="HC13" s="4"/>
      <c r="HD13" s="4"/>
      <c r="HE13" s="4"/>
      <c r="HF13" s="4"/>
      <c r="HG13" s="4"/>
      <c r="HH13" s="4"/>
      <c r="HI13" s="4"/>
      <c r="HJ13" s="4"/>
      <c r="HK13" s="4"/>
      <c r="HL13" s="4"/>
      <c r="HM13" s="4"/>
      <c r="HN13" s="4"/>
      <c r="HO13" s="4"/>
      <c r="HP13" s="4"/>
      <c r="HQ13" s="4"/>
      <c r="HR13" s="4"/>
      <c r="HS13" s="4"/>
      <c r="HT13" s="4"/>
      <c r="HU13" s="4"/>
      <c r="HV13" s="4"/>
      <c r="HW13" s="4"/>
      <c r="HX13" s="4"/>
      <c r="HY13" s="4"/>
      <c r="HZ13" s="4"/>
      <c r="IA13" s="4"/>
      <c r="IB13" s="4"/>
      <c r="IC13" s="4"/>
      <c r="ID13" s="4"/>
      <c r="IE13" s="4"/>
      <c r="IF13" s="4"/>
      <c r="IG13" s="4"/>
      <c r="IH13" s="4"/>
      <c r="II13" s="4"/>
      <c r="IJ13" s="4"/>
      <c r="IK13" s="4"/>
      <c r="IL13" s="4"/>
      <c r="IM13" s="4"/>
      <c r="IN13" s="4"/>
      <c r="IO13" s="4"/>
      <c r="IP13" s="4"/>
      <c r="IQ13" s="4"/>
      <c r="IR13" s="4"/>
      <c r="IS13" s="4"/>
      <c r="IT13" s="4"/>
      <c r="IU13" s="4"/>
      <c r="IV13" s="4"/>
    </row>
    <row r="14" spans="1:256" x14ac:dyDescent="0.25">
      <c r="A14" s="4">
        <v>42107</v>
      </c>
      <c r="B14">
        <v>0.51900000000000002</v>
      </c>
      <c r="C14" s="5">
        <v>0.49199999999999999</v>
      </c>
      <c r="D14">
        <v>0.76400000000000001</v>
      </c>
      <c r="E14">
        <v>1.0149999999999999</v>
      </c>
      <c r="F14">
        <v>1.35</v>
      </c>
      <c r="G14">
        <v>2.02</v>
      </c>
      <c r="H14">
        <f t="shared" ca="1" si="3"/>
        <v>0.54838709677419373</v>
      </c>
      <c r="I14">
        <f t="shared" ca="1" si="3"/>
        <v>0.32731648616125147</v>
      </c>
      <c r="J14">
        <f t="shared" ca="1" si="3"/>
        <v>0.18121252498334448</v>
      </c>
      <c r="K14">
        <f t="shared" ca="1" si="3"/>
        <v>0.30204572803850765</v>
      </c>
      <c r="L14">
        <f t="shared" ca="1" si="3"/>
        <v>0.16722185209860088</v>
      </c>
      <c r="M14">
        <f t="shared" ca="1" si="3"/>
        <v>0.2925407925407924</v>
      </c>
      <c r="N14">
        <f t="shared" ca="1" si="3"/>
        <v>0.16426701570680621</v>
      </c>
      <c r="O14">
        <f t="shared" ca="1" si="3"/>
        <v>0.22318454363757509</v>
      </c>
      <c r="P14">
        <f t="shared" ca="1" si="3"/>
        <v>0.21924083769633521</v>
      </c>
      <c r="Q14">
        <f t="shared" ca="1" si="3"/>
        <v>0.26671974522293007</v>
      </c>
      <c r="R14">
        <f t="shared" ca="1" si="3"/>
        <v>0.57161892071952047</v>
      </c>
      <c r="S14">
        <f t="shared" ca="1" si="3"/>
        <v>0.39040639573617597</v>
      </c>
      <c r="T14">
        <f t="shared" ca="1" si="3"/>
        <v>0.38350785340314142</v>
      </c>
      <c r="V14" s="4">
        <f t="shared" ref="V14:V77" si="5">IF(A14&lt;&gt;"",A14,"")</f>
        <v>42107</v>
      </c>
      <c r="W14" s="5">
        <f t="shared" ca="1" si="4"/>
        <v>0.57161892071952047</v>
      </c>
      <c r="Z14" s="4" t="str">
        <f ca="1">IF(OFFSET('Calc Canada'!$A$1,0,0,300)="","",OFFSET('Calc Canada'!$A$1,0,0,300))</f>
        <v/>
      </c>
      <c r="AA14" s="5" t="e">
        <f ca="1">IF(OFFSET('Calc Canada'!$A$1,0,MATCH(W$1,'Calc Canada'!$1:$1,0)-1,300)="","",OFFSET('Calc Canada'!$A$1,0,MATCH(W$1,'Calc Canada'!$1:$1,0)-1,300))</f>
        <v>#N/A</v>
      </c>
      <c r="AB14" s="5" t="e">
        <f ca="1">IF(OFFSET('Calc Canada'!$A$1,0,MATCH(X$1,'Calc Canada'!$1:$1,0)-1,300)="","",OFFSET('Calc Canada'!$A$1,0,MATCH(X$1,'Calc Canada'!$1:$1,0)-1,300))</f>
        <v>#N/A</v>
      </c>
      <c r="AC14" t="e">
        <f t="shared" ca="1" si="0"/>
        <v>#N/A</v>
      </c>
      <c r="AD14" t="e">
        <f t="shared" ca="1" si="1"/>
        <v>#N/A</v>
      </c>
    </row>
    <row r="15" spans="1:256" x14ac:dyDescent="0.25">
      <c r="A15" s="4">
        <v>42104</v>
      </c>
      <c r="B15">
        <v>0.52400000000000002</v>
      </c>
      <c r="C15" s="5">
        <v>0.503</v>
      </c>
      <c r="D15">
        <v>0.78600000000000003</v>
      </c>
      <c r="E15">
        <v>1.0369999999999999</v>
      </c>
      <c r="F15">
        <v>1.369</v>
      </c>
      <c r="G15">
        <v>2.0369999999999999</v>
      </c>
      <c r="H15">
        <f t="shared" ca="1" si="3"/>
        <v>0.55165692007797285</v>
      </c>
      <c r="I15">
        <f t="shared" ca="1" si="3"/>
        <v>0.33491124260355032</v>
      </c>
      <c r="J15">
        <f t="shared" ca="1" si="3"/>
        <v>0.18704560475875748</v>
      </c>
      <c r="K15">
        <f t="shared" ca="1" si="3"/>
        <v>0.29704142011834306</v>
      </c>
      <c r="L15">
        <f t="shared" ca="1" si="3"/>
        <v>0.16589557171183072</v>
      </c>
      <c r="M15">
        <f t="shared" ca="1" si="3"/>
        <v>0.28983833718244789</v>
      </c>
      <c r="N15">
        <f t="shared" ca="1" si="3"/>
        <v>0.16362451108213816</v>
      </c>
      <c r="O15">
        <f t="shared" ca="1" si="3"/>
        <v>0.21943159286186392</v>
      </c>
      <c r="P15">
        <f t="shared" ca="1" si="3"/>
        <v>0.2164276401564538</v>
      </c>
      <c r="Q15">
        <f t="shared" ca="1" si="3"/>
        <v>0.26538768984812161</v>
      </c>
      <c r="R15">
        <f t="shared" ca="1" si="3"/>
        <v>0.57237276933245207</v>
      </c>
      <c r="S15">
        <f t="shared" ca="1" si="3"/>
        <v>0.38532716457369465</v>
      </c>
      <c r="T15">
        <f t="shared" ca="1" si="3"/>
        <v>0.38005215123859193</v>
      </c>
      <c r="V15" s="4">
        <f t="shared" si="5"/>
        <v>42104</v>
      </c>
      <c r="W15" s="5">
        <f t="shared" ca="1" si="4"/>
        <v>0.57237276933245207</v>
      </c>
      <c r="Z15" s="4" t="str">
        <f ca="1">IF(OFFSET('Calc Canada'!$A$1,0,0,300)="","",OFFSET('Calc Canada'!$A$1,0,0,300))</f>
        <v/>
      </c>
      <c r="AA15" s="5" t="e">
        <f ca="1">IF(OFFSET('Calc Canada'!$A$1,0,MATCH(W$1,'Calc Canada'!$1:$1,0)-1,300)="","",OFFSET('Calc Canada'!$A$1,0,MATCH(W$1,'Calc Canada'!$1:$1,0)-1,300))</f>
        <v>#N/A</v>
      </c>
      <c r="AB15" s="5" t="e">
        <f ca="1">IF(OFFSET('Calc Canada'!$A$1,0,MATCH(X$1,'Calc Canada'!$1:$1,0)-1,300)="","",OFFSET('Calc Canada'!$A$1,0,MATCH(X$1,'Calc Canada'!$1:$1,0)-1,300))</f>
        <v>#N/A</v>
      </c>
      <c r="AC15" t="e">
        <f t="shared" ca="1" si="0"/>
        <v>#N/A</v>
      </c>
      <c r="AD15" t="e">
        <f t="shared" ca="1" si="1"/>
        <v>#N/A</v>
      </c>
    </row>
    <row r="16" spans="1:256" x14ac:dyDescent="0.25">
      <c r="A16" s="4">
        <v>42103</v>
      </c>
      <c r="B16">
        <v>0.51200000000000001</v>
      </c>
      <c r="C16" s="5">
        <v>0.48799999999999999</v>
      </c>
      <c r="D16">
        <v>0.77900000000000003</v>
      </c>
      <c r="E16">
        <v>1.0349999999999999</v>
      </c>
      <c r="F16">
        <v>1.37</v>
      </c>
      <c r="G16">
        <v>2.032</v>
      </c>
      <c r="H16">
        <f t="shared" ca="1" si="3"/>
        <v>0.55640535372848965</v>
      </c>
      <c r="I16">
        <f t="shared" ca="1" si="3"/>
        <v>0.33916083916083917</v>
      </c>
      <c r="J16">
        <f t="shared" ca="1" si="3"/>
        <v>0.19144736842105264</v>
      </c>
      <c r="K16">
        <f t="shared" ca="1" si="3"/>
        <v>0.2983682983682982</v>
      </c>
      <c r="L16">
        <f t="shared" ca="1" si="3"/>
        <v>0.16842105263157889</v>
      </c>
      <c r="M16">
        <f t="shared" ca="1" si="3"/>
        <v>0.2902494331065758</v>
      </c>
      <c r="N16">
        <f t="shared" ca="1" si="3"/>
        <v>0.16580310880829008</v>
      </c>
      <c r="O16">
        <f t="shared" ca="1" si="3"/>
        <v>0.22039473684210539</v>
      </c>
      <c r="P16">
        <f t="shared" ca="1" si="3"/>
        <v>0.21696891191709855</v>
      </c>
      <c r="Q16">
        <f t="shared" ca="1" si="3"/>
        <v>0.26735833998403841</v>
      </c>
      <c r="R16">
        <f t="shared" ca="1" si="3"/>
        <v>0.58026315789473693</v>
      </c>
      <c r="S16">
        <f t="shared" ca="1" si="3"/>
        <v>0.38881578947368428</v>
      </c>
      <c r="T16">
        <f t="shared" ca="1" si="3"/>
        <v>0.38277202072538863</v>
      </c>
      <c r="V16" s="4">
        <f t="shared" si="5"/>
        <v>42103</v>
      </c>
      <c r="W16" s="5">
        <f t="shared" ca="1" si="4"/>
        <v>0.58026315789473693</v>
      </c>
      <c r="Z16" s="4" t="str">
        <f ca="1">IF(OFFSET('Calc Canada'!$A$1,0,0,300)="","",OFFSET('Calc Canada'!$A$1,0,0,300))</f>
        <v/>
      </c>
      <c r="AA16" s="5" t="e">
        <f ca="1">IF(OFFSET('Calc Canada'!$A$1,0,MATCH(W$1,'Calc Canada'!$1:$1,0)-1,300)="","",OFFSET('Calc Canada'!$A$1,0,MATCH(W$1,'Calc Canada'!$1:$1,0)-1,300))</f>
        <v>#N/A</v>
      </c>
      <c r="AB16" s="5" t="e">
        <f ca="1">IF(OFFSET('Calc Canada'!$A$1,0,MATCH(X$1,'Calc Canada'!$1:$1,0)-1,300)="","",OFFSET('Calc Canada'!$A$1,0,MATCH(X$1,'Calc Canada'!$1:$1,0)-1,300))</f>
        <v>#N/A</v>
      </c>
      <c r="AC16" t="e">
        <f t="shared" ca="1" si="0"/>
        <v>#N/A</v>
      </c>
      <c r="AD16" t="e">
        <f t="shared" ca="1" si="1"/>
        <v>#N/A</v>
      </c>
    </row>
    <row r="17" spans="1:30" x14ac:dyDescent="0.25">
      <c r="A17" s="4">
        <v>42102</v>
      </c>
      <c r="B17">
        <v>0.505</v>
      </c>
      <c r="C17" s="5">
        <v>0.48399999999999999</v>
      </c>
      <c r="D17">
        <v>0.76100000000000001</v>
      </c>
      <c r="E17">
        <v>1.0109999999999999</v>
      </c>
      <c r="F17">
        <v>1.337</v>
      </c>
      <c r="G17">
        <v>1.9889999999999999</v>
      </c>
      <c r="H17">
        <f t="shared" ca="1" si="3"/>
        <v>0.54743083003952586</v>
      </c>
      <c r="I17">
        <f t="shared" ca="1" si="3"/>
        <v>0.33293269230769235</v>
      </c>
      <c r="J17">
        <f t="shared" ca="1" si="3"/>
        <v>0.18665768194070081</v>
      </c>
      <c r="K17">
        <f t="shared" ca="1" si="3"/>
        <v>0.30048076923076911</v>
      </c>
      <c r="L17">
        <f t="shared" ca="1" si="3"/>
        <v>0.16846361185983821</v>
      </c>
      <c r="M17">
        <f t="shared" ca="1" si="3"/>
        <v>0.29308323563892136</v>
      </c>
      <c r="N17">
        <f t="shared" ca="1" si="3"/>
        <v>0.16611295681063118</v>
      </c>
      <c r="O17">
        <f t="shared" ca="1" si="3"/>
        <v>0.21967654986522916</v>
      </c>
      <c r="P17">
        <f t="shared" ca="1" si="3"/>
        <v>0.21661129568106319</v>
      </c>
      <c r="Q17">
        <f t="shared" ca="1" si="3"/>
        <v>0.26547231270358318</v>
      </c>
      <c r="R17">
        <f t="shared" ca="1" si="3"/>
        <v>0.57479784366576814</v>
      </c>
      <c r="S17">
        <f t="shared" ca="1" si="3"/>
        <v>0.38814016172506738</v>
      </c>
      <c r="T17">
        <f t="shared" ca="1" si="3"/>
        <v>0.38272425249169434</v>
      </c>
      <c r="V17" s="4">
        <f t="shared" si="5"/>
        <v>42102</v>
      </c>
      <c r="W17" s="5">
        <f t="shared" ca="1" si="4"/>
        <v>0.57479784366576814</v>
      </c>
      <c r="Z17" s="4" t="str">
        <f ca="1">IF(OFFSET('Calc Canada'!$A$1,0,0,300)="","",OFFSET('Calc Canada'!$A$1,0,0,300))</f>
        <v/>
      </c>
      <c r="AA17" s="5" t="e">
        <f ca="1">IF(OFFSET('Calc Canada'!$A$1,0,MATCH(W$1,'Calc Canada'!$1:$1,0)-1,300)="","",OFFSET('Calc Canada'!$A$1,0,MATCH(W$1,'Calc Canada'!$1:$1,0)-1,300))</f>
        <v>#N/A</v>
      </c>
      <c r="AB17" s="5" t="e">
        <f ca="1">IF(OFFSET('Calc Canada'!$A$1,0,MATCH(X$1,'Calc Canada'!$1:$1,0)-1,300)="","",OFFSET('Calc Canada'!$A$1,0,MATCH(X$1,'Calc Canada'!$1:$1,0)-1,300))</f>
        <v>#N/A</v>
      </c>
      <c r="AC17" t="e">
        <f t="shared" ca="1" si="0"/>
        <v>#N/A</v>
      </c>
      <c r="AD17" t="e">
        <f t="shared" ca="1" si="1"/>
        <v>#N/A</v>
      </c>
    </row>
    <row r="18" spans="1:30" x14ac:dyDescent="0.25">
      <c r="A18" s="4">
        <v>42101</v>
      </c>
      <c r="B18">
        <v>0.501</v>
      </c>
      <c r="C18" s="5">
        <v>0.47799999999999998</v>
      </c>
      <c r="D18">
        <v>0.754</v>
      </c>
      <c r="E18">
        <v>1.008</v>
      </c>
      <c r="F18">
        <v>1.3380000000000001</v>
      </c>
      <c r="G18">
        <v>1.986</v>
      </c>
      <c r="H18">
        <f t="shared" ca="1" si="3"/>
        <v>0.54437869822485208</v>
      </c>
      <c r="I18">
        <f t="shared" ca="1" si="3"/>
        <v>0.32974910394265233</v>
      </c>
      <c r="J18">
        <f t="shared" ca="1" si="3"/>
        <v>0.18585858585858589</v>
      </c>
      <c r="K18">
        <f t="shared" ca="1" si="3"/>
        <v>0.3034647550776583</v>
      </c>
      <c r="L18">
        <f t="shared" ca="1" si="3"/>
        <v>0.17104377104377105</v>
      </c>
      <c r="M18">
        <f t="shared" ca="1" si="3"/>
        <v>0.29534883720930227</v>
      </c>
      <c r="N18">
        <f t="shared" ca="1" si="3"/>
        <v>0.16843501326259946</v>
      </c>
      <c r="O18">
        <f t="shared" ca="1" si="3"/>
        <v>0.22222222222222229</v>
      </c>
      <c r="P18">
        <f t="shared" ca="1" si="3"/>
        <v>0.2188328912466844</v>
      </c>
      <c r="Q18">
        <f t="shared" ca="1" si="3"/>
        <v>0.2678571428571429</v>
      </c>
      <c r="R18">
        <f t="shared" ca="1" si="3"/>
        <v>0.57912457912457926</v>
      </c>
      <c r="S18">
        <f t="shared" ca="1" si="3"/>
        <v>0.39326599326599337</v>
      </c>
      <c r="T18">
        <f t="shared" ca="1" si="3"/>
        <v>0.38726790450928389</v>
      </c>
      <c r="V18" s="4">
        <f t="shared" si="5"/>
        <v>42101</v>
      </c>
      <c r="W18" s="5">
        <f t="shared" ca="1" si="4"/>
        <v>0.57912457912457926</v>
      </c>
      <c r="Z18" s="4" t="str">
        <f ca="1">IF(OFFSET('Calc Canada'!$A$1,0,0,300)="","",OFFSET('Calc Canada'!$A$1,0,0,300))</f>
        <v/>
      </c>
      <c r="AA18" s="5" t="e">
        <f ca="1">IF(OFFSET('Calc Canada'!$A$1,0,MATCH(W$1,'Calc Canada'!$1:$1,0)-1,300)="","",OFFSET('Calc Canada'!$A$1,0,MATCH(W$1,'Calc Canada'!$1:$1,0)-1,300))</f>
        <v>#N/A</v>
      </c>
      <c r="AB18" s="5" t="e">
        <f ca="1">IF(OFFSET('Calc Canada'!$A$1,0,MATCH(X$1,'Calc Canada'!$1:$1,0)-1,300)="","",OFFSET('Calc Canada'!$A$1,0,MATCH(X$1,'Calc Canada'!$1:$1,0)-1,300))</f>
        <v>#N/A</v>
      </c>
      <c r="AC18" t="e">
        <f t="shared" ca="1" si="0"/>
        <v>#N/A</v>
      </c>
      <c r="AD18" t="e">
        <f t="shared" ca="1" si="1"/>
        <v>#N/A</v>
      </c>
    </row>
    <row r="19" spans="1:30" x14ac:dyDescent="0.25">
      <c r="A19" s="4">
        <v>42100</v>
      </c>
      <c r="B19">
        <v>0.497</v>
      </c>
      <c r="C19" s="5">
        <v>0.47799999999999998</v>
      </c>
      <c r="D19">
        <v>0.75900000000000001</v>
      </c>
      <c r="E19">
        <v>1.016</v>
      </c>
      <c r="F19">
        <v>1.3439999999999999</v>
      </c>
      <c r="G19">
        <v>1.9929999999999999</v>
      </c>
      <c r="H19">
        <f t="shared" ca="1" si="3"/>
        <v>0.54142581888246633</v>
      </c>
      <c r="I19">
        <f t="shared" ca="1" si="3"/>
        <v>0.33175914994096822</v>
      </c>
      <c r="J19">
        <f t="shared" ca="1" si="3"/>
        <v>0.18783422459893051</v>
      </c>
      <c r="K19">
        <f t="shared" ca="1" si="3"/>
        <v>0.30342384887839441</v>
      </c>
      <c r="L19">
        <f t="shared" ca="1" si="3"/>
        <v>0.17179144385026737</v>
      </c>
      <c r="M19">
        <f t="shared" ca="1" si="3"/>
        <v>0.29676674364896077</v>
      </c>
      <c r="N19">
        <f t="shared" ca="1" si="3"/>
        <v>0.16963696369636966</v>
      </c>
      <c r="O19">
        <f t="shared" ca="1" si="3"/>
        <v>0.21925133689839563</v>
      </c>
      <c r="P19">
        <f t="shared" ca="1" si="3"/>
        <v>0.21650165016501641</v>
      </c>
      <c r="Q19">
        <f t="shared" ca="1" si="3"/>
        <v>0.26580226904376003</v>
      </c>
      <c r="R19">
        <f t="shared" ca="1" si="3"/>
        <v>0.57887700534759345</v>
      </c>
      <c r="S19">
        <f t="shared" ca="1" si="3"/>
        <v>0.391042780748663</v>
      </c>
      <c r="T19">
        <f t="shared" ca="1" si="3"/>
        <v>0.38613861386138609</v>
      </c>
      <c r="V19" s="4">
        <f t="shared" si="5"/>
        <v>42100</v>
      </c>
      <c r="W19" s="5">
        <f t="shared" ca="1" si="4"/>
        <v>0.57887700534759345</v>
      </c>
      <c r="Z19" s="4" t="str">
        <f ca="1">IF(OFFSET('Calc Canada'!$A$1,0,0,300)="","",OFFSET('Calc Canada'!$A$1,0,0,300))</f>
        <v/>
      </c>
      <c r="AA19" s="5" t="e">
        <f ca="1">IF(OFFSET('Calc Canada'!$A$1,0,MATCH(W$1,'Calc Canada'!$1:$1,0)-1,300)="","",OFFSET('Calc Canada'!$A$1,0,MATCH(W$1,'Calc Canada'!$1:$1,0)-1,300))</f>
        <v>#N/A</v>
      </c>
      <c r="AB19" s="5" t="e">
        <f ca="1">IF(OFFSET('Calc Canada'!$A$1,0,MATCH(X$1,'Calc Canada'!$1:$1,0)-1,300)="","",OFFSET('Calc Canada'!$A$1,0,MATCH(X$1,'Calc Canada'!$1:$1,0)-1,300))</f>
        <v>#N/A</v>
      </c>
      <c r="AC19" t="e">
        <f t="shared" ca="1" si="0"/>
        <v>#N/A</v>
      </c>
      <c r="AD19" t="e">
        <f t="shared" ca="1" si="1"/>
        <v>#N/A</v>
      </c>
    </row>
    <row r="20" spans="1:30" x14ac:dyDescent="0.25">
      <c r="A20" s="4">
        <v>42097</v>
      </c>
      <c r="B20">
        <v>0.49099999999999999</v>
      </c>
      <c r="C20" s="5">
        <v>0.46800000000000003</v>
      </c>
      <c r="D20">
        <v>0.72799999999999998</v>
      </c>
      <c r="E20">
        <v>0.98499999999999999</v>
      </c>
      <c r="F20">
        <v>1.3120000000000001</v>
      </c>
      <c r="G20">
        <v>1.9569999999999999</v>
      </c>
      <c r="H20">
        <f t="shared" ca="1" si="3"/>
        <v>0.52631578947368407</v>
      </c>
      <c r="I20">
        <f t="shared" ca="1" si="3"/>
        <v>0.31668696711327643</v>
      </c>
      <c r="J20">
        <f t="shared" ca="1" si="3"/>
        <v>0.17735334242837653</v>
      </c>
      <c r="K20">
        <f t="shared" ca="1" si="3"/>
        <v>0.31303288672350787</v>
      </c>
      <c r="L20">
        <f t="shared" ca="1" si="3"/>
        <v>0.17530695770804916</v>
      </c>
      <c r="M20">
        <f t="shared" ca="1" si="3"/>
        <v>0.3045023696682464</v>
      </c>
      <c r="N20">
        <f t="shared" ca="1" si="3"/>
        <v>0.17259905977165885</v>
      </c>
      <c r="O20">
        <f t="shared" ca="1" si="3"/>
        <v>0.22305593451568903</v>
      </c>
      <c r="P20">
        <f t="shared" ca="1" si="3"/>
        <v>0.21961047683008736</v>
      </c>
      <c r="Q20">
        <f t="shared" ca="1" si="3"/>
        <v>0.26606997558991058</v>
      </c>
      <c r="R20">
        <f t="shared" ca="1" si="3"/>
        <v>0.57571623465211474</v>
      </c>
      <c r="S20">
        <f t="shared" ca="1" si="3"/>
        <v>0.39836289222373816</v>
      </c>
      <c r="T20">
        <f t="shared" ca="1" si="3"/>
        <v>0.39220953660174623</v>
      </c>
      <c r="V20" s="4">
        <f t="shared" si="5"/>
        <v>42097</v>
      </c>
      <c r="W20" s="5">
        <f t="shared" ca="1" si="4"/>
        <v>0.57571623465211474</v>
      </c>
      <c r="Z20" s="4" t="str">
        <f ca="1">IF(OFFSET('Calc Canada'!$A$1,0,0,300)="","",OFFSET('Calc Canada'!$A$1,0,0,300))</f>
        <v/>
      </c>
      <c r="AA20" s="5" t="e">
        <f ca="1">IF(OFFSET('Calc Canada'!$A$1,0,MATCH(W$1,'Calc Canada'!$1:$1,0)-1,300)="","",OFFSET('Calc Canada'!$A$1,0,MATCH(W$1,'Calc Canada'!$1:$1,0)-1,300))</f>
        <v>#N/A</v>
      </c>
      <c r="AB20" s="5" t="e">
        <f ca="1">IF(OFFSET('Calc Canada'!$A$1,0,MATCH(X$1,'Calc Canada'!$1:$1,0)-1,300)="","",OFFSET('Calc Canada'!$A$1,0,MATCH(X$1,'Calc Canada'!$1:$1,0)-1,300))</f>
        <v>#N/A</v>
      </c>
      <c r="AC20" t="e">
        <f t="shared" ca="1" si="0"/>
        <v>#N/A</v>
      </c>
      <c r="AD20" t="e">
        <f t="shared" ca="1" si="1"/>
        <v>#N/A</v>
      </c>
    </row>
    <row r="21" spans="1:30" x14ac:dyDescent="0.25">
      <c r="A21" s="4">
        <v>42096</v>
      </c>
      <c r="B21">
        <v>0.49099999999999999</v>
      </c>
      <c r="C21" s="5">
        <v>0.46800000000000003</v>
      </c>
      <c r="D21">
        <v>0.72799999999999998</v>
      </c>
      <c r="E21">
        <v>0.98499999999999999</v>
      </c>
      <c r="F21">
        <v>1.3120000000000001</v>
      </c>
      <c r="G21">
        <v>1.9569999999999999</v>
      </c>
      <c r="H21">
        <f t="shared" ca="1" si="3"/>
        <v>0.52631578947368407</v>
      </c>
      <c r="I21">
        <f t="shared" ca="1" si="3"/>
        <v>0.31668696711327643</v>
      </c>
      <c r="J21">
        <f t="shared" ca="1" si="3"/>
        <v>0.17735334242837653</v>
      </c>
      <c r="K21">
        <f t="shared" ca="1" si="3"/>
        <v>0.31303288672350787</v>
      </c>
      <c r="L21">
        <f t="shared" ca="1" si="3"/>
        <v>0.17530695770804916</v>
      </c>
      <c r="M21">
        <f t="shared" ca="1" si="3"/>
        <v>0.3045023696682464</v>
      </c>
      <c r="N21">
        <f t="shared" ca="1" si="3"/>
        <v>0.17259905977165885</v>
      </c>
      <c r="O21">
        <f t="shared" ca="1" si="3"/>
        <v>0.22305593451568903</v>
      </c>
      <c r="P21">
        <f t="shared" ca="1" si="3"/>
        <v>0.21961047683008736</v>
      </c>
      <c r="Q21">
        <f t="shared" ca="1" si="3"/>
        <v>0.26606997558991058</v>
      </c>
      <c r="R21">
        <f t="shared" ca="1" si="3"/>
        <v>0.57571623465211474</v>
      </c>
      <c r="S21">
        <f t="shared" ca="1" si="3"/>
        <v>0.39836289222373816</v>
      </c>
      <c r="T21">
        <f t="shared" ca="1" si="3"/>
        <v>0.39220953660174623</v>
      </c>
      <c r="V21" s="4">
        <f t="shared" si="5"/>
        <v>42096</v>
      </c>
      <c r="W21" s="5">
        <f t="shared" ca="1" si="4"/>
        <v>0.57571623465211474</v>
      </c>
      <c r="Z21" s="4" t="str">
        <f ca="1">IF(OFFSET('Calc Canada'!$A$1,0,0,300)="","",OFFSET('Calc Canada'!$A$1,0,0,300))</f>
        <v/>
      </c>
      <c r="AA21" s="5" t="e">
        <f ca="1">IF(OFFSET('Calc Canada'!$A$1,0,MATCH(W$1,'Calc Canada'!$1:$1,0)-1,300)="","",OFFSET('Calc Canada'!$A$1,0,MATCH(W$1,'Calc Canada'!$1:$1,0)-1,300))</f>
        <v>#N/A</v>
      </c>
      <c r="AB21" s="5" t="e">
        <f ca="1">IF(OFFSET('Calc Canada'!$A$1,0,MATCH(X$1,'Calc Canada'!$1:$1,0)-1,300)="","",OFFSET('Calc Canada'!$A$1,0,MATCH(X$1,'Calc Canada'!$1:$1,0)-1,300))</f>
        <v>#N/A</v>
      </c>
      <c r="AC21" t="e">
        <f t="shared" ca="1" si="0"/>
        <v>#N/A</v>
      </c>
      <c r="AD21" t="e">
        <f t="shared" ca="1" si="1"/>
        <v>#N/A</v>
      </c>
    </row>
    <row r="22" spans="1:30" x14ac:dyDescent="0.25">
      <c r="A22" s="4">
        <v>42095</v>
      </c>
      <c r="B22">
        <v>0.49199999999999999</v>
      </c>
      <c r="C22" s="5">
        <v>0.47499999999999998</v>
      </c>
      <c r="D22">
        <v>0.72799999999999998</v>
      </c>
      <c r="E22">
        <v>0.98899999999999999</v>
      </c>
      <c r="F22">
        <v>1.3129999999999999</v>
      </c>
      <c r="G22">
        <v>1.9449999999999998</v>
      </c>
      <c r="H22">
        <f t="shared" ca="1" si="3"/>
        <v>0.50905432595573441</v>
      </c>
      <c r="I22">
        <f t="shared" ca="1" si="3"/>
        <v>0.30816077953714982</v>
      </c>
      <c r="J22">
        <f t="shared" ca="1" si="3"/>
        <v>0.17412250516173436</v>
      </c>
      <c r="K22">
        <f t="shared" ca="1" si="3"/>
        <v>0.31790499390986604</v>
      </c>
      <c r="L22">
        <f t="shared" ca="1" si="3"/>
        <v>0.17962835512732281</v>
      </c>
      <c r="M22">
        <f t="shared" ca="1" si="3"/>
        <v>0.31145584725536996</v>
      </c>
      <c r="N22">
        <f t="shared" ca="1" si="3"/>
        <v>0.17755102040816331</v>
      </c>
      <c r="O22">
        <f t="shared" ca="1" si="3"/>
        <v>0.22298692360633171</v>
      </c>
      <c r="P22">
        <f t="shared" ca="1" si="3"/>
        <v>0.22040816326530613</v>
      </c>
      <c r="Q22">
        <f t="shared" ca="1" si="3"/>
        <v>0.26622843056696793</v>
      </c>
      <c r="R22">
        <f t="shared" ca="1" si="3"/>
        <v>0.57673778389538888</v>
      </c>
      <c r="S22">
        <f t="shared" ca="1" si="3"/>
        <v>0.40261527873365455</v>
      </c>
      <c r="T22">
        <f t="shared" ca="1" si="3"/>
        <v>0.39795918367346944</v>
      </c>
      <c r="V22" s="4">
        <f t="shared" si="5"/>
        <v>42095</v>
      </c>
      <c r="W22" s="5">
        <f t="shared" ca="1" si="4"/>
        <v>0.57673778389538888</v>
      </c>
      <c r="Z22" s="4" t="str">
        <f ca="1">IF(OFFSET('Calc Canada'!$A$1,0,0,300)="","",OFFSET('Calc Canada'!$A$1,0,0,300))</f>
        <v/>
      </c>
      <c r="AA22" s="5" t="e">
        <f ca="1">IF(OFFSET('Calc Canada'!$A$1,0,MATCH(W$1,'Calc Canada'!$1:$1,0)-1,300)="","",OFFSET('Calc Canada'!$A$1,0,MATCH(W$1,'Calc Canada'!$1:$1,0)-1,300))</f>
        <v>#N/A</v>
      </c>
      <c r="AB22" s="5" t="e">
        <f ca="1">IF(OFFSET('Calc Canada'!$A$1,0,MATCH(X$1,'Calc Canada'!$1:$1,0)-1,300)="","",OFFSET('Calc Canada'!$A$1,0,MATCH(X$1,'Calc Canada'!$1:$1,0)-1,300))</f>
        <v>#N/A</v>
      </c>
      <c r="AC22" t="e">
        <f t="shared" ca="1" si="0"/>
        <v>#N/A</v>
      </c>
      <c r="AD22" t="e">
        <f t="shared" ca="1" si="1"/>
        <v>#N/A</v>
      </c>
    </row>
    <row r="23" spans="1:30" x14ac:dyDescent="0.25">
      <c r="A23" s="4">
        <v>42094</v>
      </c>
      <c r="B23">
        <v>0.503</v>
      </c>
      <c r="C23" s="5">
        <v>0.48599999999999999</v>
      </c>
      <c r="D23">
        <v>0.76100000000000001</v>
      </c>
      <c r="E23">
        <v>1.02</v>
      </c>
      <c r="F23">
        <v>1.3540000000000001</v>
      </c>
      <c r="G23">
        <v>1.982</v>
      </c>
      <c r="H23">
        <f t="shared" ca="1" si="3"/>
        <v>0.53191489361702127</v>
      </c>
      <c r="I23">
        <f t="shared" ca="1" si="3"/>
        <v>0.32314923619271446</v>
      </c>
      <c r="J23">
        <f t="shared" ca="1" si="3"/>
        <v>0.18593644354293443</v>
      </c>
      <c r="K23">
        <f t="shared" ca="1" si="3"/>
        <v>0.30434782608695649</v>
      </c>
      <c r="L23">
        <f t="shared" ca="1" si="3"/>
        <v>0.17511832319134549</v>
      </c>
      <c r="M23">
        <f t="shared" ca="1" si="3"/>
        <v>0.29838709677419351</v>
      </c>
      <c r="N23">
        <f t="shared" ca="1" si="3"/>
        <v>0.1731283422459893</v>
      </c>
      <c r="O23">
        <f t="shared" ca="1" si="3"/>
        <v>0.22582826233941855</v>
      </c>
      <c r="P23">
        <f t="shared" ca="1" si="3"/>
        <v>0.22326203208556156</v>
      </c>
      <c r="Q23">
        <f t="shared" ca="1" si="3"/>
        <v>0.27354627354627359</v>
      </c>
      <c r="R23">
        <f t="shared" ca="1" si="3"/>
        <v>0.58688302907369849</v>
      </c>
      <c r="S23">
        <f t="shared" ca="1" si="3"/>
        <v>0.40094658553076407</v>
      </c>
      <c r="T23">
        <f t="shared" ca="1" si="3"/>
        <v>0.39639037433155083</v>
      </c>
      <c r="V23" s="4">
        <f t="shared" si="5"/>
        <v>42094</v>
      </c>
      <c r="W23" s="5">
        <f t="shared" ca="1" si="4"/>
        <v>0.58688302907369849</v>
      </c>
      <c r="Z23" s="4" t="str">
        <f ca="1">IF(OFFSET('Calc Canada'!$A$1,0,0,300)="","",OFFSET('Calc Canada'!$A$1,0,0,300))</f>
        <v/>
      </c>
      <c r="AA23" s="5" t="e">
        <f ca="1">IF(OFFSET('Calc Canada'!$A$1,0,MATCH(W$1,'Calc Canada'!$1:$1,0)-1,300)="","",OFFSET('Calc Canada'!$A$1,0,MATCH(W$1,'Calc Canada'!$1:$1,0)-1,300))</f>
        <v>#N/A</v>
      </c>
      <c r="AB23" s="5" t="e">
        <f ca="1">IF(OFFSET('Calc Canada'!$A$1,0,MATCH(X$1,'Calc Canada'!$1:$1,0)-1,300)="","",OFFSET('Calc Canada'!$A$1,0,MATCH(X$1,'Calc Canada'!$1:$1,0)-1,300))</f>
        <v>#N/A</v>
      </c>
      <c r="AC23" t="e">
        <f t="shared" ca="1" si="0"/>
        <v>#N/A</v>
      </c>
      <c r="AD23" t="e">
        <f t="shared" ca="1" si="1"/>
        <v>#N/A</v>
      </c>
    </row>
    <row r="24" spans="1:30" x14ac:dyDescent="0.25">
      <c r="A24" s="4">
        <v>42093</v>
      </c>
      <c r="B24">
        <v>0.50700000000000001</v>
      </c>
      <c r="C24" s="5">
        <v>0.501</v>
      </c>
      <c r="D24">
        <v>0.77800000000000002</v>
      </c>
      <c r="E24">
        <v>1.04</v>
      </c>
      <c r="F24">
        <v>1.3679999999999999</v>
      </c>
      <c r="G24">
        <v>1.9889999999999999</v>
      </c>
      <c r="H24">
        <f t="shared" ca="1" si="3"/>
        <v>0.51969981238273921</v>
      </c>
      <c r="I24">
        <f t="shared" ca="1" si="3"/>
        <v>0.32171893147502911</v>
      </c>
      <c r="J24">
        <f t="shared" ca="1" si="3"/>
        <v>0.18690958164642379</v>
      </c>
      <c r="K24">
        <f t="shared" ca="1" si="3"/>
        <v>0.30429732868757264</v>
      </c>
      <c r="L24">
        <f t="shared" ca="1" si="3"/>
        <v>0.17678812415654524</v>
      </c>
      <c r="M24">
        <f t="shared" ca="1" si="3"/>
        <v>0.30219146482122267</v>
      </c>
      <c r="N24">
        <f t="shared" ca="1" si="3"/>
        <v>0.17607526881720431</v>
      </c>
      <c r="O24">
        <f t="shared" ca="1" si="3"/>
        <v>0.22132253711201072</v>
      </c>
      <c r="P24">
        <f t="shared" ca="1" si="3"/>
        <v>0.22043010752688161</v>
      </c>
      <c r="Q24">
        <f t="shared" ca="1" si="3"/>
        <v>0.2708505367464904</v>
      </c>
      <c r="R24">
        <f t="shared" ca="1" si="3"/>
        <v>0.58502024291497978</v>
      </c>
      <c r="S24">
        <f t="shared" ca="1" si="3"/>
        <v>0.39811066126855599</v>
      </c>
      <c r="T24">
        <f t="shared" ca="1" si="3"/>
        <v>0.39650537634408595</v>
      </c>
      <c r="V24" s="4">
        <f t="shared" si="5"/>
        <v>42093</v>
      </c>
      <c r="W24" s="5">
        <f t="shared" ca="1" si="4"/>
        <v>0.58502024291497978</v>
      </c>
      <c r="Z24" s="4" t="str">
        <f ca="1">IF(OFFSET('Calc Canada'!$A$1,0,0,300)="","",OFFSET('Calc Canada'!$A$1,0,0,300))</f>
        <v/>
      </c>
      <c r="AA24" s="5" t="e">
        <f ca="1">IF(OFFSET('Calc Canada'!$A$1,0,MATCH(W$1,'Calc Canada'!$1:$1,0)-1,300)="","",OFFSET('Calc Canada'!$A$1,0,MATCH(W$1,'Calc Canada'!$1:$1,0)-1,300))</f>
        <v>#N/A</v>
      </c>
      <c r="AB24" s="5" t="e">
        <f ca="1">IF(OFFSET('Calc Canada'!$A$1,0,MATCH(X$1,'Calc Canada'!$1:$1,0)-1,300)="","",OFFSET('Calc Canada'!$A$1,0,MATCH(X$1,'Calc Canada'!$1:$1,0)-1,300))</f>
        <v>#N/A</v>
      </c>
      <c r="AC24" t="e">
        <f t="shared" ca="1" si="0"/>
        <v>#N/A</v>
      </c>
      <c r="AD24" t="e">
        <f t="shared" ca="1" si="1"/>
        <v>#N/A</v>
      </c>
    </row>
    <row r="25" spans="1:30" x14ac:dyDescent="0.25">
      <c r="A25" s="4">
        <v>42090</v>
      </c>
      <c r="B25">
        <v>0.52600000000000002</v>
      </c>
      <c r="C25" s="5">
        <v>0.52600000000000002</v>
      </c>
      <c r="D25">
        <v>0.79900000000000004</v>
      </c>
      <c r="E25">
        <v>1.0429999999999999</v>
      </c>
      <c r="F25">
        <v>1.371</v>
      </c>
      <c r="G25">
        <v>1.9950000000000001</v>
      </c>
      <c r="H25">
        <f t="shared" ca="1" si="3"/>
        <v>0.52804642166344307</v>
      </c>
      <c r="I25">
        <f t="shared" ca="1" si="3"/>
        <v>0.32307692307692309</v>
      </c>
      <c r="J25">
        <f t="shared" ca="1" si="3"/>
        <v>0.18584070796460178</v>
      </c>
      <c r="K25">
        <f t="shared" ca="1" si="3"/>
        <v>0.288757396449704</v>
      </c>
      <c r="L25">
        <f t="shared" ca="1" si="3"/>
        <v>0.1660993873383253</v>
      </c>
      <c r="M25">
        <f t="shared" ca="1" si="3"/>
        <v>0.288757396449704</v>
      </c>
      <c r="N25">
        <f t="shared" ca="1" si="3"/>
        <v>0.1660993873383253</v>
      </c>
      <c r="O25">
        <f t="shared" ca="1" si="3"/>
        <v>0.22328114363512597</v>
      </c>
      <c r="P25">
        <f t="shared" ca="1" si="3"/>
        <v>0.22328114363512597</v>
      </c>
      <c r="Q25">
        <f t="shared" ca="1" si="3"/>
        <v>0.27424749163879603</v>
      </c>
      <c r="R25">
        <f t="shared" ca="1" si="3"/>
        <v>0.57522123893805299</v>
      </c>
      <c r="S25">
        <f t="shared" ca="1" si="3"/>
        <v>0.38938053097345127</v>
      </c>
      <c r="T25">
        <f t="shared" ca="1" si="3"/>
        <v>0.38938053097345127</v>
      </c>
      <c r="V25" s="4">
        <f t="shared" si="5"/>
        <v>42090</v>
      </c>
      <c r="W25" s="5">
        <f t="shared" ca="1" si="4"/>
        <v>0.57522123893805299</v>
      </c>
      <c r="Z25" s="4" t="str">
        <f ca="1">IF(OFFSET('Calc Canada'!$A$1,0,0,300)="","",OFFSET('Calc Canada'!$A$1,0,0,300))</f>
        <v/>
      </c>
      <c r="AA25" s="5" t="e">
        <f ca="1">IF(OFFSET('Calc Canada'!$A$1,0,MATCH(W$1,'Calc Canada'!$1:$1,0)-1,300)="","",OFFSET('Calc Canada'!$A$1,0,MATCH(W$1,'Calc Canada'!$1:$1,0)-1,300))</f>
        <v>#N/A</v>
      </c>
      <c r="AB25" s="5" t="e">
        <f ca="1">IF(OFFSET('Calc Canada'!$A$1,0,MATCH(X$1,'Calc Canada'!$1:$1,0)-1,300)="","",OFFSET('Calc Canada'!$A$1,0,MATCH(X$1,'Calc Canada'!$1:$1,0)-1,300))</f>
        <v>#N/A</v>
      </c>
      <c r="AC25" t="e">
        <f t="shared" ca="1" si="0"/>
        <v>#N/A</v>
      </c>
      <c r="AD25" t="e">
        <f t="shared" ca="1" si="1"/>
        <v>#N/A</v>
      </c>
    </row>
    <row r="26" spans="1:30" x14ac:dyDescent="0.25">
      <c r="A26" s="4">
        <v>42089</v>
      </c>
      <c r="B26">
        <v>0.58599999999999997</v>
      </c>
      <c r="C26" s="5">
        <v>0.59199999999999997</v>
      </c>
      <c r="D26">
        <v>0.86</v>
      </c>
      <c r="E26">
        <v>1.0980000000000001</v>
      </c>
      <c r="F26">
        <v>1.425</v>
      </c>
      <c r="G26">
        <v>2.0369999999999999</v>
      </c>
      <c r="H26">
        <f t="shared" ca="1" si="3"/>
        <v>0.52343749999999989</v>
      </c>
      <c r="I26">
        <f t="shared" ca="1" si="3"/>
        <v>0.31942789034564956</v>
      </c>
      <c r="J26">
        <f t="shared" ca="1" si="3"/>
        <v>0.18470020675396279</v>
      </c>
      <c r="K26">
        <f t="shared" ca="1" si="3"/>
        <v>0.28367103694874862</v>
      </c>
      <c r="L26">
        <f t="shared" ca="1" si="3"/>
        <v>0.16402481047553419</v>
      </c>
      <c r="M26">
        <f t="shared" ca="1" si="3"/>
        <v>0.28571428571428581</v>
      </c>
      <c r="N26">
        <f t="shared" ca="1" si="3"/>
        <v>0.16470588235294126</v>
      </c>
      <c r="O26">
        <f t="shared" ca="1" si="3"/>
        <v>0.22536181943487246</v>
      </c>
      <c r="P26">
        <f t="shared" ca="1" si="3"/>
        <v>0.22629757785467128</v>
      </c>
      <c r="Q26">
        <f t="shared" ca="1" si="3"/>
        <v>0.27782497875955814</v>
      </c>
      <c r="R26">
        <f t="shared" ca="1" si="3"/>
        <v>0.57408683666436944</v>
      </c>
      <c r="S26">
        <f t="shared" ca="1" si="3"/>
        <v>0.38938662991040662</v>
      </c>
      <c r="T26">
        <f t="shared" ca="1" si="3"/>
        <v>0.39100346020761256</v>
      </c>
      <c r="V26" s="4">
        <f t="shared" si="5"/>
        <v>42089</v>
      </c>
      <c r="W26" s="5">
        <f t="shared" ca="1" si="4"/>
        <v>0.57408683666436944</v>
      </c>
      <c r="Z26" s="4" t="str">
        <f ca="1">IF(OFFSET('Calc Canada'!$A$1,0,0,300)="","",OFFSET('Calc Canada'!$A$1,0,0,300))</f>
        <v/>
      </c>
      <c r="AA26" s="5" t="e">
        <f ca="1">IF(OFFSET('Calc Canada'!$A$1,0,MATCH(W$1,'Calc Canada'!$1:$1,0)-1,300)="","",OFFSET('Calc Canada'!$A$1,0,MATCH(W$1,'Calc Canada'!$1:$1,0)-1,300))</f>
        <v>#N/A</v>
      </c>
      <c r="AB26" s="5" t="e">
        <f ca="1">IF(OFFSET('Calc Canada'!$A$1,0,MATCH(X$1,'Calc Canada'!$1:$1,0)-1,300)="","",OFFSET('Calc Canada'!$A$1,0,MATCH(X$1,'Calc Canada'!$1:$1,0)-1,300))</f>
        <v>#N/A</v>
      </c>
      <c r="AC26" t="e">
        <f t="shared" ca="1" si="0"/>
        <v>#N/A</v>
      </c>
      <c r="AD26" t="e">
        <f t="shared" ca="1" si="1"/>
        <v>#N/A</v>
      </c>
    </row>
    <row r="27" spans="1:30" x14ac:dyDescent="0.25">
      <c r="A27" s="4">
        <v>42088</v>
      </c>
      <c r="B27">
        <v>0.504</v>
      </c>
      <c r="C27" s="5">
        <v>0.52400000000000002</v>
      </c>
      <c r="D27">
        <v>0.76700000000000002</v>
      </c>
      <c r="E27">
        <v>1.0089999999999999</v>
      </c>
      <c r="F27">
        <v>1.343</v>
      </c>
      <c r="G27">
        <v>1.982</v>
      </c>
      <c r="H27">
        <f t="shared" ca="1" si="3"/>
        <v>0.48118811881188128</v>
      </c>
      <c r="I27">
        <f t="shared" ca="1" si="3"/>
        <v>0.28963051251489869</v>
      </c>
      <c r="J27">
        <f t="shared" ca="1" si="3"/>
        <v>0.16441136671177267</v>
      </c>
      <c r="K27">
        <f t="shared" ca="1" si="3"/>
        <v>0.28843861740166854</v>
      </c>
      <c r="L27">
        <f t="shared" ca="1" si="3"/>
        <v>0.1637347767253044</v>
      </c>
      <c r="M27">
        <f t="shared" ca="1" si="3"/>
        <v>0.29548229548229538</v>
      </c>
      <c r="N27">
        <f t="shared" ca="1" si="3"/>
        <v>0.16598079561042517</v>
      </c>
      <c r="O27">
        <f t="shared" ca="1" si="3"/>
        <v>0.22598105548037895</v>
      </c>
      <c r="P27">
        <f t="shared" ca="1" si="3"/>
        <v>0.22908093278463654</v>
      </c>
      <c r="Q27">
        <f t="shared" ca="1" si="3"/>
        <v>0.27489711934156386</v>
      </c>
      <c r="R27">
        <f t="shared" ca="1" si="3"/>
        <v>0.55412719891745599</v>
      </c>
      <c r="S27">
        <f t="shared" ca="1" si="3"/>
        <v>0.38971583220568334</v>
      </c>
      <c r="T27">
        <f t="shared" ca="1" si="3"/>
        <v>0.39506172839506171</v>
      </c>
      <c r="V27" s="4">
        <f t="shared" si="5"/>
        <v>42088</v>
      </c>
      <c r="W27" s="5">
        <f t="shared" ca="1" si="4"/>
        <v>0.55412719891745599</v>
      </c>
      <c r="Z27" s="4" t="str">
        <f ca="1">IF(OFFSET('Calc Canada'!$A$1,0,0,300)="","",OFFSET('Calc Canada'!$A$1,0,0,300))</f>
        <v/>
      </c>
      <c r="AA27" s="5" t="e">
        <f ca="1">IF(OFFSET('Calc Canada'!$A$1,0,MATCH(W$1,'Calc Canada'!$1:$1,0)-1,300)="","",OFFSET('Calc Canada'!$A$1,0,MATCH(W$1,'Calc Canada'!$1:$1,0)-1,300))</f>
        <v>#N/A</v>
      </c>
      <c r="AB27" s="5" t="e">
        <f ca="1">IF(OFFSET('Calc Canada'!$A$1,0,MATCH(X$1,'Calc Canada'!$1:$1,0)-1,300)="","",OFFSET('Calc Canada'!$A$1,0,MATCH(X$1,'Calc Canada'!$1:$1,0)-1,300))</f>
        <v>#N/A</v>
      </c>
      <c r="AC27" t="e">
        <f t="shared" ca="1" si="0"/>
        <v>#N/A</v>
      </c>
      <c r="AD27" t="e">
        <f t="shared" ca="1" si="1"/>
        <v>#N/A</v>
      </c>
    </row>
    <row r="28" spans="1:30" x14ac:dyDescent="0.25">
      <c r="A28" s="4">
        <v>42087</v>
      </c>
      <c r="B28">
        <v>0.46400000000000002</v>
      </c>
      <c r="C28" s="5">
        <v>0.48699999999999999</v>
      </c>
      <c r="D28">
        <v>0.72499999999999998</v>
      </c>
      <c r="E28">
        <v>0.96699999999999997</v>
      </c>
      <c r="F28">
        <v>1.3</v>
      </c>
      <c r="G28">
        <v>1.9379999999999999</v>
      </c>
      <c r="H28">
        <f t="shared" ca="1" si="3"/>
        <v>0.4731610337972168</v>
      </c>
      <c r="I28">
        <f t="shared" ca="1" si="3"/>
        <v>0.28468899521531099</v>
      </c>
      <c r="J28">
        <f t="shared" ca="1" si="3"/>
        <v>0.16146540027137041</v>
      </c>
      <c r="K28">
        <f t="shared" ca="1" si="3"/>
        <v>0.28947368421052627</v>
      </c>
      <c r="L28">
        <f t="shared" ca="1" si="3"/>
        <v>0.16417910447761194</v>
      </c>
      <c r="M28">
        <f t="shared" ca="1" si="3"/>
        <v>0.29766297662976626</v>
      </c>
      <c r="N28">
        <f t="shared" ca="1" si="3"/>
        <v>0.16678152997932458</v>
      </c>
      <c r="O28">
        <f t="shared" ca="1" si="3"/>
        <v>0.22591587516960657</v>
      </c>
      <c r="P28">
        <f t="shared" ca="1" si="3"/>
        <v>0.22949689869055828</v>
      </c>
      <c r="Q28">
        <f t="shared" ca="1" si="3"/>
        <v>0.27452596867271234</v>
      </c>
      <c r="R28">
        <f t="shared" ca="1" si="3"/>
        <v>0.55156037991858897</v>
      </c>
      <c r="S28">
        <f t="shared" ca="1" si="3"/>
        <v>0.39009497964721851</v>
      </c>
      <c r="T28">
        <f t="shared" ca="1" si="3"/>
        <v>0.39627842866988289</v>
      </c>
      <c r="V28" s="4">
        <f t="shared" si="5"/>
        <v>42087</v>
      </c>
      <c r="W28" s="5">
        <f t="shared" ca="1" si="4"/>
        <v>0.55156037991858897</v>
      </c>
      <c r="Z28" s="4" t="str">
        <f ca="1">IF(OFFSET('Calc Canada'!$A$1,0,0,300)="","",OFFSET('Calc Canada'!$A$1,0,0,300))</f>
        <v/>
      </c>
      <c r="AA28" s="5" t="e">
        <f ca="1">IF(OFFSET('Calc Canada'!$A$1,0,MATCH(W$1,'Calc Canada'!$1:$1,0)-1,300)="","",OFFSET('Calc Canada'!$A$1,0,MATCH(W$1,'Calc Canada'!$1:$1,0)-1,300))</f>
        <v>#N/A</v>
      </c>
      <c r="AB28" s="5" t="e">
        <f ca="1">IF(OFFSET('Calc Canada'!$A$1,0,MATCH(X$1,'Calc Canada'!$1:$1,0)-1,300)="","",OFFSET('Calc Canada'!$A$1,0,MATCH(X$1,'Calc Canada'!$1:$1,0)-1,300))</f>
        <v>#N/A</v>
      </c>
      <c r="AC28" t="e">
        <f t="shared" ca="1" si="0"/>
        <v>#N/A</v>
      </c>
      <c r="AD28" t="e">
        <f t="shared" ca="1" si="1"/>
        <v>#N/A</v>
      </c>
    </row>
    <row r="29" spans="1:30" x14ac:dyDescent="0.25">
      <c r="A29" s="4">
        <v>42086</v>
      </c>
      <c r="B29">
        <v>0.45300000000000001</v>
      </c>
      <c r="C29" s="5">
        <v>0.47399999999999998</v>
      </c>
      <c r="D29">
        <v>0.71899999999999997</v>
      </c>
      <c r="E29">
        <v>0.97199999999999998</v>
      </c>
      <c r="F29">
        <v>1.3049999999999999</v>
      </c>
      <c r="G29">
        <v>1.9470000000000001</v>
      </c>
      <c r="H29">
        <f t="shared" ref="H29:T44" ca="1" si="6">IF(ISERROR(ABS(OFFSET($A$11,ROW()-11,MATCH(LEFT(H$9,2),$A$11:$G$11,0)-1)-OFFSET($A$11,ROW()-11,MATCH(RIGHT(H$9,2),$A$11:$G$11,0)-1))/ABS(OFFSET($A$11,ROW()-11,MATCH(LEFT(H$10,2),$A$11:$G$11,0)-1)-OFFSET($A$11,ROW()-11,MATCH(RIGHT(H$10,2),$A$11:$G$11,0)-1))),"",ABS(OFFSET($A$11,ROW()-11,MATCH(LEFT(H$9,2),$A$11:$G$11,0)-1)-OFFSET($A$11,ROW()-11,MATCH(RIGHT(H$9,2),$A$11:$G$11,0)-1))/ABS(OFFSET($A$11,ROW()-11,MATCH(LEFT(H$10,2),$A$11:$G$11,0)-1)-OFFSET($A$11,ROW()-11,MATCH(RIGHT(H$10,2),$A$11:$G$11,0)-1)))</f>
        <v>0.47206165703275538</v>
      </c>
      <c r="I29">
        <f t="shared" ca="1" si="6"/>
        <v>0.28755868544600943</v>
      </c>
      <c r="J29">
        <f t="shared" ca="1" si="6"/>
        <v>0.16398929049531458</v>
      </c>
      <c r="K29">
        <f t="shared" ca="1" si="6"/>
        <v>0.2969483568075118</v>
      </c>
      <c r="L29">
        <f t="shared" ca="1" si="6"/>
        <v>0.16934404283801874</v>
      </c>
      <c r="M29">
        <f t="shared" ca="1" si="6"/>
        <v>0.30445246690734057</v>
      </c>
      <c r="N29">
        <f t="shared" ca="1" si="6"/>
        <v>0.17175831636116767</v>
      </c>
      <c r="O29">
        <f t="shared" ca="1" si="6"/>
        <v>0.22289156626506021</v>
      </c>
      <c r="P29">
        <f t="shared" ca="1" si="6"/>
        <v>0.22606924643584517</v>
      </c>
      <c r="Q29">
        <f t="shared" ca="1" si="6"/>
        <v>0.27117263843648198</v>
      </c>
      <c r="R29">
        <f t="shared" ca="1" si="6"/>
        <v>0.5562248995983935</v>
      </c>
      <c r="S29">
        <f t="shared" ca="1" si="6"/>
        <v>0.39223560910307897</v>
      </c>
      <c r="T29">
        <f t="shared" ca="1" si="6"/>
        <v>0.39782756279701287</v>
      </c>
      <c r="V29" s="4">
        <f t="shared" si="5"/>
        <v>42086</v>
      </c>
      <c r="W29" s="5">
        <f t="shared" ca="1" si="4"/>
        <v>0.5562248995983935</v>
      </c>
      <c r="Z29" s="4" t="str">
        <f ca="1">IF(OFFSET('Calc Canada'!$A$1,0,0,300)="","",OFFSET('Calc Canada'!$A$1,0,0,300))</f>
        <v/>
      </c>
      <c r="AA29" s="5" t="e">
        <f ca="1">IF(OFFSET('Calc Canada'!$A$1,0,MATCH(W$1,'Calc Canada'!$1:$1,0)-1,300)="","",OFFSET('Calc Canada'!$A$1,0,MATCH(W$1,'Calc Canada'!$1:$1,0)-1,300))</f>
        <v>#N/A</v>
      </c>
      <c r="AB29" s="5" t="e">
        <f ca="1">IF(OFFSET('Calc Canada'!$A$1,0,MATCH(X$1,'Calc Canada'!$1:$1,0)-1,300)="","",OFFSET('Calc Canada'!$A$1,0,MATCH(X$1,'Calc Canada'!$1:$1,0)-1,300))</f>
        <v>#N/A</v>
      </c>
      <c r="AC29" t="e">
        <f t="shared" ca="1" si="0"/>
        <v>#N/A</v>
      </c>
      <c r="AD29" t="e">
        <f t="shared" ca="1" si="1"/>
        <v>#N/A</v>
      </c>
    </row>
    <row r="30" spans="1:30" x14ac:dyDescent="0.25">
      <c r="A30" s="4">
        <v>42083</v>
      </c>
      <c r="B30">
        <v>0.45200000000000001</v>
      </c>
      <c r="C30" s="5">
        <v>0.46700000000000003</v>
      </c>
      <c r="D30">
        <v>0.72099999999999997</v>
      </c>
      <c r="E30">
        <v>0.96199999999999997</v>
      </c>
      <c r="F30">
        <v>1.302</v>
      </c>
      <c r="G30">
        <v>1.9370000000000001</v>
      </c>
      <c r="H30">
        <f t="shared" ca="1" si="6"/>
        <v>0.49803921568627441</v>
      </c>
      <c r="I30">
        <f t="shared" ca="1" si="6"/>
        <v>0.2988235294117646</v>
      </c>
      <c r="J30">
        <f t="shared" ca="1" si="6"/>
        <v>0.171043771043771</v>
      </c>
      <c r="K30">
        <f t="shared" ca="1" si="6"/>
        <v>0.28352941176470586</v>
      </c>
      <c r="L30">
        <f t="shared" ca="1" si="6"/>
        <v>0.16228956228956226</v>
      </c>
      <c r="M30">
        <f t="shared" ca="1" si="6"/>
        <v>0.28862275449101799</v>
      </c>
      <c r="N30">
        <f t="shared" ca="1" si="6"/>
        <v>0.16394557823129252</v>
      </c>
      <c r="O30">
        <f t="shared" ca="1" si="6"/>
        <v>0.228956228956229</v>
      </c>
      <c r="P30">
        <f t="shared" ca="1" si="6"/>
        <v>0.23129251700680278</v>
      </c>
      <c r="Q30">
        <f t="shared" ca="1" si="6"/>
        <v>0.27960526315789475</v>
      </c>
      <c r="R30">
        <f t="shared" ca="1" si="6"/>
        <v>0.56228956228956228</v>
      </c>
      <c r="S30">
        <f t="shared" ca="1" si="6"/>
        <v>0.39124579124579129</v>
      </c>
      <c r="T30">
        <f t="shared" ca="1" si="6"/>
        <v>0.39523809523809528</v>
      </c>
      <c r="V30" s="4">
        <f t="shared" si="5"/>
        <v>42083</v>
      </c>
      <c r="W30" s="5">
        <f t="shared" ca="1" si="4"/>
        <v>0.56228956228956228</v>
      </c>
      <c r="Z30" s="4" t="str">
        <f ca="1">IF(OFFSET('Calc Canada'!$A$1,0,0,300)="","",OFFSET('Calc Canada'!$A$1,0,0,300))</f>
        <v/>
      </c>
      <c r="AA30" s="5" t="e">
        <f ca="1">IF(OFFSET('Calc Canada'!$A$1,0,MATCH(W$1,'Calc Canada'!$1:$1,0)-1,300)="","",OFFSET('Calc Canada'!$A$1,0,MATCH(W$1,'Calc Canada'!$1:$1,0)-1,300))</f>
        <v>#N/A</v>
      </c>
      <c r="AB30" s="5" t="e">
        <f ca="1">IF(OFFSET('Calc Canada'!$A$1,0,MATCH(X$1,'Calc Canada'!$1:$1,0)-1,300)="","",OFFSET('Calc Canada'!$A$1,0,MATCH(X$1,'Calc Canada'!$1:$1,0)-1,300))</f>
        <v>#N/A</v>
      </c>
      <c r="AC30" t="e">
        <f t="shared" ca="1" si="0"/>
        <v>#N/A</v>
      </c>
      <c r="AD30" t="e">
        <f t="shared" ca="1" si="1"/>
        <v>#N/A</v>
      </c>
    </row>
    <row r="31" spans="1:30" x14ac:dyDescent="0.25">
      <c r="A31" s="4">
        <v>42082</v>
      </c>
      <c r="B31">
        <v>0.47199999999999998</v>
      </c>
      <c r="C31" s="5">
        <v>0.48599999999999999</v>
      </c>
      <c r="D31">
        <v>0.73099999999999998</v>
      </c>
      <c r="E31">
        <v>0.97299999999999998</v>
      </c>
      <c r="F31">
        <v>1.3089999999999999</v>
      </c>
      <c r="G31">
        <v>1.948</v>
      </c>
      <c r="H31">
        <f t="shared" ca="1" si="6"/>
        <v>0.48902195608782434</v>
      </c>
      <c r="I31">
        <f t="shared" ca="1" si="6"/>
        <v>0.2927120669056153</v>
      </c>
      <c r="J31">
        <f t="shared" ca="1" si="6"/>
        <v>0.1659891598915989</v>
      </c>
      <c r="K31">
        <f t="shared" ca="1" si="6"/>
        <v>0.28912783751493432</v>
      </c>
      <c r="L31">
        <f t="shared" ca="1" si="6"/>
        <v>0.16395663956639567</v>
      </c>
      <c r="M31">
        <f t="shared" ca="1" si="6"/>
        <v>0.29404617253948967</v>
      </c>
      <c r="N31">
        <f t="shared" ca="1" si="6"/>
        <v>0.16552667578659372</v>
      </c>
      <c r="O31">
        <f t="shared" ca="1" si="6"/>
        <v>0.22764227642276422</v>
      </c>
      <c r="P31">
        <f t="shared" ca="1" si="6"/>
        <v>0.22982216142270859</v>
      </c>
      <c r="Q31">
        <f t="shared" ca="1" si="6"/>
        <v>0.27608874281018897</v>
      </c>
      <c r="R31">
        <f t="shared" ca="1" si="6"/>
        <v>0.55758807588075876</v>
      </c>
      <c r="S31">
        <f t="shared" ca="1" si="6"/>
        <v>0.39159891598915986</v>
      </c>
      <c r="T31">
        <f t="shared" ca="1" si="6"/>
        <v>0.39534883720930231</v>
      </c>
      <c r="V31" s="4">
        <f t="shared" si="5"/>
        <v>42082</v>
      </c>
      <c r="W31" s="5">
        <f t="shared" ca="1" si="4"/>
        <v>0.55758807588075876</v>
      </c>
      <c r="Z31" s="4" t="str">
        <f ca="1">IF(OFFSET('Calc Canada'!$A$1,0,0,300)="","",OFFSET('Calc Canada'!$A$1,0,0,300))</f>
        <v/>
      </c>
      <c r="AA31" s="5" t="e">
        <f ca="1">IF(OFFSET('Calc Canada'!$A$1,0,MATCH(W$1,'Calc Canada'!$1:$1,0)-1,300)="","",OFFSET('Calc Canada'!$A$1,0,MATCH(W$1,'Calc Canada'!$1:$1,0)-1,300))</f>
        <v>#N/A</v>
      </c>
      <c r="AB31" s="5" t="e">
        <f ca="1">IF(OFFSET('Calc Canada'!$A$1,0,MATCH(X$1,'Calc Canada'!$1:$1,0)-1,300)="","",OFFSET('Calc Canada'!$A$1,0,MATCH(X$1,'Calc Canada'!$1:$1,0)-1,300))</f>
        <v>#N/A</v>
      </c>
      <c r="AC31" t="e">
        <f t="shared" ca="1" si="0"/>
        <v>#N/A</v>
      </c>
      <c r="AD31" t="e">
        <f t="shared" ca="1" si="1"/>
        <v>#N/A</v>
      </c>
    </row>
    <row r="32" spans="1:30" x14ac:dyDescent="0.25">
      <c r="A32" s="4">
        <v>42081</v>
      </c>
      <c r="B32">
        <v>0.48199999999999998</v>
      </c>
      <c r="C32" s="5">
        <v>0.499</v>
      </c>
      <c r="D32">
        <v>0.73299999999999998</v>
      </c>
      <c r="E32">
        <v>0.98</v>
      </c>
      <c r="F32">
        <v>1.319</v>
      </c>
      <c r="G32">
        <v>1.9689999999999999</v>
      </c>
      <c r="H32">
        <f t="shared" ca="1" si="6"/>
        <v>0.46987951807228912</v>
      </c>
      <c r="I32">
        <f t="shared" ca="1" si="6"/>
        <v>0.27956989247311825</v>
      </c>
      <c r="J32">
        <f t="shared" ca="1" si="6"/>
        <v>0.15736381977135172</v>
      </c>
      <c r="K32">
        <f t="shared" ca="1" si="6"/>
        <v>0.29510155316606929</v>
      </c>
      <c r="L32">
        <f t="shared" ca="1" si="6"/>
        <v>0.1661062542030935</v>
      </c>
      <c r="M32">
        <f t="shared" ca="1" si="6"/>
        <v>0.30121951219512194</v>
      </c>
      <c r="N32">
        <f t="shared" ca="1" si="6"/>
        <v>0.16802721088435377</v>
      </c>
      <c r="O32">
        <f t="shared" ca="1" si="6"/>
        <v>0.22797579018157363</v>
      </c>
      <c r="P32">
        <f t="shared" ca="1" si="6"/>
        <v>0.2306122448979592</v>
      </c>
      <c r="Q32">
        <f t="shared" ca="1" si="6"/>
        <v>0.27427184466019422</v>
      </c>
      <c r="R32">
        <f t="shared" ca="1" si="6"/>
        <v>0.55144586415601882</v>
      </c>
      <c r="S32">
        <f t="shared" ca="1" si="6"/>
        <v>0.39408204438466715</v>
      </c>
      <c r="T32">
        <f t="shared" ca="1" si="6"/>
        <v>0.39863945578231297</v>
      </c>
      <c r="V32" s="4">
        <f t="shared" si="5"/>
        <v>42081</v>
      </c>
      <c r="W32" s="5">
        <f t="shared" ca="1" si="4"/>
        <v>0.55144586415601882</v>
      </c>
      <c r="Z32" s="4" t="str">
        <f ca="1">IF(OFFSET('Calc Canada'!$A$1,0,0,300)="","",OFFSET('Calc Canada'!$A$1,0,0,300))</f>
        <v/>
      </c>
      <c r="AA32" s="5" t="e">
        <f ca="1">IF(OFFSET('Calc Canada'!$A$1,0,MATCH(W$1,'Calc Canada'!$1:$1,0)-1,300)="","",OFFSET('Calc Canada'!$A$1,0,MATCH(W$1,'Calc Canada'!$1:$1,0)-1,300))</f>
        <v>#N/A</v>
      </c>
      <c r="AB32" s="5" t="e">
        <f ca="1">IF(OFFSET('Calc Canada'!$A$1,0,MATCH(X$1,'Calc Canada'!$1:$1,0)-1,300)="","",OFFSET('Calc Canada'!$A$1,0,MATCH(X$1,'Calc Canada'!$1:$1,0)-1,300))</f>
        <v>#N/A</v>
      </c>
      <c r="AC32" t="e">
        <f t="shared" ca="1" si="0"/>
        <v>#N/A</v>
      </c>
      <c r="AD32" t="e">
        <f t="shared" ca="1" si="1"/>
        <v>#N/A</v>
      </c>
    </row>
    <row r="33" spans="1:30" x14ac:dyDescent="0.25">
      <c r="A33" s="4">
        <v>42080</v>
      </c>
      <c r="B33">
        <v>0.53600000000000003</v>
      </c>
      <c r="C33" s="5">
        <v>0.54700000000000004</v>
      </c>
      <c r="D33">
        <v>0.81899999999999995</v>
      </c>
      <c r="E33">
        <v>1.075</v>
      </c>
      <c r="F33">
        <v>1.411</v>
      </c>
      <c r="G33">
        <v>2.0430000000000001</v>
      </c>
      <c r="H33">
        <f t="shared" ca="1" si="6"/>
        <v>0.50463821892393312</v>
      </c>
      <c r="I33">
        <f t="shared" ca="1" si="6"/>
        <v>0.31085714285714278</v>
      </c>
      <c r="J33">
        <f t="shared" ca="1" si="6"/>
        <v>0.18049104180491035</v>
      </c>
      <c r="K33">
        <f t="shared" ca="1" si="6"/>
        <v>0.29257142857142859</v>
      </c>
      <c r="L33">
        <f t="shared" ca="1" si="6"/>
        <v>0.16987392169873922</v>
      </c>
      <c r="M33">
        <f t="shared" ca="1" si="6"/>
        <v>0.29629629629629628</v>
      </c>
      <c r="N33">
        <f t="shared" ca="1" si="6"/>
        <v>0.17112299465240643</v>
      </c>
      <c r="O33">
        <f t="shared" ca="1" si="6"/>
        <v>0.22295952222959525</v>
      </c>
      <c r="P33">
        <f t="shared" ca="1" si="6"/>
        <v>0.22459893048128349</v>
      </c>
      <c r="Q33">
        <f t="shared" ca="1" si="6"/>
        <v>0.27450980392156865</v>
      </c>
      <c r="R33">
        <f t="shared" ca="1" si="6"/>
        <v>0.57332448573324479</v>
      </c>
      <c r="S33">
        <f t="shared" ca="1" si="6"/>
        <v>0.39283344392833447</v>
      </c>
      <c r="T33">
        <f t="shared" ca="1" si="6"/>
        <v>0.39572192513368992</v>
      </c>
      <c r="V33" s="4">
        <f t="shared" si="5"/>
        <v>42080</v>
      </c>
      <c r="W33" s="5">
        <f t="shared" ca="1" si="4"/>
        <v>0.57332448573324479</v>
      </c>
      <c r="Z33" s="4" t="str">
        <f ca="1">IF(OFFSET('Calc Canada'!$A$1,0,0,300)="","",OFFSET('Calc Canada'!$A$1,0,0,300))</f>
        <v/>
      </c>
      <c r="AA33" s="5" t="e">
        <f ca="1">IF(OFFSET('Calc Canada'!$A$1,0,MATCH(W$1,'Calc Canada'!$1:$1,0)-1,300)="","",OFFSET('Calc Canada'!$A$1,0,MATCH(W$1,'Calc Canada'!$1:$1,0)-1,300))</f>
        <v>#N/A</v>
      </c>
      <c r="AB33" s="5" t="e">
        <f ca="1">IF(OFFSET('Calc Canada'!$A$1,0,MATCH(X$1,'Calc Canada'!$1:$1,0)-1,300)="","",OFFSET('Calc Canada'!$A$1,0,MATCH(X$1,'Calc Canada'!$1:$1,0)-1,300))</f>
        <v>#N/A</v>
      </c>
      <c r="AC33" t="e">
        <f t="shared" ca="1" si="0"/>
        <v>#N/A</v>
      </c>
      <c r="AD33" t="e">
        <f t="shared" ca="1" si="1"/>
        <v>#N/A</v>
      </c>
    </row>
    <row r="34" spans="1:30" x14ac:dyDescent="0.25">
      <c r="A34" s="4">
        <v>42079</v>
      </c>
      <c r="B34">
        <v>0.53</v>
      </c>
      <c r="C34" s="5">
        <v>0.53600000000000003</v>
      </c>
      <c r="D34">
        <v>0.82899999999999996</v>
      </c>
      <c r="E34">
        <v>1.093</v>
      </c>
      <c r="F34">
        <v>1.4279999999999999</v>
      </c>
      <c r="G34">
        <v>2.0680000000000001</v>
      </c>
      <c r="H34">
        <f t="shared" ca="1" si="6"/>
        <v>0.52042628774422728</v>
      </c>
      <c r="I34">
        <f t="shared" ca="1" si="6"/>
        <v>0.32628062360801779</v>
      </c>
      <c r="J34">
        <f t="shared" ca="1" si="6"/>
        <v>0.19050715214564365</v>
      </c>
      <c r="K34">
        <f t="shared" ca="1" si="6"/>
        <v>0.29398663697104682</v>
      </c>
      <c r="L34">
        <f t="shared" ca="1" si="6"/>
        <v>0.17165149544863459</v>
      </c>
      <c r="M34">
        <f t="shared" ca="1" si="6"/>
        <v>0.29596412556053814</v>
      </c>
      <c r="N34">
        <f t="shared" ca="1" si="6"/>
        <v>0.17232375979112272</v>
      </c>
      <c r="O34">
        <f t="shared" ca="1" si="6"/>
        <v>0.21781534460338098</v>
      </c>
      <c r="P34">
        <f t="shared" ca="1" si="6"/>
        <v>0.21866840731070494</v>
      </c>
      <c r="Q34">
        <f t="shared" ca="1" si="6"/>
        <v>0.27037933817594828</v>
      </c>
      <c r="R34">
        <f t="shared" ca="1" si="6"/>
        <v>0.57997399219765922</v>
      </c>
      <c r="S34">
        <f t="shared" ca="1" si="6"/>
        <v>0.38946684005201559</v>
      </c>
      <c r="T34">
        <f t="shared" ca="1" si="6"/>
        <v>0.39099216710182766</v>
      </c>
      <c r="V34" s="4">
        <f t="shared" si="5"/>
        <v>42079</v>
      </c>
      <c r="W34" s="5">
        <f t="shared" ca="1" si="4"/>
        <v>0.57997399219765922</v>
      </c>
      <c r="Z34" s="4" t="str">
        <f ca="1">IF(OFFSET('Calc Canada'!$A$1,0,0,300)="","",OFFSET('Calc Canada'!$A$1,0,0,300))</f>
        <v/>
      </c>
      <c r="AA34" s="5" t="e">
        <f ca="1">IF(OFFSET('Calc Canada'!$A$1,0,MATCH(W$1,'Calc Canada'!$1:$1,0)-1,300)="","",OFFSET('Calc Canada'!$A$1,0,MATCH(W$1,'Calc Canada'!$1:$1,0)-1,300))</f>
        <v>#N/A</v>
      </c>
      <c r="AB34" s="5" t="e">
        <f ca="1">IF(OFFSET('Calc Canada'!$A$1,0,MATCH(X$1,'Calc Canada'!$1:$1,0)-1,300)="","",OFFSET('Calc Canada'!$A$1,0,MATCH(X$1,'Calc Canada'!$1:$1,0)-1,300))</f>
        <v>#N/A</v>
      </c>
      <c r="AC34" t="e">
        <f t="shared" ca="1" si="0"/>
        <v>#N/A</v>
      </c>
      <c r="AD34" t="e">
        <f t="shared" ca="1" si="1"/>
        <v>#N/A</v>
      </c>
    </row>
    <row r="35" spans="1:30" x14ac:dyDescent="0.25">
      <c r="A35" s="4">
        <v>42076</v>
      </c>
      <c r="B35">
        <v>0.55100000000000005</v>
      </c>
      <c r="C35" s="5">
        <v>0.55300000000000005</v>
      </c>
      <c r="D35">
        <v>0.86</v>
      </c>
      <c r="E35">
        <v>1.1360000000000001</v>
      </c>
      <c r="F35">
        <v>1.4729999999999999</v>
      </c>
      <c r="G35">
        <v>2.109</v>
      </c>
      <c r="H35">
        <f t="shared" ca="1" si="6"/>
        <v>0.52478632478632459</v>
      </c>
      <c r="I35">
        <f t="shared" ca="1" si="6"/>
        <v>0.3329718004338395</v>
      </c>
      <c r="J35">
        <f t="shared" ca="1" si="6"/>
        <v>0.19704749679075736</v>
      </c>
      <c r="K35">
        <f t="shared" ca="1" si="6"/>
        <v>0.29934924078091124</v>
      </c>
      <c r="L35">
        <f t="shared" ca="1" si="6"/>
        <v>0.17715019255455722</v>
      </c>
      <c r="M35">
        <f t="shared" ca="1" si="6"/>
        <v>0.30000000000000021</v>
      </c>
      <c r="N35">
        <f t="shared" ca="1" si="6"/>
        <v>0.17737789203084842</v>
      </c>
      <c r="O35">
        <f t="shared" ca="1" si="6"/>
        <v>0.21630295250320911</v>
      </c>
      <c r="P35">
        <f t="shared" ca="1" si="6"/>
        <v>0.21658097686375305</v>
      </c>
      <c r="Q35">
        <f t="shared" ca="1" si="6"/>
        <v>0.26981585268214547</v>
      </c>
      <c r="R35">
        <f t="shared" ca="1" si="6"/>
        <v>0.59050064184852369</v>
      </c>
      <c r="S35">
        <f t="shared" ca="1" si="6"/>
        <v>0.39345314505776635</v>
      </c>
      <c r="T35">
        <f t="shared" ca="1" si="6"/>
        <v>0.39395886889460147</v>
      </c>
      <c r="V35" s="4">
        <f t="shared" si="5"/>
        <v>42076</v>
      </c>
      <c r="W35" s="5">
        <f t="shared" ca="1" si="4"/>
        <v>0.59050064184852369</v>
      </c>
      <c r="Z35" s="4" t="str">
        <f ca="1">IF(OFFSET('Calc Canada'!$A$1,0,0,300)="","",OFFSET('Calc Canada'!$A$1,0,0,300))</f>
        <v/>
      </c>
      <c r="AA35" s="5" t="e">
        <f ca="1">IF(OFFSET('Calc Canada'!$A$1,0,MATCH(W$1,'Calc Canada'!$1:$1,0)-1,300)="","",OFFSET('Calc Canada'!$A$1,0,MATCH(W$1,'Calc Canada'!$1:$1,0)-1,300))</f>
        <v>#N/A</v>
      </c>
      <c r="AB35" s="5" t="e">
        <f ca="1">IF(OFFSET('Calc Canada'!$A$1,0,MATCH(X$1,'Calc Canada'!$1:$1,0)-1,300)="","",OFFSET('Calc Canada'!$A$1,0,MATCH(X$1,'Calc Canada'!$1:$1,0)-1,300))</f>
        <v>#N/A</v>
      </c>
      <c r="AC35" t="e">
        <f t="shared" ca="1" si="0"/>
        <v>#N/A</v>
      </c>
      <c r="AD35" t="e">
        <f t="shared" ca="1" si="1"/>
        <v>#N/A</v>
      </c>
    </row>
    <row r="36" spans="1:30" x14ac:dyDescent="0.25">
      <c r="A36" s="4">
        <v>42075</v>
      </c>
      <c r="B36">
        <v>0.57299999999999995</v>
      </c>
      <c r="C36" s="5">
        <v>0.57399999999999995</v>
      </c>
      <c r="D36">
        <v>0.88500000000000001</v>
      </c>
      <c r="E36">
        <v>1.153</v>
      </c>
      <c r="F36">
        <v>1.4910000000000001</v>
      </c>
      <c r="G36">
        <v>2.129</v>
      </c>
      <c r="H36">
        <f t="shared" ca="1" si="6"/>
        <v>0.53620689655172415</v>
      </c>
      <c r="I36">
        <f t="shared" ca="1" si="6"/>
        <v>0.33877995642701525</v>
      </c>
      <c r="J36">
        <f t="shared" ca="1" si="6"/>
        <v>0.19987146529562985</v>
      </c>
      <c r="K36">
        <f t="shared" ca="1" si="6"/>
        <v>0.29193899782135074</v>
      </c>
      <c r="L36">
        <f t="shared" ca="1" si="6"/>
        <v>0.17223650385604114</v>
      </c>
      <c r="M36">
        <f t="shared" ca="1" si="6"/>
        <v>0.29225736095965099</v>
      </c>
      <c r="N36">
        <f t="shared" ca="1" si="6"/>
        <v>0.17234726688102894</v>
      </c>
      <c r="O36">
        <f t="shared" ca="1" si="6"/>
        <v>0.21722365038560415</v>
      </c>
      <c r="P36">
        <f t="shared" ca="1" si="6"/>
        <v>0.21736334405144697</v>
      </c>
      <c r="Q36">
        <f t="shared" ca="1" si="6"/>
        <v>0.27170418006430874</v>
      </c>
      <c r="R36">
        <f t="shared" ca="1" si="6"/>
        <v>0.58933161953727509</v>
      </c>
      <c r="S36">
        <f t="shared" ca="1" si="6"/>
        <v>0.38946015424164532</v>
      </c>
      <c r="T36">
        <f t="shared" ca="1" si="6"/>
        <v>0.38971061093247589</v>
      </c>
      <c r="V36" s="4">
        <f t="shared" si="5"/>
        <v>42075</v>
      </c>
      <c r="W36" s="5">
        <f t="shared" ca="1" si="4"/>
        <v>0.58933161953727509</v>
      </c>
      <c r="Z36" s="4" t="str">
        <f ca="1">IF(OFFSET('Calc Canada'!$A$1,0,0,300)="","",OFFSET('Calc Canada'!$A$1,0,0,300))</f>
        <v/>
      </c>
      <c r="AA36" s="5" t="e">
        <f ca="1">IF(OFFSET('Calc Canada'!$A$1,0,MATCH(W$1,'Calc Canada'!$1:$1,0)-1,300)="","",OFFSET('Calc Canada'!$A$1,0,MATCH(W$1,'Calc Canada'!$1:$1,0)-1,300))</f>
        <v>#N/A</v>
      </c>
      <c r="AB36" s="5" t="e">
        <f ca="1">IF(OFFSET('Calc Canada'!$A$1,0,MATCH(X$1,'Calc Canada'!$1:$1,0)-1,300)="","",OFFSET('Calc Canada'!$A$1,0,MATCH(X$1,'Calc Canada'!$1:$1,0)-1,300))</f>
        <v>#N/A</v>
      </c>
      <c r="AC36" t="e">
        <f t="shared" ca="1" si="0"/>
        <v>#N/A</v>
      </c>
      <c r="AD36" t="e">
        <f t="shared" ca="1" si="1"/>
        <v>#N/A</v>
      </c>
    </row>
    <row r="37" spans="1:30" x14ac:dyDescent="0.25">
      <c r="A37" s="4">
        <v>42074</v>
      </c>
      <c r="B37">
        <v>0.58299999999999996</v>
      </c>
      <c r="C37" s="5">
        <v>0.58499999999999996</v>
      </c>
      <c r="D37">
        <v>0.89600000000000002</v>
      </c>
      <c r="E37">
        <v>1.161</v>
      </c>
      <c r="F37">
        <v>1.498</v>
      </c>
      <c r="G37">
        <v>2.133</v>
      </c>
      <c r="H37">
        <f t="shared" ca="1" si="6"/>
        <v>0.53806228373702425</v>
      </c>
      <c r="I37">
        <f t="shared" ca="1" si="6"/>
        <v>0.33989071038251373</v>
      </c>
      <c r="J37">
        <f t="shared" ca="1" si="6"/>
        <v>0.20064516129032262</v>
      </c>
      <c r="K37">
        <f t="shared" ca="1" si="6"/>
        <v>0.2896174863387978</v>
      </c>
      <c r="L37">
        <f t="shared" ca="1" si="6"/>
        <v>0.17096774193548386</v>
      </c>
      <c r="M37">
        <f t="shared" ca="1" si="6"/>
        <v>0.29025191675794088</v>
      </c>
      <c r="N37">
        <f t="shared" ca="1" si="6"/>
        <v>0.17118863049095609</v>
      </c>
      <c r="O37">
        <f t="shared" ca="1" si="6"/>
        <v>0.21741935483870964</v>
      </c>
      <c r="P37">
        <f t="shared" ca="1" si="6"/>
        <v>0.21770025839793278</v>
      </c>
      <c r="Q37">
        <f t="shared" ca="1" si="6"/>
        <v>0.27243330638641872</v>
      </c>
      <c r="R37">
        <f t="shared" ca="1" si="6"/>
        <v>0.58903225806451609</v>
      </c>
      <c r="S37">
        <f t="shared" ca="1" si="6"/>
        <v>0.38838709677419353</v>
      </c>
      <c r="T37">
        <f t="shared" ca="1" si="6"/>
        <v>0.38888888888888884</v>
      </c>
      <c r="V37" s="4">
        <f t="shared" si="5"/>
        <v>42074</v>
      </c>
      <c r="W37" s="5">
        <f t="shared" ca="1" si="4"/>
        <v>0.58903225806451609</v>
      </c>
      <c r="Z37" s="4" t="str">
        <f ca="1">IF(OFFSET('Calc Canada'!$A$1,0,0,300)="","",OFFSET('Calc Canada'!$A$1,0,0,300))</f>
        <v/>
      </c>
      <c r="AA37" s="5" t="e">
        <f ca="1">IF(OFFSET('Calc Canada'!$A$1,0,MATCH(W$1,'Calc Canada'!$1:$1,0)-1,300)="","",OFFSET('Calc Canada'!$A$1,0,MATCH(W$1,'Calc Canada'!$1:$1,0)-1,300))</f>
        <v>#N/A</v>
      </c>
      <c r="AB37" s="5" t="e">
        <f ca="1">IF(OFFSET('Calc Canada'!$A$1,0,MATCH(X$1,'Calc Canada'!$1:$1,0)-1,300)="","",OFFSET('Calc Canada'!$A$1,0,MATCH(X$1,'Calc Canada'!$1:$1,0)-1,300))</f>
        <v>#N/A</v>
      </c>
      <c r="AC37" t="e">
        <f t="shared" ca="1" si="0"/>
        <v>#N/A</v>
      </c>
      <c r="AD37" t="e">
        <f t="shared" ca="1" si="1"/>
        <v>#N/A</v>
      </c>
    </row>
    <row r="38" spans="1:30" x14ac:dyDescent="0.25">
      <c r="A38" s="4">
        <v>42073</v>
      </c>
      <c r="B38">
        <v>0.58599999999999997</v>
      </c>
      <c r="C38" s="5">
        <v>0.58699999999999997</v>
      </c>
      <c r="D38">
        <v>0.92100000000000004</v>
      </c>
      <c r="E38">
        <v>1.1870000000000001</v>
      </c>
      <c r="F38">
        <v>1.532</v>
      </c>
      <c r="G38">
        <v>2.1669999999999998</v>
      </c>
      <c r="H38">
        <f t="shared" ca="1" si="6"/>
        <v>0.55574043261231287</v>
      </c>
      <c r="I38">
        <f t="shared" ca="1" si="6"/>
        <v>0.3530655391120508</v>
      </c>
      <c r="J38">
        <f t="shared" ca="1" si="6"/>
        <v>0.21125869702719802</v>
      </c>
      <c r="K38">
        <f t="shared" ca="1" si="6"/>
        <v>0.28118393234672306</v>
      </c>
      <c r="L38">
        <f t="shared" ca="1" si="6"/>
        <v>0.16824794433902596</v>
      </c>
      <c r="M38">
        <f t="shared" ca="1" si="6"/>
        <v>0.2814814814814815</v>
      </c>
      <c r="N38">
        <f t="shared" ca="1" si="6"/>
        <v>0.16835443037974687</v>
      </c>
      <c r="O38">
        <f t="shared" ca="1" si="6"/>
        <v>0.21821631878557873</v>
      </c>
      <c r="P38">
        <f t="shared" ca="1" si="6"/>
        <v>0.21835443037974683</v>
      </c>
      <c r="Q38">
        <f t="shared" ca="1" si="6"/>
        <v>0.27688603531300165</v>
      </c>
      <c r="R38">
        <f t="shared" ca="1" si="6"/>
        <v>0.59772296015180271</v>
      </c>
      <c r="S38">
        <f t="shared" ca="1" si="6"/>
        <v>0.38646426312460469</v>
      </c>
      <c r="T38">
        <f t="shared" ca="1" si="6"/>
        <v>0.38670886075949368</v>
      </c>
      <c r="V38" s="4">
        <f t="shared" si="5"/>
        <v>42073</v>
      </c>
      <c r="W38" s="5">
        <f t="shared" ca="1" si="4"/>
        <v>0.59772296015180271</v>
      </c>
      <c r="Z38" s="4" t="str">
        <f ca="1">IF(OFFSET('Calc Canada'!$A$1,0,0,300)="","",OFFSET('Calc Canada'!$A$1,0,0,300))</f>
        <v/>
      </c>
      <c r="AA38" s="5" t="e">
        <f ca="1">IF(OFFSET('Calc Canada'!$A$1,0,MATCH(W$1,'Calc Canada'!$1:$1,0)-1,300)="","",OFFSET('Calc Canada'!$A$1,0,MATCH(W$1,'Calc Canada'!$1:$1,0)-1,300))</f>
        <v>#N/A</v>
      </c>
      <c r="AB38" s="5" t="e">
        <f ca="1">IF(OFFSET('Calc Canada'!$A$1,0,MATCH(X$1,'Calc Canada'!$1:$1,0)-1,300)="","",OFFSET('Calc Canada'!$A$1,0,MATCH(X$1,'Calc Canada'!$1:$1,0)-1,300))</f>
        <v>#N/A</v>
      </c>
      <c r="AC38" t="e">
        <f t="shared" ca="1" si="0"/>
        <v>#N/A</v>
      </c>
      <c r="AD38" t="e">
        <f t="shared" ca="1" si="1"/>
        <v>#N/A</v>
      </c>
    </row>
    <row r="39" spans="1:30" x14ac:dyDescent="0.25">
      <c r="A39" s="4">
        <v>42072</v>
      </c>
      <c r="B39">
        <v>0.59799999999999998</v>
      </c>
      <c r="C39" s="5">
        <v>0.59899999999999998</v>
      </c>
      <c r="D39">
        <v>0.94899999999999995</v>
      </c>
      <c r="E39">
        <v>1.2190000000000001</v>
      </c>
      <c r="F39">
        <v>1.5669999999999999</v>
      </c>
      <c r="G39">
        <v>2.202</v>
      </c>
      <c r="H39">
        <f t="shared" ca="1" si="6"/>
        <v>0.56360708534621562</v>
      </c>
      <c r="I39">
        <f t="shared" ca="1" si="6"/>
        <v>0.36119711042311659</v>
      </c>
      <c r="J39">
        <f t="shared" ca="1" si="6"/>
        <v>0.21820448877805484</v>
      </c>
      <c r="K39">
        <f t="shared" ca="1" si="6"/>
        <v>0.27863777089783298</v>
      </c>
      <c r="L39">
        <f t="shared" ca="1" si="6"/>
        <v>0.16832917705735667</v>
      </c>
      <c r="M39">
        <f t="shared" ca="1" si="6"/>
        <v>0.27892561983471087</v>
      </c>
      <c r="N39">
        <f t="shared" ca="1" si="6"/>
        <v>0.16843418590143489</v>
      </c>
      <c r="O39">
        <f t="shared" ca="1" si="6"/>
        <v>0.2169576059850373</v>
      </c>
      <c r="P39">
        <f t="shared" ca="1" si="6"/>
        <v>0.21709295071740478</v>
      </c>
      <c r="Q39">
        <f t="shared" ca="1" si="6"/>
        <v>0.27773343974461279</v>
      </c>
      <c r="R39">
        <f t="shared" ca="1" si="6"/>
        <v>0.60349127182044882</v>
      </c>
      <c r="S39">
        <f t="shared" ca="1" si="6"/>
        <v>0.385286783042394</v>
      </c>
      <c r="T39">
        <f t="shared" ca="1" si="6"/>
        <v>0.38552713661883969</v>
      </c>
      <c r="V39" s="4">
        <f t="shared" si="5"/>
        <v>42072</v>
      </c>
      <c r="W39" s="5">
        <f t="shared" ca="1" si="4"/>
        <v>0.60349127182044882</v>
      </c>
      <c r="Z39" s="4" t="str">
        <f ca="1">IF(OFFSET('Calc Canada'!$A$1,0,0,300)="","",OFFSET('Calc Canada'!$A$1,0,0,300))</f>
        <v/>
      </c>
      <c r="AA39" s="5" t="e">
        <f ca="1">IF(OFFSET('Calc Canada'!$A$1,0,MATCH(W$1,'Calc Canada'!$1:$1,0)-1,300)="","",OFFSET('Calc Canada'!$A$1,0,MATCH(W$1,'Calc Canada'!$1:$1,0)-1,300))</f>
        <v>#N/A</v>
      </c>
      <c r="AB39" s="5" t="e">
        <f ca="1">IF(OFFSET('Calc Canada'!$A$1,0,MATCH(X$1,'Calc Canada'!$1:$1,0)-1,300)="","",OFFSET('Calc Canada'!$A$1,0,MATCH(X$1,'Calc Canada'!$1:$1,0)-1,300))</f>
        <v>#N/A</v>
      </c>
      <c r="AC39" t="e">
        <f t="shared" ca="1" si="0"/>
        <v>#N/A</v>
      </c>
      <c r="AD39" t="e">
        <f t="shared" ca="1" si="1"/>
        <v>#N/A</v>
      </c>
    </row>
    <row r="40" spans="1:30" x14ac:dyDescent="0.25">
      <c r="A40" s="4">
        <v>42069</v>
      </c>
      <c r="B40">
        <v>0.624</v>
      </c>
      <c r="C40" s="5">
        <v>0.628</v>
      </c>
      <c r="D40">
        <v>0.99399999999999999</v>
      </c>
      <c r="E40">
        <v>1.2610000000000001</v>
      </c>
      <c r="F40">
        <v>1.6099999999999999</v>
      </c>
      <c r="G40">
        <v>2.2280000000000002</v>
      </c>
      <c r="H40">
        <f t="shared" ca="1" si="6"/>
        <v>0.57456828885400302</v>
      </c>
      <c r="I40">
        <f t="shared" ca="1" si="6"/>
        <v>0.37119675456389456</v>
      </c>
      <c r="J40">
        <f t="shared" ca="1" si="6"/>
        <v>0.22817955112219448</v>
      </c>
      <c r="K40">
        <f t="shared" ca="1" si="6"/>
        <v>0.27079107505071009</v>
      </c>
      <c r="L40">
        <f t="shared" ca="1" si="6"/>
        <v>0.16645885286783049</v>
      </c>
      <c r="M40">
        <f t="shared" ca="1" si="6"/>
        <v>0.27189409368635453</v>
      </c>
      <c r="N40">
        <f t="shared" ca="1" si="6"/>
        <v>0.16687500000000008</v>
      </c>
      <c r="O40">
        <f t="shared" ca="1" si="6"/>
        <v>0.21758104738154596</v>
      </c>
      <c r="P40">
        <f t="shared" ca="1" si="6"/>
        <v>0.21812499999999985</v>
      </c>
      <c r="Q40">
        <f t="shared" ca="1" si="6"/>
        <v>0.28282009724473234</v>
      </c>
      <c r="R40">
        <f t="shared" ca="1" si="6"/>
        <v>0.61221945137157097</v>
      </c>
      <c r="S40">
        <f t="shared" ca="1" si="6"/>
        <v>0.38403990024937645</v>
      </c>
      <c r="T40">
        <f t="shared" ca="1" si="6"/>
        <v>0.3849999999999999</v>
      </c>
      <c r="V40" s="4">
        <f t="shared" si="5"/>
        <v>42069</v>
      </c>
      <c r="W40" s="5">
        <f t="shared" ca="1" si="4"/>
        <v>0.61221945137157097</v>
      </c>
      <c r="Z40" s="4" t="str">
        <f ca="1">IF(OFFSET('Calc Canada'!$A$1,0,0,300)="","",OFFSET('Calc Canada'!$A$1,0,0,300))</f>
        <v/>
      </c>
      <c r="AA40" s="5" t="e">
        <f ca="1">IF(OFFSET('Calc Canada'!$A$1,0,MATCH(W$1,'Calc Canada'!$1:$1,0)-1,300)="","",OFFSET('Calc Canada'!$A$1,0,MATCH(W$1,'Calc Canada'!$1:$1,0)-1,300))</f>
        <v>#N/A</v>
      </c>
      <c r="AB40" s="5" t="e">
        <f ca="1">IF(OFFSET('Calc Canada'!$A$1,0,MATCH(X$1,'Calc Canada'!$1:$1,0)-1,300)="","",OFFSET('Calc Canada'!$A$1,0,MATCH(X$1,'Calc Canada'!$1:$1,0)-1,300))</f>
        <v>#N/A</v>
      </c>
      <c r="AC40" t="e">
        <f t="shared" ca="1" si="0"/>
        <v>#N/A</v>
      </c>
      <c r="AD40" t="e">
        <f t="shared" ca="1" si="1"/>
        <v>#N/A</v>
      </c>
    </row>
    <row r="41" spans="1:30" x14ac:dyDescent="0.25">
      <c r="A41" s="4">
        <v>42068</v>
      </c>
      <c r="B41">
        <v>0.61899999999999999</v>
      </c>
      <c r="C41" s="5">
        <v>0.58899999999999997</v>
      </c>
      <c r="D41">
        <v>0.94799999999999995</v>
      </c>
      <c r="E41">
        <v>1.2</v>
      </c>
      <c r="F41">
        <v>1.5249999999999999</v>
      </c>
      <c r="G41">
        <v>2.1269999999999998</v>
      </c>
      <c r="H41">
        <f t="shared" ca="1" si="6"/>
        <v>0.61790017211703963</v>
      </c>
      <c r="I41">
        <f t="shared" ca="1" si="6"/>
        <v>0.39624724061810157</v>
      </c>
      <c r="J41">
        <f t="shared" ca="1" si="6"/>
        <v>0.23806366047745361</v>
      </c>
      <c r="K41">
        <f t="shared" ca="1" si="6"/>
        <v>0.27814569536423844</v>
      </c>
      <c r="L41">
        <f t="shared" ca="1" si="6"/>
        <v>0.16710875331564989</v>
      </c>
      <c r="M41">
        <f t="shared" ca="1" si="6"/>
        <v>0.26923076923076927</v>
      </c>
      <c r="N41">
        <f t="shared" ca="1" si="6"/>
        <v>0.16384915474642395</v>
      </c>
      <c r="O41">
        <f t="shared" ca="1" si="6"/>
        <v>0.21551724137931036</v>
      </c>
      <c r="P41">
        <f t="shared" ca="1" si="6"/>
        <v>0.21131339401820545</v>
      </c>
      <c r="Q41">
        <f t="shared" ca="1" si="6"/>
        <v>0.27565733672603904</v>
      </c>
      <c r="R41">
        <f t="shared" ca="1" si="6"/>
        <v>0.62068965517241381</v>
      </c>
      <c r="S41">
        <f t="shared" ca="1" si="6"/>
        <v>0.38262599469496023</v>
      </c>
      <c r="T41">
        <f t="shared" ca="1" si="6"/>
        <v>0.3751625487646294</v>
      </c>
      <c r="V41" s="4">
        <f t="shared" si="5"/>
        <v>42068</v>
      </c>
      <c r="W41" s="5">
        <f t="shared" ca="1" si="4"/>
        <v>0.62068965517241381</v>
      </c>
      <c r="Z41" s="4" t="str">
        <f ca="1">IF(OFFSET('Calc Canada'!$A$1,0,0,300)="","",OFFSET('Calc Canada'!$A$1,0,0,300))</f>
        <v/>
      </c>
      <c r="AA41" s="5" t="e">
        <f ca="1">IF(OFFSET('Calc Canada'!$A$1,0,MATCH(W$1,'Calc Canada'!$1:$1,0)-1,300)="","",OFFSET('Calc Canada'!$A$1,0,MATCH(W$1,'Calc Canada'!$1:$1,0)-1,300))</f>
        <v>#N/A</v>
      </c>
      <c r="AB41" s="5" t="e">
        <f ca="1">IF(OFFSET('Calc Canada'!$A$1,0,MATCH(X$1,'Calc Canada'!$1:$1,0)-1,300)="","",OFFSET('Calc Canada'!$A$1,0,MATCH(X$1,'Calc Canada'!$1:$1,0)-1,300))</f>
        <v>#N/A</v>
      </c>
      <c r="AC41" t="e">
        <f t="shared" ca="1" si="0"/>
        <v>#N/A</v>
      </c>
      <c r="AD41" t="e">
        <f t="shared" ca="1" si="1"/>
        <v>#N/A</v>
      </c>
    </row>
    <row r="42" spans="1:30" x14ac:dyDescent="0.25">
      <c r="A42" s="4">
        <v>42067</v>
      </c>
      <c r="B42">
        <v>0.60799999999999998</v>
      </c>
      <c r="C42" s="5">
        <v>0.56899999999999995</v>
      </c>
      <c r="D42">
        <v>0.91800000000000004</v>
      </c>
      <c r="E42">
        <v>1.165</v>
      </c>
      <c r="F42">
        <v>1.5049999999999999</v>
      </c>
      <c r="G42">
        <v>2.1</v>
      </c>
      <c r="H42">
        <f t="shared" ca="1" si="6"/>
        <v>0.62657091561938971</v>
      </c>
      <c r="I42">
        <f t="shared" ca="1" si="6"/>
        <v>0.38907469342251966</v>
      </c>
      <c r="J42">
        <f t="shared" ca="1" si="6"/>
        <v>0.23391420911528157</v>
      </c>
      <c r="K42">
        <f t="shared" ca="1" si="6"/>
        <v>0.27536231884057971</v>
      </c>
      <c r="L42">
        <f t="shared" ca="1" si="6"/>
        <v>0.16554959785522788</v>
      </c>
      <c r="M42">
        <f t="shared" ca="1" si="6"/>
        <v>0.2638888888888889</v>
      </c>
      <c r="N42">
        <f t="shared" ca="1" si="6"/>
        <v>0.1613324624428478</v>
      </c>
      <c r="O42">
        <f t="shared" ca="1" si="6"/>
        <v>0.22788203753351197</v>
      </c>
      <c r="P42">
        <f t="shared" ca="1" si="6"/>
        <v>0.22207707380796854</v>
      </c>
      <c r="Q42">
        <f t="shared" ca="1" si="6"/>
        <v>0.28764805414551597</v>
      </c>
      <c r="R42">
        <f t="shared" ca="1" si="6"/>
        <v>0.62734584450402142</v>
      </c>
      <c r="S42">
        <f t="shared" ca="1" si="6"/>
        <v>0.39343163538873988</v>
      </c>
      <c r="T42">
        <f t="shared" ca="1" si="6"/>
        <v>0.38340953625081631</v>
      </c>
      <c r="V42" s="4">
        <f t="shared" si="5"/>
        <v>42067</v>
      </c>
      <c r="W42" s="5">
        <f t="shared" ca="1" si="4"/>
        <v>0.62734584450402142</v>
      </c>
      <c r="Z42" s="4" t="str">
        <f ca="1">IF(OFFSET('Calc Canada'!$A$1,0,0,300)="","",OFFSET('Calc Canada'!$A$1,0,0,300))</f>
        <v/>
      </c>
      <c r="AA42" s="5" t="e">
        <f ca="1">IF(OFFSET('Calc Canada'!$A$1,0,MATCH(W$1,'Calc Canada'!$1:$1,0)-1,300)="","",OFFSET('Calc Canada'!$A$1,0,MATCH(W$1,'Calc Canada'!$1:$1,0)-1,300))</f>
        <v>#N/A</v>
      </c>
      <c r="AB42" s="5" t="e">
        <f ca="1">IF(OFFSET('Calc Canada'!$A$1,0,MATCH(X$1,'Calc Canada'!$1:$1,0)-1,300)="","",OFFSET('Calc Canada'!$A$1,0,MATCH(X$1,'Calc Canada'!$1:$1,0)-1,300))</f>
        <v>#N/A</v>
      </c>
      <c r="AC42" t="e">
        <f t="shared" ca="1" si="0"/>
        <v>#N/A</v>
      </c>
      <c r="AD42" t="e">
        <f t="shared" ca="1" si="1"/>
        <v>#N/A</v>
      </c>
    </row>
    <row r="43" spans="1:30" x14ac:dyDescent="0.25">
      <c r="A43" s="4">
        <v>42066</v>
      </c>
      <c r="B43">
        <v>0.498</v>
      </c>
      <c r="C43" s="5">
        <v>0.46400000000000002</v>
      </c>
      <c r="D43">
        <v>0.81899999999999995</v>
      </c>
      <c r="E43">
        <v>1.073</v>
      </c>
      <c r="F43">
        <v>1.4219999999999999</v>
      </c>
      <c r="G43">
        <v>2.0350000000000001</v>
      </c>
      <c r="H43">
        <f t="shared" ca="1" si="6"/>
        <v>0.61739130434782596</v>
      </c>
      <c r="I43">
        <f t="shared" ca="1" si="6"/>
        <v>0.38419913419913415</v>
      </c>
      <c r="J43">
        <f t="shared" ca="1" si="6"/>
        <v>0.23096942094990233</v>
      </c>
      <c r="K43">
        <f t="shared" ca="1" si="6"/>
        <v>0.27489177489177491</v>
      </c>
      <c r="L43">
        <f t="shared" ca="1" si="6"/>
        <v>0.1652569941444372</v>
      </c>
      <c r="M43">
        <f t="shared" ca="1" si="6"/>
        <v>0.26513569937369519</v>
      </c>
      <c r="N43">
        <f t="shared" ca="1" si="6"/>
        <v>0.16168045830681094</v>
      </c>
      <c r="O43">
        <f t="shared" ca="1" si="6"/>
        <v>0.22706571242680543</v>
      </c>
      <c r="P43">
        <f t="shared" ca="1" si="6"/>
        <v>0.22215149586250793</v>
      </c>
      <c r="Q43">
        <f t="shared" ca="1" si="6"/>
        <v>0.28700657894736836</v>
      </c>
      <c r="R43">
        <f t="shared" ca="1" si="6"/>
        <v>0.62329212752114505</v>
      </c>
      <c r="S43">
        <f t="shared" ca="1" si="6"/>
        <v>0.39232270657124263</v>
      </c>
      <c r="T43">
        <f t="shared" ca="1" si="6"/>
        <v>0.38383195416931887</v>
      </c>
      <c r="V43" s="4">
        <f t="shared" si="5"/>
        <v>42066</v>
      </c>
      <c r="W43" s="5">
        <f t="shared" ca="1" si="4"/>
        <v>0.62329212752114505</v>
      </c>
      <c r="Z43" s="4" t="str">
        <f ca="1">IF(OFFSET('Calc Canada'!$A$1,0,0,300)="","",OFFSET('Calc Canada'!$A$1,0,0,300))</f>
        <v/>
      </c>
      <c r="AA43" s="5" t="e">
        <f ca="1">IF(OFFSET('Calc Canada'!$A$1,0,MATCH(W$1,'Calc Canada'!$1:$1,0)-1,300)="","",OFFSET('Calc Canada'!$A$1,0,MATCH(W$1,'Calc Canada'!$1:$1,0)-1,300))</f>
        <v>#N/A</v>
      </c>
      <c r="AB43" s="5" t="e">
        <f ca="1">IF(OFFSET('Calc Canada'!$A$1,0,MATCH(X$1,'Calc Canada'!$1:$1,0)-1,300)="","",OFFSET('Calc Canada'!$A$1,0,MATCH(X$1,'Calc Canada'!$1:$1,0)-1,300))</f>
        <v>#N/A</v>
      </c>
      <c r="AC43" t="e">
        <f t="shared" ca="1" si="0"/>
        <v>#N/A</v>
      </c>
      <c r="AD43" t="e">
        <f t="shared" ca="1" si="1"/>
        <v>#N/A</v>
      </c>
    </row>
    <row r="44" spans="1:30" x14ac:dyDescent="0.25">
      <c r="A44" s="4">
        <v>42065</v>
      </c>
      <c r="B44">
        <v>0.48799999999999999</v>
      </c>
      <c r="C44" s="5">
        <v>0.45600000000000002</v>
      </c>
      <c r="D44">
        <v>0.78100000000000003</v>
      </c>
      <c r="E44">
        <v>1.018</v>
      </c>
      <c r="F44">
        <v>1.37</v>
      </c>
      <c r="G44">
        <v>1.978</v>
      </c>
      <c r="H44">
        <f t="shared" ca="1" si="6"/>
        <v>0.6132075471698113</v>
      </c>
      <c r="I44">
        <f t="shared" ca="1" si="6"/>
        <v>0.36848072562358275</v>
      </c>
      <c r="J44">
        <f t="shared" ca="1" si="6"/>
        <v>0.21812080536912754</v>
      </c>
      <c r="K44">
        <f t="shared" ca="1" si="6"/>
        <v>0.26870748299319724</v>
      </c>
      <c r="L44">
        <f t="shared" ca="1" si="6"/>
        <v>0.15906040268456376</v>
      </c>
      <c r="M44">
        <f t="shared" ca="1" si="6"/>
        <v>0.25929978118161923</v>
      </c>
      <c r="N44">
        <f t="shared" ca="1" si="6"/>
        <v>0.15571616294349538</v>
      </c>
      <c r="O44">
        <f t="shared" ca="1" si="6"/>
        <v>0.23624161073825509</v>
      </c>
      <c r="P44">
        <f t="shared" ca="1" si="6"/>
        <v>0.23127463863337719</v>
      </c>
      <c r="Q44">
        <f t="shared" ca="1" si="6"/>
        <v>0.29406850459482042</v>
      </c>
      <c r="R44">
        <f t="shared" ca="1" si="6"/>
        <v>0.61342281879194638</v>
      </c>
      <c r="S44">
        <f t="shared" ca="1" si="6"/>
        <v>0.39530201342281884</v>
      </c>
      <c r="T44">
        <f t="shared" ca="1" si="6"/>
        <v>0.3869908015768726</v>
      </c>
      <c r="V44" s="4">
        <f t="shared" si="5"/>
        <v>42065</v>
      </c>
      <c r="W44" s="5">
        <f t="shared" ca="1" si="4"/>
        <v>0.61342281879194638</v>
      </c>
      <c r="Z44" s="4" t="str">
        <f ca="1">IF(OFFSET('Calc Canada'!$A$1,0,0,300)="","",OFFSET('Calc Canada'!$A$1,0,0,300))</f>
        <v/>
      </c>
      <c r="AA44" s="5" t="e">
        <f ca="1">IF(OFFSET('Calc Canada'!$A$1,0,MATCH(W$1,'Calc Canada'!$1:$1,0)-1,300)="","",OFFSET('Calc Canada'!$A$1,0,MATCH(W$1,'Calc Canada'!$1:$1,0)-1,300))</f>
        <v>#N/A</v>
      </c>
      <c r="AB44" s="5" t="e">
        <f ca="1">IF(OFFSET('Calc Canada'!$A$1,0,MATCH(X$1,'Calc Canada'!$1:$1,0)-1,300)="","",OFFSET('Calc Canada'!$A$1,0,MATCH(X$1,'Calc Canada'!$1:$1,0)-1,300))</f>
        <v>#N/A</v>
      </c>
      <c r="AC44" t="e">
        <f t="shared" ca="1" si="0"/>
        <v>#N/A</v>
      </c>
      <c r="AD44" t="e">
        <f t="shared" ca="1" si="1"/>
        <v>#N/A</v>
      </c>
    </row>
    <row r="45" spans="1:30" x14ac:dyDescent="0.25">
      <c r="A45" s="4">
        <v>42062</v>
      </c>
      <c r="B45">
        <v>0.47</v>
      </c>
      <c r="C45" s="5">
        <v>0.443</v>
      </c>
      <c r="D45">
        <v>0.72599999999999998</v>
      </c>
      <c r="E45">
        <v>0.95</v>
      </c>
      <c r="F45">
        <v>1.2989999999999999</v>
      </c>
      <c r="G45">
        <v>1.917</v>
      </c>
      <c r="H45">
        <f t="shared" ref="H45:T60" ca="1" si="7">IF(ISERROR(ABS(OFFSET($A$11,ROW()-11,MATCH(LEFT(H$9,2),$A$11:$G$11,0)-1)-OFFSET($A$11,ROW()-11,MATCH(RIGHT(H$9,2),$A$11:$G$11,0)-1))/ABS(OFFSET($A$11,ROW()-11,MATCH(LEFT(H$10,2),$A$11:$G$11,0)-1)-OFFSET($A$11,ROW()-11,MATCH(RIGHT(H$10,2),$A$11:$G$11,0)-1))),"",ABS(OFFSET($A$11,ROW()-11,MATCH(LEFT(H$9,2),$A$11:$G$11,0)-1)-OFFSET($A$11,ROW()-11,MATCH(RIGHT(H$9,2),$A$11:$G$11,0)-1))/ABS(OFFSET($A$11,ROW()-11,MATCH(LEFT(H$10,2),$A$11:$G$11,0)-1)-OFFSET($A$11,ROW()-11,MATCH(RIGHT(H$10,2),$A$11:$G$11,0)-1)))</f>
        <v>0.58958333333333335</v>
      </c>
      <c r="I45">
        <f t="shared" ca="1" si="7"/>
        <v>0.34137515078407721</v>
      </c>
      <c r="J45">
        <f t="shared" ca="1" si="7"/>
        <v>0.19557705597788524</v>
      </c>
      <c r="K45">
        <f t="shared" ca="1" si="7"/>
        <v>0.27020506634499397</v>
      </c>
      <c r="L45">
        <f t="shared" ca="1" si="7"/>
        <v>0.15480304077401519</v>
      </c>
      <c r="M45">
        <f t="shared" ca="1" si="7"/>
        <v>0.26168224299065423</v>
      </c>
      <c r="N45">
        <f t="shared" ca="1" si="7"/>
        <v>0.15196743554952508</v>
      </c>
      <c r="O45">
        <f t="shared" ca="1" si="7"/>
        <v>0.24118866620594331</v>
      </c>
      <c r="P45">
        <f t="shared" ca="1" si="7"/>
        <v>0.23677069199457257</v>
      </c>
      <c r="Q45">
        <f t="shared" ca="1" si="7"/>
        <v>0.29303106633081438</v>
      </c>
      <c r="R45">
        <f t="shared" ca="1" si="7"/>
        <v>0.59156876295784366</v>
      </c>
      <c r="S45">
        <f t="shared" ca="1" si="7"/>
        <v>0.3959917069799585</v>
      </c>
      <c r="T45">
        <f t="shared" ca="1" si="7"/>
        <v>0.38873812754409764</v>
      </c>
      <c r="V45" s="4">
        <f t="shared" si="5"/>
        <v>42062</v>
      </c>
      <c r="W45" s="5">
        <f t="shared" ca="1" si="4"/>
        <v>0.59156876295784366</v>
      </c>
      <c r="Z45" s="4" t="str">
        <f ca="1">IF(OFFSET('Calc Canada'!$A$1,0,0,300)="","",OFFSET('Calc Canada'!$A$1,0,0,300))</f>
        <v/>
      </c>
      <c r="AA45" s="5" t="e">
        <f ca="1">IF(OFFSET('Calc Canada'!$A$1,0,MATCH(W$1,'Calc Canada'!$1:$1,0)-1,300)="","",OFFSET('Calc Canada'!$A$1,0,MATCH(W$1,'Calc Canada'!$1:$1,0)-1,300))</f>
        <v>#N/A</v>
      </c>
      <c r="AB45" s="5" t="e">
        <f ca="1">IF(OFFSET('Calc Canada'!$A$1,0,MATCH(X$1,'Calc Canada'!$1:$1,0)-1,300)="","",OFFSET('Calc Canada'!$A$1,0,MATCH(X$1,'Calc Canada'!$1:$1,0)-1,300))</f>
        <v>#N/A</v>
      </c>
      <c r="AC45" t="e">
        <f t="shared" ca="1" si="0"/>
        <v>#N/A</v>
      </c>
      <c r="AD45" t="e">
        <f t="shared" ca="1" si="1"/>
        <v>#N/A</v>
      </c>
    </row>
    <row r="46" spans="1:30" x14ac:dyDescent="0.25">
      <c r="A46" s="4">
        <v>42061</v>
      </c>
      <c r="B46">
        <v>0.504</v>
      </c>
      <c r="C46" s="5">
        <v>0.48199999999999998</v>
      </c>
      <c r="D46">
        <v>0.77700000000000002</v>
      </c>
      <c r="E46">
        <v>0.997</v>
      </c>
      <c r="F46">
        <v>1.351</v>
      </c>
      <c r="G46">
        <v>1.96</v>
      </c>
      <c r="H46">
        <f t="shared" ca="1" si="7"/>
        <v>0.5983772819472617</v>
      </c>
      <c r="I46">
        <f t="shared" ca="1" si="7"/>
        <v>0.34828807556080288</v>
      </c>
      <c r="J46">
        <f t="shared" ca="1" si="7"/>
        <v>0.20260989010989014</v>
      </c>
      <c r="K46">
        <f t="shared" ca="1" si="7"/>
        <v>0.25974025974025972</v>
      </c>
      <c r="L46">
        <f t="shared" ca="1" si="7"/>
        <v>0.15109890109890109</v>
      </c>
      <c r="M46">
        <f t="shared" ca="1" si="7"/>
        <v>0.25316455696202528</v>
      </c>
      <c r="N46">
        <f t="shared" ca="1" si="7"/>
        <v>0.14884979702300405</v>
      </c>
      <c r="O46">
        <f t="shared" ca="1" si="7"/>
        <v>0.24313186813186813</v>
      </c>
      <c r="P46">
        <f t="shared" ca="1" si="7"/>
        <v>0.23951285520974289</v>
      </c>
      <c r="Q46">
        <f t="shared" ca="1" si="7"/>
        <v>0.29923922231614541</v>
      </c>
      <c r="R46">
        <f t="shared" ca="1" si="7"/>
        <v>0.59684065934065933</v>
      </c>
      <c r="S46">
        <f t="shared" ca="1" si="7"/>
        <v>0.39423076923076922</v>
      </c>
      <c r="T46">
        <f t="shared" ca="1" si="7"/>
        <v>0.38836265223274691</v>
      </c>
      <c r="V46" s="4">
        <f t="shared" si="5"/>
        <v>42061</v>
      </c>
      <c r="W46" s="5">
        <f t="shared" ca="1" si="4"/>
        <v>0.59684065934065933</v>
      </c>
      <c r="Z46" s="4" t="str">
        <f ca="1">IF(OFFSET('Calc Canada'!$A$1,0,0,300)="","",OFFSET('Calc Canada'!$A$1,0,0,300))</f>
        <v/>
      </c>
      <c r="AA46" s="5" t="e">
        <f ca="1">IF(OFFSET('Calc Canada'!$A$1,0,MATCH(W$1,'Calc Canada'!$1:$1,0)-1,300)="","",OFFSET('Calc Canada'!$A$1,0,MATCH(W$1,'Calc Canada'!$1:$1,0)-1,300))</f>
        <v>#N/A</v>
      </c>
      <c r="AB46" s="5" t="e">
        <f ca="1">IF(OFFSET('Calc Canada'!$A$1,0,MATCH(X$1,'Calc Canada'!$1:$1,0)-1,300)="","",OFFSET('Calc Canada'!$A$1,0,MATCH(X$1,'Calc Canada'!$1:$1,0)-1,300))</f>
        <v>#N/A</v>
      </c>
      <c r="AC46" t="e">
        <f t="shared" ca="1" si="0"/>
        <v>#N/A</v>
      </c>
      <c r="AD46" t="e">
        <f t="shared" ca="1" si="1"/>
        <v>#N/A</v>
      </c>
    </row>
    <row r="47" spans="1:30" x14ac:dyDescent="0.25">
      <c r="A47" s="4">
        <v>42060</v>
      </c>
      <c r="B47">
        <v>0.47299999999999998</v>
      </c>
      <c r="C47" s="5">
        <v>0.45300000000000001</v>
      </c>
      <c r="D47">
        <v>0.749</v>
      </c>
      <c r="E47">
        <v>0.96599999999999997</v>
      </c>
      <c r="F47">
        <v>1.323</v>
      </c>
      <c r="G47">
        <v>1.9489999999999998</v>
      </c>
      <c r="H47">
        <f t="shared" ca="1" si="7"/>
        <v>0.60040567951318458</v>
      </c>
      <c r="I47">
        <f t="shared" ca="1" si="7"/>
        <v>0.34823529411764703</v>
      </c>
      <c r="J47">
        <f t="shared" ca="1" si="7"/>
        <v>0.20054200542005418</v>
      </c>
      <c r="K47">
        <f t="shared" ca="1" si="7"/>
        <v>0.25529411764705878</v>
      </c>
      <c r="L47">
        <f t="shared" ca="1" si="7"/>
        <v>0.14701897018970189</v>
      </c>
      <c r="M47">
        <f t="shared" ca="1" si="7"/>
        <v>0.24942528735632183</v>
      </c>
      <c r="N47">
        <f t="shared" ca="1" si="7"/>
        <v>0.14505347593582887</v>
      </c>
      <c r="O47">
        <f t="shared" ca="1" si="7"/>
        <v>0.24186991869918698</v>
      </c>
      <c r="P47">
        <f t="shared" ca="1" si="7"/>
        <v>0.23863636363636367</v>
      </c>
      <c r="Q47">
        <f t="shared" ca="1" si="7"/>
        <v>0.29750000000000004</v>
      </c>
      <c r="R47">
        <f t="shared" ca="1" si="7"/>
        <v>0.58943089430894302</v>
      </c>
      <c r="S47">
        <f t="shared" ca="1" si="7"/>
        <v>0.38888888888888884</v>
      </c>
      <c r="T47">
        <f t="shared" ca="1" si="7"/>
        <v>0.38368983957219255</v>
      </c>
      <c r="V47" s="4">
        <f t="shared" si="5"/>
        <v>42060</v>
      </c>
      <c r="W47" s="5">
        <f t="shared" ca="1" si="4"/>
        <v>0.58943089430894302</v>
      </c>
      <c r="Z47" s="4" t="str">
        <f ca="1">IF(OFFSET('Calc Canada'!$A$1,0,0,300)="","",OFFSET('Calc Canada'!$A$1,0,0,300))</f>
        <v/>
      </c>
      <c r="AA47" s="5" t="e">
        <f ca="1">IF(OFFSET('Calc Canada'!$A$1,0,MATCH(W$1,'Calc Canada'!$1:$1,0)-1,300)="","",OFFSET('Calc Canada'!$A$1,0,MATCH(W$1,'Calc Canada'!$1:$1,0)-1,300))</f>
        <v>#N/A</v>
      </c>
      <c r="AB47" s="5" t="e">
        <f ca="1">IF(OFFSET('Calc Canada'!$A$1,0,MATCH(X$1,'Calc Canada'!$1:$1,0)-1,300)="","",OFFSET('Calc Canada'!$A$1,0,MATCH(X$1,'Calc Canada'!$1:$1,0)-1,300))</f>
        <v>#N/A</v>
      </c>
      <c r="AC47" t="e">
        <f t="shared" ca="1" si="0"/>
        <v>#N/A</v>
      </c>
      <c r="AD47" t="e">
        <f t="shared" ca="1" si="1"/>
        <v>#N/A</v>
      </c>
    </row>
    <row r="48" spans="1:30" x14ac:dyDescent="0.25">
      <c r="A48" s="4">
        <v>42059</v>
      </c>
      <c r="B48">
        <v>0.46800000000000003</v>
      </c>
      <c r="C48" s="5">
        <v>0.44400000000000001</v>
      </c>
      <c r="D48">
        <v>0.748</v>
      </c>
      <c r="E48">
        <v>0.95399999999999996</v>
      </c>
      <c r="F48">
        <v>1.32</v>
      </c>
      <c r="G48">
        <v>1.964</v>
      </c>
      <c r="H48">
        <f t="shared" ca="1" si="7"/>
        <v>0.62551440329218111</v>
      </c>
      <c r="I48">
        <f t="shared" ca="1" si="7"/>
        <v>0.35680751173708913</v>
      </c>
      <c r="J48">
        <f t="shared" ca="1" si="7"/>
        <v>0.20320855614973263</v>
      </c>
      <c r="K48">
        <f t="shared" ca="1" si="7"/>
        <v>0.24178403755868538</v>
      </c>
      <c r="L48">
        <f t="shared" ca="1" si="7"/>
        <v>0.13770053475935826</v>
      </c>
      <c r="M48">
        <f t="shared" ca="1" si="7"/>
        <v>0.2351598173515981</v>
      </c>
      <c r="N48">
        <f t="shared" ca="1" si="7"/>
        <v>0.13552631578947366</v>
      </c>
      <c r="O48">
        <f t="shared" ca="1" si="7"/>
        <v>0.24465240641711236</v>
      </c>
      <c r="P48">
        <f t="shared" ca="1" si="7"/>
        <v>0.24078947368421058</v>
      </c>
      <c r="Q48">
        <f t="shared" ca="1" si="7"/>
        <v>0.30098684210526327</v>
      </c>
      <c r="R48">
        <f t="shared" ca="1" si="7"/>
        <v>0.58556149732620333</v>
      </c>
      <c r="S48">
        <f t="shared" ca="1" si="7"/>
        <v>0.38235294117647062</v>
      </c>
      <c r="T48">
        <f t="shared" ca="1" si="7"/>
        <v>0.37631578947368427</v>
      </c>
      <c r="V48" s="4">
        <f t="shared" si="5"/>
        <v>42059</v>
      </c>
      <c r="W48" s="5">
        <f t="shared" ca="1" si="4"/>
        <v>0.58556149732620333</v>
      </c>
      <c r="Z48" s="4" t="str">
        <f ca="1">IF(OFFSET('Calc Canada'!$A$1,0,0,300)="","",OFFSET('Calc Canada'!$A$1,0,0,300))</f>
        <v/>
      </c>
      <c r="AA48" s="5" t="e">
        <f ca="1">IF(OFFSET('Calc Canada'!$A$1,0,MATCH(W$1,'Calc Canada'!$1:$1,0)-1,300)="","",OFFSET('Calc Canada'!$A$1,0,MATCH(W$1,'Calc Canada'!$1:$1,0)-1,300))</f>
        <v>#N/A</v>
      </c>
      <c r="AB48" s="5" t="e">
        <f ca="1">IF(OFFSET('Calc Canada'!$A$1,0,MATCH(X$1,'Calc Canada'!$1:$1,0)-1,300)="","",OFFSET('Calc Canada'!$A$1,0,MATCH(X$1,'Calc Canada'!$1:$1,0)-1,300))</f>
        <v>#N/A</v>
      </c>
      <c r="AC48" t="e">
        <f t="shared" ca="1" si="0"/>
        <v>#N/A</v>
      </c>
      <c r="AD48" t="e">
        <f t="shared" ca="1" si="1"/>
        <v>#N/A</v>
      </c>
    </row>
    <row r="49" spans="1:30" x14ac:dyDescent="0.25">
      <c r="A49" s="4">
        <v>42058</v>
      </c>
      <c r="B49">
        <v>0.38400000000000001</v>
      </c>
      <c r="C49" s="5">
        <v>0.36299999999999999</v>
      </c>
      <c r="D49">
        <v>0.74099999999999999</v>
      </c>
      <c r="E49">
        <v>0.97299999999999998</v>
      </c>
      <c r="F49">
        <v>1.355</v>
      </c>
      <c r="G49">
        <v>2.0099999999999998</v>
      </c>
      <c r="H49">
        <f t="shared" ca="1" si="7"/>
        <v>0.64176570458404081</v>
      </c>
      <c r="I49">
        <f t="shared" ca="1" si="7"/>
        <v>0.38928939237899074</v>
      </c>
      <c r="J49">
        <f t="shared" ca="1" si="7"/>
        <v>0.23247232472324725</v>
      </c>
      <c r="K49">
        <f t="shared" ca="1" si="7"/>
        <v>0.23892893923789907</v>
      </c>
      <c r="L49">
        <f t="shared" ca="1" si="7"/>
        <v>0.14268142681426815</v>
      </c>
      <c r="M49">
        <f t="shared" ca="1" si="7"/>
        <v>0.23387096774193547</v>
      </c>
      <c r="N49">
        <f t="shared" ca="1" si="7"/>
        <v>0.1408621736490589</v>
      </c>
      <c r="O49">
        <f t="shared" ca="1" si="7"/>
        <v>0.23493234932349324</v>
      </c>
      <c r="P49">
        <f t="shared" ca="1" si="7"/>
        <v>0.2319368548876746</v>
      </c>
      <c r="Q49">
        <f t="shared" ca="1" si="7"/>
        <v>0.30102442868400325</v>
      </c>
      <c r="R49">
        <f t="shared" ca="1" si="7"/>
        <v>0.61008610086100867</v>
      </c>
      <c r="S49">
        <f t="shared" ca="1" si="7"/>
        <v>0.37761377613776137</v>
      </c>
      <c r="T49">
        <f t="shared" ca="1" si="7"/>
        <v>0.37279902853673347</v>
      </c>
      <c r="V49" s="4">
        <f t="shared" si="5"/>
        <v>42058</v>
      </c>
      <c r="W49" s="5">
        <f t="shared" ca="1" si="4"/>
        <v>0.61008610086100867</v>
      </c>
      <c r="Z49" s="4" t="str">
        <f ca="1">IF(OFFSET('Calc Canada'!$A$1,0,0,300)="","",OFFSET('Calc Canada'!$A$1,0,0,300))</f>
        <v/>
      </c>
      <c r="AA49" s="5" t="e">
        <f ca="1">IF(OFFSET('Calc Canada'!$A$1,0,MATCH(W$1,'Calc Canada'!$1:$1,0)-1,300)="","",OFFSET('Calc Canada'!$A$1,0,MATCH(W$1,'Calc Canada'!$1:$1,0)-1,300))</f>
        <v>#N/A</v>
      </c>
      <c r="AB49" s="5" t="e">
        <f ca="1">IF(OFFSET('Calc Canada'!$A$1,0,MATCH(X$1,'Calc Canada'!$1:$1,0)-1,300)="","",OFFSET('Calc Canada'!$A$1,0,MATCH(X$1,'Calc Canada'!$1:$1,0)-1,300))</f>
        <v>#N/A</v>
      </c>
      <c r="AC49" t="e">
        <f t="shared" ca="1" si="0"/>
        <v>#N/A</v>
      </c>
      <c r="AD49" t="e">
        <f t="shared" ca="1" si="1"/>
        <v>#N/A</v>
      </c>
    </row>
    <row r="50" spans="1:30" x14ac:dyDescent="0.25">
      <c r="A50" s="4">
        <v>42055</v>
      </c>
      <c r="B50">
        <v>0.39800000000000002</v>
      </c>
      <c r="C50" s="5">
        <v>0.379</v>
      </c>
      <c r="D50">
        <v>0.78400000000000003</v>
      </c>
      <c r="E50">
        <v>1.0329999999999999</v>
      </c>
      <c r="F50">
        <v>1.4159999999999999</v>
      </c>
      <c r="G50">
        <v>2.0590000000000002</v>
      </c>
      <c r="H50">
        <f t="shared" ca="1" si="7"/>
        <v>0.63779527559055138</v>
      </c>
      <c r="I50">
        <f t="shared" ca="1" si="7"/>
        <v>0.39783889980353643</v>
      </c>
      <c r="J50">
        <f t="shared" ca="1" si="7"/>
        <v>0.24382901866345577</v>
      </c>
      <c r="K50">
        <f t="shared" ca="1" si="7"/>
        <v>0.24459724950884079</v>
      </c>
      <c r="L50">
        <f t="shared" ca="1" si="7"/>
        <v>0.1499096929560505</v>
      </c>
      <c r="M50">
        <f t="shared" ca="1" si="7"/>
        <v>0.24011571841851487</v>
      </c>
      <c r="N50">
        <f t="shared" ca="1" si="7"/>
        <v>0.14821428571428563</v>
      </c>
      <c r="O50">
        <f t="shared" ca="1" si="7"/>
        <v>0.23058398555087298</v>
      </c>
      <c r="P50">
        <f t="shared" ca="1" si="7"/>
        <v>0.22797619047619047</v>
      </c>
      <c r="Q50">
        <f t="shared" ca="1" si="7"/>
        <v>0.30039215686274506</v>
      </c>
      <c r="R50">
        <f t="shared" ca="1" si="7"/>
        <v>0.62432269717037925</v>
      </c>
      <c r="S50">
        <f t="shared" ca="1" si="7"/>
        <v>0.38049367850692345</v>
      </c>
      <c r="T50">
        <f t="shared" ca="1" si="7"/>
        <v>0.37619047619047608</v>
      </c>
      <c r="V50" s="4">
        <f t="shared" si="5"/>
        <v>42055</v>
      </c>
      <c r="W50" s="5">
        <f t="shared" ca="1" si="4"/>
        <v>0.62432269717037925</v>
      </c>
      <c r="Z50" s="4" t="str">
        <f ca="1">IF(OFFSET('Calc Canada'!$A$1,0,0,300)="","",OFFSET('Calc Canada'!$A$1,0,0,300))</f>
        <v/>
      </c>
      <c r="AA50" s="5" t="e">
        <f ca="1">IF(OFFSET('Calc Canada'!$A$1,0,MATCH(W$1,'Calc Canada'!$1:$1,0)-1,300)="","",OFFSET('Calc Canada'!$A$1,0,MATCH(W$1,'Calc Canada'!$1:$1,0)-1,300))</f>
        <v>#N/A</v>
      </c>
      <c r="AB50" s="5" t="e">
        <f ca="1">IF(OFFSET('Calc Canada'!$A$1,0,MATCH(X$1,'Calc Canada'!$1:$1,0)-1,300)="","",OFFSET('Calc Canada'!$A$1,0,MATCH(X$1,'Calc Canada'!$1:$1,0)-1,300))</f>
        <v>#N/A</v>
      </c>
      <c r="AC50" t="e">
        <f t="shared" ca="1" si="0"/>
        <v>#N/A</v>
      </c>
      <c r="AD50" t="e">
        <f t="shared" ca="1" si="1"/>
        <v>#N/A</v>
      </c>
    </row>
    <row r="51" spans="1:30" x14ac:dyDescent="0.25">
      <c r="A51" s="4">
        <v>42054</v>
      </c>
      <c r="B51">
        <v>0.42799999999999999</v>
      </c>
      <c r="C51" s="5">
        <v>0.40899999999999997</v>
      </c>
      <c r="D51">
        <v>0.85099999999999998</v>
      </c>
      <c r="E51">
        <v>1.093</v>
      </c>
      <c r="F51">
        <v>1.4689999999999999</v>
      </c>
      <c r="G51">
        <v>2.1040000000000001</v>
      </c>
      <c r="H51">
        <f t="shared" ca="1" si="7"/>
        <v>0.66466165413533829</v>
      </c>
      <c r="I51">
        <f t="shared" ca="1" si="7"/>
        <v>0.42459173871277622</v>
      </c>
      <c r="J51">
        <f t="shared" ca="1" si="7"/>
        <v>0.26372315035799521</v>
      </c>
      <c r="K51">
        <f t="shared" ca="1" si="7"/>
        <v>0.23246878001921231</v>
      </c>
      <c r="L51">
        <f t="shared" ca="1" si="7"/>
        <v>0.14439140811455844</v>
      </c>
      <c r="M51">
        <f t="shared" ca="1" si="7"/>
        <v>0.22830188679245286</v>
      </c>
      <c r="N51">
        <f t="shared" ca="1" si="7"/>
        <v>0.14277286135693215</v>
      </c>
      <c r="O51">
        <f t="shared" ca="1" si="7"/>
        <v>0.22434367541766101</v>
      </c>
      <c r="P51">
        <f t="shared" ca="1" si="7"/>
        <v>0.22182890855457219</v>
      </c>
      <c r="Q51">
        <f t="shared" ca="1" si="7"/>
        <v>0.30007980845969662</v>
      </c>
      <c r="R51">
        <f t="shared" ca="1" si="7"/>
        <v>0.63245823389021461</v>
      </c>
      <c r="S51">
        <f t="shared" ca="1" si="7"/>
        <v>0.36873508353221945</v>
      </c>
      <c r="T51">
        <f t="shared" ca="1" si="7"/>
        <v>0.36460176991150434</v>
      </c>
      <c r="V51" s="4">
        <f t="shared" si="5"/>
        <v>42054</v>
      </c>
      <c r="W51" s="5">
        <f t="shared" ca="1" si="4"/>
        <v>0.63245823389021461</v>
      </c>
      <c r="Z51" s="4" t="str">
        <f ca="1">IF(OFFSET('Calc Canada'!$A$1,0,0,300)="","",OFFSET('Calc Canada'!$A$1,0,0,300))</f>
        <v/>
      </c>
      <c r="AA51" s="5" t="e">
        <f ca="1">IF(OFFSET('Calc Canada'!$A$1,0,MATCH(W$1,'Calc Canada'!$1:$1,0)-1,300)="","",OFFSET('Calc Canada'!$A$1,0,MATCH(W$1,'Calc Canada'!$1:$1,0)-1,300))</f>
        <v>#N/A</v>
      </c>
      <c r="AB51" s="5" t="e">
        <f ca="1">IF(OFFSET('Calc Canada'!$A$1,0,MATCH(X$1,'Calc Canada'!$1:$1,0)-1,300)="","",OFFSET('Calc Canada'!$A$1,0,MATCH(X$1,'Calc Canada'!$1:$1,0)-1,300))</f>
        <v>#N/A</v>
      </c>
      <c r="AC51" t="e">
        <f t="shared" ca="1" si="0"/>
        <v>#N/A</v>
      </c>
      <c r="AD51" t="e">
        <f t="shared" ca="1" si="1"/>
        <v>#N/A</v>
      </c>
    </row>
    <row r="52" spans="1:30" x14ac:dyDescent="0.25">
      <c r="A52" s="4">
        <v>42053</v>
      </c>
      <c r="B52">
        <v>0.42399999999999999</v>
      </c>
      <c r="C52" s="5">
        <v>0.42</v>
      </c>
      <c r="D52">
        <v>0.76400000000000001</v>
      </c>
      <c r="E52">
        <v>1.0960000000000001</v>
      </c>
      <c r="F52">
        <v>1.4689999999999999</v>
      </c>
      <c r="G52">
        <v>2.1110000000000002</v>
      </c>
      <c r="H52">
        <f t="shared" ca="1" si="7"/>
        <v>0.51190476190476186</v>
      </c>
      <c r="I52">
        <f t="shared" ca="1" si="7"/>
        <v>0.32918660287081347</v>
      </c>
      <c r="J52">
        <f t="shared" ca="1" si="7"/>
        <v>0.20391227030231177</v>
      </c>
      <c r="K52">
        <f t="shared" ca="1" si="7"/>
        <v>0.31770334928229677</v>
      </c>
      <c r="L52">
        <f t="shared" ca="1" si="7"/>
        <v>0.19679905157083583</v>
      </c>
      <c r="M52">
        <f t="shared" ca="1" si="7"/>
        <v>0.31649189704480468</v>
      </c>
      <c r="N52">
        <f t="shared" ca="1" si="7"/>
        <v>0.19633353045535187</v>
      </c>
      <c r="O52">
        <f t="shared" ca="1" si="7"/>
        <v>0.2211025489033786</v>
      </c>
      <c r="P52">
        <f t="shared" ca="1" si="7"/>
        <v>0.22057953873447647</v>
      </c>
      <c r="Q52">
        <f t="shared" ca="1" si="7"/>
        <v>0.27691165553080899</v>
      </c>
      <c r="R52">
        <f t="shared" ca="1" si="7"/>
        <v>0.62181387077652628</v>
      </c>
      <c r="S52">
        <f t="shared" ca="1" si="7"/>
        <v>0.41790160047421443</v>
      </c>
      <c r="T52">
        <f t="shared" ca="1" si="7"/>
        <v>0.41691306918982834</v>
      </c>
      <c r="V52" s="4">
        <f t="shared" si="5"/>
        <v>42053</v>
      </c>
      <c r="W52" s="5">
        <f t="shared" ca="1" si="4"/>
        <v>0.62181387077652628</v>
      </c>
      <c r="Z52" s="4" t="str">
        <f ca="1">IF(OFFSET('Calc Canada'!$A$1,0,0,300)="","",OFFSET('Calc Canada'!$A$1,0,0,300))</f>
        <v/>
      </c>
      <c r="AA52" s="5" t="e">
        <f ca="1">IF(OFFSET('Calc Canada'!$A$1,0,MATCH(W$1,'Calc Canada'!$1:$1,0)-1,300)="","",OFFSET('Calc Canada'!$A$1,0,MATCH(W$1,'Calc Canada'!$1:$1,0)-1,300))</f>
        <v>#N/A</v>
      </c>
      <c r="AB52" s="5" t="e">
        <f ca="1">IF(OFFSET('Calc Canada'!$A$1,0,MATCH(X$1,'Calc Canada'!$1:$1,0)-1,300)="","",OFFSET('Calc Canada'!$A$1,0,MATCH(X$1,'Calc Canada'!$1:$1,0)-1,300))</f>
        <v>#N/A</v>
      </c>
      <c r="AC52" t="e">
        <f t="shared" ca="1" si="0"/>
        <v>#N/A</v>
      </c>
      <c r="AD52" t="e">
        <f t="shared" ca="1" si="1"/>
        <v>#N/A</v>
      </c>
    </row>
    <row r="53" spans="1:30" x14ac:dyDescent="0.25">
      <c r="A53" s="4">
        <v>42052</v>
      </c>
      <c r="B53">
        <v>0.45400000000000001</v>
      </c>
      <c r="C53" s="5">
        <v>0.45200000000000001</v>
      </c>
      <c r="D53">
        <v>0.79500000000000004</v>
      </c>
      <c r="E53">
        <v>1.129</v>
      </c>
      <c r="F53">
        <v>1.5030000000000001</v>
      </c>
      <c r="G53">
        <v>2.1269999999999998</v>
      </c>
      <c r="H53">
        <f t="shared" ca="1" si="7"/>
        <v>0.50814814814814813</v>
      </c>
      <c r="I53">
        <f t="shared" ca="1" si="7"/>
        <v>0.32697807435652998</v>
      </c>
      <c r="J53">
        <f t="shared" ca="1" si="7"/>
        <v>0.20502092050209209</v>
      </c>
      <c r="K53">
        <f t="shared" ca="1" si="7"/>
        <v>0.31839847473784549</v>
      </c>
      <c r="L53">
        <f t="shared" ca="1" si="7"/>
        <v>0.19964136282127914</v>
      </c>
      <c r="M53">
        <f t="shared" ca="1" si="7"/>
        <v>0.31779257849666975</v>
      </c>
      <c r="N53">
        <f t="shared" ca="1" si="7"/>
        <v>0.19940298507462687</v>
      </c>
      <c r="O53">
        <f t="shared" ca="1" si="7"/>
        <v>0.2235505080693366</v>
      </c>
      <c r="P53">
        <f t="shared" ca="1" si="7"/>
        <v>0.22328358208955232</v>
      </c>
      <c r="Q53">
        <f t="shared" ca="1" si="7"/>
        <v>0.28078078078078089</v>
      </c>
      <c r="R53">
        <f t="shared" ca="1" si="7"/>
        <v>0.62821279139270791</v>
      </c>
      <c r="S53">
        <f t="shared" ca="1" si="7"/>
        <v>0.42319187089061577</v>
      </c>
      <c r="T53">
        <f t="shared" ca="1" si="7"/>
        <v>0.42268656716417918</v>
      </c>
      <c r="V53" s="4">
        <f t="shared" si="5"/>
        <v>42052</v>
      </c>
      <c r="W53" s="5">
        <f t="shared" ca="1" si="4"/>
        <v>0.62821279139270791</v>
      </c>
      <c r="Z53" s="4" t="str">
        <f ca="1">IF(OFFSET('Calc Canada'!$A$1,0,0,300)="","",OFFSET('Calc Canada'!$A$1,0,0,300))</f>
        <v/>
      </c>
      <c r="AA53" s="5" t="e">
        <f ca="1">IF(OFFSET('Calc Canada'!$A$1,0,MATCH(W$1,'Calc Canada'!$1:$1,0)-1,300)="","",OFFSET('Calc Canada'!$A$1,0,MATCH(W$1,'Calc Canada'!$1:$1,0)-1,300))</f>
        <v>#N/A</v>
      </c>
      <c r="AB53" s="5" t="e">
        <f ca="1">IF(OFFSET('Calc Canada'!$A$1,0,MATCH(X$1,'Calc Canada'!$1:$1,0)-1,300)="","",OFFSET('Calc Canada'!$A$1,0,MATCH(X$1,'Calc Canada'!$1:$1,0)-1,300))</f>
        <v>#N/A</v>
      </c>
      <c r="AC53" t="e">
        <f t="shared" ca="1" si="0"/>
        <v>#N/A</v>
      </c>
      <c r="AD53" t="e">
        <f t="shared" ca="1" si="1"/>
        <v>#N/A</v>
      </c>
    </row>
    <row r="54" spans="1:30" x14ac:dyDescent="0.25">
      <c r="A54" s="4">
        <v>42051</v>
      </c>
      <c r="B54">
        <v>0.42899999999999999</v>
      </c>
      <c r="C54" s="5">
        <v>0.42799999999999999</v>
      </c>
      <c r="D54">
        <v>0.73099999999999998</v>
      </c>
      <c r="E54">
        <v>1.052</v>
      </c>
      <c r="F54">
        <v>1.43</v>
      </c>
      <c r="G54">
        <v>2.0680000000000001</v>
      </c>
      <c r="H54">
        <f t="shared" ca="1" si="7"/>
        <v>0.48635634028892455</v>
      </c>
      <c r="I54">
        <f t="shared" ca="1" si="7"/>
        <v>0.30269730269730272</v>
      </c>
      <c r="J54">
        <f t="shared" ca="1" si="7"/>
        <v>0.18486882245271508</v>
      </c>
      <c r="K54">
        <f t="shared" ca="1" si="7"/>
        <v>0.32067932067932076</v>
      </c>
      <c r="L54">
        <f t="shared" ca="1" si="7"/>
        <v>0.19585112873703481</v>
      </c>
      <c r="M54">
        <f t="shared" ca="1" si="7"/>
        <v>0.32035928143712583</v>
      </c>
      <c r="N54">
        <f t="shared" ca="1" si="7"/>
        <v>0.19573170731707321</v>
      </c>
      <c r="O54">
        <f t="shared" ca="1" si="7"/>
        <v>0.23062843197071378</v>
      </c>
      <c r="P54">
        <f t="shared" ca="1" si="7"/>
        <v>0.23048780487804871</v>
      </c>
      <c r="Q54">
        <f t="shared" ca="1" si="7"/>
        <v>0.28272251308900509</v>
      </c>
      <c r="R54">
        <f t="shared" ca="1" si="7"/>
        <v>0.61134838316046369</v>
      </c>
      <c r="S54">
        <f t="shared" ca="1" si="7"/>
        <v>0.42647956070774862</v>
      </c>
      <c r="T54">
        <f t="shared" ca="1" si="7"/>
        <v>0.42621951219512189</v>
      </c>
      <c r="V54" s="4">
        <f t="shared" si="5"/>
        <v>42051</v>
      </c>
      <c r="W54" s="5">
        <f t="shared" ca="1" si="4"/>
        <v>0.61134838316046369</v>
      </c>
      <c r="Z54" s="4" t="str">
        <f ca="1">IF(OFFSET('Calc Canada'!$A$1,0,0,300)="","",OFFSET('Calc Canada'!$A$1,0,0,300))</f>
        <v/>
      </c>
      <c r="AA54" s="5" t="e">
        <f ca="1">IF(OFFSET('Calc Canada'!$A$1,0,MATCH(W$1,'Calc Canada'!$1:$1,0)-1,300)="","",OFFSET('Calc Canada'!$A$1,0,MATCH(W$1,'Calc Canada'!$1:$1,0)-1,300))</f>
        <v>#N/A</v>
      </c>
      <c r="AB54" s="5" t="e">
        <f ca="1">IF(OFFSET('Calc Canada'!$A$1,0,MATCH(X$1,'Calc Canada'!$1:$1,0)-1,300)="","",OFFSET('Calc Canada'!$A$1,0,MATCH(X$1,'Calc Canada'!$1:$1,0)-1,300))</f>
        <v>#N/A</v>
      </c>
      <c r="AC54" t="e">
        <f t="shared" ca="1" si="0"/>
        <v>#N/A</v>
      </c>
      <c r="AD54" t="e">
        <f t="shared" ca="1" si="1"/>
        <v>#N/A</v>
      </c>
    </row>
    <row r="55" spans="1:30" x14ac:dyDescent="0.25">
      <c r="A55" s="4">
        <v>42048</v>
      </c>
      <c r="B55">
        <v>0.42899999999999999</v>
      </c>
      <c r="C55" s="5">
        <v>0.42799999999999999</v>
      </c>
      <c r="D55">
        <v>0.73099999999999998</v>
      </c>
      <c r="E55">
        <v>1.052</v>
      </c>
      <c r="F55">
        <v>1.43</v>
      </c>
      <c r="G55">
        <v>2.0680000000000001</v>
      </c>
      <c r="H55">
        <f t="shared" ca="1" si="7"/>
        <v>0.48635634028892455</v>
      </c>
      <c r="I55">
        <f t="shared" ca="1" si="7"/>
        <v>0.30269730269730272</v>
      </c>
      <c r="J55">
        <f t="shared" ca="1" si="7"/>
        <v>0.18486882245271508</v>
      </c>
      <c r="K55">
        <f t="shared" ca="1" si="7"/>
        <v>0.32067932067932076</v>
      </c>
      <c r="L55">
        <f t="shared" ca="1" si="7"/>
        <v>0.19585112873703481</v>
      </c>
      <c r="M55">
        <f t="shared" ca="1" si="7"/>
        <v>0.32035928143712583</v>
      </c>
      <c r="N55">
        <f t="shared" ca="1" si="7"/>
        <v>0.19573170731707321</v>
      </c>
      <c r="O55">
        <f t="shared" ca="1" si="7"/>
        <v>0.23062843197071378</v>
      </c>
      <c r="P55">
        <f t="shared" ca="1" si="7"/>
        <v>0.23048780487804871</v>
      </c>
      <c r="Q55">
        <f t="shared" ca="1" si="7"/>
        <v>0.28272251308900509</v>
      </c>
      <c r="R55">
        <f t="shared" ca="1" si="7"/>
        <v>0.61134838316046369</v>
      </c>
      <c r="S55">
        <f t="shared" ca="1" si="7"/>
        <v>0.42647956070774862</v>
      </c>
      <c r="T55">
        <f t="shared" ca="1" si="7"/>
        <v>0.42621951219512189</v>
      </c>
      <c r="V55" s="4">
        <f t="shared" si="5"/>
        <v>42048</v>
      </c>
      <c r="W55" s="5">
        <f t="shared" ca="1" si="4"/>
        <v>0.61134838316046369</v>
      </c>
      <c r="Z55" s="4" t="str">
        <f ca="1">IF(OFFSET('Calc Canada'!$A$1,0,0,300)="","",OFFSET('Calc Canada'!$A$1,0,0,300))</f>
        <v/>
      </c>
      <c r="AA55" s="5" t="e">
        <f ca="1">IF(OFFSET('Calc Canada'!$A$1,0,MATCH(W$1,'Calc Canada'!$1:$1,0)-1,300)="","",OFFSET('Calc Canada'!$A$1,0,MATCH(W$1,'Calc Canada'!$1:$1,0)-1,300))</f>
        <v>#N/A</v>
      </c>
      <c r="AB55" s="5" t="e">
        <f ca="1">IF(OFFSET('Calc Canada'!$A$1,0,MATCH(X$1,'Calc Canada'!$1:$1,0)-1,300)="","",OFFSET('Calc Canada'!$A$1,0,MATCH(X$1,'Calc Canada'!$1:$1,0)-1,300))</f>
        <v>#N/A</v>
      </c>
      <c r="AC55" t="e">
        <f t="shared" ca="1" si="0"/>
        <v>#N/A</v>
      </c>
      <c r="AD55" t="e">
        <f t="shared" ca="1" si="1"/>
        <v>#N/A</v>
      </c>
    </row>
    <row r="56" spans="1:30" x14ac:dyDescent="0.25">
      <c r="A56" s="4">
        <v>42047</v>
      </c>
      <c r="B56">
        <v>0.41499999999999998</v>
      </c>
      <c r="C56" s="5">
        <v>0.40899999999999997</v>
      </c>
      <c r="D56">
        <v>0.7</v>
      </c>
      <c r="E56">
        <v>1.016</v>
      </c>
      <c r="F56">
        <v>1.395</v>
      </c>
      <c r="G56">
        <v>2.0379999999999998</v>
      </c>
      <c r="H56">
        <f t="shared" ca="1" si="7"/>
        <v>0.48419301164725453</v>
      </c>
      <c r="I56">
        <f t="shared" ca="1" si="7"/>
        <v>0.29693877551020409</v>
      </c>
      <c r="J56">
        <f t="shared" ca="1" si="7"/>
        <v>0.17929759704251388</v>
      </c>
      <c r="K56">
        <f t="shared" ca="1" si="7"/>
        <v>0.32244897959183683</v>
      </c>
      <c r="L56">
        <f t="shared" ca="1" si="7"/>
        <v>0.19470117067159587</v>
      </c>
      <c r="M56">
        <f t="shared" ca="1" si="7"/>
        <v>0.32048681541582158</v>
      </c>
      <c r="N56">
        <f t="shared" ca="1" si="7"/>
        <v>0.19398403928790675</v>
      </c>
      <c r="O56">
        <f t="shared" ca="1" si="7"/>
        <v>0.23351817621688234</v>
      </c>
      <c r="P56">
        <f t="shared" ca="1" si="7"/>
        <v>0.23265807243707801</v>
      </c>
      <c r="Q56">
        <f t="shared" ca="1" si="7"/>
        <v>0.28325859491778776</v>
      </c>
      <c r="R56">
        <f t="shared" ca="1" si="7"/>
        <v>0.60751694393099209</v>
      </c>
      <c r="S56">
        <f t="shared" ca="1" si="7"/>
        <v>0.42821934688847824</v>
      </c>
      <c r="T56">
        <f t="shared" ca="1" si="7"/>
        <v>0.42664211172498473</v>
      </c>
      <c r="V56" s="4">
        <f t="shared" si="5"/>
        <v>42047</v>
      </c>
      <c r="W56" s="5">
        <f t="shared" ca="1" si="4"/>
        <v>0.60751694393099209</v>
      </c>
      <c r="Z56" s="4" t="str">
        <f ca="1">IF(OFFSET('Calc Canada'!$A$1,0,0,300)="","",OFFSET('Calc Canada'!$A$1,0,0,300))</f>
        <v/>
      </c>
      <c r="AA56" s="5" t="e">
        <f ca="1">IF(OFFSET('Calc Canada'!$A$1,0,MATCH(W$1,'Calc Canada'!$1:$1,0)-1,300)="","",OFFSET('Calc Canada'!$A$1,0,MATCH(W$1,'Calc Canada'!$1:$1,0)-1,300))</f>
        <v>#N/A</v>
      </c>
      <c r="AB56" s="5" t="e">
        <f ca="1">IF(OFFSET('Calc Canada'!$A$1,0,MATCH(X$1,'Calc Canada'!$1:$1,0)-1,300)="","",OFFSET('Calc Canada'!$A$1,0,MATCH(X$1,'Calc Canada'!$1:$1,0)-1,300))</f>
        <v>#N/A</v>
      </c>
      <c r="AC56" t="e">
        <f t="shared" ca="1" si="0"/>
        <v>#N/A</v>
      </c>
      <c r="AD56" t="e">
        <f t="shared" ca="1" si="1"/>
        <v>#N/A</v>
      </c>
    </row>
    <row r="57" spans="1:30" x14ac:dyDescent="0.25">
      <c r="A57" s="4">
        <v>42046</v>
      </c>
      <c r="B57">
        <v>0.439</v>
      </c>
      <c r="C57" s="5">
        <v>0.439</v>
      </c>
      <c r="D57">
        <v>0.755</v>
      </c>
      <c r="E57">
        <v>1.077</v>
      </c>
      <c r="F57">
        <v>1.446</v>
      </c>
      <c r="G57">
        <v>2.0619999999999998</v>
      </c>
      <c r="H57">
        <f t="shared" ca="1" si="7"/>
        <v>0.49529780564263332</v>
      </c>
      <c r="I57">
        <f t="shared" ca="1" si="7"/>
        <v>0.31380337636544192</v>
      </c>
      <c r="J57">
        <f t="shared" ca="1" si="7"/>
        <v>0.19470117067159584</v>
      </c>
      <c r="K57">
        <f t="shared" ca="1" si="7"/>
        <v>0.31976166832174774</v>
      </c>
      <c r="L57">
        <f t="shared" ca="1" si="7"/>
        <v>0.19839802834257547</v>
      </c>
      <c r="M57">
        <f t="shared" ca="1" si="7"/>
        <v>0.31976166832174774</v>
      </c>
      <c r="N57">
        <f t="shared" ca="1" si="7"/>
        <v>0.19839802834257547</v>
      </c>
      <c r="O57">
        <f t="shared" ca="1" si="7"/>
        <v>0.22735674676524956</v>
      </c>
      <c r="P57">
        <f t="shared" ca="1" si="7"/>
        <v>0.22735674676524956</v>
      </c>
      <c r="Q57">
        <f t="shared" ca="1" si="7"/>
        <v>0.28232593726090283</v>
      </c>
      <c r="R57">
        <f t="shared" ca="1" si="7"/>
        <v>0.62045594577942087</v>
      </c>
      <c r="S57">
        <f t="shared" ca="1" si="7"/>
        <v>0.42575477510782506</v>
      </c>
      <c r="T57">
        <f t="shared" ca="1" si="7"/>
        <v>0.42575477510782506</v>
      </c>
      <c r="V57" s="4">
        <f t="shared" si="5"/>
        <v>42046</v>
      </c>
      <c r="W57" s="5">
        <f t="shared" ca="1" si="4"/>
        <v>0.62045594577942087</v>
      </c>
      <c r="Z57" s="4" t="str">
        <f ca="1">IF(OFFSET('Calc Canada'!$A$1,0,0,300)="","",OFFSET('Calc Canada'!$A$1,0,0,300))</f>
        <v/>
      </c>
      <c r="AA57" s="5" t="e">
        <f ca="1">IF(OFFSET('Calc Canada'!$A$1,0,MATCH(W$1,'Calc Canada'!$1:$1,0)-1,300)="","",OFFSET('Calc Canada'!$A$1,0,MATCH(W$1,'Calc Canada'!$1:$1,0)-1,300))</f>
        <v>#N/A</v>
      </c>
      <c r="AB57" s="5" t="e">
        <f ca="1">IF(OFFSET('Calc Canada'!$A$1,0,MATCH(X$1,'Calc Canada'!$1:$1,0)-1,300)="","",OFFSET('Calc Canada'!$A$1,0,MATCH(X$1,'Calc Canada'!$1:$1,0)-1,300))</f>
        <v>#N/A</v>
      </c>
      <c r="AC57" t="e">
        <f t="shared" ca="1" si="0"/>
        <v>#N/A</v>
      </c>
      <c r="AD57" t="e">
        <f t="shared" ca="1" si="1"/>
        <v>#N/A</v>
      </c>
    </row>
    <row r="58" spans="1:30" x14ac:dyDescent="0.25">
      <c r="A58" s="4">
        <v>42045</v>
      </c>
      <c r="B58">
        <v>0.42699999999999999</v>
      </c>
      <c r="C58" s="5">
        <v>0.42399999999999999</v>
      </c>
      <c r="D58">
        <v>0.72399999999999998</v>
      </c>
      <c r="E58">
        <v>1.0549999999999999</v>
      </c>
      <c r="F58">
        <v>1.4219999999999999</v>
      </c>
      <c r="G58">
        <v>2.0369999999999999</v>
      </c>
      <c r="H58">
        <f t="shared" ca="1" si="7"/>
        <v>0.47770700636942681</v>
      </c>
      <c r="I58">
        <f t="shared" ca="1" si="7"/>
        <v>0.30150753768844224</v>
      </c>
      <c r="J58">
        <f t="shared" ca="1" si="7"/>
        <v>0.18633540372670809</v>
      </c>
      <c r="K58">
        <f t="shared" ca="1" si="7"/>
        <v>0.33266331658291459</v>
      </c>
      <c r="L58">
        <f t="shared" ca="1" si="7"/>
        <v>0.20559006211180123</v>
      </c>
      <c r="M58">
        <f t="shared" ca="1" si="7"/>
        <v>0.33166332665330656</v>
      </c>
      <c r="N58">
        <f t="shared" ca="1" si="7"/>
        <v>0.20520768753874766</v>
      </c>
      <c r="O58">
        <f t="shared" ca="1" si="7"/>
        <v>0.22795031055900622</v>
      </c>
      <c r="P58">
        <f t="shared" ca="1" si="7"/>
        <v>0.22752634841909486</v>
      </c>
      <c r="Q58">
        <f t="shared" ca="1" si="7"/>
        <v>0.27951256664127949</v>
      </c>
      <c r="R58">
        <f t="shared" ca="1" si="7"/>
        <v>0.61987577639751557</v>
      </c>
      <c r="S58">
        <f t="shared" ca="1" si="7"/>
        <v>0.43354037267080747</v>
      </c>
      <c r="T58">
        <f t="shared" ca="1" si="7"/>
        <v>0.43273403595784249</v>
      </c>
      <c r="V58" s="4">
        <f t="shared" si="5"/>
        <v>42045</v>
      </c>
      <c r="W58" s="5">
        <f t="shared" ca="1" si="4"/>
        <v>0.61987577639751557</v>
      </c>
      <c r="Z58" s="4" t="str">
        <f ca="1">IF(OFFSET('Calc Canada'!$A$1,0,0,300)="","",OFFSET('Calc Canada'!$A$1,0,0,300))</f>
        <v/>
      </c>
      <c r="AA58" s="5" t="e">
        <f ca="1">IF(OFFSET('Calc Canada'!$A$1,0,MATCH(W$1,'Calc Canada'!$1:$1,0)-1,300)="","",OFFSET('Calc Canada'!$A$1,0,MATCH(W$1,'Calc Canada'!$1:$1,0)-1,300))</f>
        <v>#N/A</v>
      </c>
      <c r="AB58" s="5" t="e">
        <f ca="1">IF(OFFSET('Calc Canada'!$A$1,0,MATCH(X$1,'Calc Canada'!$1:$1,0)-1,300)="","",OFFSET('Calc Canada'!$A$1,0,MATCH(X$1,'Calc Canada'!$1:$1,0)-1,300))</f>
        <v>#N/A</v>
      </c>
      <c r="AC58" t="e">
        <f t="shared" ca="1" si="0"/>
        <v>#N/A</v>
      </c>
      <c r="AD58" t="e">
        <f t="shared" ca="1" si="1"/>
        <v>#N/A</v>
      </c>
    </row>
    <row r="59" spans="1:30" x14ac:dyDescent="0.25">
      <c r="A59" s="4">
        <v>42044</v>
      </c>
      <c r="B59">
        <v>0.48399999999999999</v>
      </c>
      <c r="C59" s="5">
        <v>0.48</v>
      </c>
      <c r="D59">
        <v>0.76200000000000001</v>
      </c>
      <c r="E59">
        <v>1.081</v>
      </c>
      <c r="F59">
        <v>1.4319999999999999</v>
      </c>
      <c r="G59">
        <v>2.0299999999999998</v>
      </c>
      <c r="H59">
        <f t="shared" ca="1" si="7"/>
        <v>0.47236180904522618</v>
      </c>
      <c r="I59">
        <f t="shared" ca="1" si="7"/>
        <v>0.29746835443037978</v>
      </c>
      <c r="J59">
        <f t="shared" ca="1" si="7"/>
        <v>0.18240620957309189</v>
      </c>
      <c r="K59">
        <f t="shared" ca="1" si="7"/>
        <v>0.33649789029535859</v>
      </c>
      <c r="L59">
        <f t="shared" ca="1" si="7"/>
        <v>0.20633893919793014</v>
      </c>
      <c r="M59">
        <f t="shared" ca="1" si="7"/>
        <v>0.33508403361344535</v>
      </c>
      <c r="N59">
        <f t="shared" ca="1" si="7"/>
        <v>0.20580645161290323</v>
      </c>
      <c r="O59">
        <f t="shared" ca="1" si="7"/>
        <v>0.22703751617076326</v>
      </c>
      <c r="P59">
        <f t="shared" ca="1" si="7"/>
        <v>0.22645161290322582</v>
      </c>
      <c r="Q59">
        <f t="shared" ca="1" si="7"/>
        <v>0.27681388012618302</v>
      </c>
      <c r="R59">
        <f t="shared" ca="1" si="7"/>
        <v>0.61578266494178535</v>
      </c>
      <c r="S59">
        <f t="shared" ca="1" si="7"/>
        <v>0.4333764553686934</v>
      </c>
      <c r="T59">
        <f t="shared" ca="1" si="7"/>
        <v>0.43225806451612903</v>
      </c>
      <c r="V59" s="4">
        <f t="shared" si="5"/>
        <v>42044</v>
      </c>
      <c r="W59" s="5">
        <f t="shared" ca="1" si="4"/>
        <v>0.61578266494178535</v>
      </c>
      <c r="Z59" s="4" t="str">
        <f ca="1">IF(OFFSET('Calc Canada'!$A$1,0,0,300)="","",OFFSET('Calc Canada'!$A$1,0,0,300))</f>
        <v/>
      </c>
      <c r="AA59" s="5" t="e">
        <f ca="1">IF(OFFSET('Calc Canada'!$A$1,0,MATCH(W$1,'Calc Canada'!$1:$1,0)-1,300)="","",OFFSET('Calc Canada'!$A$1,0,MATCH(W$1,'Calc Canada'!$1:$1,0)-1,300))</f>
        <v>#N/A</v>
      </c>
      <c r="AB59" s="5" t="e">
        <f ca="1">IF(OFFSET('Calc Canada'!$A$1,0,MATCH(X$1,'Calc Canada'!$1:$1,0)-1,300)="","",OFFSET('Calc Canada'!$A$1,0,MATCH(X$1,'Calc Canada'!$1:$1,0)-1,300))</f>
        <v>#N/A</v>
      </c>
      <c r="AC59" t="e">
        <f t="shared" ca="1" si="0"/>
        <v>#N/A</v>
      </c>
      <c r="AD59" t="e">
        <f t="shared" ca="1" si="1"/>
        <v>#N/A</v>
      </c>
    </row>
    <row r="60" spans="1:30" x14ac:dyDescent="0.25">
      <c r="A60" s="4">
        <v>42041</v>
      </c>
      <c r="B60">
        <v>0.495</v>
      </c>
      <c r="C60" s="5">
        <v>0.49299999999999999</v>
      </c>
      <c r="D60">
        <v>0.78100000000000003</v>
      </c>
      <c r="E60">
        <v>1.1000000000000001</v>
      </c>
      <c r="F60">
        <v>1.45</v>
      </c>
      <c r="G60">
        <v>2.0299999999999998</v>
      </c>
      <c r="H60">
        <f t="shared" ca="1" si="7"/>
        <v>0.47603305785123967</v>
      </c>
      <c r="I60">
        <f t="shared" ca="1" si="7"/>
        <v>0.3015706806282723</v>
      </c>
      <c r="J60">
        <f t="shared" ca="1" si="7"/>
        <v>0.1876221498371336</v>
      </c>
      <c r="K60">
        <f t="shared" ca="1" si="7"/>
        <v>0.3340314136125655</v>
      </c>
      <c r="L60">
        <f t="shared" ca="1" si="7"/>
        <v>0.20781758957654731</v>
      </c>
      <c r="M60">
        <f t="shared" ca="1" si="7"/>
        <v>0.33333333333333343</v>
      </c>
      <c r="N60">
        <f t="shared" ca="1" si="7"/>
        <v>0.20754716981132079</v>
      </c>
      <c r="O60">
        <f t="shared" ca="1" si="7"/>
        <v>0.22801302931596087</v>
      </c>
      <c r="P60">
        <f t="shared" ca="1" si="7"/>
        <v>0.22771633051398821</v>
      </c>
      <c r="Q60">
        <f t="shared" ca="1" si="7"/>
        <v>0.28022417934347477</v>
      </c>
      <c r="R60">
        <f t="shared" ca="1" si="7"/>
        <v>0.62345276872964184</v>
      </c>
      <c r="S60">
        <f t="shared" ca="1" si="7"/>
        <v>0.43583061889250818</v>
      </c>
      <c r="T60">
        <f t="shared" ca="1" si="7"/>
        <v>0.43526350032530903</v>
      </c>
      <c r="V60" s="4">
        <f t="shared" si="5"/>
        <v>42041</v>
      </c>
      <c r="W60" s="5">
        <f t="shared" ca="1" si="4"/>
        <v>0.62345276872964184</v>
      </c>
      <c r="Z60" s="4" t="str">
        <f ca="1">IF(OFFSET('Calc Canada'!$A$1,0,0,300)="","",OFFSET('Calc Canada'!$A$1,0,0,300))</f>
        <v/>
      </c>
      <c r="AA60" s="5" t="e">
        <f ca="1">IF(OFFSET('Calc Canada'!$A$1,0,MATCH(W$1,'Calc Canada'!$1:$1,0)-1,300)="","",OFFSET('Calc Canada'!$A$1,0,MATCH(W$1,'Calc Canada'!$1:$1,0)-1,300))</f>
        <v>#N/A</v>
      </c>
      <c r="AB60" s="5" t="e">
        <f ca="1">IF(OFFSET('Calc Canada'!$A$1,0,MATCH(X$1,'Calc Canada'!$1:$1,0)-1,300)="","",OFFSET('Calc Canada'!$A$1,0,MATCH(X$1,'Calc Canada'!$1:$1,0)-1,300))</f>
        <v>#N/A</v>
      </c>
      <c r="AC60" t="e">
        <f t="shared" ca="1" si="0"/>
        <v>#N/A</v>
      </c>
      <c r="AD60" t="e">
        <f t="shared" ca="1" si="1"/>
        <v>#N/A</v>
      </c>
    </row>
    <row r="61" spans="1:30" x14ac:dyDescent="0.25">
      <c r="A61" s="4">
        <v>42040</v>
      </c>
      <c r="B61">
        <v>0.434</v>
      </c>
      <c r="C61" s="5">
        <v>0.433</v>
      </c>
      <c r="D61">
        <v>0.69</v>
      </c>
      <c r="E61">
        <v>1.016</v>
      </c>
      <c r="F61">
        <v>1.365</v>
      </c>
      <c r="G61">
        <v>1.956</v>
      </c>
      <c r="H61">
        <f t="shared" ref="H61:T76" ca="1" si="8">IF(ISERROR(ABS(OFFSET($A$11,ROW()-11,MATCH(LEFT(H$9,2),$A$11:$G$11,0)-1)-OFFSET($A$11,ROW()-11,MATCH(RIGHT(H$9,2),$A$11:$G$11,0)-1))/ABS(OFFSET($A$11,ROW()-11,MATCH(LEFT(H$10,2),$A$11:$G$11,0)-1)-OFFSET($A$11,ROW()-11,MATCH(RIGHT(H$10,2),$A$11:$G$11,0)-1))),"",ABS(OFFSET($A$11,ROW()-11,MATCH(LEFT(H$9,2),$A$11:$G$11,0)-1)-OFFSET($A$11,ROW()-11,MATCH(RIGHT(H$9,2),$A$11:$G$11,0)-1))/ABS(OFFSET($A$11,ROW()-11,MATCH(LEFT(H$10,2),$A$11:$G$11,0)-1)-OFFSET($A$11,ROW()-11,MATCH(RIGHT(H$10,2),$A$11:$G$11,0)-1)))</f>
        <v>0.44158075601374558</v>
      </c>
      <c r="I61">
        <f t="shared" ca="1" si="8"/>
        <v>0.27604726100966698</v>
      </c>
      <c r="J61">
        <f t="shared" ca="1" si="8"/>
        <v>0.16885676741130087</v>
      </c>
      <c r="K61">
        <f t="shared" ca="1" si="8"/>
        <v>0.35016111707841036</v>
      </c>
      <c r="L61">
        <f t="shared" ca="1" si="8"/>
        <v>0.21419185282523001</v>
      </c>
      <c r="M61">
        <f t="shared" ca="1" si="8"/>
        <v>0.34978540772532196</v>
      </c>
      <c r="N61">
        <f t="shared" ca="1" si="8"/>
        <v>0.21405121470781358</v>
      </c>
      <c r="O61">
        <f t="shared" ca="1" si="8"/>
        <v>0.22930354796320629</v>
      </c>
      <c r="P61">
        <f t="shared" ca="1" si="8"/>
        <v>0.22915298752462246</v>
      </c>
      <c r="Q61">
        <f t="shared" ca="1" si="8"/>
        <v>0.27567140600315954</v>
      </c>
      <c r="R61">
        <f t="shared" ca="1" si="8"/>
        <v>0.61235216819973715</v>
      </c>
      <c r="S61">
        <f t="shared" ca="1" si="8"/>
        <v>0.4434954007884363</v>
      </c>
      <c r="T61">
        <f t="shared" ca="1" si="8"/>
        <v>0.44320420223243606</v>
      </c>
      <c r="V61" s="4">
        <f t="shared" si="5"/>
        <v>42040</v>
      </c>
      <c r="W61" s="5">
        <f t="shared" ca="1" si="4"/>
        <v>0.61235216819973715</v>
      </c>
      <c r="Z61" s="4" t="str">
        <f ca="1">IF(OFFSET('Calc Canada'!$A$1,0,0,300)="","",OFFSET('Calc Canada'!$A$1,0,0,300))</f>
        <v/>
      </c>
      <c r="AA61" s="5" t="e">
        <f ca="1">IF(OFFSET('Calc Canada'!$A$1,0,MATCH(W$1,'Calc Canada'!$1:$1,0)-1,300)="","",OFFSET('Calc Canada'!$A$1,0,MATCH(W$1,'Calc Canada'!$1:$1,0)-1,300))</f>
        <v>#N/A</v>
      </c>
      <c r="AB61" s="5" t="e">
        <f ca="1">IF(OFFSET('Calc Canada'!$A$1,0,MATCH(X$1,'Calc Canada'!$1:$1,0)-1,300)="","",OFFSET('Calc Canada'!$A$1,0,MATCH(X$1,'Calc Canada'!$1:$1,0)-1,300))</f>
        <v>#N/A</v>
      </c>
      <c r="AC61" t="e">
        <f t="shared" ca="1" si="0"/>
        <v>#N/A</v>
      </c>
      <c r="AD61" t="e">
        <f t="shared" ca="1" si="1"/>
        <v>#N/A</v>
      </c>
    </row>
    <row r="62" spans="1:30" x14ac:dyDescent="0.25">
      <c r="A62" s="4">
        <v>42039</v>
      </c>
      <c r="B62">
        <v>0.39600000000000002</v>
      </c>
      <c r="C62" s="5">
        <v>0.39500000000000002</v>
      </c>
      <c r="D62">
        <v>0.61199999999999999</v>
      </c>
      <c r="E62">
        <v>0.91800000000000004</v>
      </c>
      <c r="F62">
        <v>1.2669999999999999</v>
      </c>
      <c r="G62">
        <v>1.865</v>
      </c>
      <c r="H62">
        <f t="shared" ca="1" si="8"/>
        <v>0.41570881226053635</v>
      </c>
      <c r="I62">
        <f t="shared" ca="1" si="8"/>
        <v>0.24913892078071181</v>
      </c>
      <c r="J62">
        <f t="shared" ca="1" si="8"/>
        <v>0.14771953710006808</v>
      </c>
      <c r="K62">
        <f t="shared" ca="1" si="8"/>
        <v>0.35132032146957531</v>
      </c>
      <c r="L62">
        <f t="shared" ca="1" si="8"/>
        <v>0.20830496936691631</v>
      </c>
      <c r="M62">
        <f t="shared" ca="1" si="8"/>
        <v>0.35091743119266067</v>
      </c>
      <c r="N62">
        <f t="shared" ca="1" si="8"/>
        <v>0.20816326530612247</v>
      </c>
      <c r="O62">
        <f t="shared" ca="1" si="8"/>
        <v>0.237576582709326</v>
      </c>
      <c r="P62">
        <f t="shared" ca="1" si="8"/>
        <v>0.23741496598639447</v>
      </c>
      <c r="Q62">
        <f t="shared" ca="1" si="8"/>
        <v>0.27853152434158007</v>
      </c>
      <c r="R62">
        <f t="shared" ca="1" si="8"/>
        <v>0.59360108917631038</v>
      </c>
      <c r="S62">
        <f t="shared" ca="1" si="8"/>
        <v>0.4458815520762423</v>
      </c>
      <c r="T62">
        <f t="shared" ca="1" si="8"/>
        <v>0.44557823129251695</v>
      </c>
      <c r="V62" s="4">
        <f t="shared" si="5"/>
        <v>42039</v>
      </c>
      <c r="W62" s="5">
        <f t="shared" ca="1" si="4"/>
        <v>0.59360108917631038</v>
      </c>
      <c r="Z62" s="4" t="str">
        <f ca="1">IF(OFFSET('Calc Canada'!$A$1,0,0,300)="","",OFFSET('Calc Canada'!$A$1,0,0,300))</f>
        <v/>
      </c>
      <c r="AA62" s="5" t="e">
        <f ca="1">IF(OFFSET('Calc Canada'!$A$1,0,MATCH(W$1,'Calc Canada'!$1:$1,0)-1,300)="","",OFFSET('Calc Canada'!$A$1,0,MATCH(W$1,'Calc Canada'!$1:$1,0)-1,300))</f>
        <v>#N/A</v>
      </c>
      <c r="AB62" s="5" t="e">
        <f ca="1">IF(OFFSET('Calc Canada'!$A$1,0,MATCH(X$1,'Calc Canada'!$1:$1,0)-1,300)="","",OFFSET('Calc Canada'!$A$1,0,MATCH(X$1,'Calc Canada'!$1:$1,0)-1,300))</f>
        <v>#N/A</v>
      </c>
      <c r="AC62" t="e">
        <f t="shared" ca="1" si="0"/>
        <v>#N/A</v>
      </c>
      <c r="AD62" t="e">
        <f t="shared" ca="1" si="1"/>
        <v>#N/A</v>
      </c>
    </row>
    <row r="63" spans="1:30" x14ac:dyDescent="0.25">
      <c r="A63" s="4">
        <v>42038</v>
      </c>
      <c r="B63">
        <v>0.43099999999999999</v>
      </c>
      <c r="C63" s="5">
        <v>0.432</v>
      </c>
      <c r="D63">
        <v>0.65</v>
      </c>
      <c r="E63">
        <v>0.95699999999999996</v>
      </c>
      <c r="F63">
        <v>1.3089999999999999</v>
      </c>
      <c r="G63">
        <v>1.901</v>
      </c>
      <c r="H63">
        <f t="shared" ca="1" si="8"/>
        <v>0.41444866920152096</v>
      </c>
      <c r="I63">
        <f t="shared" ca="1" si="8"/>
        <v>0.24829157175398639</v>
      </c>
      <c r="J63">
        <f t="shared" ca="1" si="8"/>
        <v>0.14829931972789118</v>
      </c>
      <c r="K63">
        <f t="shared" ca="1" si="8"/>
        <v>0.34965831435079725</v>
      </c>
      <c r="L63">
        <f t="shared" ca="1" si="8"/>
        <v>0.20884353741496595</v>
      </c>
      <c r="M63">
        <f t="shared" ca="1" si="8"/>
        <v>0.35005701254275934</v>
      </c>
      <c r="N63">
        <f t="shared" ca="1" si="8"/>
        <v>0.20898570456092574</v>
      </c>
      <c r="O63">
        <f t="shared" ca="1" si="8"/>
        <v>0.23945578231292516</v>
      </c>
      <c r="P63">
        <f t="shared" ca="1" si="8"/>
        <v>0.23961878829135463</v>
      </c>
      <c r="Q63">
        <f t="shared" ca="1" si="8"/>
        <v>0.28137490007993604</v>
      </c>
      <c r="R63">
        <f t="shared" ca="1" si="8"/>
        <v>0.59659863945578229</v>
      </c>
      <c r="S63">
        <f t="shared" ca="1" si="8"/>
        <v>0.44829931972789111</v>
      </c>
      <c r="T63">
        <f t="shared" ca="1" si="8"/>
        <v>0.44860449285228038</v>
      </c>
      <c r="V63" s="4">
        <f t="shared" si="5"/>
        <v>42038</v>
      </c>
      <c r="W63" s="5">
        <f t="shared" ca="1" si="4"/>
        <v>0.59659863945578229</v>
      </c>
      <c r="Z63" s="4" t="str">
        <f ca="1">IF(OFFSET('Calc Canada'!$A$1,0,0,300)="","",OFFSET('Calc Canada'!$A$1,0,0,300))</f>
        <v/>
      </c>
      <c r="AA63" s="5" t="e">
        <f ca="1">IF(OFFSET('Calc Canada'!$A$1,0,MATCH(W$1,'Calc Canada'!$1:$1,0)-1,300)="","",OFFSET('Calc Canada'!$A$1,0,MATCH(W$1,'Calc Canada'!$1:$1,0)-1,300))</f>
        <v>#N/A</v>
      </c>
      <c r="AB63" s="5" t="e">
        <f ca="1">IF(OFFSET('Calc Canada'!$A$1,0,MATCH(X$1,'Calc Canada'!$1:$1,0)-1,300)="","",OFFSET('Calc Canada'!$A$1,0,MATCH(X$1,'Calc Canada'!$1:$1,0)-1,300))</f>
        <v>#N/A</v>
      </c>
      <c r="AC63" t="e">
        <f t="shared" ca="1" si="0"/>
        <v>#N/A</v>
      </c>
      <c r="AD63" t="e">
        <f t="shared" ca="1" si="1"/>
        <v>#N/A</v>
      </c>
    </row>
    <row r="64" spans="1:30" x14ac:dyDescent="0.25">
      <c r="A64" s="4">
        <v>42037</v>
      </c>
      <c r="B64">
        <v>0.39200000000000002</v>
      </c>
      <c r="C64" s="5">
        <v>0.38700000000000001</v>
      </c>
      <c r="D64">
        <v>0.58699999999999997</v>
      </c>
      <c r="E64">
        <v>0.88100000000000001</v>
      </c>
      <c r="F64">
        <v>1.2330000000000001</v>
      </c>
      <c r="G64">
        <v>1.831</v>
      </c>
      <c r="H64">
        <f t="shared" ca="1" si="8"/>
        <v>0.40899795501022485</v>
      </c>
      <c r="I64">
        <f t="shared" ca="1" si="8"/>
        <v>0.23781212841854926</v>
      </c>
      <c r="J64">
        <f t="shared" ca="1" si="8"/>
        <v>0.13898540653231406</v>
      </c>
      <c r="K64">
        <f t="shared" ca="1" si="8"/>
        <v>0.34958382877526756</v>
      </c>
      <c r="L64">
        <f t="shared" ca="1" si="8"/>
        <v>0.20430854760250175</v>
      </c>
      <c r="M64">
        <f t="shared" ca="1" si="8"/>
        <v>0.3475177304964539</v>
      </c>
      <c r="N64">
        <f t="shared" ca="1" si="8"/>
        <v>0.20360110803324102</v>
      </c>
      <c r="O64">
        <f t="shared" ca="1" si="8"/>
        <v>0.24461431549687288</v>
      </c>
      <c r="P64">
        <f t="shared" ca="1" si="8"/>
        <v>0.24376731301939064</v>
      </c>
      <c r="Q64">
        <f t="shared" ca="1" si="8"/>
        <v>0.28295819935691324</v>
      </c>
      <c r="R64">
        <f t="shared" ca="1" si="8"/>
        <v>0.58790826963168874</v>
      </c>
      <c r="S64">
        <f t="shared" ca="1" si="8"/>
        <v>0.44892286309937462</v>
      </c>
      <c r="T64">
        <f t="shared" ca="1" si="8"/>
        <v>0.44736842105263169</v>
      </c>
      <c r="V64" s="4">
        <f t="shared" si="5"/>
        <v>42037</v>
      </c>
      <c r="W64" s="5">
        <f t="shared" ca="1" si="4"/>
        <v>0.58790826963168874</v>
      </c>
      <c r="Z64" s="4">
        <f ca="1">IF(OFFSET('Calc Canada'!$A$1,0,0,300)="","",OFFSET('Calc Canada'!$A$1,0,0,300))</f>
        <v>42006</v>
      </c>
      <c r="AA64" s="5" t="e">
        <f ca="1">IF(OFFSET('Calc Canada'!$A$1,0,MATCH(W$1,'Calc Canada'!$1:$1,0)-1,300)="","",OFFSET('Calc Canada'!$A$1,0,MATCH(W$1,'Calc Canada'!$1:$1,0)-1,300))</f>
        <v>#N/A</v>
      </c>
      <c r="AB64" s="5" t="e">
        <f ca="1">IF(OFFSET('Calc Canada'!$A$1,0,MATCH(X$1,'Calc Canada'!$1:$1,0)-1,300)="","",OFFSET('Calc Canada'!$A$1,0,MATCH(X$1,'Calc Canada'!$1:$1,0)-1,300))</f>
        <v>#N/A</v>
      </c>
      <c r="AC64" t="e">
        <f t="shared" ca="1" si="0"/>
        <v>#N/A</v>
      </c>
      <c r="AD64" t="e">
        <f t="shared" ca="1" si="1"/>
        <v>#N/A</v>
      </c>
    </row>
    <row r="65" spans="1:30" x14ac:dyDescent="0.25">
      <c r="A65" s="4">
        <v>42034</v>
      </c>
      <c r="B65">
        <v>0.39200000000000002</v>
      </c>
      <c r="C65" s="5">
        <v>0.38700000000000001</v>
      </c>
      <c r="D65">
        <v>0.60099999999999998</v>
      </c>
      <c r="E65">
        <v>0.89700000000000002</v>
      </c>
      <c r="F65">
        <v>1.2490000000000001</v>
      </c>
      <c r="G65">
        <v>1.8319999999999999</v>
      </c>
      <c r="H65">
        <f t="shared" ca="1" si="8"/>
        <v>0.42376237623762369</v>
      </c>
      <c r="I65">
        <f t="shared" ca="1" si="8"/>
        <v>0.24970828471411896</v>
      </c>
      <c r="J65">
        <f t="shared" ca="1" si="8"/>
        <v>0.14861111111111108</v>
      </c>
      <c r="K65">
        <f t="shared" ca="1" si="8"/>
        <v>0.34539089848308052</v>
      </c>
      <c r="L65">
        <f t="shared" ca="1" si="8"/>
        <v>0.2055555555555556</v>
      </c>
      <c r="M65">
        <f t="shared" ca="1" si="8"/>
        <v>0.3433874709976798</v>
      </c>
      <c r="N65">
        <f t="shared" ca="1" si="8"/>
        <v>0.2048442906574395</v>
      </c>
      <c r="O65">
        <f t="shared" ca="1" si="8"/>
        <v>0.24444444444444452</v>
      </c>
      <c r="P65">
        <f t="shared" ca="1" si="8"/>
        <v>0.24359861591695511</v>
      </c>
      <c r="Q65">
        <f t="shared" ca="1" si="8"/>
        <v>0.28594638505280268</v>
      </c>
      <c r="R65">
        <f t="shared" ca="1" si="8"/>
        <v>0.5986111111111112</v>
      </c>
      <c r="S65">
        <f t="shared" ca="1" si="8"/>
        <v>0.45000000000000012</v>
      </c>
      <c r="T65">
        <f t="shared" ca="1" si="8"/>
        <v>0.44844290657439462</v>
      </c>
      <c r="V65" s="4">
        <f t="shared" si="5"/>
        <v>42034</v>
      </c>
      <c r="W65" s="5">
        <f t="shared" ca="1" si="4"/>
        <v>0.5986111111111112</v>
      </c>
      <c r="Z65" s="4" t="str">
        <f ca="1">IF(OFFSET('Calc Canada'!$A$1,0,0,300)="","",OFFSET('Calc Canada'!$A$1,0,0,300))</f>
        <v/>
      </c>
      <c r="AA65" s="5" t="e">
        <f ca="1">IF(OFFSET('Calc Canada'!$A$1,0,MATCH(W$1,'Calc Canada'!$1:$1,0)-1,300)="","",OFFSET('Calc Canada'!$A$1,0,MATCH(W$1,'Calc Canada'!$1:$1,0)-1,300))</f>
        <v>#N/A</v>
      </c>
      <c r="AB65" s="5" t="e">
        <f ca="1">IF(OFFSET('Calc Canada'!$A$1,0,MATCH(X$1,'Calc Canada'!$1:$1,0)-1,300)="","",OFFSET('Calc Canada'!$A$1,0,MATCH(X$1,'Calc Canada'!$1:$1,0)-1,300))</f>
        <v>#N/A</v>
      </c>
      <c r="AC65" t="e">
        <f t="shared" ca="1" si="0"/>
        <v>#N/A</v>
      </c>
      <c r="AD65" t="e">
        <f t="shared" ca="1" si="1"/>
        <v>#N/A</v>
      </c>
    </row>
    <row r="66" spans="1:30" x14ac:dyDescent="0.25">
      <c r="A66" s="4">
        <v>42033</v>
      </c>
      <c r="B66">
        <v>0.44700000000000001</v>
      </c>
      <c r="C66" s="5">
        <v>0.44600000000000001</v>
      </c>
      <c r="D66">
        <v>0.69799999999999995</v>
      </c>
      <c r="E66">
        <v>1.008</v>
      </c>
      <c r="F66">
        <v>1.3599999999999999</v>
      </c>
      <c r="G66">
        <v>1.9370000000000001</v>
      </c>
      <c r="H66">
        <f t="shared" ca="1" si="8"/>
        <v>0.44919786096256681</v>
      </c>
      <c r="I66">
        <f t="shared" ca="1" si="8"/>
        <v>0.27601314348302303</v>
      </c>
      <c r="J66">
        <f t="shared" ca="1" si="8"/>
        <v>0.16912751677852345</v>
      </c>
      <c r="K66">
        <f t="shared" ca="1" si="8"/>
        <v>0.33953997809419512</v>
      </c>
      <c r="L66">
        <f t="shared" ca="1" si="8"/>
        <v>0.20805369127516782</v>
      </c>
      <c r="M66">
        <f t="shared" ca="1" si="8"/>
        <v>0.33916849015317296</v>
      </c>
      <c r="N66">
        <f t="shared" ca="1" si="8"/>
        <v>0.20791415157612342</v>
      </c>
      <c r="O66">
        <f t="shared" ca="1" si="8"/>
        <v>0.23624161073825495</v>
      </c>
      <c r="P66">
        <f t="shared" ca="1" si="8"/>
        <v>0.23608316566063034</v>
      </c>
      <c r="Q66">
        <f t="shared" ca="1" si="8"/>
        <v>0.28410008071025006</v>
      </c>
      <c r="R66">
        <f t="shared" ca="1" si="8"/>
        <v>0.61342281879194627</v>
      </c>
      <c r="S66">
        <f t="shared" ca="1" si="8"/>
        <v>0.44429530201342277</v>
      </c>
      <c r="T66">
        <f t="shared" ca="1" si="8"/>
        <v>0.44399731723675379</v>
      </c>
      <c r="V66" s="4">
        <f t="shared" si="5"/>
        <v>42033</v>
      </c>
      <c r="W66" s="5">
        <f t="shared" ca="1" si="4"/>
        <v>0.61342281879194627</v>
      </c>
      <c r="Z66" s="4" t="str">
        <f ca="1">IF(OFFSET('Calc Canada'!$A$1,0,0,300)="","",OFFSET('Calc Canada'!$A$1,0,0,300))</f>
        <v/>
      </c>
      <c r="AA66" s="5" t="e">
        <f ca="1">IF(OFFSET('Calc Canada'!$A$1,0,MATCH(W$1,'Calc Canada'!$1:$1,0)-1,300)="","",OFFSET('Calc Canada'!$A$1,0,MATCH(W$1,'Calc Canada'!$1:$1,0)-1,300))</f>
        <v>#N/A</v>
      </c>
      <c r="AB66" s="5" t="e">
        <f ca="1">IF(OFFSET('Calc Canada'!$A$1,0,MATCH(X$1,'Calc Canada'!$1:$1,0)-1,300)="","",OFFSET('Calc Canada'!$A$1,0,MATCH(X$1,'Calc Canada'!$1:$1,0)-1,300))</f>
        <v>#N/A</v>
      </c>
      <c r="AC66" t="e">
        <f t="shared" ca="1" si="0"/>
        <v>#N/A</v>
      </c>
      <c r="AD66" t="e">
        <f t="shared" ca="1" si="1"/>
        <v>#N/A</v>
      </c>
    </row>
    <row r="67" spans="1:30" x14ac:dyDescent="0.25">
      <c r="A67" s="4">
        <v>42032</v>
      </c>
      <c r="B67">
        <v>0.436</v>
      </c>
      <c r="C67" s="5">
        <v>0.43099999999999999</v>
      </c>
      <c r="D67">
        <v>0.68700000000000006</v>
      </c>
      <c r="E67">
        <v>1.002</v>
      </c>
      <c r="F67">
        <v>1.351</v>
      </c>
      <c r="G67">
        <v>1.925</v>
      </c>
      <c r="H67">
        <f t="shared" ca="1" si="8"/>
        <v>0.45229681978798592</v>
      </c>
      <c r="I67">
        <f t="shared" ca="1" si="8"/>
        <v>0.27978142076502738</v>
      </c>
      <c r="J67">
        <f t="shared" ca="1" si="8"/>
        <v>0.1719274680993956</v>
      </c>
      <c r="K67">
        <f t="shared" ca="1" si="8"/>
        <v>0.34426229508196715</v>
      </c>
      <c r="L67">
        <f t="shared" ca="1" si="8"/>
        <v>0.2115513767629281</v>
      </c>
      <c r="M67">
        <f t="shared" ca="1" si="8"/>
        <v>0.34239130434782605</v>
      </c>
      <c r="N67">
        <f t="shared" ca="1" si="8"/>
        <v>0.21084337349397586</v>
      </c>
      <c r="O67">
        <f t="shared" ca="1" si="8"/>
        <v>0.23438549361987909</v>
      </c>
      <c r="P67">
        <f t="shared" ca="1" si="8"/>
        <v>0.23360107095046853</v>
      </c>
      <c r="Q67">
        <f t="shared" ca="1" si="8"/>
        <v>0.28190630048465265</v>
      </c>
      <c r="R67">
        <f t="shared" ca="1" si="8"/>
        <v>0.61786433848220268</v>
      </c>
      <c r="S67">
        <f t="shared" ca="1" si="8"/>
        <v>0.44593687038280716</v>
      </c>
      <c r="T67">
        <f t="shared" ca="1" si="8"/>
        <v>0.44444444444444442</v>
      </c>
      <c r="V67" s="4">
        <f t="shared" si="5"/>
        <v>42032</v>
      </c>
      <c r="W67" s="5">
        <f t="shared" ca="1" si="4"/>
        <v>0.61786433848220268</v>
      </c>
      <c r="Z67" s="4" t="str">
        <f ca="1">IF(OFFSET('Calc Canada'!$A$1,0,0,300)="","",OFFSET('Calc Canada'!$A$1,0,0,300))</f>
        <v/>
      </c>
      <c r="AA67" s="5" t="e">
        <f ca="1">IF(OFFSET('Calc Canada'!$A$1,0,MATCH(W$1,'Calc Canada'!$1:$1,0)-1,300)="","",OFFSET('Calc Canada'!$A$1,0,MATCH(W$1,'Calc Canada'!$1:$1,0)-1,300))</f>
        <v>#N/A</v>
      </c>
      <c r="AB67" s="5" t="e">
        <f ca="1">IF(OFFSET('Calc Canada'!$A$1,0,MATCH(X$1,'Calc Canada'!$1:$1,0)-1,300)="","",OFFSET('Calc Canada'!$A$1,0,MATCH(X$1,'Calc Canada'!$1:$1,0)-1,300))</f>
        <v>#N/A</v>
      </c>
      <c r="AC67" t="e">
        <f t="shared" ref="AC67:AC130" ca="1" si="9">IF(AND(AA67&lt;&gt;"",AB67&lt;&gt;""),ABS(AA67-AB67),"")</f>
        <v>#N/A</v>
      </c>
      <c r="AD67" t="e">
        <f t="shared" ref="AD67:AD130" ca="1" si="10">IF(ISNA(MATCH("",AC67:AC86,0)),AVERAGE(AC67:AC86),"")</f>
        <v>#N/A</v>
      </c>
    </row>
    <row r="68" spans="1:30" x14ac:dyDescent="0.25">
      <c r="A68" s="4">
        <v>42031</v>
      </c>
      <c r="B68">
        <v>0.49399999999999999</v>
      </c>
      <c r="C68" s="5">
        <v>0.49299999999999999</v>
      </c>
      <c r="D68">
        <v>0.75600000000000001</v>
      </c>
      <c r="E68">
        <v>1.079</v>
      </c>
      <c r="F68">
        <v>1.4279999999999999</v>
      </c>
      <c r="G68">
        <v>1.992</v>
      </c>
      <c r="H68">
        <f t="shared" ca="1" si="8"/>
        <v>0.44957264957264964</v>
      </c>
      <c r="I68">
        <f t="shared" ca="1" si="8"/>
        <v>0.28158458244111351</v>
      </c>
      <c r="J68">
        <f t="shared" ca="1" si="8"/>
        <v>0.17556742323097463</v>
      </c>
      <c r="K68">
        <f t="shared" ca="1" si="8"/>
        <v>0.34582441113490359</v>
      </c>
      <c r="L68">
        <f t="shared" ca="1" si="8"/>
        <v>0.21562082777036046</v>
      </c>
      <c r="M68">
        <f t="shared" ca="1" si="8"/>
        <v>0.3454545454545454</v>
      </c>
      <c r="N68">
        <f t="shared" ca="1" si="8"/>
        <v>0.21547698465643758</v>
      </c>
      <c r="O68">
        <f t="shared" ca="1" si="8"/>
        <v>0.232977303070761</v>
      </c>
      <c r="P68">
        <f t="shared" ca="1" si="8"/>
        <v>0.23282188125416942</v>
      </c>
      <c r="Q68">
        <f t="shared" ca="1" si="8"/>
        <v>0.28236245954692557</v>
      </c>
      <c r="R68">
        <f t="shared" ca="1" si="8"/>
        <v>0.62416555407209606</v>
      </c>
      <c r="S68">
        <f t="shared" ca="1" si="8"/>
        <v>0.44859813084112143</v>
      </c>
      <c r="T68">
        <f t="shared" ca="1" si="8"/>
        <v>0.44829886591060697</v>
      </c>
      <c r="V68" s="4">
        <f t="shared" si="5"/>
        <v>42031</v>
      </c>
      <c r="W68" s="5">
        <f t="shared" ca="1" si="4"/>
        <v>0.62416555407209606</v>
      </c>
      <c r="Z68" s="4" t="str">
        <f ca="1">IF(OFFSET('Calc Canada'!$A$1,0,0,300)="","",OFFSET('Calc Canada'!$A$1,0,0,300))</f>
        <v/>
      </c>
      <c r="AA68" s="5" t="e">
        <f ca="1">IF(OFFSET('Calc Canada'!$A$1,0,MATCH(W$1,'Calc Canada'!$1:$1,0)-1,300)="","",OFFSET('Calc Canada'!$A$1,0,MATCH(W$1,'Calc Canada'!$1:$1,0)-1,300))</f>
        <v>#N/A</v>
      </c>
      <c r="AB68" s="5" t="e">
        <f ca="1">IF(OFFSET('Calc Canada'!$A$1,0,MATCH(X$1,'Calc Canada'!$1:$1,0)-1,300)="","",OFFSET('Calc Canada'!$A$1,0,MATCH(X$1,'Calc Canada'!$1:$1,0)-1,300))</f>
        <v>#N/A</v>
      </c>
      <c r="AC68" t="e">
        <f t="shared" ca="1" si="9"/>
        <v>#N/A</v>
      </c>
      <c r="AD68" t="e">
        <f t="shared" ca="1" si="10"/>
        <v>#N/A</v>
      </c>
    </row>
    <row r="69" spans="1:30" x14ac:dyDescent="0.25">
      <c r="A69" s="4">
        <v>42030</v>
      </c>
      <c r="B69">
        <v>0.51700000000000002</v>
      </c>
      <c r="C69" s="5">
        <v>0.52200000000000002</v>
      </c>
      <c r="D69">
        <v>0.78600000000000003</v>
      </c>
      <c r="E69">
        <v>1.1160000000000001</v>
      </c>
      <c r="F69">
        <v>1.462</v>
      </c>
      <c r="G69">
        <v>2.0270000000000001</v>
      </c>
      <c r="H69">
        <f t="shared" ca="1" si="8"/>
        <v>0.44073455759599328</v>
      </c>
      <c r="I69">
        <f t="shared" ca="1" si="8"/>
        <v>0.27936507936507937</v>
      </c>
      <c r="J69">
        <f t="shared" ca="1" si="8"/>
        <v>0.1748344370860927</v>
      </c>
      <c r="K69">
        <f t="shared" ca="1" si="8"/>
        <v>0.3492063492063493</v>
      </c>
      <c r="L69">
        <f t="shared" ca="1" si="8"/>
        <v>0.2185430463576159</v>
      </c>
      <c r="M69">
        <f t="shared" ca="1" si="8"/>
        <v>0.35106382978723416</v>
      </c>
      <c r="N69">
        <f t="shared" ca="1" si="8"/>
        <v>0.21926910299003324</v>
      </c>
      <c r="O69">
        <f t="shared" ca="1" si="8"/>
        <v>0.22913907284768201</v>
      </c>
      <c r="P69">
        <f t="shared" ca="1" si="8"/>
        <v>0.22990033222591352</v>
      </c>
      <c r="Q69">
        <f t="shared" ca="1" si="8"/>
        <v>0.27880741337630932</v>
      </c>
      <c r="R69">
        <f t="shared" ca="1" si="8"/>
        <v>0.62251655629139058</v>
      </c>
      <c r="S69">
        <f t="shared" ca="1" si="8"/>
        <v>0.44768211920529788</v>
      </c>
      <c r="T69">
        <f t="shared" ca="1" si="8"/>
        <v>0.44916943521594677</v>
      </c>
      <c r="V69" s="4">
        <f t="shared" si="5"/>
        <v>42030</v>
      </c>
      <c r="W69" s="5">
        <f t="shared" ca="1" si="4"/>
        <v>0.62251655629139058</v>
      </c>
      <c r="Z69" s="4" t="str">
        <f ca="1">IF(OFFSET('Calc Canada'!$A$1,0,0,300)="","",OFFSET('Calc Canada'!$A$1,0,0,300))</f>
        <v/>
      </c>
      <c r="AA69" s="5" t="e">
        <f ca="1">IF(OFFSET('Calc Canada'!$A$1,0,MATCH(W$1,'Calc Canada'!$1:$1,0)-1,300)="","",OFFSET('Calc Canada'!$A$1,0,MATCH(W$1,'Calc Canada'!$1:$1,0)-1,300))</f>
        <v>#N/A</v>
      </c>
      <c r="AB69" s="5" t="e">
        <f ca="1">IF(OFFSET('Calc Canada'!$A$1,0,MATCH(X$1,'Calc Canada'!$1:$1,0)-1,300)="","",OFFSET('Calc Canada'!$A$1,0,MATCH(X$1,'Calc Canada'!$1:$1,0)-1,300))</f>
        <v>#N/A</v>
      </c>
      <c r="AC69" t="e">
        <f t="shared" ca="1" si="9"/>
        <v>#N/A</v>
      </c>
      <c r="AD69" t="e">
        <f t="shared" ca="1" si="10"/>
        <v>#N/A</v>
      </c>
    </row>
    <row r="70" spans="1:30" x14ac:dyDescent="0.25">
      <c r="A70" s="4">
        <v>42027</v>
      </c>
      <c r="B70">
        <v>0.53500000000000003</v>
      </c>
      <c r="C70" s="5">
        <v>0.53600000000000003</v>
      </c>
      <c r="D70">
        <v>0.78300000000000003</v>
      </c>
      <c r="E70">
        <v>0.94899999999999995</v>
      </c>
      <c r="F70">
        <v>1.444</v>
      </c>
      <c r="G70">
        <v>2.02</v>
      </c>
      <c r="H70">
        <f t="shared" ca="1" si="8"/>
        <v>0.5966183574879228</v>
      </c>
      <c r="I70">
        <f t="shared" ca="1" si="8"/>
        <v>0.27172717271727176</v>
      </c>
      <c r="J70">
        <f t="shared" ca="1" si="8"/>
        <v>0.16632996632996636</v>
      </c>
      <c r="K70">
        <f t="shared" ca="1" si="8"/>
        <v>0.18261826182618254</v>
      </c>
      <c r="L70">
        <f t="shared" ca="1" si="8"/>
        <v>0.11178451178451175</v>
      </c>
      <c r="M70">
        <f t="shared" ca="1" si="8"/>
        <v>0.18281938325991182</v>
      </c>
      <c r="N70">
        <f t="shared" ca="1" si="8"/>
        <v>0.11185983827493257</v>
      </c>
      <c r="O70">
        <f t="shared" ca="1" si="8"/>
        <v>0.33333333333333337</v>
      </c>
      <c r="P70">
        <f t="shared" ca="1" si="8"/>
        <v>0.3335579514824798</v>
      </c>
      <c r="Q70">
        <f t="shared" ca="1" si="8"/>
        <v>0.40016168148746967</v>
      </c>
      <c r="R70">
        <f t="shared" ca="1" si="8"/>
        <v>0.61144781144781146</v>
      </c>
      <c r="S70">
        <f t="shared" ca="1" si="8"/>
        <v>0.44511784511784508</v>
      </c>
      <c r="T70">
        <f t="shared" ca="1" si="8"/>
        <v>0.44541778975741236</v>
      </c>
      <c r="V70" s="4">
        <f t="shared" si="5"/>
        <v>42027</v>
      </c>
      <c r="W70" s="5">
        <f t="shared" ca="1" si="4"/>
        <v>0.61144781144781146</v>
      </c>
      <c r="Z70" s="4" t="str">
        <f ca="1">IF(OFFSET('Calc Canada'!$A$1,0,0,300)="","",OFFSET('Calc Canada'!$A$1,0,0,300))</f>
        <v/>
      </c>
      <c r="AA70" s="5" t="e">
        <f ca="1">IF(OFFSET('Calc Canada'!$A$1,0,MATCH(W$1,'Calc Canada'!$1:$1,0)-1,300)="","",OFFSET('Calc Canada'!$A$1,0,MATCH(W$1,'Calc Canada'!$1:$1,0)-1,300))</f>
        <v>#N/A</v>
      </c>
      <c r="AB70" s="5" t="e">
        <f ca="1">IF(OFFSET('Calc Canada'!$A$1,0,MATCH(X$1,'Calc Canada'!$1:$1,0)-1,300)="","",OFFSET('Calc Canada'!$A$1,0,MATCH(X$1,'Calc Canada'!$1:$1,0)-1,300))</f>
        <v>#N/A</v>
      </c>
      <c r="AC70" t="e">
        <f t="shared" ca="1" si="9"/>
        <v>#N/A</v>
      </c>
      <c r="AD70" t="e">
        <f t="shared" ca="1" si="10"/>
        <v>#N/A</v>
      </c>
    </row>
    <row r="71" spans="1:30" x14ac:dyDescent="0.25">
      <c r="A71" s="4">
        <v>42026</v>
      </c>
      <c r="B71">
        <v>0.54700000000000004</v>
      </c>
      <c r="C71" s="5">
        <v>0.56299999999999994</v>
      </c>
      <c r="D71">
        <v>0.84499999999999997</v>
      </c>
      <c r="E71">
        <v>1.0149999999999999</v>
      </c>
      <c r="F71">
        <v>1.419</v>
      </c>
      <c r="G71">
        <v>2.0699999999999998</v>
      </c>
      <c r="H71">
        <f t="shared" ca="1" si="8"/>
        <v>0.60256410256410275</v>
      </c>
      <c r="I71">
        <f t="shared" ca="1" si="8"/>
        <v>0.3233944954128441</v>
      </c>
      <c r="J71">
        <f t="shared" ca="1" si="8"/>
        <v>0.18516086671043996</v>
      </c>
      <c r="K71">
        <f t="shared" ca="1" si="8"/>
        <v>0.19495412844036689</v>
      </c>
      <c r="L71">
        <f t="shared" ca="1" si="8"/>
        <v>0.11162179908076163</v>
      </c>
      <c r="M71">
        <f t="shared" ca="1" si="8"/>
        <v>0.19859813084112138</v>
      </c>
      <c r="N71">
        <f t="shared" ca="1" si="8"/>
        <v>0.11280690112806897</v>
      </c>
      <c r="O71">
        <f t="shared" ca="1" si="8"/>
        <v>0.26526592252133963</v>
      </c>
      <c r="P71">
        <f t="shared" ca="1" si="8"/>
        <v>0.26808228268082296</v>
      </c>
      <c r="Q71">
        <f t="shared" ca="1" si="8"/>
        <v>0.32979591836734706</v>
      </c>
      <c r="R71">
        <f t="shared" ca="1" si="8"/>
        <v>0.56204858831254123</v>
      </c>
      <c r="S71">
        <f t="shared" ca="1" si="8"/>
        <v>0.37688772160210121</v>
      </c>
      <c r="T71">
        <f t="shared" ca="1" si="8"/>
        <v>0.38088918380889192</v>
      </c>
      <c r="V71" s="4">
        <f t="shared" si="5"/>
        <v>42026</v>
      </c>
      <c r="W71" s="5">
        <f t="shared" ca="1" si="4"/>
        <v>0.56204858831254123</v>
      </c>
      <c r="Z71" s="4" t="str">
        <f ca="1">IF(OFFSET('Calc Canada'!$A$1,0,0,300)="","",OFFSET('Calc Canada'!$A$1,0,0,300))</f>
        <v/>
      </c>
      <c r="AA71" s="5" t="e">
        <f ca="1">IF(OFFSET('Calc Canada'!$A$1,0,MATCH(W$1,'Calc Canada'!$1:$1,0)-1,300)="","",OFFSET('Calc Canada'!$A$1,0,MATCH(W$1,'Calc Canada'!$1:$1,0)-1,300))</f>
        <v>#N/A</v>
      </c>
      <c r="AB71" s="5" t="e">
        <f ca="1">IF(OFFSET('Calc Canada'!$A$1,0,MATCH(X$1,'Calc Canada'!$1:$1,0)-1,300)="","",OFFSET('Calc Canada'!$A$1,0,MATCH(X$1,'Calc Canada'!$1:$1,0)-1,300))</f>
        <v>#N/A</v>
      </c>
      <c r="AC71" t="e">
        <f t="shared" ca="1" si="9"/>
        <v>#N/A</v>
      </c>
      <c r="AD71" t="e">
        <f t="shared" ca="1" si="10"/>
        <v>#N/A</v>
      </c>
    </row>
    <row r="72" spans="1:30" x14ac:dyDescent="0.25">
      <c r="A72" s="4">
        <v>42025</v>
      </c>
      <c r="B72">
        <v>0.55100000000000005</v>
      </c>
      <c r="C72" s="5">
        <v>0.57499999999999996</v>
      </c>
      <c r="D72">
        <v>0.86399999999999999</v>
      </c>
      <c r="E72">
        <v>1.0229999999999999</v>
      </c>
      <c r="F72">
        <v>1.431</v>
      </c>
      <c r="G72">
        <v>2.0499999999999998</v>
      </c>
      <c r="H72">
        <f t="shared" ca="1" si="8"/>
        <v>0.61228813559322059</v>
      </c>
      <c r="I72">
        <f t="shared" ca="1" si="8"/>
        <v>0.32840909090909093</v>
      </c>
      <c r="J72">
        <f t="shared" ca="1" si="8"/>
        <v>0.1927951967978653</v>
      </c>
      <c r="K72">
        <f t="shared" ca="1" si="8"/>
        <v>0.18068181818181808</v>
      </c>
      <c r="L72">
        <f t="shared" ca="1" si="8"/>
        <v>0.1060707138092061</v>
      </c>
      <c r="M72">
        <f t="shared" ca="1" si="8"/>
        <v>0.18574766355140176</v>
      </c>
      <c r="N72">
        <f t="shared" ca="1" si="8"/>
        <v>0.10779661016949148</v>
      </c>
      <c r="O72">
        <f t="shared" ca="1" si="8"/>
        <v>0.27218145430286872</v>
      </c>
      <c r="P72">
        <f t="shared" ca="1" si="8"/>
        <v>0.27661016949152556</v>
      </c>
      <c r="Q72">
        <f t="shared" ca="1" si="8"/>
        <v>0.3440134907251266</v>
      </c>
      <c r="R72">
        <f t="shared" ca="1" si="8"/>
        <v>0.57104736490994012</v>
      </c>
      <c r="S72">
        <f t="shared" ca="1" si="8"/>
        <v>0.37825216811207485</v>
      </c>
      <c r="T72">
        <f t="shared" ca="1" si="8"/>
        <v>0.38440677966101705</v>
      </c>
      <c r="V72" s="4">
        <f t="shared" si="5"/>
        <v>42025</v>
      </c>
      <c r="W72" s="5">
        <f t="shared" ca="1" si="4"/>
        <v>0.57104736490994012</v>
      </c>
      <c r="Z72" s="4" t="str">
        <f ca="1">IF(OFFSET('Calc Canada'!$A$1,0,0,300)="","",OFFSET('Calc Canada'!$A$1,0,0,300))</f>
        <v/>
      </c>
      <c r="AA72" s="5" t="e">
        <f ca="1">IF(OFFSET('Calc Canada'!$A$1,0,MATCH(W$1,'Calc Canada'!$1:$1,0)-1,300)="","",OFFSET('Calc Canada'!$A$1,0,MATCH(W$1,'Calc Canada'!$1:$1,0)-1,300))</f>
        <v>#N/A</v>
      </c>
      <c r="AB72" s="5" t="e">
        <f ca="1">IF(OFFSET('Calc Canada'!$A$1,0,MATCH(X$1,'Calc Canada'!$1:$1,0)-1,300)="","",OFFSET('Calc Canada'!$A$1,0,MATCH(X$1,'Calc Canada'!$1:$1,0)-1,300))</f>
        <v>#N/A</v>
      </c>
      <c r="AC72" t="e">
        <f t="shared" ca="1" si="9"/>
        <v>#N/A</v>
      </c>
      <c r="AD72" t="e">
        <f t="shared" ca="1" si="10"/>
        <v>#N/A</v>
      </c>
    </row>
    <row r="73" spans="1:30" x14ac:dyDescent="0.25">
      <c r="A73" s="4">
        <v>42024</v>
      </c>
      <c r="B73">
        <v>0.84499999999999997</v>
      </c>
      <c r="C73" s="5">
        <v>0.85499999999999998</v>
      </c>
      <c r="D73">
        <v>1.046</v>
      </c>
      <c r="E73">
        <v>1.169</v>
      </c>
      <c r="F73">
        <v>1.4849999999999999</v>
      </c>
      <c r="G73">
        <v>2.052</v>
      </c>
      <c r="H73">
        <f t="shared" ca="1" si="8"/>
        <v>0.58950617283950624</v>
      </c>
      <c r="I73">
        <f t="shared" ca="1" si="8"/>
        <v>0.29843750000000013</v>
      </c>
      <c r="J73">
        <f t="shared" ca="1" si="8"/>
        <v>0.1582435791217896</v>
      </c>
      <c r="K73">
        <f t="shared" ca="1" si="8"/>
        <v>0.19218750000000004</v>
      </c>
      <c r="L73">
        <f t="shared" ca="1" si="8"/>
        <v>0.10190555095277547</v>
      </c>
      <c r="M73">
        <f t="shared" ca="1" si="8"/>
        <v>0.19523809523809527</v>
      </c>
      <c r="N73">
        <f t="shared" ca="1" si="8"/>
        <v>0.10275689223057644</v>
      </c>
      <c r="O73">
        <f t="shared" ca="1" si="8"/>
        <v>0.26180613090306531</v>
      </c>
      <c r="P73">
        <f t="shared" ca="1" si="8"/>
        <v>0.26399331662489545</v>
      </c>
      <c r="Q73">
        <f t="shared" ca="1" si="8"/>
        <v>0.31411530815109329</v>
      </c>
      <c r="R73">
        <f t="shared" ca="1" si="8"/>
        <v>0.52195526097763034</v>
      </c>
      <c r="S73">
        <f t="shared" ca="1" si="8"/>
        <v>0.3637116818558408</v>
      </c>
      <c r="T73">
        <f t="shared" ca="1" si="8"/>
        <v>0.36675020885547188</v>
      </c>
      <c r="V73" s="4">
        <f t="shared" si="5"/>
        <v>42024</v>
      </c>
      <c r="W73" s="5">
        <f t="shared" ca="1" si="4"/>
        <v>0.52195526097763034</v>
      </c>
      <c r="Z73" s="4" t="str">
        <f ca="1">IF(OFFSET('Calc Canada'!$A$1,0,0,300)="","",OFFSET('Calc Canada'!$A$1,0,0,300))</f>
        <v/>
      </c>
      <c r="AA73" s="5" t="e">
        <f ca="1">IF(OFFSET('Calc Canada'!$A$1,0,MATCH(W$1,'Calc Canada'!$1:$1,0)-1,300)="","",OFFSET('Calc Canada'!$A$1,0,MATCH(W$1,'Calc Canada'!$1:$1,0)-1,300))</f>
        <v>#N/A</v>
      </c>
      <c r="AB73" s="5" t="e">
        <f ca="1">IF(OFFSET('Calc Canada'!$A$1,0,MATCH(X$1,'Calc Canada'!$1:$1,0)-1,300)="","",OFFSET('Calc Canada'!$A$1,0,MATCH(X$1,'Calc Canada'!$1:$1,0)-1,300))</f>
        <v>#N/A</v>
      </c>
      <c r="AC73" t="e">
        <f t="shared" ca="1" si="9"/>
        <v>#N/A</v>
      </c>
      <c r="AD73" t="e">
        <f t="shared" ca="1" si="10"/>
        <v>#N/A</v>
      </c>
    </row>
    <row r="74" spans="1:30" x14ac:dyDescent="0.25">
      <c r="A74" s="4">
        <v>42023</v>
      </c>
      <c r="B74">
        <v>0.85599999999999998</v>
      </c>
      <c r="C74" s="5">
        <v>0.871</v>
      </c>
      <c r="D74">
        <v>1.075</v>
      </c>
      <c r="E74">
        <v>1.1990000000000001</v>
      </c>
      <c r="F74">
        <v>1.514</v>
      </c>
      <c r="G74">
        <v>2.0819999999999999</v>
      </c>
      <c r="H74">
        <f t="shared" ca="1" si="8"/>
        <v>0.59475218658892104</v>
      </c>
      <c r="I74">
        <f t="shared" ca="1" si="8"/>
        <v>0.31003039513677805</v>
      </c>
      <c r="J74">
        <f t="shared" ca="1" si="8"/>
        <v>0.16639477977161499</v>
      </c>
      <c r="K74">
        <f t="shared" ca="1" si="8"/>
        <v>0.18844984802431627</v>
      </c>
      <c r="L74">
        <f t="shared" ca="1" si="8"/>
        <v>0.10114192495921706</v>
      </c>
      <c r="M74">
        <f t="shared" ca="1" si="8"/>
        <v>0.19284603421461913</v>
      </c>
      <c r="N74">
        <f t="shared" ca="1" si="8"/>
        <v>0.10239471511147823</v>
      </c>
      <c r="O74">
        <f t="shared" ca="1" si="8"/>
        <v>0.25693311582381723</v>
      </c>
      <c r="P74">
        <f t="shared" ca="1" si="8"/>
        <v>0.26011560693641617</v>
      </c>
      <c r="Q74">
        <f t="shared" ca="1" si="8"/>
        <v>0.3128103277060576</v>
      </c>
      <c r="R74">
        <f t="shared" ca="1" si="8"/>
        <v>0.5244698205546493</v>
      </c>
      <c r="S74">
        <f t="shared" ca="1" si="8"/>
        <v>0.35807504078303432</v>
      </c>
      <c r="T74">
        <f t="shared" ca="1" si="8"/>
        <v>0.36251032204789441</v>
      </c>
      <c r="V74" s="4">
        <f t="shared" si="5"/>
        <v>42023</v>
      </c>
      <c r="W74" s="5">
        <f t="shared" ca="1" si="4"/>
        <v>0.5244698205546493</v>
      </c>
      <c r="Z74" s="4" t="str">
        <f ca="1">IF(OFFSET('Calc Canada'!$A$1,0,0,300)="","",OFFSET('Calc Canada'!$A$1,0,0,300))</f>
        <v/>
      </c>
      <c r="AA74" s="5" t="e">
        <f ca="1">IF(OFFSET('Calc Canada'!$A$1,0,MATCH(W$1,'Calc Canada'!$1:$1,0)-1,300)="","",OFFSET('Calc Canada'!$A$1,0,MATCH(W$1,'Calc Canada'!$1:$1,0)-1,300))</f>
        <v>#N/A</v>
      </c>
      <c r="AB74" s="5" t="e">
        <f ca="1">IF(OFFSET('Calc Canada'!$A$1,0,MATCH(X$1,'Calc Canada'!$1:$1,0)-1,300)="","",OFFSET('Calc Canada'!$A$1,0,MATCH(X$1,'Calc Canada'!$1:$1,0)-1,300))</f>
        <v>#N/A</v>
      </c>
      <c r="AC74" t="e">
        <f t="shared" ca="1" si="9"/>
        <v>#N/A</v>
      </c>
      <c r="AD74" t="e">
        <f t="shared" ca="1" si="10"/>
        <v>#N/A</v>
      </c>
    </row>
    <row r="75" spans="1:30" x14ac:dyDescent="0.25">
      <c r="A75" s="4">
        <v>42020</v>
      </c>
      <c r="B75">
        <v>0.872</v>
      </c>
      <c r="C75" s="5">
        <v>0.89100000000000001</v>
      </c>
      <c r="D75">
        <v>1.0940000000000001</v>
      </c>
      <c r="E75">
        <v>1.216</v>
      </c>
      <c r="F75">
        <v>1.534</v>
      </c>
      <c r="G75">
        <v>2.1059999999999999</v>
      </c>
      <c r="H75">
        <f t="shared" ca="1" si="8"/>
        <v>0.59011627906976771</v>
      </c>
      <c r="I75">
        <f t="shared" ca="1" si="8"/>
        <v>0.30664652567975842</v>
      </c>
      <c r="J75">
        <f t="shared" ca="1" si="8"/>
        <v>0.16450567260940038</v>
      </c>
      <c r="K75">
        <f t="shared" ca="1" si="8"/>
        <v>0.18429003021148019</v>
      </c>
      <c r="L75">
        <f t="shared" ca="1" si="8"/>
        <v>9.8865478119935082E-2</v>
      </c>
      <c r="M75">
        <f t="shared" ca="1" si="8"/>
        <v>0.1897356143079314</v>
      </c>
      <c r="N75">
        <f t="shared" ca="1" si="8"/>
        <v>0.10041152263374477</v>
      </c>
      <c r="O75">
        <f t="shared" ca="1" si="8"/>
        <v>0.25769854132901138</v>
      </c>
      <c r="P75">
        <f t="shared" ca="1" si="8"/>
        <v>0.26172839506172846</v>
      </c>
      <c r="Q75">
        <f t="shared" ca="1" si="8"/>
        <v>0.31422924901185784</v>
      </c>
      <c r="R75">
        <f t="shared" ca="1" si="8"/>
        <v>0.52106969205834686</v>
      </c>
      <c r="S75">
        <f t="shared" ca="1" si="8"/>
        <v>0.3565640194489465</v>
      </c>
      <c r="T75">
        <f t="shared" ca="1" si="8"/>
        <v>0.36213991769547327</v>
      </c>
      <c r="V75" s="4">
        <f t="shared" si="5"/>
        <v>42020</v>
      </c>
      <c r="W75" s="5">
        <f t="shared" ca="1" si="4"/>
        <v>0.52106969205834686</v>
      </c>
      <c r="Z75" s="4" t="str">
        <f ca="1">IF(OFFSET('Calc Canada'!$A$1,0,0,300)="","",OFFSET('Calc Canada'!$A$1,0,0,300))</f>
        <v/>
      </c>
      <c r="AA75" s="5" t="e">
        <f ca="1">IF(OFFSET('Calc Canada'!$A$1,0,MATCH(W$1,'Calc Canada'!$1:$1,0)-1,300)="","",OFFSET('Calc Canada'!$A$1,0,MATCH(W$1,'Calc Canada'!$1:$1,0)-1,300))</f>
        <v>#N/A</v>
      </c>
      <c r="AB75" s="5" t="e">
        <f ca="1">IF(OFFSET('Calc Canada'!$A$1,0,MATCH(X$1,'Calc Canada'!$1:$1,0)-1,300)="","",OFFSET('Calc Canada'!$A$1,0,MATCH(X$1,'Calc Canada'!$1:$1,0)-1,300))</f>
        <v>#N/A</v>
      </c>
      <c r="AC75" t="e">
        <f t="shared" ca="1" si="9"/>
        <v>#N/A</v>
      </c>
      <c r="AD75" t="e">
        <f t="shared" ca="1" si="10"/>
        <v>#N/A</v>
      </c>
    </row>
    <row r="76" spans="1:30" x14ac:dyDescent="0.25">
      <c r="A76" s="4">
        <v>42019</v>
      </c>
      <c r="B76">
        <v>0.81100000000000005</v>
      </c>
      <c r="C76" s="5">
        <v>0.83699999999999997</v>
      </c>
      <c r="D76">
        <v>1.008</v>
      </c>
      <c r="E76">
        <v>1.131</v>
      </c>
      <c r="F76">
        <v>1.4610000000000001</v>
      </c>
      <c r="G76">
        <v>2.0449999999999999</v>
      </c>
      <c r="H76">
        <f t="shared" ca="1" si="8"/>
        <v>0.53437500000000016</v>
      </c>
      <c r="I76">
        <f t="shared" ca="1" si="8"/>
        <v>0.26307692307692315</v>
      </c>
      <c r="J76">
        <f t="shared" ca="1" si="8"/>
        <v>0.13857374392220426</v>
      </c>
      <c r="K76">
        <f t="shared" ca="1" si="8"/>
        <v>0.18923076923076923</v>
      </c>
      <c r="L76">
        <f t="shared" ca="1" si="8"/>
        <v>9.9675850891410053E-2</v>
      </c>
      <c r="M76">
        <f t="shared" ca="1" si="8"/>
        <v>0.19711538461538458</v>
      </c>
      <c r="N76">
        <f t="shared" ca="1" si="8"/>
        <v>0.10182119205298014</v>
      </c>
      <c r="O76">
        <f t="shared" ca="1" si="8"/>
        <v>0.26742301458670997</v>
      </c>
      <c r="P76">
        <f t="shared" ca="1" si="8"/>
        <v>0.27317880794701993</v>
      </c>
      <c r="Q76">
        <f t="shared" ca="1" si="8"/>
        <v>0.31822565091610422</v>
      </c>
      <c r="R76">
        <f t="shared" ca="1" si="8"/>
        <v>0.50567260940032421</v>
      </c>
      <c r="S76">
        <f t="shared" ca="1" si="8"/>
        <v>0.36709886547811998</v>
      </c>
      <c r="T76">
        <f t="shared" ca="1" si="8"/>
        <v>0.37500000000000006</v>
      </c>
      <c r="V76" s="4">
        <f t="shared" si="5"/>
        <v>42019</v>
      </c>
      <c r="W76" s="5">
        <f t="shared" ref="W76:W139" ca="1" si="11">OFFSET($H$12,0,MATCH(selectCanada,$H$12:$T$12,0)-1,300,1)</f>
        <v>0.50567260940032421</v>
      </c>
      <c r="Z76" s="4" t="str">
        <f ca="1">IF(OFFSET('Calc Canada'!$A$1,0,0,300)="","",OFFSET('Calc Canada'!$A$1,0,0,300))</f>
        <v/>
      </c>
      <c r="AA76" s="5" t="e">
        <f ca="1">IF(OFFSET('Calc Canada'!$A$1,0,MATCH(W$1,'Calc Canada'!$1:$1,0)-1,300)="","",OFFSET('Calc Canada'!$A$1,0,MATCH(W$1,'Calc Canada'!$1:$1,0)-1,300))</f>
        <v>#N/A</v>
      </c>
      <c r="AB76" s="5" t="e">
        <f ca="1">IF(OFFSET('Calc Canada'!$A$1,0,MATCH(X$1,'Calc Canada'!$1:$1,0)-1,300)="","",OFFSET('Calc Canada'!$A$1,0,MATCH(X$1,'Calc Canada'!$1:$1,0)-1,300))</f>
        <v>#N/A</v>
      </c>
      <c r="AC76" t="e">
        <f t="shared" ca="1" si="9"/>
        <v>#N/A</v>
      </c>
      <c r="AD76" t="e">
        <f t="shared" ca="1" si="10"/>
        <v>#N/A</v>
      </c>
    </row>
    <row r="77" spans="1:30" x14ac:dyDescent="0.25">
      <c r="A77" s="4">
        <v>42018</v>
      </c>
      <c r="B77">
        <v>0.88500000000000001</v>
      </c>
      <c r="C77" s="5">
        <v>0.92</v>
      </c>
      <c r="D77">
        <v>1.1240000000000001</v>
      </c>
      <c r="E77">
        <v>1.2469999999999999</v>
      </c>
      <c r="F77">
        <v>1.5739999999999998</v>
      </c>
      <c r="G77">
        <v>2.1379999999999999</v>
      </c>
      <c r="H77">
        <f t="shared" ref="H77:T92" ca="1" si="12">IF(ISERROR(ABS(OFFSET($A$11,ROW()-11,MATCH(LEFT(H$9,2),$A$11:$G$11,0)-1)-OFFSET($A$11,ROW()-11,MATCH(RIGHT(H$9,2),$A$11:$G$11,0)-1))/ABS(OFFSET($A$11,ROW()-11,MATCH(LEFT(H$10,2),$A$11:$G$11,0)-1)-OFFSET($A$11,ROW()-11,MATCH(RIGHT(H$10,2),$A$11:$G$11,0)-1))),"",ABS(OFFSET($A$11,ROW()-11,MATCH(LEFT(H$9,2),$A$11:$G$11,0)-1)-OFFSET($A$11,ROW()-11,MATCH(RIGHT(H$9,2),$A$11:$G$11,0)-1))/ABS(OFFSET($A$11,ROW()-11,MATCH(LEFT(H$10,2),$A$11:$G$11,0)-1)-OFFSET($A$11,ROW()-11,MATCH(RIGHT(H$10,2),$A$11:$G$11,0)-1)))</f>
        <v>0.56353591160221028</v>
      </c>
      <c r="I77">
        <f t="shared" ca="1" si="12"/>
        <v>0.29608127721335287</v>
      </c>
      <c r="J77">
        <f t="shared" ca="1" si="12"/>
        <v>0.16280925778132488</v>
      </c>
      <c r="K77">
        <f t="shared" ca="1" si="12"/>
        <v>0.17851959361393296</v>
      </c>
      <c r="L77">
        <f t="shared" ca="1" si="12"/>
        <v>9.816440542697509E-2</v>
      </c>
      <c r="M77">
        <f t="shared" ca="1" si="12"/>
        <v>0.18807339449541255</v>
      </c>
      <c r="N77">
        <f t="shared" ca="1" si="12"/>
        <v>0.10098522167487667</v>
      </c>
      <c r="O77">
        <f t="shared" ca="1" si="12"/>
        <v>0.26097366320830007</v>
      </c>
      <c r="P77">
        <f t="shared" ca="1" si="12"/>
        <v>0.26847290640394084</v>
      </c>
      <c r="Q77">
        <f t="shared" ca="1" si="12"/>
        <v>0.32248520710059175</v>
      </c>
      <c r="R77">
        <f t="shared" ca="1" si="12"/>
        <v>0.52194732641660002</v>
      </c>
      <c r="S77">
        <f t="shared" ca="1" si="12"/>
        <v>0.35913806863527514</v>
      </c>
      <c r="T77">
        <f t="shared" ca="1" si="12"/>
        <v>0.3694581280788175</v>
      </c>
      <c r="V77" s="4">
        <f t="shared" si="5"/>
        <v>42018</v>
      </c>
      <c r="W77" s="5">
        <f t="shared" ca="1" si="11"/>
        <v>0.52194732641660002</v>
      </c>
      <c r="Z77" s="4" t="str">
        <f ca="1">IF(OFFSET('Calc Canada'!$A$1,0,0,300)="","",OFFSET('Calc Canada'!$A$1,0,0,300))</f>
        <v/>
      </c>
      <c r="AA77" s="5" t="e">
        <f ca="1">IF(OFFSET('Calc Canada'!$A$1,0,MATCH(W$1,'Calc Canada'!$1:$1,0)-1,300)="","",OFFSET('Calc Canada'!$A$1,0,MATCH(W$1,'Calc Canada'!$1:$1,0)-1,300))</f>
        <v>#N/A</v>
      </c>
      <c r="AB77" s="5" t="e">
        <f ca="1">IF(OFFSET('Calc Canada'!$A$1,0,MATCH(X$1,'Calc Canada'!$1:$1,0)-1,300)="","",OFFSET('Calc Canada'!$A$1,0,MATCH(X$1,'Calc Canada'!$1:$1,0)-1,300))</f>
        <v>#N/A</v>
      </c>
      <c r="AC77" t="e">
        <f t="shared" ca="1" si="9"/>
        <v>#N/A</v>
      </c>
      <c r="AD77" t="e">
        <f t="shared" ca="1" si="10"/>
        <v>#N/A</v>
      </c>
    </row>
    <row r="78" spans="1:30" x14ac:dyDescent="0.25">
      <c r="A78" s="4">
        <v>42017</v>
      </c>
      <c r="B78">
        <v>0.91500000000000004</v>
      </c>
      <c r="C78" s="5">
        <v>0.95199999999999996</v>
      </c>
      <c r="D78">
        <v>1.151</v>
      </c>
      <c r="E78">
        <v>1.276</v>
      </c>
      <c r="F78">
        <v>1.5979999999999999</v>
      </c>
      <c r="G78">
        <v>2.1629999999999998</v>
      </c>
      <c r="H78">
        <f t="shared" ca="1" si="12"/>
        <v>0.55124653739612206</v>
      </c>
      <c r="I78">
        <f t="shared" ca="1" si="12"/>
        <v>0.29136163982430469</v>
      </c>
      <c r="J78">
        <f t="shared" ca="1" si="12"/>
        <v>0.15945512820512828</v>
      </c>
      <c r="K78">
        <f t="shared" ca="1" si="12"/>
        <v>0.18301610541727675</v>
      </c>
      <c r="L78">
        <f t="shared" ca="1" si="12"/>
        <v>0.10016025641025643</v>
      </c>
      <c r="M78">
        <f t="shared" ca="1" si="12"/>
        <v>0.19349845201238394</v>
      </c>
      <c r="N78">
        <f t="shared" ca="1" si="12"/>
        <v>0.1032204789430223</v>
      </c>
      <c r="O78">
        <f t="shared" ca="1" si="12"/>
        <v>0.25801282051282043</v>
      </c>
      <c r="P78">
        <f t="shared" ca="1" si="12"/>
        <v>0.26589595375722536</v>
      </c>
      <c r="Q78">
        <f t="shared" ca="1" si="12"/>
        <v>0.31818181818181807</v>
      </c>
      <c r="R78">
        <f t="shared" ca="1" si="12"/>
        <v>0.51762820512820518</v>
      </c>
      <c r="S78">
        <f t="shared" ca="1" si="12"/>
        <v>0.35817307692307687</v>
      </c>
      <c r="T78">
        <f t="shared" ca="1" si="12"/>
        <v>0.36911643270024763</v>
      </c>
      <c r="V78" s="4">
        <f t="shared" ref="V78:V141" si="13">IF(A78&lt;&gt;"",A78,"")</f>
        <v>42017</v>
      </c>
      <c r="W78" s="5">
        <f t="shared" ca="1" si="11"/>
        <v>0.51762820512820518</v>
      </c>
      <c r="Z78" s="4" t="str">
        <f ca="1">IF(OFFSET('Calc Canada'!$A$1,0,0,300)="","",OFFSET('Calc Canada'!$A$1,0,0,300))</f>
        <v/>
      </c>
      <c r="AA78" s="5" t="e">
        <f ca="1">IF(OFFSET('Calc Canada'!$A$1,0,MATCH(W$1,'Calc Canada'!$1:$1,0)-1,300)="","",OFFSET('Calc Canada'!$A$1,0,MATCH(W$1,'Calc Canada'!$1:$1,0)-1,300))</f>
        <v>#N/A</v>
      </c>
      <c r="AB78" s="5" t="e">
        <f ca="1">IF(OFFSET('Calc Canada'!$A$1,0,MATCH(X$1,'Calc Canada'!$1:$1,0)-1,300)="","",OFFSET('Calc Canada'!$A$1,0,MATCH(X$1,'Calc Canada'!$1:$1,0)-1,300))</f>
        <v>#N/A</v>
      </c>
      <c r="AC78" t="e">
        <f t="shared" ca="1" si="9"/>
        <v>#N/A</v>
      </c>
      <c r="AD78" t="e">
        <f t="shared" ca="1" si="10"/>
        <v>#N/A</v>
      </c>
    </row>
    <row r="79" spans="1:30" x14ac:dyDescent="0.25">
      <c r="A79" s="4">
        <v>42016</v>
      </c>
      <c r="B79">
        <v>0.92</v>
      </c>
      <c r="C79" s="5">
        <v>0.95499999999999996</v>
      </c>
      <c r="D79">
        <v>1.1639999999999999</v>
      </c>
      <c r="E79">
        <v>1.286</v>
      </c>
      <c r="F79">
        <v>1.6040000000000001</v>
      </c>
      <c r="G79">
        <v>2.17</v>
      </c>
      <c r="H79">
        <f t="shared" ca="1" si="12"/>
        <v>0.57103825136612019</v>
      </c>
      <c r="I79">
        <f t="shared" ca="1" si="12"/>
        <v>0.30555555555555547</v>
      </c>
      <c r="J79">
        <f t="shared" ca="1" si="12"/>
        <v>0.16719999999999996</v>
      </c>
      <c r="K79">
        <f t="shared" ca="1" si="12"/>
        <v>0.17836257309941536</v>
      </c>
      <c r="L79">
        <f t="shared" ca="1" si="12"/>
        <v>9.7600000000000089E-2</v>
      </c>
      <c r="M79">
        <f t="shared" ca="1" si="12"/>
        <v>0.18798151001540844</v>
      </c>
      <c r="N79">
        <f t="shared" ca="1" si="12"/>
        <v>0.10041152263374496</v>
      </c>
      <c r="O79">
        <f t="shared" ca="1" si="12"/>
        <v>0.25440000000000007</v>
      </c>
      <c r="P79">
        <f t="shared" ca="1" si="12"/>
        <v>0.26172839506172846</v>
      </c>
      <c r="Q79">
        <f t="shared" ca="1" si="12"/>
        <v>0.31610337972167002</v>
      </c>
      <c r="R79">
        <f t="shared" ca="1" si="12"/>
        <v>0.51920000000000011</v>
      </c>
      <c r="S79">
        <f t="shared" ca="1" si="12"/>
        <v>0.35200000000000015</v>
      </c>
      <c r="T79">
        <f t="shared" ca="1" si="12"/>
        <v>0.36213991769547343</v>
      </c>
      <c r="V79" s="4">
        <f t="shared" si="13"/>
        <v>42016</v>
      </c>
      <c r="W79" s="5">
        <f t="shared" ca="1" si="11"/>
        <v>0.51920000000000011</v>
      </c>
      <c r="Z79" s="4" t="str">
        <f ca="1">IF(OFFSET('Calc Canada'!$A$1,0,0,300)="","",OFFSET('Calc Canada'!$A$1,0,0,300))</f>
        <v/>
      </c>
      <c r="AA79" s="5" t="e">
        <f ca="1">IF(OFFSET('Calc Canada'!$A$1,0,MATCH(W$1,'Calc Canada'!$1:$1,0)-1,300)="","",OFFSET('Calc Canada'!$A$1,0,MATCH(W$1,'Calc Canada'!$1:$1,0)-1,300))</f>
        <v>#N/A</v>
      </c>
      <c r="AB79" s="5" t="e">
        <f ca="1">IF(OFFSET('Calc Canada'!$A$1,0,MATCH(X$1,'Calc Canada'!$1:$1,0)-1,300)="","",OFFSET('Calc Canada'!$A$1,0,MATCH(X$1,'Calc Canada'!$1:$1,0)-1,300))</f>
        <v>#N/A</v>
      </c>
      <c r="AC79" t="e">
        <f t="shared" ca="1" si="9"/>
        <v>#N/A</v>
      </c>
      <c r="AD79" t="e">
        <f t="shared" ca="1" si="10"/>
        <v>#N/A</v>
      </c>
    </row>
    <row r="80" spans="1:30" x14ac:dyDescent="0.25">
      <c r="A80" s="4">
        <v>42013</v>
      </c>
      <c r="B80">
        <v>0.94599999999999995</v>
      </c>
      <c r="C80" s="5">
        <v>0.98899999999999999</v>
      </c>
      <c r="D80">
        <v>1.212</v>
      </c>
      <c r="E80">
        <v>1.331</v>
      </c>
      <c r="F80">
        <v>1.6520000000000001</v>
      </c>
      <c r="G80">
        <v>2.2189999999999999</v>
      </c>
      <c r="H80">
        <f t="shared" ca="1" si="12"/>
        <v>0.57922077922077919</v>
      </c>
      <c r="I80">
        <f t="shared" ca="1" si="12"/>
        <v>0.31586402266288938</v>
      </c>
      <c r="J80">
        <f t="shared" ca="1" si="12"/>
        <v>0.17517674783974863</v>
      </c>
      <c r="K80">
        <f t="shared" ca="1" si="12"/>
        <v>0.16855524079320108</v>
      </c>
      <c r="L80">
        <f t="shared" ca="1" si="12"/>
        <v>9.3479968578161821E-2</v>
      </c>
      <c r="M80">
        <f t="shared" ca="1" si="12"/>
        <v>0.17948717948717943</v>
      </c>
      <c r="N80">
        <f t="shared" ca="1" si="12"/>
        <v>9.674796747967479E-2</v>
      </c>
      <c r="O80">
        <f t="shared" ca="1" si="12"/>
        <v>0.2521602513747056</v>
      </c>
      <c r="P80">
        <f t="shared" ca="1" si="12"/>
        <v>0.26097560975609768</v>
      </c>
      <c r="Q80">
        <f t="shared" ca="1" si="12"/>
        <v>0.31876861966236364</v>
      </c>
      <c r="R80">
        <f t="shared" ca="1" si="12"/>
        <v>0.52081696779261599</v>
      </c>
      <c r="S80">
        <f t="shared" ca="1" si="12"/>
        <v>0.34564021995286742</v>
      </c>
      <c r="T80">
        <f t="shared" ca="1" si="12"/>
        <v>0.35772357723577253</v>
      </c>
      <c r="V80" s="4">
        <f t="shared" si="13"/>
        <v>42013</v>
      </c>
      <c r="W80" s="5">
        <f t="shared" ca="1" si="11"/>
        <v>0.52081696779261599</v>
      </c>
      <c r="Z80" s="4" t="str">
        <f ca="1">IF(OFFSET('Calc Canada'!$A$1,0,0,300)="","",OFFSET('Calc Canada'!$A$1,0,0,300))</f>
        <v/>
      </c>
      <c r="AA80" s="5" t="e">
        <f ca="1">IF(OFFSET('Calc Canada'!$A$1,0,MATCH(W$1,'Calc Canada'!$1:$1,0)-1,300)="","",OFFSET('Calc Canada'!$A$1,0,MATCH(W$1,'Calc Canada'!$1:$1,0)-1,300))</f>
        <v>#N/A</v>
      </c>
      <c r="AB80" s="5" t="e">
        <f ca="1">IF(OFFSET('Calc Canada'!$A$1,0,MATCH(X$1,'Calc Canada'!$1:$1,0)-1,300)="","",OFFSET('Calc Canada'!$A$1,0,MATCH(X$1,'Calc Canada'!$1:$1,0)-1,300))</f>
        <v>#N/A</v>
      </c>
      <c r="AC80" t="e">
        <f t="shared" ca="1" si="9"/>
        <v>#N/A</v>
      </c>
      <c r="AD80" t="e">
        <f t="shared" ca="1" si="10"/>
        <v>#N/A</v>
      </c>
    </row>
    <row r="81" spans="1:30" x14ac:dyDescent="0.25">
      <c r="A81" s="4">
        <v>42012</v>
      </c>
      <c r="B81">
        <v>0.97799999999999998</v>
      </c>
      <c r="C81" s="5">
        <v>1.022</v>
      </c>
      <c r="D81">
        <v>1.262</v>
      </c>
      <c r="E81">
        <v>1.3860000000000001</v>
      </c>
      <c r="F81">
        <v>1.7050000000000001</v>
      </c>
      <c r="G81">
        <v>2.2720000000000002</v>
      </c>
      <c r="H81">
        <f t="shared" ca="1" si="12"/>
        <v>0.58823529411764686</v>
      </c>
      <c r="I81">
        <f t="shared" ca="1" si="12"/>
        <v>0.3301237964236588</v>
      </c>
      <c r="J81">
        <f t="shared" ca="1" si="12"/>
        <v>0.18547140649149918</v>
      </c>
      <c r="K81">
        <f t="shared" ca="1" si="12"/>
        <v>0.17056396148555722</v>
      </c>
      <c r="L81">
        <f t="shared" ca="1" si="12"/>
        <v>9.5826893353941331E-2</v>
      </c>
      <c r="M81">
        <f t="shared" ca="1" si="12"/>
        <v>0.18155197657393865</v>
      </c>
      <c r="N81">
        <f t="shared" ca="1" si="12"/>
        <v>9.9200000000000066E-2</v>
      </c>
      <c r="O81">
        <f t="shared" ca="1" si="12"/>
        <v>0.2465224111282843</v>
      </c>
      <c r="P81">
        <f t="shared" ca="1" si="12"/>
        <v>0.25519999999999993</v>
      </c>
      <c r="Q81">
        <f t="shared" ca="1" si="12"/>
        <v>0.31584158415841573</v>
      </c>
      <c r="R81">
        <f t="shared" ca="1" si="12"/>
        <v>0.52782071097372485</v>
      </c>
      <c r="S81">
        <f t="shared" ca="1" si="12"/>
        <v>0.34234930448222561</v>
      </c>
      <c r="T81">
        <f t="shared" ca="1" si="12"/>
        <v>0.35439999999999999</v>
      </c>
      <c r="V81" s="4">
        <f t="shared" si="13"/>
        <v>42012</v>
      </c>
      <c r="W81" s="5">
        <f t="shared" ca="1" si="11"/>
        <v>0.52782071097372485</v>
      </c>
      <c r="Z81" s="4" t="str">
        <f ca="1">IF(OFFSET('Calc Canada'!$A$1,0,0,300)="","",OFFSET('Calc Canada'!$A$1,0,0,300))</f>
        <v/>
      </c>
      <c r="AA81" s="5" t="e">
        <f ca="1">IF(OFFSET('Calc Canada'!$A$1,0,MATCH(W$1,'Calc Canada'!$1:$1,0)-1,300)="","",OFFSET('Calc Canada'!$A$1,0,MATCH(W$1,'Calc Canada'!$1:$1,0)-1,300))</f>
        <v>#N/A</v>
      </c>
      <c r="AB81" s="5" t="e">
        <f ca="1">IF(OFFSET('Calc Canada'!$A$1,0,MATCH(X$1,'Calc Canada'!$1:$1,0)-1,300)="","",OFFSET('Calc Canada'!$A$1,0,MATCH(X$1,'Calc Canada'!$1:$1,0)-1,300))</f>
        <v>#N/A</v>
      </c>
      <c r="AC81" t="e">
        <f t="shared" ca="1" si="9"/>
        <v>#N/A</v>
      </c>
      <c r="AD81" t="e">
        <f t="shared" ca="1" si="10"/>
        <v>#N/A</v>
      </c>
    </row>
    <row r="82" spans="1:30" x14ac:dyDescent="0.25">
      <c r="A82" s="4">
        <v>42011</v>
      </c>
      <c r="B82">
        <v>0.96899999999999997</v>
      </c>
      <c r="C82" s="5">
        <v>1.006</v>
      </c>
      <c r="D82">
        <v>1.2270000000000001</v>
      </c>
      <c r="E82">
        <v>1.3460000000000001</v>
      </c>
      <c r="F82">
        <v>1.6539999999999999</v>
      </c>
      <c r="G82">
        <v>2.214</v>
      </c>
      <c r="H82">
        <f t="shared" ca="1" si="12"/>
        <v>0.5862068965517242</v>
      </c>
      <c r="I82">
        <f t="shared" ca="1" si="12"/>
        <v>0.32262773722627752</v>
      </c>
      <c r="J82">
        <f t="shared" ca="1" si="12"/>
        <v>0.17751004016064262</v>
      </c>
      <c r="K82">
        <f t="shared" ca="1" si="12"/>
        <v>0.17372262773722627</v>
      </c>
      <c r="L82">
        <f t="shared" ca="1" si="12"/>
        <v>9.5582329317269066E-2</v>
      </c>
      <c r="M82">
        <f t="shared" ca="1" si="12"/>
        <v>0.18364197530864199</v>
      </c>
      <c r="N82">
        <f t="shared" ca="1" si="12"/>
        <v>9.8509933774834441E-2</v>
      </c>
      <c r="O82">
        <f t="shared" ca="1" si="12"/>
        <v>0.24738955823293157</v>
      </c>
      <c r="P82">
        <f t="shared" ca="1" si="12"/>
        <v>0.2549668874172184</v>
      </c>
      <c r="Q82">
        <f t="shared" ca="1" si="12"/>
        <v>0.31205673758865232</v>
      </c>
      <c r="R82">
        <f t="shared" ca="1" si="12"/>
        <v>0.52048192771084323</v>
      </c>
      <c r="S82">
        <f t="shared" ca="1" si="12"/>
        <v>0.34297188755020064</v>
      </c>
      <c r="T82">
        <f t="shared" ca="1" si="12"/>
        <v>0.35347682119205287</v>
      </c>
      <c r="V82" s="4">
        <f t="shared" si="13"/>
        <v>42011</v>
      </c>
      <c r="W82" s="5">
        <f t="shared" ca="1" si="11"/>
        <v>0.52048192771084323</v>
      </c>
      <c r="Z82" s="4" t="str">
        <f ca="1">IF(OFFSET('Calc Canada'!$A$1,0,0,300)="","",OFFSET('Calc Canada'!$A$1,0,0,300))</f>
        <v/>
      </c>
      <c r="AA82" s="5" t="e">
        <f ca="1">IF(OFFSET('Calc Canada'!$A$1,0,MATCH(W$1,'Calc Canada'!$1:$1,0)-1,300)="","",OFFSET('Calc Canada'!$A$1,0,MATCH(W$1,'Calc Canada'!$1:$1,0)-1,300))</f>
        <v>#N/A</v>
      </c>
      <c r="AB82" s="5" t="e">
        <f ca="1">IF(OFFSET('Calc Canada'!$A$1,0,MATCH(X$1,'Calc Canada'!$1:$1,0)-1,300)="","",OFFSET('Calc Canada'!$A$1,0,MATCH(X$1,'Calc Canada'!$1:$1,0)-1,300))</f>
        <v>#N/A</v>
      </c>
      <c r="AC82" t="e">
        <f t="shared" ca="1" si="9"/>
        <v>#N/A</v>
      </c>
      <c r="AD82" t="e">
        <f t="shared" ca="1" si="10"/>
        <v>#N/A</v>
      </c>
    </row>
    <row r="83" spans="1:30" x14ac:dyDescent="0.25">
      <c r="A83" s="4">
        <v>42010</v>
      </c>
      <c r="B83">
        <v>0.95399999999999996</v>
      </c>
      <c r="C83" s="5">
        <v>0.99099999999999999</v>
      </c>
      <c r="D83">
        <v>1.21</v>
      </c>
      <c r="E83">
        <v>1.329</v>
      </c>
      <c r="F83">
        <v>1.6339999999999999</v>
      </c>
      <c r="G83">
        <v>2.1989999999999998</v>
      </c>
      <c r="H83">
        <f t="shared" ca="1" si="12"/>
        <v>0.58399999999999996</v>
      </c>
      <c r="I83">
        <f t="shared" ca="1" si="12"/>
        <v>0.32205882352941173</v>
      </c>
      <c r="J83">
        <f t="shared" ca="1" si="12"/>
        <v>0.17590361445783131</v>
      </c>
      <c r="K83">
        <f t="shared" ca="1" si="12"/>
        <v>0.17500000000000002</v>
      </c>
      <c r="L83">
        <f t="shared" ca="1" si="12"/>
        <v>9.558232931726908E-2</v>
      </c>
      <c r="M83">
        <f t="shared" ca="1" si="12"/>
        <v>0.18506998444790049</v>
      </c>
      <c r="N83">
        <f t="shared" ca="1" si="12"/>
        <v>9.8509933774834454E-2</v>
      </c>
      <c r="O83">
        <f t="shared" ca="1" si="12"/>
        <v>0.24497991967871482</v>
      </c>
      <c r="P83">
        <f t="shared" ca="1" si="12"/>
        <v>0.25248344370860926</v>
      </c>
      <c r="Q83">
        <f t="shared" ca="1" si="12"/>
        <v>0.30839231547017187</v>
      </c>
      <c r="R83">
        <f t="shared" ca="1" si="12"/>
        <v>0.51646586345381518</v>
      </c>
      <c r="S83">
        <f t="shared" ca="1" si="12"/>
        <v>0.34056224899598392</v>
      </c>
      <c r="T83">
        <f t="shared" ca="1" si="12"/>
        <v>0.35099337748344372</v>
      </c>
      <c r="V83" s="4">
        <f t="shared" si="13"/>
        <v>42010</v>
      </c>
      <c r="W83" s="5">
        <f t="shared" ca="1" si="11"/>
        <v>0.51646586345381518</v>
      </c>
      <c r="Z83" s="4" t="str">
        <f ca="1">IF(OFFSET('Calc Canada'!$A$1,0,0,300)="","",OFFSET('Calc Canada'!$A$1,0,0,300))</f>
        <v/>
      </c>
      <c r="AA83" s="5" t="e">
        <f ca="1">IF(OFFSET('Calc Canada'!$A$1,0,MATCH(W$1,'Calc Canada'!$1:$1,0)-1,300)="","",OFFSET('Calc Canada'!$A$1,0,MATCH(W$1,'Calc Canada'!$1:$1,0)-1,300))</f>
        <v>#N/A</v>
      </c>
      <c r="AB83" s="5" t="e">
        <f ca="1">IF(OFFSET('Calc Canada'!$A$1,0,MATCH(X$1,'Calc Canada'!$1:$1,0)-1,300)="","",OFFSET('Calc Canada'!$A$1,0,MATCH(X$1,'Calc Canada'!$1:$1,0)-1,300))</f>
        <v>#N/A</v>
      </c>
      <c r="AC83" t="e">
        <f t="shared" ca="1" si="9"/>
        <v>#N/A</v>
      </c>
      <c r="AD83" t="e">
        <f t="shared" ca="1" si="10"/>
        <v>#N/A</v>
      </c>
    </row>
    <row r="84" spans="1:30" x14ac:dyDescent="0.25">
      <c r="A84" s="4">
        <v>42009</v>
      </c>
      <c r="B84">
        <v>0.97899999999999998</v>
      </c>
      <c r="C84" s="5">
        <v>1.0209999999999999</v>
      </c>
      <c r="D84">
        <v>1.264</v>
      </c>
      <c r="E84">
        <v>1.387</v>
      </c>
      <c r="F84">
        <v>1.6870000000000001</v>
      </c>
      <c r="G84">
        <v>2.2439999999999998</v>
      </c>
      <c r="H84">
        <f t="shared" ca="1" si="12"/>
        <v>0.59558823529411786</v>
      </c>
      <c r="I84">
        <f t="shared" ca="1" si="12"/>
        <v>0.34322033898305093</v>
      </c>
      <c r="J84">
        <f t="shared" ca="1" si="12"/>
        <v>0.19209486166007919</v>
      </c>
      <c r="K84">
        <f t="shared" ca="1" si="12"/>
        <v>0.17372881355932202</v>
      </c>
      <c r="L84">
        <f t="shared" ca="1" si="12"/>
        <v>9.723320158102769E-2</v>
      </c>
      <c r="M84">
        <f t="shared" ca="1" si="12"/>
        <v>0.18468468468468463</v>
      </c>
      <c r="N84">
        <f t="shared" ca="1" si="12"/>
        <v>0.10057236304170075</v>
      </c>
      <c r="O84">
        <f t="shared" ca="1" si="12"/>
        <v>0.23715415019762856</v>
      </c>
      <c r="P84">
        <f t="shared" ca="1" si="12"/>
        <v>0.24529844644317259</v>
      </c>
      <c r="Q84">
        <f t="shared" ca="1" si="12"/>
        <v>0.30612244897959195</v>
      </c>
      <c r="R84">
        <f t="shared" ca="1" si="12"/>
        <v>0.52648221343873547</v>
      </c>
      <c r="S84">
        <f t="shared" ca="1" si="12"/>
        <v>0.33438735177865625</v>
      </c>
      <c r="T84">
        <f t="shared" ca="1" si="12"/>
        <v>0.34587080948487331</v>
      </c>
      <c r="V84" s="4">
        <f t="shared" si="13"/>
        <v>42009</v>
      </c>
      <c r="W84" s="5">
        <f t="shared" ca="1" si="11"/>
        <v>0.52648221343873547</v>
      </c>
      <c r="Z84" s="4" t="str">
        <f ca="1">IF(OFFSET('Calc Canada'!$A$1,0,0,300)="","",OFFSET('Calc Canada'!$A$1,0,0,300))</f>
        <v/>
      </c>
      <c r="AA84" s="5" t="e">
        <f ca="1">IF(OFFSET('Calc Canada'!$A$1,0,MATCH(W$1,'Calc Canada'!$1:$1,0)-1,300)="","",OFFSET('Calc Canada'!$A$1,0,MATCH(W$1,'Calc Canada'!$1:$1,0)-1,300))</f>
        <v>#N/A</v>
      </c>
      <c r="AB84" s="5" t="e">
        <f ca="1">IF(OFFSET('Calc Canada'!$A$1,0,MATCH(X$1,'Calc Canada'!$1:$1,0)-1,300)="","",OFFSET('Calc Canada'!$A$1,0,MATCH(X$1,'Calc Canada'!$1:$1,0)-1,300))</f>
        <v>#N/A</v>
      </c>
      <c r="AC84" t="e">
        <f t="shared" ca="1" si="9"/>
        <v>#N/A</v>
      </c>
      <c r="AD84" t="e">
        <f t="shared" ca="1" si="10"/>
        <v>#N/A</v>
      </c>
    </row>
    <row r="85" spans="1:30" x14ac:dyDescent="0.25">
      <c r="A85" s="4">
        <v>42006</v>
      </c>
      <c r="B85">
        <v>0.999</v>
      </c>
      <c r="C85" s="5">
        <v>1.054</v>
      </c>
      <c r="D85">
        <v>1.31</v>
      </c>
      <c r="E85">
        <v>1.43</v>
      </c>
      <c r="F85">
        <v>1.742</v>
      </c>
      <c r="G85">
        <v>2.294</v>
      </c>
      <c r="H85">
        <f t="shared" ca="1" si="12"/>
        <v>0.5939675174013922</v>
      </c>
      <c r="I85">
        <f t="shared" ca="1" si="12"/>
        <v>0.34454912516823688</v>
      </c>
      <c r="J85">
        <f t="shared" ca="1" si="12"/>
        <v>0.19768339768339771</v>
      </c>
      <c r="K85">
        <f t="shared" ca="1" si="12"/>
        <v>0.16150740242261089</v>
      </c>
      <c r="L85">
        <f t="shared" ca="1" si="12"/>
        <v>9.2664092664092576E-2</v>
      </c>
      <c r="M85">
        <f t="shared" ca="1" si="12"/>
        <v>0.17441860465116263</v>
      </c>
      <c r="N85">
        <f t="shared" ca="1" si="12"/>
        <v>9.6774193548387011E-2</v>
      </c>
      <c r="O85">
        <f t="shared" ca="1" si="12"/>
        <v>0.24092664092664098</v>
      </c>
      <c r="P85">
        <f t="shared" ca="1" si="12"/>
        <v>0.25161290322580648</v>
      </c>
      <c r="Q85">
        <f t="shared" ca="1" si="12"/>
        <v>0.31707317073170738</v>
      </c>
      <c r="R85">
        <f t="shared" ca="1" si="12"/>
        <v>0.53127413127413126</v>
      </c>
      <c r="S85">
        <f t="shared" ca="1" si="12"/>
        <v>0.33359073359073355</v>
      </c>
      <c r="T85">
        <f t="shared" ca="1" si="12"/>
        <v>0.34838709677419349</v>
      </c>
      <c r="V85" s="4">
        <f t="shared" si="13"/>
        <v>42006</v>
      </c>
      <c r="W85" s="5">
        <f t="shared" ca="1" si="11"/>
        <v>0.53127413127413126</v>
      </c>
      <c r="Z85" s="4" t="str">
        <f ca="1">IF(OFFSET('Calc Canada'!$A$1,0,0,300)="","",OFFSET('Calc Canada'!$A$1,0,0,300))</f>
        <v/>
      </c>
      <c r="AA85" s="5" t="e">
        <f ca="1">IF(OFFSET('Calc Canada'!$A$1,0,MATCH(W$1,'Calc Canada'!$1:$1,0)-1,300)="","",OFFSET('Calc Canada'!$A$1,0,MATCH(W$1,'Calc Canada'!$1:$1,0)-1,300))</f>
        <v>#N/A</v>
      </c>
      <c r="AB85" s="5" t="e">
        <f ca="1">IF(OFFSET('Calc Canada'!$A$1,0,MATCH(X$1,'Calc Canada'!$1:$1,0)-1,300)="","",OFFSET('Calc Canada'!$A$1,0,MATCH(X$1,'Calc Canada'!$1:$1,0)-1,300))</f>
        <v>#N/A</v>
      </c>
      <c r="AC85" t="e">
        <f t="shared" ca="1" si="9"/>
        <v>#N/A</v>
      </c>
      <c r="AD85" t="e">
        <f t="shared" ca="1" si="10"/>
        <v>#N/A</v>
      </c>
    </row>
    <row r="86" spans="1:30" x14ac:dyDescent="0.25">
      <c r="A86" s="4">
        <v>42005</v>
      </c>
      <c r="B86">
        <v>1.01</v>
      </c>
      <c r="C86" s="5">
        <v>1.0680000000000001</v>
      </c>
      <c r="D86">
        <v>1.3340000000000001</v>
      </c>
      <c r="E86">
        <v>1.4670000000000001</v>
      </c>
      <c r="F86">
        <v>1.786</v>
      </c>
      <c r="G86">
        <v>2.3330000000000002</v>
      </c>
      <c r="H86">
        <f t="shared" ca="1" si="12"/>
        <v>0.58205689277899342</v>
      </c>
      <c r="I86">
        <f t="shared" ca="1" si="12"/>
        <v>0.34278350515463918</v>
      </c>
      <c r="J86">
        <f t="shared" ca="1" si="12"/>
        <v>0.20105820105820105</v>
      </c>
      <c r="K86">
        <f t="shared" ca="1" si="12"/>
        <v>0.17139175257731959</v>
      </c>
      <c r="L86">
        <f t="shared" ca="1" si="12"/>
        <v>0.10052910052910052</v>
      </c>
      <c r="M86">
        <f t="shared" ca="1" si="12"/>
        <v>0.18523676880222842</v>
      </c>
      <c r="N86">
        <f t="shared" ca="1" si="12"/>
        <v>0.10513833992094861</v>
      </c>
      <c r="O86">
        <f t="shared" ca="1" si="12"/>
        <v>0.24111866969009818</v>
      </c>
      <c r="P86">
        <f t="shared" ca="1" si="12"/>
        <v>0.25217391304347819</v>
      </c>
      <c r="Q86">
        <f t="shared" ca="1" si="12"/>
        <v>0.31931931931931923</v>
      </c>
      <c r="R86">
        <f t="shared" ca="1" si="12"/>
        <v>0.54270597127739972</v>
      </c>
      <c r="S86">
        <f t="shared" ca="1" si="12"/>
        <v>0.34164777021919873</v>
      </c>
      <c r="T86">
        <f t="shared" ca="1" si="12"/>
        <v>0.35731225296442681</v>
      </c>
      <c r="V86" s="4">
        <f t="shared" si="13"/>
        <v>42005</v>
      </c>
      <c r="W86" s="5">
        <f t="shared" ca="1" si="11"/>
        <v>0.54270597127739972</v>
      </c>
      <c r="Z86" s="4" t="str">
        <f ca="1">IF(OFFSET('Calc Canada'!$A$1,0,0,300)="","",OFFSET('Calc Canada'!$A$1,0,0,300))</f>
        <v/>
      </c>
      <c r="AA86" s="5" t="e">
        <f ca="1">IF(OFFSET('Calc Canada'!$A$1,0,MATCH(W$1,'Calc Canada'!$1:$1,0)-1,300)="","",OFFSET('Calc Canada'!$A$1,0,MATCH(W$1,'Calc Canada'!$1:$1,0)-1,300))</f>
        <v>#N/A</v>
      </c>
      <c r="AB86" s="5" t="e">
        <f ca="1">IF(OFFSET('Calc Canada'!$A$1,0,MATCH(X$1,'Calc Canada'!$1:$1,0)-1,300)="","",OFFSET('Calc Canada'!$A$1,0,MATCH(X$1,'Calc Canada'!$1:$1,0)-1,300))</f>
        <v>#N/A</v>
      </c>
      <c r="AC86" t="e">
        <f t="shared" ca="1" si="9"/>
        <v>#N/A</v>
      </c>
      <c r="AD86" t="e">
        <f t="shared" ca="1" si="10"/>
        <v>#N/A</v>
      </c>
    </row>
    <row r="87" spans="1:30" x14ac:dyDescent="0.25">
      <c r="A87" s="4">
        <v>42004</v>
      </c>
      <c r="B87">
        <v>1.01</v>
      </c>
      <c r="C87" s="5">
        <v>1.0680000000000001</v>
      </c>
      <c r="D87">
        <v>1.3340000000000001</v>
      </c>
      <c r="E87">
        <v>1.4670000000000001</v>
      </c>
      <c r="F87">
        <v>1.786</v>
      </c>
      <c r="G87">
        <v>2.3330000000000002</v>
      </c>
      <c r="H87">
        <f t="shared" ca="1" si="12"/>
        <v>0.58205689277899342</v>
      </c>
      <c r="I87">
        <f t="shared" ca="1" si="12"/>
        <v>0.34278350515463918</v>
      </c>
      <c r="J87">
        <f t="shared" ca="1" si="12"/>
        <v>0.20105820105820105</v>
      </c>
      <c r="K87">
        <f t="shared" ca="1" si="12"/>
        <v>0.17139175257731959</v>
      </c>
      <c r="L87">
        <f t="shared" ca="1" si="12"/>
        <v>0.10052910052910052</v>
      </c>
      <c r="M87">
        <f t="shared" ca="1" si="12"/>
        <v>0.18523676880222842</v>
      </c>
      <c r="N87">
        <f t="shared" ca="1" si="12"/>
        <v>0.10513833992094861</v>
      </c>
      <c r="O87">
        <f t="shared" ca="1" si="12"/>
        <v>0.24111866969009818</v>
      </c>
      <c r="P87">
        <f t="shared" ca="1" si="12"/>
        <v>0.25217391304347819</v>
      </c>
      <c r="Q87">
        <f t="shared" ca="1" si="12"/>
        <v>0.31931931931931923</v>
      </c>
      <c r="R87">
        <f t="shared" ca="1" si="12"/>
        <v>0.54270597127739972</v>
      </c>
      <c r="S87">
        <f t="shared" ca="1" si="12"/>
        <v>0.34164777021919873</v>
      </c>
      <c r="T87">
        <f t="shared" ca="1" si="12"/>
        <v>0.35731225296442681</v>
      </c>
      <c r="V87" s="4">
        <f t="shared" si="13"/>
        <v>42004</v>
      </c>
      <c r="W87" s="5">
        <f t="shared" ca="1" si="11"/>
        <v>0.54270597127739972</v>
      </c>
      <c r="Z87" s="4" t="str">
        <f ca="1">IF(OFFSET('Calc Canada'!$A$1,0,0,300)="","",OFFSET('Calc Canada'!$A$1,0,0,300))</f>
        <v/>
      </c>
      <c r="AA87" s="5" t="e">
        <f ca="1">IF(OFFSET('Calc Canada'!$A$1,0,MATCH(W$1,'Calc Canada'!$1:$1,0)-1,300)="","",OFFSET('Calc Canada'!$A$1,0,MATCH(W$1,'Calc Canada'!$1:$1,0)-1,300))</f>
        <v>#N/A</v>
      </c>
      <c r="AB87" s="5" t="e">
        <f ca="1">IF(OFFSET('Calc Canada'!$A$1,0,MATCH(X$1,'Calc Canada'!$1:$1,0)-1,300)="","",OFFSET('Calc Canada'!$A$1,0,MATCH(X$1,'Calc Canada'!$1:$1,0)-1,300))</f>
        <v>#N/A</v>
      </c>
      <c r="AC87" t="e">
        <f t="shared" ca="1" si="9"/>
        <v>#N/A</v>
      </c>
      <c r="AD87" t="e">
        <f t="shared" ca="1" si="10"/>
        <v>#N/A</v>
      </c>
    </row>
    <row r="88" spans="1:30" x14ac:dyDescent="0.25">
      <c r="A88" s="4">
        <v>42003</v>
      </c>
      <c r="B88">
        <v>1.018</v>
      </c>
      <c r="C88" s="5">
        <v>1.077</v>
      </c>
      <c r="D88">
        <v>1.3559999999999999</v>
      </c>
      <c r="E88">
        <v>1.4889999999999999</v>
      </c>
      <c r="F88">
        <v>1.8109999999999999</v>
      </c>
      <c r="G88">
        <v>2.3570000000000002</v>
      </c>
      <c r="H88">
        <f t="shared" ca="1" si="12"/>
        <v>0.59235668789808915</v>
      </c>
      <c r="I88">
        <f t="shared" ca="1" si="12"/>
        <v>0.35182849936948291</v>
      </c>
      <c r="J88">
        <f t="shared" ca="1" si="12"/>
        <v>0.20836445108289758</v>
      </c>
      <c r="K88">
        <f t="shared" ca="1" si="12"/>
        <v>0.16771752837326609</v>
      </c>
      <c r="L88">
        <f t="shared" ca="1" si="12"/>
        <v>9.9327856609410001E-2</v>
      </c>
      <c r="M88">
        <f t="shared" ca="1" si="12"/>
        <v>0.18119891008174388</v>
      </c>
      <c r="N88">
        <f t="shared" ca="1" si="12"/>
        <v>0.10390624999999999</v>
      </c>
      <c r="O88">
        <f t="shared" ca="1" si="12"/>
        <v>0.24047796863330845</v>
      </c>
      <c r="P88">
        <f t="shared" ca="1" si="12"/>
        <v>0.25156250000000002</v>
      </c>
      <c r="Q88">
        <f t="shared" ca="1" si="12"/>
        <v>0.32167832167832161</v>
      </c>
      <c r="R88">
        <f t="shared" ca="1" si="12"/>
        <v>0.54817027632561599</v>
      </c>
      <c r="S88">
        <f t="shared" ca="1" si="12"/>
        <v>0.33980582524271846</v>
      </c>
      <c r="T88">
        <f t="shared" ca="1" si="12"/>
        <v>0.35546875</v>
      </c>
      <c r="V88" s="4">
        <f t="shared" si="13"/>
        <v>42003</v>
      </c>
      <c r="W88" s="5">
        <f t="shared" ca="1" si="11"/>
        <v>0.54817027632561599</v>
      </c>
      <c r="Z88" s="4" t="str">
        <f ca="1">IF(OFFSET('Calc Canada'!$A$1,0,0,300)="","",OFFSET('Calc Canada'!$A$1,0,0,300))</f>
        <v/>
      </c>
      <c r="AA88" s="5" t="e">
        <f ca="1">IF(OFFSET('Calc Canada'!$A$1,0,MATCH(W$1,'Calc Canada'!$1:$1,0)-1,300)="","",OFFSET('Calc Canada'!$A$1,0,MATCH(W$1,'Calc Canada'!$1:$1,0)-1,300))</f>
        <v>#N/A</v>
      </c>
      <c r="AB88" s="5" t="e">
        <f ca="1">IF(OFFSET('Calc Canada'!$A$1,0,MATCH(X$1,'Calc Canada'!$1:$1,0)-1,300)="","",OFFSET('Calc Canada'!$A$1,0,MATCH(X$1,'Calc Canada'!$1:$1,0)-1,300))</f>
        <v>#N/A</v>
      </c>
      <c r="AC88" t="e">
        <f t="shared" ca="1" si="9"/>
        <v>#N/A</v>
      </c>
      <c r="AD88" t="e">
        <f t="shared" ca="1" si="10"/>
        <v>#N/A</v>
      </c>
    </row>
    <row r="89" spans="1:30" x14ac:dyDescent="0.25">
      <c r="A89" s="4">
        <v>42002</v>
      </c>
      <c r="B89">
        <v>1.032</v>
      </c>
      <c r="C89" s="5">
        <v>1.091</v>
      </c>
      <c r="D89">
        <v>1.375</v>
      </c>
      <c r="E89">
        <v>1.508</v>
      </c>
      <c r="F89">
        <v>1.8319999999999999</v>
      </c>
      <c r="G89">
        <v>2.38</v>
      </c>
      <c r="H89">
        <f t="shared" ca="1" si="12"/>
        <v>0.59663865546218497</v>
      </c>
      <c r="I89">
        <f t="shared" ca="1" si="12"/>
        <v>0.35500000000000009</v>
      </c>
      <c r="J89">
        <f t="shared" ca="1" si="12"/>
        <v>0.2106824925816024</v>
      </c>
      <c r="K89">
        <f t="shared" ca="1" si="12"/>
        <v>0.16625000000000004</v>
      </c>
      <c r="L89">
        <f t="shared" ca="1" si="12"/>
        <v>9.8664688427299724E-2</v>
      </c>
      <c r="M89">
        <f t="shared" ca="1" si="12"/>
        <v>0.17948717948717952</v>
      </c>
      <c r="N89">
        <f t="shared" ca="1" si="12"/>
        <v>0.10318076027928628</v>
      </c>
      <c r="O89">
        <f t="shared" ca="1" si="12"/>
        <v>0.24035608308605333</v>
      </c>
      <c r="P89">
        <f t="shared" ca="1" si="12"/>
        <v>0.25135764158262208</v>
      </c>
      <c r="Q89">
        <f t="shared" ca="1" si="12"/>
        <v>0.32238805970149242</v>
      </c>
      <c r="R89">
        <f t="shared" ca="1" si="12"/>
        <v>0.5497032640949554</v>
      </c>
      <c r="S89">
        <f t="shared" ca="1" si="12"/>
        <v>0.33902077151335303</v>
      </c>
      <c r="T89">
        <f t="shared" ca="1" si="12"/>
        <v>0.35453840186190838</v>
      </c>
      <c r="V89" s="4">
        <f t="shared" si="13"/>
        <v>42002</v>
      </c>
      <c r="W89" s="5">
        <f t="shared" ca="1" si="11"/>
        <v>0.5497032640949554</v>
      </c>
      <c r="Z89" s="4" t="str">
        <f ca="1">IF(OFFSET('Calc Canada'!$A$1,0,0,300)="","",OFFSET('Calc Canada'!$A$1,0,0,300))</f>
        <v/>
      </c>
      <c r="AA89" s="5" t="e">
        <f ca="1">IF(OFFSET('Calc Canada'!$A$1,0,MATCH(W$1,'Calc Canada'!$1:$1,0)-1,300)="","",OFFSET('Calc Canada'!$A$1,0,MATCH(W$1,'Calc Canada'!$1:$1,0)-1,300))</f>
        <v>#N/A</v>
      </c>
      <c r="AB89" s="5" t="e">
        <f ca="1">IF(OFFSET('Calc Canada'!$A$1,0,MATCH(X$1,'Calc Canada'!$1:$1,0)-1,300)="","",OFFSET('Calc Canada'!$A$1,0,MATCH(X$1,'Calc Canada'!$1:$1,0)-1,300))</f>
        <v>#N/A</v>
      </c>
      <c r="AC89" t="e">
        <f t="shared" ca="1" si="9"/>
        <v>#N/A</v>
      </c>
      <c r="AD89" t="e">
        <f t="shared" ca="1" si="10"/>
        <v>#N/A</v>
      </c>
    </row>
    <row r="90" spans="1:30" x14ac:dyDescent="0.25">
      <c r="A90" s="4">
        <v>41999</v>
      </c>
      <c r="B90">
        <v>1.056</v>
      </c>
      <c r="C90" s="5">
        <v>1.115</v>
      </c>
      <c r="D90">
        <v>1.4370000000000001</v>
      </c>
      <c r="E90">
        <v>1.5720000000000001</v>
      </c>
      <c r="F90">
        <v>1.9100000000000001</v>
      </c>
      <c r="G90">
        <v>2.4390000000000001</v>
      </c>
      <c r="H90">
        <f t="shared" ca="1" si="12"/>
        <v>0.62403100775193809</v>
      </c>
      <c r="I90">
        <f t="shared" ca="1" si="12"/>
        <v>0.37704918032786888</v>
      </c>
      <c r="J90">
        <f t="shared" ca="1" si="12"/>
        <v>0.23282718727404197</v>
      </c>
      <c r="K90">
        <f t="shared" ca="1" si="12"/>
        <v>0.15807962529274003</v>
      </c>
      <c r="L90">
        <f t="shared" ca="1" si="12"/>
        <v>9.7613882863340565E-2</v>
      </c>
      <c r="M90">
        <f t="shared" ca="1" si="12"/>
        <v>0.16981132075471697</v>
      </c>
      <c r="N90">
        <f t="shared" ca="1" si="12"/>
        <v>0.10196374622356495</v>
      </c>
      <c r="O90">
        <f t="shared" ca="1" si="12"/>
        <v>0.24439624005784533</v>
      </c>
      <c r="P90">
        <f t="shared" ca="1" si="12"/>
        <v>0.25528700906344415</v>
      </c>
      <c r="Q90">
        <f t="shared" ca="1" si="12"/>
        <v>0.33732534930139729</v>
      </c>
      <c r="R90">
        <f t="shared" ca="1" si="12"/>
        <v>0.57483731019522788</v>
      </c>
      <c r="S90">
        <f t="shared" ca="1" si="12"/>
        <v>0.34201012292118588</v>
      </c>
      <c r="T90">
        <f t="shared" ca="1" si="12"/>
        <v>0.35725075528700911</v>
      </c>
      <c r="V90" s="4">
        <f t="shared" si="13"/>
        <v>41999</v>
      </c>
      <c r="W90" s="5">
        <f t="shared" ca="1" si="11"/>
        <v>0.57483731019522788</v>
      </c>
      <c r="Z90" s="4" t="str">
        <f ca="1">IF(OFFSET('Calc Canada'!$A$1,0,0,300)="","",OFFSET('Calc Canada'!$A$1,0,0,300))</f>
        <v/>
      </c>
      <c r="AA90" s="5" t="e">
        <f ca="1">IF(OFFSET('Calc Canada'!$A$1,0,MATCH(W$1,'Calc Canada'!$1:$1,0)-1,300)="","",OFFSET('Calc Canada'!$A$1,0,MATCH(W$1,'Calc Canada'!$1:$1,0)-1,300))</f>
        <v>#N/A</v>
      </c>
      <c r="AB90" s="5" t="e">
        <f ca="1">IF(OFFSET('Calc Canada'!$A$1,0,MATCH(X$1,'Calc Canada'!$1:$1,0)-1,300)="","",OFFSET('Calc Canada'!$A$1,0,MATCH(X$1,'Calc Canada'!$1:$1,0)-1,300))</f>
        <v>#N/A</v>
      </c>
      <c r="AC90" t="e">
        <f t="shared" ca="1" si="9"/>
        <v>#N/A</v>
      </c>
      <c r="AD90" t="e">
        <f t="shared" ca="1" si="10"/>
        <v>#N/A</v>
      </c>
    </row>
    <row r="91" spans="1:30" x14ac:dyDescent="0.25">
      <c r="A91" s="4">
        <v>41998</v>
      </c>
      <c r="B91">
        <v>1.0529999999999999</v>
      </c>
      <c r="C91" s="5">
        <v>1.1140000000000001</v>
      </c>
      <c r="D91">
        <v>1.4359999999999999</v>
      </c>
      <c r="E91">
        <v>1.5720000000000001</v>
      </c>
      <c r="F91">
        <v>1.905</v>
      </c>
      <c r="G91">
        <v>2.4369999999999998</v>
      </c>
      <c r="H91">
        <f t="shared" ca="1" si="12"/>
        <v>0.62042389210019222</v>
      </c>
      <c r="I91">
        <f t="shared" ca="1" si="12"/>
        <v>0.37793427230046928</v>
      </c>
      <c r="J91">
        <f t="shared" ca="1" si="12"/>
        <v>0.23265895953757215</v>
      </c>
      <c r="K91">
        <f t="shared" ca="1" si="12"/>
        <v>0.15962441314554002</v>
      </c>
      <c r="L91">
        <f t="shared" ca="1" si="12"/>
        <v>9.8265895953757315E-2</v>
      </c>
      <c r="M91">
        <f t="shared" ca="1" si="12"/>
        <v>0.17193426042983581</v>
      </c>
      <c r="N91">
        <f t="shared" ca="1" si="12"/>
        <v>0.10279667422524577</v>
      </c>
      <c r="O91">
        <f t="shared" ca="1" si="12"/>
        <v>0.24060693641618497</v>
      </c>
      <c r="P91">
        <f t="shared" ca="1" si="12"/>
        <v>0.25170068027210885</v>
      </c>
      <c r="Q91">
        <f t="shared" ca="1" si="12"/>
        <v>0.33266733266733267</v>
      </c>
      <c r="R91">
        <f t="shared" ca="1" si="12"/>
        <v>0.57153179190751446</v>
      </c>
      <c r="S91">
        <f t="shared" ca="1" si="12"/>
        <v>0.33887283236994226</v>
      </c>
      <c r="T91">
        <f t="shared" ca="1" si="12"/>
        <v>0.35449735449735464</v>
      </c>
      <c r="V91" s="4">
        <f t="shared" si="13"/>
        <v>41998</v>
      </c>
      <c r="W91" s="5">
        <f t="shared" ca="1" si="11"/>
        <v>0.57153179190751446</v>
      </c>
      <c r="Z91" s="4" t="str">
        <f ca="1">IF(OFFSET('Calc Canada'!$A$1,0,0,300)="","",OFFSET('Calc Canada'!$A$1,0,0,300))</f>
        <v/>
      </c>
      <c r="AA91" s="5" t="e">
        <f ca="1">IF(OFFSET('Calc Canada'!$A$1,0,MATCH(W$1,'Calc Canada'!$1:$1,0)-1,300)="","",OFFSET('Calc Canada'!$A$1,0,MATCH(W$1,'Calc Canada'!$1:$1,0)-1,300))</f>
        <v>#N/A</v>
      </c>
      <c r="AB91" s="5" t="e">
        <f ca="1">IF(OFFSET('Calc Canada'!$A$1,0,MATCH(X$1,'Calc Canada'!$1:$1,0)-1,300)="","",OFFSET('Calc Canada'!$A$1,0,MATCH(X$1,'Calc Canada'!$1:$1,0)-1,300))</f>
        <v>#N/A</v>
      </c>
      <c r="AC91" t="e">
        <f t="shared" ca="1" si="9"/>
        <v>#N/A</v>
      </c>
      <c r="AD91" t="e">
        <f t="shared" ca="1" si="10"/>
        <v>#N/A</v>
      </c>
    </row>
    <row r="92" spans="1:30" x14ac:dyDescent="0.25">
      <c r="A92" s="4">
        <v>41997</v>
      </c>
      <c r="B92">
        <v>1.0529999999999999</v>
      </c>
      <c r="C92" s="5">
        <v>1.1140000000000001</v>
      </c>
      <c r="D92">
        <v>1.4359999999999999</v>
      </c>
      <c r="E92">
        <v>1.5720000000000001</v>
      </c>
      <c r="F92">
        <v>1.905</v>
      </c>
      <c r="G92">
        <v>2.4369999999999998</v>
      </c>
      <c r="H92">
        <f t="shared" ca="1" si="12"/>
        <v>0.62042389210019222</v>
      </c>
      <c r="I92">
        <f t="shared" ca="1" si="12"/>
        <v>0.37793427230046928</v>
      </c>
      <c r="J92">
        <f t="shared" ca="1" si="12"/>
        <v>0.23265895953757215</v>
      </c>
      <c r="K92">
        <f t="shared" ca="1" si="12"/>
        <v>0.15962441314554002</v>
      </c>
      <c r="L92">
        <f t="shared" ca="1" si="12"/>
        <v>9.8265895953757315E-2</v>
      </c>
      <c r="M92">
        <f t="shared" ca="1" si="12"/>
        <v>0.17193426042983581</v>
      </c>
      <c r="N92">
        <f t="shared" ca="1" si="12"/>
        <v>0.10279667422524577</v>
      </c>
      <c r="O92">
        <f t="shared" ca="1" si="12"/>
        <v>0.24060693641618497</v>
      </c>
      <c r="P92">
        <f t="shared" ca="1" si="12"/>
        <v>0.25170068027210885</v>
      </c>
      <c r="Q92">
        <f t="shared" ca="1" si="12"/>
        <v>0.33266733266733267</v>
      </c>
      <c r="R92">
        <f t="shared" ca="1" si="12"/>
        <v>0.57153179190751446</v>
      </c>
      <c r="S92">
        <f t="shared" ca="1" si="12"/>
        <v>0.33887283236994226</v>
      </c>
      <c r="T92">
        <f t="shared" ca="1" si="12"/>
        <v>0.35449735449735464</v>
      </c>
      <c r="V92" s="4">
        <f t="shared" si="13"/>
        <v>41997</v>
      </c>
      <c r="W92" s="5">
        <f t="shared" ca="1" si="11"/>
        <v>0.57153179190751446</v>
      </c>
      <c r="Z92" s="4" t="str">
        <f ca="1">IF(OFFSET('Calc Canada'!$A$1,0,0,300)="","",OFFSET('Calc Canada'!$A$1,0,0,300))</f>
        <v/>
      </c>
      <c r="AA92" s="5" t="e">
        <f ca="1">IF(OFFSET('Calc Canada'!$A$1,0,MATCH(W$1,'Calc Canada'!$1:$1,0)-1,300)="","",OFFSET('Calc Canada'!$A$1,0,MATCH(W$1,'Calc Canada'!$1:$1,0)-1,300))</f>
        <v>#N/A</v>
      </c>
      <c r="AB92" s="5" t="e">
        <f ca="1">IF(OFFSET('Calc Canada'!$A$1,0,MATCH(X$1,'Calc Canada'!$1:$1,0)-1,300)="","",OFFSET('Calc Canada'!$A$1,0,MATCH(X$1,'Calc Canada'!$1:$1,0)-1,300))</f>
        <v>#N/A</v>
      </c>
      <c r="AC92" t="e">
        <f t="shared" ca="1" si="9"/>
        <v>#N/A</v>
      </c>
      <c r="AD92" t="e">
        <f t="shared" ca="1" si="10"/>
        <v>#N/A</v>
      </c>
    </row>
    <row r="93" spans="1:30" x14ac:dyDescent="0.25">
      <c r="A93" s="4">
        <v>41996</v>
      </c>
      <c r="B93">
        <v>1.0529999999999999</v>
      </c>
      <c r="C93" s="5">
        <v>1.1100000000000001</v>
      </c>
      <c r="D93">
        <v>1.4419999999999999</v>
      </c>
      <c r="E93">
        <v>1.5779999999999998</v>
      </c>
      <c r="F93">
        <v>1.901</v>
      </c>
      <c r="G93">
        <v>2.4239999999999999</v>
      </c>
      <c r="H93">
        <f t="shared" ref="H93:T108" ca="1" si="14">IF(ISERROR(ABS(OFFSET($A$11,ROW()-11,MATCH(LEFT(H$9,2),$A$11:$G$11,0)-1)-OFFSET($A$11,ROW()-11,MATCH(RIGHT(H$9,2),$A$11:$G$11,0)-1))/ABS(OFFSET($A$11,ROW()-11,MATCH(LEFT(H$10,2),$A$11:$G$11,0)-1)-OFFSET($A$11,ROW()-11,MATCH(RIGHT(H$10,2),$A$11:$G$11,0)-1))),"",ABS(OFFSET($A$11,ROW()-11,MATCH(LEFT(H$9,2),$A$11:$G$11,0)-1)-OFFSET($A$11,ROW()-11,MATCH(RIGHT(H$9,2),$A$11:$G$11,0)-1))/ABS(OFFSET($A$11,ROW()-11,MATCH(LEFT(H$10,2),$A$11:$G$11,0)-1)-OFFSET($A$11,ROW()-11,MATCH(RIGHT(H$10,2),$A$11:$G$11,0)-1)))</f>
        <v>0.63238095238095215</v>
      </c>
      <c r="I93">
        <f t="shared" ca="1" si="14"/>
        <v>0.39150943396226395</v>
      </c>
      <c r="J93">
        <f t="shared" ca="1" si="14"/>
        <v>0.24215900802334053</v>
      </c>
      <c r="K93">
        <f t="shared" ca="1" si="14"/>
        <v>0.16037735849056589</v>
      </c>
      <c r="L93">
        <f t="shared" ca="1" si="14"/>
        <v>9.9197665937271987E-2</v>
      </c>
      <c r="M93">
        <f t="shared" ca="1" si="14"/>
        <v>0.17193426042983553</v>
      </c>
      <c r="N93">
        <f t="shared" ca="1" si="14"/>
        <v>0.10350076103500755</v>
      </c>
      <c r="O93">
        <f t="shared" ca="1" si="14"/>
        <v>0.23559445660102127</v>
      </c>
      <c r="P93">
        <f t="shared" ca="1" si="14"/>
        <v>0.24581430745814323</v>
      </c>
      <c r="Q93">
        <f t="shared" ca="1" si="14"/>
        <v>0.32892057026476595</v>
      </c>
      <c r="R93">
        <f t="shared" ca="1" si="14"/>
        <v>0.57695113056163383</v>
      </c>
      <c r="S93">
        <f t="shared" ca="1" si="14"/>
        <v>0.33479212253829327</v>
      </c>
      <c r="T93">
        <f t="shared" ca="1" si="14"/>
        <v>0.3493150684931508</v>
      </c>
      <c r="V93" s="4">
        <f t="shared" si="13"/>
        <v>41996</v>
      </c>
      <c r="W93" s="5">
        <f t="shared" ca="1" si="11"/>
        <v>0.57695113056163383</v>
      </c>
      <c r="Z93" s="4" t="str">
        <f ca="1">IF(OFFSET('Calc Canada'!$A$1,0,0,300)="","",OFFSET('Calc Canada'!$A$1,0,0,300))</f>
        <v/>
      </c>
      <c r="AA93" s="5" t="e">
        <f ca="1">IF(OFFSET('Calc Canada'!$A$1,0,MATCH(W$1,'Calc Canada'!$1:$1,0)-1,300)="","",OFFSET('Calc Canada'!$A$1,0,MATCH(W$1,'Calc Canada'!$1:$1,0)-1,300))</f>
        <v>#N/A</v>
      </c>
      <c r="AB93" s="5" t="e">
        <f ca="1">IF(OFFSET('Calc Canada'!$A$1,0,MATCH(X$1,'Calc Canada'!$1:$1,0)-1,300)="","",OFFSET('Calc Canada'!$A$1,0,MATCH(X$1,'Calc Canada'!$1:$1,0)-1,300))</f>
        <v>#N/A</v>
      </c>
      <c r="AC93" t="e">
        <f t="shared" ca="1" si="9"/>
        <v>#N/A</v>
      </c>
      <c r="AD93" t="e">
        <f t="shared" ca="1" si="10"/>
        <v>#N/A</v>
      </c>
    </row>
    <row r="94" spans="1:30" x14ac:dyDescent="0.25">
      <c r="A94" s="4">
        <v>41995</v>
      </c>
      <c r="B94">
        <v>1.02</v>
      </c>
      <c r="C94" s="5">
        <v>1.0760000000000001</v>
      </c>
      <c r="D94">
        <v>1.3540000000000001</v>
      </c>
      <c r="E94">
        <v>1.4809999999999999</v>
      </c>
      <c r="F94">
        <v>1.79</v>
      </c>
      <c r="G94">
        <v>2.327</v>
      </c>
      <c r="H94">
        <f t="shared" ca="1" si="14"/>
        <v>0.60303687635574865</v>
      </c>
      <c r="I94">
        <f t="shared" ca="1" si="14"/>
        <v>0.36103896103896105</v>
      </c>
      <c r="J94">
        <f t="shared" ca="1" si="14"/>
        <v>0.21270084162203523</v>
      </c>
      <c r="K94">
        <f t="shared" ca="1" si="14"/>
        <v>0.16493506493506466</v>
      </c>
      <c r="L94">
        <f t="shared" ca="1" si="14"/>
        <v>9.7169089517979937E-2</v>
      </c>
      <c r="M94">
        <f t="shared" ca="1" si="14"/>
        <v>0.17787114845938345</v>
      </c>
      <c r="N94">
        <f t="shared" ca="1" si="14"/>
        <v>0.10151878497202221</v>
      </c>
      <c r="O94">
        <f t="shared" ca="1" si="14"/>
        <v>0.2364192807957155</v>
      </c>
      <c r="P94">
        <f t="shared" ca="1" si="14"/>
        <v>0.24700239808153493</v>
      </c>
      <c r="Q94">
        <f t="shared" ca="1" si="14"/>
        <v>0.31757451181911633</v>
      </c>
      <c r="R94">
        <f t="shared" ca="1" si="14"/>
        <v>0.54628921193573066</v>
      </c>
      <c r="S94">
        <f t="shared" ca="1" si="14"/>
        <v>0.33358837031369548</v>
      </c>
      <c r="T94">
        <f t="shared" ca="1" si="14"/>
        <v>0.34852118305355712</v>
      </c>
      <c r="V94" s="4">
        <f t="shared" si="13"/>
        <v>41995</v>
      </c>
      <c r="W94" s="5">
        <f t="shared" ca="1" si="11"/>
        <v>0.54628921193573066</v>
      </c>
      <c r="Z94" s="4" t="str">
        <f ca="1">IF(OFFSET('Calc Canada'!$A$1,0,0,300)="","",OFFSET('Calc Canada'!$A$1,0,0,300))</f>
        <v/>
      </c>
      <c r="AA94" s="5" t="e">
        <f ca="1">IF(OFFSET('Calc Canada'!$A$1,0,MATCH(W$1,'Calc Canada'!$1:$1,0)-1,300)="","",OFFSET('Calc Canada'!$A$1,0,MATCH(W$1,'Calc Canada'!$1:$1,0)-1,300))</f>
        <v>#N/A</v>
      </c>
      <c r="AB94" s="5" t="e">
        <f ca="1">IF(OFFSET('Calc Canada'!$A$1,0,MATCH(X$1,'Calc Canada'!$1:$1,0)-1,300)="","",OFFSET('Calc Canada'!$A$1,0,MATCH(X$1,'Calc Canada'!$1:$1,0)-1,300))</f>
        <v>#N/A</v>
      </c>
      <c r="AC94" t="e">
        <f t="shared" ca="1" si="9"/>
        <v>#N/A</v>
      </c>
      <c r="AD94" t="e">
        <f t="shared" ca="1" si="10"/>
        <v>#N/A</v>
      </c>
    </row>
    <row r="95" spans="1:30" x14ac:dyDescent="0.25">
      <c r="A95" s="4">
        <v>41992</v>
      </c>
      <c r="B95">
        <v>1.01</v>
      </c>
      <c r="C95" s="5">
        <v>1.0680000000000001</v>
      </c>
      <c r="D95">
        <v>1.3660000000000001</v>
      </c>
      <c r="E95">
        <v>1.4950000000000001</v>
      </c>
      <c r="F95">
        <v>1.8080000000000001</v>
      </c>
      <c r="G95">
        <v>2.3330000000000002</v>
      </c>
      <c r="H95">
        <f t="shared" ca="1" si="14"/>
        <v>0.61443298969072158</v>
      </c>
      <c r="I95">
        <f t="shared" ca="1" si="14"/>
        <v>0.37343358395989978</v>
      </c>
      <c r="J95">
        <f t="shared" ca="1" si="14"/>
        <v>0.22524565381708239</v>
      </c>
      <c r="K95">
        <f t="shared" ca="1" si="14"/>
        <v>0.16165413533834586</v>
      </c>
      <c r="L95">
        <f t="shared" ca="1" si="14"/>
        <v>9.7505668934240355E-2</v>
      </c>
      <c r="M95">
        <f t="shared" ca="1" si="14"/>
        <v>0.17432432432432432</v>
      </c>
      <c r="N95">
        <f t="shared" ca="1" si="14"/>
        <v>0.10197628458498023</v>
      </c>
      <c r="O95">
        <f t="shared" ca="1" si="14"/>
        <v>0.23658352229780794</v>
      </c>
      <c r="P95">
        <f t="shared" ca="1" si="14"/>
        <v>0.24743083003952562</v>
      </c>
      <c r="Q95">
        <f t="shared" ca="1" si="14"/>
        <v>0.32368148914167522</v>
      </c>
      <c r="R95">
        <f t="shared" ca="1" si="14"/>
        <v>0.55933484504913067</v>
      </c>
      <c r="S95">
        <f t="shared" ca="1" si="14"/>
        <v>0.33408919123204828</v>
      </c>
      <c r="T95">
        <f t="shared" ca="1" si="14"/>
        <v>0.34940711462450585</v>
      </c>
      <c r="V95" s="4">
        <f t="shared" si="13"/>
        <v>41992</v>
      </c>
      <c r="W95" s="5">
        <f t="shared" ca="1" si="11"/>
        <v>0.55933484504913067</v>
      </c>
      <c r="Z95" s="4" t="str">
        <f ca="1">IF(OFFSET('Calc Canada'!$A$1,0,0,300)="","",OFFSET('Calc Canada'!$A$1,0,0,300))</f>
        <v/>
      </c>
      <c r="AA95" s="5" t="e">
        <f ca="1">IF(OFFSET('Calc Canada'!$A$1,0,MATCH(W$1,'Calc Canada'!$1:$1,0)-1,300)="","",OFFSET('Calc Canada'!$A$1,0,MATCH(W$1,'Calc Canada'!$1:$1,0)-1,300))</f>
        <v>#N/A</v>
      </c>
      <c r="AB95" s="5" t="e">
        <f ca="1">IF(OFFSET('Calc Canada'!$A$1,0,MATCH(X$1,'Calc Canada'!$1:$1,0)-1,300)="","",OFFSET('Calc Canada'!$A$1,0,MATCH(X$1,'Calc Canada'!$1:$1,0)-1,300))</f>
        <v>#N/A</v>
      </c>
      <c r="AC95" t="e">
        <f t="shared" ca="1" si="9"/>
        <v>#N/A</v>
      </c>
      <c r="AD95" t="e">
        <f t="shared" ca="1" si="10"/>
        <v>#N/A</v>
      </c>
    </row>
    <row r="96" spans="1:30" x14ac:dyDescent="0.25">
      <c r="A96" s="4">
        <v>41991</v>
      </c>
      <c r="B96">
        <v>1.018</v>
      </c>
      <c r="C96" s="5">
        <v>1.081</v>
      </c>
      <c r="D96">
        <v>1.4020000000000001</v>
      </c>
      <c r="E96">
        <v>1.538</v>
      </c>
      <c r="F96">
        <v>1.865</v>
      </c>
      <c r="G96">
        <v>2.3890000000000002</v>
      </c>
      <c r="H96">
        <f t="shared" ca="1" si="14"/>
        <v>0.61730769230769267</v>
      </c>
      <c r="I96">
        <f t="shared" ca="1" si="14"/>
        <v>0.37898465171192464</v>
      </c>
      <c r="J96">
        <f t="shared" ca="1" si="14"/>
        <v>0.23413566739606137</v>
      </c>
      <c r="K96">
        <f t="shared" ca="1" si="14"/>
        <v>0.16056670602125137</v>
      </c>
      <c r="L96">
        <f t="shared" ca="1" si="14"/>
        <v>9.9197665937271973E-2</v>
      </c>
      <c r="M96">
        <f t="shared" ca="1" si="14"/>
        <v>0.1734693877551019</v>
      </c>
      <c r="N96">
        <f t="shared" ca="1" si="14"/>
        <v>0.10397553516819562</v>
      </c>
      <c r="O96">
        <f t="shared" ca="1" si="14"/>
        <v>0.23851203501094084</v>
      </c>
      <c r="P96">
        <f t="shared" ca="1" si="14"/>
        <v>0.24999999999999992</v>
      </c>
      <c r="Q96">
        <f t="shared" ca="1" si="14"/>
        <v>0.33130699088145887</v>
      </c>
      <c r="R96">
        <f t="shared" ca="1" si="14"/>
        <v>0.57184536834427413</v>
      </c>
      <c r="S96">
        <f t="shared" ca="1" si="14"/>
        <v>0.33770970094821284</v>
      </c>
      <c r="T96">
        <f t="shared" ca="1" si="14"/>
        <v>0.35397553516819552</v>
      </c>
      <c r="V96" s="4">
        <f t="shared" si="13"/>
        <v>41991</v>
      </c>
      <c r="W96" s="5">
        <f t="shared" ca="1" si="11"/>
        <v>0.57184536834427413</v>
      </c>
      <c r="Z96" s="4" t="str">
        <f ca="1">IF(OFFSET('Calc Canada'!$A$1,0,0,300)="","",OFFSET('Calc Canada'!$A$1,0,0,300))</f>
        <v/>
      </c>
      <c r="AA96" s="5" t="e">
        <f ca="1">IF(OFFSET('Calc Canada'!$A$1,0,MATCH(W$1,'Calc Canada'!$1:$1,0)-1,300)="","",OFFSET('Calc Canada'!$A$1,0,MATCH(W$1,'Calc Canada'!$1:$1,0)-1,300))</f>
        <v>#N/A</v>
      </c>
      <c r="AB96" s="5" t="e">
        <f ca="1">IF(OFFSET('Calc Canada'!$A$1,0,MATCH(X$1,'Calc Canada'!$1:$1,0)-1,300)="","",OFFSET('Calc Canada'!$A$1,0,MATCH(X$1,'Calc Canada'!$1:$1,0)-1,300))</f>
        <v>#N/A</v>
      </c>
      <c r="AC96" t="e">
        <f t="shared" ca="1" si="9"/>
        <v>#N/A</v>
      </c>
      <c r="AD96" t="e">
        <f t="shared" ca="1" si="10"/>
        <v>#N/A</v>
      </c>
    </row>
    <row r="97" spans="1:30" x14ac:dyDescent="0.25">
      <c r="A97" s="4">
        <v>41990</v>
      </c>
      <c r="B97">
        <v>1.0009999999999999</v>
      </c>
      <c r="C97" s="5">
        <v>1.0549999999999999</v>
      </c>
      <c r="D97">
        <v>1.363</v>
      </c>
      <c r="E97">
        <v>1.4950000000000001</v>
      </c>
      <c r="F97">
        <v>1.8080000000000001</v>
      </c>
      <c r="G97">
        <v>2.3319999999999999</v>
      </c>
      <c r="H97">
        <f t="shared" ca="1" si="14"/>
        <v>0.623481781376518</v>
      </c>
      <c r="I97">
        <f t="shared" ca="1" si="14"/>
        <v>0.38166047087980171</v>
      </c>
      <c r="J97">
        <f t="shared" ca="1" si="14"/>
        <v>0.23140495867768598</v>
      </c>
      <c r="K97">
        <f t="shared" ca="1" si="14"/>
        <v>0.16356877323420085</v>
      </c>
      <c r="L97">
        <f t="shared" ca="1" si="14"/>
        <v>9.917355371900835E-2</v>
      </c>
      <c r="M97">
        <f t="shared" ca="1" si="14"/>
        <v>0.17529880478087662</v>
      </c>
      <c r="N97">
        <f t="shared" ca="1" si="14"/>
        <v>0.10336726703210659</v>
      </c>
      <c r="O97">
        <f t="shared" ca="1" si="14"/>
        <v>0.23516153268219381</v>
      </c>
      <c r="P97">
        <f t="shared" ca="1" si="14"/>
        <v>0.24510571652310098</v>
      </c>
      <c r="Q97">
        <f t="shared" ca="1" si="14"/>
        <v>0.32301341589267285</v>
      </c>
      <c r="R97">
        <f t="shared" ca="1" si="14"/>
        <v>0.5657400450788882</v>
      </c>
      <c r="S97">
        <f t="shared" ca="1" si="14"/>
        <v>0.33433508640120219</v>
      </c>
      <c r="T97">
        <f t="shared" ca="1" si="14"/>
        <v>0.34847298355520762</v>
      </c>
      <c r="V97" s="4">
        <f t="shared" si="13"/>
        <v>41990</v>
      </c>
      <c r="W97" s="5">
        <f t="shared" ca="1" si="11"/>
        <v>0.5657400450788882</v>
      </c>
      <c r="Z97" s="4" t="str">
        <f ca="1">IF(OFFSET('Calc Canada'!$A$1,0,0,300)="","",OFFSET('Calc Canada'!$A$1,0,0,300))</f>
        <v/>
      </c>
      <c r="AA97" s="5" t="e">
        <f ca="1">IF(OFFSET('Calc Canada'!$A$1,0,MATCH(W$1,'Calc Canada'!$1:$1,0)-1,300)="","",OFFSET('Calc Canada'!$A$1,0,MATCH(W$1,'Calc Canada'!$1:$1,0)-1,300))</f>
        <v>#N/A</v>
      </c>
      <c r="AB97" s="5" t="e">
        <f ca="1">IF(OFFSET('Calc Canada'!$A$1,0,MATCH(X$1,'Calc Canada'!$1:$1,0)-1,300)="","",OFFSET('Calc Canada'!$A$1,0,MATCH(X$1,'Calc Canada'!$1:$1,0)-1,300))</f>
        <v>#N/A</v>
      </c>
      <c r="AC97" t="e">
        <f t="shared" ca="1" si="9"/>
        <v>#N/A</v>
      </c>
      <c r="AD97" t="e">
        <f t="shared" ca="1" si="10"/>
        <v>#N/A</v>
      </c>
    </row>
    <row r="98" spans="1:30" x14ac:dyDescent="0.25">
      <c r="A98" s="4">
        <v>41989</v>
      </c>
      <c r="B98">
        <v>0.95199999999999996</v>
      </c>
      <c r="C98" s="5">
        <v>1.0069999999999999</v>
      </c>
      <c r="D98">
        <v>1.29</v>
      </c>
      <c r="E98">
        <v>1.4159999999999999</v>
      </c>
      <c r="F98">
        <v>1.746</v>
      </c>
      <c r="G98">
        <v>2.2909999999999999</v>
      </c>
      <c r="H98">
        <f t="shared" ca="1" si="14"/>
        <v>0.60991379310344862</v>
      </c>
      <c r="I98">
        <f t="shared" ca="1" si="14"/>
        <v>0.35642317380352662</v>
      </c>
      <c r="J98">
        <f t="shared" ca="1" si="14"/>
        <v>0.21135175504107553</v>
      </c>
      <c r="K98">
        <f t="shared" ca="1" si="14"/>
        <v>0.158690176322418</v>
      </c>
      <c r="L98">
        <f t="shared" ca="1" si="14"/>
        <v>9.4100074682598872E-2</v>
      </c>
      <c r="M98">
        <f t="shared" ca="1" si="14"/>
        <v>0.1705006765899863</v>
      </c>
      <c r="N98">
        <f t="shared" ca="1" si="14"/>
        <v>9.8130841121495241E-2</v>
      </c>
      <c r="O98">
        <f t="shared" ca="1" si="14"/>
        <v>0.24645257654966399</v>
      </c>
      <c r="P98">
        <f t="shared" ca="1" si="14"/>
        <v>0.25700934579439255</v>
      </c>
      <c r="Q98">
        <f t="shared" ca="1" si="14"/>
        <v>0.32967032967032978</v>
      </c>
      <c r="R98">
        <f t="shared" ca="1" si="14"/>
        <v>0.55190440627333837</v>
      </c>
      <c r="S98">
        <f t="shared" ca="1" si="14"/>
        <v>0.34055265123226286</v>
      </c>
      <c r="T98">
        <f t="shared" ca="1" si="14"/>
        <v>0.35514018691588783</v>
      </c>
      <c r="V98" s="4">
        <f t="shared" si="13"/>
        <v>41989</v>
      </c>
      <c r="W98" s="5">
        <f t="shared" ca="1" si="11"/>
        <v>0.55190440627333837</v>
      </c>
      <c r="Z98" s="4" t="str">
        <f ca="1">IF(OFFSET('Calc Canada'!$A$1,0,0,300)="","",OFFSET('Calc Canada'!$A$1,0,0,300))</f>
        <v/>
      </c>
      <c r="AA98" s="5" t="e">
        <f ca="1">IF(OFFSET('Calc Canada'!$A$1,0,MATCH(W$1,'Calc Canada'!$1:$1,0)-1,300)="","",OFFSET('Calc Canada'!$A$1,0,MATCH(W$1,'Calc Canada'!$1:$1,0)-1,300))</f>
        <v>#N/A</v>
      </c>
      <c r="AB98" s="5" t="e">
        <f ca="1">IF(OFFSET('Calc Canada'!$A$1,0,MATCH(X$1,'Calc Canada'!$1:$1,0)-1,300)="","",OFFSET('Calc Canada'!$A$1,0,MATCH(X$1,'Calc Canada'!$1:$1,0)-1,300))</f>
        <v>#N/A</v>
      </c>
      <c r="AC98" t="e">
        <f t="shared" ca="1" si="9"/>
        <v>#N/A</v>
      </c>
      <c r="AD98" t="e">
        <f t="shared" ca="1" si="10"/>
        <v>#N/A</v>
      </c>
    </row>
    <row r="99" spans="1:30" x14ac:dyDescent="0.25">
      <c r="A99" s="4">
        <v>41988</v>
      </c>
      <c r="B99">
        <v>0.97499999999999998</v>
      </c>
      <c r="C99" s="5">
        <v>1.0329999999999999</v>
      </c>
      <c r="D99">
        <v>1.3340000000000001</v>
      </c>
      <c r="E99">
        <v>1.46</v>
      </c>
      <c r="F99">
        <v>1.782</v>
      </c>
      <c r="G99">
        <v>2.3199999999999998</v>
      </c>
      <c r="H99">
        <f t="shared" ca="1" si="14"/>
        <v>0.62061855670103128</v>
      </c>
      <c r="I99">
        <f t="shared" ca="1" si="14"/>
        <v>0.37298636926889733</v>
      </c>
      <c r="J99">
        <f t="shared" ca="1" si="14"/>
        <v>0.22379182156133845</v>
      </c>
      <c r="K99">
        <f t="shared" ca="1" si="14"/>
        <v>0.15613382899628239</v>
      </c>
      <c r="L99">
        <f t="shared" ca="1" si="14"/>
        <v>9.3680297397769452E-2</v>
      </c>
      <c r="M99">
        <f t="shared" ca="1" si="14"/>
        <v>0.16822429906542039</v>
      </c>
      <c r="N99">
        <f t="shared" ca="1" si="14"/>
        <v>9.790209790209782E-2</v>
      </c>
      <c r="O99">
        <f t="shared" ca="1" si="14"/>
        <v>0.23940520446096664</v>
      </c>
      <c r="P99">
        <f t="shared" ca="1" si="14"/>
        <v>0.25019425019425023</v>
      </c>
      <c r="Q99">
        <f t="shared" ca="1" si="14"/>
        <v>0.32657200811359038</v>
      </c>
      <c r="R99">
        <f t="shared" ca="1" si="14"/>
        <v>0.55687732342007457</v>
      </c>
      <c r="S99">
        <f t="shared" ca="1" si="14"/>
        <v>0.33308550185873609</v>
      </c>
      <c r="T99">
        <f t="shared" ca="1" si="14"/>
        <v>0.3480963480963481</v>
      </c>
      <c r="V99" s="4">
        <f t="shared" si="13"/>
        <v>41988</v>
      </c>
      <c r="W99" s="5">
        <f t="shared" ca="1" si="11"/>
        <v>0.55687732342007457</v>
      </c>
      <c r="Z99" s="4" t="str">
        <f ca="1">IF(OFFSET('Calc Canada'!$A$1,0,0,300)="","",OFFSET('Calc Canada'!$A$1,0,0,300))</f>
        <v/>
      </c>
      <c r="AA99" s="5" t="e">
        <f ca="1">IF(OFFSET('Calc Canada'!$A$1,0,MATCH(W$1,'Calc Canada'!$1:$1,0)-1,300)="","",OFFSET('Calc Canada'!$A$1,0,MATCH(W$1,'Calc Canada'!$1:$1,0)-1,300))</f>
        <v>#N/A</v>
      </c>
      <c r="AB99" s="5" t="e">
        <f ca="1">IF(OFFSET('Calc Canada'!$A$1,0,MATCH(X$1,'Calc Canada'!$1:$1,0)-1,300)="","",OFFSET('Calc Canada'!$A$1,0,MATCH(X$1,'Calc Canada'!$1:$1,0)-1,300))</f>
        <v>#N/A</v>
      </c>
      <c r="AC99" t="e">
        <f t="shared" ca="1" si="9"/>
        <v>#N/A</v>
      </c>
      <c r="AD99" t="e">
        <f t="shared" ca="1" si="10"/>
        <v>#N/A</v>
      </c>
    </row>
    <row r="100" spans="1:30" x14ac:dyDescent="0.25">
      <c r="A100" s="4">
        <v>41985</v>
      </c>
      <c r="B100">
        <v>0.96199999999999997</v>
      </c>
      <c r="C100" s="5">
        <v>1.022</v>
      </c>
      <c r="D100">
        <v>1.304</v>
      </c>
      <c r="E100">
        <v>1.43</v>
      </c>
      <c r="F100">
        <v>1.754</v>
      </c>
      <c r="G100">
        <v>2.3010000000000002</v>
      </c>
      <c r="H100">
        <f t="shared" ca="1" si="14"/>
        <v>0.60256410256410264</v>
      </c>
      <c r="I100">
        <f t="shared" ca="1" si="14"/>
        <v>0.35606060606060608</v>
      </c>
      <c r="J100">
        <f t="shared" ca="1" si="14"/>
        <v>0.210604929051531</v>
      </c>
      <c r="K100">
        <f t="shared" ca="1" si="14"/>
        <v>0.15909090909090895</v>
      </c>
      <c r="L100">
        <f t="shared" ca="1" si="14"/>
        <v>9.4100074682598858E-2</v>
      </c>
      <c r="M100">
        <f t="shared" ca="1" si="14"/>
        <v>0.17213114754098346</v>
      </c>
      <c r="N100">
        <f t="shared" ca="1" si="14"/>
        <v>9.8514464425332196E-2</v>
      </c>
      <c r="O100">
        <f t="shared" ca="1" si="14"/>
        <v>0.24197162061239733</v>
      </c>
      <c r="P100">
        <f t="shared" ca="1" si="14"/>
        <v>0.25332290852228306</v>
      </c>
      <c r="Q100">
        <f t="shared" ca="1" si="14"/>
        <v>0.32497492477432299</v>
      </c>
      <c r="R100">
        <f t="shared" ca="1" si="14"/>
        <v>0.5466766243465272</v>
      </c>
      <c r="S100">
        <f t="shared" ca="1" si="14"/>
        <v>0.3360716952949962</v>
      </c>
      <c r="T100">
        <f t="shared" ca="1" si="14"/>
        <v>0.35183737294761525</v>
      </c>
      <c r="V100" s="4">
        <f t="shared" si="13"/>
        <v>41985</v>
      </c>
      <c r="W100" s="5">
        <f t="shared" ca="1" si="11"/>
        <v>0.5466766243465272</v>
      </c>
      <c r="Z100" s="4" t="str">
        <f ca="1">IF(OFFSET('Calc Canada'!$A$1,0,0,300)="","",OFFSET('Calc Canada'!$A$1,0,0,300))</f>
        <v/>
      </c>
      <c r="AA100" s="5" t="e">
        <f ca="1">IF(OFFSET('Calc Canada'!$A$1,0,MATCH(W$1,'Calc Canada'!$1:$1,0)-1,300)="","",OFFSET('Calc Canada'!$A$1,0,MATCH(W$1,'Calc Canada'!$1:$1,0)-1,300))</f>
        <v>#N/A</v>
      </c>
      <c r="AB100" s="5" t="e">
        <f ca="1">IF(OFFSET('Calc Canada'!$A$1,0,MATCH(X$1,'Calc Canada'!$1:$1,0)-1,300)="","",OFFSET('Calc Canada'!$A$1,0,MATCH(X$1,'Calc Canada'!$1:$1,0)-1,300))</f>
        <v>#N/A</v>
      </c>
      <c r="AC100" t="e">
        <f t="shared" ca="1" si="9"/>
        <v>#N/A</v>
      </c>
      <c r="AD100" t="e">
        <f t="shared" ca="1" si="10"/>
        <v>#N/A</v>
      </c>
    </row>
    <row r="101" spans="1:30" x14ac:dyDescent="0.25">
      <c r="A101" s="4">
        <v>41984</v>
      </c>
      <c r="B101">
        <v>1.0169999999999999</v>
      </c>
      <c r="C101" s="5">
        <v>1.0780000000000001</v>
      </c>
      <c r="D101">
        <v>1.383</v>
      </c>
      <c r="E101">
        <v>1.5129999999999999</v>
      </c>
      <c r="F101">
        <v>1.823</v>
      </c>
      <c r="G101">
        <v>2.3620000000000001</v>
      </c>
      <c r="H101">
        <f t="shared" ca="1" si="14"/>
        <v>0.61491935483870952</v>
      </c>
      <c r="I101">
        <f t="shared" ca="1" si="14"/>
        <v>0.37841191066997509</v>
      </c>
      <c r="J101">
        <f t="shared" ca="1" si="14"/>
        <v>0.2267657992565055</v>
      </c>
      <c r="K101">
        <f t="shared" ca="1" si="14"/>
        <v>0.16129032258064502</v>
      </c>
      <c r="L101">
        <f t="shared" ca="1" si="14"/>
        <v>9.6654275092936712E-2</v>
      </c>
      <c r="M101">
        <f t="shared" ca="1" si="14"/>
        <v>0.1744966442953019</v>
      </c>
      <c r="N101">
        <f t="shared" ca="1" si="14"/>
        <v>0.10124610591900303</v>
      </c>
      <c r="O101">
        <f t="shared" ca="1" si="14"/>
        <v>0.23048327137546468</v>
      </c>
      <c r="P101">
        <f t="shared" ca="1" si="14"/>
        <v>0.24143302180685361</v>
      </c>
      <c r="Q101">
        <f t="shared" ca="1" si="14"/>
        <v>0.31664964249233912</v>
      </c>
      <c r="R101">
        <f t="shared" ca="1" si="14"/>
        <v>0.55390334572490685</v>
      </c>
      <c r="S101">
        <f t="shared" ca="1" si="14"/>
        <v>0.32713754646840137</v>
      </c>
      <c r="T101">
        <f t="shared" ca="1" si="14"/>
        <v>0.34267912772585662</v>
      </c>
      <c r="V101" s="4">
        <f t="shared" si="13"/>
        <v>41984</v>
      </c>
      <c r="W101" s="5">
        <f t="shared" ca="1" si="11"/>
        <v>0.55390334572490685</v>
      </c>
      <c r="Z101" s="4" t="str">
        <f ca="1">IF(OFFSET('Calc Canada'!$A$1,0,0,300)="","",OFFSET('Calc Canada'!$A$1,0,0,300))</f>
        <v/>
      </c>
      <c r="AA101" s="5" t="e">
        <f ca="1">IF(OFFSET('Calc Canada'!$A$1,0,MATCH(W$1,'Calc Canada'!$1:$1,0)-1,300)="","",OFFSET('Calc Canada'!$A$1,0,MATCH(W$1,'Calc Canada'!$1:$1,0)-1,300))</f>
        <v>#N/A</v>
      </c>
      <c r="AB101" s="5" t="e">
        <f ca="1">IF(OFFSET('Calc Canada'!$A$1,0,MATCH(X$1,'Calc Canada'!$1:$1,0)-1,300)="","",OFFSET('Calc Canada'!$A$1,0,MATCH(X$1,'Calc Canada'!$1:$1,0)-1,300))</f>
        <v>#N/A</v>
      </c>
      <c r="AC101" t="e">
        <f t="shared" ca="1" si="9"/>
        <v>#N/A</v>
      </c>
      <c r="AD101" t="e">
        <f t="shared" ca="1" si="10"/>
        <v>#N/A</v>
      </c>
    </row>
    <row r="102" spans="1:30" x14ac:dyDescent="0.25">
      <c r="A102" s="4">
        <v>41983</v>
      </c>
      <c r="B102">
        <v>0.997</v>
      </c>
      <c r="C102" s="5">
        <v>1.0580000000000001</v>
      </c>
      <c r="D102">
        <v>1.373</v>
      </c>
      <c r="E102">
        <v>1.506</v>
      </c>
      <c r="F102">
        <v>1.83</v>
      </c>
      <c r="G102">
        <v>2.3780000000000001</v>
      </c>
      <c r="H102">
        <f t="shared" ca="1" si="14"/>
        <v>0.61886051080550086</v>
      </c>
      <c r="I102">
        <f t="shared" ca="1" si="14"/>
        <v>0.37815126050420156</v>
      </c>
      <c r="J102">
        <f t="shared" ca="1" si="14"/>
        <v>0.22809558291093404</v>
      </c>
      <c r="K102">
        <f t="shared" ca="1" si="14"/>
        <v>0.15966386554621848</v>
      </c>
      <c r="L102">
        <f t="shared" ca="1" si="14"/>
        <v>9.630702389572772E-2</v>
      </c>
      <c r="M102">
        <f t="shared" ca="1" si="14"/>
        <v>0.17227979274611399</v>
      </c>
      <c r="N102">
        <f t="shared" ca="1" si="14"/>
        <v>0.10075757575757575</v>
      </c>
      <c r="O102">
        <f t="shared" ca="1" si="14"/>
        <v>0.23461259956553224</v>
      </c>
      <c r="P102">
        <f t="shared" ca="1" si="14"/>
        <v>0.24545454545454548</v>
      </c>
      <c r="Q102">
        <f t="shared" ca="1" si="14"/>
        <v>0.32238805970149259</v>
      </c>
      <c r="R102">
        <f t="shared" ca="1" si="14"/>
        <v>0.55901520637219393</v>
      </c>
      <c r="S102">
        <f t="shared" ca="1" si="14"/>
        <v>0.33091962346125997</v>
      </c>
      <c r="T102">
        <f t="shared" ca="1" si="14"/>
        <v>0.34621212121212125</v>
      </c>
      <c r="V102" s="4">
        <f t="shared" si="13"/>
        <v>41983</v>
      </c>
      <c r="W102" s="5">
        <f t="shared" ca="1" si="11"/>
        <v>0.55901520637219393</v>
      </c>
      <c r="Z102" s="4" t="str">
        <f ca="1">IF(OFFSET('Calc Canada'!$A$1,0,0,300)="","",OFFSET('Calc Canada'!$A$1,0,0,300))</f>
        <v/>
      </c>
      <c r="AA102" s="5" t="e">
        <f ca="1">IF(OFFSET('Calc Canada'!$A$1,0,MATCH(W$1,'Calc Canada'!$1:$1,0)-1,300)="","",OFFSET('Calc Canada'!$A$1,0,MATCH(W$1,'Calc Canada'!$1:$1,0)-1,300))</f>
        <v>#N/A</v>
      </c>
      <c r="AB102" s="5" t="e">
        <f ca="1">IF(OFFSET('Calc Canada'!$A$1,0,MATCH(X$1,'Calc Canada'!$1:$1,0)-1,300)="","",OFFSET('Calc Canada'!$A$1,0,MATCH(X$1,'Calc Canada'!$1:$1,0)-1,300))</f>
        <v>#N/A</v>
      </c>
      <c r="AC102" t="e">
        <f t="shared" ca="1" si="9"/>
        <v>#N/A</v>
      </c>
      <c r="AD102" t="e">
        <f t="shared" ca="1" si="10"/>
        <v>#N/A</v>
      </c>
    </row>
    <row r="103" spans="1:30" x14ac:dyDescent="0.25">
      <c r="A103" s="4">
        <v>41982</v>
      </c>
      <c r="B103">
        <v>1.018</v>
      </c>
      <c r="C103" s="5">
        <v>1.087</v>
      </c>
      <c r="D103">
        <v>1.427</v>
      </c>
      <c r="E103">
        <v>1.5580000000000001</v>
      </c>
      <c r="F103">
        <v>1.8780000000000001</v>
      </c>
      <c r="G103">
        <v>2.4079999999999999</v>
      </c>
      <c r="H103">
        <f t="shared" ca="1" si="14"/>
        <v>0.62962962962962976</v>
      </c>
      <c r="I103">
        <f t="shared" ca="1" si="14"/>
        <v>0.39534883720930236</v>
      </c>
      <c r="J103">
        <f t="shared" ca="1" si="14"/>
        <v>0.24460431654676265</v>
      </c>
      <c r="K103">
        <f t="shared" ca="1" si="14"/>
        <v>0.15232558139534882</v>
      </c>
      <c r="L103">
        <f t="shared" ca="1" si="14"/>
        <v>9.4244604316546771E-2</v>
      </c>
      <c r="M103">
        <f t="shared" ca="1" si="14"/>
        <v>0.16561314791403284</v>
      </c>
      <c r="N103">
        <f t="shared" ca="1" si="14"/>
        <v>9.9167297501892515E-2</v>
      </c>
      <c r="O103">
        <f t="shared" ca="1" si="14"/>
        <v>0.23021582733812956</v>
      </c>
      <c r="P103">
        <f t="shared" ca="1" si="14"/>
        <v>0.24224072672218022</v>
      </c>
      <c r="Q103">
        <f t="shared" ca="1" si="14"/>
        <v>0.32619775739041806</v>
      </c>
      <c r="R103">
        <f t="shared" ca="1" si="14"/>
        <v>0.56906474820143904</v>
      </c>
      <c r="S103">
        <f t="shared" ca="1" si="14"/>
        <v>0.32446043165467631</v>
      </c>
      <c r="T103">
        <f t="shared" ca="1" si="14"/>
        <v>0.34140802422407274</v>
      </c>
      <c r="V103" s="4">
        <f t="shared" si="13"/>
        <v>41982</v>
      </c>
      <c r="W103" s="5">
        <f t="shared" ca="1" si="11"/>
        <v>0.56906474820143904</v>
      </c>
      <c r="Z103" s="4" t="str">
        <f ca="1">IF(OFFSET('Calc Canada'!$A$1,0,0,300)="","",OFFSET('Calc Canada'!$A$1,0,0,300))</f>
        <v/>
      </c>
      <c r="AA103" s="5" t="e">
        <f ca="1">IF(OFFSET('Calc Canada'!$A$1,0,MATCH(W$1,'Calc Canada'!$1:$1,0)-1,300)="","",OFFSET('Calc Canada'!$A$1,0,MATCH(W$1,'Calc Canada'!$1:$1,0)-1,300))</f>
        <v>#N/A</v>
      </c>
      <c r="AB103" s="5" t="e">
        <f ca="1">IF(OFFSET('Calc Canada'!$A$1,0,MATCH(X$1,'Calc Canada'!$1:$1,0)-1,300)="","",OFFSET('Calc Canada'!$A$1,0,MATCH(X$1,'Calc Canada'!$1:$1,0)-1,300))</f>
        <v>#N/A</v>
      </c>
      <c r="AC103" t="e">
        <f t="shared" ca="1" si="9"/>
        <v>#N/A</v>
      </c>
      <c r="AD103" t="e">
        <f t="shared" ca="1" si="10"/>
        <v>#N/A</v>
      </c>
    </row>
    <row r="104" spans="1:30" x14ac:dyDescent="0.25">
      <c r="A104" s="4">
        <v>41981</v>
      </c>
      <c r="B104">
        <v>1.024</v>
      </c>
      <c r="C104" s="5">
        <v>1.0940000000000001</v>
      </c>
      <c r="D104">
        <v>1.444</v>
      </c>
      <c r="E104">
        <v>1.5819999999999999</v>
      </c>
      <c r="F104">
        <v>1.8940000000000001</v>
      </c>
      <c r="G104">
        <v>2.4220000000000002</v>
      </c>
      <c r="H104">
        <f t="shared" ca="1" si="14"/>
        <v>0.62724014336917555</v>
      </c>
      <c r="I104">
        <f t="shared" ca="1" si="14"/>
        <v>0.40229885057471243</v>
      </c>
      <c r="J104">
        <f t="shared" ca="1" si="14"/>
        <v>0.25035765379113006</v>
      </c>
      <c r="K104">
        <f t="shared" ca="1" si="14"/>
        <v>0.15862068965517229</v>
      </c>
      <c r="L104">
        <f t="shared" ca="1" si="14"/>
        <v>9.8712446351931243E-2</v>
      </c>
      <c r="M104">
        <f t="shared" ca="1" si="14"/>
        <v>0.17249999999999988</v>
      </c>
      <c r="N104">
        <f t="shared" ca="1" si="14"/>
        <v>0.10391566265060233</v>
      </c>
      <c r="O104">
        <f t="shared" ca="1" si="14"/>
        <v>0.22317596566523623</v>
      </c>
      <c r="P104">
        <f t="shared" ca="1" si="14"/>
        <v>0.23493975903614478</v>
      </c>
      <c r="Q104">
        <f t="shared" ca="1" si="14"/>
        <v>0.31901840490797567</v>
      </c>
      <c r="R104">
        <f t="shared" ca="1" si="14"/>
        <v>0.57224606580829751</v>
      </c>
      <c r="S104">
        <f t="shared" ca="1" si="14"/>
        <v>0.3218884120171675</v>
      </c>
      <c r="T104">
        <f t="shared" ca="1" si="14"/>
        <v>0.33885542168674709</v>
      </c>
      <c r="V104" s="4">
        <f t="shared" si="13"/>
        <v>41981</v>
      </c>
      <c r="W104" s="5">
        <f t="shared" ca="1" si="11"/>
        <v>0.57224606580829751</v>
      </c>
      <c r="Z104" s="4" t="str">
        <f ca="1">IF(OFFSET('Calc Canada'!$A$1,0,0,300)="","",OFFSET('Calc Canada'!$A$1,0,0,300))</f>
        <v/>
      </c>
      <c r="AA104" s="5" t="e">
        <f ca="1">IF(OFFSET('Calc Canada'!$A$1,0,MATCH(W$1,'Calc Canada'!$1:$1,0)-1,300)="","",OFFSET('Calc Canada'!$A$1,0,MATCH(W$1,'Calc Canada'!$1:$1,0)-1,300))</f>
        <v>#N/A</v>
      </c>
      <c r="AB104" s="5" t="e">
        <f ca="1">IF(OFFSET('Calc Canada'!$A$1,0,MATCH(X$1,'Calc Canada'!$1:$1,0)-1,300)="","",OFFSET('Calc Canada'!$A$1,0,MATCH(X$1,'Calc Canada'!$1:$1,0)-1,300))</f>
        <v>#N/A</v>
      </c>
      <c r="AC104" t="e">
        <f t="shared" ca="1" si="9"/>
        <v>#N/A</v>
      </c>
      <c r="AD104" t="e">
        <f t="shared" ca="1" si="10"/>
        <v>#N/A</v>
      </c>
    </row>
    <row r="105" spans="1:30" x14ac:dyDescent="0.25">
      <c r="A105" s="4">
        <v>41978</v>
      </c>
      <c r="B105">
        <v>1.0449999999999999</v>
      </c>
      <c r="C105" s="5">
        <v>1.117</v>
      </c>
      <c r="D105">
        <v>1.484</v>
      </c>
      <c r="E105">
        <v>1.6219999999999999</v>
      </c>
      <c r="F105">
        <v>1.9550000000000001</v>
      </c>
      <c r="G105">
        <v>2.4790000000000001</v>
      </c>
      <c r="H105">
        <f t="shared" ca="1" si="14"/>
        <v>0.636048526863085</v>
      </c>
      <c r="I105">
        <f t="shared" ca="1" si="14"/>
        <v>0.40329670329670325</v>
      </c>
      <c r="J105">
        <f t="shared" ca="1" si="14"/>
        <v>0.25592747559274753</v>
      </c>
      <c r="K105">
        <f t="shared" ca="1" si="14"/>
        <v>0.15164835164835153</v>
      </c>
      <c r="L105">
        <f t="shared" ca="1" si="14"/>
        <v>9.623430962343088E-2</v>
      </c>
      <c r="M105">
        <f t="shared" ca="1" si="14"/>
        <v>0.16467780429594259</v>
      </c>
      <c r="N105">
        <f t="shared" ca="1" si="14"/>
        <v>0.10132158590308361</v>
      </c>
      <c r="O105">
        <f t="shared" ca="1" si="14"/>
        <v>0.23221757322175743</v>
      </c>
      <c r="P105">
        <f t="shared" ca="1" si="14"/>
        <v>0.24449339207048471</v>
      </c>
      <c r="Q105">
        <f t="shared" ca="1" si="14"/>
        <v>0.33467336683417098</v>
      </c>
      <c r="R105">
        <f t="shared" ca="1" si="14"/>
        <v>0.58437935843793587</v>
      </c>
      <c r="S105">
        <f t="shared" ca="1" si="14"/>
        <v>0.32845188284518828</v>
      </c>
      <c r="T105">
        <f t="shared" ca="1" si="14"/>
        <v>0.3458149779735683</v>
      </c>
      <c r="V105" s="4">
        <f t="shared" si="13"/>
        <v>41978</v>
      </c>
      <c r="W105" s="5">
        <f t="shared" ca="1" si="11"/>
        <v>0.58437935843793587</v>
      </c>
      <c r="Z105" s="4" t="str">
        <f ca="1">IF(OFFSET('Calc Canada'!$A$1,0,0,300)="","",OFFSET('Calc Canada'!$A$1,0,0,300))</f>
        <v/>
      </c>
      <c r="AA105" s="5" t="e">
        <f ca="1">IF(OFFSET('Calc Canada'!$A$1,0,MATCH(W$1,'Calc Canada'!$1:$1,0)-1,300)="","",OFFSET('Calc Canada'!$A$1,0,MATCH(W$1,'Calc Canada'!$1:$1,0)-1,300))</f>
        <v>#N/A</v>
      </c>
      <c r="AB105" s="5" t="e">
        <f ca="1">IF(OFFSET('Calc Canada'!$A$1,0,MATCH(X$1,'Calc Canada'!$1:$1,0)-1,300)="","",OFFSET('Calc Canada'!$A$1,0,MATCH(X$1,'Calc Canada'!$1:$1,0)-1,300))</f>
        <v>#N/A</v>
      </c>
      <c r="AC105" t="e">
        <f t="shared" ca="1" si="9"/>
        <v>#N/A</v>
      </c>
      <c r="AD105" t="e">
        <f t="shared" ca="1" si="10"/>
        <v>#N/A</v>
      </c>
    </row>
    <row r="106" spans="1:30" x14ac:dyDescent="0.25">
      <c r="A106" s="4">
        <v>41977</v>
      </c>
      <c r="B106">
        <v>1.0149999999999999</v>
      </c>
      <c r="C106" s="5">
        <v>1.083</v>
      </c>
      <c r="D106">
        <v>1.425</v>
      </c>
      <c r="E106">
        <v>1.5629999999999999</v>
      </c>
      <c r="F106">
        <v>1.9060000000000001</v>
      </c>
      <c r="G106">
        <v>2.4529999999999998</v>
      </c>
      <c r="H106">
        <f t="shared" ca="1" si="14"/>
        <v>0.62408759124087598</v>
      </c>
      <c r="I106">
        <f t="shared" ca="1" si="14"/>
        <v>0.38383838383838381</v>
      </c>
      <c r="J106">
        <f t="shared" ca="1" si="14"/>
        <v>0.23783031988873443</v>
      </c>
      <c r="K106">
        <f t="shared" ca="1" si="14"/>
        <v>0.15488215488215473</v>
      </c>
      <c r="L106">
        <f t="shared" ca="1" si="14"/>
        <v>9.5966620305980466E-2</v>
      </c>
      <c r="M106">
        <f t="shared" ca="1" si="14"/>
        <v>0.16767922235722948</v>
      </c>
      <c r="N106">
        <f t="shared" ca="1" si="14"/>
        <v>0.1007299270072992</v>
      </c>
      <c r="O106">
        <f t="shared" ca="1" si="14"/>
        <v>0.23852573018080683</v>
      </c>
      <c r="P106">
        <f t="shared" ca="1" si="14"/>
        <v>0.25036496350364978</v>
      </c>
      <c r="Q106">
        <f t="shared" ca="1" si="14"/>
        <v>0.33365758754863839</v>
      </c>
      <c r="R106">
        <f t="shared" ca="1" si="14"/>
        <v>0.57232267037552165</v>
      </c>
      <c r="S106">
        <f t="shared" ca="1" si="14"/>
        <v>0.33449235048678727</v>
      </c>
      <c r="T106">
        <f t="shared" ca="1" si="14"/>
        <v>0.351094890510949</v>
      </c>
      <c r="V106" s="4">
        <f t="shared" si="13"/>
        <v>41977</v>
      </c>
      <c r="W106" s="5">
        <f t="shared" ca="1" si="11"/>
        <v>0.57232267037552165</v>
      </c>
      <c r="Z106" s="4" t="str">
        <f ca="1">IF(OFFSET('Calc Canada'!$A$1,0,0,300)="","",OFFSET('Calc Canada'!$A$1,0,0,300))</f>
        <v/>
      </c>
      <c r="AA106" s="5" t="e">
        <f ca="1">IF(OFFSET('Calc Canada'!$A$1,0,MATCH(W$1,'Calc Canada'!$1:$1,0)-1,300)="","",OFFSET('Calc Canada'!$A$1,0,MATCH(W$1,'Calc Canada'!$1:$1,0)-1,300))</f>
        <v>#N/A</v>
      </c>
      <c r="AB106" s="5" t="e">
        <f ca="1">IF(OFFSET('Calc Canada'!$A$1,0,MATCH(X$1,'Calc Canada'!$1:$1,0)-1,300)="","",OFFSET('Calc Canada'!$A$1,0,MATCH(X$1,'Calc Canada'!$1:$1,0)-1,300))</f>
        <v>#N/A</v>
      </c>
      <c r="AC106" t="e">
        <f t="shared" ca="1" si="9"/>
        <v>#N/A</v>
      </c>
      <c r="AD106" t="e">
        <f t="shared" ca="1" si="10"/>
        <v>#N/A</v>
      </c>
    </row>
    <row r="107" spans="1:30" x14ac:dyDescent="0.25">
      <c r="A107" s="4">
        <v>41976</v>
      </c>
      <c r="B107">
        <v>1.024</v>
      </c>
      <c r="C107" s="5">
        <v>1.089</v>
      </c>
      <c r="D107">
        <v>1.4490000000000001</v>
      </c>
      <c r="E107">
        <v>1.595</v>
      </c>
      <c r="F107">
        <v>1.9370000000000001</v>
      </c>
      <c r="G107">
        <v>2.4849999999999999</v>
      </c>
      <c r="H107">
        <f t="shared" ca="1" si="14"/>
        <v>0.63047285464098091</v>
      </c>
      <c r="I107">
        <f t="shared" ca="1" si="14"/>
        <v>0.39430449069003293</v>
      </c>
      <c r="J107">
        <f t="shared" ca="1" si="14"/>
        <v>0.24640657084188922</v>
      </c>
      <c r="K107">
        <f t="shared" ca="1" si="14"/>
        <v>0.15991237677984654</v>
      </c>
      <c r="L107">
        <f t="shared" ca="1" si="14"/>
        <v>9.9931553730321643E-2</v>
      </c>
      <c r="M107">
        <f t="shared" ca="1" si="14"/>
        <v>0.1721698113207546</v>
      </c>
      <c r="N107">
        <f t="shared" ca="1" si="14"/>
        <v>0.10458452722063032</v>
      </c>
      <c r="O107">
        <f t="shared" ca="1" si="14"/>
        <v>0.23408624229979474</v>
      </c>
      <c r="P107">
        <f t="shared" ca="1" si="14"/>
        <v>0.2449856733524356</v>
      </c>
      <c r="Q107">
        <f t="shared" ca="1" si="14"/>
        <v>0.33011583011583023</v>
      </c>
      <c r="R107">
        <f t="shared" ca="1" si="14"/>
        <v>0.5804243668720056</v>
      </c>
      <c r="S107">
        <f t="shared" ca="1" si="14"/>
        <v>0.33401779603011639</v>
      </c>
      <c r="T107">
        <f t="shared" ca="1" si="14"/>
        <v>0.34957020057306593</v>
      </c>
      <c r="V107" s="4">
        <f t="shared" si="13"/>
        <v>41976</v>
      </c>
      <c r="W107" s="5">
        <f t="shared" ca="1" si="11"/>
        <v>0.5804243668720056</v>
      </c>
      <c r="Z107" s="4" t="str">
        <f ca="1">IF(OFFSET('Calc Canada'!$A$1,0,0,300)="","",OFFSET('Calc Canada'!$A$1,0,0,300))</f>
        <v/>
      </c>
      <c r="AA107" s="5" t="e">
        <f ca="1">IF(OFFSET('Calc Canada'!$A$1,0,MATCH(W$1,'Calc Canada'!$1:$1,0)-1,300)="","",OFFSET('Calc Canada'!$A$1,0,MATCH(W$1,'Calc Canada'!$1:$1,0)-1,300))</f>
        <v>#N/A</v>
      </c>
      <c r="AB107" s="5" t="e">
        <f ca="1">IF(OFFSET('Calc Canada'!$A$1,0,MATCH(X$1,'Calc Canada'!$1:$1,0)-1,300)="","",OFFSET('Calc Canada'!$A$1,0,MATCH(X$1,'Calc Canada'!$1:$1,0)-1,300))</f>
        <v>#N/A</v>
      </c>
      <c r="AC107" t="e">
        <f t="shared" ca="1" si="9"/>
        <v>#N/A</v>
      </c>
      <c r="AD107" t="e">
        <f t="shared" ca="1" si="10"/>
        <v>#N/A</v>
      </c>
    </row>
    <row r="108" spans="1:30" x14ac:dyDescent="0.25">
      <c r="A108" s="4">
        <v>41975</v>
      </c>
      <c r="B108">
        <v>1.008</v>
      </c>
      <c r="C108" s="5">
        <v>1.075</v>
      </c>
      <c r="D108">
        <v>1.446</v>
      </c>
      <c r="E108">
        <v>1.599</v>
      </c>
      <c r="F108">
        <v>1.9550000000000001</v>
      </c>
      <c r="G108">
        <v>2.5099999999999998</v>
      </c>
      <c r="H108">
        <f t="shared" ca="1" si="14"/>
        <v>0.6277495769881557</v>
      </c>
      <c r="I108">
        <f t="shared" ca="1" si="14"/>
        <v>0.39176346356916575</v>
      </c>
      <c r="J108">
        <f t="shared" ca="1" si="14"/>
        <v>0.24700399467376835</v>
      </c>
      <c r="K108">
        <f t="shared" ca="1" si="14"/>
        <v>0.16156282998944035</v>
      </c>
      <c r="L108">
        <f t="shared" ca="1" si="14"/>
        <v>0.10186418109187753</v>
      </c>
      <c r="M108">
        <f t="shared" ca="1" si="14"/>
        <v>0.17386363636363636</v>
      </c>
      <c r="N108">
        <f t="shared" ca="1" si="14"/>
        <v>0.10662020905923347</v>
      </c>
      <c r="O108">
        <f t="shared" ca="1" si="14"/>
        <v>0.23701731025299611</v>
      </c>
      <c r="P108">
        <f t="shared" ca="1" si="14"/>
        <v>0.24808362369337988</v>
      </c>
      <c r="Q108">
        <f t="shared" ca="1" si="14"/>
        <v>0.33458646616541365</v>
      </c>
      <c r="R108">
        <f t="shared" ca="1" si="14"/>
        <v>0.58588548601864199</v>
      </c>
      <c r="S108">
        <f t="shared" ca="1" si="14"/>
        <v>0.33888149134487361</v>
      </c>
      <c r="T108">
        <f t="shared" ca="1" si="14"/>
        <v>0.35470383275261336</v>
      </c>
      <c r="V108" s="4">
        <f t="shared" si="13"/>
        <v>41975</v>
      </c>
      <c r="W108" s="5">
        <f t="shared" ca="1" si="11"/>
        <v>0.58588548601864199</v>
      </c>
      <c r="Z108" s="4" t="str">
        <f ca="1">IF(OFFSET('Calc Canada'!$A$1,0,0,300)="","",OFFSET('Calc Canada'!$A$1,0,0,300))</f>
        <v/>
      </c>
      <c r="AA108" s="5" t="e">
        <f ca="1">IF(OFFSET('Calc Canada'!$A$1,0,MATCH(W$1,'Calc Canada'!$1:$1,0)-1,300)="","",OFFSET('Calc Canada'!$A$1,0,MATCH(W$1,'Calc Canada'!$1:$1,0)-1,300))</f>
        <v>#N/A</v>
      </c>
      <c r="AB108" s="5" t="e">
        <f ca="1">IF(OFFSET('Calc Canada'!$A$1,0,MATCH(X$1,'Calc Canada'!$1:$1,0)-1,300)="","",OFFSET('Calc Canada'!$A$1,0,MATCH(X$1,'Calc Canada'!$1:$1,0)-1,300))</f>
        <v>#N/A</v>
      </c>
      <c r="AC108" t="e">
        <f t="shared" ca="1" si="9"/>
        <v>#N/A</v>
      </c>
      <c r="AD108" t="e">
        <f t="shared" ca="1" si="10"/>
        <v>#N/A</v>
      </c>
    </row>
    <row r="109" spans="1:30" x14ac:dyDescent="0.25">
      <c r="A109" s="4">
        <v>41974</v>
      </c>
      <c r="B109">
        <v>0.99</v>
      </c>
      <c r="C109" s="5">
        <v>1.054</v>
      </c>
      <c r="D109">
        <v>1.3900000000000001</v>
      </c>
      <c r="E109">
        <v>1.542</v>
      </c>
      <c r="F109">
        <v>1.8940000000000001</v>
      </c>
      <c r="G109">
        <v>2.4510000000000001</v>
      </c>
      <c r="H109">
        <f t="shared" ref="H109:T124" ca="1" si="15">IF(ISERROR(ABS(OFFSET($A$11,ROW()-11,MATCH(LEFT(H$9,2),$A$11:$G$11,0)-1)-OFFSET($A$11,ROW()-11,MATCH(RIGHT(H$9,2),$A$11:$G$11,0)-1))/ABS(OFFSET($A$11,ROW()-11,MATCH(LEFT(H$10,2),$A$11:$G$11,0)-1)-OFFSET($A$11,ROW()-11,MATCH(RIGHT(H$10,2),$A$11:$G$11,0)-1))),"",ABS(OFFSET($A$11,ROW()-11,MATCH(LEFT(H$9,2),$A$11:$G$11,0)-1)-OFFSET($A$11,ROW()-11,MATCH(RIGHT(H$9,2),$A$11:$G$11,0)-1))/ABS(OFFSET($A$11,ROW()-11,MATCH(LEFT(H$10,2),$A$11:$G$11,0)-1)-OFFSET($A$11,ROW()-11,MATCH(RIGHT(H$10,2),$A$11:$G$11,0)-1)))</f>
        <v>0.60869565217391308</v>
      </c>
      <c r="I109">
        <f t="shared" ca="1" si="15"/>
        <v>0.37168141592920356</v>
      </c>
      <c r="J109">
        <f t="shared" ca="1" si="15"/>
        <v>0.22997946611909656</v>
      </c>
      <c r="K109">
        <f t="shared" ca="1" si="15"/>
        <v>0.16814159292035386</v>
      </c>
      <c r="L109">
        <f t="shared" ca="1" si="15"/>
        <v>0.10403832991101979</v>
      </c>
      <c r="M109">
        <f t="shared" ca="1" si="15"/>
        <v>0.18095238095238084</v>
      </c>
      <c r="N109">
        <f t="shared" ca="1" si="15"/>
        <v>0.10880458124552607</v>
      </c>
      <c r="O109">
        <f t="shared" ca="1" si="15"/>
        <v>0.24093086926762497</v>
      </c>
      <c r="P109">
        <f t="shared" ca="1" si="15"/>
        <v>0.25196850393700793</v>
      </c>
      <c r="Q109">
        <f t="shared" ca="1" si="15"/>
        <v>0.33176248821866172</v>
      </c>
      <c r="R109">
        <f t="shared" ca="1" si="15"/>
        <v>0.57494866529774125</v>
      </c>
      <c r="S109">
        <f t="shared" ca="1" si="15"/>
        <v>0.34496919917864477</v>
      </c>
      <c r="T109">
        <f t="shared" ca="1" si="15"/>
        <v>0.36077308518253398</v>
      </c>
      <c r="V109" s="4">
        <f t="shared" si="13"/>
        <v>41974</v>
      </c>
      <c r="W109" s="5">
        <f t="shared" ca="1" si="11"/>
        <v>0.57494866529774125</v>
      </c>
      <c r="Z109" s="4" t="str">
        <f ca="1">IF(OFFSET('Calc Canada'!$A$1,0,0,300)="","",OFFSET('Calc Canada'!$A$1,0,0,300))</f>
        <v/>
      </c>
      <c r="AA109" s="5" t="e">
        <f ca="1">IF(OFFSET('Calc Canada'!$A$1,0,MATCH(W$1,'Calc Canada'!$1:$1,0)-1,300)="","",OFFSET('Calc Canada'!$A$1,0,MATCH(W$1,'Calc Canada'!$1:$1,0)-1,300))</f>
        <v>#N/A</v>
      </c>
      <c r="AB109" s="5" t="e">
        <f ca="1">IF(OFFSET('Calc Canada'!$A$1,0,MATCH(X$1,'Calc Canada'!$1:$1,0)-1,300)="","",OFFSET('Calc Canada'!$A$1,0,MATCH(X$1,'Calc Canada'!$1:$1,0)-1,300))</f>
        <v>#N/A</v>
      </c>
      <c r="AC109" t="e">
        <f t="shared" ca="1" si="9"/>
        <v>#N/A</v>
      </c>
      <c r="AD109" t="e">
        <f t="shared" ca="1" si="10"/>
        <v>#N/A</v>
      </c>
    </row>
    <row r="110" spans="1:30" x14ac:dyDescent="0.25">
      <c r="A110" s="4">
        <v>41971</v>
      </c>
      <c r="B110">
        <v>0.99199999999999999</v>
      </c>
      <c r="C110" s="5">
        <v>1.056</v>
      </c>
      <c r="D110">
        <v>1.377</v>
      </c>
      <c r="E110">
        <v>1.5190000000000001</v>
      </c>
      <c r="F110">
        <v>1.8559999999999999</v>
      </c>
      <c r="G110">
        <v>2.4220000000000002</v>
      </c>
      <c r="H110">
        <f t="shared" ca="1" si="15"/>
        <v>0.60910815939278917</v>
      </c>
      <c r="I110">
        <f t="shared" ca="1" si="15"/>
        <v>0.37152777777777779</v>
      </c>
      <c r="J110">
        <f t="shared" ca="1" si="15"/>
        <v>0.22447552447552441</v>
      </c>
      <c r="K110">
        <f t="shared" ca="1" si="15"/>
        <v>0.16435185185185203</v>
      </c>
      <c r="L110">
        <f t="shared" ca="1" si="15"/>
        <v>9.9300699300699374E-2</v>
      </c>
      <c r="M110">
        <f t="shared" ca="1" si="15"/>
        <v>0.17750000000000019</v>
      </c>
      <c r="N110">
        <f t="shared" ca="1" si="15"/>
        <v>0.10395314787701326</v>
      </c>
      <c r="O110">
        <f t="shared" ca="1" si="15"/>
        <v>0.23566433566433545</v>
      </c>
      <c r="P110">
        <f t="shared" ca="1" si="15"/>
        <v>0.24670571010248882</v>
      </c>
      <c r="Q110">
        <f t="shared" ca="1" si="15"/>
        <v>0.32248803827751166</v>
      </c>
      <c r="R110">
        <f t="shared" ca="1" si="15"/>
        <v>0.55944055944055926</v>
      </c>
      <c r="S110">
        <f t="shared" ca="1" si="15"/>
        <v>0.33496503496503482</v>
      </c>
      <c r="T110">
        <f t="shared" ca="1" si="15"/>
        <v>0.35065885797950208</v>
      </c>
      <c r="V110" s="4">
        <f t="shared" si="13"/>
        <v>41971</v>
      </c>
      <c r="W110" s="5">
        <f t="shared" ca="1" si="11"/>
        <v>0.55944055944055926</v>
      </c>
      <c r="Z110" s="4" t="str">
        <f ca="1">IF(OFFSET('Calc Canada'!$A$1,0,0,300)="","",OFFSET('Calc Canada'!$A$1,0,0,300))</f>
        <v/>
      </c>
      <c r="AA110" s="5" t="e">
        <f ca="1">IF(OFFSET('Calc Canada'!$A$1,0,MATCH(W$1,'Calc Canada'!$1:$1,0)-1,300)="","",OFFSET('Calc Canada'!$A$1,0,MATCH(W$1,'Calc Canada'!$1:$1,0)-1,300))</f>
        <v>#N/A</v>
      </c>
      <c r="AB110" s="5" t="e">
        <f ca="1">IF(OFFSET('Calc Canada'!$A$1,0,MATCH(X$1,'Calc Canada'!$1:$1,0)-1,300)="","",OFFSET('Calc Canada'!$A$1,0,MATCH(X$1,'Calc Canada'!$1:$1,0)-1,300))</f>
        <v>#N/A</v>
      </c>
      <c r="AC110" t="e">
        <f t="shared" ca="1" si="9"/>
        <v>#N/A</v>
      </c>
      <c r="AD110" t="e">
        <f t="shared" ca="1" si="10"/>
        <v>#N/A</v>
      </c>
    </row>
    <row r="111" spans="1:30" x14ac:dyDescent="0.25">
      <c r="A111" s="4">
        <v>41970</v>
      </c>
      <c r="B111">
        <v>1.024</v>
      </c>
      <c r="C111" s="5">
        <v>1.0960000000000001</v>
      </c>
      <c r="D111">
        <v>1.4239999999999999</v>
      </c>
      <c r="E111">
        <v>1.573</v>
      </c>
      <c r="F111">
        <v>1.895</v>
      </c>
      <c r="G111">
        <v>2.4550000000000001</v>
      </c>
      <c r="H111">
        <f t="shared" ca="1" si="15"/>
        <v>0.59744990892531857</v>
      </c>
      <c r="I111">
        <f t="shared" ca="1" si="15"/>
        <v>0.3765786452353615</v>
      </c>
      <c r="J111">
        <f t="shared" ca="1" si="15"/>
        <v>0.22921034241788948</v>
      </c>
      <c r="K111">
        <f t="shared" ca="1" si="15"/>
        <v>0.17106773823191737</v>
      </c>
      <c r="L111">
        <f t="shared" ca="1" si="15"/>
        <v>0.10412299091544376</v>
      </c>
      <c r="M111">
        <f t="shared" ca="1" si="15"/>
        <v>0.18648310387984984</v>
      </c>
      <c r="N111">
        <f t="shared" ca="1" si="15"/>
        <v>0.1096394407652686</v>
      </c>
      <c r="O111">
        <f t="shared" ca="1" si="15"/>
        <v>0.22501747030048921</v>
      </c>
      <c r="P111">
        <f t="shared" ca="1" si="15"/>
        <v>0.23693892568064759</v>
      </c>
      <c r="Q111">
        <f t="shared" ca="1" si="15"/>
        <v>0.31231813773035888</v>
      </c>
      <c r="R111">
        <f t="shared" ca="1" si="15"/>
        <v>0.55835080363382239</v>
      </c>
      <c r="S111">
        <f t="shared" ca="1" si="15"/>
        <v>0.32914046121593299</v>
      </c>
      <c r="T111">
        <f t="shared" ca="1" si="15"/>
        <v>0.34657836644591616</v>
      </c>
      <c r="V111" s="4">
        <f t="shared" si="13"/>
        <v>41970</v>
      </c>
      <c r="W111" s="5">
        <f t="shared" ca="1" si="11"/>
        <v>0.55835080363382239</v>
      </c>
      <c r="Z111" s="4" t="str">
        <f ca="1">IF(OFFSET('Calc Canada'!$A$1,0,0,300)="","",OFFSET('Calc Canada'!$A$1,0,0,300))</f>
        <v/>
      </c>
      <c r="AA111" s="5" t="e">
        <f ca="1">IF(OFFSET('Calc Canada'!$A$1,0,MATCH(W$1,'Calc Canada'!$1:$1,0)-1,300)="","",OFFSET('Calc Canada'!$A$1,0,MATCH(W$1,'Calc Canada'!$1:$1,0)-1,300))</f>
        <v>#N/A</v>
      </c>
      <c r="AB111" s="5" t="e">
        <f ca="1">IF(OFFSET('Calc Canada'!$A$1,0,MATCH(X$1,'Calc Canada'!$1:$1,0)-1,300)="","",OFFSET('Calc Canada'!$A$1,0,MATCH(X$1,'Calc Canada'!$1:$1,0)-1,300))</f>
        <v>#N/A</v>
      </c>
      <c r="AC111" t="e">
        <f t="shared" ca="1" si="9"/>
        <v>#N/A</v>
      </c>
      <c r="AD111" t="e">
        <f t="shared" ca="1" si="10"/>
        <v>#N/A</v>
      </c>
    </row>
    <row r="112" spans="1:30" x14ac:dyDescent="0.25">
      <c r="A112" s="4">
        <v>41969</v>
      </c>
      <c r="B112">
        <v>1.04</v>
      </c>
      <c r="C112" s="5">
        <v>1.1120000000000001</v>
      </c>
      <c r="D112">
        <v>1.464</v>
      </c>
      <c r="E112">
        <v>1.6099999999999999</v>
      </c>
      <c r="F112">
        <v>1.9330000000000001</v>
      </c>
      <c r="G112">
        <v>2.4820000000000002</v>
      </c>
      <c r="H112">
        <f t="shared" ca="1" si="15"/>
        <v>0.61754385964912273</v>
      </c>
      <c r="I112">
        <f t="shared" ca="1" si="15"/>
        <v>0.39417693169092932</v>
      </c>
      <c r="J112">
        <f t="shared" ca="1" si="15"/>
        <v>0.24410540915395273</v>
      </c>
      <c r="K112">
        <f t="shared" ca="1" si="15"/>
        <v>0.16349384098544223</v>
      </c>
      <c r="L112">
        <f t="shared" ca="1" si="15"/>
        <v>0.10124826629680991</v>
      </c>
      <c r="M112">
        <f t="shared" ca="1" si="15"/>
        <v>0.17783191230207054</v>
      </c>
      <c r="N112">
        <f t="shared" ca="1" si="15"/>
        <v>0.10656934306569335</v>
      </c>
      <c r="O112">
        <f t="shared" ca="1" si="15"/>
        <v>0.22399445214979205</v>
      </c>
      <c r="P112">
        <f t="shared" ca="1" si="15"/>
        <v>0.23576642335766435</v>
      </c>
      <c r="Q112">
        <f t="shared" ca="1" si="15"/>
        <v>0.31728880157170936</v>
      </c>
      <c r="R112">
        <f t="shared" ca="1" si="15"/>
        <v>0.56934812760055464</v>
      </c>
      <c r="S112">
        <f t="shared" ca="1" si="15"/>
        <v>0.32524271844660196</v>
      </c>
      <c r="T112">
        <f t="shared" ca="1" si="15"/>
        <v>0.34233576642335772</v>
      </c>
      <c r="V112" s="4">
        <f t="shared" si="13"/>
        <v>41969</v>
      </c>
      <c r="W112" s="5">
        <f t="shared" ca="1" si="11"/>
        <v>0.56934812760055464</v>
      </c>
      <c r="Z112" s="4" t="str">
        <f ca="1">IF(OFFSET('Calc Canada'!$A$1,0,0,300)="","",OFFSET('Calc Canada'!$A$1,0,0,300))</f>
        <v/>
      </c>
      <c r="AA112" s="5" t="e">
        <f ca="1">IF(OFFSET('Calc Canada'!$A$1,0,MATCH(W$1,'Calc Canada'!$1:$1,0)-1,300)="","",OFFSET('Calc Canada'!$A$1,0,MATCH(W$1,'Calc Canada'!$1:$1,0)-1,300))</f>
        <v>#N/A</v>
      </c>
      <c r="AB112" s="5" t="e">
        <f ca="1">IF(OFFSET('Calc Canada'!$A$1,0,MATCH(X$1,'Calc Canada'!$1:$1,0)-1,300)="","",OFFSET('Calc Canada'!$A$1,0,MATCH(X$1,'Calc Canada'!$1:$1,0)-1,300))</f>
        <v>#N/A</v>
      </c>
      <c r="AC112" t="e">
        <f t="shared" ca="1" si="9"/>
        <v>#N/A</v>
      </c>
      <c r="AD112" t="e">
        <f t="shared" ca="1" si="10"/>
        <v>#N/A</v>
      </c>
    </row>
    <row r="113" spans="1:30" x14ac:dyDescent="0.25">
      <c r="A113" s="4">
        <v>41968</v>
      </c>
      <c r="B113">
        <v>1.044</v>
      </c>
      <c r="C113" s="5">
        <v>1.119</v>
      </c>
      <c r="D113">
        <v>1.4710000000000001</v>
      </c>
      <c r="E113">
        <v>1.6240000000000001</v>
      </c>
      <c r="F113">
        <v>1.9419999999999999</v>
      </c>
      <c r="G113">
        <v>2.4870000000000001</v>
      </c>
      <c r="H113">
        <f t="shared" ca="1" si="15"/>
        <v>0.60689655172413803</v>
      </c>
      <c r="I113">
        <f t="shared" ca="1" si="15"/>
        <v>0.3919821826280625</v>
      </c>
      <c r="J113">
        <f t="shared" ca="1" si="15"/>
        <v>0.243936243936244</v>
      </c>
      <c r="K113">
        <f t="shared" ca="1" si="15"/>
        <v>0.17037861915367489</v>
      </c>
      <c r="L113">
        <f t="shared" ca="1" si="15"/>
        <v>0.10602910602910603</v>
      </c>
      <c r="M113">
        <f t="shared" ca="1" si="15"/>
        <v>0.18590522478736335</v>
      </c>
      <c r="N113">
        <f t="shared" ca="1" si="15"/>
        <v>0.11184210526315791</v>
      </c>
      <c r="O113">
        <f t="shared" ca="1" si="15"/>
        <v>0.22037422037422025</v>
      </c>
      <c r="P113">
        <f t="shared" ca="1" si="15"/>
        <v>0.23245614035087706</v>
      </c>
      <c r="Q113">
        <f t="shared" ca="1" si="15"/>
        <v>0.3129921259842518</v>
      </c>
      <c r="R113">
        <f t="shared" ca="1" si="15"/>
        <v>0.57033957033957028</v>
      </c>
      <c r="S113">
        <f t="shared" ca="1" si="15"/>
        <v>0.32640332640332631</v>
      </c>
      <c r="T113">
        <f t="shared" ca="1" si="15"/>
        <v>0.34429824561403494</v>
      </c>
      <c r="V113" s="4">
        <f t="shared" si="13"/>
        <v>41968</v>
      </c>
      <c r="W113" s="5">
        <f t="shared" ca="1" si="11"/>
        <v>0.57033957033957028</v>
      </c>
      <c r="Z113" s="4" t="str">
        <f ca="1">IF(OFFSET('Calc Canada'!$A$1,0,0,300)="","",OFFSET('Calc Canada'!$A$1,0,0,300))</f>
        <v/>
      </c>
      <c r="AA113" s="5" t="e">
        <f ca="1">IF(OFFSET('Calc Canada'!$A$1,0,MATCH(W$1,'Calc Canada'!$1:$1,0)-1,300)="","",OFFSET('Calc Canada'!$A$1,0,MATCH(W$1,'Calc Canada'!$1:$1,0)-1,300))</f>
        <v>#N/A</v>
      </c>
      <c r="AB113" s="5" t="e">
        <f ca="1">IF(OFFSET('Calc Canada'!$A$1,0,MATCH(X$1,'Calc Canada'!$1:$1,0)-1,300)="","",OFFSET('Calc Canada'!$A$1,0,MATCH(X$1,'Calc Canada'!$1:$1,0)-1,300))</f>
        <v>#N/A</v>
      </c>
      <c r="AC113" t="e">
        <f t="shared" ca="1" si="9"/>
        <v>#N/A</v>
      </c>
      <c r="AD113" t="e">
        <f t="shared" ca="1" si="10"/>
        <v>#N/A</v>
      </c>
    </row>
    <row r="114" spans="1:30" x14ac:dyDescent="0.25">
      <c r="A114" s="4">
        <v>41967</v>
      </c>
      <c r="B114">
        <v>1.0569999999999999</v>
      </c>
      <c r="C114" s="5">
        <v>1.1360000000000001</v>
      </c>
      <c r="D114">
        <v>1.4950000000000001</v>
      </c>
      <c r="E114">
        <v>1.65</v>
      </c>
      <c r="F114">
        <v>1.978</v>
      </c>
      <c r="G114">
        <v>2.5259999999999998</v>
      </c>
      <c r="H114">
        <f t="shared" ca="1" si="15"/>
        <v>0.60539629005059026</v>
      </c>
      <c r="I114">
        <f t="shared" ca="1" si="15"/>
        <v>0.38979370249728551</v>
      </c>
      <c r="J114">
        <f t="shared" ca="1" si="15"/>
        <v>0.24438393464942137</v>
      </c>
      <c r="K114">
        <f t="shared" ca="1" si="15"/>
        <v>0.16829533116178044</v>
      </c>
      <c r="L114">
        <f t="shared" ca="1" si="15"/>
        <v>0.10551395507147707</v>
      </c>
      <c r="M114">
        <f t="shared" ca="1" si="15"/>
        <v>0.18408551068883591</v>
      </c>
      <c r="N114">
        <f t="shared" ca="1" si="15"/>
        <v>0.11151079136690636</v>
      </c>
      <c r="O114">
        <f t="shared" ca="1" si="15"/>
        <v>0.22328114363512599</v>
      </c>
      <c r="P114">
        <f t="shared" ca="1" si="15"/>
        <v>0.23597122302158283</v>
      </c>
      <c r="Q114">
        <f t="shared" ca="1" si="15"/>
        <v>0.31813773035887505</v>
      </c>
      <c r="R114">
        <f t="shared" ca="1" si="15"/>
        <v>0.57317903335602449</v>
      </c>
      <c r="S114">
        <f t="shared" ca="1" si="15"/>
        <v>0.32879509870660306</v>
      </c>
      <c r="T114">
        <f t="shared" ca="1" si="15"/>
        <v>0.34748201438848919</v>
      </c>
      <c r="V114" s="4">
        <f t="shared" si="13"/>
        <v>41967</v>
      </c>
      <c r="W114" s="5">
        <f t="shared" ca="1" si="11"/>
        <v>0.57317903335602449</v>
      </c>
      <c r="Z114" s="4" t="str">
        <f ca="1">IF(OFFSET('Calc Canada'!$A$1,0,0,300)="","",OFFSET('Calc Canada'!$A$1,0,0,300))</f>
        <v/>
      </c>
      <c r="AA114" s="5" t="e">
        <f ca="1">IF(OFFSET('Calc Canada'!$A$1,0,MATCH(W$1,'Calc Canada'!$1:$1,0)-1,300)="","",OFFSET('Calc Canada'!$A$1,0,MATCH(W$1,'Calc Canada'!$1:$1,0)-1,300))</f>
        <v>#N/A</v>
      </c>
      <c r="AB114" s="5" t="e">
        <f ca="1">IF(OFFSET('Calc Canada'!$A$1,0,MATCH(X$1,'Calc Canada'!$1:$1,0)-1,300)="","",OFFSET('Calc Canada'!$A$1,0,MATCH(X$1,'Calc Canada'!$1:$1,0)-1,300))</f>
        <v>#N/A</v>
      </c>
      <c r="AC114" t="e">
        <f t="shared" ca="1" si="9"/>
        <v>#N/A</v>
      </c>
      <c r="AD114" t="e">
        <f t="shared" ca="1" si="10"/>
        <v>#N/A</v>
      </c>
    </row>
    <row r="115" spans="1:30" x14ac:dyDescent="0.25">
      <c r="A115" s="4">
        <v>41964</v>
      </c>
      <c r="B115">
        <v>1.0640000000000001</v>
      </c>
      <c r="C115" s="5">
        <v>1.143</v>
      </c>
      <c r="D115">
        <v>1.5110000000000001</v>
      </c>
      <c r="E115">
        <v>1.673</v>
      </c>
      <c r="F115">
        <v>2.0049999999999999</v>
      </c>
      <c r="G115">
        <v>2.5510000000000002</v>
      </c>
      <c r="H115">
        <f t="shared" ca="1" si="15"/>
        <v>0.60426929392446649</v>
      </c>
      <c r="I115">
        <f t="shared" ca="1" si="15"/>
        <v>0.3910733262486718</v>
      </c>
      <c r="J115">
        <f t="shared" ca="1" si="15"/>
        <v>0.2474781439139207</v>
      </c>
      <c r="K115">
        <f t="shared" ca="1" si="15"/>
        <v>0.17215727948990431</v>
      </c>
      <c r="L115">
        <f t="shared" ca="1" si="15"/>
        <v>0.10894418291862805</v>
      </c>
      <c r="M115">
        <f t="shared" ca="1" si="15"/>
        <v>0.18793503480278415</v>
      </c>
      <c r="N115">
        <f t="shared" ca="1" si="15"/>
        <v>0.11505681818181812</v>
      </c>
      <c r="O115">
        <f t="shared" ca="1" si="15"/>
        <v>0.22326832548755873</v>
      </c>
      <c r="P115">
        <f t="shared" ca="1" si="15"/>
        <v>0.23579545454545442</v>
      </c>
      <c r="Q115">
        <f t="shared" ca="1" si="15"/>
        <v>0.3192307692307691</v>
      </c>
      <c r="R115">
        <f t="shared" ca="1" si="15"/>
        <v>0.57969065232010752</v>
      </c>
      <c r="S115">
        <f t="shared" ca="1" si="15"/>
        <v>0.33221250840618677</v>
      </c>
      <c r="T115">
        <f t="shared" ca="1" si="15"/>
        <v>0.35085227272727254</v>
      </c>
      <c r="V115" s="4">
        <f t="shared" si="13"/>
        <v>41964</v>
      </c>
      <c r="W115" s="5">
        <f t="shared" ca="1" si="11"/>
        <v>0.57969065232010752</v>
      </c>
      <c r="Z115" s="4" t="str">
        <f ca="1">IF(OFFSET('Calc Canada'!$A$1,0,0,300)="","",OFFSET('Calc Canada'!$A$1,0,0,300))</f>
        <v/>
      </c>
      <c r="AA115" s="5" t="e">
        <f ca="1">IF(OFFSET('Calc Canada'!$A$1,0,MATCH(W$1,'Calc Canada'!$1:$1,0)-1,300)="","",OFFSET('Calc Canada'!$A$1,0,MATCH(W$1,'Calc Canada'!$1:$1,0)-1,300))</f>
        <v>#N/A</v>
      </c>
      <c r="AB115" s="5" t="e">
        <f ca="1">IF(OFFSET('Calc Canada'!$A$1,0,MATCH(X$1,'Calc Canada'!$1:$1,0)-1,300)="","",OFFSET('Calc Canada'!$A$1,0,MATCH(X$1,'Calc Canada'!$1:$1,0)-1,300))</f>
        <v>#N/A</v>
      </c>
      <c r="AC115" t="e">
        <f t="shared" ca="1" si="9"/>
        <v>#N/A</v>
      </c>
      <c r="AD115" t="e">
        <f t="shared" ca="1" si="10"/>
        <v>#N/A</v>
      </c>
    </row>
    <row r="116" spans="1:30" x14ac:dyDescent="0.25">
      <c r="A116" s="4">
        <v>41963</v>
      </c>
      <c r="B116">
        <v>1.044</v>
      </c>
      <c r="C116" s="5">
        <v>1.1320000000000001</v>
      </c>
      <c r="D116">
        <v>1.5129999999999999</v>
      </c>
      <c r="E116">
        <v>1.6739999999999999</v>
      </c>
      <c r="F116">
        <v>2.016</v>
      </c>
      <c r="G116">
        <v>2.5709999999999997</v>
      </c>
      <c r="H116">
        <f t="shared" ca="1" si="15"/>
        <v>0.6047619047619045</v>
      </c>
      <c r="I116">
        <f t="shared" ca="1" si="15"/>
        <v>0.39197530864197511</v>
      </c>
      <c r="J116">
        <f t="shared" ca="1" si="15"/>
        <v>0.24950884086443997</v>
      </c>
      <c r="K116">
        <f t="shared" ca="1" si="15"/>
        <v>0.16563786008230458</v>
      </c>
      <c r="L116">
        <f t="shared" ca="1" si="15"/>
        <v>0.10543549443352984</v>
      </c>
      <c r="M116">
        <f t="shared" ca="1" si="15"/>
        <v>0.18212669683257923</v>
      </c>
      <c r="N116">
        <f t="shared" ca="1" si="15"/>
        <v>0.11188325225851291</v>
      </c>
      <c r="O116">
        <f t="shared" ca="1" si="15"/>
        <v>0.22396856581532426</v>
      </c>
      <c r="P116">
        <f t="shared" ca="1" si="15"/>
        <v>0.23766504517025724</v>
      </c>
      <c r="Q116">
        <f t="shared" ca="1" si="15"/>
        <v>0.32325141776937633</v>
      </c>
      <c r="R116">
        <f t="shared" ca="1" si="15"/>
        <v>0.57891290111329408</v>
      </c>
      <c r="S116">
        <f t="shared" ca="1" si="15"/>
        <v>0.3294040602488541</v>
      </c>
      <c r="T116">
        <f t="shared" ca="1" si="15"/>
        <v>0.34954829742877014</v>
      </c>
      <c r="V116" s="4">
        <f t="shared" si="13"/>
        <v>41963</v>
      </c>
      <c r="W116" s="5">
        <f t="shared" ca="1" si="11"/>
        <v>0.57891290111329408</v>
      </c>
      <c r="Z116" s="4" t="str">
        <f ca="1">IF(OFFSET('Calc Canada'!$A$1,0,0,300)="","",OFFSET('Calc Canada'!$A$1,0,0,300))</f>
        <v/>
      </c>
      <c r="AA116" s="5" t="e">
        <f ca="1">IF(OFFSET('Calc Canada'!$A$1,0,MATCH(W$1,'Calc Canada'!$1:$1,0)-1,300)="","",OFFSET('Calc Canada'!$A$1,0,MATCH(W$1,'Calc Canada'!$1:$1,0)-1,300))</f>
        <v>#N/A</v>
      </c>
      <c r="AB116" s="5" t="e">
        <f ca="1">IF(OFFSET('Calc Canada'!$A$1,0,MATCH(X$1,'Calc Canada'!$1:$1,0)-1,300)="","",OFFSET('Calc Canada'!$A$1,0,MATCH(X$1,'Calc Canada'!$1:$1,0)-1,300))</f>
        <v>#N/A</v>
      </c>
      <c r="AC116" t="e">
        <f t="shared" ca="1" si="9"/>
        <v>#N/A</v>
      </c>
      <c r="AD116" t="e">
        <f t="shared" ca="1" si="10"/>
        <v>#N/A</v>
      </c>
    </row>
    <row r="117" spans="1:30" x14ac:dyDescent="0.25">
      <c r="A117" s="4">
        <v>41962</v>
      </c>
      <c r="B117">
        <v>1.028</v>
      </c>
      <c r="C117" s="5">
        <v>1.1499999999999999</v>
      </c>
      <c r="D117">
        <v>1.532</v>
      </c>
      <c r="E117">
        <v>1.6949999999999998</v>
      </c>
      <c r="F117">
        <v>2.0339999999999998</v>
      </c>
      <c r="G117">
        <v>2.6029999999999998</v>
      </c>
      <c r="H117">
        <f t="shared" ca="1" si="15"/>
        <v>0.57271364317841111</v>
      </c>
      <c r="I117">
        <f t="shared" ca="1" si="15"/>
        <v>0.37972166998011947</v>
      </c>
      <c r="J117">
        <f t="shared" ca="1" si="15"/>
        <v>0.24253968253968267</v>
      </c>
      <c r="K117">
        <f t="shared" ca="1" si="15"/>
        <v>0.16202783300198792</v>
      </c>
      <c r="L117">
        <f t="shared" ca="1" si="15"/>
        <v>0.10349206349206339</v>
      </c>
      <c r="M117">
        <f t="shared" ca="1" si="15"/>
        <v>0.18438914027149303</v>
      </c>
      <c r="N117">
        <f t="shared" ca="1" si="15"/>
        <v>0.1121816930488643</v>
      </c>
      <c r="O117">
        <f t="shared" ca="1" si="15"/>
        <v>0.21523809523809526</v>
      </c>
      <c r="P117">
        <f t="shared" ca="1" si="15"/>
        <v>0.23331039229181005</v>
      </c>
      <c r="Q117">
        <f t="shared" ca="1" si="15"/>
        <v>0.31652661064425774</v>
      </c>
      <c r="R117">
        <f t="shared" ca="1" si="15"/>
        <v>0.56126984126984125</v>
      </c>
      <c r="S117">
        <f t="shared" ca="1" si="15"/>
        <v>0.31873015873015864</v>
      </c>
      <c r="T117">
        <f t="shared" ca="1" si="15"/>
        <v>0.34549208534067433</v>
      </c>
      <c r="V117" s="4">
        <f t="shared" si="13"/>
        <v>41962</v>
      </c>
      <c r="W117" s="5">
        <f t="shared" ca="1" si="11"/>
        <v>0.56126984126984125</v>
      </c>
      <c r="Z117" s="4" t="str">
        <f ca="1">IF(OFFSET('Calc Canada'!$A$1,0,0,300)="","",OFFSET('Calc Canada'!$A$1,0,0,300))</f>
        <v/>
      </c>
      <c r="AA117" s="5" t="e">
        <f ca="1">IF(OFFSET('Calc Canada'!$A$1,0,MATCH(W$1,'Calc Canada'!$1:$1,0)-1,300)="","",OFFSET('Calc Canada'!$A$1,0,MATCH(W$1,'Calc Canada'!$1:$1,0)-1,300))</f>
        <v>#N/A</v>
      </c>
      <c r="AB117" s="5" t="e">
        <f ca="1">IF(OFFSET('Calc Canada'!$A$1,0,MATCH(X$1,'Calc Canada'!$1:$1,0)-1,300)="","",OFFSET('Calc Canada'!$A$1,0,MATCH(X$1,'Calc Canada'!$1:$1,0)-1,300))</f>
        <v>#N/A</v>
      </c>
      <c r="AC117" t="e">
        <f t="shared" ca="1" si="9"/>
        <v>#N/A</v>
      </c>
      <c r="AD117" t="e">
        <f t="shared" ca="1" si="10"/>
        <v>#N/A</v>
      </c>
    </row>
    <row r="118" spans="1:30" x14ac:dyDescent="0.25">
      <c r="A118" s="4">
        <v>41961</v>
      </c>
      <c r="B118">
        <v>1.0029999999999999</v>
      </c>
      <c r="C118" s="5">
        <v>1.121</v>
      </c>
      <c r="D118">
        <v>1.4950000000000001</v>
      </c>
      <c r="E118">
        <v>1.657</v>
      </c>
      <c r="F118">
        <v>1.9929999999999999</v>
      </c>
      <c r="G118">
        <v>2.556</v>
      </c>
      <c r="H118">
        <f t="shared" ca="1" si="15"/>
        <v>0.5718654434250765</v>
      </c>
      <c r="I118">
        <f t="shared" ca="1" si="15"/>
        <v>0.37777777777777788</v>
      </c>
      <c r="J118">
        <f t="shared" ca="1" si="15"/>
        <v>0.24082421120412109</v>
      </c>
      <c r="K118">
        <f t="shared" ca="1" si="15"/>
        <v>0.16363636363636355</v>
      </c>
      <c r="L118">
        <f t="shared" ca="1" si="15"/>
        <v>0.10431423052157109</v>
      </c>
      <c r="M118">
        <f t="shared" ca="1" si="15"/>
        <v>0.18577981651376141</v>
      </c>
      <c r="N118">
        <f t="shared" ca="1" si="15"/>
        <v>0.11289198606271771</v>
      </c>
      <c r="O118">
        <f t="shared" ca="1" si="15"/>
        <v>0.21635544108177709</v>
      </c>
      <c r="P118">
        <f t="shared" ca="1" si="15"/>
        <v>0.23414634146341454</v>
      </c>
      <c r="Q118">
        <f t="shared" ca="1" si="15"/>
        <v>0.31668237511781328</v>
      </c>
      <c r="R118">
        <f t="shared" ca="1" si="15"/>
        <v>0.56149388280746926</v>
      </c>
      <c r="S118">
        <f t="shared" ca="1" si="15"/>
        <v>0.32066967160334819</v>
      </c>
      <c r="T118">
        <f t="shared" ca="1" si="15"/>
        <v>0.34703832752613223</v>
      </c>
      <c r="V118" s="4">
        <f t="shared" si="13"/>
        <v>41961</v>
      </c>
      <c r="W118" s="5">
        <f t="shared" ca="1" si="11"/>
        <v>0.56149388280746926</v>
      </c>
      <c r="Z118" s="4" t="str">
        <f ca="1">IF(OFFSET('Calc Canada'!$A$1,0,0,300)="","",OFFSET('Calc Canada'!$A$1,0,0,300))</f>
        <v/>
      </c>
      <c r="AA118" s="5" t="e">
        <f ca="1">IF(OFFSET('Calc Canada'!$A$1,0,MATCH(W$1,'Calc Canada'!$1:$1,0)-1,300)="","",OFFSET('Calc Canada'!$A$1,0,MATCH(W$1,'Calc Canada'!$1:$1,0)-1,300))</f>
        <v>#N/A</v>
      </c>
      <c r="AB118" s="5" t="e">
        <f ca="1">IF(OFFSET('Calc Canada'!$A$1,0,MATCH(X$1,'Calc Canada'!$1:$1,0)-1,300)="","",OFFSET('Calc Canada'!$A$1,0,MATCH(X$1,'Calc Canada'!$1:$1,0)-1,300))</f>
        <v>#N/A</v>
      </c>
      <c r="AC118" t="e">
        <f t="shared" ca="1" si="9"/>
        <v>#N/A</v>
      </c>
      <c r="AD118" t="e">
        <f t="shared" ca="1" si="10"/>
        <v>#N/A</v>
      </c>
    </row>
    <row r="119" spans="1:30" x14ac:dyDescent="0.25">
      <c r="A119" s="4">
        <v>41960</v>
      </c>
      <c r="B119">
        <v>1.0029999999999999</v>
      </c>
      <c r="C119" s="5">
        <v>1.131</v>
      </c>
      <c r="D119">
        <v>1.5129999999999999</v>
      </c>
      <c r="E119">
        <v>1.679</v>
      </c>
      <c r="F119">
        <v>2.02</v>
      </c>
      <c r="G119">
        <v>2.5819999999999999</v>
      </c>
      <c r="H119">
        <f t="shared" ca="1" si="15"/>
        <v>0.56508875739644937</v>
      </c>
      <c r="I119">
        <f t="shared" ca="1" si="15"/>
        <v>0.37561455260570292</v>
      </c>
      <c r="J119">
        <f t="shared" ca="1" si="15"/>
        <v>0.24192526915769469</v>
      </c>
      <c r="K119">
        <f t="shared" ca="1" si="15"/>
        <v>0.16322517207472972</v>
      </c>
      <c r="L119">
        <f t="shared" ca="1" si="15"/>
        <v>0.10512982900569991</v>
      </c>
      <c r="M119">
        <f t="shared" ca="1" si="15"/>
        <v>0.18672665916760423</v>
      </c>
      <c r="N119">
        <f t="shared" ca="1" si="15"/>
        <v>0.11440385940730542</v>
      </c>
      <c r="O119">
        <f t="shared" ca="1" si="15"/>
        <v>0.21595946801773272</v>
      </c>
      <c r="P119">
        <f t="shared" ca="1" si="15"/>
        <v>0.23501033769813923</v>
      </c>
      <c r="Q119">
        <f t="shared" ca="1" si="15"/>
        <v>0.3189897100093545</v>
      </c>
      <c r="R119">
        <f t="shared" ca="1" si="15"/>
        <v>0.56301456618112733</v>
      </c>
      <c r="S119">
        <f t="shared" ca="1" si="15"/>
        <v>0.32108929702343264</v>
      </c>
      <c r="T119">
        <f t="shared" ca="1" si="15"/>
        <v>0.34941419710544463</v>
      </c>
      <c r="V119" s="4">
        <f t="shared" si="13"/>
        <v>41960</v>
      </c>
      <c r="W119" s="5">
        <f t="shared" ca="1" si="11"/>
        <v>0.56301456618112733</v>
      </c>
      <c r="Z119" s="4" t="str">
        <f ca="1">IF(OFFSET('Calc Canada'!$A$1,0,0,300)="","",OFFSET('Calc Canada'!$A$1,0,0,300))</f>
        <v/>
      </c>
      <c r="AA119" s="5" t="e">
        <f ca="1">IF(OFFSET('Calc Canada'!$A$1,0,MATCH(W$1,'Calc Canada'!$1:$1,0)-1,300)="","",OFFSET('Calc Canada'!$A$1,0,MATCH(W$1,'Calc Canada'!$1:$1,0)-1,300))</f>
        <v>#N/A</v>
      </c>
      <c r="AB119" s="5" t="e">
        <f ca="1">IF(OFFSET('Calc Canada'!$A$1,0,MATCH(X$1,'Calc Canada'!$1:$1,0)-1,300)="","",OFFSET('Calc Canada'!$A$1,0,MATCH(X$1,'Calc Canada'!$1:$1,0)-1,300))</f>
        <v>#N/A</v>
      </c>
      <c r="AC119" t="e">
        <f t="shared" ca="1" si="9"/>
        <v>#N/A</v>
      </c>
      <c r="AD119" t="e">
        <f t="shared" ca="1" si="10"/>
        <v>#N/A</v>
      </c>
    </row>
    <row r="120" spans="1:30" x14ac:dyDescent="0.25">
      <c r="A120" s="4">
        <v>41957</v>
      </c>
      <c r="B120">
        <v>1.006</v>
      </c>
      <c r="C120" s="5">
        <v>1.1360000000000001</v>
      </c>
      <c r="D120">
        <v>1.518</v>
      </c>
      <c r="E120">
        <v>1.6859999999999999</v>
      </c>
      <c r="F120">
        <v>2.0310000000000001</v>
      </c>
      <c r="G120">
        <v>2.5910000000000002</v>
      </c>
      <c r="H120">
        <f t="shared" ca="1" si="15"/>
        <v>0.56176470588235283</v>
      </c>
      <c r="I120">
        <f t="shared" ca="1" si="15"/>
        <v>0.37268292682926812</v>
      </c>
      <c r="J120">
        <f t="shared" ca="1" si="15"/>
        <v>0.24100946372239737</v>
      </c>
      <c r="K120">
        <f t="shared" ca="1" si="15"/>
        <v>0.16390243902439014</v>
      </c>
      <c r="L120">
        <f t="shared" ca="1" si="15"/>
        <v>0.10599369085173496</v>
      </c>
      <c r="M120">
        <f t="shared" ca="1" si="15"/>
        <v>0.18770949720670382</v>
      </c>
      <c r="N120">
        <f t="shared" ca="1" si="15"/>
        <v>0.11546391752577315</v>
      </c>
      <c r="O120">
        <f t="shared" ca="1" si="15"/>
        <v>0.21766561514195593</v>
      </c>
      <c r="P120">
        <f t="shared" ca="1" si="15"/>
        <v>0.2371134020618558</v>
      </c>
      <c r="Q120">
        <f t="shared" ca="1" si="15"/>
        <v>0.32152842497670098</v>
      </c>
      <c r="R120">
        <f t="shared" ca="1" si="15"/>
        <v>0.56466876971608826</v>
      </c>
      <c r="S120">
        <f t="shared" ca="1" si="15"/>
        <v>0.32365930599369092</v>
      </c>
      <c r="T120">
        <f t="shared" ca="1" si="15"/>
        <v>0.35257731958762895</v>
      </c>
      <c r="V120" s="4">
        <f t="shared" si="13"/>
        <v>41957</v>
      </c>
      <c r="W120" s="5">
        <f t="shared" ca="1" si="11"/>
        <v>0.56466876971608826</v>
      </c>
      <c r="Z120" s="4" t="str">
        <f ca="1">IF(OFFSET('Calc Canada'!$A$1,0,0,300)="","",OFFSET('Calc Canada'!$A$1,0,0,300))</f>
        <v/>
      </c>
      <c r="AA120" s="5" t="e">
        <f ca="1">IF(OFFSET('Calc Canada'!$A$1,0,MATCH(W$1,'Calc Canada'!$1:$1,0)-1,300)="","",OFFSET('Calc Canada'!$A$1,0,MATCH(W$1,'Calc Canada'!$1:$1,0)-1,300))</f>
        <v>#N/A</v>
      </c>
      <c r="AB120" s="5" t="e">
        <f ca="1">IF(OFFSET('Calc Canada'!$A$1,0,MATCH(X$1,'Calc Canada'!$1:$1,0)-1,300)="","",OFFSET('Calc Canada'!$A$1,0,MATCH(X$1,'Calc Canada'!$1:$1,0)-1,300))</f>
        <v>#N/A</v>
      </c>
      <c r="AC120" t="e">
        <f t="shared" ca="1" si="9"/>
        <v>#N/A</v>
      </c>
      <c r="AD120" t="e">
        <f t="shared" ca="1" si="10"/>
        <v>#N/A</v>
      </c>
    </row>
    <row r="121" spans="1:30" x14ac:dyDescent="0.25">
      <c r="A121" s="4">
        <v>41956</v>
      </c>
      <c r="B121">
        <v>1.0049999999999999</v>
      </c>
      <c r="C121" s="5">
        <v>1.1400000000000001</v>
      </c>
      <c r="D121">
        <v>1.5209999999999999</v>
      </c>
      <c r="E121">
        <v>1.69</v>
      </c>
      <c r="F121">
        <v>2.04</v>
      </c>
      <c r="G121">
        <v>2.6059999999999999</v>
      </c>
      <c r="H121">
        <f t="shared" ca="1" si="15"/>
        <v>0.55620437956204338</v>
      </c>
      <c r="I121">
        <f t="shared" ca="1" si="15"/>
        <v>0.36811594202898523</v>
      </c>
      <c r="J121">
        <f t="shared" ca="1" si="15"/>
        <v>0.23797626483447831</v>
      </c>
      <c r="K121">
        <f t="shared" ca="1" si="15"/>
        <v>0.1632850241545894</v>
      </c>
      <c r="L121">
        <f t="shared" ca="1" si="15"/>
        <v>0.10555902560899441</v>
      </c>
      <c r="M121">
        <f t="shared" ca="1" si="15"/>
        <v>0.18777777777777785</v>
      </c>
      <c r="N121">
        <f t="shared" ca="1" si="15"/>
        <v>0.11527967257844479</v>
      </c>
      <c r="O121">
        <f t="shared" ca="1" si="15"/>
        <v>0.21861336664584641</v>
      </c>
      <c r="P121">
        <f t="shared" ca="1" si="15"/>
        <v>0.2387448840381993</v>
      </c>
      <c r="Q121">
        <f t="shared" ca="1" si="15"/>
        <v>0.32258064516129042</v>
      </c>
      <c r="R121">
        <f t="shared" ca="1" si="15"/>
        <v>0.56214865708931916</v>
      </c>
      <c r="S121">
        <f t="shared" ca="1" si="15"/>
        <v>0.32417239225484079</v>
      </c>
      <c r="T121">
        <f t="shared" ca="1" si="15"/>
        <v>0.35402455661664406</v>
      </c>
      <c r="V121" s="4">
        <f t="shared" si="13"/>
        <v>41956</v>
      </c>
      <c r="W121" s="5">
        <f t="shared" ca="1" si="11"/>
        <v>0.56214865708931916</v>
      </c>
      <c r="Z121" s="4" t="str">
        <f ca="1">IF(OFFSET('Calc Canada'!$A$1,0,0,300)="","",OFFSET('Calc Canada'!$A$1,0,0,300))</f>
        <v/>
      </c>
      <c r="AA121" s="5" t="e">
        <f ca="1">IF(OFFSET('Calc Canada'!$A$1,0,MATCH(W$1,'Calc Canada'!$1:$1,0)-1,300)="","",OFFSET('Calc Canada'!$A$1,0,MATCH(W$1,'Calc Canada'!$1:$1,0)-1,300))</f>
        <v>#N/A</v>
      </c>
      <c r="AB121" s="5" t="e">
        <f ca="1">IF(OFFSET('Calc Canada'!$A$1,0,MATCH(X$1,'Calc Canada'!$1:$1,0)-1,300)="","",OFFSET('Calc Canada'!$A$1,0,MATCH(X$1,'Calc Canada'!$1:$1,0)-1,300))</f>
        <v>#N/A</v>
      </c>
      <c r="AC121" t="e">
        <f t="shared" ca="1" si="9"/>
        <v>#N/A</v>
      </c>
      <c r="AD121" t="e">
        <f t="shared" ca="1" si="10"/>
        <v>#N/A</v>
      </c>
    </row>
    <row r="122" spans="1:30" x14ac:dyDescent="0.25">
      <c r="A122" s="4">
        <v>41955</v>
      </c>
      <c r="B122">
        <v>1.0129999999999999</v>
      </c>
      <c r="C122" s="5">
        <v>1.147</v>
      </c>
      <c r="D122">
        <v>1.542</v>
      </c>
      <c r="E122">
        <v>1.7090000000000001</v>
      </c>
      <c r="F122">
        <v>2.0590000000000002</v>
      </c>
      <c r="G122">
        <v>2.625</v>
      </c>
      <c r="H122">
        <f t="shared" ca="1" si="15"/>
        <v>0.56752873563218376</v>
      </c>
      <c r="I122">
        <f t="shared" ca="1" si="15"/>
        <v>0.37762906309751426</v>
      </c>
      <c r="J122">
        <f t="shared" ca="1" si="15"/>
        <v>0.24503722084367247</v>
      </c>
      <c r="K122">
        <f t="shared" ca="1" si="15"/>
        <v>0.15965583173996176</v>
      </c>
      <c r="L122">
        <f t="shared" ca="1" si="15"/>
        <v>0.10359801488833749</v>
      </c>
      <c r="M122">
        <f t="shared" ca="1" si="15"/>
        <v>0.18311403508771931</v>
      </c>
      <c r="N122">
        <f t="shared" ca="1" si="15"/>
        <v>0.11299052774018947</v>
      </c>
      <c r="O122">
        <f t="shared" ca="1" si="15"/>
        <v>0.21712158808933008</v>
      </c>
      <c r="P122">
        <f t="shared" ca="1" si="15"/>
        <v>0.23680649526387015</v>
      </c>
      <c r="Q122">
        <f t="shared" ca="1" si="15"/>
        <v>0.32317636195752547</v>
      </c>
      <c r="R122">
        <f t="shared" ca="1" si="15"/>
        <v>0.56575682382133996</v>
      </c>
      <c r="S122">
        <f t="shared" ca="1" si="15"/>
        <v>0.32071960297766755</v>
      </c>
      <c r="T122">
        <f t="shared" ca="1" si="15"/>
        <v>0.34979702300405963</v>
      </c>
      <c r="V122" s="4">
        <f t="shared" si="13"/>
        <v>41955</v>
      </c>
      <c r="W122" s="5">
        <f t="shared" ca="1" si="11"/>
        <v>0.56575682382133996</v>
      </c>
      <c r="Z122" s="4" t="str">
        <f ca="1">IF(OFFSET('Calc Canada'!$A$1,0,0,300)="","",OFFSET('Calc Canada'!$A$1,0,0,300))</f>
        <v/>
      </c>
      <c r="AA122" s="5" t="e">
        <f ca="1">IF(OFFSET('Calc Canada'!$A$1,0,MATCH(W$1,'Calc Canada'!$1:$1,0)-1,300)="","",OFFSET('Calc Canada'!$A$1,0,MATCH(W$1,'Calc Canada'!$1:$1,0)-1,300))</f>
        <v>#N/A</v>
      </c>
      <c r="AB122" s="5" t="e">
        <f ca="1">IF(OFFSET('Calc Canada'!$A$1,0,MATCH(X$1,'Calc Canada'!$1:$1,0)-1,300)="","",OFFSET('Calc Canada'!$A$1,0,MATCH(X$1,'Calc Canada'!$1:$1,0)-1,300))</f>
        <v>#N/A</v>
      </c>
      <c r="AC122" t="e">
        <f t="shared" ca="1" si="9"/>
        <v>#N/A</v>
      </c>
      <c r="AD122" t="e">
        <f t="shared" ca="1" si="10"/>
        <v>#N/A</v>
      </c>
    </row>
    <row r="123" spans="1:30" x14ac:dyDescent="0.25">
      <c r="A123" s="4">
        <v>41954</v>
      </c>
      <c r="B123">
        <v>1.0289999999999999</v>
      </c>
      <c r="C123" s="5">
        <v>1.1619999999999999</v>
      </c>
      <c r="D123">
        <v>1.5489999999999999</v>
      </c>
      <c r="E123">
        <v>1.7149999999999999</v>
      </c>
      <c r="F123">
        <v>2.056</v>
      </c>
      <c r="G123">
        <v>2.613</v>
      </c>
      <c r="H123">
        <f t="shared" ca="1" si="15"/>
        <v>0.56413994169096215</v>
      </c>
      <c r="I123">
        <f t="shared" ca="1" si="15"/>
        <v>0.37682570593962994</v>
      </c>
      <c r="J123">
        <f t="shared" ca="1" si="15"/>
        <v>0.24431818181818182</v>
      </c>
      <c r="K123">
        <f t="shared" ca="1" si="15"/>
        <v>0.16163583252190838</v>
      </c>
      <c r="L123">
        <f t="shared" ca="1" si="15"/>
        <v>0.10479797979797975</v>
      </c>
      <c r="M123">
        <f t="shared" ca="1" si="15"/>
        <v>0.18568232662192383</v>
      </c>
      <c r="N123">
        <f t="shared" ca="1" si="15"/>
        <v>0.11440385940730526</v>
      </c>
      <c r="O123">
        <f t="shared" ca="1" si="15"/>
        <v>0.2152777777777779</v>
      </c>
      <c r="P123">
        <f t="shared" ca="1" si="15"/>
        <v>0.23501033769813934</v>
      </c>
      <c r="Q123">
        <f t="shared" ca="1" si="15"/>
        <v>0.32048872180451143</v>
      </c>
      <c r="R123">
        <f t="shared" ca="1" si="15"/>
        <v>0.56439393939393945</v>
      </c>
      <c r="S123">
        <f t="shared" ca="1" si="15"/>
        <v>0.32007575757575762</v>
      </c>
      <c r="T123">
        <f t="shared" ca="1" si="15"/>
        <v>0.34941419710544458</v>
      </c>
      <c r="V123" s="4">
        <f t="shared" si="13"/>
        <v>41954</v>
      </c>
      <c r="W123" s="5">
        <f t="shared" ca="1" si="11"/>
        <v>0.56439393939393945</v>
      </c>
      <c r="Z123" s="4" t="str">
        <f ca="1">IF(OFFSET('Calc Canada'!$A$1,0,0,300)="","",OFFSET('Calc Canada'!$A$1,0,0,300))</f>
        <v/>
      </c>
      <c r="AA123" s="5" t="e">
        <f ca="1">IF(OFFSET('Calc Canada'!$A$1,0,MATCH(W$1,'Calc Canada'!$1:$1,0)-1,300)="","",OFFSET('Calc Canada'!$A$1,0,MATCH(W$1,'Calc Canada'!$1:$1,0)-1,300))</f>
        <v>#N/A</v>
      </c>
      <c r="AB123" s="5" t="e">
        <f ca="1">IF(OFFSET('Calc Canada'!$A$1,0,MATCH(X$1,'Calc Canada'!$1:$1,0)-1,300)="","",OFFSET('Calc Canada'!$A$1,0,MATCH(X$1,'Calc Canada'!$1:$1,0)-1,300))</f>
        <v>#N/A</v>
      </c>
      <c r="AC123" t="e">
        <f t="shared" ca="1" si="9"/>
        <v>#N/A</v>
      </c>
      <c r="AD123" t="e">
        <f t="shared" ca="1" si="10"/>
        <v>#N/A</v>
      </c>
    </row>
    <row r="124" spans="1:30" x14ac:dyDescent="0.25">
      <c r="A124" s="4">
        <v>41953</v>
      </c>
      <c r="B124">
        <v>1.0289999999999999</v>
      </c>
      <c r="C124" s="5">
        <v>1.1619999999999999</v>
      </c>
      <c r="D124">
        <v>1.5489999999999999</v>
      </c>
      <c r="E124">
        <v>1.7149999999999999</v>
      </c>
      <c r="F124">
        <v>2.056</v>
      </c>
      <c r="G124">
        <v>2.613</v>
      </c>
      <c r="H124">
        <f t="shared" ca="1" si="15"/>
        <v>0.56413994169096215</v>
      </c>
      <c r="I124">
        <f t="shared" ca="1" si="15"/>
        <v>0.37682570593962994</v>
      </c>
      <c r="J124">
        <f t="shared" ca="1" si="15"/>
        <v>0.24431818181818182</v>
      </c>
      <c r="K124">
        <f t="shared" ca="1" si="15"/>
        <v>0.16163583252190838</v>
      </c>
      <c r="L124">
        <f t="shared" ca="1" si="15"/>
        <v>0.10479797979797975</v>
      </c>
      <c r="M124">
        <f t="shared" ca="1" si="15"/>
        <v>0.18568232662192383</v>
      </c>
      <c r="N124">
        <f t="shared" ca="1" si="15"/>
        <v>0.11440385940730526</v>
      </c>
      <c r="O124">
        <f t="shared" ca="1" si="15"/>
        <v>0.2152777777777779</v>
      </c>
      <c r="P124">
        <f t="shared" ca="1" si="15"/>
        <v>0.23501033769813934</v>
      </c>
      <c r="Q124">
        <f t="shared" ca="1" si="15"/>
        <v>0.32048872180451143</v>
      </c>
      <c r="R124">
        <f t="shared" ca="1" si="15"/>
        <v>0.56439393939393945</v>
      </c>
      <c r="S124">
        <f t="shared" ca="1" si="15"/>
        <v>0.32007575757575762</v>
      </c>
      <c r="T124">
        <f t="shared" ca="1" si="15"/>
        <v>0.34941419710544458</v>
      </c>
      <c r="V124" s="4">
        <f t="shared" si="13"/>
        <v>41953</v>
      </c>
      <c r="W124" s="5">
        <f t="shared" ca="1" si="11"/>
        <v>0.56439393939393945</v>
      </c>
      <c r="Z124" s="4" t="str">
        <f ca="1">IF(OFFSET('Calc Canada'!$A$1,0,0,300)="","",OFFSET('Calc Canada'!$A$1,0,0,300))</f>
        <v/>
      </c>
      <c r="AA124" s="5" t="e">
        <f ca="1">IF(OFFSET('Calc Canada'!$A$1,0,MATCH(W$1,'Calc Canada'!$1:$1,0)-1,300)="","",OFFSET('Calc Canada'!$A$1,0,MATCH(W$1,'Calc Canada'!$1:$1,0)-1,300))</f>
        <v>#N/A</v>
      </c>
      <c r="AB124" s="5" t="e">
        <f ca="1">IF(OFFSET('Calc Canada'!$A$1,0,MATCH(X$1,'Calc Canada'!$1:$1,0)-1,300)="","",OFFSET('Calc Canada'!$A$1,0,MATCH(X$1,'Calc Canada'!$1:$1,0)-1,300))</f>
        <v>#N/A</v>
      </c>
      <c r="AC124" t="e">
        <f t="shared" ca="1" si="9"/>
        <v>#N/A</v>
      </c>
      <c r="AD124" t="e">
        <f t="shared" ca="1" si="10"/>
        <v>#N/A</v>
      </c>
    </row>
    <row r="125" spans="1:30" x14ac:dyDescent="0.25">
      <c r="A125" s="4">
        <v>41950</v>
      </c>
      <c r="B125">
        <v>1.018</v>
      </c>
      <c r="C125" s="5">
        <v>1.153</v>
      </c>
      <c r="D125">
        <v>1.5230000000000001</v>
      </c>
      <c r="E125">
        <v>1.6850000000000001</v>
      </c>
      <c r="F125">
        <v>2.0249999999999999</v>
      </c>
      <c r="G125">
        <v>2.5920000000000001</v>
      </c>
      <c r="H125">
        <f t="shared" ref="H125:T140" ca="1" si="16">IF(ISERROR(ABS(OFFSET($A$11,ROW()-11,MATCH(LEFT(H$9,2),$A$11:$G$11,0)-1)-OFFSET($A$11,ROW()-11,MATCH(RIGHT(H$9,2),$A$11:$G$11,0)-1))/ABS(OFFSET($A$11,ROW()-11,MATCH(LEFT(H$10,2),$A$11:$G$11,0)-1)-OFFSET($A$11,ROW()-11,MATCH(RIGHT(H$10,2),$A$11:$G$11,0)-1))),"",ABS(OFFSET($A$11,ROW()-11,MATCH(LEFT(H$9,2),$A$11:$G$11,0)-1)-OFFSET($A$11,ROW()-11,MATCH(RIGHT(H$9,2),$A$11:$G$11,0)-1))/ABS(OFFSET($A$11,ROW()-11,MATCH(LEFT(H$10,2),$A$11:$G$11,0)-1)-OFFSET($A$11,ROW()-11,MATCH(RIGHT(H$10,2),$A$11:$G$11,0)-1)))</f>
        <v>0.55472263868065985</v>
      </c>
      <c r="I125">
        <f t="shared" ca="1" si="16"/>
        <v>0.36742800397219477</v>
      </c>
      <c r="J125">
        <f t="shared" ca="1" si="16"/>
        <v>0.2350698856416773</v>
      </c>
      <c r="K125">
        <f t="shared" ca="1" si="16"/>
        <v>0.16087388282025814</v>
      </c>
      <c r="L125">
        <f t="shared" ca="1" si="16"/>
        <v>0.10292249047013972</v>
      </c>
      <c r="M125">
        <f t="shared" ca="1" si="16"/>
        <v>0.18577981651376141</v>
      </c>
      <c r="N125">
        <f t="shared" ca="1" si="16"/>
        <v>0.11257817929117436</v>
      </c>
      <c r="O125">
        <f t="shared" ca="1" si="16"/>
        <v>0.21601016518424387</v>
      </c>
      <c r="P125">
        <f t="shared" ca="1" si="16"/>
        <v>0.23627519110493386</v>
      </c>
      <c r="Q125">
        <f t="shared" ca="1" si="16"/>
        <v>0.31805425631431233</v>
      </c>
      <c r="R125">
        <f t="shared" ca="1" si="16"/>
        <v>0.55400254129606086</v>
      </c>
      <c r="S125">
        <f t="shared" ca="1" si="16"/>
        <v>0.31893265565438356</v>
      </c>
      <c r="T125">
        <f t="shared" ca="1" si="16"/>
        <v>0.34885337039610825</v>
      </c>
      <c r="V125" s="4">
        <f t="shared" si="13"/>
        <v>41950</v>
      </c>
      <c r="W125" s="5">
        <f t="shared" ca="1" si="11"/>
        <v>0.55400254129606086</v>
      </c>
      <c r="Z125" s="4" t="str">
        <f ca="1">IF(OFFSET('Calc Canada'!$A$1,0,0,300)="","",OFFSET('Calc Canada'!$A$1,0,0,300))</f>
        <v/>
      </c>
      <c r="AA125" s="5" t="e">
        <f ca="1">IF(OFFSET('Calc Canada'!$A$1,0,MATCH(W$1,'Calc Canada'!$1:$1,0)-1,300)="","",OFFSET('Calc Canada'!$A$1,0,MATCH(W$1,'Calc Canada'!$1:$1,0)-1,300))</f>
        <v>#N/A</v>
      </c>
      <c r="AB125" s="5" t="e">
        <f ca="1">IF(OFFSET('Calc Canada'!$A$1,0,MATCH(X$1,'Calc Canada'!$1:$1,0)-1,300)="","",OFFSET('Calc Canada'!$A$1,0,MATCH(X$1,'Calc Canada'!$1:$1,0)-1,300))</f>
        <v>#N/A</v>
      </c>
      <c r="AC125" t="e">
        <f t="shared" ca="1" si="9"/>
        <v>#N/A</v>
      </c>
      <c r="AD125" t="e">
        <f t="shared" ca="1" si="10"/>
        <v>#N/A</v>
      </c>
    </row>
    <row r="126" spans="1:30" x14ac:dyDescent="0.25">
      <c r="A126" s="4">
        <v>41949</v>
      </c>
      <c r="B126">
        <v>1.0269999999999999</v>
      </c>
      <c r="C126" s="5">
        <v>1.1659999999999999</v>
      </c>
      <c r="D126">
        <v>1.5649999999999999</v>
      </c>
      <c r="E126">
        <v>1.732</v>
      </c>
      <c r="F126">
        <v>2.0819999999999999</v>
      </c>
      <c r="G126">
        <v>2.637</v>
      </c>
      <c r="H126">
        <f t="shared" ca="1" si="16"/>
        <v>0.56595744680851057</v>
      </c>
      <c r="I126">
        <f t="shared" ca="1" si="16"/>
        <v>0.37819905213270144</v>
      </c>
      <c r="J126">
        <f t="shared" ca="1" si="16"/>
        <v>0.24782608695652172</v>
      </c>
      <c r="K126">
        <f t="shared" ca="1" si="16"/>
        <v>0.15829383886255929</v>
      </c>
      <c r="L126">
        <f t="shared" ca="1" si="16"/>
        <v>0.10372670807453419</v>
      </c>
      <c r="M126">
        <f t="shared" ca="1" si="16"/>
        <v>0.18231441048034941</v>
      </c>
      <c r="N126">
        <f t="shared" ca="1" si="16"/>
        <v>0.11352821210061184</v>
      </c>
      <c r="O126">
        <f t="shared" ca="1" si="16"/>
        <v>0.217391304347826</v>
      </c>
      <c r="P126">
        <f t="shared" ca="1" si="16"/>
        <v>0.23793337865397679</v>
      </c>
      <c r="Q126">
        <f t="shared" ca="1" si="16"/>
        <v>0.3264925373134327</v>
      </c>
      <c r="R126">
        <f t="shared" ca="1" si="16"/>
        <v>0.56894409937888191</v>
      </c>
      <c r="S126">
        <f t="shared" ca="1" si="16"/>
        <v>0.32111801242236016</v>
      </c>
      <c r="T126">
        <f t="shared" ca="1" si="16"/>
        <v>0.3514615907545886</v>
      </c>
      <c r="V126" s="4">
        <f t="shared" si="13"/>
        <v>41949</v>
      </c>
      <c r="W126" s="5">
        <f t="shared" ca="1" si="11"/>
        <v>0.56894409937888191</v>
      </c>
      <c r="Z126" s="4" t="str">
        <f ca="1">IF(OFFSET('Calc Canada'!$A$1,0,0,300)="","",OFFSET('Calc Canada'!$A$1,0,0,300))</f>
        <v/>
      </c>
      <c r="AA126" s="5" t="e">
        <f ca="1">IF(OFFSET('Calc Canada'!$A$1,0,MATCH(W$1,'Calc Canada'!$1:$1,0)-1,300)="","",OFFSET('Calc Canada'!$A$1,0,MATCH(W$1,'Calc Canada'!$1:$1,0)-1,300))</f>
        <v>#N/A</v>
      </c>
      <c r="AB126" s="5" t="e">
        <f ca="1">IF(OFFSET('Calc Canada'!$A$1,0,MATCH(X$1,'Calc Canada'!$1:$1,0)-1,300)="","",OFFSET('Calc Canada'!$A$1,0,MATCH(X$1,'Calc Canada'!$1:$1,0)-1,300))</f>
        <v>#N/A</v>
      </c>
      <c r="AC126" t="e">
        <f t="shared" ca="1" si="9"/>
        <v>#N/A</v>
      </c>
      <c r="AD126" t="e">
        <f t="shared" ca="1" si="10"/>
        <v>#N/A</v>
      </c>
    </row>
    <row r="127" spans="1:30" x14ac:dyDescent="0.25">
      <c r="A127" s="4">
        <v>41948</v>
      </c>
      <c r="B127">
        <v>1.004</v>
      </c>
      <c r="C127" s="5">
        <v>1.1379999999999999</v>
      </c>
      <c r="D127">
        <v>1.5270000000000001</v>
      </c>
      <c r="E127">
        <v>1.6930000000000001</v>
      </c>
      <c r="F127">
        <v>2.0470000000000002</v>
      </c>
      <c r="G127">
        <v>2.597</v>
      </c>
      <c r="H127">
        <f t="shared" ca="1" si="16"/>
        <v>0.56458635703918747</v>
      </c>
      <c r="I127">
        <f t="shared" ca="1" si="16"/>
        <v>0.37296260786193691</v>
      </c>
      <c r="J127">
        <f t="shared" ca="1" si="16"/>
        <v>0.2441933458882613</v>
      </c>
      <c r="K127">
        <f t="shared" ca="1" si="16"/>
        <v>0.15915627996164899</v>
      </c>
      <c r="L127">
        <f t="shared" ca="1" si="16"/>
        <v>0.10420590081607026</v>
      </c>
      <c r="M127">
        <f t="shared" ca="1" si="16"/>
        <v>0.18261826182618249</v>
      </c>
      <c r="N127">
        <f t="shared" ca="1" si="16"/>
        <v>0.11377655928718294</v>
      </c>
      <c r="O127">
        <f t="shared" ca="1" si="16"/>
        <v>0.22222222222222229</v>
      </c>
      <c r="P127">
        <f t="shared" ca="1" si="16"/>
        <v>0.24263193968471561</v>
      </c>
      <c r="Q127">
        <f t="shared" ca="1" si="16"/>
        <v>0.33084112149532724</v>
      </c>
      <c r="R127">
        <f t="shared" ca="1" si="16"/>
        <v>0.57062146892655385</v>
      </c>
      <c r="S127">
        <f t="shared" ca="1" si="16"/>
        <v>0.32642812303829255</v>
      </c>
      <c r="T127">
        <f t="shared" ca="1" si="16"/>
        <v>0.35640849897189858</v>
      </c>
      <c r="V127" s="4">
        <f t="shared" si="13"/>
        <v>41948</v>
      </c>
      <c r="W127" s="5">
        <f t="shared" ca="1" si="11"/>
        <v>0.57062146892655385</v>
      </c>
      <c r="Z127" s="4" t="str">
        <f ca="1">IF(OFFSET('Calc Canada'!$A$1,0,0,300)="","",OFFSET('Calc Canada'!$A$1,0,0,300))</f>
        <v/>
      </c>
      <c r="AA127" s="5" t="e">
        <f ca="1">IF(OFFSET('Calc Canada'!$A$1,0,MATCH(W$1,'Calc Canada'!$1:$1,0)-1,300)="","",OFFSET('Calc Canada'!$A$1,0,MATCH(W$1,'Calc Canada'!$1:$1,0)-1,300))</f>
        <v>#N/A</v>
      </c>
      <c r="AB127" s="5" t="e">
        <f ca="1">IF(OFFSET('Calc Canada'!$A$1,0,MATCH(X$1,'Calc Canada'!$1:$1,0)-1,300)="","",OFFSET('Calc Canada'!$A$1,0,MATCH(X$1,'Calc Canada'!$1:$1,0)-1,300))</f>
        <v>#N/A</v>
      </c>
      <c r="AC127" t="e">
        <f t="shared" ca="1" si="9"/>
        <v>#N/A</v>
      </c>
      <c r="AD127" t="e">
        <f t="shared" ca="1" si="10"/>
        <v>#N/A</v>
      </c>
    </row>
    <row r="128" spans="1:30" x14ac:dyDescent="0.25">
      <c r="A128" s="4">
        <v>41947</v>
      </c>
      <c r="B128">
        <v>0.98199999999999998</v>
      </c>
      <c r="C128" s="5">
        <v>1.1120000000000001</v>
      </c>
      <c r="D128">
        <v>1.5070000000000001</v>
      </c>
      <c r="E128">
        <v>1.6760000000000002</v>
      </c>
      <c r="F128">
        <v>2.0249999999999999</v>
      </c>
      <c r="G128">
        <v>2.5709999999999997</v>
      </c>
      <c r="H128">
        <f t="shared" ca="1" si="16"/>
        <v>0.56916426512968288</v>
      </c>
      <c r="I128">
        <f t="shared" ca="1" si="16"/>
        <v>0.37871524448705662</v>
      </c>
      <c r="J128">
        <f t="shared" ca="1" si="16"/>
        <v>0.24858401510383896</v>
      </c>
      <c r="K128">
        <f t="shared" ca="1" si="16"/>
        <v>0.16203259827420907</v>
      </c>
      <c r="L128">
        <f t="shared" ca="1" si="16"/>
        <v>0.10635619886721212</v>
      </c>
      <c r="M128">
        <f t="shared" ca="1" si="16"/>
        <v>0.18510405257393217</v>
      </c>
      <c r="N128">
        <f t="shared" ca="1" si="16"/>
        <v>0.11583276216586709</v>
      </c>
      <c r="O128">
        <f t="shared" ca="1" si="16"/>
        <v>0.21963499056010058</v>
      </c>
      <c r="P128">
        <f t="shared" ca="1" si="16"/>
        <v>0.23920493488690872</v>
      </c>
      <c r="Q128">
        <f t="shared" ca="1" si="16"/>
        <v>0.32800751879699236</v>
      </c>
      <c r="R128">
        <f t="shared" ca="1" si="16"/>
        <v>0.57457520453115163</v>
      </c>
      <c r="S128">
        <f t="shared" ca="1" si="16"/>
        <v>0.3259911894273127</v>
      </c>
      <c r="T128">
        <f t="shared" ca="1" si="16"/>
        <v>0.35503769705277582</v>
      </c>
      <c r="V128" s="4">
        <f t="shared" si="13"/>
        <v>41947</v>
      </c>
      <c r="W128" s="5">
        <f t="shared" ca="1" si="11"/>
        <v>0.57457520453115163</v>
      </c>
      <c r="Z128" s="4" t="str">
        <f ca="1">IF(OFFSET('Calc Canada'!$A$1,0,0,300)="","",OFFSET('Calc Canada'!$A$1,0,0,300))</f>
        <v/>
      </c>
      <c r="AA128" s="5" t="e">
        <f ca="1">IF(OFFSET('Calc Canada'!$A$1,0,MATCH(W$1,'Calc Canada'!$1:$1,0)-1,300)="","",OFFSET('Calc Canada'!$A$1,0,MATCH(W$1,'Calc Canada'!$1:$1,0)-1,300))</f>
        <v>#N/A</v>
      </c>
      <c r="AB128" s="5" t="e">
        <f ca="1">IF(OFFSET('Calc Canada'!$A$1,0,MATCH(X$1,'Calc Canada'!$1:$1,0)-1,300)="","",OFFSET('Calc Canada'!$A$1,0,MATCH(X$1,'Calc Canada'!$1:$1,0)-1,300))</f>
        <v>#N/A</v>
      </c>
      <c r="AC128" t="e">
        <f t="shared" ca="1" si="9"/>
        <v>#N/A</v>
      </c>
      <c r="AD128" t="e">
        <f t="shared" ca="1" si="10"/>
        <v>#N/A</v>
      </c>
    </row>
    <row r="129" spans="1:30" x14ac:dyDescent="0.25">
      <c r="A129" s="4">
        <v>41946</v>
      </c>
      <c r="B129">
        <v>0.99</v>
      </c>
      <c r="C129" s="5">
        <v>1.131</v>
      </c>
      <c r="D129">
        <v>1.522</v>
      </c>
      <c r="E129">
        <v>1.69</v>
      </c>
      <c r="F129">
        <v>2.0390000000000001</v>
      </c>
      <c r="G129">
        <v>2.5869999999999997</v>
      </c>
      <c r="H129">
        <f t="shared" ca="1" si="16"/>
        <v>0.55857142857142861</v>
      </c>
      <c r="I129">
        <f t="shared" ca="1" si="16"/>
        <v>0.37273593898951379</v>
      </c>
      <c r="J129">
        <f t="shared" ca="1" si="16"/>
        <v>0.24483406386975584</v>
      </c>
      <c r="K129">
        <f t="shared" ca="1" si="16"/>
        <v>0.16015252621544318</v>
      </c>
      <c r="L129">
        <f t="shared" ca="1" si="16"/>
        <v>0.10519724483406384</v>
      </c>
      <c r="M129">
        <f t="shared" ca="1" si="16"/>
        <v>0.18502202643171795</v>
      </c>
      <c r="N129">
        <f t="shared" ca="1" si="16"/>
        <v>0.11538461538461535</v>
      </c>
      <c r="O129">
        <f t="shared" ca="1" si="16"/>
        <v>0.21853475266123998</v>
      </c>
      <c r="P129">
        <f t="shared" ca="1" si="16"/>
        <v>0.23969780219780237</v>
      </c>
      <c r="Q129">
        <f t="shared" ca="1" si="16"/>
        <v>0.32769953051643219</v>
      </c>
      <c r="R129">
        <f t="shared" ca="1" si="16"/>
        <v>0.56856606136505972</v>
      </c>
      <c r="S129">
        <f t="shared" ca="1" si="16"/>
        <v>0.32373199749530385</v>
      </c>
      <c r="T129">
        <f t="shared" ca="1" si="16"/>
        <v>0.35508241758241771</v>
      </c>
      <c r="V129" s="4">
        <f t="shared" si="13"/>
        <v>41946</v>
      </c>
      <c r="W129" s="5">
        <f t="shared" ca="1" si="11"/>
        <v>0.56856606136505972</v>
      </c>
      <c r="Z129" s="4" t="str">
        <f ca="1">IF(OFFSET('Calc Canada'!$A$1,0,0,300)="","",OFFSET('Calc Canada'!$A$1,0,0,300))</f>
        <v/>
      </c>
      <c r="AA129" s="5" t="e">
        <f ca="1">IF(OFFSET('Calc Canada'!$A$1,0,MATCH(W$1,'Calc Canada'!$1:$1,0)-1,300)="","",OFFSET('Calc Canada'!$A$1,0,MATCH(W$1,'Calc Canada'!$1:$1,0)-1,300))</f>
        <v>#N/A</v>
      </c>
      <c r="AB129" s="5" t="e">
        <f ca="1">IF(OFFSET('Calc Canada'!$A$1,0,MATCH(X$1,'Calc Canada'!$1:$1,0)-1,300)="","",OFFSET('Calc Canada'!$A$1,0,MATCH(X$1,'Calc Canada'!$1:$1,0)-1,300))</f>
        <v>#N/A</v>
      </c>
      <c r="AC129" t="e">
        <f t="shared" ca="1" si="9"/>
        <v>#N/A</v>
      </c>
      <c r="AD129" t="e">
        <f t="shared" ca="1" si="10"/>
        <v>#N/A</v>
      </c>
    </row>
    <row r="130" spans="1:30" x14ac:dyDescent="0.25">
      <c r="A130" s="4">
        <v>41943</v>
      </c>
      <c r="B130">
        <v>1.0209999999999999</v>
      </c>
      <c r="C130" s="5">
        <v>1.1459999999999999</v>
      </c>
      <c r="D130">
        <v>1.536</v>
      </c>
      <c r="E130">
        <v>1.7090000000000001</v>
      </c>
      <c r="F130">
        <v>2.0449999999999999</v>
      </c>
      <c r="G130">
        <v>2.5880000000000001</v>
      </c>
      <c r="H130">
        <f t="shared" ca="1" si="16"/>
        <v>0.56686046511627908</v>
      </c>
      <c r="I130">
        <f t="shared" ca="1" si="16"/>
        <v>0.38085937500000011</v>
      </c>
      <c r="J130">
        <f t="shared" ca="1" si="16"/>
        <v>0.24888321633694963</v>
      </c>
      <c r="K130">
        <f t="shared" ca="1" si="16"/>
        <v>0.16894531250000003</v>
      </c>
      <c r="L130">
        <f t="shared" ca="1" si="16"/>
        <v>0.11040204211869817</v>
      </c>
      <c r="M130">
        <f t="shared" ca="1" si="16"/>
        <v>0.19243604004449391</v>
      </c>
      <c r="N130">
        <f t="shared" ca="1" si="16"/>
        <v>0.11997226074895979</v>
      </c>
      <c r="O130">
        <f t="shared" ca="1" si="16"/>
        <v>0.21442246330567952</v>
      </c>
      <c r="P130">
        <f t="shared" ca="1" si="16"/>
        <v>0.23300970873786395</v>
      </c>
      <c r="Q130">
        <f t="shared" ca="1" si="16"/>
        <v>0.31939163498098844</v>
      </c>
      <c r="R130">
        <f t="shared" ca="1" si="16"/>
        <v>0.57370772176132734</v>
      </c>
      <c r="S130">
        <f t="shared" ca="1" si="16"/>
        <v>0.32482450542437769</v>
      </c>
      <c r="T130">
        <f t="shared" ca="1" si="16"/>
        <v>0.35298196948682375</v>
      </c>
      <c r="V130" s="4">
        <f t="shared" si="13"/>
        <v>41943</v>
      </c>
      <c r="W130" s="5">
        <f t="shared" ca="1" si="11"/>
        <v>0.57370772176132734</v>
      </c>
      <c r="Z130" s="4" t="str">
        <f ca="1">IF(OFFSET('Calc Canada'!$A$1,0,0,300)="","",OFFSET('Calc Canada'!$A$1,0,0,300))</f>
        <v/>
      </c>
      <c r="AA130" s="5" t="e">
        <f ca="1">IF(OFFSET('Calc Canada'!$A$1,0,MATCH(W$1,'Calc Canada'!$1:$1,0)-1,300)="","",OFFSET('Calc Canada'!$A$1,0,MATCH(W$1,'Calc Canada'!$1:$1,0)-1,300))</f>
        <v>#N/A</v>
      </c>
      <c r="AB130" s="5" t="e">
        <f ca="1">IF(OFFSET('Calc Canada'!$A$1,0,MATCH(X$1,'Calc Canada'!$1:$1,0)-1,300)="","",OFFSET('Calc Canada'!$A$1,0,MATCH(X$1,'Calc Canada'!$1:$1,0)-1,300))</f>
        <v>#N/A</v>
      </c>
      <c r="AC130" t="e">
        <f t="shared" ca="1" si="9"/>
        <v>#N/A</v>
      </c>
      <c r="AD130" t="e">
        <f t="shared" ca="1" si="10"/>
        <v>#N/A</v>
      </c>
    </row>
    <row r="131" spans="1:30" x14ac:dyDescent="0.25">
      <c r="A131" s="4">
        <v>41942</v>
      </c>
      <c r="B131">
        <v>1.0369999999999999</v>
      </c>
      <c r="C131" s="5">
        <v>1.157</v>
      </c>
      <c r="D131">
        <v>1.5409999999999999</v>
      </c>
      <c r="E131">
        <v>1.7069999999999999</v>
      </c>
      <c r="F131">
        <v>2.044</v>
      </c>
      <c r="G131">
        <v>2.585</v>
      </c>
      <c r="H131">
        <f t="shared" ca="1" si="16"/>
        <v>0.57313432835820888</v>
      </c>
      <c r="I131">
        <f t="shared" ca="1" si="16"/>
        <v>0.38133068520357483</v>
      </c>
      <c r="J131">
        <f t="shared" ca="1" si="16"/>
        <v>0.24806201550387588</v>
      </c>
      <c r="K131">
        <f t="shared" ca="1" si="16"/>
        <v>0.16484607745779534</v>
      </c>
      <c r="L131">
        <f t="shared" ca="1" si="16"/>
        <v>0.10723514211886299</v>
      </c>
      <c r="M131">
        <f t="shared" ca="1" si="16"/>
        <v>0.18714768883878233</v>
      </c>
      <c r="N131">
        <f t="shared" ca="1" si="16"/>
        <v>0.11624649859943972</v>
      </c>
      <c r="O131">
        <f t="shared" ca="1" si="16"/>
        <v>0.21770025839793294</v>
      </c>
      <c r="P131">
        <f t="shared" ca="1" si="16"/>
        <v>0.23599439775910377</v>
      </c>
      <c r="Q131">
        <f t="shared" ca="1" si="16"/>
        <v>0.32279693486590055</v>
      </c>
      <c r="R131">
        <f t="shared" ca="1" si="16"/>
        <v>0.57299741602067178</v>
      </c>
      <c r="S131">
        <f t="shared" ca="1" si="16"/>
        <v>0.32493540051679592</v>
      </c>
      <c r="T131">
        <f t="shared" ca="1" si="16"/>
        <v>0.3522408963585435</v>
      </c>
      <c r="V131" s="4">
        <f t="shared" si="13"/>
        <v>41942</v>
      </c>
      <c r="W131" s="5">
        <f t="shared" ca="1" si="11"/>
        <v>0.57299741602067178</v>
      </c>
      <c r="Z131" s="4" t="str">
        <f ca="1">IF(OFFSET('Calc Canada'!$A$1,0,0,300)="","",OFFSET('Calc Canada'!$A$1,0,0,300))</f>
        <v/>
      </c>
      <c r="AA131" s="5" t="e">
        <f ca="1">IF(OFFSET('Calc Canada'!$A$1,0,MATCH(W$1,'Calc Canada'!$1:$1,0)-1,300)="","",OFFSET('Calc Canada'!$A$1,0,MATCH(W$1,'Calc Canada'!$1:$1,0)-1,300))</f>
        <v>#N/A</v>
      </c>
      <c r="AB131" s="5" t="e">
        <f ca="1">IF(OFFSET('Calc Canada'!$A$1,0,MATCH(X$1,'Calc Canada'!$1:$1,0)-1,300)="","",OFFSET('Calc Canada'!$A$1,0,MATCH(X$1,'Calc Canada'!$1:$1,0)-1,300))</f>
        <v>#N/A</v>
      </c>
      <c r="AC131" t="e">
        <f t="shared" ref="AC131:AC194" ca="1" si="17">IF(AND(AA131&lt;&gt;"",AB131&lt;&gt;""),ABS(AA131-AB131),"")</f>
        <v>#N/A</v>
      </c>
      <c r="AD131" t="e">
        <f t="shared" ref="AD131:AD194" ca="1" si="18">IF(ISNA(MATCH("",AC131:AC150,0)),AVERAGE(AC131:AC150),"")</f>
        <v>#N/A</v>
      </c>
    </row>
    <row r="132" spans="1:30" x14ac:dyDescent="0.25">
      <c r="A132" s="4">
        <v>41941</v>
      </c>
      <c r="B132">
        <v>1.0389999999999999</v>
      </c>
      <c r="C132" s="5">
        <v>1.161</v>
      </c>
      <c r="D132">
        <v>1.5620000000000001</v>
      </c>
      <c r="E132">
        <v>1.7349999999999999</v>
      </c>
      <c r="F132">
        <v>2.0539999999999998</v>
      </c>
      <c r="G132">
        <v>2.585</v>
      </c>
      <c r="H132">
        <f t="shared" ca="1" si="16"/>
        <v>0.57614942528735635</v>
      </c>
      <c r="I132">
        <f t="shared" ca="1" si="16"/>
        <v>0.39507389162561585</v>
      </c>
      <c r="J132">
        <f t="shared" ca="1" si="16"/>
        <v>0.25937904269081502</v>
      </c>
      <c r="K132">
        <f t="shared" ca="1" si="16"/>
        <v>0.17044334975369443</v>
      </c>
      <c r="L132">
        <f t="shared" ca="1" si="16"/>
        <v>0.11190168175937892</v>
      </c>
      <c r="M132">
        <f t="shared" ca="1" si="16"/>
        <v>0.19372900335946233</v>
      </c>
      <c r="N132">
        <f t="shared" ca="1" si="16"/>
        <v>0.1214887640449437</v>
      </c>
      <c r="O132">
        <f t="shared" ca="1" si="16"/>
        <v>0.20633893919793012</v>
      </c>
      <c r="P132">
        <f t="shared" ca="1" si="16"/>
        <v>0.22401685393258425</v>
      </c>
      <c r="Q132">
        <f t="shared" ca="1" si="16"/>
        <v>0.31182795698924731</v>
      </c>
      <c r="R132">
        <f t="shared" ca="1" si="16"/>
        <v>0.577619663648124</v>
      </c>
      <c r="S132">
        <f t="shared" ca="1" si="16"/>
        <v>0.31824062095730904</v>
      </c>
      <c r="T132">
        <f t="shared" ca="1" si="16"/>
        <v>0.34550561797752793</v>
      </c>
      <c r="V132" s="4">
        <f t="shared" si="13"/>
        <v>41941</v>
      </c>
      <c r="W132" s="5">
        <f t="shared" ca="1" si="11"/>
        <v>0.577619663648124</v>
      </c>
      <c r="Z132" s="4" t="str">
        <f ca="1">IF(OFFSET('Calc Canada'!$A$1,0,0,300)="","",OFFSET('Calc Canada'!$A$1,0,0,300))</f>
        <v/>
      </c>
      <c r="AA132" s="5" t="e">
        <f ca="1">IF(OFFSET('Calc Canada'!$A$1,0,MATCH(W$1,'Calc Canada'!$1:$1,0)-1,300)="","",OFFSET('Calc Canada'!$A$1,0,MATCH(W$1,'Calc Canada'!$1:$1,0)-1,300))</f>
        <v>#N/A</v>
      </c>
      <c r="AB132" s="5" t="e">
        <f ca="1">IF(OFFSET('Calc Canada'!$A$1,0,MATCH(X$1,'Calc Canada'!$1:$1,0)-1,300)="","",OFFSET('Calc Canada'!$A$1,0,MATCH(X$1,'Calc Canada'!$1:$1,0)-1,300))</f>
        <v>#N/A</v>
      </c>
      <c r="AC132" t="e">
        <f t="shared" ca="1" si="17"/>
        <v>#N/A</v>
      </c>
      <c r="AD132" t="e">
        <f t="shared" ca="1" si="18"/>
        <v>#N/A</v>
      </c>
    </row>
    <row r="133" spans="1:30" x14ac:dyDescent="0.25">
      <c r="A133" s="4">
        <v>41940</v>
      </c>
      <c r="B133">
        <v>1.0089999999999999</v>
      </c>
      <c r="C133" s="5">
        <v>1.127</v>
      </c>
      <c r="D133">
        <v>1.51</v>
      </c>
      <c r="E133">
        <v>1.6870000000000001</v>
      </c>
      <c r="F133">
        <v>2.0270000000000001</v>
      </c>
      <c r="G133">
        <v>2.5789999999999997</v>
      </c>
      <c r="H133">
        <f t="shared" ca="1" si="16"/>
        <v>0.5648967551622418</v>
      </c>
      <c r="I133">
        <f t="shared" ca="1" si="16"/>
        <v>0.37622789783889971</v>
      </c>
      <c r="J133">
        <f t="shared" ca="1" si="16"/>
        <v>0.24394904458598729</v>
      </c>
      <c r="K133">
        <f t="shared" ca="1" si="16"/>
        <v>0.17387033398821219</v>
      </c>
      <c r="L133">
        <f t="shared" ca="1" si="16"/>
        <v>0.11273885350318476</v>
      </c>
      <c r="M133">
        <f t="shared" ca="1" si="16"/>
        <v>0.19666666666666668</v>
      </c>
      <c r="N133">
        <f t="shared" ca="1" si="16"/>
        <v>0.12190082644628104</v>
      </c>
      <c r="O133">
        <f t="shared" ca="1" si="16"/>
        <v>0.21656050955414019</v>
      </c>
      <c r="P133">
        <f t="shared" ca="1" si="16"/>
        <v>0.23415977961432516</v>
      </c>
      <c r="Q133">
        <f t="shared" ca="1" si="16"/>
        <v>0.31805425631431261</v>
      </c>
      <c r="R133">
        <f t="shared" ca="1" si="16"/>
        <v>0.5732484076433122</v>
      </c>
      <c r="S133">
        <f t="shared" ca="1" si="16"/>
        <v>0.32929936305732493</v>
      </c>
      <c r="T133">
        <f t="shared" ca="1" si="16"/>
        <v>0.35606060606060619</v>
      </c>
      <c r="V133" s="4">
        <f t="shared" si="13"/>
        <v>41940</v>
      </c>
      <c r="W133" s="5">
        <f t="shared" ca="1" si="11"/>
        <v>0.5732484076433122</v>
      </c>
      <c r="Z133" s="4" t="str">
        <f ca="1">IF(OFFSET('Calc Canada'!$A$1,0,0,300)="","",OFFSET('Calc Canada'!$A$1,0,0,300))</f>
        <v/>
      </c>
      <c r="AA133" s="5" t="e">
        <f ca="1">IF(OFFSET('Calc Canada'!$A$1,0,MATCH(W$1,'Calc Canada'!$1:$1,0)-1,300)="","",OFFSET('Calc Canada'!$A$1,0,MATCH(W$1,'Calc Canada'!$1:$1,0)-1,300))</f>
        <v>#N/A</v>
      </c>
      <c r="AB133" s="5" t="e">
        <f ca="1">IF(OFFSET('Calc Canada'!$A$1,0,MATCH(X$1,'Calc Canada'!$1:$1,0)-1,300)="","",OFFSET('Calc Canada'!$A$1,0,MATCH(X$1,'Calc Canada'!$1:$1,0)-1,300))</f>
        <v>#N/A</v>
      </c>
      <c r="AC133" t="e">
        <f t="shared" ca="1" si="17"/>
        <v>#N/A</v>
      </c>
      <c r="AD133" t="e">
        <f t="shared" ca="1" si="18"/>
        <v>#N/A</v>
      </c>
    </row>
    <row r="134" spans="1:30" x14ac:dyDescent="0.25">
      <c r="A134" s="4">
        <v>41939</v>
      </c>
      <c r="B134">
        <v>1</v>
      </c>
      <c r="C134" s="5">
        <v>1.115</v>
      </c>
      <c r="D134">
        <v>1.496</v>
      </c>
      <c r="E134">
        <v>1.679</v>
      </c>
      <c r="F134">
        <v>2.0139999999999998</v>
      </c>
      <c r="G134">
        <v>2.5590000000000002</v>
      </c>
      <c r="H134">
        <f t="shared" ca="1" si="16"/>
        <v>0.56111929307805597</v>
      </c>
      <c r="I134">
        <f t="shared" ca="1" si="16"/>
        <v>0.37573964497041429</v>
      </c>
      <c r="J134">
        <f t="shared" ca="1" si="16"/>
        <v>0.2443874278383579</v>
      </c>
      <c r="K134">
        <f t="shared" ca="1" si="16"/>
        <v>0.18047337278106518</v>
      </c>
      <c r="L134">
        <f t="shared" ca="1" si="16"/>
        <v>0.11738293778062862</v>
      </c>
      <c r="M134">
        <f t="shared" ca="1" si="16"/>
        <v>0.2035595105672971</v>
      </c>
      <c r="N134">
        <f t="shared" ca="1" si="16"/>
        <v>0.12673130193905818</v>
      </c>
      <c r="O134">
        <f t="shared" ca="1" si="16"/>
        <v>0.21488133418858224</v>
      </c>
      <c r="P134">
        <f t="shared" ca="1" si="16"/>
        <v>0.2319944598337948</v>
      </c>
      <c r="Q134">
        <f t="shared" ca="1" si="16"/>
        <v>0.31514581373471279</v>
      </c>
      <c r="R134">
        <f t="shared" ca="1" si="16"/>
        <v>0.57665169980756881</v>
      </c>
      <c r="S134">
        <f t="shared" ca="1" si="16"/>
        <v>0.33226427196921088</v>
      </c>
      <c r="T134">
        <f t="shared" ca="1" si="16"/>
        <v>0.35872576177285298</v>
      </c>
      <c r="V134" s="4">
        <f t="shared" si="13"/>
        <v>41939</v>
      </c>
      <c r="W134" s="5">
        <f t="shared" ca="1" si="11"/>
        <v>0.57665169980756881</v>
      </c>
      <c r="Z134" s="4" t="str">
        <f ca="1">IF(OFFSET('Calc Canada'!$A$1,0,0,300)="","",OFFSET('Calc Canada'!$A$1,0,0,300))</f>
        <v/>
      </c>
      <c r="AA134" s="5" t="e">
        <f ca="1">IF(OFFSET('Calc Canada'!$A$1,0,MATCH(W$1,'Calc Canada'!$1:$1,0)-1,300)="","",OFFSET('Calc Canada'!$A$1,0,MATCH(W$1,'Calc Canada'!$1:$1,0)-1,300))</f>
        <v>#N/A</v>
      </c>
      <c r="AB134" s="5" t="e">
        <f ca="1">IF(OFFSET('Calc Canada'!$A$1,0,MATCH(X$1,'Calc Canada'!$1:$1,0)-1,300)="","",OFFSET('Calc Canada'!$A$1,0,MATCH(X$1,'Calc Canada'!$1:$1,0)-1,300))</f>
        <v>#N/A</v>
      </c>
      <c r="AC134" t="e">
        <f t="shared" ca="1" si="17"/>
        <v>#N/A</v>
      </c>
      <c r="AD134" t="e">
        <f t="shared" ca="1" si="18"/>
        <v>#N/A</v>
      </c>
    </row>
    <row r="135" spans="1:30" x14ac:dyDescent="0.25">
      <c r="A135" s="4">
        <v>41936</v>
      </c>
      <c r="B135">
        <v>1.0029999999999999</v>
      </c>
      <c r="C135" s="5">
        <v>1.113</v>
      </c>
      <c r="D135">
        <v>1.4929999999999999</v>
      </c>
      <c r="E135">
        <v>1.673</v>
      </c>
      <c r="F135">
        <v>2.0110000000000001</v>
      </c>
      <c r="G135">
        <v>2.5609999999999999</v>
      </c>
      <c r="H135">
        <f t="shared" ca="1" si="16"/>
        <v>0.56716417910447736</v>
      </c>
      <c r="I135">
        <f t="shared" ca="1" si="16"/>
        <v>0.37698412698412681</v>
      </c>
      <c r="J135">
        <f t="shared" ca="1" si="16"/>
        <v>0.24390243902439016</v>
      </c>
      <c r="K135">
        <f t="shared" ca="1" si="16"/>
        <v>0.17857142857142869</v>
      </c>
      <c r="L135">
        <f t="shared" ca="1" si="16"/>
        <v>0.11553273427471127</v>
      </c>
      <c r="M135">
        <f t="shared" ca="1" si="16"/>
        <v>0.20044543429844114</v>
      </c>
      <c r="N135">
        <f t="shared" ca="1" si="16"/>
        <v>0.12430939226519348</v>
      </c>
      <c r="O135">
        <f t="shared" ca="1" si="16"/>
        <v>0.21694480102695768</v>
      </c>
      <c r="P135">
        <f t="shared" ca="1" si="16"/>
        <v>0.23342541436464095</v>
      </c>
      <c r="Q135">
        <f t="shared" ca="1" si="16"/>
        <v>0.31647940074906372</v>
      </c>
      <c r="R135">
        <f t="shared" ca="1" si="16"/>
        <v>0.57637997432605914</v>
      </c>
      <c r="S135">
        <f t="shared" ca="1" si="16"/>
        <v>0.33247753530166896</v>
      </c>
      <c r="T135">
        <f t="shared" ca="1" si="16"/>
        <v>0.35773480662983442</v>
      </c>
      <c r="V135" s="4">
        <f t="shared" si="13"/>
        <v>41936</v>
      </c>
      <c r="W135" s="5">
        <f t="shared" ca="1" si="11"/>
        <v>0.57637997432605914</v>
      </c>
      <c r="Z135" s="4" t="str">
        <f ca="1">IF(OFFSET('Calc Canada'!$A$1,0,0,300)="","",OFFSET('Calc Canada'!$A$1,0,0,300))</f>
        <v/>
      </c>
      <c r="AA135" s="5" t="e">
        <f ca="1">IF(OFFSET('Calc Canada'!$A$1,0,MATCH(W$1,'Calc Canada'!$1:$1,0)-1,300)="","",OFFSET('Calc Canada'!$A$1,0,MATCH(W$1,'Calc Canada'!$1:$1,0)-1,300))</f>
        <v>#N/A</v>
      </c>
      <c r="AB135" s="5" t="e">
        <f ca="1">IF(OFFSET('Calc Canada'!$A$1,0,MATCH(X$1,'Calc Canada'!$1:$1,0)-1,300)="","",OFFSET('Calc Canada'!$A$1,0,MATCH(X$1,'Calc Canada'!$1:$1,0)-1,300))</f>
        <v>#N/A</v>
      </c>
      <c r="AC135" t="e">
        <f t="shared" ca="1" si="17"/>
        <v>#N/A</v>
      </c>
      <c r="AD135" t="e">
        <f t="shared" ca="1" si="18"/>
        <v>#N/A</v>
      </c>
    </row>
    <row r="136" spans="1:30" x14ac:dyDescent="0.25">
      <c r="A136" s="4">
        <v>41935</v>
      </c>
      <c r="B136">
        <v>1.0049999999999999</v>
      </c>
      <c r="C136" s="5">
        <v>1.1100000000000001</v>
      </c>
      <c r="D136">
        <v>1.476</v>
      </c>
      <c r="E136">
        <v>1.6600000000000001</v>
      </c>
      <c r="F136">
        <v>2.0009999999999999</v>
      </c>
      <c r="G136">
        <v>2.5590000000000002</v>
      </c>
      <c r="H136">
        <f t="shared" ca="1" si="16"/>
        <v>0.55877862595419803</v>
      </c>
      <c r="I136">
        <f t="shared" ca="1" si="16"/>
        <v>0.3674698795180722</v>
      </c>
      <c r="J136">
        <f t="shared" ca="1" si="16"/>
        <v>0.23552123552123541</v>
      </c>
      <c r="K136">
        <f t="shared" ca="1" si="16"/>
        <v>0.18473895582329333</v>
      </c>
      <c r="L136">
        <f t="shared" ca="1" si="16"/>
        <v>0.11840411840411849</v>
      </c>
      <c r="M136">
        <f t="shared" ca="1" si="16"/>
        <v>0.2065095398428734</v>
      </c>
      <c r="N136">
        <f t="shared" ca="1" si="16"/>
        <v>0.12698412698412709</v>
      </c>
      <c r="O136">
        <f t="shared" ca="1" si="16"/>
        <v>0.21943371943371923</v>
      </c>
      <c r="P136">
        <f t="shared" ca="1" si="16"/>
        <v>0.23533471359558297</v>
      </c>
      <c r="Q136">
        <f t="shared" ca="1" si="16"/>
        <v>0.31486611265004588</v>
      </c>
      <c r="R136">
        <f t="shared" ca="1" si="16"/>
        <v>0.5733590733590731</v>
      </c>
      <c r="S136">
        <f t="shared" ca="1" si="16"/>
        <v>0.33783783783783772</v>
      </c>
      <c r="T136">
        <f t="shared" ca="1" si="16"/>
        <v>0.36231884057971009</v>
      </c>
      <c r="V136" s="4">
        <f t="shared" si="13"/>
        <v>41935</v>
      </c>
      <c r="W136" s="5">
        <f t="shared" ca="1" si="11"/>
        <v>0.5733590733590731</v>
      </c>
      <c r="Z136" s="4" t="str">
        <f ca="1">IF(OFFSET('Calc Canada'!$A$1,0,0,300)="","",OFFSET('Calc Canada'!$A$1,0,0,300))</f>
        <v/>
      </c>
      <c r="AA136" s="5" t="e">
        <f ca="1">IF(OFFSET('Calc Canada'!$A$1,0,MATCH(W$1,'Calc Canada'!$1:$1,0)-1,300)="","",OFFSET('Calc Canada'!$A$1,0,MATCH(W$1,'Calc Canada'!$1:$1,0)-1,300))</f>
        <v>#N/A</v>
      </c>
      <c r="AB136" s="5" t="e">
        <f ca="1">IF(OFFSET('Calc Canada'!$A$1,0,MATCH(X$1,'Calc Canada'!$1:$1,0)-1,300)="","",OFFSET('Calc Canada'!$A$1,0,MATCH(X$1,'Calc Canada'!$1:$1,0)-1,300))</f>
        <v>#N/A</v>
      </c>
      <c r="AC136" t="e">
        <f t="shared" ca="1" si="17"/>
        <v>#N/A</v>
      </c>
      <c r="AD136" t="e">
        <f t="shared" ca="1" si="18"/>
        <v>#N/A</v>
      </c>
    </row>
    <row r="137" spans="1:30" x14ac:dyDescent="0.25">
      <c r="A137" s="4">
        <v>41934</v>
      </c>
      <c r="B137">
        <v>0.98399999999999999</v>
      </c>
      <c r="C137" s="5">
        <v>1.091</v>
      </c>
      <c r="D137">
        <v>1.427</v>
      </c>
      <c r="E137">
        <v>1.613</v>
      </c>
      <c r="F137">
        <v>1.9590000000000001</v>
      </c>
      <c r="G137">
        <v>2.5289999999999999</v>
      </c>
      <c r="H137">
        <f t="shared" ca="1" si="16"/>
        <v>0.53418124006359313</v>
      </c>
      <c r="I137">
        <f t="shared" ca="1" si="16"/>
        <v>0.34461538461538466</v>
      </c>
      <c r="J137">
        <f t="shared" ca="1" si="16"/>
        <v>0.21747572815533986</v>
      </c>
      <c r="K137">
        <f t="shared" ca="1" si="16"/>
        <v>0.19076923076923069</v>
      </c>
      <c r="L137">
        <f t="shared" ca="1" si="16"/>
        <v>0.12038834951456308</v>
      </c>
      <c r="M137">
        <f t="shared" ca="1" si="16"/>
        <v>0.21428571428571419</v>
      </c>
      <c r="N137">
        <f t="shared" ca="1" si="16"/>
        <v>0.12934631432545199</v>
      </c>
      <c r="O137">
        <f t="shared" ca="1" si="16"/>
        <v>0.22394822006472498</v>
      </c>
      <c r="P137">
        <f t="shared" ca="1" si="16"/>
        <v>0.2406119610570237</v>
      </c>
      <c r="Q137">
        <f t="shared" ca="1" si="16"/>
        <v>0.31397459165154279</v>
      </c>
      <c r="R137">
        <f t="shared" ca="1" si="16"/>
        <v>0.56181229773462793</v>
      </c>
      <c r="S137">
        <f t="shared" ca="1" si="16"/>
        <v>0.34433656957928804</v>
      </c>
      <c r="T137">
        <f t="shared" ca="1" si="16"/>
        <v>0.36995827538247572</v>
      </c>
      <c r="V137" s="4">
        <f t="shared" si="13"/>
        <v>41934</v>
      </c>
      <c r="W137" s="5">
        <f t="shared" ca="1" si="11"/>
        <v>0.56181229773462793</v>
      </c>
      <c r="Z137" s="4" t="str">
        <f ca="1">IF(OFFSET('Calc Canada'!$A$1,0,0,300)="","",OFFSET('Calc Canada'!$A$1,0,0,300))</f>
        <v/>
      </c>
      <c r="AA137" s="5" t="e">
        <f ca="1">IF(OFFSET('Calc Canada'!$A$1,0,MATCH(W$1,'Calc Canada'!$1:$1,0)-1,300)="","",OFFSET('Calc Canada'!$A$1,0,MATCH(W$1,'Calc Canada'!$1:$1,0)-1,300))</f>
        <v>#N/A</v>
      </c>
      <c r="AB137" s="5" t="e">
        <f ca="1">IF(OFFSET('Calc Canada'!$A$1,0,MATCH(X$1,'Calc Canada'!$1:$1,0)-1,300)="","",OFFSET('Calc Canada'!$A$1,0,MATCH(X$1,'Calc Canada'!$1:$1,0)-1,300))</f>
        <v>#N/A</v>
      </c>
      <c r="AC137" t="e">
        <f t="shared" ca="1" si="17"/>
        <v>#N/A</v>
      </c>
      <c r="AD137" t="e">
        <f t="shared" ca="1" si="18"/>
        <v>#N/A</v>
      </c>
    </row>
    <row r="138" spans="1:30" x14ac:dyDescent="0.25">
      <c r="A138" s="4">
        <v>41933</v>
      </c>
      <c r="B138">
        <v>0.97699999999999998</v>
      </c>
      <c r="C138" s="5">
        <v>1.08</v>
      </c>
      <c r="D138">
        <v>1.4330000000000001</v>
      </c>
      <c r="E138">
        <v>1.617</v>
      </c>
      <c r="F138">
        <v>1.9630000000000001</v>
      </c>
      <c r="G138">
        <v>2.5390000000000001</v>
      </c>
      <c r="H138">
        <f t="shared" ca="1" si="16"/>
        <v>0.55156249999999996</v>
      </c>
      <c r="I138">
        <f t="shared" ca="1" si="16"/>
        <v>0.35801217038539546</v>
      </c>
      <c r="J138">
        <f t="shared" ca="1" si="16"/>
        <v>0.22599231754161325</v>
      </c>
      <c r="K138">
        <f t="shared" ca="1" si="16"/>
        <v>0.18661257606490864</v>
      </c>
      <c r="L138">
        <f t="shared" ca="1" si="16"/>
        <v>0.11779769526248393</v>
      </c>
      <c r="M138">
        <f t="shared" ca="1" si="16"/>
        <v>0.2083805209513023</v>
      </c>
      <c r="N138">
        <f t="shared" ca="1" si="16"/>
        <v>0.12611377655928713</v>
      </c>
      <c r="O138">
        <f t="shared" ca="1" si="16"/>
        <v>0.22151088348271447</v>
      </c>
      <c r="P138">
        <f t="shared" ca="1" si="16"/>
        <v>0.23714873200822487</v>
      </c>
      <c r="Q138">
        <f t="shared" ca="1" si="16"/>
        <v>0.31283905967450276</v>
      </c>
      <c r="R138">
        <f t="shared" ca="1" si="16"/>
        <v>0.56530089628681168</v>
      </c>
      <c r="S138">
        <f t="shared" ca="1" si="16"/>
        <v>0.33930857874519843</v>
      </c>
      <c r="T138">
        <f t="shared" ca="1" si="16"/>
        <v>0.36326250856751202</v>
      </c>
      <c r="V138" s="4">
        <f t="shared" si="13"/>
        <v>41933</v>
      </c>
      <c r="W138" s="5">
        <f t="shared" ca="1" si="11"/>
        <v>0.56530089628681168</v>
      </c>
      <c r="Z138" s="4" t="str">
        <f ca="1">IF(OFFSET('Calc Canada'!$A$1,0,0,300)="","",OFFSET('Calc Canada'!$A$1,0,0,300))</f>
        <v/>
      </c>
      <c r="AA138" s="5" t="e">
        <f ca="1">IF(OFFSET('Calc Canada'!$A$1,0,MATCH(W$1,'Calc Canada'!$1:$1,0)-1,300)="","",OFFSET('Calc Canada'!$A$1,0,MATCH(W$1,'Calc Canada'!$1:$1,0)-1,300))</f>
        <v>#N/A</v>
      </c>
      <c r="AB138" s="5" t="e">
        <f ca="1">IF(OFFSET('Calc Canada'!$A$1,0,MATCH(X$1,'Calc Canada'!$1:$1,0)-1,300)="","",OFFSET('Calc Canada'!$A$1,0,MATCH(X$1,'Calc Canada'!$1:$1,0)-1,300))</f>
        <v>#N/A</v>
      </c>
      <c r="AC138" t="e">
        <f t="shared" ca="1" si="17"/>
        <v>#N/A</v>
      </c>
      <c r="AD138" t="e">
        <f t="shared" ca="1" si="18"/>
        <v>#N/A</v>
      </c>
    </row>
    <row r="139" spans="1:30" x14ac:dyDescent="0.25">
      <c r="A139" s="4">
        <v>41932</v>
      </c>
      <c r="B139">
        <v>0.96299999999999997</v>
      </c>
      <c r="C139" s="5">
        <v>1.0680000000000001</v>
      </c>
      <c r="D139">
        <v>1.4</v>
      </c>
      <c r="E139">
        <v>1.595</v>
      </c>
      <c r="F139">
        <v>1.9370000000000001</v>
      </c>
      <c r="G139">
        <v>2.5209999999999999</v>
      </c>
      <c r="H139">
        <f t="shared" ca="1" si="16"/>
        <v>0.52531645569620233</v>
      </c>
      <c r="I139">
        <f t="shared" ca="1" si="16"/>
        <v>0.34086242299794645</v>
      </c>
      <c r="J139">
        <f t="shared" ca="1" si="16"/>
        <v>0.21309370988446719</v>
      </c>
      <c r="K139">
        <f t="shared" ca="1" si="16"/>
        <v>0.20020533880903496</v>
      </c>
      <c r="L139">
        <f t="shared" ca="1" si="16"/>
        <v>0.12516046213093715</v>
      </c>
      <c r="M139">
        <f t="shared" ca="1" si="16"/>
        <v>0.22439585730724979</v>
      </c>
      <c r="N139">
        <f t="shared" ca="1" si="16"/>
        <v>0.13420509291121824</v>
      </c>
      <c r="O139">
        <f t="shared" ca="1" si="16"/>
        <v>0.2195121951219513</v>
      </c>
      <c r="P139">
        <f t="shared" ca="1" si="16"/>
        <v>0.23537508602890581</v>
      </c>
      <c r="Q139">
        <f t="shared" ca="1" si="16"/>
        <v>0.30508474576271194</v>
      </c>
      <c r="R139">
        <f t="shared" ca="1" si="16"/>
        <v>0.55776636713735561</v>
      </c>
      <c r="S139">
        <f t="shared" ca="1" si="16"/>
        <v>0.34467265725288843</v>
      </c>
      <c r="T139">
        <f t="shared" ca="1" si="16"/>
        <v>0.36958017894012402</v>
      </c>
      <c r="V139" s="4">
        <f t="shared" si="13"/>
        <v>41932</v>
      </c>
      <c r="W139" s="5">
        <f t="shared" ca="1" si="11"/>
        <v>0.55776636713735561</v>
      </c>
      <c r="Z139" s="4" t="str">
        <f ca="1">IF(OFFSET('Calc Canada'!$A$1,0,0,300)="","",OFFSET('Calc Canada'!$A$1,0,0,300))</f>
        <v/>
      </c>
      <c r="AA139" s="5" t="e">
        <f ca="1">IF(OFFSET('Calc Canada'!$A$1,0,MATCH(W$1,'Calc Canada'!$1:$1,0)-1,300)="","",OFFSET('Calc Canada'!$A$1,0,MATCH(W$1,'Calc Canada'!$1:$1,0)-1,300))</f>
        <v>#N/A</v>
      </c>
      <c r="AB139" s="5" t="e">
        <f ca="1">IF(OFFSET('Calc Canada'!$A$1,0,MATCH(X$1,'Calc Canada'!$1:$1,0)-1,300)="","",OFFSET('Calc Canada'!$A$1,0,MATCH(X$1,'Calc Canada'!$1:$1,0)-1,300))</f>
        <v>#N/A</v>
      </c>
      <c r="AC139" t="e">
        <f t="shared" ca="1" si="17"/>
        <v>#N/A</v>
      </c>
      <c r="AD139" t="e">
        <f t="shared" ca="1" si="18"/>
        <v>#N/A</v>
      </c>
    </row>
    <row r="140" spans="1:30" x14ac:dyDescent="0.25">
      <c r="A140" s="4">
        <v>41929</v>
      </c>
      <c r="B140">
        <v>0.97499999999999998</v>
      </c>
      <c r="C140" s="5">
        <v>1.08</v>
      </c>
      <c r="D140">
        <v>1.42</v>
      </c>
      <c r="E140">
        <v>1.6099999999999999</v>
      </c>
      <c r="F140">
        <v>1.9489999999999998</v>
      </c>
      <c r="G140">
        <v>2.5179999999999998</v>
      </c>
      <c r="H140">
        <f t="shared" ca="1" si="16"/>
        <v>0.53543307086614156</v>
      </c>
      <c r="I140">
        <f t="shared" ca="1" si="16"/>
        <v>0.34907597535934282</v>
      </c>
      <c r="J140">
        <f t="shared" ca="1" si="16"/>
        <v>0.22034996759559294</v>
      </c>
      <c r="K140">
        <f t="shared" ca="1" si="16"/>
        <v>0.19507186858316219</v>
      </c>
      <c r="L140">
        <f t="shared" ca="1" si="16"/>
        <v>0.12313674659753725</v>
      </c>
      <c r="M140">
        <f t="shared" ca="1" si="16"/>
        <v>0.21864211737629458</v>
      </c>
      <c r="N140">
        <f t="shared" ca="1" si="16"/>
        <v>0.13212795549374129</v>
      </c>
      <c r="O140">
        <f t="shared" ca="1" si="16"/>
        <v>0.21970187945560599</v>
      </c>
      <c r="P140">
        <f t="shared" ca="1" si="16"/>
        <v>0.23574408901251742</v>
      </c>
      <c r="Q140">
        <f t="shared" ca="1" si="16"/>
        <v>0.30874316939890711</v>
      </c>
      <c r="R140">
        <f t="shared" ca="1" si="16"/>
        <v>0.56318859364873619</v>
      </c>
      <c r="S140">
        <f t="shared" ca="1" si="16"/>
        <v>0.34283862605314325</v>
      </c>
      <c r="T140">
        <f t="shared" ca="1" si="16"/>
        <v>0.36787204450625871</v>
      </c>
      <c r="V140" s="4">
        <f t="shared" si="13"/>
        <v>41929</v>
      </c>
      <c r="W140" s="5">
        <f t="shared" ref="W140:W203" ca="1" si="19">OFFSET($H$12,0,MATCH(selectCanada,$H$12:$T$12,0)-1,300,1)</f>
        <v>0.56318859364873619</v>
      </c>
      <c r="Z140" s="4" t="str">
        <f ca="1">IF(OFFSET('Calc Canada'!$A$1,0,0,300)="","",OFFSET('Calc Canada'!$A$1,0,0,300))</f>
        <v/>
      </c>
      <c r="AA140" s="5" t="e">
        <f ca="1">IF(OFFSET('Calc Canada'!$A$1,0,MATCH(W$1,'Calc Canada'!$1:$1,0)-1,300)="","",OFFSET('Calc Canada'!$A$1,0,MATCH(W$1,'Calc Canada'!$1:$1,0)-1,300))</f>
        <v>#N/A</v>
      </c>
      <c r="AB140" s="5" t="e">
        <f ca="1">IF(OFFSET('Calc Canada'!$A$1,0,MATCH(X$1,'Calc Canada'!$1:$1,0)-1,300)="","",OFFSET('Calc Canada'!$A$1,0,MATCH(X$1,'Calc Canada'!$1:$1,0)-1,300))</f>
        <v>#N/A</v>
      </c>
      <c r="AC140" t="e">
        <f t="shared" ca="1" si="17"/>
        <v>#N/A</v>
      </c>
      <c r="AD140" t="e">
        <f t="shared" ca="1" si="18"/>
        <v>#N/A</v>
      </c>
    </row>
    <row r="141" spans="1:30" x14ac:dyDescent="0.25">
      <c r="A141" s="4">
        <v>41928</v>
      </c>
      <c r="B141">
        <v>0.92600000000000005</v>
      </c>
      <c r="C141" s="5">
        <v>1.03</v>
      </c>
      <c r="D141">
        <v>1.3860000000000001</v>
      </c>
      <c r="E141">
        <v>1.577</v>
      </c>
      <c r="F141">
        <v>1.925</v>
      </c>
      <c r="G141">
        <v>2.492</v>
      </c>
      <c r="H141">
        <f t="shared" ref="H141:T156" ca="1" si="20">IF(ISERROR(ABS(OFFSET($A$11,ROW()-11,MATCH(LEFT(H$9,2),$A$11:$G$11,0)-1)-OFFSET($A$11,ROW()-11,MATCH(RIGHT(H$9,2),$A$11:$G$11,0)-1))/ABS(OFFSET($A$11,ROW()-11,MATCH(LEFT(H$10,2),$A$11:$G$11,0)-1)-OFFSET($A$11,ROW()-11,MATCH(RIGHT(H$10,2),$A$11:$G$11,0)-1))),"",ABS(OFFSET($A$11,ROW()-11,MATCH(LEFT(H$9,2),$A$11:$G$11,0)-1)-OFFSET($A$11,ROW()-11,MATCH(RIGHT(H$9,2),$A$11:$G$11,0)-1))/ABS(OFFSET($A$11,ROW()-11,MATCH(LEFT(H$10,2),$A$11:$G$11,0)-1)-OFFSET($A$11,ROW()-11,MATCH(RIGHT(H$10,2),$A$11:$G$11,0)-1)))</f>
        <v>0.54685099846390195</v>
      </c>
      <c r="I141">
        <f t="shared" ca="1" si="20"/>
        <v>0.35635635635635643</v>
      </c>
      <c r="J141">
        <f t="shared" ca="1" si="20"/>
        <v>0.22733077905491708</v>
      </c>
      <c r="K141">
        <f t="shared" ca="1" si="20"/>
        <v>0.19119119119119102</v>
      </c>
      <c r="L141">
        <f t="shared" ca="1" si="20"/>
        <v>0.1219667943805874</v>
      </c>
      <c r="M141">
        <f t="shared" ca="1" si="20"/>
        <v>0.21340782122905008</v>
      </c>
      <c r="N141">
        <f t="shared" ca="1" si="20"/>
        <v>0.13064295485636104</v>
      </c>
      <c r="O141">
        <f t="shared" ca="1" si="20"/>
        <v>0.22222222222222229</v>
      </c>
      <c r="P141">
        <f t="shared" ca="1" si="20"/>
        <v>0.23803009575923398</v>
      </c>
      <c r="Q141">
        <f t="shared" ca="1" si="20"/>
        <v>0.31464737793851727</v>
      </c>
      <c r="R141">
        <f t="shared" ca="1" si="20"/>
        <v>0.57151979565772681</v>
      </c>
      <c r="S141">
        <f t="shared" ca="1" si="20"/>
        <v>0.34418901660280971</v>
      </c>
      <c r="T141">
        <f t="shared" ca="1" si="20"/>
        <v>0.36867305061559502</v>
      </c>
      <c r="V141" s="4">
        <f t="shared" si="13"/>
        <v>41928</v>
      </c>
      <c r="W141" s="5">
        <f t="shared" ca="1" si="19"/>
        <v>0.57151979565772681</v>
      </c>
      <c r="Z141" s="4" t="str">
        <f ca="1">IF(OFFSET('Calc Canada'!$A$1,0,0,300)="","",OFFSET('Calc Canada'!$A$1,0,0,300))</f>
        <v/>
      </c>
      <c r="AA141" s="5" t="e">
        <f ca="1">IF(OFFSET('Calc Canada'!$A$1,0,MATCH(W$1,'Calc Canada'!$1:$1,0)-1,300)="","",OFFSET('Calc Canada'!$A$1,0,MATCH(W$1,'Calc Canada'!$1:$1,0)-1,300))</f>
        <v>#N/A</v>
      </c>
      <c r="AB141" s="5" t="e">
        <f ca="1">IF(OFFSET('Calc Canada'!$A$1,0,MATCH(X$1,'Calc Canada'!$1:$1,0)-1,300)="","",OFFSET('Calc Canada'!$A$1,0,MATCH(X$1,'Calc Canada'!$1:$1,0)-1,300))</f>
        <v>#N/A</v>
      </c>
      <c r="AC141" t="e">
        <f t="shared" ca="1" si="17"/>
        <v>#N/A</v>
      </c>
      <c r="AD141" t="e">
        <f t="shared" ca="1" si="18"/>
        <v>#N/A</v>
      </c>
    </row>
    <row r="142" spans="1:30" x14ac:dyDescent="0.25">
      <c r="A142" s="4">
        <v>41927</v>
      </c>
      <c r="B142">
        <v>0.91200000000000003</v>
      </c>
      <c r="C142" s="5">
        <v>1.012</v>
      </c>
      <c r="D142">
        <v>1.3759999999999999</v>
      </c>
      <c r="E142">
        <v>1.5669999999999999</v>
      </c>
      <c r="F142">
        <v>1.9159999999999999</v>
      </c>
      <c r="G142">
        <v>2.4649999999999999</v>
      </c>
      <c r="H142">
        <f t="shared" ca="1" si="20"/>
        <v>0.55572519083969452</v>
      </c>
      <c r="I142">
        <f t="shared" ca="1" si="20"/>
        <v>0.36254980079681265</v>
      </c>
      <c r="J142">
        <f t="shared" ca="1" si="20"/>
        <v>0.23438506117192523</v>
      </c>
      <c r="K142">
        <f t="shared" ca="1" si="20"/>
        <v>0.19023904382470125</v>
      </c>
      <c r="L142">
        <f t="shared" ca="1" si="20"/>
        <v>0.12298776561493888</v>
      </c>
      <c r="M142">
        <f t="shared" ca="1" si="20"/>
        <v>0.21128318584070804</v>
      </c>
      <c r="N142">
        <f t="shared" ca="1" si="20"/>
        <v>0.13145216792842401</v>
      </c>
      <c r="O142">
        <f t="shared" ca="1" si="20"/>
        <v>0.22472633612363169</v>
      </c>
      <c r="P142">
        <f t="shared" ca="1" si="20"/>
        <v>0.24019270474879562</v>
      </c>
      <c r="Q142">
        <f t="shared" ca="1" si="20"/>
        <v>0.32047750229568411</v>
      </c>
      <c r="R142">
        <f t="shared" ca="1" si="20"/>
        <v>0.58209916291049579</v>
      </c>
      <c r="S142">
        <f t="shared" ca="1" si="20"/>
        <v>0.34771410173857054</v>
      </c>
      <c r="T142">
        <f t="shared" ca="1" si="20"/>
        <v>0.37164487267721963</v>
      </c>
      <c r="V142" s="4">
        <f t="shared" ref="V142:V205" si="21">IF(A142&lt;&gt;"",A142,"")</f>
        <v>41927</v>
      </c>
      <c r="W142" s="5">
        <f t="shared" ca="1" si="19"/>
        <v>0.58209916291049579</v>
      </c>
      <c r="Z142" s="4" t="str">
        <f ca="1">IF(OFFSET('Calc Canada'!$A$1,0,0,300)="","",OFFSET('Calc Canada'!$A$1,0,0,300))</f>
        <v/>
      </c>
      <c r="AA142" s="5" t="e">
        <f ca="1">IF(OFFSET('Calc Canada'!$A$1,0,MATCH(W$1,'Calc Canada'!$1:$1,0)-1,300)="","",OFFSET('Calc Canada'!$A$1,0,MATCH(W$1,'Calc Canada'!$1:$1,0)-1,300))</f>
        <v>#N/A</v>
      </c>
      <c r="AB142" s="5" t="e">
        <f ca="1">IF(OFFSET('Calc Canada'!$A$1,0,MATCH(X$1,'Calc Canada'!$1:$1,0)-1,300)="","",OFFSET('Calc Canada'!$A$1,0,MATCH(X$1,'Calc Canada'!$1:$1,0)-1,300))</f>
        <v>#N/A</v>
      </c>
      <c r="AC142" t="e">
        <f t="shared" ca="1" si="17"/>
        <v>#N/A</v>
      </c>
      <c r="AD142" t="e">
        <f t="shared" ca="1" si="18"/>
        <v>#N/A</v>
      </c>
    </row>
    <row r="143" spans="1:30" x14ac:dyDescent="0.25">
      <c r="A143" s="4">
        <v>41926</v>
      </c>
      <c r="B143">
        <v>0.97899999999999998</v>
      </c>
      <c r="C143" s="5">
        <v>1.085</v>
      </c>
      <c r="D143">
        <v>1.43</v>
      </c>
      <c r="E143">
        <v>1.609</v>
      </c>
      <c r="F143">
        <v>1.9409999999999998</v>
      </c>
      <c r="G143">
        <v>2.488</v>
      </c>
      <c r="H143">
        <f t="shared" ca="1" si="20"/>
        <v>0.54761904761904756</v>
      </c>
      <c r="I143">
        <f t="shared" ca="1" si="20"/>
        <v>0.35862785862785868</v>
      </c>
      <c r="J143">
        <f t="shared" ca="1" si="20"/>
        <v>0.22862823061630219</v>
      </c>
      <c r="K143">
        <f t="shared" ca="1" si="20"/>
        <v>0.18607068607068614</v>
      </c>
      <c r="L143">
        <f t="shared" ca="1" si="20"/>
        <v>0.11862160371106698</v>
      </c>
      <c r="M143">
        <f t="shared" ca="1" si="20"/>
        <v>0.20911214953271037</v>
      </c>
      <c r="N143">
        <f t="shared" ca="1" si="20"/>
        <v>0.12758374910905207</v>
      </c>
      <c r="O143">
        <f t="shared" ca="1" si="20"/>
        <v>0.22001325381047043</v>
      </c>
      <c r="P143">
        <f t="shared" ca="1" si="20"/>
        <v>0.23663578047042041</v>
      </c>
      <c r="Q143">
        <f t="shared" ca="1" si="20"/>
        <v>0.31379962192816618</v>
      </c>
      <c r="R143">
        <f t="shared" ca="1" si="20"/>
        <v>0.56726308813783954</v>
      </c>
      <c r="S143">
        <f t="shared" ca="1" si="20"/>
        <v>0.33863485752153738</v>
      </c>
      <c r="T143">
        <f t="shared" ca="1" si="20"/>
        <v>0.36421952957947246</v>
      </c>
      <c r="V143" s="4">
        <f t="shared" si="21"/>
        <v>41926</v>
      </c>
      <c r="W143" s="5">
        <f t="shared" ca="1" si="19"/>
        <v>0.56726308813783954</v>
      </c>
      <c r="Z143" s="4" t="str">
        <f ca="1">IF(OFFSET('Calc Canada'!$A$1,0,0,300)="","",OFFSET('Calc Canada'!$A$1,0,0,300))</f>
        <v/>
      </c>
      <c r="AA143" s="5" t="e">
        <f ca="1">IF(OFFSET('Calc Canada'!$A$1,0,MATCH(W$1,'Calc Canada'!$1:$1,0)-1,300)="","",OFFSET('Calc Canada'!$A$1,0,MATCH(W$1,'Calc Canada'!$1:$1,0)-1,300))</f>
        <v>#N/A</v>
      </c>
      <c r="AB143" s="5" t="e">
        <f ca="1">IF(OFFSET('Calc Canada'!$A$1,0,MATCH(X$1,'Calc Canada'!$1:$1,0)-1,300)="","",OFFSET('Calc Canada'!$A$1,0,MATCH(X$1,'Calc Canada'!$1:$1,0)-1,300))</f>
        <v>#N/A</v>
      </c>
      <c r="AC143" t="e">
        <f t="shared" ca="1" si="17"/>
        <v>#N/A</v>
      </c>
      <c r="AD143" t="e">
        <f t="shared" ca="1" si="18"/>
        <v>#N/A</v>
      </c>
    </row>
    <row r="144" spans="1:30" x14ac:dyDescent="0.25">
      <c r="A144" s="4">
        <v>41925</v>
      </c>
      <c r="B144">
        <v>1.05</v>
      </c>
      <c r="C144" s="5">
        <v>1.161</v>
      </c>
      <c r="D144">
        <v>1.5110000000000001</v>
      </c>
      <c r="E144">
        <v>1.6850000000000001</v>
      </c>
      <c r="F144">
        <v>2.0110000000000001</v>
      </c>
      <c r="G144">
        <v>2.5449999999999999</v>
      </c>
      <c r="H144">
        <f t="shared" ca="1" si="20"/>
        <v>0.55118110236220486</v>
      </c>
      <c r="I144">
        <f t="shared" ca="1" si="20"/>
        <v>0.36420395421436008</v>
      </c>
      <c r="J144">
        <f t="shared" ca="1" si="20"/>
        <v>0.23411371237458201</v>
      </c>
      <c r="K144">
        <f t="shared" ca="1" si="20"/>
        <v>0.1810613943808532</v>
      </c>
      <c r="L144">
        <f t="shared" ca="1" si="20"/>
        <v>0.11638795986622071</v>
      </c>
      <c r="M144">
        <f t="shared" ca="1" si="20"/>
        <v>0.20470588235294107</v>
      </c>
      <c r="N144">
        <f t="shared" ca="1" si="20"/>
        <v>0.12572254335260111</v>
      </c>
      <c r="O144">
        <f t="shared" ca="1" si="20"/>
        <v>0.21806020066889639</v>
      </c>
      <c r="P144">
        <f t="shared" ca="1" si="20"/>
        <v>0.23554913294797694</v>
      </c>
      <c r="Q144">
        <f t="shared" ca="1" si="20"/>
        <v>0.31528046421663453</v>
      </c>
      <c r="R144">
        <f t="shared" ca="1" si="20"/>
        <v>0.56856187290969906</v>
      </c>
      <c r="S144">
        <f t="shared" ca="1" si="20"/>
        <v>0.33444816053511706</v>
      </c>
      <c r="T144">
        <f t="shared" ca="1" si="20"/>
        <v>0.36127167630057805</v>
      </c>
      <c r="V144" s="4">
        <f t="shared" si="21"/>
        <v>41925</v>
      </c>
      <c r="W144" s="5">
        <f t="shared" ca="1" si="19"/>
        <v>0.56856187290969906</v>
      </c>
      <c r="Z144" s="4" t="str">
        <f ca="1">IF(OFFSET('Calc Canada'!$A$1,0,0,300)="","",OFFSET('Calc Canada'!$A$1,0,0,300))</f>
        <v/>
      </c>
      <c r="AA144" s="5" t="e">
        <f ca="1">IF(OFFSET('Calc Canada'!$A$1,0,MATCH(W$1,'Calc Canada'!$1:$1,0)-1,300)="","",OFFSET('Calc Canada'!$A$1,0,MATCH(W$1,'Calc Canada'!$1:$1,0)-1,300))</f>
        <v>#N/A</v>
      </c>
      <c r="AB144" s="5" t="e">
        <f ca="1">IF(OFFSET('Calc Canada'!$A$1,0,MATCH(X$1,'Calc Canada'!$1:$1,0)-1,300)="","",OFFSET('Calc Canada'!$A$1,0,MATCH(X$1,'Calc Canada'!$1:$1,0)-1,300))</f>
        <v>#N/A</v>
      </c>
      <c r="AC144" t="e">
        <f t="shared" ca="1" si="17"/>
        <v>#N/A</v>
      </c>
      <c r="AD144" t="e">
        <f t="shared" ca="1" si="18"/>
        <v>#N/A</v>
      </c>
    </row>
    <row r="145" spans="1:30" x14ac:dyDescent="0.25">
      <c r="A145" s="4">
        <v>41922</v>
      </c>
      <c r="B145">
        <v>1.05</v>
      </c>
      <c r="C145" s="5">
        <v>1.161</v>
      </c>
      <c r="D145">
        <v>1.5110000000000001</v>
      </c>
      <c r="E145">
        <v>1.6850000000000001</v>
      </c>
      <c r="F145">
        <v>2.0110000000000001</v>
      </c>
      <c r="G145">
        <v>2.5449999999999999</v>
      </c>
      <c r="H145">
        <f t="shared" ca="1" si="20"/>
        <v>0.55118110236220486</v>
      </c>
      <c r="I145">
        <f t="shared" ca="1" si="20"/>
        <v>0.36420395421436008</v>
      </c>
      <c r="J145">
        <f t="shared" ca="1" si="20"/>
        <v>0.23411371237458201</v>
      </c>
      <c r="K145">
        <f t="shared" ca="1" si="20"/>
        <v>0.1810613943808532</v>
      </c>
      <c r="L145">
        <f t="shared" ca="1" si="20"/>
        <v>0.11638795986622071</v>
      </c>
      <c r="M145">
        <f t="shared" ca="1" si="20"/>
        <v>0.20470588235294107</v>
      </c>
      <c r="N145">
        <f t="shared" ca="1" si="20"/>
        <v>0.12572254335260111</v>
      </c>
      <c r="O145">
        <f t="shared" ca="1" si="20"/>
        <v>0.21806020066889639</v>
      </c>
      <c r="P145">
        <f t="shared" ca="1" si="20"/>
        <v>0.23554913294797694</v>
      </c>
      <c r="Q145">
        <f t="shared" ca="1" si="20"/>
        <v>0.31528046421663453</v>
      </c>
      <c r="R145">
        <f t="shared" ca="1" si="20"/>
        <v>0.56856187290969906</v>
      </c>
      <c r="S145">
        <f t="shared" ca="1" si="20"/>
        <v>0.33444816053511706</v>
      </c>
      <c r="T145">
        <f t="shared" ca="1" si="20"/>
        <v>0.36127167630057805</v>
      </c>
      <c r="V145" s="4">
        <f t="shared" si="21"/>
        <v>41922</v>
      </c>
      <c r="W145" s="5">
        <f t="shared" ca="1" si="19"/>
        <v>0.56856187290969906</v>
      </c>
      <c r="Z145" s="4" t="str">
        <f ca="1">IF(OFFSET('Calc Canada'!$A$1,0,0,300)="","",OFFSET('Calc Canada'!$A$1,0,0,300))</f>
        <v/>
      </c>
      <c r="AA145" s="5" t="e">
        <f ca="1">IF(OFFSET('Calc Canada'!$A$1,0,MATCH(W$1,'Calc Canada'!$1:$1,0)-1,300)="","",OFFSET('Calc Canada'!$A$1,0,MATCH(W$1,'Calc Canada'!$1:$1,0)-1,300))</f>
        <v>#N/A</v>
      </c>
      <c r="AB145" s="5" t="e">
        <f ca="1">IF(OFFSET('Calc Canada'!$A$1,0,MATCH(X$1,'Calc Canada'!$1:$1,0)-1,300)="","",OFFSET('Calc Canada'!$A$1,0,MATCH(X$1,'Calc Canada'!$1:$1,0)-1,300))</f>
        <v>#N/A</v>
      </c>
      <c r="AC145" t="e">
        <f t="shared" ca="1" si="17"/>
        <v>#N/A</v>
      </c>
      <c r="AD145" t="e">
        <f t="shared" ca="1" si="18"/>
        <v>#N/A</v>
      </c>
    </row>
    <row r="146" spans="1:30" x14ac:dyDescent="0.25">
      <c r="A146" s="4">
        <v>41921</v>
      </c>
      <c r="B146">
        <v>1.0569999999999999</v>
      </c>
      <c r="C146" s="5">
        <v>1.169</v>
      </c>
      <c r="D146">
        <v>1.5150000000000001</v>
      </c>
      <c r="E146">
        <v>1.6720000000000002</v>
      </c>
      <c r="F146">
        <v>2.0249999999999999</v>
      </c>
      <c r="G146">
        <v>2.5609999999999999</v>
      </c>
      <c r="H146">
        <f t="shared" ca="1" si="20"/>
        <v>0.56260162601626007</v>
      </c>
      <c r="I146">
        <f t="shared" ca="1" si="20"/>
        <v>0.35743801652892571</v>
      </c>
      <c r="J146">
        <f t="shared" ca="1" si="20"/>
        <v>0.23005319148936176</v>
      </c>
      <c r="K146">
        <f t="shared" ca="1" si="20"/>
        <v>0.16219008264462814</v>
      </c>
      <c r="L146">
        <f t="shared" ca="1" si="20"/>
        <v>0.10438829787234044</v>
      </c>
      <c r="M146">
        <f t="shared" ca="1" si="20"/>
        <v>0.18341121495327109</v>
      </c>
      <c r="N146">
        <f t="shared" ca="1" si="20"/>
        <v>0.1127873563218391</v>
      </c>
      <c r="O146">
        <f t="shared" ca="1" si="20"/>
        <v>0.23470744680851047</v>
      </c>
      <c r="P146">
        <f t="shared" ca="1" si="20"/>
        <v>0.25359195402298834</v>
      </c>
      <c r="Q146">
        <f t="shared" ca="1" si="20"/>
        <v>0.33747609942638607</v>
      </c>
      <c r="R146">
        <f t="shared" ca="1" si="20"/>
        <v>0.56914893617021267</v>
      </c>
      <c r="S146">
        <f t="shared" ca="1" si="20"/>
        <v>0.33909574468085091</v>
      </c>
      <c r="T146">
        <f t="shared" ca="1" si="20"/>
        <v>0.36637931034482746</v>
      </c>
      <c r="V146" s="4">
        <f t="shared" si="21"/>
        <v>41921</v>
      </c>
      <c r="W146" s="5">
        <f t="shared" ca="1" si="19"/>
        <v>0.56914893617021267</v>
      </c>
      <c r="Z146" s="4" t="str">
        <f ca="1">IF(OFFSET('Calc Canada'!$A$1,0,0,300)="","",OFFSET('Calc Canada'!$A$1,0,0,300))</f>
        <v/>
      </c>
      <c r="AA146" s="5" t="e">
        <f ca="1">IF(OFFSET('Calc Canada'!$A$1,0,MATCH(W$1,'Calc Canada'!$1:$1,0)-1,300)="","",OFFSET('Calc Canada'!$A$1,0,MATCH(W$1,'Calc Canada'!$1:$1,0)-1,300))</f>
        <v>#N/A</v>
      </c>
      <c r="AB146" s="5" t="e">
        <f ca="1">IF(OFFSET('Calc Canada'!$A$1,0,MATCH(X$1,'Calc Canada'!$1:$1,0)-1,300)="","",OFFSET('Calc Canada'!$A$1,0,MATCH(X$1,'Calc Canada'!$1:$1,0)-1,300))</f>
        <v>#N/A</v>
      </c>
      <c r="AC146" t="e">
        <f t="shared" ca="1" si="17"/>
        <v>#N/A</v>
      </c>
      <c r="AD146" t="e">
        <f t="shared" ca="1" si="18"/>
        <v>#N/A</v>
      </c>
    </row>
    <row r="147" spans="1:30" x14ac:dyDescent="0.25">
      <c r="A147" s="4">
        <v>41920</v>
      </c>
      <c r="B147">
        <v>1.052</v>
      </c>
      <c r="C147" s="5">
        <v>1.1639999999999999</v>
      </c>
      <c r="D147">
        <v>1.488</v>
      </c>
      <c r="E147">
        <v>1.643</v>
      </c>
      <c r="F147">
        <v>2.0150000000000001</v>
      </c>
      <c r="G147">
        <v>2.5529999999999999</v>
      </c>
      <c r="H147">
        <f t="shared" ca="1" si="20"/>
        <v>0.5482233502538072</v>
      </c>
      <c r="I147">
        <f t="shared" ca="1" si="20"/>
        <v>0.33644859813084116</v>
      </c>
      <c r="J147">
        <f t="shared" ca="1" si="20"/>
        <v>0.21585609593604269</v>
      </c>
      <c r="K147">
        <f t="shared" ca="1" si="20"/>
        <v>0.16095534787123575</v>
      </c>
      <c r="L147">
        <f t="shared" ca="1" si="20"/>
        <v>0.10326449033977352</v>
      </c>
      <c r="M147">
        <f t="shared" ca="1" si="20"/>
        <v>0.18213866039952994</v>
      </c>
      <c r="N147">
        <f t="shared" ca="1" si="20"/>
        <v>0.11159107271418288</v>
      </c>
      <c r="O147">
        <f t="shared" ca="1" si="20"/>
        <v>0.24783477681545646</v>
      </c>
      <c r="P147">
        <f t="shared" ca="1" si="20"/>
        <v>0.26781857451403895</v>
      </c>
      <c r="Q147">
        <f t="shared" ca="1" si="20"/>
        <v>0.34929577464788747</v>
      </c>
      <c r="R147">
        <f t="shared" ca="1" si="20"/>
        <v>0.5669553630912727</v>
      </c>
      <c r="S147">
        <f t="shared" ca="1" si="20"/>
        <v>0.35109926715522999</v>
      </c>
      <c r="T147">
        <f t="shared" ca="1" si="20"/>
        <v>0.37940964722822185</v>
      </c>
      <c r="V147" s="4">
        <f t="shared" si="21"/>
        <v>41920</v>
      </c>
      <c r="W147" s="5">
        <f t="shared" ca="1" si="19"/>
        <v>0.5669553630912727</v>
      </c>
      <c r="Z147" s="4" t="str">
        <f ca="1">IF(OFFSET('Calc Canada'!$A$1,0,0,300)="","",OFFSET('Calc Canada'!$A$1,0,0,300))</f>
        <v/>
      </c>
      <c r="AA147" s="5" t="e">
        <f ca="1">IF(OFFSET('Calc Canada'!$A$1,0,MATCH(W$1,'Calc Canada'!$1:$1,0)-1,300)="","",OFFSET('Calc Canada'!$A$1,0,MATCH(W$1,'Calc Canada'!$1:$1,0)-1,300))</f>
        <v>#N/A</v>
      </c>
      <c r="AB147" s="5" t="e">
        <f ca="1">IF(OFFSET('Calc Canada'!$A$1,0,MATCH(X$1,'Calc Canada'!$1:$1,0)-1,300)="","",OFFSET('Calc Canada'!$A$1,0,MATCH(X$1,'Calc Canada'!$1:$1,0)-1,300))</f>
        <v>#N/A</v>
      </c>
      <c r="AC147" t="e">
        <f t="shared" ca="1" si="17"/>
        <v>#N/A</v>
      </c>
      <c r="AD147" t="e">
        <f t="shared" ca="1" si="18"/>
        <v>#N/A</v>
      </c>
    </row>
    <row r="148" spans="1:30" x14ac:dyDescent="0.25">
      <c r="A148" s="4">
        <v>41919</v>
      </c>
      <c r="B148">
        <v>1.0840000000000001</v>
      </c>
      <c r="C148" s="5">
        <v>1.198</v>
      </c>
      <c r="D148">
        <v>1.5209999999999999</v>
      </c>
      <c r="E148">
        <v>1.673</v>
      </c>
      <c r="F148">
        <v>2.028</v>
      </c>
      <c r="G148">
        <v>2.548</v>
      </c>
      <c r="H148">
        <f t="shared" ca="1" si="20"/>
        <v>0.54838709677419351</v>
      </c>
      <c r="I148">
        <f t="shared" ca="1" si="20"/>
        <v>0.34216101694915252</v>
      </c>
      <c r="J148">
        <f t="shared" ca="1" si="20"/>
        <v>0.22062841530054642</v>
      </c>
      <c r="K148">
        <f t="shared" ca="1" si="20"/>
        <v>0.16101694915254253</v>
      </c>
      <c r="L148">
        <f t="shared" ca="1" si="20"/>
        <v>0.10382513661202196</v>
      </c>
      <c r="M148">
        <f t="shared" ca="1" si="20"/>
        <v>0.18313253012048208</v>
      </c>
      <c r="N148">
        <f t="shared" ca="1" si="20"/>
        <v>0.11259259259259269</v>
      </c>
      <c r="O148">
        <f t="shared" ca="1" si="20"/>
        <v>0.2424863387978142</v>
      </c>
      <c r="P148">
        <f t="shared" ca="1" si="20"/>
        <v>0.26296296296296295</v>
      </c>
      <c r="Q148">
        <f t="shared" ca="1" si="20"/>
        <v>0.34566699123661143</v>
      </c>
      <c r="R148">
        <f t="shared" ca="1" si="20"/>
        <v>0.56693989071038253</v>
      </c>
      <c r="S148">
        <f t="shared" ca="1" si="20"/>
        <v>0.34631147540983614</v>
      </c>
      <c r="T148">
        <f t="shared" ca="1" si="20"/>
        <v>0.37555555555555564</v>
      </c>
      <c r="V148" s="4">
        <f t="shared" si="21"/>
        <v>41919</v>
      </c>
      <c r="W148" s="5">
        <f t="shared" ca="1" si="19"/>
        <v>0.56693989071038253</v>
      </c>
      <c r="Z148" s="4" t="str">
        <f ca="1">IF(OFFSET('Calc Canada'!$A$1,0,0,300)="","",OFFSET('Calc Canada'!$A$1,0,0,300))</f>
        <v/>
      </c>
      <c r="AA148" s="5" t="e">
        <f ca="1">IF(OFFSET('Calc Canada'!$A$1,0,MATCH(W$1,'Calc Canada'!$1:$1,0)-1,300)="","",OFFSET('Calc Canada'!$A$1,0,MATCH(W$1,'Calc Canada'!$1:$1,0)-1,300))</f>
        <v>#N/A</v>
      </c>
      <c r="AB148" s="5" t="e">
        <f ca="1">IF(OFFSET('Calc Canada'!$A$1,0,MATCH(X$1,'Calc Canada'!$1:$1,0)-1,300)="","",OFFSET('Calc Canada'!$A$1,0,MATCH(X$1,'Calc Canada'!$1:$1,0)-1,300))</f>
        <v>#N/A</v>
      </c>
      <c r="AC148" t="e">
        <f t="shared" ca="1" si="17"/>
        <v>#N/A</v>
      </c>
      <c r="AD148" t="e">
        <f t="shared" ca="1" si="18"/>
        <v>#N/A</v>
      </c>
    </row>
    <row r="149" spans="1:30" x14ac:dyDescent="0.25">
      <c r="A149" s="4">
        <v>41918</v>
      </c>
      <c r="B149">
        <v>1.107</v>
      </c>
      <c r="C149" s="5">
        <v>1.238</v>
      </c>
      <c r="D149">
        <v>1.5760000000000001</v>
      </c>
      <c r="E149">
        <v>1.73</v>
      </c>
      <c r="F149">
        <v>2.0880000000000001</v>
      </c>
      <c r="G149">
        <v>2.5949999999999998</v>
      </c>
      <c r="H149">
        <f t="shared" ca="1" si="20"/>
        <v>0.54253611556982351</v>
      </c>
      <c r="I149">
        <f t="shared" ca="1" si="20"/>
        <v>0.34454638124362902</v>
      </c>
      <c r="J149">
        <f t="shared" ca="1" si="20"/>
        <v>0.22715053763440868</v>
      </c>
      <c r="K149">
        <f t="shared" ca="1" si="20"/>
        <v>0.15698267074413852</v>
      </c>
      <c r="L149">
        <f t="shared" ca="1" si="20"/>
        <v>0.10349462365591394</v>
      </c>
      <c r="M149">
        <f t="shared" ca="1" si="20"/>
        <v>0.18117647058823516</v>
      </c>
      <c r="N149">
        <f t="shared" ca="1" si="20"/>
        <v>0.11348563006632273</v>
      </c>
      <c r="O149">
        <f t="shared" ca="1" si="20"/>
        <v>0.24059139784946246</v>
      </c>
      <c r="P149">
        <f t="shared" ca="1" si="20"/>
        <v>0.26381724392041278</v>
      </c>
      <c r="Q149">
        <f t="shared" ca="1" si="20"/>
        <v>0.35132482826300315</v>
      </c>
      <c r="R149">
        <f t="shared" ca="1" si="20"/>
        <v>0.57123655913978511</v>
      </c>
      <c r="S149">
        <f t="shared" ca="1" si="20"/>
        <v>0.34408602150537643</v>
      </c>
      <c r="T149">
        <f t="shared" ca="1" si="20"/>
        <v>0.37730287398673551</v>
      </c>
      <c r="V149" s="4">
        <f t="shared" si="21"/>
        <v>41918</v>
      </c>
      <c r="W149" s="5">
        <f t="shared" ca="1" si="19"/>
        <v>0.57123655913978511</v>
      </c>
      <c r="Z149" s="4" t="str">
        <f ca="1">IF(OFFSET('Calc Canada'!$A$1,0,0,300)="","",OFFSET('Calc Canada'!$A$1,0,0,300))</f>
        <v/>
      </c>
      <c r="AA149" s="5" t="e">
        <f ca="1">IF(OFFSET('Calc Canada'!$A$1,0,MATCH(W$1,'Calc Canada'!$1:$1,0)-1,300)="","",OFFSET('Calc Canada'!$A$1,0,MATCH(W$1,'Calc Canada'!$1:$1,0)-1,300))</f>
        <v>#N/A</v>
      </c>
      <c r="AB149" s="5" t="e">
        <f ca="1">IF(OFFSET('Calc Canada'!$A$1,0,MATCH(X$1,'Calc Canada'!$1:$1,0)-1,300)="","",OFFSET('Calc Canada'!$A$1,0,MATCH(X$1,'Calc Canada'!$1:$1,0)-1,300))</f>
        <v>#N/A</v>
      </c>
      <c r="AC149" t="e">
        <f t="shared" ca="1" si="17"/>
        <v>#N/A</v>
      </c>
      <c r="AD149" t="e">
        <f t="shared" ca="1" si="18"/>
        <v>#N/A</v>
      </c>
    </row>
    <row r="150" spans="1:30" x14ac:dyDescent="0.25">
      <c r="A150" s="4">
        <v>41915</v>
      </c>
      <c r="B150">
        <v>1.1280000000000001</v>
      </c>
      <c r="C150" s="5">
        <v>1.262</v>
      </c>
      <c r="D150">
        <v>1.593</v>
      </c>
      <c r="E150">
        <v>1.742</v>
      </c>
      <c r="F150">
        <v>2.0910000000000002</v>
      </c>
      <c r="G150">
        <v>2.605</v>
      </c>
      <c r="H150">
        <f t="shared" ca="1" si="20"/>
        <v>0.53908794788273617</v>
      </c>
      <c r="I150">
        <f t="shared" ca="1" si="20"/>
        <v>0.34371754932502591</v>
      </c>
      <c r="J150">
        <f t="shared" ca="1" si="20"/>
        <v>0.22410291130670276</v>
      </c>
      <c r="K150">
        <f t="shared" ca="1" si="20"/>
        <v>0.15472481827622014</v>
      </c>
      <c r="L150">
        <f t="shared" ca="1" si="20"/>
        <v>0.10088016249153692</v>
      </c>
      <c r="M150">
        <f t="shared" ca="1" si="20"/>
        <v>0.17973462002412544</v>
      </c>
      <c r="N150">
        <f t="shared" ca="1" si="20"/>
        <v>0.11094564408041699</v>
      </c>
      <c r="O150">
        <f t="shared" ca="1" si="20"/>
        <v>0.23628977657413691</v>
      </c>
      <c r="P150">
        <f t="shared" ca="1" si="20"/>
        <v>0.25986597170513792</v>
      </c>
      <c r="Q150">
        <f t="shared" ca="1" si="20"/>
        <v>0.34486166007905156</v>
      </c>
      <c r="R150">
        <f t="shared" ca="1" si="20"/>
        <v>0.56127285037237662</v>
      </c>
      <c r="S150">
        <f t="shared" ca="1" si="20"/>
        <v>0.33716993906567383</v>
      </c>
      <c r="T150">
        <f t="shared" ca="1" si="20"/>
        <v>0.37081161578555488</v>
      </c>
      <c r="V150" s="4">
        <f t="shared" si="21"/>
        <v>41915</v>
      </c>
      <c r="W150" s="5">
        <f t="shared" ca="1" si="19"/>
        <v>0.56127285037237662</v>
      </c>
      <c r="Z150" s="4" t="str">
        <f ca="1">IF(OFFSET('Calc Canada'!$A$1,0,0,300)="","",OFFSET('Calc Canada'!$A$1,0,0,300))</f>
        <v/>
      </c>
      <c r="AA150" s="5" t="e">
        <f ca="1">IF(OFFSET('Calc Canada'!$A$1,0,MATCH(W$1,'Calc Canada'!$1:$1,0)-1,300)="","",OFFSET('Calc Canada'!$A$1,0,MATCH(W$1,'Calc Canada'!$1:$1,0)-1,300))</f>
        <v>#N/A</v>
      </c>
      <c r="AB150" s="5" t="e">
        <f ca="1">IF(OFFSET('Calc Canada'!$A$1,0,MATCH(X$1,'Calc Canada'!$1:$1,0)-1,300)="","",OFFSET('Calc Canada'!$A$1,0,MATCH(X$1,'Calc Canada'!$1:$1,0)-1,300))</f>
        <v>#N/A</v>
      </c>
      <c r="AC150" t="e">
        <f t="shared" ca="1" si="17"/>
        <v>#N/A</v>
      </c>
      <c r="AD150" t="e">
        <f t="shared" ca="1" si="18"/>
        <v>#N/A</v>
      </c>
    </row>
    <row r="151" spans="1:30" x14ac:dyDescent="0.25">
      <c r="A151" s="4">
        <v>41914</v>
      </c>
      <c r="B151">
        <v>1.1179999999999999</v>
      </c>
      <c r="C151" s="5">
        <v>1.248</v>
      </c>
      <c r="D151">
        <v>1.5819999999999999</v>
      </c>
      <c r="E151">
        <v>1.7370000000000001</v>
      </c>
      <c r="F151">
        <v>2.089</v>
      </c>
      <c r="G151">
        <v>2.6219999999999999</v>
      </c>
      <c r="H151">
        <f t="shared" ca="1" si="20"/>
        <v>0.53957996768982186</v>
      </c>
      <c r="I151">
        <f t="shared" ca="1" si="20"/>
        <v>0.3439752832131821</v>
      </c>
      <c r="J151">
        <f t="shared" ca="1" si="20"/>
        <v>0.22207446808510628</v>
      </c>
      <c r="K151">
        <f t="shared" ca="1" si="20"/>
        <v>0.15962924819773452</v>
      </c>
      <c r="L151">
        <f t="shared" ca="1" si="20"/>
        <v>0.10305851063829803</v>
      </c>
      <c r="M151">
        <f t="shared" ca="1" si="20"/>
        <v>0.18430439952437605</v>
      </c>
      <c r="N151">
        <f t="shared" ca="1" si="20"/>
        <v>0.11280931586608461</v>
      </c>
      <c r="O151">
        <f t="shared" ca="1" si="20"/>
        <v>0.23404255319148928</v>
      </c>
      <c r="P151">
        <f t="shared" ca="1" si="20"/>
        <v>0.25618631732168845</v>
      </c>
      <c r="Q151">
        <f t="shared" ca="1" si="20"/>
        <v>0.33846153846153831</v>
      </c>
      <c r="R151">
        <f t="shared" ca="1" si="20"/>
        <v>0.55917553191489355</v>
      </c>
      <c r="S151">
        <f t="shared" ca="1" si="20"/>
        <v>0.33710106382978733</v>
      </c>
      <c r="T151">
        <f t="shared" ca="1" si="20"/>
        <v>0.36899563318777306</v>
      </c>
      <c r="V151" s="4">
        <f t="shared" si="21"/>
        <v>41914</v>
      </c>
      <c r="W151" s="5">
        <f t="shared" ca="1" si="19"/>
        <v>0.55917553191489355</v>
      </c>
      <c r="Z151" s="4" t="str">
        <f ca="1">IF(OFFSET('Calc Canada'!$A$1,0,0,300)="","",OFFSET('Calc Canada'!$A$1,0,0,300))</f>
        <v/>
      </c>
      <c r="AA151" s="5" t="e">
        <f ca="1">IF(OFFSET('Calc Canada'!$A$1,0,MATCH(W$1,'Calc Canada'!$1:$1,0)-1,300)="","",OFFSET('Calc Canada'!$A$1,0,MATCH(W$1,'Calc Canada'!$1:$1,0)-1,300))</f>
        <v>#N/A</v>
      </c>
      <c r="AB151" s="5" t="e">
        <f ca="1">IF(OFFSET('Calc Canada'!$A$1,0,MATCH(X$1,'Calc Canada'!$1:$1,0)-1,300)="","",OFFSET('Calc Canada'!$A$1,0,MATCH(X$1,'Calc Canada'!$1:$1,0)-1,300))</f>
        <v>#N/A</v>
      </c>
      <c r="AC151" t="e">
        <f t="shared" ca="1" si="17"/>
        <v>#N/A</v>
      </c>
      <c r="AD151" t="e">
        <f t="shared" ca="1" si="18"/>
        <v>#N/A</v>
      </c>
    </row>
    <row r="152" spans="1:30" x14ac:dyDescent="0.25">
      <c r="A152" s="4">
        <v>41913</v>
      </c>
      <c r="B152">
        <v>1.1000000000000001</v>
      </c>
      <c r="C152" s="5">
        <v>1.246</v>
      </c>
      <c r="D152">
        <v>1.5590000000000002</v>
      </c>
      <c r="E152">
        <v>1.706</v>
      </c>
      <c r="F152">
        <v>2.069</v>
      </c>
      <c r="G152">
        <v>2.5939999999999999</v>
      </c>
      <c r="H152">
        <f t="shared" ca="1" si="20"/>
        <v>0.51650165016501692</v>
      </c>
      <c r="I152">
        <f t="shared" ca="1" si="20"/>
        <v>0.32301341589267307</v>
      </c>
      <c r="J152">
        <f t="shared" ca="1" si="20"/>
        <v>0.2095046854083</v>
      </c>
      <c r="K152">
        <f t="shared" ca="1" si="20"/>
        <v>0.15170278637770879</v>
      </c>
      <c r="L152">
        <f t="shared" ca="1" si="20"/>
        <v>9.8393574297188632E-2</v>
      </c>
      <c r="M152">
        <f t="shared" ca="1" si="20"/>
        <v>0.1786148238153096</v>
      </c>
      <c r="N152">
        <f t="shared" ca="1" si="20"/>
        <v>0.10905044510385743</v>
      </c>
      <c r="O152">
        <f t="shared" ca="1" si="20"/>
        <v>0.24297188755020083</v>
      </c>
      <c r="P152">
        <f t="shared" ca="1" si="20"/>
        <v>0.26928783382789317</v>
      </c>
      <c r="Q152">
        <f t="shared" ca="1" si="20"/>
        <v>0.35072463768115952</v>
      </c>
      <c r="R152">
        <f t="shared" ca="1" si="20"/>
        <v>0.5508701472556895</v>
      </c>
      <c r="S152">
        <f t="shared" ca="1" si="20"/>
        <v>0.34136546184738947</v>
      </c>
      <c r="T152">
        <f t="shared" ca="1" si="20"/>
        <v>0.37833827893175065</v>
      </c>
      <c r="V152" s="4">
        <f t="shared" si="21"/>
        <v>41913</v>
      </c>
      <c r="W152" s="5">
        <f t="shared" ca="1" si="19"/>
        <v>0.5508701472556895</v>
      </c>
      <c r="Z152" s="4" t="str">
        <f ca="1">IF(OFFSET('Calc Canada'!$A$1,0,0,300)="","",OFFSET('Calc Canada'!$A$1,0,0,300))</f>
        <v/>
      </c>
      <c r="AA152" s="5" t="e">
        <f ca="1">IF(OFFSET('Calc Canada'!$A$1,0,MATCH(W$1,'Calc Canada'!$1:$1,0)-1,300)="","",OFFSET('Calc Canada'!$A$1,0,MATCH(W$1,'Calc Canada'!$1:$1,0)-1,300))</f>
        <v>#N/A</v>
      </c>
      <c r="AB152" s="5" t="e">
        <f ca="1">IF(OFFSET('Calc Canada'!$A$1,0,MATCH(X$1,'Calc Canada'!$1:$1,0)-1,300)="","",OFFSET('Calc Canada'!$A$1,0,MATCH(X$1,'Calc Canada'!$1:$1,0)-1,300))</f>
        <v>#N/A</v>
      </c>
      <c r="AC152" t="e">
        <f t="shared" ca="1" si="17"/>
        <v>#N/A</v>
      </c>
      <c r="AD152" t="e">
        <f t="shared" ca="1" si="18"/>
        <v>#N/A</v>
      </c>
    </row>
    <row r="153" spans="1:30" x14ac:dyDescent="0.25">
      <c r="A153" s="4">
        <v>41912</v>
      </c>
      <c r="B153">
        <v>1.1219999999999999</v>
      </c>
      <c r="C153" s="5">
        <v>1.2829999999999999</v>
      </c>
      <c r="D153">
        <v>1.6240000000000001</v>
      </c>
      <c r="E153">
        <v>1.7730000000000001</v>
      </c>
      <c r="F153">
        <v>2.1440000000000001</v>
      </c>
      <c r="G153">
        <v>2.669</v>
      </c>
      <c r="H153">
        <f t="shared" ca="1" si="20"/>
        <v>0.52380952380952395</v>
      </c>
      <c r="I153">
        <f t="shared" ca="1" si="20"/>
        <v>0.33365949119373789</v>
      </c>
      <c r="J153">
        <f t="shared" ca="1" si="20"/>
        <v>0.22042663219133818</v>
      </c>
      <c r="K153">
        <f t="shared" ca="1" si="20"/>
        <v>0.14579256360078277</v>
      </c>
      <c r="L153">
        <f t="shared" ca="1" si="20"/>
        <v>9.6315449256625732E-2</v>
      </c>
      <c r="M153">
        <f t="shared" ca="1" si="20"/>
        <v>0.17305458768873402</v>
      </c>
      <c r="N153">
        <f t="shared" ca="1" si="20"/>
        <v>0.1075036075036075</v>
      </c>
      <c r="O153">
        <f t="shared" ca="1" si="20"/>
        <v>0.23981900452488686</v>
      </c>
      <c r="P153">
        <f t="shared" ca="1" si="20"/>
        <v>0.26767676767676762</v>
      </c>
      <c r="Q153">
        <f t="shared" ca="1" si="20"/>
        <v>0.35502392344497608</v>
      </c>
      <c r="R153">
        <f t="shared" ca="1" si="20"/>
        <v>0.55656108597285081</v>
      </c>
      <c r="S153">
        <f t="shared" ca="1" si="20"/>
        <v>0.33613445378151258</v>
      </c>
      <c r="T153">
        <f t="shared" ca="1" si="20"/>
        <v>0.37518037518037517</v>
      </c>
      <c r="V153" s="4">
        <f t="shared" si="21"/>
        <v>41912</v>
      </c>
      <c r="W153" s="5">
        <f t="shared" ca="1" si="19"/>
        <v>0.55656108597285081</v>
      </c>
      <c r="Z153" s="4" t="str">
        <f ca="1">IF(OFFSET('Calc Canada'!$A$1,0,0,300)="","",OFFSET('Calc Canada'!$A$1,0,0,300))</f>
        <v/>
      </c>
      <c r="AA153" s="5" t="e">
        <f ca="1">IF(OFFSET('Calc Canada'!$A$1,0,MATCH(W$1,'Calc Canada'!$1:$1,0)-1,300)="","",OFFSET('Calc Canada'!$A$1,0,MATCH(W$1,'Calc Canada'!$1:$1,0)-1,300))</f>
        <v>#N/A</v>
      </c>
      <c r="AB153" s="5" t="e">
        <f ca="1">IF(OFFSET('Calc Canada'!$A$1,0,MATCH(X$1,'Calc Canada'!$1:$1,0)-1,300)="","",OFFSET('Calc Canada'!$A$1,0,MATCH(X$1,'Calc Canada'!$1:$1,0)-1,300))</f>
        <v>#N/A</v>
      </c>
      <c r="AC153" t="e">
        <f t="shared" ca="1" si="17"/>
        <v>#N/A</v>
      </c>
      <c r="AD153" t="e">
        <f t="shared" ca="1" si="18"/>
        <v>#N/A</v>
      </c>
    </row>
    <row r="154" spans="1:30" x14ac:dyDescent="0.25">
      <c r="A154" s="4">
        <v>41911</v>
      </c>
      <c r="B154">
        <v>1.115</v>
      </c>
      <c r="C154" s="5">
        <v>1.2709999999999999</v>
      </c>
      <c r="D154">
        <v>1.6120000000000001</v>
      </c>
      <c r="E154">
        <v>1.76</v>
      </c>
      <c r="F154">
        <v>2.121</v>
      </c>
      <c r="G154">
        <v>2.645</v>
      </c>
      <c r="H154">
        <f t="shared" ca="1" si="20"/>
        <v>0.52868217054263589</v>
      </c>
      <c r="I154">
        <f t="shared" ca="1" si="20"/>
        <v>0.33896620278330036</v>
      </c>
      <c r="J154">
        <f t="shared" ca="1" si="20"/>
        <v>0.22287581699346418</v>
      </c>
      <c r="K154">
        <f t="shared" ca="1" si="20"/>
        <v>0.14711729622266392</v>
      </c>
      <c r="L154">
        <f t="shared" ca="1" si="20"/>
        <v>9.6732026143790784E-2</v>
      </c>
      <c r="M154">
        <f t="shared" ca="1" si="20"/>
        <v>0.1741176470588234</v>
      </c>
      <c r="N154">
        <f t="shared" ca="1" si="20"/>
        <v>0.10771470160116441</v>
      </c>
      <c r="O154">
        <f t="shared" ca="1" si="20"/>
        <v>0.23594771241830065</v>
      </c>
      <c r="P154">
        <f t="shared" ca="1" si="20"/>
        <v>0.26273653566229982</v>
      </c>
      <c r="Q154">
        <f t="shared" ca="1" si="20"/>
        <v>0.34946757018393032</v>
      </c>
      <c r="R154">
        <f t="shared" ca="1" si="20"/>
        <v>0.55555555555555558</v>
      </c>
      <c r="S154">
        <f t="shared" ca="1" si="20"/>
        <v>0.33267973856209143</v>
      </c>
      <c r="T154">
        <f t="shared" ca="1" si="20"/>
        <v>0.37045123726346424</v>
      </c>
      <c r="V154" s="4">
        <f t="shared" si="21"/>
        <v>41911</v>
      </c>
      <c r="W154" s="5">
        <f t="shared" ca="1" si="19"/>
        <v>0.55555555555555558</v>
      </c>
      <c r="Z154" s="4" t="str">
        <f ca="1">IF(OFFSET('Calc Canada'!$A$1,0,0,300)="","",OFFSET('Calc Canada'!$A$1,0,0,300))</f>
        <v/>
      </c>
      <c r="AA154" s="5" t="e">
        <f ca="1">IF(OFFSET('Calc Canada'!$A$1,0,MATCH(W$1,'Calc Canada'!$1:$1,0)-1,300)="","",OFFSET('Calc Canada'!$A$1,0,MATCH(W$1,'Calc Canada'!$1:$1,0)-1,300))</f>
        <v>#N/A</v>
      </c>
      <c r="AB154" s="5" t="e">
        <f ca="1">IF(OFFSET('Calc Canada'!$A$1,0,MATCH(X$1,'Calc Canada'!$1:$1,0)-1,300)="","",OFFSET('Calc Canada'!$A$1,0,MATCH(X$1,'Calc Canada'!$1:$1,0)-1,300))</f>
        <v>#N/A</v>
      </c>
      <c r="AC154" t="e">
        <f t="shared" ca="1" si="17"/>
        <v>#N/A</v>
      </c>
      <c r="AD154" t="e">
        <f t="shared" ca="1" si="18"/>
        <v>#N/A</v>
      </c>
    </row>
    <row r="155" spans="1:30" x14ac:dyDescent="0.25">
      <c r="A155" s="4">
        <v>41908</v>
      </c>
      <c r="B155">
        <v>1.129</v>
      </c>
      <c r="C155" s="5">
        <v>1.286</v>
      </c>
      <c r="D155">
        <v>1.6400000000000001</v>
      </c>
      <c r="E155">
        <v>1.7890000000000001</v>
      </c>
      <c r="F155">
        <v>2.161</v>
      </c>
      <c r="G155">
        <v>2.68</v>
      </c>
      <c r="H155">
        <f t="shared" ca="1" si="20"/>
        <v>0.53636363636363638</v>
      </c>
      <c r="I155">
        <f t="shared" ca="1" si="20"/>
        <v>0.34302325581395354</v>
      </c>
      <c r="J155">
        <f t="shared" ca="1" si="20"/>
        <v>0.2282398452611219</v>
      </c>
      <c r="K155">
        <f t="shared" ca="1" si="20"/>
        <v>0.14437984496124032</v>
      </c>
      <c r="L155">
        <f t="shared" ca="1" si="20"/>
        <v>9.6067053513862022E-2</v>
      </c>
      <c r="M155">
        <f t="shared" ca="1" si="20"/>
        <v>0.17028571428571432</v>
      </c>
      <c r="N155">
        <f t="shared" ca="1" si="20"/>
        <v>0.10688665710186514</v>
      </c>
      <c r="O155">
        <f t="shared" ca="1" si="20"/>
        <v>0.23984526112185678</v>
      </c>
      <c r="P155">
        <f t="shared" ca="1" si="20"/>
        <v>0.26685796269727391</v>
      </c>
      <c r="Q155">
        <f t="shared" ca="1" si="20"/>
        <v>0.35769230769230759</v>
      </c>
      <c r="R155">
        <f t="shared" ca="1" si="20"/>
        <v>0.56415215989684064</v>
      </c>
      <c r="S155">
        <f t="shared" ca="1" si="20"/>
        <v>0.3359123146357188</v>
      </c>
      <c r="T155">
        <f t="shared" ca="1" si="20"/>
        <v>0.37374461979913909</v>
      </c>
      <c r="V155" s="4">
        <f t="shared" si="21"/>
        <v>41908</v>
      </c>
      <c r="W155" s="5">
        <f t="shared" ca="1" si="19"/>
        <v>0.56415215989684064</v>
      </c>
      <c r="Z155" s="4" t="str">
        <f ca="1">IF(OFFSET('Calc Canada'!$A$1,0,0,300)="","",OFFSET('Calc Canada'!$A$1,0,0,300))</f>
        <v/>
      </c>
      <c r="AA155" s="5" t="e">
        <f ca="1">IF(OFFSET('Calc Canada'!$A$1,0,MATCH(W$1,'Calc Canada'!$1:$1,0)-1,300)="","",OFFSET('Calc Canada'!$A$1,0,MATCH(W$1,'Calc Canada'!$1:$1,0)-1,300))</f>
        <v>#N/A</v>
      </c>
      <c r="AB155" s="5" t="e">
        <f ca="1">IF(OFFSET('Calc Canada'!$A$1,0,MATCH(X$1,'Calc Canada'!$1:$1,0)-1,300)="","",OFFSET('Calc Canada'!$A$1,0,MATCH(X$1,'Calc Canada'!$1:$1,0)-1,300))</f>
        <v>#N/A</v>
      </c>
      <c r="AC155" t="e">
        <f t="shared" ca="1" si="17"/>
        <v>#N/A</v>
      </c>
      <c r="AD155" t="e">
        <f t="shared" ca="1" si="18"/>
        <v>#N/A</v>
      </c>
    </row>
    <row r="156" spans="1:30" x14ac:dyDescent="0.25">
      <c r="A156" s="4">
        <v>41907</v>
      </c>
      <c r="B156">
        <v>1.115</v>
      </c>
      <c r="C156" s="5">
        <v>1.2650000000000001</v>
      </c>
      <c r="D156">
        <v>1.6160000000000001</v>
      </c>
      <c r="E156">
        <v>1.7730000000000001</v>
      </c>
      <c r="F156">
        <v>2.1429999999999998</v>
      </c>
      <c r="G156">
        <v>2.6760000000000002</v>
      </c>
      <c r="H156">
        <f t="shared" ca="1" si="20"/>
        <v>0.53343465045592686</v>
      </c>
      <c r="I156">
        <f t="shared" ca="1" si="20"/>
        <v>0.34143968871595337</v>
      </c>
      <c r="J156">
        <f t="shared" ca="1" si="20"/>
        <v>0.22485586162716203</v>
      </c>
      <c r="K156">
        <f t="shared" ca="1" si="20"/>
        <v>0.15272373540856038</v>
      </c>
      <c r="L156">
        <f t="shared" ca="1" si="20"/>
        <v>0.10057655349135171</v>
      </c>
      <c r="M156">
        <f t="shared" ca="1" si="20"/>
        <v>0.17881548974943062</v>
      </c>
      <c r="N156">
        <f t="shared" ca="1" si="20"/>
        <v>0.11126860382707301</v>
      </c>
      <c r="O156">
        <f t="shared" ca="1" si="20"/>
        <v>0.23702754644458657</v>
      </c>
      <c r="P156">
        <f t="shared" ca="1" si="20"/>
        <v>0.26222537207654123</v>
      </c>
      <c r="Q156">
        <f t="shared" ca="1" si="20"/>
        <v>0.34905660377358455</v>
      </c>
      <c r="R156">
        <f t="shared" ca="1" si="20"/>
        <v>0.5624599615631003</v>
      </c>
      <c r="S156">
        <f t="shared" ca="1" si="20"/>
        <v>0.33760409993593826</v>
      </c>
      <c r="T156">
        <f t="shared" ca="1" si="20"/>
        <v>0.37349397590361422</v>
      </c>
      <c r="V156" s="4">
        <f t="shared" si="21"/>
        <v>41907</v>
      </c>
      <c r="W156" s="5">
        <f t="shared" ca="1" si="19"/>
        <v>0.5624599615631003</v>
      </c>
      <c r="Z156" s="4" t="str">
        <f ca="1">IF(OFFSET('Calc Canada'!$A$1,0,0,300)="","",OFFSET('Calc Canada'!$A$1,0,0,300))</f>
        <v/>
      </c>
      <c r="AA156" s="5" t="e">
        <f ca="1">IF(OFFSET('Calc Canada'!$A$1,0,MATCH(W$1,'Calc Canada'!$1:$1,0)-1,300)="","",OFFSET('Calc Canada'!$A$1,0,MATCH(W$1,'Calc Canada'!$1:$1,0)-1,300))</f>
        <v>#N/A</v>
      </c>
      <c r="AB156" s="5" t="e">
        <f ca="1">IF(OFFSET('Calc Canada'!$A$1,0,MATCH(X$1,'Calc Canada'!$1:$1,0)-1,300)="","",OFFSET('Calc Canada'!$A$1,0,MATCH(X$1,'Calc Canada'!$1:$1,0)-1,300))</f>
        <v>#N/A</v>
      </c>
      <c r="AC156" t="e">
        <f t="shared" ca="1" si="17"/>
        <v>#N/A</v>
      </c>
      <c r="AD156" t="e">
        <f t="shared" ca="1" si="18"/>
        <v>#N/A</v>
      </c>
    </row>
    <row r="157" spans="1:30" x14ac:dyDescent="0.25">
      <c r="A157" s="4">
        <v>41906</v>
      </c>
      <c r="B157">
        <v>1.1379999999999999</v>
      </c>
      <c r="C157" s="5">
        <v>1.2929999999999999</v>
      </c>
      <c r="D157">
        <v>1.657</v>
      </c>
      <c r="E157">
        <v>1.8220000000000001</v>
      </c>
      <c r="F157">
        <v>2.1989999999999998</v>
      </c>
      <c r="G157">
        <v>2.7330000000000001</v>
      </c>
      <c r="H157">
        <f t="shared" ref="H157:T172" ca="1" si="22">IF(ISERROR(ABS(OFFSET($A$11,ROW()-11,MATCH(LEFT(H$9,2),$A$11:$G$11,0)-1)-OFFSET($A$11,ROW()-11,MATCH(RIGHT(H$9,2),$A$11:$G$11,0)-1))/ABS(OFFSET($A$11,ROW()-11,MATCH(LEFT(H$10,2),$A$11:$G$11,0)-1)-OFFSET($A$11,ROW()-11,MATCH(RIGHT(H$10,2),$A$11:$G$11,0)-1))),"",ABS(OFFSET($A$11,ROW()-11,MATCH(LEFT(H$9,2),$A$11:$G$11,0)-1)-OFFSET($A$11,ROW()-11,MATCH(RIGHT(H$9,2),$A$11:$G$11,0)-1))/ABS(OFFSET($A$11,ROW()-11,MATCH(LEFT(H$10,2),$A$11:$G$11,0)-1)-OFFSET($A$11,ROW()-11,MATCH(RIGHT(H$10,2),$A$11:$G$11,0)-1)))</f>
        <v>0.53216374269005851</v>
      </c>
      <c r="I157">
        <f t="shared" ca="1" si="22"/>
        <v>0.34307257304429795</v>
      </c>
      <c r="J157">
        <f t="shared" ca="1" si="22"/>
        <v>0.22821316614420067</v>
      </c>
      <c r="K157">
        <f t="shared" ca="1" si="22"/>
        <v>0.15551366635249769</v>
      </c>
      <c r="L157">
        <f t="shared" ca="1" si="22"/>
        <v>0.10344827586206898</v>
      </c>
      <c r="M157">
        <f t="shared" ca="1" si="22"/>
        <v>0.18211920529801331</v>
      </c>
      <c r="N157">
        <f t="shared" ca="1" si="22"/>
        <v>0.11458333333333334</v>
      </c>
      <c r="O157">
        <f t="shared" ca="1" si="22"/>
        <v>0.23636363636363619</v>
      </c>
      <c r="P157">
        <f t="shared" ca="1" si="22"/>
        <v>0.26180555555555535</v>
      </c>
      <c r="Q157">
        <f t="shared" ca="1" si="22"/>
        <v>0.35037174721189568</v>
      </c>
      <c r="R157">
        <f t="shared" ca="1" si="22"/>
        <v>0.56802507836990579</v>
      </c>
      <c r="S157">
        <f t="shared" ca="1" si="22"/>
        <v>0.33981191222570517</v>
      </c>
      <c r="T157">
        <f t="shared" ca="1" si="22"/>
        <v>0.37638888888888872</v>
      </c>
      <c r="V157" s="4">
        <f t="shared" si="21"/>
        <v>41906</v>
      </c>
      <c r="W157" s="5">
        <f t="shared" ca="1" si="19"/>
        <v>0.56802507836990579</v>
      </c>
      <c r="Z157" s="4" t="str">
        <f ca="1">IF(OFFSET('Calc Canada'!$A$1,0,0,300)="","",OFFSET('Calc Canada'!$A$1,0,0,300))</f>
        <v/>
      </c>
      <c r="AA157" s="5" t="e">
        <f ca="1">IF(OFFSET('Calc Canada'!$A$1,0,MATCH(W$1,'Calc Canada'!$1:$1,0)-1,300)="","",OFFSET('Calc Canada'!$A$1,0,MATCH(W$1,'Calc Canada'!$1:$1,0)-1,300))</f>
        <v>#N/A</v>
      </c>
      <c r="AB157" s="5" t="e">
        <f ca="1">IF(OFFSET('Calc Canada'!$A$1,0,MATCH(X$1,'Calc Canada'!$1:$1,0)-1,300)="","",OFFSET('Calc Canada'!$A$1,0,MATCH(X$1,'Calc Canada'!$1:$1,0)-1,300))</f>
        <v>#N/A</v>
      </c>
      <c r="AC157" t="e">
        <f t="shared" ca="1" si="17"/>
        <v>#N/A</v>
      </c>
      <c r="AD157" t="e">
        <f t="shared" ca="1" si="18"/>
        <v>#N/A</v>
      </c>
    </row>
    <row r="158" spans="1:30" x14ac:dyDescent="0.25">
      <c r="A158" s="4">
        <v>41905</v>
      </c>
      <c r="B158">
        <v>1.1179999999999999</v>
      </c>
      <c r="C158" s="5">
        <v>1.2669999999999999</v>
      </c>
      <c r="D158">
        <v>1.63</v>
      </c>
      <c r="E158">
        <v>1.7909999999999999</v>
      </c>
      <c r="F158">
        <v>2.169</v>
      </c>
      <c r="G158">
        <v>2.7170000000000001</v>
      </c>
      <c r="H158">
        <f t="shared" ca="1" si="22"/>
        <v>0.53937592867756312</v>
      </c>
      <c r="I158">
        <f t="shared" ca="1" si="22"/>
        <v>0.34538534728829678</v>
      </c>
      <c r="J158">
        <f t="shared" ca="1" si="22"/>
        <v>0.22701688555347088</v>
      </c>
      <c r="K158">
        <f t="shared" ca="1" si="22"/>
        <v>0.15318744053282587</v>
      </c>
      <c r="L158">
        <f t="shared" ca="1" si="22"/>
        <v>0.10068792995622265</v>
      </c>
      <c r="M158">
        <f t="shared" ca="1" si="22"/>
        <v>0.17849223946784923</v>
      </c>
      <c r="N158">
        <f t="shared" ca="1" si="22"/>
        <v>0.1110344827586207</v>
      </c>
      <c r="O158">
        <f t="shared" ca="1" si="22"/>
        <v>0.23639774859287058</v>
      </c>
      <c r="P158">
        <f t="shared" ca="1" si="22"/>
        <v>0.26068965517241383</v>
      </c>
      <c r="Q158">
        <f t="shared" ca="1" si="22"/>
        <v>0.34774609015639379</v>
      </c>
      <c r="R158">
        <f t="shared" ca="1" si="22"/>
        <v>0.5641025641025641</v>
      </c>
      <c r="S158">
        <f t="shared" ca="1" si="22"/>
        <v>0.33708567854909322</v>
      </c>
      <c r="T158">
        <f t="shared" ca="1" si="22"/>
        <v>0.37172413793103454</v>
      </c>
      <c r="V158" s="4">
        <f t="shared" si="21"/>
        <v>41905</v>
      </c>
      <c r="W158" s="5">
        <f t="shared" ca="1" si="19"/>
        <v>0.5641025641025641</v>
      </c>
      <c r="Z158" s="4" t="str">
        <f ca="1">IF(OFFSET('Calc Canada'!$A$1,0,0,300)="","",OFFSET('Calc Canada'!$A$1,0,0,300))</f>
        <v/>
      </c>
      <c r="AA158" s="5" t="e">
        <f ca="1">IF(OFFSET('Calc Canada'!$A$1,0,MATCH(W$1,'Calc Canada'!$1:$1,0)-1,300)="","",OFFSET('Calc Canada'!$A$1,0,MATCH(W$1,'Calc Canada'!$1:$1,0)-1,300))</f>
        <v>#N/A</v>
      </c>
      <c r="AB158" s="5" t="e">
        <f ca="1">IF(OFFSET('Calc Canada'!$A$1,0,MATCH(X$1,'Calc Canada'!$1:$1,0)-1,300)="","",OFFSET('Calc Canada'!$A$1,0,MATCH(X$1,'Calc Canada'!$1:$1,0)-1,300))</f>
        <v>#N/A</v>
      </c>
      <c r="AC158" t="e">
        <f t="shared" ca="1" si="17"/>
        <v>#N/A</v>
      </c>
      <c r="AD158" t="e">
        <f t="shared" ca="1" si="18"/>
        <v>#N/A</v>
      </c>
    </row>
    <row r="159" spans="1:30" x14ac:dyDescent="0.25">
      <c r="A159" s="4">
        <v>41904</v>
      </c>
      <c r="B159">
        <v>1.1559999999999999</v>
      </c>
      <c r="C159" s="5">
        <v>1.306</v>
      </c>
      <c r="D159">
        <v>1.6819999999999999</v>
      </c>
      <c r="E159">
        <v>1.8420000000000001</v>
      </c>
      <c r="F159">
        <v>2.226</v>
      </c>
      <c r="G159">
        <v>2.7530000000000001</v>
      </c>
      <c r="H159">
        <f t="shared" ca="1" si="22"/>
        <v>0.54810495626822131</v>
      </c>
      <c r="I159">
        <f t="shared" ca="1" si="22"/>
        <v>0.35140186915887839</v>
      </c>
      <c r="J159">
        <f t="shared" ca="1" si="22"/>
        <v>0.23544145272385714</v>
      </c>
      <c r="K159">
        <f t="shared" ca="1" si="22"/>
        <v>0.14953271028037396</v>
      </c>
      <c r="L159">
        <f t="shared" ca="1" si="22"/>
        <v>0.10018785222291805</v>
      </c>
      <c r="M159">
        <f t="shared" ca="1" si="22"/>
        <v>0.17391304347826103</v>
      </c>
      <c r="N159">
        <f t="shared" ca="1" si="22"/>
        <v>0.11057360055286809</v>
      </c>
      <c r="O159">
        <f t="shared" ca="1" si="22"/>
        <v>0.24045084533500305</v>
      </c>
      <c r="P159">
        <f t="shared" ca="1" si="22"/>
        <v>0.2653766413268831</v>
      </c>
      <c r="Q159">
        <f t="shared" ca="1" si="22"/>
        <v>0.35854341736694662</v>
      </c>
      <c r="R159">
        <f t="shared" ca="1" si="22"/>
        <v>0.57608015028177817</v>
      </c>
      <c r="S159">
        <f t="shared" ca="1" si="22"/>
        <v>0.34063869755792109</v>
      </c>
      <c r="T159">
        <f t="shared" ca="1" si="22"/>
        <v>0.37595024187975123</v>
      </c>
      <c r="V159" s="4">
        <f t="shared" si="21"/>
        <v>41904</v>
      </c>
      <c r="W159" s="5">
        <f t="shared" ca="1" si="19"/>
        <v>0.57608015028177817</v>
      </c>
      <c r="Z159" s="4" t="str">
        <f ca="1">IF(OFFSET('Calc Canada'!$A$1,0,0,300)="","",OFFSET('Calc Canada'!$A$1,0,0,300))</f>
        <v/>
      </c>
      <c r="AA159" s="5" t="e">
        <f ca="1">IF(OFFSET('Calc Canada'!$A$1,0,MATCH(W$1,'Calc Canada'!$1:$1,0)-1,300)="","",OFFSET('Calc Canada'!$A$1,0,MATCH(W$1,'Calc Canada'!$1:$1,0)-1,300))</f>
        <v>#N/A</v>
      </c>
      <c r="AB159" s="5" t="e">
        <f ca="1">IF(OFFSET('Calc Canada'!$A$1,0,MATCH(X$1,'Calc Canada'!$1:$1,0)-1,300)="","",OFFSET('Calc Canada'!$A$1,0,MATCH(X$1,'Calc Canada'!$1:$1,0)-1,300))</f>
        <v>#N/A</v>
      </c>
      <c r="AC159" t="e">
        <f t="shared" ca="1" si="17"/>
        <v>#N/A</v>
      </c>
      <c r="AD159" t="e">
        <f t="shared" ca="1" si="18"/>
        <v>#N/A</v>
      </c>
    </row>
    <row r="160" spans="1:30" x14ac:dyDescent="0.25">
      <c r="A160" s="4">
        <v>41901</v>
      </c>
      <c r="B160">
        <v>1.169</v>
      </c>
      <c r="C160" s="5">
        <v>1.323</v>
      </c>
      <c r="D160">
        <v>1.712</v>
      </c>
      <c r="E160">
        <v>1.8639999999999999</v>
      </c>
      <c r="F160">
        <v>2.246</v>
      </c>
      <c r="G160">
        <v>2.7530000000000001</v>
      </c>
      <c r="H160">
        <f t="shared" ca="1" si="22"/>
        <v>0.5597122302158275</v>
      </c>
      <c r="I160">
        <f t="shared" ca="1" si="22"/>
        <v>0.36118848653667596</v>
      </c>
      <c r="J160">
        <f t="shared" ca="1" si="22"/>
        <v>0.24558080808080807</v>
      </c>
      <c r="K160">
        <f t="shared" ca="1" si="22"/>
        <v>0.14113277623026918</v>
      </c>
      <c r="L160">
        <f t="shared" ca="1" si="22"/>
        <v>9.5959595959595897E-2</v>
      </c>
      <c r="M160">
        <f t="shared" ca="1" si="22"/>
        <v>0.16468039003250259</v>
      </c>
      <c r="N160">
        <f t="shared" ca="1" si="22"/>
        <v>0.10629370629370623</v>
      </c>
      <c r="O160">
        <f t="shared" ca="1" si="22"/>
        <v>0.24116161616161622</v>
      </c>
      <c r="P160">
        <f t="shared" ca="1" si="22"/>
        <v>0.26713286713286716</v>
      </c>
      <c r="Q160">
        <f t="shared" ca="1" si="22"/>
        <v>0.36695485110470705</v>
      </c>
      <c r="R160">
        <f t="shared" ca="1" si="22"/>
        <v>0.58270202020202022</v>
      </c>
      <c r="S160">
        <f t="shared" ca="1" si="22"/>
        <v>0.3371212121212121</v>
      </c>
      <c r="T160">
        <f t="shared" ca="1" si="22"/>
        <v>0.37342657342657343</v>
      </c>
      <c r="V160" s="4">
        <f t="shared" si="21"/>
        <v>41901</v>
      </c>
      <c r="W160" s="5">
        <f t="shared" ca="1" si="19"/>
        <v>0.58270202020202022</v>
      </c>
      <c r="Z160" s="4" t="str">
        <f ca="1">IF(OFFSET('Calc Canada'!$A$1,0,0,300)="","",OFFSET('Calc Canada'!$A$1,0,0,300))</f>
        <v/>
      </c>
      <c r="AA160" s="5" t="e">
        <f ca="1">IF(OFFSET('Calc Canada'!$A$1,0,MATCH(W$1,'Calc Canada'!$1:$1,0)-1,300)="","",OFFSET('Calc Canada'!$A$1,0,MATCH(W$1,'Calc Canada'!$1:$1,0)-1,300))</f>
        <v>#N/A</v>
      </c>
      <c r="AB160" s="5" t="e">
        <f ca="1">IF(OFFSET('Calc Canada'!$A$1,0,MATCH(X$1,'Calc Canada'!$1:$1,0)-1,300)="","",OFFSET('Calc Canada'!$A$1,0,MATCH(X$1,'Calc Canada'!$1:$1,0)-1,300))</f>
        <v>#N/A</v>
      </c>
      <c r="AC160" t="e">
        <f t="shared" ca="1" si="17"/>
        <v>#N/A</v>
      </c>
      <c r="AD160" t="e">
        <f t="shared" ca="1" si="18"/>
        <v>#N/A</v>
      </c>
    </row>
    <row r="161" spans="1:30" x14ac:dyDescent="0.25">
      <c r="A161" s="4">
        <v>41900</v>
      </c>
      <c r="B161">
        <v>1.165</v>
      </c>
      <c r="C161" s="5">
        <v>1.3240000000000001</v>
      </c>
      <c r="D161">
        <v>1.7269999999999999</v>
      </c>
      <c r="E161">
        <v>1.8900000000000001</v>
      </c>
      <c r="F161">
        <v>2.2810000000000001</v>
      </c>
      <c r="G161">
        <v>2.7890000000000001</v>
      </c>
      <c r="H161">
        <f t="shared" ca="1" si="22"/>
        <v>0.55586206896551693</v>
      </c>
      <c r="I161">
        <f t="shared" ca="1" si="22"/>
        <v>0.36111111111111088</v>
      </c>
      <c r="J161">
        <f t="shared" ca="1" si="22"/>
        <v>0.24815270935960576</v>
      </c>
      <c r="K161">
        <f t="shared" ca="1" si="22"/>
        <v>0.14605734767025111</v>
      </c>
      <c r="L161">
        <f t="shared" ca="1" si="22"/>
        <v>0.10036945812807897</v>
      </c>
      <c r="M161">
        <f t="shared" ca="1" si="22"/>
        <v>0.17032392894461884</v>
      </c>
      <c r="N161">
        <f t="shared" ca="1" si="22"/>
        <v>0.11126279863481245</v>
      </c>
      <c r="O161">
        <f t="shared" ca="1" si="22"/>
        <v>0.24076354679802955</v>
      </c>
      <c r="P161">
        <f t="shared" ca="1" si="22"/>
        <v>0.26689419795221841</v>
      </c>
      <c r="Q161">
        <f t="shared" ca="1" si="22"/>
        <v>0.36817325800376638</v>
      </c>
      <c r="R161">
        <f t="shared" ca="1" si="22"/>
        <v>0.5892857142857143</v>
      </c>
      <c r="S161">
        <f t="shared" ca="1" si="22"/>
        <v>0.34113300492610854</v>
      </c>
      <c r="T161">
        <f t="shared" ca="1" si="22"/>
        <v>0.37815699658703089</v>
      </c>
      <c r="V161" s="4">
        <f t="shared" si="21"/>
        <v>41900</v>
      </c>
      <c r="W161" s="5">
        <f t="shared" ca="1" si="19"/>
        <v>0.5892857142857143</v>
      </c>
      <c r="Z161" s="4" t="str">
        <f ca="1">IF(OFFSET('Calc Canada'!$A$1,0,0,300)="","",OFFSET('Calc Canada'!$A$1,0,0,300))</f>
        <v/>
      </c>
      <c r="AA161" s="5" t="e">
        <f ca="1">IF(OFFSET('Calc Canada'!$A$1,0,MATCH(W$1,'Calc Canada'!$1:$1,0)-1,300)="","",OFFSET('Calc Canada'!$A$1,0,MATCH(W$1,'Calc Canada'!$1:$1,0)-1,300))</f>
        <v>#N/A</v>
      </c>
      <c r="AB161" s="5" t="e">
        <f ca="1">IF(OFFSET('Calc Canada'!$A$1,0,MATCH(X$1,'Calc Canada'!$1:$1,0)-1,300)="","",OFFSET('Calc Canada'!$A$1,0,MATCH(X$1,'Calc Canada'!$1:$1,0)-1,300))</f>
        <v>#N/A</v>
      </c>
      <c r="AC161" t="e">
        <f t="shared" ca="1" si="17"/>
        <v>#N/A</v>
      </c>
      <c r="AD161" t="e">
        <f t="shared" ca="1" si="18"/>
        <v>#N/A</v>
      </c>
    </row>
    <row r="162" spans="1:30" x14ac:dyDescent="0.25">
      <c r="A162" s="4">
        <v>41899</v>
      </c>
      <c r="B162">
        <v>1.1639999999999999</v>
      </c>
      <c r="C162" s="5">
        <v>1.3129999999999999</v>
      </c>
      <c r="D162">
        <v>1.7130000000000001</v>
      </c>
      <c r="E162">
        <v>1.869</v>
      </c>
      <c r="F162">
        <v>2.2629999999999999</v>
      </c>
      <c r="G162">
        <v>2.7839999999999998</v>
      </c>
      <c r="H162">
        <f t="shared" ca="1" si="22"/>
        <v>0.56737588652482285</v>
      </c>
      <c r="I162">
        <f t="shared" ca="1" si="22"/>
        <v>0.36396724294813482</v>
      </c>
      <c r="J162">
        <f t="shared" ca="1" si="22"/>
        <v>0.24691358024691368</v>
      </c>
      <c r="K162">
        <f t="shared" ca="1" si="22"/>
        <v>0.14194722474977245</v>
      </c>
      <c r="L162">
        <f t="shared" ca="1" si="22"/>
        <v>9.6296296296296255E-2</v>
      </c>
      <c r="M162">
        <f t="shared" ca="1" si="22"/>
        <v>0.16421052631578939</v>
      </c>
      <c r="N162">
        <f t="shared" ca="1" si="22"/>
        <v>0.10605030591434393</v>
      </c>
      <c r="O162">
        <f t="shared" ca="1" si="22"/>
        <v>0.24320987654320983</v>
      </c>
      <c r="P162">
        <f t="shared" ca="1" si="22"/>
        <v>0.26784500339904821</v>
      </c>
      <c r="Q162">
        <f t="shared" ca="1" si="22"/>
        <v>0.36788048552754438</v>
      </c>
      <c r="R162">
        <f t="shared" ca="1" si="22"/>
        <v>0.5864197530864198</v>
      </c>
      <c r="S162">
        <f t="shared" ca="1" si="22"/>
        <v>0.33950617283950607</v>
      </c>
      <c r="T162">
        <f t="shared" ca="1" si="22"/>
        <v>0.37389530931339215</v>
      </c>
      <c r="V162" s="4">
        <f t="shared" si="21"/>
        <v>41899</v>
      </c>
      <c r="W162" s="5">
        <f t="shared" ca="1" si="19"/>
        <v>0.5864197530864198</v>
      </c>
      <c r="Z162" s="4" t="str">
        <f ca="1">IF(OFFSET('Calc Canada'!$A$1,0,0,300)="","",OFFSET('Calc Canada'!$A$1,0,0,300))</f>
        <v/>
      </c>
      <c r="AA162" s="5" t="e">
        <f ca="1">IF(OFFSET('Calc Canada'!$A$1,0,MATCH(W$1,'Calc Canada'!$1:$1,0)-1,300)="","",OFFSET('Calc Canada'!$A$1,0,MATCH(W$1,'Calc Canada'!$1:$1,0)-1,300))</f>
        <v>#N/A</v>
      </c>
      <c r="AB162" s="5" t="e">
        <f ca="1">IF(OFFSET('Calc Canada'!$A$1,0,MATCH(X$1,'Calc Canada'!$1:$1,0)-1,300)="","",OFFSET('Calc Canada'!$A$1,0,MATCH(X$1,'Calc Canada'!$1:$1,0)-1,300))</f>
        <v>#N/A</v>
      </c>
      <c r="AC162" t="e">
        <f t="shared" ca="1" si="17"/>
        <v>#N/A</v>
      </c>
      <c r="AD162" t="e">
        <f t="shared" ca="1" si="18"/>
        <v>#N/A</v>
      </c>
    </row>
    <row r="163" spans="1:30" x14ac:dyDescent="0.25">
      <c r="A163" s="4">
        <v>41898</v>
      </c>
      <c r="B163">
        <v>1.149</v>
      </c>
      <c r="C163" s="5">
        <v>1.2969999999999999</v>
      </c>
      <c r="D163">
        <v>1.6930000000000001</v>
      </c>
      <c r="E163">
        <v>1.847</v>
      </c>
      <c r="F163">
        <v>2.2400000000000002</v>
      </c>
      <c r="G163">
        <v>2.7650000000000001</v>
      </c>
      <c r="H163">
        <f t="shared" ca="1" si="22"/>
        <v>0.56733524355300879</v>
      </c>
      <c r="I163">
        <f t="shared" ca="1" si="22"/>
        <v>0.36296975252062336</v>
      </c>
      <c r="J163">
        <f t="shared" ca="1" si="22"/>
        <v>0.2450495049504951</v>
      </c>
      <c r="K163">
        <f t="shared" ca="1" si="22"/>
        <v>0.14115490375802006</v>
      </c>
      <c r="L163">
        <f t="shared" ca="1" si="22"/>
        <v>9.5297029702970243E-2</v>
      </c>
      <c r="M163">
        <f t="shared" ca="1" si="22"/>
        <v>0.16330858960763506</v>
      </c>
      <c r="N163">
        <f t="shared" ca="1" si="22"/>
        <v>0.10490463215258848</v>
      </c>
      <c r="O163">
        <f t="shared" ca="1" si="22"/>
        <v>0.24319306930693083</v>
      </c>
      <c r="P163">
        <f t="shared" ca="1" si="22"/>
        <v>0.26771117166212549</v>
      </c>
      <c r="Q163">
        <f t="shared" ca="1" si="22"/>
        <v>0.36660447761194048</v>
      </c>
      <c r="R163">
        <f t="shared" ca="1" si="22"/>
        <v>0.58353960396039617</v>
      </c>
      <c r="S163">
        <f t="shared" ca="1" si="22"/>
        <v>0.33849009900990107</v>
      </c>
      <c r="T163">
        <f t="shared" ca="1" si="22"/>
        <v>0.37261580381471393</v>
      </c>
      <c r="V163" s="4">
        <f t="shared" si="21"/>
        <v>41898</v>
      </c>
      <c r="W163" s="5">
        <f t="shared" ca="1" si="19"/>
        <v>0.58353960396039617</v>
      </c>
      <c r="Z163" s="4" t="str">
        <f ca="1">IF(OFFSET('Calc Canada'!$A$1,0,0,300)="","",OFFSET('Calc Canada'!$A$1,0,0,300))</f>
        <v/>
      </c>
      <c r="AA163" s="5" t="e">
        <f ca="1">IF(OFFSET('Calc Canada'!$A$1,0,MATCH(W$1,'Calc Canada'!$1:$1,0)-1,300)="","",OFFSET('Calc Canada'!$A$1,0,MATCH(W$1,'Calc Canada'!$1:$1,0)-1,300))</f>
        <v>#N/A</v>
      </c>
      <c r="AB163" s="5" t="e">
        <f ca="1">IF(OFFSET('Calc Canada'!$A$1,0,MATCH(X$1,'Calc Canada'!$1:$1,0)-1,300)="","",OFFSET('Calc Canada'!$A$1,0,MATCH(X$1,'Calc Canada'!$1:$1,0)-1,300))</f>
        <v>#N/A</v>
      </c>
      <c r="AC163" t="e">
        <f t="shared" ca="1" si="17"/>
        <v>#N/A</v>
      </c>
      <c r="AD163" t="e">
        <f t="shared" ca="1" si="18"/>
        <v>#N/A</v>
      </c>
    </row>
    <row r="164" spans="1:30" x14ac:dyDescent="0.25">
      <c r="A164" s="4">
        <v>41897</v>
      </c>
      <c r="B164">
        <v>1.1499999999999999</v>
      </c>
      <c r="C164" s="5">
        <v>1.2949999999999999</v>
      </c>
      <c r="D164">
        <v>1.6919999999999999</v>
      </c>
      <c r="E164">
        <v>1.8380000000000001</v>
      </c>
      <c r="F164">
        <v>2.2330000000000001</v>
      </c>
      <c r="G164">
        <v>2.7570000000000001</v>
      </c>
      <c r="H164">
        <f t="shared" ca="1" si="22"/>
        <v>0.57703488372093015</v>
      </c>
      <c r="I164">
        <f t="shared" ca="1" si="22"/>
        <v>0.36657433056325017</v>
      </c>
      <c r="J164">
        <f t="shared" ca="1" si="22"/>
        <v>0.24704418170504042</v>
      </c>
      <c r="K164">
        <f t="shared" ca="1" si="22"/>
        <v>0.13481071098799641</v>
      </c>
      <c r="L164">
        <f t="shared" ca="1" si="22"/>
        <v>9.0852520224019975E-2</v>
      </c>
      <c r="M164">
        <f t="shared" ca="1" si="22"/>
        <v>0.15565031982942443</v>
      </c>
      <c r="N164">
        <f t="shared" ca="1" si="22"/>
        <v>9.9863201094391327E-2</v>
      </c>
      <c r="O164">
        <f t="shared" ca="1" si="22"/>
        <v>0.24579962663347851</v>
      </c>
      <c r="P164">
        <f t="shared" ca="1" si="22"/>
        <v>0.27017783857729138</v>
      </c>
      <c r="Q164">
        <f t="shared" ca="1" si="22"/>
        <v>0.37089201877934269</v>
      </c>
      <c r="R164">
        <f t="shared" ca="1" si="22"/>
        <v>0.58369632856253895</v>
      </c>
      <c r="S164">
        <f t="shared" ca="1" si="22"/>
        <v>0.3366521468574985</v>
      </c>
      <c r="T164">
        <f t="shared" ca="1" si="22"/>
        <v>0.37004103967168267</v>
      </c>
      <c r="V164" s="4">
        <f t="shared" si="21"/>
        <v>41897</v>
      </c>
      <c r="W164" s="5">
        <f t="shared" ca="1" si="19"/>
        <v>0.58369632856253895</v>
      </c>
      <c r="Z164" s="4" t="str">
        <f ca="1">IF(OFFSET('Calc Canada'!$A$1,0,0,300)="","",OFFSET('Calc Canada'!$A$1,0,0,300))</f>
        <v/>
      </c>
      <c r="AA164" s="5" t="e">
        <f ca="1">IF(OFFSET('Calc Canada'!$A$1,0,MATCH(W$1,'Calc Canada'!$1:$1,0)-1,300)="","",OFFSET('Calc Canada'!$A$1,0,MATCH(W$1,'Calc Canada'!$1:$1,0)-1,300))</f>
        <v>#N/A</v>
      </c>
      <c r="AB164" s="5" t="e">
        <f ca="1">IF(OFFSET('Calc Canada'!$A$1,0,MATCH(X$1,'Calc Canada'!$1:$1,0)-1,300)="","",OFFSET('Calc Canada'!$A$1,0,MATCH(X$1,'Calc Canada'!$1:$1,0)-1,300))</f>
        <v>#N/A</v>
      </c>
      <c r="AC164" t="e">
        <f t="shared" ca="1" si="17"/>
        <v>#N/A</v>
      </c>
      <c r="AD164" t="e">
        <f t="shared" ca="1" si="18"/>
        <v>#N/A</v>
      </c>
    </row>
    <row r="165" spans="1:30" x14ac:dyDescent="0.25">
      <c r="A165" s="4">
        <v>41894</v>
      </c>
      <c r="B165">
        <v>1.1579999999999999</v>
      </c>
      <c r="C165" s="5">
        <v>1.302</v>
      </c>
      <c r="D165">
        <v>1.698</v>
      </c>
      <c r="E165">
        <v>1.847</v>
      </c>
      <c r="F165">
        <v>2.238</v>
      </c>
      <c r="G165">
        <v>2.758</v>
      </c>
      <c r="H165">
        <f t="shared" ca="1" si="22"/>
        <v>0.57474600870827264</v>
      </c>
      <c r="I165">
        <f t="shared" ca="1" si="22"/>
        <v>0.36666666666666653</v>
      </c>
      <c r="J165">
        <f t="shared" ca="1" si="22"/>
        <v>0.24749999999999994</v>
      </c>
      <c r="K165">
        <f t="shared" ca="1" si="22"/>
        <v>0.13796296296296298</v>
      </c>
      <c r="L165">
        <f t="shared" ca="1" si="22"/>
        <v>9.3125000000000013E-2</v>
      </c>
      <c r="M165">
        <f t="shared" ca="1" si="22"/>
        <v>0.15918803418803423</v>
      </c>
      <c r="N165">
        <f t="shared" ca="1" si="22"/>
        <v>0.10233516483516485</v>
      </c>
      <c r="O165">
        <f t="shared" ca="1" si="22"/>
        <v>0.24437500000000001</v>
      </c>
      <c r="P165">
        <f t="shared" ca="1" si="22"/>
        <v>0.26854395604395603</v>
      </c>
      <c r="Q165">
        <f t="shared" ca="1" si="22"/>
        <v>0.36886792452830186</v>
      </c>
      <c r="R165">
        <f t="shared" ca="1" si="22"/>
        <v>0.58499999999999996</v>
      </c>
      <c r="S165">
        <f t="shared" ca="1" si="22"/>
        <v>0.33750000000000002</v>
      </c>
      <c r="T165">
        <f t="shared" ca="1" si="22"/>
        <v>0.37087912087912089</v>
      </c>
      <c r="V165" s="4">
        <f t="shared" si="21"/>
        <v>41894</v>
      </c>
      <c r="W165" s="5">
        <f t="shared" ca="1" si="19"/>
        <v>0.58499999999999996</v>
      </c>
      <c r="Z165" s="4" t="str">
        <f ca="1">IF(OFFSET('Calc Canada'!$A$1,0,0,300)="","",OFFSET('Calc Canada'!$A$1,0,0,300))</f>
        <v/>
      </c>
      <c r="AA165" s="5" t="e">
        <f ca="1">IF(OFFSET('Calc Canada'!$A$1,0,MATCH(W$1,'Calc Canada'!$1:$1,0)-1,300)="","",OFFSET('Calc Canada'!$A$1,0,MATCH(W$1,'Calc Canada'!$1:$1,0)-1,300))</f>
        <v>#N/A</v>
      </c>
      <c r="AB165" s="5" t="e">
        <f ca="1">IF(OFFSET('Calc Canada'!$A$1,0,MATCH(X$1,'Calc Canada'!$1:$1,0)-1,300)="","",OFFSET('Calc Canada'!$A$1,0,MATCH(X$1,'Calc Canada'!$1:$1,0)-1,300))</f>
        <v>#N/A</v>
      </c>
      <c r="AC165" t="e">
        <f t="shared" ca="1" si="17"/>
        <v>#N/A</v>
      </c>
      <c r="AD165" t="e">
        <f t="shared" ca="1" si="18"/>
        <v>#N/A</v>
      </c>
    </row>
    <row r="166" spans="1:30" x14ac:dyDescent="0.25">
      <c r="A166" s="4">
        <v>41893</v>
      </c>
      <c r="B166">
        <v>1.143</v>
      </c>
      <c r="C166" s="5">
        <v>1.28</v>
      </c>
      <c r="D166">
        <v>1.665</v>
      </c>
      <c r="E166">
        <v>1.8120000000000001</v>
      </c>
      <c r="F166">
        <v>2.1949999999999998</v>
      </c>
      <c r="G166">
        <v>2.7149999999999999</v>
      </c>
      <c r="H166">
        <f t="shared" ca="1" si="22"/>
        <v>0.5754857997010463</v>
      </c>
      <c r="I166">
        <f t="shared" ca="1" si="22"/>
        <v>0.36596958174904948</v>
      </c>
      <c r="J166">
        <f t="shared" ca="1" si="22"/>
        <v>0.24491094147582701</v>
      </c>
      <c r="K166">
        <f t="shared" ca="1" si="22"/>
        <v>0.13973384030418254</v>
      </c>
      <c r="L166">
        <f t="shared" ca="1" si="22"/>
        <v>9.3511450381679406E-2</v>
      </c>
      <c r="M166">
        <f t="shared" ca="1" si="22"/>
        <v>0.16065573770491809</v>
      </c>
      <c r="N166">
        <f t="shared" ca="1" si="22"/>
        <v>0.10243902439024392</v>
      </c>
      <c r="O166">
        <f t="shared" ca="1" si="22"/>
        <v>0.2436386768447836</v>
      </c>
      <c r="P166">
        <f t="shared" ca="1" si="22"/>
        <v>0.26689895470383262</v>
      </c>
      <c r="Q166">
        <f t="shared" ca="1" si="22"/>
        <v>0.36476190476190462</v>
      </c>
      <c r="R166">
        <f t="shared" ca="1" si="22"/>
        <v>0.58206106870229002</v>
      </c>
      <c r="S166">
        <f t="shared" ca="1" si="22"/>
        <v>0.33715012722646304</v>
      </c>
      <c r="T166">
        <f t="shared" ca="1" si="22"/>
        <v>0.36933797909407656</v>
      </c>
      <c r="V166" s="4">
        <f t="shared" si="21"/>
        <v>41893</v>
      </c>
      <c r="W166" s="5">
        <f t="shared" ca="1" si="19"/>
        <v>0.58206106870229002</v>
      </c>
      <c r="Z166" s="4" t="str">
        <f ca="1">IF(OFFSET('Calc Canada'!$A$1,0,0,300)="","",OFFSET('Calc Canada'!$A$1,0,0,300))</f>
        <v/>
      </c>
      <c r="AA166" s="5" t="e">
        <f ca="1">IF(OFFSET('Calc Canada'!$A$1,0,MATCH(W$1,'Calc Canada'!$1:$1,0)-1,300)="","",OFFSET('Calc Canada'!$A$1,0,MATCH(W$1,'Calc Canada'!$1:$1,0)-1,300))</f>
        <v>#N/A</v>
      </c>
      <c r="AB166" s="5" t="e">
        <f ca="1">IF(OFFSET('Calc Canada'!$A$1,0,MATCH(X$1,'Calc Canada'!$1:$1,0)-1,300)="","",OFFSET('Calc Canada'!$A$1,0,MATCH(X$1,'Calc Canada'!$1:$1,0)-1,300))</f>
        <v>#N/A</v>
      </c>
      <c r="AC166" t="e">
        <f t="shared" ca="1" si="17"/>
        <v>#N/A</v>
      </c>
      <c r="AD166" t="e">
        <f t="shared" ca="1" si="18"/>
        <v>#N/A</v>
      </c>
    </row>
    <row r="167" spans="1:30" x14ac:dyDescent="0.25">
      <c r="A167" s="4">
        <v>41892</v>
      </c>
      <c r="B167">
        <v>1.149</v>
      </c>
      <c r="C167" s="5">
        <v>1.286</v>
      </c>
      <c r="D167">
        <v>1.663</v>
      </c>
      <c r="E167">
        <v>1.8109999999999999</v>
      </c>
      <c r="F167">
        <v>2.2029999999999998</v>
      </c>
      <c r="G167">
        <v>2.7250000000000001</v>
      </c>
      <c r="H167">
        <f t="shared" ca="1" si="22"/>
        <v>0.56948640483383695</v>
      </c>
      <c r="I167">
        <f t="shared" ca="1" si="22"/>
        <v>0.35768500948766607</v>
      </c>
      <c r="J167">
        <f t="shared" ca="1" si="22"/>
        <v>0.23921319796954313</v>
      </c>
      <c r="K167">
        <f t="shared" ca="1" si="22"/>
        <v>0.14041745730550279</v>
      </c>
      <c r="L167">
        <f t="shared" ca="1" si="22"/>
        <v>9.39086294416243E-2</v>
      </c>
      <c r="M167">
        <f t="shared" ca="1" si="22"/>
        <v>0.16139585605234452</v>
      </c>
      <c r="N167">
        <f t="shared" ca="1" si="22"/>
        <v>0.10284920083391237</v>
      </c>
      <c r="O167">
        <f t="shared" ca="1" si="22"/>
        <v>0.24873096446700502</v>
      </c>
      <c r="P167">
        <f t="shared" ca="1" si="22"/>
        <v>0.27241139680333559</v>
      </c>
      <c r="Q167">
        <f t="shared" ca="1" si="22"/>
        <v>0.36911487758945377</v>
      </c>
      <c r="R167">
        <f t="shared" ca="1" si="22"/>
        <v>0.5818527918781724</v>
      </c>
      <c r="S167">
        <f t="shared" ca="1" si="22"/>
        <v>0.3426395939086293</v>
      </c>
      <c r="T167">
        <f t="shared" ca="1" si="22"/>
        <v>0.37526059763724795</v>
      </c>
      <c r="V167" s="4">
        <f t="shared" si="21"/>
        <v>41892</v>
      </c>
      <c r="W167" s="5">
        <f t="shared" ca="1" si="19"/>
        <v>0.5818527918781724</v>
      </c>
      <c r="Z167" s="4" t="str">
        <f ca="1">IF(OFFSET('Calc Canada'!$A$1,0,0,300)="","",OFFSET('Calc Canada'!$A$1,0,0,300))</f>
        <v/>
      </c>
      <c r="AA167" s="5" t="e">
        <f ca="1">IF(OFFSET('Calc Canada'!$A$1,0,MATCH(W$1,'Calc Canada'!$1:$1,0)-1,300)="","",OFFSET('Calc Canada'!$A$1,0,MATCH(W$1,'Calc Canada'!$1:$1,0)-1,300))</f>
        <v>#N/A</v>
      </c>
      <c r="AB167" s="5" t="e">
        <f ca="1">IF(OFFSET('Calc Canada'!$A$1,0,MATCH(X$1,'Calc Canada'!$1:$1,0)-1,300)="","",OFFSET('Calc Canada'!$A$1,0,MATCH(X$1,'Calc Canada'!$1:$1,0)-1,300))</f>
        <v>#N/A</v>
      </c>
      <c r="AC167" t="e">
        <f t="shared" ca="1" si="17"/>
        <v>#N/A</v>
      </c>
      <c r="AD167" t="e">
        <f t="shared" ca="1" si="18"/>
        <v>#N/A</v>
      </c>
    </row>
    <row r="168" spans="1:30" x14ac:dyDescent="0.25">
      <c r="A168" s="4">
        <v>41891</v>
      </c>
      <c r="B168">
        <v>1.1360000000000001</v>
      </c>
      <c r="C168" s="5">
        <v>1.2669999999999999</v>
      </c>
      <c r="D168">
        <v>1.639</v>
      </c>
      <c r="E168">
        <v>1.786</v>
      </c>
      <c r="F168">
        <v>2.1739999999999999</v>
      </c>
      <c r="G168">
        <v>2.7</v>
      </c>
      <c r="H168">
        <f t="shared" ca="1" si="22"/>
        <v>0.57230769230769252</v>
      </c>
      <c r="I168">
        <f t="shared" ca="1" si="22"/>
        <v>0.35838150289017356</v>
      </c>
      <c r="J168">
        <f t="shared" ca="1" si="22"/>
        <v>0.23785166240409214</v>
      </c>
      <c r="K168">
        <f t="shared" ca="1" si="22"/>
        <v>0.14161849710982663</v>
      </c>
      <c r="L168">
        <f t="shared" ca="1" si="22"/>
        <v>9.3989769820971875E-2</v>
      </c>
      <c r="M168">
        <f t="shared" ca="1" si="22"/>
        <v>0.16207276736493939</v>
      </c>
      <c r="N168">
        <f t="shared" ca="1" si="22"/>
        <v>0.10258199581297976</v>
      </c>
      <c r="O168">
        <f t="shared" ca="1" si="22"/>
        <v>0.248081841432225</v>
      </c>
      <c r="P168">
        <f t="shared" ca="1" si="22"/>
        <v>0.27076064200976957</v>
      </c>
      <c r="Q168">
        <f t="shared" ca="1" si="22"/>
        <v>0.36569274269557006</v>
      </c>
      <c r="R168">
        <f t="shared" ca="1" si="22"/>
        <v>0.57992327365728902</v>
      </c>
      <c r="S168">
        <f t="shared" ca="1" si="22"/>
        <v>0.34207161125319685</v>
      </c>
      <c r="T168">
        <f t="shared" ca="1" si="22"/>
        <v>0.37334263782274935</v>
      </c>
      <c r="V168" s="4">
        <f t="shared" si="21"/>
        <v>41891</v>
      </c>
      <c r="W168" s="5">
        <f t="shared" ca="1" si="19"/>
        <v>0.57992327365728902</v>
      </c>
      <c r="Z168" s="4" t="str">
        <f ca="1">IF(OFFSET('Calc Canada'!$A$1,0,0,300)="","",OFFSET('Calc Canada'!$A$1,0,0,300))</f>
        <v/>
      </c>
      <c r="AA168" s="5" t="e">
        <f ca="1">IF(OFFSET('Calc Canada'!$A$1,0,MATCH(W$1,'Calc Canada'!$1:$1,0)-1,300)="","",OFFSET('Calc Canada'!$A$1,0,MATCH(W$1,'Calc Canada'!$1:$1,0)-1,300))</f>
        <v>#N/A</v>
      </c>
      <c r="AB168" s="5" t="e">
        <f ca="1">IF(OFFSET('Calc Canada'!$A$1,0,MATCH(X$1,'Calc Canada'!$1:$1,0)-1,300)="","",OFFSET('Calc Canada'!$A$1,0,MATCH(X$1,'Calc Canada'!$1:$1,0)-1,300))</f>
        <v>#N/A</v>
      </c>
      <c r="AC168" t="e">
        <f t="shared" ca="1" si="17"/>
        <v>#N/A</v>
      </c>
      <c r="AD168" t="e">
        <f t="shared" ca="1" si="18"/>
        <v>#N/A</v>
      </c>
    </row>
    <row r="169" spans="1:30" x14ac:dyDescent="0.25">
      <c r="A169" s="4">
        <v>41890</v>
      </c>
      <c r="B169">
        <v>1.1179999999999999</v>
      </c>
      <c r="C169" s="5">
        <v>1.242</v>
      </c>
      <c r="D169">
        <v>1.603</v>
      </c>
      <c r="E169">
        <v>1.75</v>
      </c>
      <c r="F169">
        <v>2.1379999999999999</v>
      </c>
      <c r="G169">
        <v>2.6779999999999999</v>
      </c>
      <c r="H169">
        <f t="shared" ca="1" si="22"/>
        <v>0.57120253164556944</v>
      </c>
      <c r="I169">
        <f t="shared" ca="1" si="22"/>
        <v>0.35392156862745094</v>
      </c>
      <c r="J169">
        <f t="shared" ca="1" si="22"/>
        <v>0.23141025641025639</v>
      </c>
      <c r="K169">
        <f t="shared" ca="1" si="22"/>
        <v>0.14411764705882354</v>
      </c>
      <c r="L169">
        <f t="shared" ca="1" si="22"/>
        <v>9.4230769230769243E-2</v>
      </c>
      <c r="M169">
        <f t="shared" ca="1" si="22"/>
        <v>0.16406250000000003</v>
      </c>
      <c r="N169">
        <f t="shared" ca="1" si="22"/>
        <v>0.10236768802228415</v>
      </c>
      <c r="O169">
        <f t="shared" ca="1" si="22"/>
        <v>0.24871794871794864</v>
      </c>
      <c r="P169">
        <f t="shared" ca="1" si="22"/>
        <v>0.27019498607242332</v>
      </c>
      <c r="Q169">
        <f t="shared" ca="1" si="22"/>
        <v>0.36093023255813944</v>
      </c>
      <c r="R169">
        <f t="shared" ca="1" si="22"/>
        <v>0.57435897435897432</v>
      </c>
      <c r="S169">
        <f t="shared" ca="1" si="22"/>
        <v>0.3429487179487179</v>
      </c>
      <c r="T169">
        <f t="shared" ca="1" si="22"/>
        <v>0.3725626740947075</v>
      </c>
      <c r="V169" s="4">
        <f t="shared" si="21"/>
        <v>41890</v>
      </c>
      <c r="W169" s="5">
        <f t="shared" ca="1" si="19"/>
        <v>0.57435897435897432</v>
      </c>
      <c r="Z169" s="4" t="str">
        <f ca="1">IF(OFFSET('Calc Canada'!$A$1,0,0,300)="","",OFFSET('Calc Canada'!$A$1,0,0,300))</f>
        <v/>
      </c>
      <c r="AA169" s="5" t="e">
        <f ca="1">IF(OFFSET('Calc Canada'!$A$1,0,MATCH(W$1,'Calc Canada'!$1:$1,0)-1,300)="","",OFFSET('Calc Canada'!$A$1,0,MATCH(W$1,'Calc Canada'!$1:$1,0)-1,300))</f>
        <v>#N/A</v>
      </c>
      <c r="AB169" s="5" t="e">
        <f ca="1">IF(OFFSET('Calc Canada'!$A$1,0,MATCH(X$1,'Calc Canada'!$1:$1,0)-1,300)="","",OFFSET('Calc Canada'!$A$1,0,MATCH(X$1,'Calc Canada'!$1:$1,0)-1,300))</f>
        <v>#N/A</v>
      </c>
      <c r="AC169" t="e">
        <f t="shared" ca="1" si="17"/>
        <v>#N/A</v>
      </c>
      <c r="AD169" t="e">
        <f t="shared" ca="1" si="18"/>
        <v>#N/A</v>
      </c>
    </row>
    <row r="170" spans="1:30" x14ac:dyDescent="0.25">
      <c r="A170" s="4">
        <v>41887</v>
      </c>
      <c r="B170">
        <v>1.1140000000000001</v>
      </c>
      <c r="C170" s="5">
        <v>1.236</v>
      </c>
      <c r="D170">
        <v>1.583</v>
      </c>
      <c r="E170">
        <v>1.7330000000000001</v>
      </c>
      <c r="F170">
        <v>2.1150000000000002</v>
      </c>
      <c r="G170">
        <v>2.6669999999999998</v>
      </c>
      <c r="H170">
        <f t="shared" ca="1" si="22"/>
        <v>0.56058158319870754</v>
      </c>
      <c r="I170">
        <f t="shared" ca="1" si="22"/>
        <v>0.34665334665334657</v>
      </c>
      <c r="J170">
        <f t="shared" ca="1" si="22"/>
        <v>0.22343850611719254</v>
      </c>
      <c r="K170">
        <f t="shared" ca="1" si="22"/>
        <v>0.14985014985014997</v>
      </c>
      <c r="L170">
        <f t="shared" ca="1" si="22"/>
        <v>9.6587250482936357E-2</v>
      </c>
      <c r="M170">
        <f t="shared" ca="1" si="22"/>
        <v>0.17064846416382262</v>
      </c>
      <c r="N170">
        <f t="shared" ca="1" si="22"/>
        <v>0.10482180293501059</v>
      </c>
      <c r="O170">
        <f t="shared" ca="1" si="22"/>
        <v>0.24597553122987778</v>
      </c>
      <c r="P170">
        <f t="shared" ca="1" si="22"/>
        <v>0.2669461914744935</v>
      </c>
      <c r="Q170">
        <f t="shared" ca="1" si="22"/>
        <v>0.35239852398524002</v>
      </c>
      <c r="R170">
        <f t="shared" ca="1" si="22"/>
        <v>0.56600128783000669</v>
      </c>
      <c r="S170">
        <f t="shared" ca="1" si="22"/>
        <v>0.34256278171281412</v>
      </c>
      <c r="T170">
        <f t="shared" ca="1" si="22"/>
        <v>0.37176799440950409</v>
      </c>
      <c r="V170" s="4">
        <f t="shared" si="21"/>
        <v>41887</v>
      </c>
      <c r="W170" s="5">
        <f t="shared" ca="1" si="19"/>
        <v>0.56600128783000669</v>
      </c>
      <c r="Z170" s="4" t="str">
        <f ca="1">IF(OFFSET('Calc Canada'!$A$1,0,0,300)="","",OFFSET('Calc Canada'!$A$1,0,0,300))</f>
        <v/>
      </c>
      <c r="AA170" s="5" t="e">
        <f ca="1">IF(OFFSET('Calc Canada'!$A$1,0,MATCH(W$1,'Calc Canada'!$1:$1,0)-1,300)="","",OFFSET('Calc Canada'!$A$1,0,MATCH(W$1,'Calc Canada'!$1:$1,0)-1,300))</f>
        <v>#N/A</v>
      </c>
      <c r="AB170" s="5" t="e">
        <f ca="1">IF(OFFSET('Calc Canada'!$A$1,0,MATCH(X$1,'Calc Canada'!$1:$1,0)-1,300)="","",OFFSET('Calc Canada'!$A$1,0,MATCH(X$1,'Calc Canada'!$1:$1,0)-1,300))</f>
        <v>#N/A</v>
      </c>
      <c r="AC170" t="e">
        <f t="shared" ca="1" si="17"/>
        <v>#N/A</v>
      </c>
      <c r="AD170" t="e">
        <f t="shared" ca="1" si="18"/>
        <v>#N/A</v>
      </c>
    </row>
    <row r="171" spans="1:30" x14ac:dyDescent="0.25">
      <c r="A171" s="4">
        <v>41886</v>
      </c>
      <c r="B171">
        <v>1.1259999999999999</v>
      </c>
      <c r="C171" s="5">
        <v>1.2530000000000001</v>
      </c>
      <c r="D171">
        <v>1.599</v>
      </c>
      <c r="E171">
        <v>1.7469999999999999</v>
      </c>
      <c r="F171">
        <v>2.1219999999999999</v>
      </c>
      <c r="G171">
        <v>2.665</v>
      </c>
      <c r="H171">
        <f t="shared" ca="1" si="22"/>
        <v>0.55716586151368741</v>
      </c>
      <c r="I171">
        <f t="shared" ca="1" si="22"/>
        <v>0.34738955823293161</v>
      </c>
      <c r="J171">
        <f t="shared" ca="1" si="22"/>
        <v>0.22482131254061066</v>
      </c>
      <c r="K171">
        <f t="shared" ca="1" si="22"/>
        <v>0.14859437751004007</v>
      </c>
      <c r="L171">
        <f t="shared" ca="1" si="22"/>
        <v>9.6166341780376793E-2</v>
      </c>
      <c r="M171">
        <f t="shared" ca="1" si="22"/>
        <v>0.17031070195627152</v>
      </c>
      <c r="N171">
        <f t="shared" ca="1" si="22"/>
        <v>0.10481586402266282</v>
      </c>
      <c r="O171">
        <f t="shared" ca="1" si="22"/>
        <v>0.24366471734892786</v>
      </c>
      <c r="P171">
        <f t="shared" ca="1" si="22"/>
        <v>0.26558073654390935</v>
      </c>
      <c r="Q171">
        <f t="shared" ca="1" si="22"/>
        <v>0.35178236397748591</v>
      </c>
      <c r="R171">
        <f t="shared" ca="1" si="22"/>
        <v>0.56465237166991533</v>
      </c>
      <c r="S171">
        <f t="shared" ca="1" si="22"/>
        <v>0.33983105912930467</v>
      </c>
      <c r="T171">
        <f t="shared" ca="1" si="22"/>
        <v>0.3703966005665722</v>
      </c>
      <c r="V171" s="4">
        <f t="shared" si="21"/>
        <v>41886</v>
      </c>
      <c r="W171" s="5">
        <f t="shared" ca="1" si="19"/>
        <v>0.56465237166991533</v>
      </c>
      <c r="Z171" s="4" t="str">
        <f ca="1">IF(OFFSET('Calc Canada'!$A$1,0,0,300)="","",OFFSET('Calc Canada'!$A$1,0,0,300))</f>
        <v/>
      </c>
      <c r="AA171" s="5" t="e">
        <f ca="1">IF(OFFSET('Calc Canada'!$A$1,0,MATCH(W$1,'Calc Canada'!$1:$1,0)-1,300)="","",OFFSET('Calc Canada'!$A$1,0,MATCH(W$1,'Calc Canada'!$1:$1,0)-1,300))</f>
        <v>#N/A</v>
      </c>
      <c r="AB171" s="5" t="e">
        <f ca="1">IF(OFFSET('Calc Canada'!$A$1,0,MATCH(X$1,'Calc Canada'!$1:$1,0)-1,300)="","",OFFSET('Calc Canada'!$A$1,0,MATCH(X$1,'Calc Canada'!$1:$1,0)-1,300))</f>
        <v>#N/A</v>
      </c>
      <c r="AC171" t="e">
        <f t="shared" ca="1" si="17"/>
        <v>#N/A</v>
      </c>
      <c r="AD171" t="e">
        <f t="shared" ca="1" si="18"/>
        <v>#N/A</v>
      </c>
    </row>
    <row r="172" spans="1:30" x14ac:dyDescent="0.25">
      <c r="A172" s="4">
        <v>41885</v>
      </c>
      <c r="B172">
        <v>1.1140000000000001</v>
      </c>
      <c r="C172" s="5">
        <v>1.242</v>
      </c>
      <c r="D172">
        <v>1.577</v>
      </c>
      <c r="E172">
        <v>1.7069999999999999</v>
      </c>
      <c r="F172">
        <v>2.081</v>
      </c>
      <c r="G172">
        <v>2.6280000000000001</v>
      </c>
      <c r="H172">
        <f t="shared" ca="1" si="22"/>
        <v>0.56492411467116377</v>
      </c>
      <c r="I172">
        <f t="shared" ca="1" si="22"/>
        <v>0.34643226473629785</v>
      </c>
      <c r="J172">
        <f t="shared" ca="1" si="22"/>
        <v>0.22126816380449138</v>
      </c>
      <c r="K172">
        <f t="shared" ca="1" si="22"/>
        <v>0.1344364012409513</v>
      </c>
      <c r="L172">
        <f t="shared" ca="1" si="22"/>
        <v>8.5865257595772709E-2</v>
      </c>
      <c r="M172">
        <f t="shared" ca="1" si="22"/>
        <v>0.15494636471990453</v>
      </c>
      <c r="N172">
        <f t="shared" ca="1" si="22"/>
        <v>9.3795093795093709E-2</v>
      </c>
      <c r="O172">
        <f t="shared" ca="1" si="22"/>
        <v>0.24702774108322331</v>
      </c>
      <c r="P172">
        <f t="shared" ca="1" si="22"/>
        <v>0.26984126984126988</v>
      </c>
      <c r="Q172">
        <f t="shared" ca="1" si="22"/>
        <v>0.35585156993339684</v>
      </c>
      <c r="R172">
        <f t="shared" ca="1" si="22"/>
        <v>0.55416116248348746</v>
      </c>
      <c r="S172">
        <f t="shared" ca="1" si="22"/>
        <v>0.33289299867899602</v>
      </c>
      <c r="T172">
        <f t="shared" ca="1" si="22"/>
        <v>0.36363636363636359</v>
      </c>
      <c r="V172" s="4">
        <f t="shared" si="21"/>
        <v>41885</v>
      </c>
      <c r="W172" s="5">
        <f t="shared" ca="1" si="19"/>
        <v>0.55416116248348746</v>
      </c>
      <c r="Z172" s="4" t="str">
        <f ca="1">IF(OFFSET('Calc Canada'!$A$1,0,0,300)="","",OFFSET('Calc Canada'!$A$1,0,0,300))</f>
        <v/>
      </c>
      <c r="AA172" s="5" t="e">
        <f ca="1">IF(OFFSET('Calc Canada'!$A$1,0,MATCH(W$1,'Calc Canada'!$1:$1,0)-1,300)="","",OFFSET('Calc Canada'!$A$1,0,MATCH(W$1,'Calc Canada'!$1:$1,0)-1,300))</f>
        <v>#N/A</v>
      </c>
      <c r="AB172" s="5" t="e">
        <f ca="1">IF(OFFSET('Calc Canada'!$A$1,0,MATCH(X$1,'Calc Canada'!$1:$1,0)-1,300)="","",OFFSET('Calc Canada'!$A$1,0,MATCH(X$1,'Calc Canada'!$1:$1,0)-1,300))</f>
        <v>#N/A</v>
      </c>
      <c r="AC172" t="e">
        <f t="shared" ca="1" si="17"/>
        <v>#N/A</v>
      </c>
      <c r="AD172" t="e">
        <f t="shared" ca="1" si="18"/>
        <v>#N/A</v>
      </c>
    </row>
    <row r="173" spans="1:30" x14ac:dyDescent="0.25">
      <c r="A173" s="4">
        <v>41884</v>
      </c>
      <c r="B173">
        <v>1.123</v>
      </c>
      <c r="C173" s="5">
        <v>1.244</v>
      </c>
      <c r="D173">
        <v>1.585</v>
      </c>
      <c r="E173">
        <v>1.7189999999999999</v>
      </c>
      <c r="F173">
        <v>2.09</v>
      </c>
      <c r="G173">
        <v>2.6390000000000002</v>
      </c>
      <c r="H173">
        <f t="shared" ref="H173:T188" ca="1" si="23">IF(ISERROR(ABS(OFFSET($A$11,ROW()-11,MATCH(LEFT(H$9,2),$A$11:$G$11,0)-1)-OFFSET($A$11,ROW()-11,MATCH(RIGHT(H$9,2),$A$11:$G$11,0)-1))/ABS(OFFSET($A$11,ROW()-11,MATCH(LEFT(H$10,2),$A$11:$G$11,0)-1)-OFFSET($A$11,ROW()-11,MATCH(RIGHT(H$10,2),$A$11:$G$11,0)-1))),"",ABS(OFFSET($A$11,ROW()-11,MATCH(LEFT(H$9,2),$A$11:$G$11,0)-1)-OFFSET($A$11,ROW()-11,MATCH(RIGHT(H$9,2),$A$11:$G$11,0)-1))/ABS(OFFSET($A$11,ROW()-11,MATCH(LEFT(H$10,2),$A$11:$G$11,0)-1)-OFFSET($A$11,ROW()-11,MATCH(RIGHT(H$10,2),$A$11:$G$11,0)-1)))</f>
        <v>0.5721476510067115</v>
      </c>
      <c r="I173">
        <f t="shared" ca="1" si="23"/>
        <v>0.35263702171664946</v>
      </c>
      <c r="J173">
        <f t="shared" ca="1" si="23"/>
        <v>0.22493403693931394</v>
      </c>
      <c r="K173">
        <f t="shared" ca="1" si="23"/>
        <v>0.13857290589451904</v>
      </c>
      <c r="L173">
        <f t="shared" ca="1" si="23"/>
        <v>8.8390501319261128E-2</v>
      </c>
      <c r="M173">
        <f t="shared" ca="1" si="23"/>
        <v>0.15839243498817956</v>
      </c>
      <c r="N173">
        <f t="shared" ca="1" si="23"/>
        <v>9.6057347670250801E-2</v>
      </c>
      <c r="O173">
        <f t="shared" ca="1" si="23"/>
        <v>0.24472295514511869</v>
      </c>
      <c r="P173">
        <f t="shared" ca="1" si="23"/>
        <v>0.26594982078853041</v>
      </c>
      <c r="Q173">
        <f t="shared" ca="1" si="23"/>
        <v>0.35199240986717256</v>
      </c>
      <c r="R173">
        <f t="shared" ca="1" si="23"/>
        <v>0.55804749340369375</v>
      </c>
      <c r="S173">
        <f t="shared" ca="1" si="23"/>
        <v>0.33311345646437984</v>
      </c>
      <c r="T173">
        <f t="shared" ca="1" si="23"/>
        <v>0.36200716845878123</v>
      </c>
      <c r="V173" s="4">
        <f t="shared" si="21"/>
        <v>41884</v>
      </c>
      <c r="W173" s="5">
        <f t="shared" ca="1" si="19"/>
        <v>0.55804749340369375</v>
      </c>
      <c r="Z173" s="4" t="str">
        <f ca="1">IF(OFFSET('Calc Canada'!$A$1,0,0,300)="","",OFFSET('Calc Canada'!$A$1,0,0,300))</f>
        <v/>
      </c>
      <c r="AA173" s="5" t="e">
        <f ca="1">IF(OFFSET('Calc Canada'!$A$1,0,MATCH(W$1,'Calc Canada'!$1:$1,0)-1,300)="","",OFFSET('Calc Canada'!$A$1,0,MATCH(W$1,'Calc Canada'!$1:$1,0)-1,300))</f>
        <v>#N/A</v>
      </c>
      <c r="AB173" s="5" t="e">
        <f ca="1">IF(OFFSET('Calc Canada'!$A$1,0,MATCH(X$1,'Calc Canada'!$1:$1,0)-1,300)="","",OFFSET('Calc Canada'!$A$1,0,MATCH(X$1,'Calc Canada'!$1:$1,0)-1,300))</f>
        <v>#N/A</v>
      </c>
      <c r="AC173" t="e">
        <f t="shared" ca="1" si="17"/>
        <v>#N/A</v>
      </c>
      <c r="AD173" t="e">
        <f t="shared" ca="1" si="18"/>
        <v>#N/A</v>
      </c>
    </row>
    <row r="174" spans="1:30" x14ac:dyDescent="0.25">
      <c r="A174" s="4">
        <v>41883</v>
      </c>
      <c r="B174">
        <v>1.1020000000000001</v>
      </c>
      <c r="C174" s="5">
        <v>1.216</v>
      </c>
      <c r="D174">
        <v>1.5129999999999999</v>
      </c>
      <c r="E174">
        <v>1.6379999999999999</v>
      </c>
      <c r="F174">
        <v>1.9929999999999999</v>
      </c>
      <c r="G174">
        <v>2.5540000000000003</v>
      </c>
      <c r="H174">
        <f t="shared" ca="1" si="23"/>
        <v>0.55410447761194037</v>
      </c>
      <c r="I174">
        <f t="shared" ca="1" si="23"/>
        <v>0.33333333333333331</v>
      </c>
      <c r="J174">
        <f t="shared" ca="1" si="23"/>
        <v>0.20454545454545447</v>
      </c>
      <c r="K174">
        <f t="shared" ca="1" si="23"/>
        <v>0.14029180695847365</v>
      </c>
      <c r="L174">
        <f t="shared" ca="1" si="23"/>
        <v>8.6088154269972447E-2</v>
      </c>
      <c r="M174">
        <f t="shared" ca="1" si="23"/>
        <v>0.16087516087516091</v>
      </c>
      <c r="N174">
        <f t="shared" ca="1" si="23"/>
        <v>9.3423019431988025E-2</v>
      </c>
      <c r="O174">
        <f t="shared" ca="1" si="23"/>
        <v>0.24449035812672171</v>
      </c>
      <c r="P174">
        <f t="shared" ca="1" si="23"/>
        <v>0.26532137518684595</v>
      </c>
      <c r="Q174">
        <f t="shared" ca="1" si="23"/>
        <v>0.34101825168107575</v>
      </c>
      <c r="R174">
        <f t="shared" ca="1" si="23"/>
        <v>0.53512396694214859</v>
      </c>
      <c r="S174">
        <f t="shared" ca="1" si="23"/>
        <v>0.33057851239669417</v>
      </c>
      <c r="T174">
        <f t="shared" ca="1" si="23"/>
        <v>0.35874439461883401</v>
      </c>
      <c r="V174" s="4">
        <f t="shared" si="21"/>
        <v>41883</v>
      </c>
      <c r="W174" s="5">
        <f t="shared" ca="1" si="19"/>
        <v>0.53512396694214859</v>
      </c>
      <c r="Z174" s="4" t="str">
        <f ca="1">IF(OFFSET('Calc Canada'!$A$1,0,0,300)="","",OFFSET('Calc Canada'!$A$1,0,0,300))</f>
        <v/>
      </c>
      <c r="AA174" s="5" t="e">
        <f ca="1">IF(OFFSET('Calc Canada'!$A$1,0,MATCH(W$1,'Calc Canada'!$1:$1,0)-1,300)="","",OFFSET('Calc Canada'!$A$1,0,MATCH(W$1,'Calc Canada'!$1:$1,0)-1,300))</f>
        <v>#N/A</v>
      </c>
      <c r="AB174" s="5" t="e">
        <f ca="1">IF(OFFSET('Calc Canada'!$A$1,0,MATCH(X$1,'Calc Canada'!$1:$1,0)-1,300)="","",OFFSET('Calc Canada'!$A$1,0,MATCH(X$1,'Calc Canada'!$1:$1,0)-1,300))</f>
        <v>#N/A</v>
      </c>
      <c r="AC174" t="e">
        <f t="shared" ca="1" si="17"/>
        <v>#N/A</v>
      </c>
      <c r="AD174" t="e">
        <f t="shared" ca="1" si="18"/>
        <v>#N/A</v>
      </c>
    </row>
    <row r="175" spans="1:30" x14ac:dyDescent="0.25">
      <c r="A175" s="4">
        <v>41880</v>
      </c>
      <c r="B175">
        <v>1.1020000000000001</v>
      </c>
      <c r="C175" s="5">
        <v>1.216</v>
      </c>
      <c r="D175">
        <v>1.5129999999999999</v>
      </c>
      <c r="E175">
        <v>1.6379999999999999</v>
      </c>
      <c r="F175">
        <v>1.9929999999999999</v>
      </c>
      <c r="G175">
        <v>2.5540000000000003</v>
      </c>
      <c r="H175">
        <f t="shared" ca="1" si="23"/>
        <v>0.55410447761194037</v>
      </c>
      <c r="I175">
        <f t="shared" ca="1" si="23"/>
        <v>0.33333333333333331</v>
      </c>
      <c r="J175">
        <f t="shared" ca="1" si="23"/>
        <v>0.20454545454545447</v>
      </c>
      <c r="K175">
        <f t="shared" ca="1" si="23"/>
        <v>0.14029180695847365</v>
      </c>
      <c r="L175">
        <f t="shared" ca="1" si="23"/>
        <v>8.6088154269972447E-2</v>
      </c>
      <c r="M175">
        <f t="shared" ca="1" si="23"/>
        <v>0.16087516087516091</v>
      </c>
      <c r="N175">
        <f t="shared" ca="1" si="23"/>
        <v>9.3423019431988025E-2</v>
      </c>
      <c r="O175">
        <f t="shared" ca="1" si="23"/>
        <v>0.24449035812672171</v>
      </c>
      <c r="P175">
        <f t="shared" ca="1" si="23"/>
        <v>0.26532137518684595</v>
      </c>
      <c r="Q175">
        <f t="shared" ca="1" si="23"/>
        <v>0.34101825168107575</v>
      </c>
      <c r="R175">
        <f t="shared" ca="1" si="23"/>
        <v>0.53512396694214859</v>
      </c>
      <c r="S175">
        <f t="shared" ca="1" si="23"/>
        <v>0.33057851239669417</v>
      </c>
      <c r="T175">
        <f t="shared" ca="1" si="23"/>
        <v>0.35874439461883401</v>
      </c>
      <c r="V175" s="4">
        <f t="shared" si="21"/>
        <v>41880</v>
      </c>
      <c r="W175" s="5">
        <f t="shared" ca="1" si="19"/>
        <v>0.53512396694214859</v>
      </c>
      <c r="Z175" s="4" t="str">
        <f ca="1">IF(OFFSET('Calc Canada'!$A$1,0,0,300)="","",OFFSET('Calc Canada'!$A$1,0,0,300))</f>
        <v/>
      </c>
      <c r="AA175" s="5" t="e">
        <f ca="1">IF(OFFSET('Calc Canada'!$A$1,0,MATCH(W$1,'Calc Canada'!$1:$1,0)-1,300)="","",OFFSET('Calc Canada'!$A$1,0,MATCH(W$1,'Calc Canada'!$1:$1,0)-1,300))</f>
        <v>#N/A</v>
      </c>
      <c r="AB175" s="5" t="e">
        <f ca="1">IF(OFFSET('Calc Canada'!$A$1,0,MATCH(X$1,'Calc Canada'!$1:$1,0)-1,300)="","",OFFSET('Calc Canada'!$A$1,0,MATCH(X$1,'Calc Canada'!$1:$1,0)-1,300))</f>
        <v>#N/A</v>
      </c>
      <c r="AC175" t="e">
        <f t="shared" ca="1" si="17"/>
        <v>#N/A</v>
      </c>
      <c r="AD175" t="e">
        <f t="shared" ca="1" si="18"/>
        <v>#N/A</v>
      </c>
    </row>
    <row r="176" spans="1:30" x14ac:dyDescent="0.25">
      <c r="A176" s="4">
        <v>41879</v>
      </c>
      <c r="B176">
        <v>1.0980000000000001</v>
      </c>
      <c r="C176" s="5">
        <v>1.2110000000000001</v>
      </c>
      <c r="D176">
        <v>1.512</v>
      </c>
      <c r="E176">
        <v>1.6339999999999999</v>
      </c>
      <c r="F176">
        <v>1.9950000000000001</v>
      </c>
      <c r="G176">
        <v>2.556</v>
      </c>
      <c r="H176">
        <f t="shared" ca="1" si="23"/>
        <v>0.56156716417910457</v>
      </c>
      <c r="I176">
        <f t="shared" ca="1" si="23"/>
        <v>0.33556298773690069</v>
      </c>
      <c r="J176">
        <f t="shared" ca="1" si="23"/>
        <v>0.20644718792866937</v>
      </c>
      <c r="K176">
        <f t="shared" ca="1" si="23"/>
        <v>0.13600891861761413</v>
      </c>
      <c r="L176">
        <f t="shared" ca="1" si="23"/>
        <v>8.3676268861453976E-2</v>
      </c>
      <c r="M176">
        <f t="shared" ca="1" si="23"/>
        <v>0.15561224489795902</v>
      </c>
      <c r="N176">
        <f t="shared" ca="1" si="23"/>
        <v>9.0706319702602151E-2</v>
      </c>
      <c r="O176">
        <f t="shared" ca="1" si="23"/>
        <v>0.24759945130315517</v>
      </c>
      <c r="P176">
        <f t="shared" ca="1" si="23"/>
        <v>0.26840148698884775</v>
      </c>
      <c r="Q176">
        <f t="shared" ca="1" si="23"/>
        <v>0.34578544061302702</v>
      </c>
      <c r="R176">
        <f t="shared" ca="1" si="23"/>
        <v>0.5377229080932785</v>
      </c>
      <c r="S176">
        <f t="shared" ca="1" si="23"/>
        <v>0.33127572016460916</v>
      </c>
      <c r="T176">
        <f t="shared" ca="1" si="23"/>
        <v>0.35910780669144987</v>
      </c>
      <c r="V176" s="4">
        <f t="shared" si="21"/>
        <v>41879</v>
      </c>
      <c r="W176" s="5">
        <f t="shared" ca="1" si="19"/>
        <v>0.5377229080932785</v>
      </c>
      <c r="Z176" s="4" t="str">
        <f ca="1">IF(OFFSET('Calc Canada'!$A$1,0,0,300)="","",OFFSET('Calc Canada'!$A$1,0,0,300))</f>
        <v/>
      </c>
      <c r="AA176" s="5" t="e">
        <f ca="1">IF(OFFSET('Calc Canada'!$A$1,0,MATCH(W$1,'Calc Canada'!$1:$1,0)-1,300)="","",OFFSET('Calc Canada'!$A$1,0,MATCH(W$1,'Calc Canada'!$1:$1,0)-1,300))</f>
        <v>#N/A</v>
      </c>
      <c r="AB176" s="5" t="e">
        <f ca="1">IF(OFFSET('Calc Canada'!$A$1,0,MATCH(X$1,'Calc Canada'!$1:$1,0)-1,300)="","",OFFSET('Calc Canada'!$A$1,0,MATCH(X$1,'Calc Canada'!$1:$1,0)-1,300))</f>
        <v>#N/A</v>
      </c>
      <c r="AC176" t="e">
        <f t="shared" ca="1" si="17"/>
        <v>#N/A</v>
      </c>
      <c r="AD176" t="e">
        <f t="shared" ca="1" si="18"/>
        <v>#N/A</v>
      </c>
    </row>
    <row r="177" spans="1:30" x14ac:dyDescent="0.25">
      <c r="A177" s="4">
        <v>41878</v>
      </c>
      <c r="B177">
        <v>1.099</v>
      </c>
      <c r="C177" s="5">
        <v>1.1240000000000001</v>
      </c>
      <c r="D177">
        <v>1.52</v>
      </c>
      <c r="E177">
        <v>1.645</v>
      </c>
      <c r="F177">
        <v>2.0059999999999998</v>
      </c>
      <c r="G177">
        <v>2.5670000000000002</v>
      </c>
      <c r="H177">
        <f t="shared" ca="1" si="23"/>
        <v>0.72527472527472503</v>
      </c>
      <c r="I177">
        <f t="shared" ca="1" si="23"/>
        <v>0.43660418963616315</v>
      </c>
      <c r="J177">
        <f t="shared" ca="1" si="23"/>
        <v>0.26975476839237045</v>
      </c>
      <c r="K177">
        <f t="shared" ca="1" si="23"/>
        <v>0.13781697905181922</v>
      </c>
      <c r="L177">
        <f t="shared" ca="1" si="23"/>
        <v>8.5149863760217978E-2</v>
      </c>
      <c r="M177">
        <f t="shared" ca="1" si="23"/>
        <v>0.14172335600907035</v>
      </c>
      <c r="N177">
        <f t="shared" ca="1" si="23"/>
        <v>8.6625086625086625E-2</v>
      </c>
      <c r="O177">
        <f t="shared" ca="1" si="23"/>
        <v>0.24591280653950934</v>
      </c>
      <c r="P177">
        <f t="shared" ca="1" si="23"/>
        <v>0.25017325017324998</v>
      </c>
      <c r="Q177">
        <f t="shared" ca="1" si="23"/>
        <v>0.344794651384909</v>
      </c>
      <c r="R177">
        <f t="shared" ca="1" si="23"/>
        <v>0.6008174386920978</v>
      </c>
      <c r="S177">
        <f t="shared" ca="1" si="23"/>
        <v>0.3310626702997273</v>
      </c>
      <c r="T177">
        <f t="shared" ca="1" si="23"/>
        <v>0.33679833679833659</v>
      </c>
      <c r="V177" s="4">
        <f t="shared" si="21"/>
        <v>41878</v>
      </c>
      <c r="W177" s="5">
        <f t="shared" ca="1" si="19"/>
        <v>0.6008174386920978</v>
      </c>
      <c r="Z177" s="4" t="str">
        <f ca="1">IF(OFFSET('Calc Canada'!$A$1,0,0,300)="","",OFFSET('Calc Canada'!$A$1,0,0,300))</f>
        <v/>
      </c>
      <c r="AA177" s="5" t="e">
        <f ca="1">IF(OFFSET('Calc Canada'!$A$1,0,MATCH(W$1,'Calc Canada'!$1:$1,0)-1,300)="","",OFFSET('Calc Canada'!$A$1,0,MATCH(W$1,'Calc Canada'!$1:$1,0)-1,300))</f>
        <v>#N/A</v>
      </c>
      <c r="AB177" s="5" t="e">
        <f ca="1">IF(OFFSET('Calc Canada'!$A$1,0,MATCH(X$1,'Calc Canada'!$1:$1,0)-1,300)="","",OFFSET('Calc Canada'!$A$1,0,MATCH(X$1,'Calc Canada'!$1:$1,0)-1,300))</f>
        <v>#N/A</v>
      </c>
      <c r="AC177" t="e">
        <f t="shared" ca="1" si="17"/>
        <v>#N/A</v>
      </c>
      <c r="AD177" t="e">
        <f t="shared" ca="1" si="18"/>
        <v>#N/A</v>
      </c>
    </row>
    <row r="178" spans="1:30" x14ac:dyDescent="0.25">
      <c r="A178" s="4">
        <v>41877</v>
      </c>
      <c r="B178">
        <v>1.103</v>
      </c>
      <c r="C178" s="5">
        <v>1.125</v>
      </c>
      <c r="D178">
        <v>1.5449999999999999</v>
      </c>
      <c r="E178">
        <v>1.675</v>
      </c>
      <c r="F178">
        <v>2.0419999999999998</v>
      </c>
      <c r="G178">
        <v>2.601</v>
      </c>
      <c r="H178">
        <f t="shared" ca="1" si="23"/>
        <v>0.73426573426573405</v>
      </c>
      <c r="I178">
        <f t="shared" ca="1" si="23"/>
        <v>0.4472843450479233</v>
      </c>
      <c r="J178">
        <f t="shared" ca="1" si="23"/>
        <v>0.28037383177570091</v>
      </c>
      <c r="K178">
        <f t="shared" ca="1" si="23"/>
        <v>0.13844515441959546</v>
      </c>
      <c r="L178">
        <f t="shared" ca="1" si="23"/>
        <v>8.6782376502002753E-2</v>
      </c>
      <c r="M178">
        <f t="shared" ca="1" si="23"/>
        <v>0.14176663031624878</v>
      </c>
      <c r="N178">
        <f t="shared" ca="1" si="23"/>
        <v>8.8075880758807665E-2</v>
      </c>
      <c r="O178">
        <f t="shared" ca="1" si="23"/>
        <v>0.24499332443257663</v>
      </c>
      <c r="P178">
        <f t="shared" ca="1" si="23"/>
        <v>0.24864498644986435</v>
      </c>
      <c r="Q178">
        <f t="shared" ca="1" si="23"/>
        <v>0.34753787878787856</v>
      </c>
      <c r="R178">
        <f t="shared" ca="1" si="23"/>
        <v>0.61214953271028028</v>
      </c>
      <c r="S178">
        <f t="shared" ca="1" si="23"/>
        <v>0.33177570093457937</v>
      </c>
      <c r="T178">
        <f t="shared" ca="1" si="23"/>
        <v>0.336720867208672</v>
      </c>
      <c r="V178" s="4">
        <f t="shared" si="21"/>
        <v>41877</v>
      </c>
      <c r="W178" s="5">
        <f t="shared" ca="1" si="19"/>
        <v>0.61214953271028028</v>
      </c>
      <c r="Z178" s="4" t="str">
        <f ca="1">IF(OFFSET('Calc Canada'!$A$1,0,0,300)="","",OFFSET('Calc Canada'!$A$1,0,0,300))</f>
        <v/>
      </c>
      <c r="AA178" s="5" t="e">
        <f ca="1">IF(OFFSET('Calc Canada'!$A$1,0,MATCH(W$1,'Calc Canada'!$1:$1,0)-1,300)="","",OFFSET('Calc Canada'!$A$1,0,MATCH(W$1,'Calc Canada'!$1:$1,0)-1,300))</f>
        <v>#N/A</v>
      </c>
      <c r="AB178" s="5" t="e">
        <f ca="1">IF(OFFSET('Calc Canada'!$A$1,0,MATCH(X$1,'Calc Canada'!$1:$1,0)-1,300)="","",OFFSET('Calc Canada'!$A$1,0,MATCH(X$1,'Calc Canada'!$1:$1,0)-1,300))</f>
        <v>#N/A</v>
      </c>
      <c r="AC178" t="e">
        <f t="shared" ca="1" si="17"/>
        <v>#N/A</v>
      </c>
      <c r="AD178" t="e">
        <f t="shared" ca="1" si="18"/>
        <v>#N/A</v>
      </c>
    </row>
    <row r="179" spans="1:30" x14ac:dyDescent="0.25">
      <c r="A179" s="4">
        <v>41876</v>
      </c>
      <c r="B179">
        <v>1.0880000000000001</v>
      </c>
      <c r="C179" s="5">
        <v>1.107</v>
      </c>
      <c r="D179">
        <v>1.5430000000000001</v>
      </c>
      <c r="E179">
        <v>1.6739999999999999</v>
      </c>
      <c r="F179">
        <v>2.0390000000000001</v>
      </c>
      <c r="G179">
        <v>2.5949999999999998</v>
      </c>
      <c r="H179">
        <f t="shared" ca="1" si="23"/>
        <v>0.74402730375426673</v>
      </c>
      <c r="I179">
        <f t="shared" ca="1" si="23"/>
        <v>0.45846477392218732</v>
      </c>
      <c r="J179">
        <f t="shared" ca="1" si="23"/>
        <v>0.2893165228931654</v>
      </c>
      <c r="K179">
        <f t="shared" ca="1" si="23"/>
        <v>0.13774973711882205</v>
      </c>
      <c r="L179">
        <f t="shared" ca="1" si="23"/>
        <v>8.692767086927658E-2</v>
      </c>
      <c r="M179">
        <f t="shared" ca="1" si="23"/>
        <v>0.14055793991416282</v>
      </c>
      <c r="N179">
        <f t="shared" ca="1" si="23"/>
        <v>8.8037634408602017E-2</v>
      </c>
      <c r="O179">
        <f t="shared" ca="1" si="23"/>
        <v>0.24220305242203072</v>
      </c>
      <c r="P179">
        <f t="shared" ca="1" si="23"/>
        <v>0.24529569892473135</v>
      </c>
      <c r="Q179">
        <f t="shared" ca="1" si="23"/>
        <v>0.3469581749049433</v>
      </c>
      <c r="R179">
        <f t="shared" ca="1" si="23"/>
        <v>0.61844724618447267</v>
      </c>
      <c r="S179">
        <f t="shared" ca="1" si="23"/>
        <v>0.32913072329130733</v>
      </c>
      <c r="T179">
        <f t="shared" ca="1" si="23"/>
        <v>0.33333333333333337</v>
      </c>
      <c r="V179" s="4">
        <f t="shared" si="21"/>
        <v>41876</v>
      </c>
      <c r="W179" s="5">
        <f t="shared" ca="1" si="19"/>
        <v>0.61844724618447267</v>
      </c>
      <c r="Z179" s="4" t="str">
        <f ca="1">IF(OFFSET('Calc Canada'!$A$1,0,0,300)="","",OFFSET('Calc Canada'!$A$1,0,0,300))</f>
        <v/>
      </c>
      <c r="AA179" s="5" t="e">
        <f ca="1">IF(OFFSET('Calc Canada'!$A$1,0,MATCH(W$1,'Calc Canada'!$1:$1,0)-1,300)="","",OFFSET('Calc Canada'!$A$1,0,MATCH(W$1,'Calc Canada'!$1:$1,0)-1,300))</f>
        <v>#N/A</v>
      </c>
      <c r="AB179" s="5" t="e">
        <f ca="1">IF(OFFSET('Calc Canada'!$A$1,0,MATCH(X$1,'Calc Canada'!$1:$1,0)-1,300)="","",OFFSET('Calc Canada'!$A$1,0,MATCH(X$1,'Calc Canada'!$1:$1,0)-1,300))</f>
        <v>#N/A</v>
      </c>
      <c r="AC179" t="e">
        <f t="shared" ca="1" si="17"/>
        <v>#N/A</v>
      </c>
      <c r="AD179" t="e">
        <f t="shared" ca="1" si="18"/>
        <v>#N/A</v>
      </c>
    </row>
    <row r="180" spans="1:30" x14ac:dyDescent="0.25">
      <c r="A180" s="4">
        <v>41873</v>
      </c>
      <c r="B180">
        <v>1.0920000000000001</v>
      </c>
      <c r="C180" s="5">
        <v>1.111</v>
      </c>
      <c r="D180">
        <v>1.55</v>
      </c>
      <c r="E180">
        <v>1.702</v>
      </c>
      <c r="F180">
        <v>2.0710000000000002</v>
      </c>
      <c r="G180">
        <v>2.6259999999999999</v>
      </c>
      <c r="H180">
        <f t="shared" ca="1" si="23"/>
        <v>0.71967213114754125</v>
      </c>
      <c r="I180">
        <f t="shared" ca="1" si="23"/>
        <v>0.44841675178753831</v>
      </c>
      <c r="J180">
        <f t="shared" ca="1" si="23"/>
        <v>0.28617992177314217</v>
      </c>
      <c r="K180">
        <f t="shared" ca="1" si="23"/>
        <v>0.15526046986721134</v>
      </c>
      <c r="L180">
        <f t="shared" ca="1" si="23"/>
        <v>9.9087353324641414E-2</v>
      </c>
      <c r="M180">
        <f t="shared" ca="1" si="23"/>
        <v>0.15833333333333321</v>
      </c>
      <c r="N180">
        <f t="shared" ca="1" si="23"/>
        <v>0.10033003300330028</v>
      </c>
      <c r="O180">
        <f t="shared" ca="1" si="23"/>
        <v>0.24054758800521531</v>
      </c>
      <c r="P180">
        <f t="shared" ca="1" si="23"/>
        <v>0.24356435643564373</v>
      </c>
      <c r="Q180">
        <f t="shared" ca="1" si="23"/>
        <v>0.34293680297397794</v>
      </c>
      <c r="R180">
        <f t="shared" ca="1" si="23"/>
        <v>0.62581486310299894</v>
      </c>
      <c r="S180">
        <f t="shared" ca="1" si="23"/>
        <v>0.33963494132985672</v>
      </c>
      <c r="T180">
        <f t="shared" ca="1" si="23"/>
        <v>0.34389438943894401</v>
      </c>
      <c r="V180" s="4">
        <f t="shared" si="21"/>
        <v>41873</v>
      </c>
      <c r="W180" s="5">
        <f t="shared" ca="1" si="19"/>
        <v>0.62581486310299894</v>
      </c>
      <c r="Z180" s="4" t="str">
        <f ca="1">IF(OFFSET('Calc Canada'!$A$1,0,0,300)="","",OFFSET('Calc Canada'!$A$1,0,0,300))</f>
        <v/>
      </c>
      <c r="AA180" s="5" t="e">
        <f ca="1">IF(OFFSET('Calc Canada'!$A$1,0,MATCH(W$1,'Calc Canada'!$1:$1,0)-1,300)="","",OFFSET('Calc Canada'!$A$1,0,MATCH(W$1,'Calc Canada'!$1:$1,0)-1,300))</f>
        <v>#N/A</v>
      </c>
      <c r="AB180" s="5" t="e">
        <f ca="1">IF(OFFSET('Calc Canada'!$A$1,0,MATCH(X$1,'Calc Canada'!$1:$1,0)-1,300)="","",OFFSET('Calc Canada'!$A$1,0,MATCH(X$1,'Calc Canada'!$1:$1,0)-1,300))</f>
        <v>#N/A</v>
      </c>
      <c r="AC180" t="e">
        <f t="shared" ca="1" si="17"/>
        <v>#N/A</v>
      </c>
      <c r="AD180" t="e">
        <f t="shared" ca="1" si="18"/>
        <v>#N/A</v>
      </c>
    </row>
    <row r="181" spans="1:30" x14ac:dyDescent="0.25">
      <c r="A181" s="4">
        <v>41872</v>
      </c>
      <c r="B181">
        <v>1.087</v>
      </c>
      <c r="C181" s="5">
        <v>1.109</v>
      </c>
      <c r="D181">
        <v>1.548</v>
      </c>
      <c r="E181">
        <v>1.7</v>
      </c>
      <c r="F181">
        <v>2.081</v>
      </c>
      <c r="G181">
        <v>2.6360000000000001</v>
      </c>
      <c r="H181">
        <f t="shared" ca="1" si="23"/>
        <v>0.71615008156606863</v>
      </c>
      <c r="I181">
        <f t="shared" ca="1" si="23"/>
        <v>0.44164989939637833</v>
      </c>
      <c r="J181">
        <f t="shared" ca="1" si="23"/>
        <v>0.28340865074241445</v>
      </c>
      <c r="K181">
        <f t="shared" ca="1" si="23"/>
        <v>0.15291750503018101</v>
      </c>
      <c r="L181">
        <f t="shared" ca="1" si="23"/>
        <v>9.8127824402840472E-2</v>
      </c>
      <c r="M181">
        <f t="shared" ca="1" si="23"/>
        <v>0.15637860082304519</v>
      </c>
      <c r="N181">
        <f t="shared" ca="1" si="23"/>
        <v>9.9541584806810676E-2</v>
      </c>
      <c r="O181">
        <f t="shared" ca="1" si="23"/>
        <v>0.2459651387992253</v>
      </c>
      <c r="P181">
        <f t="shared" ca="1" si="23"/>
        <v>0.24950884086444006</v>
      </c>
      <c r="Q181">
        <f t="shared" ca="1" si="23"/>
        <v>0.35018382352941174</v>
      </c>
      <c r="R181">
        <f t="shared" ca="1" si="23"/>
        <v>0.62750161394448023</v>
      </c>
      <c r="S181">
        <f t="shared" ca="1" si="23"/>
        <v>0.34409296320206578</v>
      </c>
      <c r="T181">
        <f t="shared" ca="1" si="23"/>
        <v>0.34905042567125072</v>
      </c>
      <c r="V181" s="4">
        <f t="shared" si="21"/>
        <v>41872</v>
      </c>
      <c r="W181" s="5">
        <f t="shared" ca="1" si="19"/>
        <v>0.62750161394448023</v>
      </c>
      <c r="Z181" s="4" t="str">
        <f ca="1">IF(OFFSET('Calc Canada'!$A$1,0,0,300)="","",OFFSET('Calc Canada'!$A$1,0,0,300))</f>
        <v/>
      </c>
      <c r="AA181" s="5" t="e">
        <f ca="1">IF(OFFSET('Calc Canada'!$A$1,0,MATCH(W$1,'Calc Canada'!$1:$1,0)-1,300)="","",OFFSET('Calc Canada'!$A$1,0,MATCH(W$1,'Calc Canada'!$1:$1,0)-1,300))</f>
        <v>#N/A</v>
      </c>
      <c r="AB181" s="5" t="e">
        <f ca="1">IF(OFFSET('Calc Canada'!$A$1,0,MATCH(X$1,'Calc Canada'!$1:$1,0)-1,300)="","",OFFSET('Calc Canada'!$A$1,0,MATCH(X$1,'Calc Canada'!$1:$1,0)-1,300))</f>
        <v>#N/A</v>
      </c>
      <c r="AC181" t="e">
        <f t="shared" ca="1" si="17"/>
        <v>#N/A</v>
      </c>
      <c r="AD181" t="e">
        <f t="shared" ca="1" si="18"/>
        <v>#N/A</v>
      </c>
    </row>
    <row r="182" spans="1:30" x14ac:dyDescent="0.25">
      <c r="A182" s="4">
        <v>41871</v>
      </c>
      <c r="B182">
        <v>1.091</v>
      </c>
      <c r="C182" s="5">
        <v>1.117</v>
      </c>
      <c r="D182">
        <v>1.556</v>
      </c>
      <c r="E182">
        <v>1.7170000000000001</v>
      </c>
      <c r="F182">
        <v>2.097</v>
      </c>
      <c r="G182">
        <v>2.6509999999999998</v>
      </c>
      <c r="H182">
        <f t="shared" ca="1" si="23"/>
        <v>0.70127795527156545</v>
      </c>
      <c r="I182">
        <f t="shared" ca="1" si="23"/>
        <v>0.43638170974155077</v>
      </c>
      <c r="J182">
        <f t="shared" ca="1" si="23"/>
        <v>0.28141025641025647</v>
      </c>
      <c r="K182">
        <f t="shared" ca="1" si="23"/>
        <v>0.16003976143141155</v>
      </c>
      <c r="L182">
        <f t="shared" ca="1" si="23"/>
        <v>0.10320512820512824</v>
      </c>
      <c r="M182">
        <f t="shared" ca="1" si="23"/>
        <v>0.16428571428571431</v>
      </c>
      <c r="N182">
        <f t="shared" ca="1" si="23"/>
        <v>0.1049543676662321</v>
      </c>
      <c r="O182">
        <f t="shared" ca="1" si="23"/>
        <v>0.24358974358974356</v>
      </c>
      <c r="P182">
        <f t="shared" ca="1" si="23"/>
        <v>0.24771838331160362</v>
      </c>
      <c r="Q182">
        <f t="shared" ca="1" si="23"/>
        <v>0.34703196347031962</v>
      </c>
      <c r="R182">
        <f t="shared" ca="1" si="23"/>
        <v>0.6282051282051283</v>
      </c>
      <c r="S182">
        <f t="shared" ca="1" si="23"/>
        <v>0.34679487179487178</v>
      </c>
      <c r="T182">
        <f t="shared" ca="1" si="23"/>
        <v>0.35267275097783574</v>
      </c>
      <c r="V182" s="4">
        <f t="shared" si="21"/>
        <v>41871</v>
      </c>
      <c r="W182" s="5">
        <f t="shared" ca="1" si="19"/>
        <v>0.6282051282051283</v>
      </c>
      <c r="Z182" s="4" t="str">
        <f ca="1">IF(OFFSET('Calc Canada'!$A$1,0,0,300)="","",OFFSET('Calc Canada'!$A$1,0,0,300))</f>
        <v/>
      </c>
      <c r="AA182" s="5" t="e">
        <f ca="1">IF(OFFSET('Calc Canada'!$A$1,0,MATCH(W$1,'Calc Canada'!$1:$1,0)-1,300)="","",OFFSET('Calc Canada'!$A$1,0,MATCH(W$1,'Calc Canada'!$1:$1,0)-1,300))</f>
        <v>#N/A</v>
      </c>
      <c r="AB182" s="5" t="e">
        <f ca="1">IF(OFFSET('Calc Canada'!$A$1,0,MATCH(X$1,'Calc Canada'!$1:$1,0)-1,300)="","",OFFSET('Calc Canada'!$A$1,0,MATCH(X$1,'Calc Canada'!$1:$1,0)-1,300))</f>
        <v>#N/A</v>
      </c>
      <c r="AC182" t="e">
        <f t="shared" ca="1" si="17"/>
        <v>#N/A</v>
      </c>
      <c r="AD182" t="e">
        <f t="shared" ca="1" si="18"/>
        <v>#N/A</v>
      </c>
    </row>
    <row r="183" spans="1:30" x14ac:dyDescent="0.25">
      <c r="A183" s="4">
        <v>41870</v>
      </c>
      <c r="B183">
        <v>1.0720000000000001</v>
      </c>
      <c r="C183" s="5">
        <v>1.093</v>
      </c>
      <c r="D183">
        <v>1.524</v>
      </c>
      <c r="E183">
        <v>1.6909999999999998</v>
      </c>
      <c r="F183">
        <v>2.0720000000000001</v>
      </c>
      <c r="G183">
        <v>2.6259999999999999</v>
      </c>
      <c r="H183">
        <f t="shared" ca="1" si="23"/>
        <v>0.69628432956381292</v>
      </c>
      <c r="I183">
        <f t="shared" ca="1" si="23"/>
        <v>0.43100000000000005</v>
      </c>
      <c r="J183">
        <f t="shared" ca="1" si="23"/>
        <v>0.27734877734877739</v>
      </c>
      <c r="K183">
        <f t="shared" ca="1" si="23"/>
        <v>0.16699999999999982</v>
      </c>
      <c r="L183">
        <f t="shared" ca="1" si="23"/>
        <v>0.10746460746460736</v>
      </c>
      <c r="M183">
        <f t="shared" ca="1" si="23"/>
        <v>0.17058222676200183</v>
      </c>
      <c r="N183">
        <f t="shared" ca="1" si="23"/>
        <v>0.10893672537508142</v>
      </c>
      <c r="O183">
        <f t="shared" ca="1" si="23"/>
        <v>0.24517374517374535</v>
      </c>
      <c r="P183">
        <f t="shared" ca="1" si="23"/>
        <v>0.24853228962818019</v>
      </c>
      <c r="Q183">
        <f t="shared" ca="1" si="23"/>
        <v>0.34573502722323074</v>
      </c>
      <c r="R183">
        <f t="shared" ca="1" si="23"/>
        <v>0.62998712998713013</v>
      </c>
      <c r="S183">
        <f t="shared" ca="1" si="23"/>
        <v>0.35263835263835269</v>
      </c>
      <c r="T183">
        <f t="shared" ca="1" si="23"/>
        <v>0.35746901500326161</v>
      </c>
      <c r="V183" s="4">
        <f t="shared" si="21"/>
        <v>41870</v>
      </c>
      <c r="W183" s="5">
        <f t="shared" ca="1" si="19"/>
        <v>0.62998712998713013</v>
      </c>
      <c r="Z183" s="4" t="str">
        <f ca="1">IF(OFFSET('Calc Canada'!$A$1,0,0,300)="","",OFFSET('Calc Canada'!$A$1,0,0,300))</f>
        <v/>
      </c>
      <c r="AA183" s="5" t="e">
        <f ca="1">IF(OFFSET('Calc Canada'!$A$1,0,MATCH(W$1,'Calc Canada'!$1:$1,0)-1,300)="","",OFFSET('Calc Canada'!$A$1,0,MATCH(W$1,'Calc Canada'!$1:$1,0)-1,300))</f>
        <v>#N/A</v>
      </c>
      <c r="AB183" s="5" t="e">
        <f ca="1">IF(OFFSET('Calc Canada'!$A$1,0,MATCH(X$1,'Calc Canada'!$1:$1,0)-1,300)="","",OFFSET('Calc Canada'!$A$1,0,MATCH(X$1,'Calc Canada'!$1:$1,0)-1,300))</f>
        <v>#N/A</v>
      </c>
      <c r="AC183" t="e">
        <f t="shared" ca="1" si="17"/>
        <v>#N/A</v>
      </c>
      <c r="AD183" t="e">
        <f t="shared" ca="1" si="18"/>
        <v>#N/A</v>
      </c>
    </row>
    <row r="184" spans="1:30" x14ac:dyDescent="0.25">
      <c r="A184" s="4">
        <v>41869</v>
      </c>
      <c r="B184">
        <v>1.071</v>
      </c>
      <c r="C184" s="5">
        <v>1.0940000000000001</v>
      </c>
      <c r="D184">
        <v>1.5150000000000001</v>
      </c>
      <c r="E184">
        <v>1.6830000000000001</v>
      </c>
      <c r="F184">
        <v>2.0619999999999998</v>
      </c>
      <c r="G184">
        <v>2.6189999999999998</v>
      </c>
      <c r="H184">
        <f t="shared" ca="1" si="23"/>
        <v>0.68790849673202614</v>
      </c>
      <c r="I184">
        <f t="shared" ca="1" si="23"/>
        <v>0.4248234106962665</v>
      </c>
      <c r="J184">
        <f t="shared" ca="1" si="23"/>
        <v>0.27196382428940574</v>
      </c>
      <c r="K184">
        <f t="shared" ca="1" si="23"/>
        <v>0.16952573158425827</v>
      </c>
      <c r="L184">
        <f t="shared" ca="1" si="23"/>
        <v>0.10852713178294571</v>
      </c>
      <c r="M184">
        <f t="shared" ca="1" si="23"/>
        <v>0.17355371900826444</v>
      </c>
      <c r="N184">
        <f t="shared" ca="1" si="23"/>
        <v>0.11016393442622949</v>
      </c>
      <c r="O184">
        <f t="shared" ca="1" si="23"/>
        <v>0.24483204134366915</v>
      </c>
      <c r="P184">
        <f t="shared" ca="1" si="23"/>
        <v>0.24852459016393433</v>
      </c>
      <c r="Q184">
        <f t="shared" ca="1" si="23"/>
        <v>0.34329710144927528</v>
      </c>
      <c r="R184">
        <f t="shared" ca="1" si="23"/>
        <v>0.6253229974160206</v>
      </c>
      <c r="S184">
        <f t="shared" ca="1" si="23"/>
        <v>0.35335917312661486</v>
      </c>
      <c r="T184">
        <f t="shared" ca="1" si="23"/>
        <v>0.35868852459016382</v>
      </c>
      <c r="V184" s="4">
        <f t="shared" si="21"/>
        <v>41869</v>
      </c>
      <c r="W184" s="5">
        <f t="shared" ca="1" si="19"/>
        <v>0.6253229974160206</v>
      </c>
      <c r="Z184" s="4" t="str">
        <f ca="1">IF(OFFSET('Calc Canada'!$A$1,0,0,300)="","",OFFSET('Calc Canada'!$A$1,0,0,300))</f>
        <v/>
      </c>
      <c r="AA184" s="5" t="e">
        <f ca="1">IF(OFFSET('Calc Canada'!$A$1,0,MATCH(W$1,'Calc Canada'!$1:$1,0)-1,300)="","",OFFSET('Calc Canada'!$A$1,0,MATCH(W$1,'Calc Canada'!$1:$1,0)-1,300))</f>
        <v>#N/A</v>
      </c>
      <c r="AB184" s="5" t="e">
        <f ca="1">IF(OFFSET('Calc Canada'!$A$1,0,MATCH(X$1,'Calc Canada'!$1:$1,0)-1,300)="","",OFFSET('Calc Canada'!$A$1,0,MATCH(X$1,'Calc Canada'!$1:$1,0)-1,300))</f>
        <v>#N/A</v>
      </c>
      <c r="AC184" t="e">
        <f t="shared" ca="1" si="17"/>
        <v>#N/A</v>
      </c>
      <c r="AD184" t="e">
        <f t="shared" ca="1" si="18"/>
        <v>#N/A</v>
      </c>
    </row>
    <row r="185" spans="1:30" x14ac:dyDescent="0.25">
      <c r="A185" s="4">
        <v>41866</v>
      </c>
      <c r="B185">
        <v>1.0509999999999999</v>
      </c>
      <c r="C185" s="5">
        <v>1.0740000000000001</v>
      </c>
      <c r="D185">
        <v>1.4750000000000001</v>
      </c>
      <c r="E185">
        <v>1.6379999999999999</v>
      </c>
      <c r="F185">
        <v>2.0150000000000001</v>
      </c>
      <c r="G185">
        <v>2.58</v>
      </c>
      <c r="H185">
        <f t="shared" ca="1" si="23"/>
        <v>0.68313458262350946</v>
      </c>
      <c r="I185">
        <f t="shared" ca="1" si="23"/>
        <v>0.4159751037344398</v>
      </c>
      <c r="J185">
        <f t="shared" ca="1" si="23"/>
        <v>0.26226291693917592</v>
      </c>
      <c r="K185">
        <f t="shared" ca="1" si="23"/>
        <v>0.16908713692946034</v>
      </c>
      <c r="L185">
        <f t="shared" ca="1" si="23"/>
        <v>0.10660562459123597</v>
      </c>
      <c r="M185">
        <f t="shared" ca="1" si="23"/>
        <v>0.17321997874601466</v>
      </c>
      <c r="N185">
        <f t="shared" ca="1" si="23"/>
        <v>0.10823373173970771</v>
      </c>
      <c r="O185">
        <f t="shared" ca="1" si="23"/>
        <v>0.24656638325703087</v>
      </c>
      <c r="P185">
        <f t="shared" ca="1" si="23"/>
        <v>0.25033200531208516</v>
      </c>
      <c r="Q185">
        <f t="shared" ca="1" si="23"/>
        <v>0.34117647058823553</v>
      </c>
      <c r="R185">
        <f t="shared" ca="1" si="23"/>
        <v>0.61543492478744277</v>
      </c>
      <c r="S185">
        <f t="shared" ca="1" si="23"/>
        <v>0.35317200784826686</v>
      </c>
      <c r="T185">
        <f t="shared" ca="1" si="23"/>
        <v>0.35856573705179284</v>
      </c>
      <c r="V185" s="4">
        <f t="shared" si="21"/>
        <v>41866</v>
      </c>
      <c r="W185" s="5">
        <f t="shared" ca="1" si="19"/>
        <v>0.61543492478744277</v>
      </c>
      <c r="Z185" s="4" t="str">
        <f ca="1">IF(OFFSET('Calc Canada'!$A$1,0,0,300)="","",OFFSET('Calc Canada'!$A$1,0,0,300))</f>
        <v/>
      </c>
      <c r="AA185" s="5" t="e">
        <f ca="1">IF(OFFSET('Calc Canada'!$A$1,0,MATCH(W$1,'Calc Canada'!$1:$1,0)-1,300)="","",OFFSET('Calc Canada'!$A$1,0,MATCH(W$1,'Calc Canada'!$1:$1,0)-1,300))</f>
        <v>#N/A</v>
      </c>
      <c r="AB185" s="5" t="e">
        <f ca="1">IF(OFFSET('Calc Canada'!$A$1,0,MATCH(X$1,'Calc Canada'!$1:$1,0)-1,300)="","",OFFSET('Calc Canada'!$A$1,0,MATCH(X$1,'Calc Canada'!$1:$1,0)-1,300))</f>
        <v>#N/A</v>
      </c>
      <c r="AC185" t="e">
        <f t="shared" ca="1" si="17"/>
        <v>#N/A</v>
      </c>
      <c r="AD185" t="e">
        <f t="shared" ca="1" si="18"/>
        <v>#N/A</v>
      </c>
    </row>
    <row r="186" spans="1:30" x14ac:dyDescent="0.25">
      <c r="A186" s="4">
        <v>41865</v>
      </c>
      <c r="B186">
        <v>1.0649999999999999</v>
      </c>
      <c r="C186" s="5">
        <v>1.0860000000000001</v>
      </c>
      <c r="D186">
        <v>1.5049999999999999</v>
      </c>
      <c r="E186">
        <v>1.6760000000000002</v>
      </c>
      <c r="F186">
        <v>2.0569999999999999</v>
      </c>
      <c r="G186">
        <v>2.62</v>
      </c>
      <c r="H186">
        <f t="shared" ca="1" si="23"/>
        <v>0.68576104746317457</v>
      </c>
      <c r="I186">
        <f t="shared" ca="1" si="23"/>
        <v>0.42237903225806434</v>
      </c>
      <c r="J186">
        <f t="shared" ca="1" si="23"/>
        <v>0.26945337620578763</v>
      </c>
      <c r="K186">
        <f t="shared" ca="1" si="23"/>
        <v>0.17237903225806478</v>
      </c>
      <c r="L186">
        <f t="shared" ca="1" si="23"/>
        <v>0.10996784565916415</v>
      </c>
      <c r="M186">
        <f t="shared" ca="1" si="23"/>
        <v>0.17610710607621038</v>
      </c>
      <c r="N186">
        <f t="shared" ca="1" si="23"/>
        <v>0.11147327249022181</v>
      </c>
      <c r="O186">
        <f t="shared" ca="1" si="23"/>
        <v>0.24501607717041785</v>
      </c>
      <c r="P186">
        <f t="shared" ca="1" si="23"/>
        <v>0.24837027379400245</v>
      </c>
      <c r="Q186">
        <f t="shared" ca="1" si="23"/>
        <v>0.3417040358744392</v>
      </c>
      <c r="R186">
        <f t="shared" ca="1" si="23"/>
        <v>0.6244372990353696</v>
      </c>
      <c r="S186">
        <f t="shared" ca="1" si="23"/>
        <v>0.35498392282958197</v>
      </c>
      <c r="T186">
        <f t="shared" ca="1" si="23"/>
        <v>0.35984354628422427</v>
      </c>
      <c r="V186" s="4">
        <f t="shared" si="21"/>
        <v>41865</v>
      </c>
      <c r="W186" s="5">
        <f t="shared" ca="1" si="19"/>
        <v>0.6244372990353696</v>
      </c>
      <c r="Z186" s="4" t="str">
        <f ca="1">IF(OFFSET('Calc Canada'!$A$1,0,0,300)="","",OFFSET('Calc Canada'!$A$1,0,0,300))</f>
        <v/>
      </c>
      <c r="AA186" s="5" t="e">
        <f ca="1">IF(OFFSET('Calc Canada'!$A$1,0,MATCH(W$1,'Calc Canada'!$1:$1,0)-1,300)="","",OFFSET('Calc Canada'!$A$1,0,MATCH(W$1,'Calc Canada'!$1:$1,0)-1,300))</f>
        <v>#N/A</v>
      </c>
      <c r="AB186" s="5" t="e">
        <f ca="1">IF(OFFSET('Calc Canada'!$A$1,0,MATCH(X$1,'Calc Canada'!$1:$1,0)-1,300)="","",OFFSET('Calc Canada'!$A$1,0,MATCH(X$1,'Calc Canada'!$1:$1,0)-1,300))</f>
        <v>#N/A</v>
      </c>
      <c r="AC186" t="e">
        <f t="shared" ca="1" si="17"/>
        <v>#N/A</v>
      </c>
      <c r="AD186" t="e">
        <f t="shared" ca="1" si="18"/>
        <v>#N/A</v>
      </c>
    </row>
    <row r="187" spans="1:30" x14ac:dyDescent="0.25">
      <c r="A187" s="4">
        <v>41864</v>
      </c>
      <c r="B187">
        <v>1.0680000000000001</v>
      </c>
      <c r="C187" s="5">
        <v>1.093</v>
      </c>
      <c r="D187">
        <v>1.5230000000000001</v>
      </c>
      <c r="E187">
        <v>1.6919999999999999</v>
      </c>
      <c r="F187">
        <v>2.0720000000000001</v>
      </c>
      <c r="G187">
        <v>2.64</v>
      </c>
      <c r="H187">
        <f t="shared" ca="1" si="23"/>
        <v>0.68910256410256443</v>
      </c>
      <c r="I187">
        <f t="shared" ca="1" si="23"/>
        <v>0.42828685258964161</v>
      </c>
      <c r="J187">
        <f t="shared" ca="1" si="23"/>
        <v>0.27353689567430034</v>
      </c>
      <c r="K187">
        <f t="shared" ca="1" si="23"/>
        <v>0.16832669322709146</v>
      </c>
      <c r="L187">
        <f t="shared" ca="1" si="23"/>
        <v>0.10750636132315509</v>
      </c>
      <c r="M187">
        <f t="shared" ca="1" si="23"/>
        <v>0.17262512768130725</v>
      </c>
      <c r="N187">
        <f t="shared" ca="1" si="23"/>
        <v>0.10924369747899147</v>
      </c>
      <c r="O187">
        <f t="shared" ca="1" si="23"/>
        <v>0.24173027989821888</v>
      </c>
      <c r="P187">
        <f t="shared" ca="1" si="23"/>
        <v>0.24563671622495156</v>
      </c>
      <c r="Q187">
        <f t="shared" ca="1" si="23"/>
        <v>0.34019695613249784</v>
      </c>
      <c r="R187">
        <f t="shared" ca="1" si="23"/>
        <v>0.62277353689567438</v>
      </c>
      <c r="S187">
        <f t="shared" ca="1" si="23"/>
        <v>0.34923664122137399</v>
      </c>
      <c r="T187">
        <f t="shared" ca="1" si="23"/>
        <v>0.35488041370394302</v>
      </c>
      <c r="V187" s="4">
        <f t="shared" si="21"/>
        <v>41864</v>
      </c>
      <c r="W187" s="5">
        <f t="shared" ca="1" si="19"/>
        <v>0.62277353689567438</v>
      </c>
      <c r="Z187" s="4" t="str">
        <f ca="1">IF(OFFSET('Calc Canada'!$A$1,0,0,300)="","",OFFSET('Calc Canada'!$A$1,0,0,300))</f>
        <v/>
      </c>
      <c r="AA187" s="5" t="e">
        <f ca="1">IF(OFFSET('Calc Canada'!$A$1,0,MATCH(W$1,'Calc Canada'!$1:$1,0)-1,300)="","",OFFSET('Calc Canada'!$A$1,0,MATCH(W$1,'Calc Canada'!$1:$1,0)-1,300))</f>
        <v>#N/A</v>
      </c>
      <c r="AB187" s="5" t="e">
        <f ca="1">IF(OFFSET('Calc Canada'!$A$1,0,MATCH(X$1,'Calc Canada'!$1:$1,0)-1,300)="","",OFFSET('Calc Canada'!$A$1,0,MATCH(X$1,'Calc Canada'!$1:$1,0)-1,300))</f>
        <v>#N/A</v>
      </c>
      <c r="AC187" t="e">
        <f t="shared" ca="1" si="17"/>
        <v>#N/A</v>
      </c>
      <c r="AD187" t="e">
        <f t="shared" ca="1" si="18"/>
        <v>#N/A</v>
      </c>
    </row>
    <row r="188" spans="1:30" x14ac:dyDescent="0.25">
      <c r="A188" s="4">
        <v>41863</v>
      </c>
      <c r="B188">
        <v>1.085</v>
      </c>
      <c r="C188" s="5">
        <v>1.1080000000000001</v>
      </c>
      <c r="D188">
        <v>1.56</v>
      </c>
      <c r="E188">
        <v>1.73</v>
      </c>
      <c r="F188">
        <v>2.1120000000000001</v>
      </c>
      <c r="G188">
        <v>2.6680000000000001</v>
      </c>
      <c r="H188">
        <f t="shared" ca="1" si="23"/>
        <v>0.70077519379844955</v>
      </c>
      <c r="I188">
        <f t="shared" ca="1" si="23"/>
        <v>0.44011684518013622</v>
      </c>
      <c r="J188">
        <f t="shared" ca="1" si="23"/>
        <v>0.28553379658875544</v>
      </c>
      <c r="K188">
        <f t="shared" ca="1" si="23"/>
        <v>0.16553067185978571</v>
      </c>
      <c r="L188">
        <f t="shared" ca="1" si="23"/>
        <v>0.10739102969046109</v>
      </c>
      <c r="M188">
        <f t="shared" ca="1" si="23"/>
        <v>0.16932270916334655</v>
      </c>
      <c r="N188">
        <f t="shared" ca="1" si="23"/>
        <v>0.10897435897435892</v>
      </c>
      <c r="O188">
        <f t="shared" ca="1" si="23"/>
        <v>0.24131396083385981</v>
      </c>
      <c r="P188">
        <f t="shared" ca="1" si="23"/>
        <v>0.24487179487179495</v>
      </c>
      <c r="Q188">
        <f t="shared" ca="1" si="23"/>
        <v>0.34476534296028888</v>
      </c>
      <c r="R188">
        <f t="shared" ca="1" si="23"/>
        <v>0.63423878711307635</v>
      </c>
      <c r="S188">
        <f t="shared" ca="1" si="23"/>
        <v>0.34870499052432091</v>
      </c>
      <c r="T188">
        <f t="shared" ca="1" si="23"/>
        <v>0.35384615384615387</v>
      </c>
      <c r="V188" s="4">
        <f t="shared" si="21"/>
        <v>41863</v>
      </c>
      <c r="W188" s="5">
        <f t="shared" ca="1" si="19"/>
        <v>0.63423878711307635</v>
      </c>
      <c r="Z188" s="4" t="str">
        <f ca="1">IF(OFFSET('Calc Canada'!$A$1,0,0,300)="","",OFFSET('Calc Canada'!$A$1,0,0,300))</f>
        <v/>
      </c>
      <c r="AA188" s="5" t="e">
        <f ca="1">IF(OFFSET('Calc Canada'!$A$1,0,MATCH(W$1,'Calc Canada'!$1:$1,0)-1,300)="","",OFFSET('Calc Canada'!$A$1,0,MATCH(W$1,'Calc Canada'!$1:$1,0)-1,300))</f>
        <v>#N/A</v>
      </c>
      <c r="AB188" s="5" t="e">
        <f ca="1">IF(OFFSET('Calc Canada'!$A$1,0,MATCH(X$1,'Calc Canada'!$1:$1,0)-1,300)="","",OFFSET('Calc Canada'!$A$1,0,MATCH(X$1,'Calc Canada'!$1:$1,0)-1,300))</f>
        <v>#N/A</v>
      </c>
      <c r="AC188" t="e">
        <f t="shared" ca="1" si="17"/>
        <v>#N/A</v>
      </c>
      <c r="AD188" t="e">
        <f t="shared" ca="1" si="18"/>
        <v>#N/A</v>
      </c>
    </row>
    <row r="189" spans="1:30" x14ac:dyDescent="0.25">
      <c r="A189" s="4">
        <v>41862</v>
      </c>
      <c r="B189">
        <v>1.0620000000000001</v>
      </c>
      <c r="C189" s="5">
        <v>1.087</v>
      </c>
      <c r="D189">
        <v>1.5190000000000001</v>
      </c>
      <c r="E189">
        <v>1.6879999999999999</v>
      </c>
      <c r="F189">
        <v>2.073</v>
      </c>
      <c r="G189">
        <v>2.6360000000000001</v>
      </c>
      <c r="H189">
        <f t="shared" ref="H189:T204" ca="1" si="24">IF(ISERROR(ABS(OFFSET($A$11,ROW()-11,MATCH(LEFT(H$9,2),$A$11:$G$11,0)-1)-OFFSET($A$11,ROW()-11,MATCH(RIGHT(H$9,2),$A$11:$G$11,0)-1))/ABS(OFFSET($A$11,ROW()-11,MATCH(LEFT(H$10,2),$A$11:$G$11,0)-1)-OFFSET($A$11,ROW()-11,MATCH(RIGHT(H$10,2),$A$11:$G$11,0)-1))),"",ABS(OFFSET($A$11,ROW()-11,MATCH(LEFT(H$9,2),$A$11:$G$11,0)-1)-OFFSET($A$11,ROW()-11,MATCH(RIGHT(H$9,2),$A$11:$G$11,0)-1))/ABS(OFFSET($A$11,ROW()-11,MATCH(LEFT(H$10,2),$A$11:$G$11,0)-1)-OFFSET($A$11,ROW()-11,MATCH(RIGHT(H$10,2),$A$11:$G$11,0)-1)))</f>
        <v>0.69009584664536783</v>
      </c>
      <c r="I189">
        <f t="shared" ca="1" si="24"/>
        <v>0.42729970326409517</v>
      </c>
      <c r="J189">
        <f t="shared" ca="1" si="24"/>
        <v>0.27445997458703947</v>
      </c>
      <c r="K189">
        <f t="shared" ca="1" si="24"/>
        <v>0.16716122650840734</v>
      </c>
      <c r="L189">
        <f t="shared" ca="1" si="24"/>
        <v>0.10736975857687409</v>
      </c>
      <c r="M189">
        <f t="shared" ca="1" si="24"/>
        <v>0.17139959432048663</v>
      </c>
      <c r="N189">
        <f t="shared" ca="1" si="24"/>
        <v>0.10910264686894758</v>
      </c>
      <c r="O189">
        <f t="shared" ca="1" si="24"/>
        <v>0.2445997458703939</v>
      </c>
      <c r="P189">
        <f t="shared" ca="1" si="24"/>
        <v>0.2485474499677211</v>
      </c>
      <c r="Q189">
        <f t="shared" ca="1" si="24"/>
        <v>0.34467323187108329</v>
      </c>
      <c r="R189">
        <f t="shared" ca="1" si="24"/>
        <v>0.62642947903430746</v>
      </c>
      <c r="S189">
        <f t="shared" ca="1" si="24"/>
        <v>0.35196950444726799</v>
      </c>
      <c r="T189">
        <f t="shared" ca="1" si="24"/>
        <v>0.35765009683666865</v>
      </c>
      <c r="V189" s="4">
        <f t="shared" si="21"/>
        <v>41862</v>
      </c>
      <c r="W189" s="5">
        <f t="shared" ca="1" si="19"/>
        <v>0.62642947903430746</v>
      </c>
      <c r="Z189" s="4" t="str">
        <f ca="1">IF(OFFSET('Calc Canada'!$A$1,0,0,300)="","",OFFSET('Calc Canada'!$A$1,0,0,300))</f>
        <v/>
      </c>
      <c r="AA189" s="5" t="e">
        <f ca="1">IF(OFFSET('Calc Canada'!$A$1,0,MATCH(W$1,'Calc Canada'!$1:$1,0)-1,300)="","",OFFSET('Calc Canada'!$A$1,0,MATCH(W$1,'Calc Canada'!$1:$1,0)-1,300))</f>
        <v>#N/A</v>
      </c>
      <c r="AB189" s="5" t="e">
        <f ca="1">IF(OFFSET('Calc Canada'!$A$1,0,MATCH(X$1,'Calc Canada'!$1:$1,0)-1,300)="","",OFFSET('Calc Canada'!$A$1,0,MATCH(X$1,'Calc Canada'!$1:$1,0)-1,300))</f>
        <v>#N/A</v>
      </c>
      <c r="AC189" t="e">
        <f t="shared" ca="1" si="17"/>
        <v>#N/A</v>
      </c>
      <c r="AD189" t="e">
        <f t="shared" ca="1" si="18"/>
        <v>#N/A</v>
      </c>
    </row>
    <row r="190" spans="1:30" x14ac:dyDescent="0.25">
      <c r="A190" s="4">
        <v>41859</v>
      </c>
      <c r="B190">
        <v>1.0569999999999999</v>
      </c>
      <c r="C190" s="5">
        <v>1.083</v>
      </c>
      <c r="D190">
        <v>1.5030000000000001</v>
      </c>
      <c r="E190">
        <v>1.6739999999999999</v>
      </c>
      <c r="F190">
        <v>2.0630000000000002</v>
      </c>
      <c r="G190">
        <v>2.625</v>
      </c>
      <c r="H190">
        <f t="shared" ca="1" si="24"/>
        <v>0.68071312803889816</v>
      </c>
      <c r="I190">
        <f t="shared" ca="1" si="24"/>
        <v>0.41749502982107362</v>
      </c>
      <c r="J190">
        <f t="shared" ca="1" si="24"/>
        <v>0.26785714285714296</v>
      </c>
      <c r="K190">
        <f t="shared" ca="1" si="24"/>
        <v>0.16998011928429402</v>
      </c>
      <c r="L190">
        <f t="shared" ca="1" si="24"/>
        <v>0.10905612244897947</v>
      </c>
      <c r="M190">
        <f t="shared" ca="1" si="24"/>
        <v>0.17448979591836714</v>
      </c>
      <c r="N190">
        <f t="shared" ca="1" si="24"/>
        <v>0.11089494163424113</v>
      </c>
      <c r="O190">
        <f t="shared" ca="1" si="24"/>
        <v>0.24808673469387768</v>
      </c>
      <c r="P190">
        <f t="shared" ca="1" si="24"/>
        <v>0.25226977950713375</v>
      </c>
      <c r="Q190">
        <f t="shared" ca="1" si="24"/>
        <v>0.34670231729055284</v>
      </c>
      <c r="R190">
        <f t="shared" ca="1" si="24"/>
        <v>0.62500000000000011</v>
      </c>
      <c r="S190">
        <f t="shared" ca="1" si="24"/>
        <v>0.35714285714285715</v>
      </c>
      <c r="T190">
        <f t="shared" ca="1" si="24"/>
        <v>0.36316472114137488</v>
      </c>
      <c r="V190" s="4">
        <f t="shared" si="21"/>
        <v>41859</v>
      </c>
      <c r="W190" s="5">
        <f t="shared" ca="1" si="19"/>
        <v>0.62500000000000011</v>
      </c>
      <c r="Z190" s="4" t="str">
        <f ca="1">IF(OFFSET('Calc Canada'!$A$1,0,0,300)="","",OFFSET('Calc Canada'!$A$1,0,0,300))</f>
        <v/>
      </c>
      <c r="AA190" s="5" t="e">
        <f ca="1">IF(OFFSET('Calc Canada'!$A$1,0,MATCH(W$1,'Calc Canada'!$1:$1,0)-1,300)="","",OFFSET('Calc Canada'!$A$1,0,MATCH(W$1,'Calc Canada'!$1:$1,0)-1,300))</f>
        <v>#N/A</v>
      </c>
      <c r="AB190" s="5" t="e">
        <f ca="1">IF(OFFSET('Calc Canada'!$A$1,0,MATCH(X$1,'Calc Canada'!$1:$1,0)-1,300)="","",OFFSET('Calc Canada'!$A$1,0,MATCH(X$1,'Calc Canada'!$1:$1,0)-1,300))</f>
        <v>#N/A</v>
      </c>
      <c r="AC190" t="e">
        <f t="shared" ca="1" si="17"/>
        <v>#N/A</v>
      </c>
      <c r="AD190" t="e">
        <f t="shared" ca="1" si="18"/>
        <v>#N/A</v>
      </c>
    </row>
    <row r="191" spans="1:30" x14ac:dyDescent="0.25">
      <c r="A191" s="4">
        <v>41858</v>
      </c>
      <c r="B191">
        <v>1.0669999999999999</v>
      </c>
      <c r="C191" s="5">
        <v>1.0900000000000001</v>
      </c>
      <c r="D191">
        <v>1.5150000000000001</v>
      </c>
      <c r="E191">
        <v>1.6859999999999999</v>
      </c>
      <c r="F191">
        <v>2.0699999999999998</v>
      </c>
      <c r="G191">
        <v>2.6179999999999999</v>
      </c>
      <c r="H191">
        <f t="shared" ca="1" si="24"/>
        <v>0.68659127625201943</v>
      </c>
      <c r="I191">
        <f t="shared" ca="1" si="24"/>
        <v>0.42372881355932213</v>
      </c>
      <c r="J191">
        <f t="shared" ca="1" si="24"/>
        <v>0.27401676337846553</v>
      </c>
      <c r="K191">
        <f t="shared" ca="1" si="24"/>
        <v>0.17048853439680942</v>
      </c>
      <c r="L191">
        <f t="shared" ca="1" si="24"/>
        <v>0.11025145067698248</v>
      </c>
      <c r="M191">
        <f t="shared" ca="1" si="24"/>
        <v>0.17448979591836719</v>
      </c>
      <c r="N191">
        <f t="shared" ca="1" si="24"/>
        <v>0.11191099476439779</v>
      </c>
      <c r="O191">
        <f t="shared" ca="1" si="24"/>
        <v>0.24758220502901349</v>
      </c>
      <c r="P191">
        <f t="shared" ca="1" si="24"/>
        <v>0.2513089005235602</v>
      </c>
      <c r="Q191">
        <f t="shared" ca="1" si="24"/>
        <v>0.34814143245693563</v>
      </c>
      <c r="R191">
        <f t="shared" ca="1" si="24"/>
        <v>0.63185041908446149</v>
      </c>
      <c r="S191">
        <f t="shared" ca="1" si="24"/>
        <v>0.35783365570599596</v>
      </c>
      <c r="T191">
        <f t="shared" ca="1" si="24"/>
        <v>0.36321989528795795</v>
      </c>
      <c r="V191" s="4">
        <f t="shared" si="21"/>
        <v>41858</v>
      </c>
      <c r="W191" s="5">
        <f t="shared" ca="1" si="19"/>
        <v>0.63185041908446149</v>
      </c>
      <c r="Z191" s="4" t="str">
        <f ca="1">IF(OFFSET('Calc Canada'!$A$1,0,0,300)="","",OFFSET('Calc Canada'!$A$1,0,0,300))</f>
        <v/>
      </c>
      <c r="AA191" s="5" t="e">
        <f ca="1">IF(OFFSET('Calc Canada'!$A$1,0,MATCH(W$1,'Calc Canada'!$1:$1,0)-1,300)="","",OFFSET('Calc Canada'!$A$1,0,MATCH(W$1,'Calc Canada'!$1:$1,0)-1,300))</f>
        <v>#N/A</v>
      </c>
      <c r="AB191" s="5" t="e">
        <f ca="1">IF(OFFSET('Calc Canada'!$A$1,0,MATCH(X$1,'Calc Canada'!$1:$1,0)-1,300)="","",OFFSET('Calc Canada'!$A$1,0,MATCH(X$1,'Calc Canada'!$1:$1,0)-1,300))</f>
        <v>#N/A</v>
      </c>
      <c r="AC191" t="e">
        <f t="shared" ca="1" si="17"/>
        <v>#N/A</v>
      </c>
      <c r="AD191" t="e">
        <f t="shared" ca="1" si="18"/>
        <v>#N/A</v>
      </c>
    </row>
    <row r="192" spans="1:30" x14ac:dyDescent="0.25">
      <c r="A192" s="4">
        <v>41857</v>
      </c>
      <c r="B192">
        <v>1.08</v>
      </c>
      <c r="C192" s="5">
        <v>1.1060000000000001</v>
      </c>
      <c r="D192">
        <v>1.4650000000000001</v>
      </c>
      <c r="E192">
        <v>1.722</v>
      </c>
      <c r="F192">
        <v>2.105</v>
      </c>
      <c r="G192">
        <v>2.6440000000000001</v>
      </c>
      <c r="H192">
        <f t="shared" ca="1" si="24"/>
        <v>0.55919003115264798</v>
      </c>
      <c r="I192">
        <f t="shared" ca="1" si="24"/>
        <v>0.35024390243902442</v>
      </c>
      <c r="J192">
        <f t="shared" ca="1" si="24"/>
        <v>0.229539641943734</v>
      </c>
      <c r="K192">
        <f t="shared" ca="1" si="24"/>
        <v>0.25073170731707312</v>
      </c>
      <c r="L192">
        <f t="shared" ca="1" si="24"/>
        <v>0.1643222506393861</v>
      </c>
      <c r="M192">
        <f t="shared" ca="1" si="24"/>
        <v>0.25725725725725718</v>
      </c>
      <c r="N192">
        <f t="shared" ca="1" si="24"/>
        <v>0.16710013003901164</v>
      </c>
      <c r="O192">
        <f t="shared" ca="1" si="24"/>
        <v>0.2448849104859335</v>
      </c>
      <c r="P192">
        <f t="shared" ca="1" si="24"/>
        <v>0.24902470741222366</v>
      </c>
      <c r="Q192">
        <f t="shared" ca="1" si="24"/>
        <v>0.3248515691263783</v>
      </c>
      <c r="R192">
        <f t="shared" ca="1" si="24"/>
        <v>0.63874680306905363</v>
      </c>
      <c r="S192">
        <f t="shared" ca="1" si="24"/>
        <v>0.40920716112531963</v>
      </c>
      <c r="T192">
        <f t="shared" ca="1" si="24"/>
        <v>0.4161248374512353</v>
      </c>
      <c r="V192" s="4">
        <f t="shared" si="21"/>
        <v>41857</v>
      </c>
      <c r="W192" s="5">
        <f t="shared" ca="1" si="19"/>
        <v>0.63874680306905363</v>
      </c>
      <c r="Z192" s="4" t="str">
        <f ca="1">IF(OFFSET('Calc Canada'!$A$1,0,0,300)="","",OFFSET('Calc Canada'!$A$1,0,0,300))</f>
        <v/>
      </c>
      <c r="AA192" s="5" t="e">
        <f ca="1">IF(OFFSET('Calc Canada'!$A$1,0,MATCH(W$1,'Calc Canada'!$1:$1,0)-1,300)="","",OFFSET('Calc Canada'!$A$1,0,MATCH(W$1,'Calc Canada'!$1:$1,0)-1,300))</f>
        <v>#N/A</v>
      </c>
      <c r="AB192" s="5" t="e">
        <f ca="1">IF(OFFSET('Calc Canada'!$A$1,0,MATCH(X$1,'Calc Canada'!$1:$1,0)-1,300)="","",OFFSET('Calc Canada'!$A$1,0,MATCH(X$1,'Calc Canada'!$1:$1,0)-1,300))</f>
        <v>#N/A</v>
      </c>
      <c r="AC192" t="e">
        <f t="shared" ca="1" si="17"/>
        <v>#N/A</v>
      </c>
      <c r="AD192" t="e">
        <f t="shared" ca="1" si="18"/>
        <v>#N/A</v>
      </c>
    </row>
    <row r="193" spans="1:30" x14ac:dyDescent="0.25">
      <c r="A193" s="4">
        <v>41856</v>
      </c>
      <c r="B193">
        <v>1.0760000000000001</v>
      </c>
      <c r="C193" s="5">
        <v>1.1040000000000001</v>
      </c>
      <c r="D193">
        <v>1.464</v>
      </c>
      <c r="E193">
        <v>1.72</v>
      </c>
      <c r="F193">
        <v>2.11</v>
      </c>
      <c r="G193">
        <v>2.65</v>
      </c>
      <c r="H193">
        <f t="shared" ca="1" si="24"/>
        <v>0.55900621118012406</v>
      </c>
      <c r="I193">
        <f t="shared" ca="1" si="24"/>
        <v>0.34816247582205023</v>
      </c>
      <c r="J193">
        <f t="shared" ca="1" si="24"/>
        <v>0.22871664548919943</v>
      </c>
      <c r="K193">
        <f t="shared" ca="1" si="24"/>
        <v>0.2475822050290136</v>
      </c>
      <c r="L193">
        <f t="shared" ca="1" si="24"/>
        <v>0.16264294790343076</v>
      </c>
      <c r="M193">
        <f t="shared" ca="1" si="24"/>
        <v>0.2544731610337973</v>
      </c>
      <c r="N193">
        <f t="shared" ca="1" si="24"/>
        <v>0.16558861578266496</v>
      </c>
      <c r="O193">
        <f t="shared" ca="1" si="24"/>
        <v>0.24777636594663274</v>
      </c>
      <c r="P193">
        <f t="shared" ca="1" si="24"/>
        <v>0.2522639068564036</v>
      </c>
      <c r="Q193">
        <f t="shared" ca="1" si="24"/>
        <v>0.32883642495784143</v>
      </c>
      <c r="R193">
        <f t="shared" ca="1" si="24"/>
        <v>0.63913595933926293</v>
      </c>
      <c r="S193">
        <f t="shared" ca="1" si="24"/>
        <v>0.41041931385006353</v>
      </c>
      <c r="T193">
        <f t="shared" ca="1" si="24"/>
        <v>0.41785252263906858</v>
      </c>
      <c r="V193" s="4">
        <f t="shared" si="21"/>
        <v>41856</v>
      </c>
      <c r="W193" s="5">
        <f t="shared" ca="1" si="19"/>
        <v>0.63913595933926293</v>
      </c>
      <c r="Z193" s="4" t="str">
        <f ca="1">IF(OFFSET('Calc Canada'!$A$1,0,0,300)="","",OFFSET('Calc Canada'!$A$1,0,0,300))</f>
        <v/>
      </c>
      <c r="AA193" s="5" t="e">
        <f ca="1">IF(OFFSET('Calc Canada'!$A$1,0,MATCH(W$1,'Calc Canada'!$1:$1,0)-1,300)="","",OFFSET('Calc Canada'!$A$1,0,MATCH(W$1,'Calc Canada'!$1:$1,0)-1,300))</f>
        <v>#N/A</v>
      </c>
      <c r="AB193" s="5" t="e">
        <f ca="1">IF(OFFSET('Calc Canada'!$A$1,0,MATCH(X$1,'Calc Canada'!$1:$1,0)-1,300)="","",OFFSET('Calc Canada'!$A$1,0,MATCH(X$1,'Calc Canada'!$1:$1,0)-1,300))</f>
        <v>#N/A</v>
      </c>
      <c r="AC193" t="e">
        <f t="shared" ca="1" si="17"/>
        <v>#N/A</v>
      </c>
      <c r="AD193" t="e">
        <f t="shared" ca="1" si="18"/>
        <v>#N/A</v>
      </c>
    </row>
    <row r="194" spans="1:30" x14ac:dyDescent="0.25">
      <c r="A194" s="4">
        <v>41855</v>
      </c>
      <c r="B194">
        <v>1.0669999999999999</v>
      </c>
      <c r="C194" s="5">
        <v>1.0960000000000001</v>
      </c>
      <c r="D194">
        <v>1.4590000000000001</v>
      </c>
      <c r="E194">
        <v>1.7309999999999999</v>
      </c>
      <c r="F194">
        <v>2.109</v>
      </c>
      <c r="G194">
        <v>2.6520000000000001</v>
      </c>
      <c r="H194">
        <f t="shared" ca="1" si="24"/>
        <v>0.54668674698795183</v>
      </c>
      <c r="I194">
        <f t="shared" ca="1" si="24"/>
        <v>0.34836852207293661</v>
      </c>
      <c r="J194">
        <f t="shared" ca="1" si="24"/>
        <v>0.2290220820189274</v>
      </c>
      <c r="K194">
        <f t="shared" ca="1" si="24"/>
        <v>0.26103646833013416</v>
      </c>
      <c r="L194">
        <f t="shared" ca="1" si="24"/>
        <v>0.17160883280757083</v>
      </c>
      <c r="M194">
        <f t="shared" ca="1" si="24"/>
        <v>0.26850937808489617</v>
      </c>
      <c r="N194">
        <f t="shared" ca="1" si="24"/>
        <v>0.1748071979434446</v>
      </c>
      <c r="O194">
        <f t="shared" ca="1" si="24"/>
        <v>0.23848580441640382</v>
      </c>
      <c r="P194">
        <f t="shared" ca="1" si="24"/>
        <v>0.24293059125964017</v>
      </c>
      <c r="Q194">
        <f t="shared" ca="1" si="24"/>
        <v>0.31684828164291712</v>
      </c>
      <c r="R194">
        <f t="shared" ca="1" si="24"/>
        <v>0.63911671924290203</v>
      </c>
      <c r="S194">
        <f t="shared" ca="1" si="24"/>
        <v>0.41009463722397466</v>
      </c>
      <c r="T194">
        <f t="shared" ca="1" si="24"/>
        <v>0.41773778920308474</v>
      </c>
      <c r="V194" s="4">
        <f t="shared" si="21"/>
        <v>41855</v>
      </c>
      <c r="W194" s="5">
        <f t="shared" ca="1" si="19"/>
        <v>0.63911671924290203</v>
      </c>
      <c r="Z194" s="4" t="str">
        <f ca="1">IF(OFFSET('Calc Canada'!$A$1,0,0,300)="","",OFFSET('Calc Canada'!$A$1,0,0,300))</f>
        <v/>
      </c>
      <c r="AA194" s="5" t="e">
        <f ca="1">IF(OFFSET('Calc Canada'!$A$1,0,MATCH(W$1,'Calc Canada'!$1:$1,0)-1,300)="","",OFFSET('Calc Canada'!$A$1,0,MATCH(W$1,'Calc Canada'!$1:$1,0)-1,300))</f>
        <v>#N/A</v>
      </c>
      <c r="AB194" s="5" t="e">
        <f ca="1">IF(OFFSET('Calc Canada'!$A$1,0,MATCH(X$1,'Calc Canada'!$1:$1,0)-1,300)="","",OFFSET('Calc Canada'!$A$1,0,MATCH(X$1,'Calc Canada'!$1:$1,0)-1,300))</f>
        <v>#N/A</v>
      </c>
      <c r="AC194" t="e">
        <f t="shared" ca="1" si="17"/>
        <v>#N/A</v>
      </c>
      <c r="AD194" t="e">
        <f t="shared" ca="1" si="18"/>
        <v>#N/A</v>
      </c>
    </row>
    <row r="195" spans="1:30" x14ac:dyDescent="0.25">
      <c r="A195" s="4">
        <v>41852</v>
      </c>
      <c r="B195">
        <v>1.07</v>
      </c>
      <c r="C195" s="5">
        <v>1.097</v>
      </c>
      <c r="D195">
        <v>1.4630000000000001</v>
      </c>
      <c r="E195">
        <v>1.736</v>
      </c>
      <c r="F195">
        <v>2.1150000000000002</v>
      </c>
      <c r="G195">
        <v>2.6539999999999999</v>
      </c>
      <c r="H195">
        <f t="shared" ca="1" si="24"/>
        <v>0.54954954954954982</v>
      </c>
      <c r="I195">
        <f t="shared" ca="1" si="24"/>
        <v>0.35023923444976079</v>
      </c>
      <c r="J195">
        <f t="shared" ca="1" si="24"/>
        <v>0.23106060606060616</v>
      </c>
      <c r="K195">
        <f t="shared" ca="1" si="24"/>
        <v>0.26124401913875583</v>
      </c>
      <c r="L195">
        <f t="shared" ca="1" si="24"/>
        <v>0.17234848484848481</v>
      </c>
      <c r="M195">
        <f t="shared" ca="1" si="24"/>
        <v>0.26817288801571693</v>
      </c>
      <c r="N195">
        <f t="shared" ca="1" si="24"/>
        <v>0.1753371868978805</v>
      </c>
      <c r="O195">
        <f t="shared" ca="1" si="24"/>
        <v>0.23926767676767693</v>
      </c>
      <c r="P195">
        <f t="shared" ca="1" si="24"/>
        <v>0.24341682723185629</v>
      </c>
      <c r="Q195">
        <f t="shared" ca="1" si="24"/>
        <v>0.31821998320738898</v>
      </c>
      <c r="R195">
        <f t="shared" ca="1" si="24"/>
        <v>0.64267676767676785</v>
      </c>
      <c r="S195">
        <f t="shared" ca="1" si="24"/>
        <v>0.41161616161616171</v>
      </c>
      <c r="T195">
        <f t="shared" ca="1" si="24"/>
        <v>0.41875401412973678</v>
      </c>
      <c r="V195" s="4">
        <f t="shared" si="21"/>
        <v>41852</v>
      </c>
      <c r="W195" s="5">
        <f t="shared" ca="1" si="19"/>
        <v>0.64267676767676785</v>
      </c>
      <c r="Z195" s="4" t="str">
        <f ca="1">IF(OFFSET('Calc Canada'!$A$1,0,0,300)="","",OFFSET('Calc Canada'!$A$1,0,0,300))</f>
        <v/>
      </c>
      <c r="AA195" s="5" t="e">
        <f ca="1">IF(OFFSET('Calc Canada'!$A$1,0,MATCH(W$1,'Calc Canada'!$1:$1,0)-1,300)="","",OFFSET('Calc Canada'!$A$1,0,MATCH(W$1,'Calc Canada'!$1:$1,0)-1,300))</f>
        <v>#N/A</v>
      </c>
      <c r="AB195" s="5" t="e">
        <f ca="1">IF(OFFSET('Calc Canada'!$A$1,0,MATCH(X$1,'Calc Canada'!$1:$1,0)-1,300)="","",OFFSET('Calc Canada'!$A$1,0,MATCH(X$1,'Calc Canada'!$1:$1,0)-1,300))</f>
        <v>#N/A</v>
      </c>
      <c r="AC195" t="e">
        <f t="shared" ref="AC195:AC258" ca="1" si="25">IF(AND(AA195&lt;&gt;"",AB195&lt;&gt;""),ABS(AA195-AB195),"")</f>
        <v>#N/A</v>
      </c>
      <c r="AD195" t="e">
        <f t="shared" ref="AD195:AD258" ca="1" si="26">IF(ISNA(MATCH("",AC195:AC214,0)),AVERAGE(AC195:AC214),"")</f>
        <v>#N/A</v>
      </c>
    </row>
    <row r="196" spans="1:30" x14ac:dyDescent="0.25">
      <c r="A196" s="4">
        <v>41851</v>
      </c>
      <c r="B196">
        <v>1.095</v>
      </c>
      <c r="C196" s="5">
        <v>1.129</v>
      </c>
      <c r="D196">
        <v>1.514</v>
      </c>
      <c r="E196">
        <v>1.7789999999999999</v>
      </c>
      <c r="F196">
        <v>2.1560000000000001</v>
      </c>
      <c r="G196">
        <v>2.6920000000000002</v>
      </c>
      <c r="H196">
        <f t="shared" ca="1" si="24"/>
        <v>0.5628654970760234</v>
      </c>
      <c r="I196">
        <f t="shared" ca="1" si="24"/>
        <v>0.36286522148916112</v>
      </c>
      <c r="J196">
        <f t="shared" ca="1" si="24"/>
        <v>0.24107701941139634</v>
      </c>
      <c r="K196">
        <f t="shared" ca="1" si="24"/>
        <v>0.24976437323279913</v>
      </c>
      <c r="L196">
        <f t="shared" ca="1" si="24"/>
        <v>0.16593613024420781</v>
      </c>
      <c r="M196">
        <f t="shared" ca="1" si="24"/>
        <v>0.2580331061343718</v>
      </c>
      <c r="N196">
        <f t="shared" ca="1" si="24"/>
        <v>0.16954574536148426</v>
      </c>
      <c r="O196">
        <f t="shared" ca="1" si="24"/>
        <v>0.23606762680025059</v>
      </c>
      <c r="P196">
        <f t="shared" ca="1" si="24"/>
        <v>0.24120281509916838</v>
      </c>
      <c r="Q196">
        <f t="shared" ca="1" si="24"/>
        <v>0.32003395585738553</v>
      </c>
      <c r="R196">
        <f t="shared" ca="1" si="24"/>
        <v>0.64308077645585471</v>
      </c>
      <c r="S196">
        <f t="shared" ca="1" si="24"/>
        <v>0.4020037570444584</v>
      </c>
      <c r="T196">
        <f t="shared" ca="1" si="24"/>
        <v>0.41074856046065261</v>
      </c>
      <c r="V196" s="4">
        <f t="shared" si="21"/>
        <v>41851</v>
      </c>
      <c r="W196" s="5">
        <f t="shared" ca="1" si="19"/>
        <v>0.64308077645585471</v>
      </c>
      <c r="Z196" s="4" t="str">
        <f ca="1">IF(OFFSET('Calc Canada'!$A$1,0,0,300)="","",OFFSET('Calc Canada'!$A$1,0,0,300))</f>
        <v/>
      </c>
      <c r="AA196" s="5" t="e">
        <f ca="1">IF(OFFSET('Calc Canada'!$A$1,0,MATCH(W$1,'Calc Canada'!$1:$1,0)-1,300)="","",OFFSET('Calc Canada'!$A$1,0,MATCH(W$1,'Calc Canada'!$1:$1,0)-1,300))</f>
        <v>#N/A</v>
      </c>
      <c r="AB196" s="5" t="e">
        <f ca="1">IF(OFFSET('Calc Canada'!$A$1,0,MATCH(X$1,'Calc Canada'!$1:$1,0)-1,300)="","",OFFSET('Calc Canada'!$A$1,0,MATCH(X$1,'Calc Canada'!$1:$1,0)-1,300))</f>
        <v>#N/A</v>
      </c>
      <c r="AC196" t="e">
        <f t="shared" ca="1" si="25"/>
        <v>#N/A</v>
      </c>
      <c r="AD196" t="e">
        <f t="shared" ca="1" si="26"/>
        <v>#N/A</v>
      </c>
    </row>
    <row r="197" spans="1:30" x14ac:dyDescent="0.25">
      <c r="A197" s="4">
        <v>41850</v>
      </c>
      <c r="B197">
        <v>1.1040000000000001</v>
      </c>
      <c r="C197" s="5">
        <v>1.139</v>
      </c>
      <c r="D197">
        <v>1.5230000000000001</v>
      </c>
      <c r="E197">
        <v>1.7850000000000001</v>
      </c>
      <c r="F197">
        <v>2.1589999999999998</v>
      </c>
      <c r="G197">
        <v>2.7039999999999997</v>
      </c>
      <c r="H197">
        <f t="shared" ca="1" si="24"/>
        <v>0.56387665198237902</v>
      </c>
      <c r="I197">
        <f t="shared" ca="1" si="24"/>
        <v>0.36398104265402864</v>
      </c>
      <c r="J197">
        <f t="shared" ca="1" si="24"/>
        <v>0.24000000000000013</v>
      </c>
      <c r="K197">
        <f t="shared" ca="1" si="24"/>
        <v>0.24834123222748822</v>
      </c>
      <c r="L197">
        <f t="shared" ca="1" si="24"/>
        <v>0.16375000000000003</v>
      </c>
      <c r="M197">
        <f t="shared" ca="1" si="24"/>
        <v>0.2568627450980393</v>
      </c>
      <c r="N197">
        <f t="shared" ca="1" si="24"/>
        <v>0.16741214057507992</v>
      </c>
      <c r="O197">
        <f t="shared" ca="1" si="24"/>
        <v>0.23374999999999985</v>
      </c>
      <c r="P197">
        <f t="shared" ca="1" si="24"/>
        <v>0.23897763578274744</v>
      </c>
      <c r="Q197">
        <f t="shared" ca="1" si="24"/>
        <v>0.31668077900084657</v>
      </c>
      <c r="R197">
        <f t="shared" ca="1" si="24"/>
        <v>0.63750000000000007</v>
      </c>
      <c r="S197">
        <f t="shared" ca="1" si="24"/>
        <v>0.39749999999999991</v>
      </c>
      <c r="T197">
        <f t="shared" ca="1" si="24"/>
        <v>0.40638977635782736</v>
      </c>
      <c r="V197" s="4">
        <f t="shared" si="21"/>
        <v>41850</v>
      </c>
      <c r="W197" s="5">
        <f t="shared" ca="1" si="19"/>
        <v>0.63750000000000007</v>
      </c>
      <c r="Z197" s="4" t="str">
        <f ca="1">IF(OFFSET('Calc Canada'!$A$1,0,0,300)="","",OFFSET('Calc Canada'!$A$1,0,0,300))</f>
        <v/>
      </c>
      <c r="AA197" s="5" t="e">
        <f ca="1">IF(OFFSET('Calc Canada'!$A$1,0,MATCH(W$1,'Calc Canada'!$1:$1,0)-1,300)="","",OFFSET('Calc Canada'!$A$1,0,MATCH(W$1,'Calc Canada'!$1:$1,0)-1,300))</f>
        <v>#N/A</v>
      </c>
      <c r="AB197" s="5" t="e">
        <f ca="1">IF(OFFSET('Calc Canada'!$A$1,0,MATCH(X$1,'Calc Canada'!$1:$1,0)-1,300)="","",OFFSET('Calc Canada'!$A$1,0,MATCH(X$1,'Calc Canada'!$1:$1,0)-1,300))</f>
        <v>#N/A</v>
      </c>
      <c r="AC197" t="e">
        <f t="shared" ca="1" si="25"/>
        <v>#N/A</v>
      </c>
      <c r="AD197" t="e">
        <f t="shared" ca="1" si="26"/>
        <v>#N/A</v>
      </c>
    </row>
    <row r="198" spans="1:30" x14ac:dyDescent="0.25">
      <c r="A198" s="4">
        <v>41849</v>
      </c>
      <c r="B198">
        <v>1.079</v>
      </c>
      <c r="C198" s="5">
        <v>1.1160000000000001</v>
      </c>
      <c r="D198">
        <v>1.4630000000000001</v>
      </c>
      <c r="E198">
        <v>1.714</v>
      </c>
      <c r="F198">
        <v>2.0880000000000001</v>
      </c>
      <c r="G198">
        <v>2.641</v>
      </c>
      <c r="H198">
        <f t="shared" ca="1" si="24"/>
        <v>0.54645669291338583</v>
      </c>
      <c r="I198">
        <f t="shared" ca="1" si="24"/>
        <v>0.34390485629335971</v>
      </c>
      <c r="J198">
        <f t="shared" ca="1" si="24"/>
        <v>0.22215108834827144</v>
      </c>
      <c r="K198">
        <f t="shared" ca="1" si="24"/>
        <v>0.24876114965312177</v>
      </c>
      <c r="L198">
        <f t="shared" ca="1" si="24"/>
        <v>0.16069142125480146</v>
      </c>
      <c r="M198">
        <f t="shared" ca="1" si="24"/>
        <v>0.25823045267489703</v>
      </c>
      <c r="N198">
        <f t="shared" ca="1" si="24"/>
        <v>0.16459016393442616</v>
      </c>
      <c r="O198">
        <f t="shared" ca="1" si="24"/>
        <v>0.23943661971830993</v>
      </c>
      <c r="P198">
        <f t="shared" ca="1" si="24"/>
        <v>0.24524590163934434</v>
      </c>
      <c r="Q198">
        <f t="shared" ca="1" si="24"/>
        <v>0.31748726655348058</v>
      </c>
      <c r="R198">
        <f t="shared" ca="1" si="24"/>
        <v>0.62227912932138285</v>
      </c>
      <c r="S198">
        <f t="shared" ca="1" si="24"/>
        <v>0.40012804097311139</v>
      </c>
      <c r="T198">
        <f t="shared" ca="1" si="24"/>
        <v>0.4098360655737705</v>
      </c>
      <c r="V198" s="4">
        <f t="shared" si="21"/>
        <v>41849</v>
      </c>
      <c r="W198" s="5">
        <f t="shared" ca="1" si="19"/>
        <v>0.62227912932138285</v>
      </c>
      <c r="Z198" s="4" t="str">
        <f ca="1">IF(OFFSET('Calc Canada'!$A$1,0,0,300)="","",OFFSET('Calc Canada'!$A$1,0,0,300))</f>
        <v/>
      </c>
      <c r="AA198" s="5" t="e">
        <f ca="1">IF(OFFSET('Calc Canada'!$A$1,0,MATCH(W$1,'Calc Canada'!$1:$1,0)-1,300)="","",OFFSET('Calc Canada'!$A$1,0,MATCH(W$1,'Calc Canada'!$1:$1,0)-1,300))</f>
        <v>#N/A</v>
      </c>
      <c r="AB198" s="5" t="e">
        <f ca="1">IF(OFFSET('Calc Canada'!$A$1,0,MATCH(X$1,'Calc Canada'!$1:$1,0)-1,300)="","",OFFSET('Calc Canada'!$A$1,0,MATCH(X$1,'Calc Canada'!$1:$1,0)-1,300))</f>
        <v>#N/A</v>
      </c>
      <c r="AC198" t="e">
        <f t="shared" ca="1" si="25"/>
        <v>#N/A</v>
      </c>
      <c r="AD198" t="e">
        <f t="shared" ca="1" si="26"/>
        <v>#N/A</v>
      </c>
    </row>
    <row r="199" spans="1:30" x14ac:dyDescent="0.25">
      <c r="A199" s="4">
        <v>41848</v>
      </c>
      <c r="B199">
        <v>1.085</v>
      </c>
      <c r="C199" s="5">
        <v>1.1219999999999999</v>
      </c>
      <c r="D199">
        <v>1.4830000000000001</v>
      </c>
      <c r="E199">
        <v>1.736</v>
      </c>
      <c r="F199">
        <v>2.1160000000000001</v>
      </c>
      <c r="G199">
        <v>2.669</v>
      </c>
      <c r="H199">
        <f t="shared" ca="1" si="24"/>
        <v>0.55453149001536128</v>
      </c>
      <c r="I199">
        <f t="shared" ca="1" si="24"/>
        <v>0.35014548981571303</v>
      </c>
      <c r="J199">
        <f t="shared" ca="1" si="24"/>
        <v>0.22790404040404053</v>
      </c>
      <c r="K199">
        <f t="shared" ca="1" si="24"/>
        <v>0.2453928225024247</v>
      </c>
      <c r="L199">
        <f t="shared" ca="1" si="24"/>
        <v>0.15972222222222215</v>
      </c>
      <c r="M199">
        <f t="shared" ca="1" si="24"/>
        <v>0.25452716297786704</v>
      </c>
      <c r="N199">
        <f t="shared" ca="1" si="24"/>
        <v>0.16354234001292817</v>
      </c>
      <c r="O199">
        <f t="shared" ca="1" si="24"/>
        <v>0.23989898989898997</v>
      </c>
      <c r="P199">
        <f t="shared" ca="1" si="24"/>
        <v>0.24563671622495156</v>
      </c>
      <c r="Q199">
        <f t="shared" ca="1" si="24"/>
        <v>0.32040472175379436</v>
      </c>
      <c r="R199">
        <f t="shared" ca="1" si="24"/>
        <v>0.6275252525252526</v>
      </c>
      <c r="S199">
        <f t="shared" ca="1" si="24"/>
        <v>0.3996212121212121</v>
      </c>
      <c r="T199">
        <f t="shared" ca="1" si="24"/>
        <v>0.40917905623787976</v>
      </c>
      <c r="V199" s="4">
        <f t="shared" si="21"/>
        <v>41848</v>
      </c>
      <c r="W199" s="5">
        <f t="shared" ca="1" si="19"/>
        <v>0.6275252525252526</v>
      </c>
      <c r="Z199" s="4" t="str">
        <f ca="1">IF(OFFSET('Calc Canada'!$A$1,0,0,300)="","",OFFSET('Calc Canada'!$A$1,0,0,300))</f>
        <v/>
      </c>
      <c r="AA199" s="5" t="e">
        <f ca="1">IF(OFFSET('Calc Canada'!$A$1,0,MATCH(W$1,'Calc Canada'!$1:$1,0)-1,300)="","",OFFSET('Calc Canada'!$A$1,0,MATCH(W$1,'Calc Canada'!$1:$1,0)-1,300))</f>
        <v>#N/A</v>
      </c>
      <c r="AB199" s="5" t="e">
        <f ca="1">IF(OFFSET('Calc Canada'!$A$1,0,MATCH(X$1,'Calc Canada'!$1:$1,0)-1,300)="","",OFFSET('Calc Canada'!$A$1,0,MATCH(X$1,'Calc Canada'!$1:$1,0)-1,300))</f>
        <v>#N/A</v>
      </c>
      <c r="AC199" t="e">
        <f t="shared" ca="1" si="25"/>
        <v>#N/A</v>
      </c>
      <c r="AD199" t="e">
        <f t="shared" ca="1" si="26"/>
        <v>#N/A</v>
      </c>
    </row>
    <row r="200" spans="1:30" x14ac:dyDescent="0.25">
      <c r="A200" s="4">
        <v>41845</v>
      </c>
      <c r="B200">
        <v>1.081</v>
      </c>
      <c r="C200" s="5">
        <v>1.1140000000000001</v>
      </c>
      <c r="D200">
        <v>1.472</v>
      </c>
      <c r="E200">
        <v>1.7330000000000001</v>
      </c>
      <c r="F200">
        <v>2.1139999999999999</v>
      </c>
      <c r="G200">
        <v>2.6669999999999998</v>
      </c>
      <c r="H200">
        <f t="shared" ca="1" si="24"/>
        <v>0.54907975460122671</v>
      </c>
      <c r="I200">
        <f t="shared" ca="1" si="24"/>
        <v>0.34656340755082277</v>
      </c>
      <c r="J200">
        <f t="shared" ca="1" si="24"/>
        <v>0.22572509457755355</v>
      </c>
      <c r="K200">
        <f t="shared" ca="1" si="24"/>
        <v>0.25266214908034862</v>
      </c>
      <c r="L200">
        <f t="shared" ca="1" si="24"/>
        <v>0.16456494325346793</v>
      </c>
      <c r="M200">
        <f t="shared" ca="1" si="24"/>
        <v>0.26100000000000018</v>
      </c>
      <c r="N200">
        <f t="shared" ca="1" si="24"/>
        <v>0.16806181584030919</v>
      </c>
      <c r="O200">
        <f t="shared" ca="1" si="24"/>
        <v>0.24022698612862536</v>
      </c>
      <c r="P200">
        <f t="shared" ca="1" si="24"/>
        <v>0.245331616226658</v>
      </c>
      <c r="Q200">
        <f t="shared" ca="1" si="24"/>
        <v>0.31882845188284503</v>
      </c>
      <c r="R200">
        <f t="shared" ca="1" si="24"/>
        <v>0.63051702395964682</v>
      </c>
      <c r="S200">
        <f t="shared" ca="1" si="24"/>
        <v>0.4047919293820933</v>
      </c>
      <c r="T200">
        <f t="shared" ca="1" si="24"/>
        <v>0.41339343206696716</v>
      </c>
      <c r="V200" s="4">
        <f t="shared" si="21"/>
        <v>41845</v>
      </c>
      <c r="W200" s="5">
        <f t="shared" ca="1" si="19"/>
        <v>0.63051702395964682</v>
      </c>
      <c r="Z200" s="4" t="str">
        <f ca="1">IF(OFFSET('Calc Canada'!$A$1,0,0,300)="","",OFFSET('Calc Canada'!$A$1,0,0,300))</f>
        <v/>
      </c>
      <c r="AA200" s="5" t="e">
        <f ca="1">IF(OFFSET('Calc Canada'!$A$1,0,MATCH(W$1,'Calc Canada'!$1:$1,0)-1,300)="","",OFFSET('Calc Canada'!$A$1,0,MATCH(W$1,'Calc Canada'!$1:$1,0)-1,300))</f>
        <v>#N/A</v>
      </c>
      <c r="AB200" s="5" t="e">
        <f ca="1">IF(OFFSET('Calc Canada'!$A$1,0,MATCH(X$1,'Calc Canada'!$1:$1,0)-1,300)="","",OFFSET('Calc Canada'!$A$1,0,MATCH(X$1,'Calc Canada'!$1:$1,0)-1,300))</f>
        <v>#N/A</v>
      </c>
      <c r="AC200" t="e">
        <f t="shared" ca="1" si="25"/>
        <v>#N/A</v>
      </c>
      <c r="AD200" t="e">
        <f t="shared" ca="1" si="26"/>
        <v>#N/A</v>
      </c>
    </row>
    <row r="201" spans="1:30" x14ac:dyDescent="0.25">
      <c r="A201" s="4">
        <v>41844</v>
      </c>
      <c r="B201">
        <v>1.0960000000000001</v>
      </c>
      <c r="C201" s="5">
        <v>1.1320000000000001</v>
      </c>
      <c r="D201">
        <v>1.5</v>
      </c>
      <c r="E201">
        <v>1.7629999999999999</v>
      </c>
      <c r="F201">
        <v>2.1539999999999999</v>
      </c>
      <c r="G201">
        <v>2.702</v>
      </c>
      <c r="H201">
        <f t="shared" ca="1" si="24"/>
        <v>0.55172413793103448</v>
      </c>
      <c r="I201">
        <f t="shared" ca="1" si="24"/>
        <v>0.34782608695652167</v>
      </c>
      <c r="J201">
        <f t="shared" ca="1" si="24"/>
        <v>0.22914072229140717</v>
      </c>
      <c r="K201">
        <f t="shared" ca="1" si="24"/>
        <v>0.24858223062381848</v>
      </c>
      <c r="L201">
        <f t="shared" ca="1" si="24"/>
        <v>0.16376089663760893</v>
      </c>
      <c r="M201">
        <f t="shared" ca="1" si="24"/>
        <v>0.25733855185909976</v>
      </c>
      <c r="N201">
        <f t="shared" ca="1" si="24"/>
        <v>0.16751592356687894</v>
      </c>
      <c r="O201">
        <f t="shared" ca="1" si="24"/>
        <v>0.2434620174346202</v>
      </c>
      <c r="P201">
        <f t="shared" ca="1" si="24"/>
        <v>0.24904458598726117</v>
      </c>
      <c r="Q201">
        <f t="shared" ca="1" si="24"/>
        <v>0.32529118136439272</v>
      </c>
      <c r="R201">
        <f t="shared" ca="1" si="24"/>
        <v>0.63636363636363624</v>
      </c>
      <c r="S201">
        <f t="shared" ca="1" si="24"/>
        <v>0.4072229140722291</v>
      </c>
      <c r="T201">
        <f t="shared" ca="1" si="24"/>
        <v>0.41656050955414009</v>
      </c>
      <c r="V201" s="4">
        <f t="shared" si="21"/>
        <v>41844</v>
      </c>
      <c r="W201" s="5">
        <f t="shared" ca="1" si="19"/>
        <v>0.63636363636363624</v>
      </c>
      <c r="Z201" s="4" t="str">
        <f ca="1">IF(OFFSET('Calc Canada'!$A$1,0,0,300)="","",OFFSET('Calc Canada'!$A$1,0,0,300))</f>
        <v/>
      </c>
      <c r="AA201" s="5" t="e">
        <f ca="1">IF(OFFSET('Calc Canada'!$A$1,0,MATCH(W$1,'Calc Canada'!$1:$1,0)-1,300)="","",OFFSET('Calc Canada'!$A$1,0,MATCH(W$1,'Calc Canada'!$1:$1,0)-1,300))</f>
        <v>#N/A</v>
      </c>
      <c r="AB201" s="5" t="e">
        <f ca="1">IF(OFFSET('Calc Canada'!$A$1,0,MATCH(X$1,'Calc Canada'!$1:$1,0)-1,300)="","",OFFSET('Calc Canada'!$A$1,0,MATCH(X$1,'Calc Canada'!$1:$1,0)-1,300))</f>
        <v>#N/A</v>
      </c>
      <c r="AC201" t="e">
        <f t="shared" ca="1" si="25"/>
        <v>#N/A</v>
      </c>
      <c r="AD201" t="e">
        <f t="shared" ca="1" si="26"/>
        <v>#N/A</v>
      </c>
    </row>
    <row r="202" spans="1:30" x14ac:dyDescent="0.25">
      <c r="A202" s="4">
        <v>41843</v>
      </c>
      <c r="B202">
        <v>1.0820000000000001</v>
      </c>
      <c r="C202" s="5">
        <v>1.113</v>
      </c>
      <c r="D202">
        <v>1.4670000000000001</v>
      </c>
      <c r="E202">
        <v>1.7349999999999999</v>
      </c>
      <c r="F202">
        <v>2.1280000000000001</v>
      </c>
      <c r="G202">
        <v>2.6739999999999999</v>
      </c>
      <c r="H202">
        <f t="shared" ca="1" si="24"/>
        <v>0.54211332312404314</v>
      </c>
      <c r="I202">
        <f t="shared" ca="1" si="24"/>
        <v>0.33843212237093701</v>
      </c>
      <c r="J202">
        <f t="shared" ca="1" si="24"/>
        <v>0.22236180904522621</v>
      </c>
      <c r="K202">
        <f t="shared" ca="1" si="24"/>
        <v>0.25621414913957913</v>
      </c>
      <c r="L202">
        <f t="shared" ca="1" si="24"/>
        <v>0.16834170854271346</v>
      </c>
      <c r="M202">
        <f t="shared" ca="1" si="24"/>
        <v>0.26403940886699484</v>
      </c>
      <c r="N202">
        <f t="shared" ca="1" si="24"/>
        <v>0.1716848174247276</v>
      </c>
      <c r="O202">
        <f t="shared" ca="1" si="24"/>
        <v>0.24685929648241223</v>
      </c>
      <c r="P202">
        <f t="shared" ca="1" si="24"/>
        <v>0.25176169122357478</v>
      </c>
      <c r="Q202">
        <f t="shared" ca="1" si="24"/>
        <v>0.32560066280033162</v>
      </c>
      <c r="R202">
        <f t="shared" ca="1" si="24"/>
        <v>0.63756281407035187</v>
      </c>
      <c r="S202">
        <f t="shared" ca="1" si="24"/>
        <v>0.41520100502512569</v>
      </c>
      <c r="T202">
        <f t="shared" ca="1" si="24"/>
        <v>0.42344650864830241</v>
      </c>
      <c r="V202" s="4">
        <f t="shared" si="21"/>
        <v>41843</v>
      </c>
      <c r="W202" s="5">
        <f t="shared" ca="1" si="19"/>
        <v>0.63756281407035187</v>
      </c>
      <c r="Z202" s="4" t="str">
        <f ca="1">IF(OFFSET('Calc Canada'!$A$1,0,0,300)="","",OFFSET('Calc Canada'!$A$1,0,0,300))</f>
        <v/>
      </c>
      <c r="AA202" s="5" t="e">
        <f ca="1">IF(OFFSET('Calc Canada'!$A$1,0,MATCH(W$1,'Calc Canada'!$1:$1,0)-1,300)="","",OFFSET('Calc Canada'!$A$1,0,MATCH(W$1,'Calc Canada'!$1:$1,0)-1,300))</f>
        <v>#N/A</v>
      </c>
      <c r="AB202" s="5" t="e">
        <f ca="1">IF(OFFSET('Calc Canada'!$A$1,0,MATCH(X$1,'Calc Canada'!$1:$1,0)-1,300)="","",OFFSET('Calc Canada'!$A$1,0,MATCH(X$1,'Calc Canada'!$1:$1,0)-1,300))</f>
        <v>#N/A</v>
      </c>
      <c r="AC202" t="e">
        <f t="shared" ca="1" si="25"/>
        <v>#N/A</v>
      </c>
      <c r="AD202" t="e">
        <f t="shared" ca="1" si="26"/>
        <v>#N/A</v>
      </c>
    </row>
    <row r="203" spans="1:30" x14ac:dyDescent="0.25">
      <c r="A203" s="4">
        <v>41842</v>
      </c>
      <c r="B203">
        <v>1.075</v>
      </c>
      <c r="C203" s="5">
        <v>1.1100000000000001</v>
      </c>
      <c r="D203">
        <v>1.4570000000000001</v>
      </c>
      <c r="E203">
        <v>1.724</v>
      </c>
      <c r="F203">
        <v>2.121</v>
      </c>
      <c r="G203">
        <v>2.6630000000000003</v>
      </c>
      <c r="H203">
        <f t="shared" ca="1" si="24"/>
        <v>0.534668721109399</v>
      </c>
      <c r="I203">
        <f t="shared" ca="1" si="24"/>
        <v>0.33173996175908216</v>
      </c>
      <c r="J203">
        <f t="shared" ca="1" si="24"/>
        <v>0.21851385390428205</v>
      </c>
      <c r="K203">
        <f t="shared" ca="1" si="24"/>
        <v>0.25525812619502858</v>
      </c>
      <c r="L203">
        <f t="shared" ca="1" si="24"/>
        <v>0.16813602015113341</v>
      </c>
      <c r="M203">
        <f t="shared" ca="1" si="24"/>
        <v>0.26409495548961415</v>
      </c>
      <c r="N203">
        <f t="shared" ca="1" si="24"/>
        <v>0.17192530585962645</v>
      </c>
      <c r="O203">
        <f t="shared" ca="1" si="24"/>
        <v>0.24999999999999997</v>
      </c>
      <c r="P203">
        <f t="shared" ca="1" si="24"/>
        <v>0.25563425627817127</v>
      </c>
      <c r="Q203">
        <f t="shared" ca="1" si="24"/>
        <v>0.3291873963515754</v>
      </c>
      <c r="R203">
        <f t="shared" ca="1" si="24"/>
        <v>0.6366498740554154</v>
      </c>
      <c r="S203">
        <f t="shared" ca="1" si="24"/>
        <v>0.41813602015113338</v>
      </c>
      <c r="T203">
        <f t="shared" ca="1" si="24"/>
        <v>0.42755956213779772</v>
      </c>
      <c r="V203" s="4">
        <f t="shared" si="21"/>
        <v>41842</v>
      </c>
      <c r="W203" s="5">
        <f t="shared" ca="1" si="19"/>
        <v>0.6366498740554154</v>
      </c>
      <c r="Z203" s="4" t="str">
        <f ca="1">IF(OFFSET('Calc Canada'!$A$1,0,0,300)="","",OFFSET('Calc Canada'!$A$1,0,0,300))</f>
        <v/>
      </c>
      <c r="AA203" s="5" t="e">
        <f ca="1">IF(OFFSET('Calc Canada'!$A$1,0,MATCH(W$1,'Calc Canada'!$1:$1,0)-1,300)="","",OFFSET('Calc Canada'!$A$1,0,MATCH(W$1,'Calc Canada'!$1:$1,0)-1,300))</f>
        <v>#N/A</v>
      </c>
      <c r="AB203" s="5" t="e">
        <f ca="1">IF(OFFSET('Calc Canada'!$A$1,0,MATCH(X$1,'Calc Canada'!$1:$1,0)-1,300)="","",OFFSET('Calc Canada'!$A$1,0,MATCH(X$1,'Calc Canada'!$1:$1,0)-1,300))</f>
        <v>#N/A</v>
      </c>
      <c r="AC203" t="e">
        <f t="shared" ca="1" si="25"/>
        <v>#N/A</v>
      </c>
      <c r="AD203" t="e">
        <f t="shared" ca="1" si="26"/>
        <v>#N/A</v>
      </c>
    </row>
    <row r="204" spans="1:30" x14ac:dyDescent="0.25">
      <c r="A204" s="4">
        <v>41841</v>
      </c>
      <c r="B204">
        <v>1.083</v>
      </c>
      <c r="C204" s="5">
        <v>1.1219999999999999</v>
      </c>
      <c r="D204">
        <v>1.4710000000000001</v>
      </c>
      <c r="E204">
        <v>1.7389999999999999</v>
      </c>
      <c r="F204">
        <v>2.133</v>
      </c>
      <c r="G204">
        <v>2.669</v>
      </c>
      <c r="H204">
        <f t="shared" ca="1" si="24"/>
        <v>0.53201219512195164</v>
      </c>
      <c r="I204">
        <f t="shared" ca="1" si="24"/>
        <v>0.33238095238095255</v>
      </c>
      <c r="J204">
        <f t="shared" ca="1" si="24"/>
        <v>0.2200504413619169</v>
      </c>
      <c r="K204">
        <f t="shared" ca="1" si="24"/>
        <v>0.25523809523809504</v>
      </c>
      <c r="L204">
        <f t="shared" ca="1" si="24"/>
        <v>0.16897856242118522</v>
      </c>
      <c r="M204">
        <f t="shared" ca="1" si="24"/>
        <v>0.26508407517309573</v>
      </c>
      <c r="N204">
        <f t="shared" ca="1" si="24"/>
        <v>0.17323852617970251</v>
      </c>
      <c r="O204">
        <f t="shared" ca="1" si="24"/>
        <v>0.24842370744010095</v>
      </c>
      <c r="P204">
        <f t="shared" ca="1" si="24"/>
        <v>0.25468648998060767</v>
      </c>
      <c r="Q204">
        <f t="shared" ca="1" si="24"/>
        <v>0.32888146911519212</v>
      </c>
      <c r="R204">
        <f t="shared" ca="1" si="24"/>
        <v>0.63745271122320302</v>
      </c>
      <c r="S204">
        <f t="shared" ca="1" si="24"/>
        <v>0.4174022698612862</v>
      </c>
      <c r="T204">
        <f t="shared" ca="1" si="24"/>
        <v>0.4279250161603102</v>
      </c>
      <c r="V204" s="4">
        <f t="shared" si="21"/>
        <v>41841</v>
      </c>
      <c r="W204" s="5">
        <f t="shared" ref="W204:W267" ca="1" si="27">OFFSET($H$12,0,MATCH(selectCanada,$H$12:$T$12,0)-1,300,1)</f>
        <v>0.63745271122320302</v>
      </c>
      <c r="Z204" s="4" t="str">
        <f ca="1">IF(OFFSET('Calc Canada'!$A$1,0,0,300)="","",OFFSET('Calc Canada'!$A$1,0,0,300))</f>
        <v/>
      </c>
      <c r="AA204" s="5" t="e">
        <f ca="1">IF(OFFSET('Calc Canada'!$A$1,0,MATCH(W$1,'Calc Canada'!$1:$1,0)-1,300)="","",OFFSET('Calc Canada'!$A$1,0,MATCH(W$1,'Calc Canada'!$1:$1,0)-1,300))</f>
        <v>#N/A</v>
      </c>
      <c r="AB204" s="5" t="e">
        <f ca="1">IF(OFFSET('Calc Canada'!$A$1,0,MATCH(X$1,'Calc Canada'!$1:$1,0)-1,300)="","",OFFSET('Calc Canada'!$A$1,0,MATCH(X$1,'Calc Canada'!$1:$1,0)-1,300))</f>
        <v>#N/A</v>
      </c>
      <c r="AC204" t="e">
        <f t="shared" ca="1" si="25"/>
        <v>#N/A</v>
      </c>
      <c r="AD204" t="e">
        <f t="shared" ca="1" si="26"/>
        <v>#N/A</v>
      </c>
    </row>
    <row r="205" spans="1:30" x14ac:dyDescent="0.25">
      <c r="A205" s="4">
        <v>41838</v>
      </c>
      <c r="B205">
        <v>1.0780000000000001</v>
      </c>
      <c r="C205" s="5">
        <v>1.117</v>
      </c>
      <c r="D205">
        <v>1.482</v>
      </c>
      <c r="E205">
        <v>1.762</v>
      </c>
      <c r="F205">
        <v>2.16</v>
      </c>
      <c r="G205">
        <v>2.7090000000000001</v>
      </c>
      <c r="H205">
        <f t="shared" ref="H205:T220" ca="1" si="28">IF(ISERROR(ABS(OFFSET($A$11,ROW()-11,MATCH(LEFT(H$9,2),$A$11:$G$11,0)-1)-OFFSET($A$11,ROW()-11,MATCH(RIGHT(H$9,2),$A$11:$G$11,0)-1))/ABS(OFFSET($A$11,ROW()-11,MATCH(LEFT(H$10,2),$A$11:$G$11,0)-1)-OFFSET($A$11,ROW()-11,MATCH(RIGHT(H$10,2),$A$11:$G$11,0)-1))),"",ABS(OFFSET($A$11,ROW()-11,MATCH(LEFT(H$9,2),$A$11:$G$11,0)-1)-OFFSET($A$11,ROW()-11,MATCH(RIGHT(H$9,2),$A$11:$G$11,0)-1))/ABS(OFFSET($A$11,ROW()-11,MATCH(LEFT(H$10,2),$A$11:$G$11,0)-1)-OFFSET($A$11,ROW()-11,MATCH(RIGHT(H$10,2),$A$11:$G$11,0)-1)))</f>
        <v>0.53362573099415211</v>
      </c>
      <c r="I205">
        <f t="shared" ca="1" si="28"/>
        <v>0.33733826247689463</v>
      </c>
      <c r="J205">
        <f t="shared" ca="1" si="28"/>
        <v>0.22378908645003065</v>
      </c>
      <c r="K205">
        <f t="shared" ca="1" si="28"/>
        <v>0.25878003696857671</v>
      </c>
      <c r="L205">
        <f t="shared" ca="1" si="28"/>
        <v>0.1716738197424893</v>
      </c>
      <c r="M205">
        <f t="shared" ca="1" si="28"/>
        <v>0.26845637583892618</v>
      </c>
      <c r="N205">
        <f t="shared" ca="1" si="28"/>
        <v>0.17587939698492464</v>
      </c>
      <c r="O205">
        <f t="shared" ca="1" si="28"/>
        <v>0.24402207234825268</v>
      </c>
      <c r="P205">
        <f t="shared" ca="1" si="28"/>
        <v>0.25000000000000006</v>
      </c>
      <c r="Q205">
        <f t="shared" ca="1" si="28"/>
        <v>0.32436837815810932</v>
      </c>
      <c r="R205">
        <f t="shared" ca="1" si="28"/>
        <v>0.63948497854077258</v>
      </c>
      <c r="S205">
        <f t="shared" ca="1" si="28"/>
        <v>0.41569589209074198</v>
      </c>
      <c r="T205">
        <f t="shared" ca="1" si="28"/>
        <v>0.42587939698492472</v>
      </c>
      <c r="V205" s="4">
        <f t="shared" si="21"/>
        <v>41838</v>
      </c>
      <c r="W205" s="5">
        <f t="shared" ca="1" si="27"/>
        <v>0.63948497854077258</v>
      </c>
      <c r="Z205" s="4" t="str">
        <f ca="1">IF(OFFSET('Calc Canada'!$A$1,0,0,300)="","",OFFSET('Calc Canada'!$A$1,0,0,300))</f>
        <v/>
      </c>
      <c r="AA205" s="5" t="e">
        <f ca="1">IF(OFFSET('Calc Canada'!$A$1,0,MATCH(W$1,'Calc Canada'!$1:$1,0)-1,300)="","",OFFSET('Calc Canada'!$A$1,0,MATCH(W$1,'Calc Canada'!$1:$1,0)-1,300))</f>
        <v>#N/A</v>
      </c>
      <c r="AB205" s="5" t="e">
        <f ca="1">IF(OFFSET('Calc Canada'!$A$1,0,MATCH(X$1,'Calc Canada'!$1:$1,0)-1,300)="","",OFFSET('Calc Canada'!$A$1,0,MATCH(X$1,'Calc Canada'!$1:$1,0)-1,300))</f>
        <v>#N/A</v>
      </c>
      <c r="AC205" t="e">
        <f t="shared" ca="1" si="25"/>
        <v>#N/A</v>
      </c>
      <c r="AD205" t="e">
        <f t="shared" ca="1" si="26"/>
        <v>#N/A</v>
      </c>
    </row>
    <row r="206" spans="1:30" x14ac:dyDescent="0.25">
      <c r="A206" s="4">
        <v>41837</v>
      </c>
      <c r="B206">
        <v>1.0580000000000001</v>
      </c>
      <c r="C206" s="5">
        <v>1.0980000000000001</v>
      </c>
      <c r="D206">
        <v>1.4470000000000001</v>
      </c>
      <c r="E206">
        <v>1.73</v>
      </c>
      <c r="F206">
        <v>2.133</v>
      </c>
      <c r="G206">
        <v>2.6890000000000001</v>
      </c>
      <c r="H206">
        <f t="shared" ca="1" si="28"/>
        <v>0.51934523809523814</v>
      </c>
      <c r="I206">
        <f t="shared" ca="1" si="28"/>
        <v>0.32465116279069767</v>
      </c>
      <c r="J206">
        <f t="shared" ca="1" si="28"/>
        <v>0.21397915389331698</v>
      </c>
      <c r="K206">
        <f t="shared" ca="1" si="28"/>
        <v>0.26325581395348829</v>
      </c>
      <c r="L206">
        <f t="shared" ca="1" si="28"/>
        <v>0.17351318209687303</v>
      </c>
      <c r="M206">
        <f t="shared" ca="1" si="28"/>
        <v>0.27342995169082118</v>
      </c>
      <c r="N206">
        <f t="shared" ca="1" si="28"/>
        <v>0.17787554996857319</v>
      </c>
      <c r="O206">
        <f t="shared" ca="1" si="28"/>
        <v>0.24708767627222564</v>
      </c>
      <c r="P206">
        <f t="shared" ca="1" si="28"/>
        <v>0.25329981143934632</v>
      </c>
      <c r="Q206">
        <f t="shared" ca="1" si="28"/>
        <v>0.32447665056360708</v>
      </c>
      <c r="R206">
        <f t="shared" ca="1" si="28"/>
        <v>0.63458001226241567</v>
      </c>
      <c r="S206">
        <f t="shared" ca="1" si="28"/>
        <v>0.42060085836909866</v>
      </c>
      <c r="T206">
        <f t="shared" ca="1" si="28"/>
        <v>0.43117536140791951</v>
      </c>
      <c r="V206" s="4">
        <f t="shared" ref="V206:V269" si="29">IF(A206&lt;&gt;"",A206,"")</f>
        <v>41837</v>
      </c>
      <c r="W206" s="5">
        <f t="shared" ca="1" si="27"/>
        <v>0.63458001226241567</v>
      </c>
      <c r="Z206" s="4" t="str">
        <f ca="1">IF(OFFSET('Calc Canada'!$A$1,0,0,300)="","",OFFSET('Calc Canada'!$A$1,0,0,300))</f>
        <v/>
      </c>
      <c r="AA206" s="5" t="e">
        <f ca="1">IF(OFFSET('Calc Canada'!$A$1,0,MATCH(W$1,'Calc Canada'!$1:$1,0)-1,300)="","",OFFSET('Calc Canada'!$A$1,0,MATCH(W$1,'Calc Canada'!$1:$1,0)-1,300))</f>
        <v>#N/A</v>
      </c>
      <c r="AB206" s="5" t="e">
        <f ca="1">IF(OFFSET('Calc Canada'!$A$1,0,MATCH(X$1,'Calc Canada'!$1:$1,0)-1,300)="","",OFFSET('Calc Canada'!$A$1,0,MATCH(X$1,'Calc Canada'!$1:$1,0)-1,300))</f>
        <v>#N/A</v>
      </c>
      <c r="AC206" t="e">
        <f t="shared" ca="1" si="25"/>
        <v>#N/A</v>
      </c>
      <c r="AD206" t="e">
        <f t="shared" ca="1" si="26"/>
        <v>#N/A</v>
      </c>
    </row>
    <row r="207" spans="1:30" x14ac:dyDescent="0.25">
      <c r="A207" s="4">
        <v>41836</v>
      </c>
      <c r="B207">
        <v>1.087</v>
      </c>
      <c r="C207" s="5">
        <v>1.129</v>
      </c>
      <c r="D207">
        <v>1.5030000000000001</v>
      </c>
      <c r="E207">
        <v>1.7909999999999999</v>
      </c>
      <c r="F207">
        <v>2.1949999999999998</v>
      </c>
      <c r="G207">
        <v>2.7469999999999999</v>
      </c>
      <c r="H207">
        <f t="shared" ca="1" si="28"/>
        <v>0.53125000000000022</v>
      </c>
      <c r="I207">
        <f t="shared" ca="1" si="28"/>
        <v>0.33754512635379075</v>
      </c>
      <c r="J207">
        <f t="shared" ca="1" si="28"/>
        <v>0.22530120481927718</v>
      </c>
      <c r="K207">
        <f t="shared" ca="1" si="28"/>
        <v>0.25992779783393488</v>
      </c>
      <c r="L207">
        <f t="shared" ca="1" si="28"/>
        <v>0.17349397590361434</v>
      </c>
      <c r="M207">
        <f t="shared" ca="1" si="28"/>
        <v>0.27016885553470904</v>
      </c>
      <c r="N207">
        <f t="shared" ca="1" si="28"/>
        <v>0.17799752781211362</v>
      </c>
      <c r="O207">
        <f t="shared" ca="1" si="28"/>
        <v>0.24337349397590358</v>
      </c>
      <c r="P207">
        <f t="shared" ca="1" si="28"/>
        <v>0.24969097651421504</v>
      </c>
      <c r="Q207">
        <f t="shared" ca="1" si="28"/>
        <v>0.32475884244372988</v>
      </c>
      <c r="R207">
        <f t="shared" ca="1" si="28"/>
        <v>0.64216867469879513</v>
      </c>
      <c r="S207">
        <f t="shared" ca="1" si="28"/>
        <v>0.41686746987951795</v>
      </c>
      <c r="T207">
        <f t="shared" ca="1" si="28"/>
        <v>0.42768850432632866</v>
      </c>
      <c r="V207" s="4">
        <f t="shared" si="29"/>
        <v>41836</v>
      </c>
      <c r="W207" s="5">
        <f t="shared" ca="1" si="27"/>
        <v>0.64216867469879513</v>
      </c>
      <c r="Z207" s="4" t="str">
        <f ca="1">IF(OFFSET('Calc Canada'!$A$1,0,0,300)="","",OFFSET('Calc Canada'!$A$1,0,0,300))</f>
        <v/>
      </c>
      <c r="AA207" s="5" t="e">
        <f ca="1">IF(OFFSET('Calc Canada'!$A$1,0,MATCH(W$1,'Calc Canada'!$1:$1,0)-1,300)="","",OFFSET('Calc Canada'!$A$1,0,MATCH(W$1,'Calc Canada'!$1:$1,0)-1,300))</f>
        <v>#N/A</v>
      </c>
      <c r="AB207" s="5" t="e">
        <f ca="1">IF(OFFSET('Calc Canada'!$A$1,0,MATCH(X$1,'Calc Canada'!$1:$1,0)-1,300)="","",OFFSET('Calc Canada'!$A$1,0,MATCH(X$1,'Calc Canada'!$1:$1,0)-1,300))</f>
        <v>#N/A</v>
      </c>
      <c r="AC207" t="e">
        <f t="shared" ca="1" si="25"/>
        <v>#N/A</v>
      </c>
      <c r="AD207" t="e">
        <f t="shared" ca="1" si="26"/>
        <v>#N/A</v>
      </c>
    </row>
    <row r="208" spans="1:30" x14ac:dyDescent="0.25">
      <c r="A208" s="4">
        <v>41835</v>
      </c>
      <c r="B208">
        <v>1.0960000000000001</v>
      </c>
      <c r="C208" s="5">
        <v>1.1400000000000001</v>
      </c>
      <c r="D208">
        <v>1.52</v>
      </c>
      <c r="E208">
        <v>1.8069999999999999</v>
      </c>
      <c r="F208">
        <v>2.2120000000000002</v>
      </c>
      <c r="G208">
        <v>2.7650000000000001</v>
      </c>
      <c r="H208">
        <f t="shared" ca="1" si="28"/>
        <v>0.5344585091420534</v>
      </c>
      <c r="I208">
        <f t="shared" ca="1" si="28"/>
        <v>0.34050179211469522</v>
      </c>
      <c r="J208">
        <f t="shared" ca="1" si="28"/>
        <v>0.22768124625524258</v>
      </c>
      <c r="K208">
        <f t="shared" ca="1" si="28"/>
        <v>0.25716845878136191</v>
      </c>
      <c r="L208">
        <f t="shared" ca="1" si="28"/>
        <v>0.17195925704014375</v>
      </c>
      <c r="M208">
        <f t="shared" ca="1" si="28"/>
        <v>0.26772388059701485</v>
      </c>
      <c r="N208">
        <f t="shared" ca="1" si="28"/>
        <v>0.17661538461538456</v>
      </c>
      <c r="O208">
        <f t="shared" ca="1" si="28"/>
        <v>0.24266027561414036</v>
      </c>
      <c r="P208">
        <f t="shared" ca="1" si="28"/>
        <v>0.24923076923076939</v>
      </c>
      <c r="Q208">
        <f t="shared" ca="1" si="28"/>
        <v>0.32530120481927727</v>
      </c>
      <c r="R208">
        <f t="shared" ca="1" si="28"/>
        <v>0.64230077890952664</v>
      </c>
      <c r="S208">
        <f t="shared" ca="1" si="28"/>
        <v>0.41461953265428408</v>
      </c>
      <c r="T208">
        <f t="shared" ca="1" si="28"/>
        <v>0.42584615384615393</v>
      </c>
      <c r="V208" s="4">
        <f t="shared" si="29"/>
        <v>41835</v>
      </c>
      <c r="W208" s="5">
        <f t="shared" ca="1" si="27"/>
        <v>0.64230077890952664</v>
      </c>
      <c r="Z208" s="4" t="str">
        <f ca="1">IF(OFFSET('Calc Canada'!$A$1,0,0,300)="","",OFFSET('Calc Canada'!$A$1,0,0,300))</f>
        <v/>
      </c>
      <c r="AA208" s="5" t="e">
        <f ca="1">IF(OFFSET('Calc Canada'!$A$1,0,MATCH(W$1,'Calc Canada'!$1:$1,0)-1,300)="","",OFFSET('Calc Canada'!$A$1,0,MATCH(W$1,'Calc Canada'!$1:$1,0)-1,300))</f>
        <v>#N/A</v>
      </c>
      <c r="AB208" s="5" t="e">
        <f ca="1">IF(OFFSET('Calc Canada'!$A$1,0,MATCH(X$1,'Calc Canada'!$1:$1,0)-1,300)="","",OFFSET('Calc Canada'!$A$1,0,MATCH(X$1,'Calc Canada'!$1:$1,0)-1,300))</f>
        <v>#N/A</v>
      </c>
      <c r="AC208" t="e">
        <f t="shared" ca="1" si="25"/>
        <v>#N/A</v>
      </c>
      <c r="AD208" t="e">
        <f t="shared" ca="1" si="26"/>
        <v>#N/A</v>
      </c>
    </row>
    <row r="209" spans="1:30" x14ac:dyDescent="0.25">
      <c r="A209" s="4">
        <v>41834</v>
      </c>
      <c r="B209">
        <v>1.097</v>
      </c>
      <c r="C209" s="5">
        <v>1.145</v>
      </c>
      <c r="D209">
        <v>1.5209999999999999</v>
      </c>
      <c r="E209">
        <v>1.8109999999999999</v>
      </c>
      <c r="F209">
        <v>2.2130000000000001</v>
      </c>
      <c r="G209">
        <v>2.7679999999999998</v>
      </c>
      <c r="H209">
        <f t="shared" ca="1" si="28"/>
        <v>0.52661064425770299</v>
      </c>
      <c r="I209">
        <f t="shared" ca="1" si="28"/>
        <v>0.33691756272401419</v>
      </c>
      <c r="J209">
        <f t="shared" ca="1" si="28"/>
        <v>0.225014961101137</v>
      </c>
      <c r="K209">
        <f t="shared" ca="1" si="28"/>
        <v>0.25985663082437277</v>
      </c>
      <c r="L209">
        <f t="shared" ca="1" si="28"/>
        <v>0.1735487731897068</v>
      </c>
      <c r="M209">
        <f t="shared" ca="1" si="28"/>
        <v>0.27153558052434457</v>
      </c>
      <c r="N209">
        <f t="shared" ca="1" si="28"/>
        <v>0.17868145409735064</v>
      </c>
      <c r="O209">
        <f t="shared" ca="1" si="28"/>
        <v>0.24057450628366259</v>
      </c>
      <c r="P209">
        <f t="shared" ca="1" si="28"/>
        <v>0.24768946395563782</v>
      </c>
      <c r="Q209">
        <f t="shared" ca="1" si="28"/>
        <v>0.32237369687249412</v>
      </c>
      <c r="R209">
        <f t="shared" ca="1" si="28"/>
        <v>0.63913824057450641</v>
      </c>
      <c r="S209">
        <f t="shared" ca="1" si="28"/>
        <v>0.41412327947336941</v>
      </c>
      <c r="T209">
        <f t="shared" ca="1" si="28"/>
        <v>0.42637091805298843</v>
      </c>
      <c r="V209" s="4">
        <f t="shared" si="29"/>
        <v>41834</v>
      </c>
      <c r="W209" s="5">
        <f t="shared" ca="1" si="27"/>
        <v>0.63913824057450641</v>
      </c>
      <c r="Z209" s="4" t="str">
        <f ca="1">IF(OFFSET('Calc Canada'!$A$1,0,0,300)="","",OFFSET('Calc Canada'!$A$1,0,0,300))</f>
        <v/>
      </c>
      <c r="AA209" s="5" t="e">
        <f ca="1">IF(OFFSET('Calc Canada'!$A$1,0,MATCH(W$1,'Calc Canada'!$1:$1,0)-1,300)="","",OFFSET('Calc Canada'!$A$1,0,MATCH(W$1,'Calc Canada'!$1:$1,0)-1,300))</f>
        <v>#N/A</v>
      </c>
      <c r="AB209" s="5" t="e">
        <f ca="1">IF(OFFSET('Calc Canada'!$A$1,0,MATCH(X$1,'Calc Canada'!$1:$1,0)-1,300)="","",OFFSET('Calc Canada'!$A$1,0,MATCH(X$1,'Calc Canada'!$1:$1,0)-1,300))</f>
        <v>#N/A</v>
      </c>
      <c r="AC209" t="e">
        <f t="shared" ca="1" si="25"/>
        <v>#N/A</v>
      </c>
      <c r="AD209" t="e">
        <f t="shared" ca="1" si="26"/>
        <v>#N/A</v>
      </c>
    </row>
    <row r="210" spans="1:30" x14ac:dyDescent="0.25">
      <c r="A210" s="4">
        <v>41831</v>
      </c>
      <c r="B210">
        <v>1.1040000000000001</v>
      </c>
      <c r="C210" s="5">
        <v>1.159</v>
      </c>
      <c r="D210">
        <v>1.524</v>
      </c>
      <c r="E210">
        <v>1.8120000000000001</v>
      </c>
      <c r="F210">
        <v>2.21</v>
      </c>
      <c r="G210">
        <v>2.7669999999999999</v>
      </c>
      <c r="H210">
        <f t="shared" ca="1" si="28"/>
        <v>0.5155367231638418</v>
      </c>
      <c r="I210">
        <f t="shared" ca="1" si="28"/>
        <v>0.3300180831826402</v>
      </c>
      <c r="J210">
        <f t="shared" ca="1" si="28"/>
        <v>0.21948286229705355</v>
      </c>
      <c r="K210">
        <f t="shared" ca="1" si="28"/>
        <v>0.26039783001808325</v>
      </c>
      <c r="L210">
        <f t="shared" ca="1" si="28"/>
        <v>0.1731809981960313</v>
      </c>
      <c r="M210">
        <f t="shared" ca="1" si="28"/>
        <v>0.27402473834443392</v>
      </c>
      <c r="N210">
        <f t="shared" ca="1" si="28"/>
        <v>0.17910447761194034</v>
      </c>
      <c r="O210">
        <f t="shared" ca="1" si="28"/>
        <v>0.23932651834034874</v>
      </c>
      <c r="P210">
        <f t="shared" ca="1" si="28"/>
        <v>0.24751243781094523</v>
      </c>
      <c r="Q210">
        <f t="shared" ca="1" si="28"/>
        <v>0.3201930812550281</v>
      </c>
      <c r="R210">
        <f t="shared" ca="1" si="28"/>
        <v>0.63199037883343356</v>
      </c>
      <c r="S210">
        <f t="shared" ca="1" si="28"/>
        <v>0.41250751653638007</v>
      </c>
      <c r="T210">
        <f t="shared" ca="1" si="28"/>
        <v>0.42661691542288555</v>
      </c>
      <c r="V210" s="4">
        <f t="shared" si="29"/>
        <v>41831</v>
      </c>
      <c r="W210" s="5">
        <f t="shared" ca="1" si="27"/>
        <v>0.63199037883343356</v>
      </c>
      <c r="Z210" s="4" t="str">
        <f ca="1">IF(OFFSET('Calc Canada'!$A$1,0,0,300)="","",OFFSET('Calc Canada'!$A$1,0,0,300))</f>
        <v/>
      </c>
      <c r="AA210" s="5" t="e">
        <f ca="1">IF(OFFSET('Calc Canada'!$A$1,0,MATCH(W$1,'Calc Canada'!$1:$1,0)-1,300)="","",OFFSET('Calc Canada'!$A$1,0,MATCH(W$1,'Calc Canada'!$1:$1,0)-1,300))</f>
        <v>#N/A</v>
      </c>
      <c r="AB210" s="5" t="e">
        <f ca="1">IF(OFFSET('Calc Canada'!$A$1,0,MATCH(X$1,'Calc Canada'!$1:$1,0)-1,300)="","",OFFSET('Calc Canada'!$A$1,0,MATCH(X$1,'Calc Canada'!$1:$1,0)-1,300))</f>
        <v>#N/A</v>
      </c>
      <c r="AC210" t="e">
        <f t="shared" ca="1" si="25"/>
        <v>#N/A</v>
      </c>
      <c r="AD210" t="e">
        <f t="shared" ca="1" si="26"/>
        <v>#N/A</v>
      </c>
    </row>
    <row r="211" spans="1:30" x14ac:dyDescent="0.25">
      <c r="A211" s="4">
        <v>41830</v>
      </c>
      <c r="B211">
        <v>1.1160000000000001</v>
      </c>
      <c r="C211" s="5">
        <v>1.18</v>
      </c>
      <c r="D211">
        <v>1.548</v>
      </c>
      <c r="E211">
        <v>1.8359999999999999</v>
      </c>
      <c r="F211">
        <v>2.2359999999999998</v>
      </c>
      <c r="G211">
        <v>2.786</v>
      </c>
      <c r="H211">
        <f t="shared" ca="1" si="28"/>
        <v>0.5111111111111114</v>
      </c>
      <c r="I211">
        <f t="shared" ca="1" si="28"/>
        <v>0.32857142857142874</v>
      </c>
      <c r="J211">
        <f t="shared" ca="1" si="28"/>
        <v>0.22035928143712583</v>
      </c>
      <c r="K211">
        <f t="shared" ca="1" si="28"/>
        <v>0.25714285714285706</v>
      </c>
      <c r="L211">
        <f t="shared" ca="1" si="28"/>
        <v>0.17245508982035918</v>
      </c>
      <c r="M211">
        <f t="shared" ca="1" si="28"/>
        <v>0.2727272727272726</v>
      </c>
      <c r="N211">
        <f t="shared" ca="1" si="28"/>
        <v>0.1793275217932751</v>
      </c>
      <c r="O211">
        <f t="shared" ca="1" si="28"/>
        <v>0.23952095808383228</v>
      </c>
      <c r="P211">
        <f t="shared" ca="1" si="28"/>
        <v>0.24906600249065997</v>
      </c>
      <c r="Q211">
        <f t="shared" ca="1" si="28"/>
        <v>0.32310177705977378</v>
      </c>
      <c r="R211">
        <f t="shared" ca="1" si="28"/>
        <v>0.63233532934131731</v>
      </c>
      <c r="S211">
        <f t="shared" ca="1" si="28"/>
        <v>0.41197604790419146</v>
      </c>
      <c r="T211">
        <f t="shared" ca="1" si="28"/>
        <v>0.42839352428393507</v>
      </c>
      <c r="V211" s="4">
        <f t="shared" si="29"/>
        <v>41830</v>
      </c>
      <c r="W211" s="5">
        <f t="shared" ca="1" si="27"/>
        <v>0.63233532934131731</v>
      </c>
      <c r="Z211" s="4" t="str">
        <f ca="1">IF(OFFSET('Calc Canada'!$A$1,0,0,300)="","",OFFSET('Calc Canada'!$A$1,0,0,300))</f>
        <v/>
      </c>
      <c r="AA211" s="5" t="e">
        <f ca="1">IF(OFFSET('Calc Canada'!$A$1,0,MATCH(W$1,'Calc Canada'!$1:$1,0)-1,300)="","",OFFSET('Calc Canada'!$A$1,0,MATCH(W$1,'Calc Canada'!$1:$1,0)-1,300))</f>
        <v>#N/A</v>
      </c>
      <c r="AB211" s="5" t="e">
        <f ca="1">IF(OFFSET('Calc Canada'!$A$1,0,MATCH(X$1,'Calc Canada'!$1:$1,0)-1,300)="","",OFFSET('Calc Canada'!$A$1,0,MATCH(X$1,'Calc Canada'!$1:$1,0)-1,300))</f>
        <v>#N/A</v>
      </c>
      <c r="AC211" t="e">
        <f t="shared" ca="1" si="25"/>
        <v>#N/A</v>
      </c>
      <c r="AD211" t="e">
        <f t="shared" ca="1" si="26"/>
        <v>#N/A</v>
      </c>
    </row>
    <row r="212" spans="1:30" x14ac:dyDescent="0.25">
      <c r="A212" s="4">
        <v>41829</v>
      </c>
      <c r="B212">
        <v>1.117</v>
      </c>
      <c r="C212" s="5">
        <v>1.1839999999999999</v>
      </c>
      <c r="D212">
        <v>1.556</v>
      </c>
      <c r="E212">
        <v>1.8420000000000001</v>
      </c>
      <c r="F212">
        <v>2.2429999999999999</v>
      </c>
      <c r="G212">
        <v>2.786</v>
      </c>
      <c r="H212">
        <f t="shared" ca="1" si="28"/>
        <v>0.51310344827586218</v>
      </c>
      <c r="I212">
        <f t="shared" ca="1" si="28"/>
        <v>0.33037300177619905</v>
      </c>
      <c r="J212">
        <f t="shared" ca="1" si="28"/>
        <v>0.2228879568603955</v>
      </c>
      <c r="K212">
        <f t="shared" ca="1" si="28"/>
        <v>0.25399644760213147</v>
      </c>
      <c r="L212">
        <f t="shared" ca="1" si="28"/>
        <v>0.1713600958657879</v>
      </c>
      <c r="M212">
        <f t="shared" ca="1" si="28"/>
        <v>0.27006610009442877</v>
      </c>
      <c r="N212">
        <f t="shared" ca="1" si="28"/>
        <v>0.17852684144818978</v>
      </c>
      <c r="O212">
        <f t="shared" ca="1" si="28"/>
        <v>0.24026363091671646</v>
      </c>
      <c r="P212">
        <f t="shared" ca="1" si="28"/>
        <v>0.25031210986267149</v>
      </c>
      <c r="Q212">
        <f t="shared" ca="1" si="28"/>
        <v>0.32601626016260149</v>
      </c>
      <c r="R212">
        <f t="shared" ca="1" si="28"/>
        <v>0.63451168364289989</v>
      </c>
      <c r="S212">
        <f t="shared" ca="1" si="28"/>
        <v>0.41162372678250436</v>
      </c>
      <c r="T212">
        <f t="shared" ca="1" si="28"/>
        <v>0.4288389513108613</v>
      </c>
      <c r="V212" s="4">
        <f t="shared" si="29"/>
        <v>41829</v>
      </c>
      <c r="W212" s="5">
        <f t="shared" ca="1" si="27"/>
        <v>0.63451168364289989</v>
      </c>
      <c r="Z212" s="4" t="str">
        <f ca="1">IF(OFFSET('Calc Canada'!$A$1,0,0,300)="","",OFFSET('Calc Canada'!$A$1,0,0,300))</f>
        <v/>
      </c>
      <c r="AA212" s="5" t="e">
        <f ca="1">IF(OFFSET('Calc Canada'!$A$1,0,MATCH(W$1,'Calc Canada'!$1:$1,0)-1,300)="","",OFFSET('Calc Canada'!$A$1,0,MATCH(W$1,'Calc Canada'!$1:$1,0)-1,300))</f>
        <v>#N/A</v>
      </c>
      <c r="AB212" s="5" t="e">
        <f ca="1">IF(OFFSET('Calc Canada'!$A$1,0,MATCH(X$1,'Calc Canada'!$1:$1,0)-1,300)="","",OFFSET('Calc Canada'!$A$1,0,MATCH(X$1,'Calc Canada'!$1:$1,0)-1,300))</f>
        <v>#N/A</v>
      </c>
      <c r="AC212" t="e">
        <f t="shared" ca="1" si="25"/>
        <v>#N/A</v>
      </c>
      <c r="AD212" t="e">
        <f t="shared" ca="1" si="26"/>
        <v>#N/A</v>
      </c>
    </row>
    <row r="213" spans="1:30" x14ac:dyDescent="0.25">
      <c r="A213" s="4">
        <v>41828</v>
      </c>
      <c r="B213">
        <v>1.111</v>
      </c>
      <c r="C213" s="5">
        <v>1.177</v>
      </c>
      <c r="D213">
        <v>1.5489999999999999</v>
      </c>
      <c r="E213">
        <v>1.843</v>
      </c>
      <c r="F213">
        <v>2.2469999999999999</v>
      </c>
      <c r="G213">
        <v>2.782</v>
      </c>
      <c r="H213">
        <f t="shared" ca="1" si="28"/>
        <v>0.50819672131147531</v>
      </c>
      <c r="I213">
        <f t="shared" ca="1" si="28"/>
        <v>0.32746478873239432</v>
      </c>
      <c r="J213">
        <f t="shared" ca="1" si="28"/>
        <v>0.22262118491920999</v>
      </c>
      <c r="K213">
        <f t="shared" ca="1" si="28"/>
        <v>0.25880281690140849</v>
      </c>
      <c r="L213">
        <f t="shared" ca="1" si="28"/>
        <v>0.17594254937163378</v>
      </c>
      <c r="M213">
        <f t="shared" ca="1" si="28"/>
        <v>0.27476635514018699</v>
      </c>
      <c r="N213">
        <f t="shared" ca="1" si="28"/>
        <v>0.18317757009345798</v>
      </c>
      <c r="O213">
        <f t="shared" ca="1" si="28"/>
        <v>0.24177139437462591</v>
      </c>
      <c r="P213">
        <f t="shared" ca="1" si="28"/>
        <v>0.25171339563862921</v>
      </c>
      <c r="Q213">
        <f t="shared" ca="1" si="28"/>
        <v>0.32765612327656113</v>
      </c>
      <c r="R213">
        <f t="shared" ca="1" si="28"/>
        <v>0.64033512866546971</v>
      </c>
      <c r="S213">
        <f t="shared" ca="1" si="28"/>
        <v>0.4177139437462597</v>
      </c>
      <c r="T213">
        <f t="shared" ca="1" si="28"/>
        <v>0.43489096573208719</v>
      </c>
      <c r="V213" s="4">
        <f t="shared" si="29"/>
        <v>41828</v>
      </c>
      <c r="W213" s="5">
        <f t="shared" ca="1" si="27"/>
        <v>0.64033512866546971</v>
      </c>
      <c r="Z213" s="4" t="str">
        <f ca="1">IF(OFFSET('Calc Canada'!$A$1,0,0,300)="","",OFFSET('Calc Canada'!$A$1,0,0,300))</f>
        <v/>
      </c>
      <c r="AA213" s="5" t="e">
        <f ca="1">IF(OFFSET('Calc Canada'!$A$1,0,MATCH(W$1,'Calc Canada'!$1:$1,0)-1,300)="","",OFFSET('Calc Canada'!$A$1,0,MATCH(W$1,'Calc Canada'!$1:$1,0)-1,300))</f>
        <v>#N/A</v>
      </c>
      <c r="AB213" s="5" t="e">
        <f ca="1">IF(OFFSET('Calc Canada'!$A$1,0,MATCH(X$1,'Calc Canada'!$1:$1,0)-1,300)="","",OFFSET('Calc Canada'!$A$1,0,MATCH(X$1,'Calc Canada'!$1:$1,0)-1,300))</f>
        <v>#N/A</v>
      </c>
      <c r="AC213" t="e">
        <f t="shared" ca="1" si="25"/>
        <v>#N/A</v>
      </c>
      <c r="AD213" t="e">
        <f t="shared" ca="1" si="26"/>
        <v>#N/A</v>
      </c>
    </row>
    <row r="214" spans="1:30" x14ac:dyDescent="0.25">
      <c r="A214" s="4">
        <v>41827</v>
      </c>
      <c r="B214">
        <v>1.1280000000000001</v>
      </c>
      <c r="C214" s="5">
        <v>1.1990000000000001</v>
      </c>
      <c r="D214">
        <v>1.5939999999999999</v>
      </c>
      <c r="E214">
        <v>1.891</v>
      </c>
      <c r="F214">
        <v>2.298</v>
      </c>
      <c r="G214">
        <v>2.8250000000000002</v>
      </c>
      <c r="H214">
        <f t="shared" ca="1" si="28"/>
        <v>0.51769331585845324</v>
      </c>
      <c r="I214">
        <f t="shared" ca="1" si="28"/>
        <v>0.33760683760683746</v>
      </c>
      <c r="J214">
        <f t="shared" ca="1" si="28"/>
        <v>0.23276370064820259</v>
      </c>
      <c r="K214">
        <f t="shared" ca="1" si="28"/>
        <v>0.253846153846154</v>
      </c>
      <c r="L214">
        <f t="shared" ca="1" si="28"/>
        <v>0.17501473187978794</v>
      </c>
      <c r="M214">
        <f t="shared" ca="1" si="28"/>
        <v>0.27024567788899012</v>
      </c>
      <c r="N214">
        <f t="shared" ca="1" si="28"/>
        <v>0.18265682656826576</v>
      </c>
      <c r="O214">
        <f t="shared" ca="1" si="28"/>
        <v>0.23983500294637597</v>
      </c>
      <c r="P214">
        <f t="shared" ca="1" si="28"/>
        <v>0.25030750307503075</v>
      </c>
      <c r="Q214">
        <f t="shared" ca="1" si="28"/>
        <v>0.33062550771730292</v>
      </c>
      <c r="R214">
        <f t="shared" ca="1" si="28"/>
        <v>0.64761343547436645</v>
      </c>
      <c r="S214">
        <f t="shared" ca="1" si="28"/>
        <v>0.41484973482616389</v>
      </c>
      <c r="T214">
        <f t="shared" ca="1" si="28"/>
        <v>0.43296432964329651</v>
      </c>
      <c r="V214" s="4">
        <f t="shared" si="29"/>
        <v>41827</v>
      </c>
      <c r="W214" s="5">
        <f t="shared" ca="1" si="27"/>
        <v>0.64761343547436645</v>
      </c>
      <c r="Z214" s="4" t="str">
        <f ca="1">IF(OFFSET('Calc Canada'!$A$1,0,0,300)="","",OFFSET('Calc Canada'!$A$1,0,0,300))</f>
        <v/>
      </c>
      <c r="AA214" s="5" t="e">
        <f ca="1">IF(OFFSET('Calc Canada'!$A$1,0,MATCH(W$1,'Calc Canada'!$1:$1,0)-1,300)="","",OFFSET('Calc Canada'!$A$1,0,MATCH(W$1,'Calc Canada'!$1:$1,0)-1,300))</f>
        <v>#N/A</v>
      </c>
      <c r="AB214" s="5" t="e">
        <f ca="1">IF(OFFSET('Calc Canada'!$A$1,0,MATCH(X$1,'Calc Canada'!$1:$1,0)-1,300)="","",OFFSET('Calc Canada'!$A$1,0,MATCH(X$1,'Calc Canada'!$1:$1,0)-1,300))</f>
        <v>#N/A</v>
      </c>
      <c r="AC214" t="e">
        <f t="shared" ca="1" si="25"/>
        <v>#N/A</v>
      </c>
      <c r="AD214" t="e">
        <f t="shared" ca="1" si="26"/>
        <v>#N/A</v>
      </c>
    </row>
    <row r="215" spans="1:30" x14ac:dyDescent="0.25">
      <c r="A215" s="4">
        <v>41824</v>
      </c>
      <c r="B215">
        <v>1.1339999999999999</v>
      </c>
      <c r="C215" s="5">
        <v>1.2070000000000001</v>
      </c>
      <c r="D215">
        <v>1.617</v>
      </c>
      <c r="E215">
        <v>1.921</v>
      </c>
      <c r="F215">
        <v>2.3279999999999998</v>
      </c>
      <c r="G215">
        <v>2.8439999999999999</v>
      </c>
      <c r="H215">
        <f t="shared" ca="1" si="28"/>
        <v>0.52096569250317637</v>
      </c>
      <c r="I215">
        <f t="shared" ca="1" si="28"/>
        <v>0.34338358458961471</v>
      </c>
      <c r="J215">
        <f t="shared" ca="1" si="28"/>
        <v>0.23976608187134499</v>
      </c>
      <c r="K215">
        <f t="shared" ca="1" si="28"/>
        <v>0.25460636515912904</v>
      </c>
      <c r="L215">
        <f t="shared" ca="1" si="28"/>
        <v>0.17777777777777781</v>
      </c>
      <c r="M215">
        <f t="shared" ca="1" si="28"/>
        <v>0.27118644067796621</v>
      </c>
      <c r="N215">
        <f t="shared" ca="1" si="28"/>
        <v>0.18570555894929755</v>
      </c>
      <c r="O215">
        <f t="shared" ca="1" si="28"/>
        <v>0.23801169590643265</v>
      </c>
      <c r="P215">
        <f t="shared" ca="1" si="28"/>
        <v>0.24862553451435543</v>
      </c>
      <c r="Q215">
        <f t="shared" ca="1" si="28"/>
        <v>0.33170334148329245</v>
      </c>
      <c r="R215">
        <f t="shared" ca="1" si="28"/>
        <v>0.65555555555555545</v>
      </c>
      <c r="S215">
        <f t="shared" ca="1" si="28"/>
        <v>0.41578947368421043</v>
      </c>
      <c r="T215">
        <f t="shared" ca="1" si="28"/>
        <v>0.43433109346365301</v>
      </c>
      <c r="V215" s="4">
        <f t="shared" si="29"/>
        <v>41824</v>
      </c>
      <c r="W215" s="5">
        <f t="shared" ca="1" si="27"/>
        <v>0.65555555555555545</v>
      </c>
      <c r="Z215" s="4" t="str">
        <f ca="1">IF(OFFSET('Calc Canada'!$A$1,0,0,300)="","",OFFSET('Calc Canada'!$A$1,0,0,300))</f>
        <v/>
      </c>
      <c r="AA215" s="5" t="e">
        <f ca="1">IF(OFFSET('Calc Canada'!$A$1,0,MATCH(W$1,'Calc Canada'!$1:$1,0)-1,300)="","",OFFSET('Calc Canada'!$A$1,0,MATCH(W$1,'Calc Canada'!$1:$1,0)-1,300))</f>
        <v>#N/A</v>
      </c>
      <c r="AB215" s="5" t="e">
        <f ca="1">IF(OFFSET('Calc Canada'!$A$1,0,MATCH(X$1,'Calc Canada'!$1:$1,0)-1,300)="","",OFFSET('Calc Canada'!$A$1,0,MATCH(X$1,'Calc Canada'!$1:$1,0)-1,300))</f>
        <v>#N/A</v>
      </c>
      <c r="AC215" t="e">
        <f t="shared" ca="1" si="25"/>
        <v>#N/A</v>
      </c>
      <c r="AD215" t="e">
        <f t="shared" ca="1" si="26"/>
        <v>#N/A</v>
      </c>
    </row>
    <row r="216" spans="1:30" x14ac:dyDescent="0.25">
      <c r="A216" s="4">
        <v>41823</v>
      </c>
      <c r="B216">
        <v>1.133</v>
      </c>
      <c r="C216" s="5">
        <v>1.2070000000000001</v>
      </c>
      <c r="D216">
        <v>1.605</v>
      </c>
      <c r="E216">
        <v>1.911</v>
      </c>
      <c r="F216">
        <v>2.3199999999999998</v>
      </c>
      <c r="G216">
        <v>2.84</v>
      </c>
      <c r="H216">
        <f t="shared" ca="1" si="28"/>
        <v>0.51156812339331603</v>
      </c>
      <c r="I216">
        <f t="shared" ca="1" si="28"/>
        <v>0.33529907329401848</v>
      </c>
      <c r="J216">
        <f t="shared" ca="1" si="28"/>
        <v>0.23315758640890447</v>
      </c>
      <c r="K216">
        <f t="shared" ca="1" si="28"/>
        <v>0.25779275484414499</v>
      </c>
      <c r="L216">
        <f t="shared" ca="1" si="28"/>
        <v>0.17926186291739898</v>
      </c>
      <c r="M216">
        <f t="shared" ca="1" si="28"/>
        <v>0.27493261455525619</v>
      </c>
      <c r="N216">
        <f t="shared" ca="1" si="28"/>
        <v>0.18738518064911211</v>
      </c>
      <c r="O216">
        <f t="shared" ca="1" si="28"/>
        <v>0.23960164030462791</v>
      </c>
      <c r="P216">
        <f t="shared" ca="1" si="28"/>
        <v>0.25045927740355167</v>
      </c>
      <c r="Q216">
        <f t="shared" ca="1" si="28"/>
        <v>0.33117408906882578</v>
      </c>
      <c r="R216">
        <f t="shared" ca="1" si="28"/>
        <v>0.65202108963093142</v>
      </c>
      <c r="S216">
        <f t="shared" ca="1" si="28"/>
        <v>0.41886350322202692</v>
      </c>
      <c r="T216">
        <f t="shared" ca="1" si="28"/>
        <v>0.43784445805266375</v>
      </c>
      <c r="V216" s="4">
        <f t="shared" si="29"/>
        <v>41823</v>
      </c>
      <c r="W216" s="5">
        <f t="shared" ca="1" si="27"/>
        <v>0.65202108963093142</v>
      </c>
      <c r="Z216" s="4" t="str">
        <f ca="1">IF(OFFSET('Calc Canada'!$A$1,0,0,300)="","",OFFSET('Calc Canada'!$A$1,0,0,300))</f>
        <v/>
      </c>
      <c r="AA216" s="5" t="e">
        <f ca="1">IF(OFFSET('Calc Canada'!$A$1,0,MATCH(W$1,'Calc Canada'!$1:$1,0)-1,300)="","",OFFSET('Calc Canada'!$A$1,0,MATCH(W$1,'Calc Canada'!$1:$1,0)-1,300))</f>
        <v>#N/A</v>
      </c>
      <c r="AB216" s="5" t="e">
        <f ca="1">IF(OFFSET('Calc Canada'!$A$1,0,MATCH(X$1,'Calc Canada'!$1:$1,0)-1,300)="","",OFFSET('Calc Canada'!$A$1,0,MATCH(X$1,'Calc Canada'!$1:$1,0)-1,300))</f>
        <v>#N/A</v>
      </c>
      <c r="AC216" t="e">
        <f t="shared" ca="1" si="25"/>
        <v>#N/A</v>
      </c>
      <c r="AD216" t="e">
        <f t="shared" ca="1" si="26"/>
        <v>#N/A</v>
      </c>
    </row>
    <row r="217" spans="1:30" x14ac:dyDescent="0.25">
      <c r="A217" s="4">
        <v>41822</v>
      </c>
      <c r="B217">
        <v>1.131</v>
      </c>
      <c r="C217" s="5">
        <v>1.2090000000000001</v>
      </c>
      <c r="D217">
        <v>1.6019999999999999</v>
      </c>
      <c r="E217">
        <v>1.911</v>
      </c>
      <c r="F217">
        <v>2.3180000000000001</v>
      </c>
      <c r="G217">
        <v>2.8420000000000001</v>
      </c>
      <c r="H217">
        <f t="shared" ca="1" si="28"/>
        <v>0.50384615384615361</v>
      </c>
      <c r="I217">
        <f t="shared" ca="1" si="28"/>
        <v>0.33108677337826437</v>
      </c>
      <c r="J217">
        <f t="shared" ca="1" si="28"/>
        <v>0.22969023962594962</v>
      </c>
      <c r="K217">
        <f t="shared" ca="1" si="28"/>
        <v>0.26032013479359745</v>
      </c>
      <c r="L217">
        <f t="shared" ca="1" si="28"/>
        <v>0.18059614260666285</v>
      </c>
      <c r="M217">
        <f t="shared" ca="1" si="28"/>
        <v>0.27862939585211915</v>
      </c>
      <c r="N217">
        <f t="shared" ca="1" si="28"/>
        <v>0.18922229026331913</v>
      </c>
      <c r="O217">
        <f t="shared" ca="1" si="28"/>
        <v>0.23787258912916423</v>
      </c>
      <c r="P217">
        <f t="shared" ca="1" si="28"/>
        <v>0.2492345376607471</v>
      </c>
      <c r="Q217">
        <f t="shared" ca="1" si="28"/>
        <v>0.32822580645161287</v>
      </c>
      <c r="R217">
        <f t="shared" ca="1" si="28"/>
        <v>0.64815897136177669</v>
      </c>
      <c r="S217">
        <f t="shared" ca="1" si="28"/>
        <v>0.4184687317358271</v>
      </c>
      <c r="T217">
        <f t="shared" ca="1" si="28"/>
        <v>0.43845682792406626</v>
      </c>
      <c r="V217" s="4">
        <f t="shared" si="29"/>
        <v>41822</v>
      </c>
      <c r="W217" s="5">
        <f t="shared" ca="1" si="27"/>
        <v>0.64815897136177669</v>
      </c>
      <c r="Z217" s="4" t="str">
        <f ca="1">IF(OFFSET('Calc Canada'!$A$1,0,0,300)="","",OFFSET('Calc Canada'!$A$1,0,0,300))</f>
        <v/>
      </c>
      <c r="AA217" s="5" t="e">
        <f ca="1">IF(OFFSET('Calc Canada'!$A$1,0,MATCH(W$1,'Calc Canada'!$1:$1,0)-1,300)="","",OFFSET('Calc Canada'!$A$1,0,MATCH(W$1,'Calc Canada'!$1:$1,0)-1,300))</f>
        <v>#N/A</v>
      </c>
      <c r="AB217" s="5" t="e">
        <f ca="1">IF(OFFSET('Calc Canada'!$A$1,0,MATCH(X$1,'Calc Canada'!$1:$1,0)-1,300)="","",OFFSET('Calc Canada'!$A$1,0,MATCH(X$1,'Calc Canada'!$1:$1,0)-1,300))</f>
        <v>#N/A</v>
      </c>
      <c r="AC217" t="e">
        <f t="shared" ca="1" si="25"/>
        <v>#N/A</v>
      </c>
      <c r="AD217" t="e">
        <f t="shared" ca="1" si="26"/>
        <v>#N/A</v>
      </c>
    </row>
    <row r="218" spans="1:30" x14ac:dyDescent="0.25">
      <c r="A218" s="4">
        <v>41821</v>
      </c>
      <c r="B218">
        <v>1.103</v>
      </c>
      <c r="C218" s="5">
        <v>1.179</v>
      </c>
      <c r="D218">
        <v>1.5329999999999999</v>
      </c>
      <c r="E218">
        <v>1.843</v>
      </c>
      <c r="F218">
        <v>2.2480000000000002</v>
      </c>
      <c r="G218">
        <v>2.7839999999999998</v>
      </c>
      <c r="H218">
        <f t="shared" ca="1" si="28"/>
        <v>0.47837837837837821</v>
      </c>
      <c r="I218">
        <f t="shared" ca="1" si="28"/>
        <v>0.30917030567685572</v>
      </c>
      <c r="J218">
        <f t="shared" ca="1" si="28"/>
        <v>0.21058893515764421</v>
      </c>
      <c r="K218">
        <f t="shared" ca="1" si="28"/>
        <v>0.27074235807860259</v>
      </c>
      <c r="L218">
        <f t="shared" ca="1" si="28"/>
        <v>0.1844140392623439</v>
      </c>
      <c r="M218">
        <f t="shared" ca="1" si="28"/>
        <v>0.28999064546304959</v>
      </c>
      <c r="N218">
        <f t="shared" ca="1" si="28"/>
        <v>0.19314641744548292</v>
      </c>
      <c r="O218">
        <f t="shared" ca="1" si="28"/>
        <v>0.2409280190362881</v>
      </c>
      <c r="P218">
        <f t="shared" ca="1" si="28"/>
        <v>0.25233644859813104</v>
      </c>
      <c r="Q218">
        <f t="shared" ca="1" si="28"/>
        <v>0.32374100719424481</v>
      </c>
      <c r="R218">
        <f t="shared" ca="1" si="28"/>
        <v>0.63593099345627624</v>
      </c>
      <c r="S218">
        <f t="shared" ca="1" si="28"/>
        <v>0.42534205829863198</v>
      </c>
      <c r="T218">
        <f t="shared" ca="1" si="28"/>
        <v>0.44548286604361398</v>
      </c>
      <c r="V218" s="4">
        <f t="shared" si="29"/>
        <v>41821</v>
      </c>
      <c r="W218" s="5">
        <f t="shared" ca="1" si="27"/>
        <v>0.63593099345627624</v>
      </c>
      <c r="Z218" s="4" t="str">
        <f ca="1">IF(OFFSET('Calc Canada'!$A$1,0,0,300)="","",OFFSET('Calc Canada'!$A$1,0,0,300))</f>
        <v/>
      </c>
      <c r="AA218" s="5" t="e">
        <f ca="1">IF(OFFSET('Calc Canada'!$A$1,0,MATCH(W$1,'Calc Canada'!$1:$1,0)-1,300)="","",OFFSET('Calc Canada'!$A$1,0,MATCH(W$1,'Calc Canada'!$1:$1,0)-1,300))</f>
        <v>#N/A</v>
      </c>
      <c r="AB218" s="5" t="e">
        <f ca="1">IF(OFFSET('Calc Canada'!$A$1,0,MATCH(X$1,'Calc Canada'!$1:$1,0)-1,300)="","",OFFSET('Calc Canada'!$A$1,0,MATCH(X$1,'Calc Canada'!$1:$1,0)-1,300))</f>
        <v>#N/A</v>
      </c>
      <c r="AC218" t="e">
        <f t="shared" ca="1" si="25"/>
        <v>#N/A</v>
      </c>
      <c r="AD218" t="e">
        <f t="shared" ca="1" si="26"/>
        <v>#N/A</v>
      </c>
    </row>
    <row r="219" spans="1:30" x14ac:dyDescent="0.25">
      <c r="A219" s="4">
        <v>41820</v>
      </c>
      <c r="B219">
        <v>1.103</v>
      </c>
      <c r="C219" s="5">
        <v>1.177</v>
      </c>
      <c r="D219">
        <v>1.5249999999999999</v>
      </c>
      <c r="E219">
        <v>1.829</v>
      </c>
      <c r="F219">
        <v>2.2330000000000001</v>
      </c>
      <c r="G219">
        <v>2.7770000000000001</v>
      </c>
      <c r="H219">
        <f t="shared" ca="1" si="28"/>
        <v>0.47933884297520646</v>
      </c>
      <c r="I219">
        <f t="shared" ca="1" si="28"/>
        <v>0.30796460176991136</v>
      </c>
      <c r="J219">
        <f t="shared" ca="1" si="28"/>
        <v>0.20788530465949812</v>
      </c>
      <c r="K219">
        <f t="shared" ca="1" si="28"/>
        <v>0.26902654867256637</v>
      </c>
      <c r="L219">
        <f t="shared" ca="1" si="28"/>
        <v>0.18160095579450419</v>
      </c>
      <c r="M219">
        <f t="shared" ca="1" si="28"/>
        <v>0.2878787878787879</v>
      </c>
      <c r="N219">
        <f t="shared" ca="1" si="28"/>
        <v>0.19000000000000003</v>
      </c>
      <c r="O219">
        <f t="shared" ca="1" si="28"/>
        <v>0.24133811230585431</v>
      </c>
      <c r="P219">
        <f t="shared" ca="1" si="28"/>
        <v>0.25250000000000006</v>
      </c>
      <c r="Q219">
        <f t="shared" ca="1" si="28"/>
        <v>0.32268370607028757</v>
      </c>
      <c r="R219">
        <f t="shared" ca="1" si="28"/>
        <v>0.63082437275985659</v>
      </c>
      <c r="S219">
        <f t="shared" ca="1" si="28"/>
        <v>0.42293906810035847</v>
      </c>
      <c r="T219">
        <f t="shared" ca="1" si="28"/>
        <v>0.44250000000000012</v>
      </c>
      <c r="V219" s="4">
        <f t="shared" si="29"/>
        <v>41820</v>
      </c>
      <c r="W219" s="5">
        <f t="shared" ca="1" si="27"/>
        <v>0.63082437275985659</v>
      </c>
      <c r="Z219" s="4" t="str">
        <f ca="1">IF(OFFSET('Calc Canada'!$A$1,0,0,300)="","",OFFSET('Calc Canada'!$A$1,0,0,300))</f>
        <v/>
      </c>
      <c r="AA219" s="5" t="e">
        <f ca="1">IF(OFFSET('Calc Canada'!$A$1,0,MATCH(W$1,'Calc Canada'!$1:$1,0)-1,300)="","",OFFSET('Calc Canada'!$A$1,0,MATCH(W$1,'Calc Canada'!$1:$1,0)-1,300))</f>
        <v>#N/A</v>
      </c>
      <c r="AB219" s="5" t="e">
        <f ca="1">IF(OFFSET('Calc Canada'!$A$1,0,MATCH(X$1,'Calc Canada'!$1:$1,0)-1,300)="","",OFFSET('Calc Canada'!$A$1,0,MATCH(X$1,'Calc Canada'!$1:$1,0)-1,300))</f>
        <v>#N/A</v>
      </c>
      <c r="AC219" t="e">
        <f t="shared" ca="1" si="25"/>
        <v>#N/A</v>
      </c>
      <c r="AD219" t="e">
        <f t="shared" ca="1" si="26"/>
        <v>#N/A</v>
      </c>
    </row>
    <row r="220" spans="1:30" x14ac:dyDescent="0.25">
      <c r="A220" s="4">
        <v>41817</v>
      </c>
      <c r="B220">
        <v>1.117</v>
      </c>
      <c r="C220" s="5">
        <v>1.1919999999999999</v>
      </c>
      <c r="D220">
        <v>1.556</v>
      </c>
      <c r="E220">
        <v>1.847</v>
      </c>
      <c r="F220">
        <v>2.2469999999999999</v>
      </c>
      <c r="G220">
        <v>2.7989999999999999</v>
      </c>
      <c r="H220">
        <f t="shared" ca="1" si="28"/>
        <v>0.49863013698630154</v>
      </c>
      <c r="I220">
        <f t="shared" ca="1" si="28"/>
        <v>0.32212389380530987</v>
      </c>
      <c r="J220">
        <f t="shared" ca="1" si="28"/>
        <v>0.21640903686087998</v>
      </c>
      <c r="K220">
        <f t="shared" ca="1" si="28"/>
        <v>0.25752212389380524</v>
      </c>
      <c r="L220">
        <f t="shared" ca="1" si="28"/>
        <v>0.1730083234244946</v>
      </c>
      <c r="M220">
        <f t="shared" ca="1" si="28"/>
        <v>0.27582938388625589</v>
      </c>
      <c r="N220">
        <f t="shared" ca="1" si="28"/>
        <v>0.18108276291225883</v>
      </c>
      <c r="O220">
        <f t="shared" ca="1" si="28"/>
        <v>0.23781212841854929</v>
      </c>
      <c r="P220">
        <f t="shared" ca="1" si="28"/>
        <v>0.24891101431238327</v>
      </c>
      <c r="Q220">
        <f t="shared" ca="1" si="28"/>
        <v>0.32180209171359608</v>
      </c>
      <c r="R220">
        <f t="shared" ca="1" si="28"/>
        <v>0.62722948870392392</v>
      </c>
      <c r="S220">
        <f t="shared" ca="1" si="28"/>
        <v>0.41082045184304389</v>
      </c>
      <c r="T220">
        <f t="shared" ca="1" si="28"/>
        <v>0.4299937772246421</v>
      </c>
      <c r="V220" s="4">
        <f t="shared" si="29"/>
        <v>41817</v>
      </c>
      <c r="W220" s="5">
        <f t="shared" ca="1" si="27"/>
        <v>0.62722948870392392</v>
      </c>
      <c r="Z220" s="4" t="str">
        <f ca="1">IF(OFFSET('Calc Canada'!$A$1,0,0,300)="","",OFFSET('Calc Canada'!$A$1,0,0,300))</f>
        <v/>
      </c>
      <c r="AA220" s="5" t="e">
        <f ca="1">IF(OFFSET('Calc Canada'!$A$1,0,MATCH(W$1,'Calc Canada'!$1:$1,0)-1,300)="","",OFFSET('Calc Canada'!$A$1,0,MATCH(W$1,'Calc Canada'!$1:$1,0)-1,300))</f>
        <v>#N/A</v>
      </c>
      <c r="AB220" s="5" t="e">
        <f ca="1">IF(OFFSET('Calc Canada'!$A$1,0,MATCH(X$1,'Calc Canada'!$1:$1,0)-1,300)="","",OFFSET('Calc Canada'!$A$1,0,MATCH(X$1,'Calc Canada'!$1:$1,0)-1,300))</f>
        <v>#N/A</v>
      </c>
      <c r="AC220" t="e">
        <f t="shared" ca="1" si="25"/>
        <v>#N/A</v>
      </c>
      <c r="AD220" t="e">
        <f t="shared" ca="1" si="26"/>
        <v>#N/A</v>
      </c>
    </row>
    <row r="221" spans="1:30" x14ac:dyDescent="0.25">
      <c r="A221" s="4">
        <v>41816</v>
      </c>
      <c r="B221">
        <v>1.107</v>
      </c>
      <c r="C221" s="5">
        <v>1.1870000000000001</v>
      </c>
      <c r="D221">
        <v>1.5489999999999999</v>
      </c>
      <c r="E221">
        <v>1.8359999999999999</v>
      </c>
      <c r="F221">
        <v>2.2389999999999999</v>
      </c>
      <c r="G221">
        <v>2.7970000000000002</v>
      </c>
      <c r="H221">
        <f t="shared" ref="H221:T236" ca="1" si="30">IF(ISERROR(ABS(OFFSET($A$11,ROW()-11,MATCH(LEFT(H$9,2),$A$11:$G$11,0)-1)-OFFSET($A$11,ROW()-11,MATCH(RIGHT(H$9,2),$A$11:$G$11,0)-1))/ABS(OFFSET($A$11,ROW()-11,MATCH(LEFT(H$10,2),$A$11:$G$11,0)-1)-OFFSET($A$11,ROW()-11,MATCH(RIGHT(H$10,2),$A$11:$G$11,0)-1))),"",ABS(OFFSET($A$11,ROW()-11,MATCH(LEFT(H$9,2),$A$11:$G$11,0)-1)-OFFSET($A$11,ROW()-11,MATCH(RIGHT(H$9,2),$A$11:$G$11,0)-1))/ABS(OFFSET($A$11,ROW()-11,MATCH(LEFT(H$10,2),$A$11:$G$11,0)-1)-OFFSET($A$11,ROW()-11,MATCH(RIGHT(H$10,2),$A$11:$G$11,0)-1)))</f>
        <v>0.49657064471879281</v>
      </c>
      <c r="I221">
        <f t="shared" ca="1" si="30"/>
        <v>0.31978798586572432</v>
      </c>
      <c r="J221">
        <f t="shared" ca="1" si="30"/>
        <v>0.21420118343195257</v>
      </c>
      <c r="K221">
        <f t="shared" ca="1" si="30"/>
        <v>0.25353356890459361</v>
      </c>
      <c r="L221">
        <f t="shared" ca="1" si="30"/>
        <v>0.16982248520710053</v>
      </c>
      <c r="M221">
        <f t="shared" ca="1" si="30"/>
        <v>0.27281368821292773</v>
      </c>
      <c r="N221">
        <f t="shared" ca="1" si="30"/>
        <v>0.17826086956521733</v>
      </c>
      <c r="O221">
        <f t="shared" ca="1" si="30"/>
        <v>0.23846153846153845</v>
      </c>
      <c r="P221">
        <f t="shared" ca="1" si="30"/>
        <v>0.25031055900621119</v>
      </c>
      <c r="Q221">
        <f t="shared" ca="1" si="30"/>
        <v>0.32291666666666663</v>
      </c>
      <c r="R221">
        <f t="shared" ca="1" si="30"/>
        <v>0.62248520710059152</v>
      </c>
      <c r="S221">
        <f t="shared" ca="1" si="30"/>
        <v>0.40828402366863897</v>
      </c>
      <c r="T221">
        <f t="shared" ca="1" si="30"/>
        <v>0.42857142857142849</v>
      </c>
      <c r="V221" s="4">
        <f t="shared" si="29"/>
        <v>41816</v>
      </c>
      <c r="W221" s="5">
        <f t="shared" ca="1" si="27"/>
        <v>0.62248520710059152</v>
      </c>
      <c r="Z221" s="4" t="str">
        <f ca="1">IF(OFFSET('Calc Canada'!$A$1,0,0,300)="","",OFFSET('Calc Canada'!$A$1,0,0,300))</f>
        <v/>
      </c>
      <c r="AA221" s="5" t="e">
        <f ca="1">IF(OFFSET('Calc Canada'!$A$1,0,MATCH(W$1,'Calc Canada'!$1:$1,0)-1,300)="","",OFFSET('Calc Canada'!$A$1,0,MATCH(W$1,'Calc Canada'!$1:$1,0)-1,300))</f>
        <v>#N/A</v>
      </c>
      <c r="AB221" s="5" t="e">
        <f ca="1">IF(OFFSET('Calc Canada'!$A$1,0,MATCH(X$1,'Calc Canada'!$1:$1,0)-1,300)="","",OFFSET('Calc Canada'!$A$1,0,MATCH(X$1,'Calc Canada'!$1:$1,0)-1,300))</f>
        <v>#N/A</v>
      </c>
      <c r="AC221" t="e">
        <f t="shared" ca="1" si="25"/>
        <v>#N/A</v>
      </c>
      <c r="AD221" t="e">
        <f t="shared" ca="1" si="26"/>
        <v>#N/A</v>
      </c>
    </row>
    <row r="222" spans="1:30" x14ac:dyDescent="0.25">
      <c r="A222" s="4">
        <v>41815</v>
      </c>
      <c r="B222">
        <v>1.1160000000000001</v>
      </c>
      <c r="C222" s="5">
        <v>1.1970000000000001</v>
      </c>
      <c r="D222">
        <v>1.5779999999999998</v>
      </c>
      <c r="E222">
        <v>1.865</v>
      </c>
      <c r="F222">
        <v>2.2690000000000001</v>
      </c>
      <c r="G222">
        <v>2.82</v>
      </c>
      <c r="H222">
        <f t="shared" ca="1" si="30"/>
        <v>0.50867823765020004</v>
      </c>
      <c r="I222">
        <f t="shared" ca="1" si="30"/>
        <v>0.33044232437120535</v>
      </c>
      <c r="J222">
        <f t="shared" ca="1" si="30"/>
        <v>0.22359154929577454</v>
      </c>
      <c r="K222">
        <f t="shared" ca="1" si="30"/>
        <v>0.2489158716392022</v>
      </c>
      <c r="L222">
        <f t="shared" ca="1" si="30"/>
        <v>0.16842723004694846</v>
      </c>
      <c r="M222">
        <f t="shared" ca="1" si="30"/>
        <v>0.26772388059701502</v>
      </c>
      <c r="N222">
        <f t="shared" ca="1" si="30"/>
        <v>0.17683302526186087</v>
      </c>
      <c r="O222">
        <f t="shared" ca="1" si="30"/>
        <v>0.23708920187793439</v>
      </c>
      <c r="P222">
        <f t="shared" ca="1" si="30"/>
        <v>0.24892174984596438</v>
      </c>
      <c r="Q222">
        <f t="shared" ca="1" si="30"/>
        <v>0.32528180354267322</v>
      </c>
      <c r="R222">
        <f t="shared" ca="1" si="30"/>
        <v>0.62910798122065736</v>
      </c>
      <c r="S222">
        <f t="shared" ca="1" si="30"/>
        <v>0.40551643192488285</v>
      </c>
      <c r="T222">
        <f t="shared" ca="1" si="30"/>
        <v>0.42575477510782522</v>
      </c>
      <c r="V222" s="4">
        <f t="shared" si="29"/>
        <v>41815</v>
      </c>
      <c r="W222" s="5">
        <f t="shared" ca="1" si="27"/>
        <v>0.62910798122065736</v>
      </c>
      <c r="Z222" s="4" t="str">
        <f ca="1">IF(OFFSET('Calc Canada'!$A$1,0,0,300)="","",OFFSET('Calc Canada'!$A$1,0,0,300))</f>
        <v/>
      </c>
      <c r="AA222" s="5" t="e">
        <f ca="1">IF(OFFSET('Calc Canada'!$A$1,0,MATCH(W$1,'Calc Canada'!$1:$1,0)-1,300)="","",OFFSET('Calc Canada'!$A$1,0,MATCH(W$1,'Calc Canada'!$1:$1,0)-1,300))</f>
        <v>#N/A</v>
      </c>
      <c r="AB222" s="5" t="e">
        <f ca="1">IF(OFFSET('Calc Canada'!$A$1,0,MATCH(X$1,'Calc Canada'!$1:$1,0)-1,300)="","",OFFSET('Calc Canada'!$A$1,0,MATCH(X$1,'Calc Canada'!$1:$1,0)-1,300))</f>
        <v>#N/A</v>
      </c>
      <c r="AC222" t="e">
        <f t="shared" ca="1" si="25"/>
        <v>#N/A</v>
      </c>
      <c r="AD222" t="e">
        <f t="shared" ca="1" si="26"/>
        <v>#N/A</v>
      </c>
    </row>
    <row r="223" spans="1:30" x14ac:dyDescent="0.25">
      <c r="A223" s="4">
        <v>41814</v>
      </c>
      <c r="B223">
        <v>1.121</v>
      </c>
      <c r="C223" s="5">
        <v>1.208</v>
      </c>
      <c r="D223">
        <v>1.581</v>
      </c>
      <c r="E223">
        <v>1.88</v>
      </c>
      <c r="F223">
        <v>2.282</v>
      </c>
      <c r="G223">
        <v>2.823</v>
      </c>
      <c r="H223">
        <f t="shared" ca="1" si="30"/>
        <v>0.49143610013175237</v>
      </c>
      <c r="I223">
        <f t="shared" ca="1" si="30"/>
        <v>0.32127476313522824</v>
      </c>
      <c r="J223">
        <f t="shared" ca="1" si="30"/>
        <v>0.2191539365452409</v>
      </c>
      <c r="K223">
        <f t="shared" ca="1" si="30"/>
        <v>0.25753660637381559</v>
      </c>
      <c r="L223">
        <f t="shared" ca="1" si="30"/>
        <v>0.17567567567567563</v>
      </c>
      <c r="M223">
        <f t="shared" ca="1" si="30"/>
        <v>0.27839851024208556</v>
      </c>
      <c r="N223">
        <f t="shared" ca="1" si="30"/>
        <v>0.18513931888544888</v>
      </c>
      <c r="O223">
        <f t="shared" ca="1" si="30"/>
        <v>0.23619271445358411</v>
      </c>
      <c r="P223">
        <f t="shared" ca="1" si="30"/>
        <v>0.24891640866873074</v>
      </c>
      <c r="Q223">
        <f t="shared" ca="1" si="30"/>
        <v>0.32367149758454117</v>
      </c>
      <c r="R223">
        <f t="shared" ca="1" si="30"/>
        <v>0.63102232667450064</v>
      </c>
      <c r="S223">
        <f t="shared" ca="1" si="30"/>
        <v>0.41186839012925974</v>
      </c>
      <c r="T223">
        <f t="shared" ca="1" si="30"/>
        <v>0.43405572755417959</v>
      </c>
      <c r="V223" s="4">
        <f t="shared" si="29"/>
        <v>41814</v>
      </c>
      <c r="W223" s="5">
        <f t="shared" ca="1" si="27"/>
        <v>0.63102232667450064</v>
      </c>
      <c r="Z223" s="4" t="str">
        <f ca="1">IF(OFFSET('Calc Canada'!$A$1,0,0,300)="","",OFFSET('Calc Canada'!$A$1,0,0,300))</f>
        <v/>
      </c>
      <c r="AA223" s="5" t="e">
        <f ca="1">IF(OFFSET('Calc Canada'!$A$1,0,MATCH(W$1,'Calc Canada'!$1:$1,0)-1,300)="","",OFFSET('Calc Canada'!$A$1,0,MATCH(W$1,'Calc Canada'!$1:$1,0)-1,300))</f>
        <v>#N/A</v>
      </c>
      <c r="AB223" s="5" t="e">
        <f ca="1">IF(OFFSET('Calc Canada'!$A$1,0,MATCH(X$1,'Calc Canada'!$1:$1,0)-1,300)="","",OFFSET('Calc Canada'!$A$1,0,MATCH(X$1,'Calc Canada'!$1:$1,0)-1,300))</f>
        <v>#N/A</v>
      </c>
      <c r="AC223" t="e">
        <f t="shared" ca="1" si="25"/>
        <v>#N/A</v>
      </c>
      <c r="AD223" t="e">
        <f t="shared" ca="1" si="26"/>
        <v>#N/A</v>
      </c>
    </row>
    <row r="224" spans="1:30" x14ac:dyDescent="0.25">
      <c r="A224" s="4">
        <v>41813</v>
      </c>
      <c r="B224">
        <v>1.1419999999999999</v>
      </c>
      <c r="C224" s="5">
        <v>1.232</v>
      </c>
      <c r="D224">
        <v>1.641</v>
      </c>
      <c r="E224">
        <v>1.9340000000000002</v>
      </c>
      <c r="F224">
        <v>2.331</v>
      </c>
      <c r="G224">
        <v>2.8609999999999998</v>
      </c>
      <c r="H224">
        <f t="shared" ca="1" si="30"/>
        <v>0.51641414141414133</v>
      </c>
      <c r="I224">
        <f t="shared" ca="1" si="30"/>
        <v>0.34398654331370898</v>
      </c>
      <c r="J224">
        <f t="shared" ca="1" si="30"/>
        <v>0.23792902850494477</v>
      </c>
      <c r="K224">
        <f t="shared" ca="1" si="30"/>
        <v>0.24642556770395302</v>
      </c>
      <c r="L224">
        <f t="shared" ca="1" si="30"/>
        <v>0.1704479348458407</v>
      </c>
      <c r="M224">
        <f t="shared" ca="1" si="30"/>
        <v>0.2666060054595088</v>
      </c>
      <c r="N224">
        <f t="shared" ca="1" si="30"/>
        <v>0.17986494782074905</v>
      </c>
      <c r="O224">
        <f t="shared" ca="1" si="30"/>
        <v>0.23094822571262352</v>
      </c>
      <c r="P224">
        <f t="shared" ca="1" si="30"/>
        <v>0.24370779619398394</v>
      </c>
      <c r="Q224">
        <f t="shared" ca="1" si="30"/>
        <v>0.32540983606557367</v>
      </c>
      <c r="R224">
        <f t="shared" ca="1" si="30"/>
        <v>0.63932518906340896</v>
      </c>
      <c r="S224">
        <f t="shared" ca="1" si="30"/>
        <v>0.40139616055846422</v>
      </c>
      <c r="T224">
        <f t="shared" ca="1" si="30"/>
        <v>0.42357274401473299</v>
      </c>
      <c r="V224" s="4">
        <f t="shared" si="29"/>
        <v>41813</v>
      </c>
      <c r="W224" s="5">
        <f t="shared" ca="1" si="27"/>
        <v>0.63932518906340896</v>
      </c>
      <c r="Z224" s="4" t="str">
        <f ca="1">IF(OFFSET('Calc Canada'!$A$1,0,0,300)="","",OFFSET('Calc Canada'!$A$1,0,0,300))</f>
        <v/>
      </c>
      <c r="AA224" s="5" t="e">
        <f ca="1">IF(OFFSET('Calc Canada'!$A$1,0,MATCH(W$1,'Calc Canada'!$1:$1,0)-1,300)="","",OFFSET('Calc Canada'!$A$1,0,MATCH(W$1,'Calc Canada'!$1:$1,0)-1,300))</f>
        <v>#N/A</v>
      </c>
      <c r="AB224" s="5" t="e">
        <f ca="1">IF(OFFSET('Calc Canada'!$A$1,0,MATCH(X$1,'Calc Canada'!$1:$1,0)-1,300)="","",OFFSET('Calc Canada'!$A$1,0,MATCH(X$1,'Calc Canada'!$1:$1,0)-1,300))</f>
        <v>#N/A</v>
      </c>
      <c r="AC224" t="e">
        <f t="shared" ca="1" si="25"/>
        <v>#N/A</v>
      </c>
      <c r="AD224" t="e">
        <f t="shared" ca="1" si="26"/>
        <v>#N/A</v>
      </c>
    </row>
    <row r="225" spans="1:30" x14ac:dyDescent="0.25">
      <c r="A225" s="4">
        <v>41810</v>
      </c>
      <c r="B225">
        <v>1.1299999999999999</v>
      </c>
      <c r="C225" s="5">
        <v>1.2190000000000001</v>
      </c>
      <c r="D225">
        <v>1.595</v>
      </c>
      <c r="E225">
        <v>1.8919999999999999</v>
      </c>
      <c r="F225">
        <v>2.2919999999999998</v>
      </c>
      <c r="G225">
        <v>2.8330000000000002</v>
      </c>
      <c r="H225">
        <f t="shared" ca="1" si="30"/>
        <v>0.49343832020997358</v>
      </c>
      <c r="I225">
        <f t="shared" ca="1" si="30"/>
        <v>0.32358003442340783</v>
      </c>
      <c r="J225">
        <f t="shared" ca="1" si="30"/>
        <v>0.22078684674104512</v>
      </c>
      <c r="K225">
        <f t="shared" ca="1" si="30"/>
        <v>0.25559380378657481</v>
      </c>
      <c r="L225">
        <f t="shared" ca="1" si="30"/>
        <v>0.17439812096300639</v>
      </c>
      <c r="M225">
        <f t="shared" ca="1" si="30"/>
        <v>0.27679403541472508</v>
      </c>
      <c r="N225">
        <f t="shared" ca="1" si="30"/>
        <v>0.18401486988847579</v>
      </c>
      <c r="O225">
        <f t="shared" ca="1" si="30"/>
        <v>0.23487962419260119</v>
      </c>
      <c r="P225">
        <f t="shared" ca="1" si="30"/>
        <v>0.24783147459727378</v>
      </c>
      <c r="Q225">
        <f t="shared" ca="1" si="30"/>
        <v>0.32310177705977372</v>
      </c>
      <c r="R225">
        <f t="shared" ca="1" si="30"/>
        <v>0.63006459189665265</v>
      </c>
      <c r="S225">
        <f t="shared" ca="1" si="30"/>
        <v>0.40927774515560761</v>
      </c>
      <c r="T225">
        <f t="shared" ca="1" si="30"/>
        <v>0.43184634448574954</v>
      </c>
      <c r="V225" s="4">
        <f t="shared" si="29"/>
        <v>41810</v>
      </c>
      <c r="W225" s="5">
        <f t="shared" ca="1" si="27"/>
        <v>0.63006459189665265</v>
      </c>
      <c r="Z225" s="4" t="str">
        <f ca="1">IF(OFFSET('Calc Canada'!$A$1,0,0,300)="","",OFFSET('Calc Canada'!$A$1,0,0,300))</f>
        <v/>
      </c>
      <c r="AA225" s="5" t="e">
        <f ca="1">IF(OFFSET('Calc Canada'!$A$1,0,MATCH(W$1,'Calc Canada'!$1:$1,0)-1,300)="","",OFFSET('Calc Canada'!$A$1,0,MATCH(W$1,'Calc Canada'!$1:$1,0)-1,300))</f>
        <v>#N/A</v>
      </c>
      <c r="AB225" s="5" t="e">
        <f ca="1">IF(OFFSET('Calc Canada'!$A$1,0,MATCH(X$1,'Calc Canada'!$1:$1,0)-1,300)="","",OFFSET('Calc Canada'!$A$1,0,MATCH(X$1,'Calc Canada'!$1:$1,0)-1,300))</f>
        <v>#N/A</v>
      </c>
      <c r="AC225" t="e">
        <f t="shared" ca="1" si="25"/>
        <v>#N/A</v>
      </c>
      <c r="AD225" t="e">
        <f t="shared" ca="1" si="26"/>
        <v>#N/A</v>
      </c>
    </row>
    <row r="226" spans="1:30" x14ac:dyDescent="0.25">
      <c r="A226" s="4">
        <v>41809</v>
      </c>
      <c r="B226">
        <v>1.0780000000000001</v>
      </c>
      <c r="C226" s="5">
        <v>1.157</v>
      </c>
      <c r="D226">
        <v>1.528</v>
      </c>
      <c r="E226">
        <v>1.845</v>
      </c>
      <c r="F226">
        <v>2.2589999999999999</v>
      </c>
      <c r="G226">
        <v>2.823</v>
      </c>
      <c r="H226">
        <f t="shared" ca="1" si="30"/>
        <v>0.48370273794002611</v>
      </c>
      <c r="I226">
        <f t="shared" ca="1" si="30"/>
        <v>0.31414055884843356</v>
      </c>
      <c r="J226">
        <f t="shared" ca="1" si="30"/>
        <v>0.21260744985673355</v>
      </c>
      <c r="K226">
        <f t="shared" ca="1" si="30"/>
        <v>0.26841659610499574</v>
      </c>
      <c r="L226">
        <f t="shared" ca="1" si="30"/>
        <v>0.18166189111747849</v>
      </c>
      <c r="M226">
        <f t="shared" ca="1" si="30"/>
        <v>0.28765880217785844</v>
      </c>
      <c r="N226">
        <f t="shared" ca="1" si="30"/>
        <v>0.19027611044417764</v>
      </c>
      <c r="O226">
        <f t="shared" ca="1" si="30"/>
        <v>0.23724928366762174</v>
      </c>
      <c r="P226">
        <f t="shared" ca="1" si="30"/>
        <v>0.24849939975990393</v>
      </c>
      <c r="Q226">
        <f t="shared" ca="1" si="30"/>
        <v>0.31969111969111963</v>
      </c>
      <c r="R226">
        <f t="shared" ca="1" si="30"/>
        <v>0.63151862464183373</v>
      </c>
      <c r="S226">
        <f t="shared" ca="1" si="30"/>
        <v>0.41891117478510026</v>
      </c>
      <c r="T226">
        <f t="shared" ca="1" si="30"/>
        <v>0.43877551020408156</v>
      </c>
      <c r="V226" s="4">
        <f t="shared" si="29"/>
        <v>41809</v>
      </c>
      <c r="W226" s="5">
        <f t="shared" ca="1" si="27"/>
        <v>0.63151862464183373</v>
      </c>
      <c r="Z226" s="4" t="str">
        <f ca="1">IF(OFFSET('Calc Canada'!$A$1,0,0,300)="","",OFFSET('Calc Canada'!$A$1,0,0,300))</f>
        <v/>
      </c>
      <c r="AA226" s="5" t="e">
        <f ca="1">IF(OFFSET('Calc Canada'!$A$1,0,MATCH(W$1,'Calc Canada'!$1:$1,0)-1,300)="","",OFFSET('Calc Canada'!$A$1,0,MATCH(W$1,'Calc Canada'!$1:$1,0)-1,300))</f>
        <v>#N/A</v>
      </c>
      <c r="AB226" s="5" t="e">
        <f ca="1">IF(OFFSET('Calc Canada'!$A$1,0,MATCH(X$1,'Calc Canada'!$1:$1,0)-1,300)="","",OFFSET('Calc Canada'!$A$1,0,MATCH(X$1,'Calc Canada'!$1:$1,0)-1,300))</f>
        <v>#N/A</v>
      </c>
      <c r="AC226" t="e">
        <f t="shared" ca="1" si="25"/>
        <v>#N/A</v>
      </c>
      <c r="AD226" t="e">
        <f t="shared" ca="1" si="26"/>
        <v>#N/A</v>
      </c>
    </row>
    <row r="227" spans="1:30" x14ac:dyDescent="0.25">
      <c r="A227" s="4">
        <v>41808</v>
      </c>
      <c r="B227">
        <v>1.091</v>
      </c>
      <c r="C227" s="5">
        <v>1.1759999999999999</v>
      </c>
      <c r="D227">
        <v>1.5489999999999999</v>
      </c>
      <c r="E227">
        <v>1.8540000000000001</v>
      </c>
      <c r="F227">
        <v>2.2589999999999999</v>
      </c>
      <c r="G227">
        <v>2.798</v>
      </c>
      <c r="H227">
        <f t="shared" ca="1" si="30"/>
        <v>0.4888597640891218</v>
      </c>
      <c r="I227">
        <f t="shared" ca="1" si="30"/>
        <v>0.31934931506849318</v>
      </c>
      <c r="J227">
        <f t="shared" ca="1" si="30"/>
        <v>0.21851200937316928</v>
      </c>
      <c r="K227">
        <f t="shared" ca="1" si="30"/>
        <v>0.2611301369863015</v>
      </c>
      <c r="L227">
        <f t="shared" ca="1" si="30"/>
        <v>0.17867603983596964</v>
      </c>
      <c r="M227">
        <f t="shared" ca="1" si="30"/>
        <v>0.28162511542012941</v>
      </c>
      <c r="N227">
        <f t="shared" ca="1" si="30"/>
        <v>0.18803945745992609</v>
      </c>
      <c r="O227">
        <f t="shared" ca="1" si="30"/>
        <v>0.23725834797891024</v>
      </c>
      <c r="P227">
        <f t="shared" ca="1" si="30"/>
        <v>0.24969173859432786</v>
      </c>
      <c r="Q227">
        <f t="shared" ca="1" si="30"/>
        <v>0.32425940752602062</v>
      </c>
      <c r="R227">
        <f t="shared" ca="1" si="30"/>
        <v>0.63444639718804918</v>
      </c>
      <c r="S227">
        <f t="shared" ca="1" si="30"/>
        <v>0.41593438781487985</v>
      </c>
      <c r="T227">
        <f t="shared" ca="1" si="30"/>
        <v>0.43773119605425398</v>
      </c>
      <c r="V227" s="4">
        <f t="shared" si="29"/>
        <v>41808</v>
      </c>
      <c r="W227" s="5">
        <f t="shared" ca="1" si="27"/>
        <v>0.63444639718804918</v>
      </c>
      <c r="Z227" s="4" t="str">
        <f ca="1">IF(OFFSET('Calc Canada'!$A$1,0,0,300)="","",OFFSET('Calc Canada'!$A$1,0,0,300))</f>
        <v/>
      </c>
      <c r="AA227" s="5" t="e">
        <f ca="1">IF(OFFSET('Calc Canada'!$A$1,0,MATCH(W$1,'Calc Canada'!$1:$1,0)-1,300)="","",OFFSET('Calc Canada'!$A$1,0,MATCH(W$1,'Calc Canada'!$1:$1,0)-1,300))</f>
        <v>#N/A</v>
      </c>
      <c r="AB227" s="5" t="e">
        <f ca="1">IF(OFFSET('Calc Canada'!$A$1,0,MATCH(X$1,'Calc Canada'!$1:$1,0)-1,300)="","",OFFSET('Calc Canada'!$A$1,0,MATCH(X$1,'Calc Canada'!$1:$1,0)-1,300))</f>
        <v>#N/A</v>
      </c>
      <c r="AC227" t="e">
        <f t="shared" ca="1" si="25"/>
        <v>#N/A</v>
      </c>
      <c r="AD227" t="e">
        <f t="shared" ca="1" si="26"/>
        <v>#N/A</v>
      </c>
    </row>
    <row r="228" spans="1:30" x14ac:dyDescent="0.25">
      <c r="A228" s="4">
        <v>41807</v>
      </c>
      <c r="B228">
        <v>1.111</v>
      </c>
      <c r="C228" s="5">
        <v>1.2</v>
      </c>
      <c r="D228">
        <v>1.5939999999999999</v>
      </c>
      <c r="E228">
        <v>1.9079999999999999</v>
      </c>
      <c r="F228">
        <v>2.3090000000000002</v>
      </c>
      <c r="G228">
        <v>2.835</v>
      </c>
      <c r="H228">
        <f t="shared" ca="1" si="30"/>
        <v>0.49435382685069001</v>
      </c>
      <c r="I228">
        <f t="shared" ca="1" si="30"/>
        <v>0.32888146911519184</v>
      </c>
      <c r="J228">
        <f t="shared" ca="1" si="30"/>
        <v>0.22853828306264495</v>
      </c>
      <c r="K228">
        <f t="shared" ca="1" si="30"/>
        <v>0.26210350584307179</v>
      </c>
      <c r="L228">
        <f t="shared" ca="1" si="30"/>
        <v>0.18213457076566128</v>
      </c>
      <c r="M228">
        <f t="shared" ca="1" si="30"/>
        <v>0.28313796212804326</v>
      </c>
      <c r="N228">
        <f t="shared" ca="1" si="30"/>
        <v>0.19204892966360859</v>
      </c>
      <c r="O228">
        <f t="shared" ca="1" si="30"/>
        <v>0.23259860788863124</v>
      </c>
      <c r="P228">
        <f t="shared" ca="1" si="30"/>
        <v>0.24525993883792063</v>
      </c>
      <c r="Q228">
        <f t="shared" ca="1" si="30"/>
        <v>0.32312651087832411</v>
      </c>
      <c r="R228">
        <f t="shared" ca="1" si="30"/>
        <v>0.6432714617169375</v>
      </c>
      <c r="S228">
        <f t="shared" ca="1" si="30"/>
        <v>0.41473317865429254</v>
      </c>
      <c r="T228">
        <f t="shared" ca="1" si="30"/>
        <v>0.43730886850152922</v>
      </c>
      <c r="V228" s="4">
        <f t="shared" si="29"/>
        <v>41807</v>
      </c>
      <c r="W228" s="5">
        <f t="shared" ca="1" si="27"/>
        <v>0.6432714617169375</v>
      </c>
      <c r="Z228" s="4" t="str">
        <f ca="1">IF(OFFSET('Calc Canada'!$A$1,0,0,300)="","",OFFSET('Calc Canada'!$A$1,0,0,300))</f>
        <v/>
      </c>
      <c r="AA228" s="5" t="e">
        <f ca="1">IF(OFFSET('Calc Canada'!$A$1,0,MATCH(W$1,'Calc Canada'!$1:$1,0)-1,300)="","",OFFSET('Calc Canada'!$A$1,0,MATCH(W$1,'Calc Canada'!$1:$1,0)-1,300))</f>
        <v>#N/A</v>
      </c>
      <c r="AB228" s="5" t="e">
        <f ca="1">IF(OFFSET('Calc Canada'!$A$1,0,MATCH(X$1,'Calc Canada'!$1:$1,0)-1,300)="","",OFFSET('Calc Canada'!$A$1,0,MATCH(X$1,'Calc Canada'!$1:$1,0)-1,300))</f>
        <v>#N/A</v>
      </c>
      <c r="AC228" t="e">
        <f t="shared" ca="1" si="25"/>
        <v>#N/A</v>
      </c>
      <c r="AD228" t="e">
        <f t="shared" ca="1" si="26"/>
        <v>#N/A</v>
      </c>
    </row>
    <row r="229" spans="1:30" x14ac:dyDescent="0.25">
      <c r="A229" s="4">
        <v>41806</v>
      </c>
      <c r="B229">
        <v>1.1000000000000001</v>
      </c>
      <c r="C229" s="5">
        <v>1.1859999999999999</v>
      </c>
      <c r="D229">
        <v>1.571</v>
      </c>
      <c r="E229">
        <v>1.8860000000000001</v>
      </c>
      <c r="F229">
        <v>2.2879999999999998</v>
      </c>
      <c r="G229">
        <v>2.81</v>
      </c>
      <c r="H229">
        <f t="shared" ca="1" si="30"/>
        <v>0.48982188295165391</v>
      </c>
      <c r="I229">
        <f t="shared" ca="1" si="30"/>
        <v>0.32407407407407418</v>
      </c>
      <c r="J229">
        <f t="shared" ca="1" si="30"/>
        <v>0.22514619883040937</v>
      </c>
      <c r="K229">
        <f t="shared" ca="1" si="30"/>
        <v>0.26515151515151536</v>
      </c>
      <c r="L229">
        <f t="shared" ca="1" si="30"/>
        <v>0.18421052631578957</v>
      </c>
      <c r="M229">
        <f t="shared" ca="1" si="30"/>
        <v>0.28584392014519078</v>
      </c>
      <c r="N229">
        <f t="shared" ca="1" si="30"/>
        <v>0.19396551724137939</v>
      </c>
      <c r="O229">
        <f t="shared" ca="1" si="30"/>
        <v>0.23508771929824543</v>
      </c>
      <c r="P229">
        <f t="shared" ca="1" si="30"/>
        <v>0.24753694581280766</v>
      </c>
      <c r="Q229">
        <f t="shared" ca="1" si="30"/>
        <v>0.32445520581113774</v>
      </c>
      <c r="R229">
        <f t="shared" ca="1" si="30"/>
        <v>0.64444444444444438</v>
      </c>
      <c r="S229">
        <f t="shared" ca="1" si="30"/>
        <v>0.419298245614035</v>
      </c>
      <c r="T229">
        <f t="shared" ca="1" si="30"/>
        <v>0.44150246305418706</v>
      </c>
      <c r="V229" s="4">
        <f t="shared" si="29"/>
        <v>41806</v>
      </c>
      <c r="W229" s="5">
        <f t="shared" ca="1" si="27"/>
        <v>0.64444444444444438</v>
      </c>
      <c r="Z229" s="4" t="str">
        <f ca="1">IF(OFFSET('Calc Canada'!$A$1,0,0,300)="","",OFFSET('Calc Canada'!$A$1,0,0,300))</f>
        <v/>
      </c>
      <c r="AA229" s="5" t="e">
        <f ca="1">IF(OFFSET('Calc Canada'!$A$1,0,MATCH(W$1,'Calc Canada'!$1:$1,0)-1,300)="","",OFFSET('Calc Canada'!$A$1,0,MATCH(W$1,'Calc Canada'!$1:$1,0)-1,300))</f>
        <v>#N/A</v>
      </c>
      <c r="AB229" s="5" t="e">
        <f ca="1">IF(OFFSET('Calc Canada'!$A$1,0,MATCH(X$1,'Calc Canada'!$1:$1,0)-1,300)="","",OFFSET('Calc Canada'!$A$1,0,MATCH(X$1,'Calc Canada'!$1:$1,0)-1,300))</f>
        <v>#N/A</v>
      </c>
      <c r="AC229" t="e">
        <f t="shared" ca="1" si="25"/>
        <v>#N/A</v>
      </c>
      <c r="AD229" t="e">
        <f t="shared" ca="1" si="26"/>
        <v>#N/A</v>
      </c>
    </row>
    <row r="230" spans="1:30" x14ac:dyDescent="0.25">
      <c r="A230" s="4">
        <v>41803</v>
      </c>
      <c r="B230">
        <v>1.0880000000000001</v>
      </c>
      <c r="C230" s="5">
        <v>1.1759999999999999</v>
      </c>
      <c r="D230">
        <v>1.5779999999999998</v>
      </c>
      <c r="E230">
        <v>1.9060000000000001</v>
      </c>
      <c r="F230">
        <v>2.31</v>
      </c>
      <c r="G230">
        <v>2.83</v>
      </c>
      <c r="H230">
        <f t="shared" ca="1" si="30"/>
        <v>0.49144254278728594</v>
      </c>
      <c r="I230">
        <f t="shared" ca="1" si="30"/>
        <v>0.32896890343698848</v>
      </c>
      <c r="J230">
        <f t="shared" ca="1" si="30"/>
        <v>0.23076923076923073</v>
      </c>
      <c r="K230">
        <f t="shared" ca="1" si="30"/>
        <v>0.26841243862520481</v>
      </c>
      <c r="L230">
        <f t="shared" ca="1" si="30"/>
        <v>0.188289322617681</v>
      </c>
      <c r="M230">
        <f t="shared" ca="1" si="30"/>
        <v>0.28924162257495611</v>
      </c>
      <c r="N230">
        <f t="shared" ca="1" si="30"/>
        <v>0.19830713422007271</v>
      </c>
      <c r="O230">
        <f t="shared" ca="1" si="30"/>
        <v>0.2319173363949483</v>
      </c>
      <c r="P230">
        <f t="shared" ca="1" si="30"/>
        <v>0.24425634824667466</v>
      </c>
      <c r="Q230">
        <f t="shared" ca="1" si="30"/>
        <v>0.3226837060702874</v>
      </c>
      <c r="R230">
        <f t="shared" ca="1" si="30"/>
        <v>0.65097588978186005</v>
      </c>
      <c r="S230">
        <f t="shared" ca="1" si="30"/>
        <v>0.42020665901262927</v>
      </c>
      <c r="T230">
        <f t="shared" ca="1" si="30"/>
        <v>0.44256348246674737</v>
      </c>
      <c r="V230" s="4">
        <f t="shared" si="29"/>
        <v>41803</v>
      </c>
      <c r="W230" s="5">
        <f t="shared" ca="1" si="27"/>
        <v>0.65097588978186005</v>
      </c>
      <c r="Z230" s="4" t="str">
        <f ca="1">IF(OFFSET('Calc Canada'!$A$1,0,0,300)="","",OFFSET('Calc Canada'!$A$1,0,0,300))</f>
        <v/>
      </c>
      <c r="AA230" s="5" t="e">
        <f ca="1">IF(OFFSET('Calc Canada'!$A$1,0,MATCH(W$1,'Calc Canada'!$1:$1,0)-1,300)="","",OFFSET('Calc Canada'!$A$1,0,MATCH(W$1,'Calc Canada'!$1:$1,0)-1,300))</f>
        <v>#N/A</v>
      </c>
      <c r="AB230" s="5" t="e">
        <f ca="1">IF(OFFSET('Calc Canada'!$A$1,0,MATCH(X$1,'Calc Canada'!$1:$1,0)-1,300)="","",OFFSET('Calc Canada'!$A$1,0,MATCH(X$1,'Calc Canada'!$1:$1,0)-1,300))</f>
        <v>#N/A</v>
      </c>
      <c r="AC230" t="e">
        <f t="shared" ca="1" si="25"/>
        <v>#N/A</v>
      </c>
      <c r="AD230" t="e">
        <f t="shared" ca="1" si="26"/>
        <v>#N/A</v>
      </c>
    </row>
    <row r="231" spans="1:30" x14ac:dyDescent="0.25">
      <c r="A231" s="4">
        <v>41802</v>
      </c>
      <c r="B231">
        <v>1.077</v>
      </c>
      <c r="C231" s="5">
        <v>1.167</v>
      </c>
      <c r="D231">
        <v>1.583</v>
      </c>
      <c r="E231">
        <v>1.9039999999999999</v>
      </c>
      <c r="F231">
        <v>2.3140000000000001</v>
      </c>
      <c r="G231">
        <v>2.835</v>
      </c>
      <c r="H231">
        <f t="shared" ca="1" si="30"/>
        <v>0.50302297460701328</v>
      </c>
      <c r="I231">
        <f t="shared" ca="1" si="30"/>
        <v>0.33629749393694414</v>
      </c>
      <c r="J231">
        <f t="shared" ca="1" si="30"/>
        <v>0.23663253697383385</v>
      </c>
      <c r="K231">
        <f t="shared" ca="1" si="30"/>
        <v>0.25949878738884391</v>
      </c>
      <c r="L231">
        <f t="shared" ca="1" si="30"/>
        <v>0.18259385665529007</v>
      </c>
      <c r="M231">
        <f t="shared" ca="1" si="30"/>
        <v>0.27986050566695725</v>
      </c>
      <c r="N231">
        <f t="shared" ca="1" si="30"/>
        <v>0.1924460431654676</v>
      </c>
      <c r="O231">
        <f t="shared" ca="1" si="30"/>
        <v>0.23321956769055754</v>
      </c>
      <c r="P231">
        <f t="shared" ca="1" si="30"/>
        <v>0.24580335731414879</v>
      </c>
      <c r="Q231">
        <f t="shared" ca="1" si="30"/>
        <v>0.32747603833865824</v>
      </c>
      <c r="R231">
        <f t="shared" ca="1" si="30"/>
        <v>0.65244596131968147</v>
      </c>
      <c r="S231">
        <f t="shared" ca="1" si="30"/>
        <v>0.41581342434584762</v>
      </c>
      <c r="T231">
        <f t="shared" ca="1" si="30"/>
        <v>0.43824940047961636</v>
      </c>
      <c r="V231" s="4">
        <f t="shared" si="29"/>
        <v>41802</v>
      </c>
      <c r="W231" s="5">
        <f t="shared" ca="1" si="27"/>
        <v>0.65244596131968147</v>
      </c>
      <c r="Z231" s="4" t="str">
        <f ca="1">IF(OFFSET('Calc Canada'!$A$1,0,0,300)="","",OFFSET('Calc Canada'!$A$1,0,0,300))</f>
        <v/>
      </c>
      <c r="AA231" s="5" t="e">
        <f ca="1">IF(OFFSET('Calc Canada'!$A$1,0,MATCH(W$1,'Calc Canada'!$1:$1,0)-1,300)="","",OFFSET('Calc Canada'!$A$1,0,MATCH(W$1,'Calc Canada'!$1:$1,0)-1,300))</f>
        <v>#N/A</v>
      </c>
      <c r="AB231" s="5" t="e">
        <f ca="1">IF(OFFSET('Calc Canada'!$A$1,0,MATCH(X$1,'Calc Canada'!$1:$1,0)-1,300)="","",OFFSET('Calc Canada'!$A$1,0,MATCH(X$1,'Calc Canada'!$1:$1,0)-1,300))</f>
        <v>#N/A</v>
      </c>
      <c r="AC231" t="e">
        <f t="shared" ca="1" si="25"/>
        <v>#N/A</v>
      </c>
      <c r="AD231" t="e">
        <f t="shared" ca="1" si="26"/>
        <v>#N/A</v>
      </c>
    </row>
    <row r="232" spans="1:30" x14ac:dyDescent="0.25">
      <c r="A232" s="4">
        <v>41801</v>
      </c>
      <c r="B232">
        <v>1.0740000000000001</v>
      </c>
      <c r="C232" s="5">
        <v>1.17</v>
      </c>
      <c r="D232">
        <v>1.6059999999999999</v>
      </c>
      <c r="E232">
        <v>1.9350000000000001</v>
      </c>
      <c r="F232">
        <v>2.3420000000000001</v>
      </c>
      <c r="G232">
        <v>2.8639999999999999</v>
      </c>
      <c r="H232">
        <f t="shared" ca="1" si="30"/>
        <v>0.50638792102206731</v>
      </c>
      <c r="I232">
        <f t="shared" ca="1" si="30"/>
        <v>0.34384858044164035</v>
      </c>
      <c r="J232">
        <f t="shared" ca="1" si="30"/>
        <v>0.2435754189944134</v>
      </c>
      <c r="K232">
        <f t="shared" ca="1" si="30"/>
        <v>0.2594637223974765</v>
      </c>
      <c r="L232">
        <f t="shared" ca="1" si="30"/>
        <v>0.18379888268156436</v>
      </c>
      <c r="M232">
        <f t="shared" ca="1" si="30"/>
        <v>0.28071672354948818</v>
      </c>
      <c r="N232">
        <f t="shared" ca="1" si="30"/>
        <v>0.19421487603305795</v>
      </c>
      <c r="O232">
        <f t="shared" ca="1" si="30"/>
        <v>0.22737430167597769</v>
      </c>
      <c r="P232">
        <f t="shared" ca="1" si="30"/>
        <v>0.24025974025974028</v>
      </c>
      <c r="Q232">
        <f t="shared" ca="1" si="30"/>
        <v>0.3235294117647059</v>
      </c>
      <c r="R232">
        <f t="shared" ca="1" si="30"/>
        <v>0.6547486033519555</v>
      </c>
      <c r="S232">
        <f t="shared" ca="1" si="30"/>
        <v>0.41117318435754208</v>
      </c>
      <c r="T232">
        <f t="shared" ca="1" si="30"/>
        <v>0.43447461629279827</v>
      </c>
      <c r="V232" s="4">
        <f t="shared" si="29"/>
        <v>41801</v>
      </c>
      <c r="W232" s="5">
        <f t="shared" ca="1" si="27"/>
        <v>0.6547486033519555</v>
      </c>
      <c r="Z232" s="4" t="str">
        <f ca="1">IF(OFFSET('Calc Canada'!$A$1,0,0,300)="","",OFFSET('Calc Canada'!$A$1,0,0,300))</f>
        <v/>
      </c>
      <c r="AA232" s="5" t="e">
        <f ca="1">IF(OFFSET('Calc Canada'!$A$1,0,MATCH(W$1,'Calc Canada'!$1:$1,0)-1,300)="","",OFFSET('Calc Canada'!$A$1,0,MATCH(W$1,'Calc Canada'!$1:$1,0)-1,300))</f>
        <v>#N/A</v>
      </c>
      <c r="AB232" s="5" t="e">
        <f ca="1">IF(OFFSET('Calc Canada'!$A$1,0,MATCH(X$1,'Calc Canada'!$1:$1,0)-1,300)="","",OFFSET('Calc Canada'!$A$1,0,MATCH(X$1,'Calc Canada'!$1:$1,0)-1,300))</f>
        <v>#N/A</v>
      </c>
      <c r="AC232" t="e">
        <f t="shared" ca="1" si="25"/>
        <v>#N/A</v>
      </c>
      <c r="AD232" t="e">
        <f t="shared" ca="1" si="26"/>
        <v>#N/A</v>
      </c>
    </row>
    <row r="233" spans="1:30" x14ac:dyDescent="0.25">
      <c r="A233" s="4">
        <v>41800</v>
      </c>
      <c r="B233">
        <v>1.0760000000000001</v>
      </c>
      <c r="C233" s="5">
        <v>1.175</v>
      </c>
      <c r="D233">
        <v>1.603</v>
      </c>
      <c r="E233">
        <v>1.9340000000000002</v>
      </c>
      <c r="F233">
        <v>2.3439999999999999</v>
      </c>
      <c r="G233">
        <v>2.8620000000000001</v>
      </c>
      <c r="H233">
        <f t="shared" ca="1" si="30"/>
        <v>0.49883449883449871</v>
      </c>
      <c r="I233">
        <f t="shared" ca="1" si="30"/>
        <v>0.33753943217665616</v>
      </c>
      <c r="J233">
        <f t="shared" ca="1" si="30"/>
        <v>0.2396416573348264</v>
      </c>
      <c r="K233">
        <f t="shared" ca="1" si="30"/>
        <v>0.26104100946372261</v>
      </c>
      <c r="L233">
        <f t="shared" ca="1" si="30"/>
        <v>0.18533034714445698</v>
      </c>
      <c r="M233">
        <f t="shared" ca="1" si="30"/>
        <v>0.28314798973481631</v>
      </c>
      <c r="N233">
        <f t="shared" ca="1" si="30"/>
        <v>0.19620628334321291</v>
      </c>
      <c r="O233">
        <f t="shared" ca="1" si="30"/>
        <v>0.22956326987681955</v>
      </c>
      <c r="P233">
        <f t="shared" ca="1" si="30"/>
        <v>0.24303497332542956</v>
      </c>
      <c r="Q233">
        <f t="shared" ca="1" si="30"/>
        <v>0.32565528196981702</v>
      </c>
      <c r="R233">
        <f t="shared" ca="1" si="30"/>
        <v>0.65453527435610293</v>
      </c>
      <c r="S233">
        <f t="shared" ca="1" si="30"/>
        <v>0.41489361702127653</v>
      </c>
      <c r="T233">
        <f t="shared" ca="1" si="30"/>
        <v>0.4392412566686425</v>
      </c>
      <c r="V233" s="4">
        <f t="shared" si="29"/>
        <v>41800</v>
      </c>
      <c r="W233" s="5">
        <f t="shared" ca="1" si="27"/>
        <v>0.65453527435610293</v>
      </c>
      <c r="Z233" s="4" t="str">
        <f ca="1">IF(OFFSET('Calc Canada'!$A$1,0,0,300)="","",OFFSET('Calc Canada'!$A$1,0,0,300))</f>
        <v/>
      </c>
      <c r="AA233" s="5" t="e">
        <f ca="1">IF(OFFSET('Calc Canada'!$A$1,0,MATCH(W$1,'Calc Canada'!$1:$1,0)-1,300)="","",OFFSET('Calc Canada'!$A$1,0,MATCH(W$1,'Calc Canada'!$1:$1,0)-1,300))</f>
        <v>#N/A</v>
      </c>
      <c r="AB233" s="5" t="e">
        <f ca="1">IF(OFFSET('Calc Canada'!$A$1,0,MATCH(X$1,'Calc Canada'!$1:$1,0)-1,300)="","",OFFSET('Calc Canada'!$A$1,0,MATCH(X$1,'Calc Canada'!$1:$1,0)-1,300))</f>
        <v>#N/A</v>
      </c>
      <c r="AC233" t="e">
        <f t="shared" ca="1" si="25"/>
        <v>#N/A</v>
      </c>
      <c r="AD233" t="e">
        <f t="shared" ca="1" si="26"/>
        <v>#N/A</v>
      </c>
    </row>
    <row r="234" spans="1:30" x14ac:dyDescent="0.25">
      <c r="A234" s="4">
        <v>41799</v>
      </c>
      <c r="B234">
        <v>1.0649999999999999</v>
      </c>
      <c r="C234" s="5">
        <v>1.161</v>
      </c>
      <c r="D234">
        <v>1.58</v>
      </c>
      <c r="E234">
        <v>1.907</v>
      </c>
      <c r="F234">
        <v>2.3180000000000001</v>
      </c>
      <c r="G234">
        <v>2.839</v>
      </c>
      <c r="H234">
        <f t="shared" ca="1" si="30"/>
        <v>0.49762470308788598</v>
      </c>
      <c r="I234">
        <f t="shared" ca="1" si="30"/>
        <v>0.33439744612928973</v>
      </c>
      <c r="J234">
        <f t="shared" ca="1" si="30"/>
        <v>0.23618940248027059</v>
      </c>
      <c r="K234">
        <f t="shared" ca="1" si="30"/>
        <v>0.26097366320830001</v>
      </c>
      <c r="L234">
        <f t="shared" ca="1" si="30"/>
        <v>0.1843291995490417</v>
      </c>
      <c r="M234">
        <f t="shared" ca="1" si="30"/>
        <v>0.28262748487467582</v>
      </c>
      <c r="N234">
        <f t="shared" ca="1" si="30"/>
        <v>0.19487485101311083</v>
      </c>
      <c r="O234">
        <f t="shared" ca="1" si="30"/>
        <v>0.23167981961668546</v>
      </c>
      <c r="P234">
        <f t="shared" ca="1" si="30"/>
        <v>0.24493444576877238</v>
      </c>
      <c r="Q234">
        <f t="shared" ca="1" si="30"/>
        <v>0.32644956314535351</v>
      </c>
      <c r="R234">
        <f t="shared" ca="1" si="30"/>
        <v>0.65219842164599773</v>
      </c>
      <c r="S234">
        <f t="shared" ca="1" si="30"/>
        <v>0.41600901916572713</v>
      </c>
      <c r="T234">
        <f t="shared" ca="1" si="30"/>
        <v>0.43980929678188319</v>
      </c>
      <c r="V234" s="4">
        <f t="shared" si="29"/>
        <v>41799</v>
      </c>
      <c r="W234" s="5">
        <f t="shared" ca="1" si="27"/>
        <v>0.65219842164599773</v>
      </c>
      <c r="Z234" s="4" t="str">
        <f ca="1">IF(OFFSET('Calc Canada'!$A$1,0,0,300)="","",OFFSET('Calc Canada'!$A$1,0,0,300))</f>
        <v/>
      </c>
      <c r="AA234" s="5" t="e">
        <f ca="1">IF(OFFSET('Calc Canada'!$A$1,0,MATCH(W$1,'Calc Canada'!$1:$1,0)-1,300)="","",OFFSET('Calc Canada'!$A$1,0,MATCH(W$1,'Calc Canada'!$1:$1,0)-1,300))</f>
        <v>#N/A</v>
      </c>
      <c r="AB234" s="5" t="e">
        <f ca="1">IF(OFFSET('Calc Canada'!$A$1,0,MATCH(X$1,'Calc Canada'!$1:$1,0)-1,300)="","",OFFSET('Calc Canada'!$A$1,0,MATCH(X$1,'Calc Canada'!$1:$1,0)-1,300))</f>
        <v>#N/A</v>
      </c>
      <c r="AC234" t="e">
        <f t="shared" ca="1" si="25"/>
        <v>#N/A</v>
      </c>
      <c r="AD234" t="e">
        <f t="shared" ca="1" si="26"/>
        <v>#N/A</v>
      </c>
    </row>
    <row r="235" spans="1:30" x14ac:dyDescent="0.25">
      <c r="A235" s="4">
        <v>41796</v>
      </c>
      <c r="B235">
        <v>1.0609999999999999</v>
      </c>
      <c r="C235" s="5">
        <v>1.153</v>
      </c>
      <c r="D235">
        <v>1.577</v>
      </c>
      <c r="E235">
        <v>1.909</v>
      </c>
      <c r="F235">
        <v>2.3170000000000002</v>
      </c>
      <c r="G235">
        <v>2.8380000000000001</v>
      </c>
      <c r="H235">
        <f t="shared" ca="1" si="30"/>
        <v>0.49999999999999989</v>
      </c>
      <c r="I235">
        <f t="shared" ca="1" si="30"/>
        <v>0.33757961783439477</v>
      </c>
      <c r="J235">
        <f t="shared" ca="1" si="30"/>
        <v>0.23860438942037135</v>
      </c>
      <c r="K235">
        <f t="shared" ca="1" si="30"/>
        <v>0.2643312101910828</v>
      </c>
      <c r="L235">
        <f t="shared" ca="1" si="30"/>
        <v>0.18683173888576254</v>
      </c>
      <c r="M235">
        <f t="shared" ca="1" si="30"/>
        <v>0.28522336769759454</v>
      </c>
      <c r="N235">
        <f t="shared" ca="1" si="30"/>
        <v>0.19703264094955494</v>
      </c>
      <c r="O235">
        <f t="shared" ca="1" si="30"/>
        <v>0.22960045019696124</v>
      </c>
      <c r="P235">
        <f t="shared" ca="1" si="30"/>
        <v>0.24213649851632055</v>
      </c>
      <c r="Q235">
        <f t="shared" ca="1" si="30"/>
        <v>0.32355273592387002</v>
      </c>
      <c r="R235">
        <f t="shared" ca="1" si="30"/>
        <v>0.65503657850309516</v>
      </c>
      <c r="S235">
        <f t="shared" ca="1" si="30"/>
        <v>0.41643218908272378</v>
      </c>
      <c r="T235">
        <f t="shared" ca="1" si="30"/>
        <v>0.43916913946587549</v>
      </c>
      <c r="V235" s="4">
        <f t="shared" si="29"/>
        <v>41796</v>
      </c>
      <c r="W235" s="5">
        <f t="shared" ca="1" si="27"/>
        <v>0.65503657850309516</v>
      </c>
      <c r="Z235" s="4" t="str">
        <f ca="1">IF(OFFSET('Calc Canada'!$A$1,0,0,300)="","",OFFSET('Calc Canada'!$A$1,0,0,300))</f>
        <v/>
      </c>
      <c r="AA235" s="5" t="e">
        <f ca="1">IF(OFFSET('Calc Canada'!$A$1,0,MATCH(W$1,'Calc Canada'!$1:$1,0)-1,300)="","",OFFSET('Calc Canada'!$A$1,0,MATCH(W$1,'Calc Canada'!$1:$1,0)-1,300))</f>
        <v>#N/A</v>
      </c>
      <c r="AB235" s="5" t="e">
        <f ca="1">IF(OFFSET('Calc Canada'!$A$1,0,MATCH(X$1,'Calc Canada'!$1:$1,0)-1,300)="","",OFFSET('Calc Canada'!$A$1,0,MATCH(X$1,'Calc Canada'!$1:$1,0)-1,300))</f>
        <v>#N/A</v>
      </c>
      <c r="AC235" t="e">
        <f t="shared" ca="1" si="25"/>
        <v>#N/A</v>
      </c>
      <c r="AD235" t="e">
        <f t="shared" ca="1" si="26"/>
        <v>#N/A</v>
      </c>
    </row>
    <row r="236" spans="1:30" x14ac:dyDescent="0.25">
      <c r="A236" s="4">
        <v>41795</v>
      </c>
      <c r="B236">
        <v>1.06</v>
      </c>
      <c r="C236" s="5">
        <v>1.155</v>
      </c>
      <c r="D236">
        <v>1.5880000000000001</v>
      </c>
      <c r="E236">
        <v>1.9239999999999999</v>
      </c>
      <c r="F236">
        <v>2.3279999999999998</v>
      </c>
      <c r="G236">
        <v>2.8519999999999999</v>
      </c>
      <c r="H236">
        <f t="shared" ca="1" si="30"/>
        <v>0.50115740740740755</v>
      </c>
      <c r="I236">
        <f t="shared" ca="1" si="30"/>
        <v>0.34148264984227139</v>
      </c>
      <c r="J236">
        <f t="shared" ca="1" si="30"/>
        <v>0.24162946428571433</v>
      </c>
      <c r="K236">
        <f t="shared" ca="1" si="30"/>
        <v>0.26498422712933745</v>
      </c>
      <c r="L236">
        <f t="shared" ca="1" si="30"/>
        <v>0.18749999999999994</v>
      </c>
      <c r="M236">
        <f t="shared" ca="1" si="30"/>
        <v>0.28644501278772372</v>
      </c>
      <c r="N236">
        <f t="shared" ca="1" si="30"/>
        <v>0.19799646434885085</v>
      </c>
      <c r="O236">
        <f t="shared" ca="1" si="30"/>
        <v>0.22544642857142855</v>
      </c>
      <c r="P236">
        <f t="shared" ca="1" si="30"/>
        <v>0.23806717737183261</v>
      </c>
      <c r="Q236">
        <f t="shared" ca="1" si="30"/>
        <v>0.31962025316455694</v>
      </c>
      <c r="R236">
        <f t="shared" ca="1" si="30"/>
        <v>0.65457589285714279</v>
      </c>
      <c r="S236">
        <f t="shared" ca="1" si="30"/>
        <v>0.41294642857142849</v>
      </c>
      <c r="T236">
        <f t="shared" ca="1" si="30"/>
        <v>0.43606364172068346</v>
      </c>
      <c r="V236" s="4">
        <f t="shared" si="29"/>
        <v>41795</v>
      </c>
      <c r="W236" s="5">
        <f t="shared" ca="1" si="27"/>
        <v>0.65457589285714279</v>
      </c>
      <c r="Z236" s="4" t="str">
        <f ca="1">IF(OFFSET('Calc Canada'!$A$1,0,0,300)="","",OFFSET('Calc Canada'!$A$1,0,0,300))</f>
        <v/>
      </c>
      <c r="AA236" s="5" t="e">
        <f ca="1">IF(OFFSET('Calc Canada'!$A$1,0,MATCH(W$1,'Calc Canada'!$1:$1,0)-1,300)="","",OFFSET('Calc Canada'!$A$1,0,MATCH(W$1,'Calc Canada'!$1:$1,0)-1,300))</f>
        <v>#N/A</v>
      </c>
      <c r="AB236" s="5" t="e">
        <f ca="1">IF(OFFSET('Calc Canada'!$A$1,0,MATCH(X$1,'Calc Canada'!$1:$1,0)-1,300)="","",OFFSET('Calc Canada'!$A$1,0,MATCH(X$1,'Calc Canada'!$1:$1,0)-1,300))</f>
        <v>#N/A</v>
      </c>
      <c r="AC236" t="e">
        <f t="shared" ca="1" si="25"/>
        <v>#N/A</v>
      </c>
      <c r="AD236" t="e">
        <f t="shared" ca="1" si="26"/>
        <v>#N/A</v>
      </c>
    </row>
    <row r="237" spans="1:30" x14ac:dyDescent="0.25">
      <c r="A237" s="4">
        <v>41794</v>
      </c>
      <c r="B237">
        <v>1.0629999999999999</v>
      </c>
      <c r="C237" s="5">
        <v>1.1599999999999999</v>
      </c>
      <c r="D237">
        <v>1.6059999999999999</v>
      </c>
      <c r="E237">
        <v>1.9419999999999999</v>
      </c>
      <c r="F237">
        <v>2.347</v>
      </c>
      <c r="G237">
        <v>2.86</v>
      </c>
      <c r="H237">
        <f t="shared" ref="H237:T252" ca="1" si="31">IF(ISERROR(ABS(OFFSET($A$11,ROW()-11,MATCH(LEFT(H$9,2),$A$11:$G$11,0)-1)-OFFSET($A$11,ROW()-11,MATCH(RIGHT(H$9,2),$A$11:$G$11,0)-1))/ABS(OFFSET($A$11,ROW()-11,MATCH(LEFT(H$10,2),$A$11:$G$11,0)-1)-OFFSET($A$11,ROW()-11,MATCH(RIGHT(H$10,2),$A$11:$G$11,0)-1))),"",ABS(OFFSET($A$11,ROW()-11,MATCH(LEFT(H$9,2),$A$11:$G$11,0)-1)-OFFSET($A$11,ROW()-11,MATCH(RIGHT(H$9,2),$A$11:$G$11,0)-1))/ABS(OFFSET($A$11,ROW()-11,MATCH(LEFT(H$10,2),$A$11:$G$11,0)-1)-OFFSET($A$11,ROW()-11,MATCH(RIGHT(H$10,2),$A$11:$G$11,0)-1)))</f>
        <v>0.50739476678043227</v>
      </c>
      <c r="I237">
        <f t="shared" ca="1" si="31"/>
        <v>0.34735202492211831</v>
      </c>
      <c r="J237">
        <f t="shared" ca="1" si="31"/>
        <v>0.24819143016138007</v>
      </c>
      <c r="K237">
        <f t="shared" ca="1" si="31"/>
        <v>0.26168224299065423</v>
      </c>
      <c r="L237">
        <f t="shared" ca="1" si="31"/>
        <v>0.18697829716193662</v>
      </c>
      <c r="M237">
        <f t="shared" ca="1" si="31"/>
        <v>0.28306655433866895</v>
      </c>
      <c r="N237">
        <f t="shared" ca="1" si="31"/>
        <v>0.19764705882352945</v>
      </c>
      <c r="O237">
        <f t="shared" ca="1" si="31"/>
        <v>0.22537562604340569</v>
      </c>
      <c r="P237">
        <f t="shared" ca="1" si="31"/>
        <v>0.23823529411764707</v>
      </c>
      <c r="Q237">
        <f t="shared" ca="1" si="31"/>
        <v>0.32296650717703351</v>
      </c>
      <c r="R237">
        <f t="shared" ca="1" si="31"/>
        <v>0.66054535336672238</v>
      </c>
      <c r="S237">
        <f t="shared" ca="1" si="31"/>
        <v>0.41235392320534231</v>
      </c>
      <c r="T237">
        <f t="shared" ca="1" si="31"/>
        <v>0.43588235294117655</v>
      </c>
      <c r="V237" s="4">
        <f t="shared" si="29"/>
        <v>41794</v>
      </c>
      <c r="W237" s="5">
        <f t="shared" ca="1" si="27"/>
        <v>0.66054535336672238</v>
      </c>
      <c r="Z237" s="4" t="str">
        <f ca="1">IF(OFFSET('Calc Canada'!$A$1,0,0,300)="","",OFFSET('Calc Canada'!$A$1,0,0,300))</f>
        <v/>
      </c>
      <c r="AA237" s="5" t="e">
        <f ca="1">IF(OFFSET('Calc Canada'!$A$1,0,MATCH(W$1,'Calc Canada'!$1:$1,0)-1,300)="","",OFFSET('Calc Canada'!$A$1,0,MATCH(W$1,'Calc Canada'!$1:$1,0)-1,300))</f>
        <v>#N/A</v>
      </c>
      <c r="AB237" s="5" t="e">
        <f ca="1">IF(OFFSET('Calc Canada'!$A$1,0,MATCH(X$1,'Calc Canada'!$1:$1,0)-1,300)="","",OFFSET('Calc Canada'!$A$1,0,MATCH(X$1,'Calc Canada'!$1:$1,0)-1,300))</f>
        <v>#N/A</v>
      </c>
      <c r="AC237" t="e">
        <f t="shared" ca="1" si="25"/>
        <v>#N/A</v>
      </c>
      <c r="AD237" t="e">
        <f t="shared" ca="1" si="26"/>
        <v>#N/A</v>
      </c>
    </row>
    <row r="238" spans="1:30" x14ac:dyDescent="0.25">
      <c r="A238" s="4">
        <v>41793</v>
      </c>
      <c r="B238">
        <v>1.0720000000000001</v>
      </c>
      <c r="C238" s="5">
        <v>1.17</v>
      </c>
      <c r="D238">
        <v>1.607</v>
      </c>
      <c r="E238">
        <v>1.9359999999999999</v>
      </c>
      <c r="F238">
        <v>2.3380000000000001</v>
      </c>
      <c r="G238">
        <v>2.8490000000000002</v>
      </c>
      <c r="H238">
        <f t="shared" ca="1" si="31"/>
        <v>0.5057870370370372</v>
      </c>
      <c r="I238">
        <f t="shared" ca="1" si="31"/>
        <v>0.34518167456556087</v>
      </c>
      <c r="J238">
        <f t="shared" ca="1" si="31"/>
        <v>0.24592009003939225</v>
      </c>
      <c r="K238">
        <f t="shared" ca="1" si="31"/>
        <v>0.25987361769352285</v>
      </c>
      <c r="L238">
        <f t="shared" ca="1" si="31"/>
        <v>0.18514350028137305</v>
      </c>
      <c r="M238">
        <f t="shared" ca="1" si="31"/>
        <v>0.28167808219178075</v>
      </c>
      <c r="N238">
        <f t="shared" ca="1" si="31"/>
        <v>0.19594997022036922</v>
      </c>
      <c r="O238">
        <f t="shared" ca="1" si="31"/>
        <v>0.22622397298818239</v>
      </c>
      <c r="P238">
        <f t="shared" ca="1" si="31"/>
        <v>0.23942823108993452</v>
      </c>
      <c r="Q238">
        <f t="shared" ca="1" si="31"/>
        <v>0.32367149758454111</v>
      </c>
      <c r="R238">
        <f t="shared" ca="1" si="31"/>
        <v>0.65728756330894766</v>
      </c>
      <c r="S238">
        <f t="shared" ca="1" si="31"/>
        <v>0.41136747326955547</v>
      </c>
      <c r="T238">
        <f t="shared" ca="1" si="31"/>
        <v>0.43537820131030375</v>
      </c>
      <c r="V238" s="4">
        <f t="shared" si="29"/>
        <v>41793</v>
      </c>
      <c r="W238" s="5">
        <f t="shared" ca="1" si="27"/>
        <v>0.65728756330894766</v>
      </c>
      <c r="Z238" s="4" t="str">
        <f ca="1">IF(OFFSET('Calc Canada'!$A$1,0,0,300)="","",OFFSET('Calc Canada'!$A$1,0,0,300))</f>
        <v/>
      </c>
      <c r="AA238" s="5" t="e">
        <f ca="1">IF(OFFSET('Calc Canada'!$A$1,0,MATCH(W$1,'Calc Canada'!$1:$1,0)-1,300)="","",OFFSET('Calc Canada'!$A$1,0,MATCH(W$1,'Calc Canada'!$1:$1,0)-1,300))</f>
        <v>#N/A</v>
      </c>
      <c r="AB238" s="5" t="e">
        <f ca="1">IF(OFFSET('Calc Canada'!$A$1,0,MATCH(X$1,'Calc Canada'!$1:$1,0)-1,300)="","",OFFSET('Calc Canada'!$A$1,0,MATCH(X$1,'Calc Canada'!$1:$1,0)-1,300))</f>
        <v>#N/A</v>
      </c>
      <c r="AC238" t="e">
        <f t="shared" ca="1" si="25"/>
        <v>#N/A</v>
      </c>
      <c r="AD238" t="e">
        <f t="shared" ca="1" si="26"/>
        <v>#N/A</v>
      </c>
    </row>
    <row r="239" spans="1:30" x14ac:dyDescent="0.25">
      <c r="A239" s="4">
        <v>41792</v>
      </c>
      <c r="B239">
        <v>1.0589999999999999</v>
      </c>
      <c r="C239" s="5">
        <v>1.1479999999999999</v>
      </c>
      <c r="D239">
        <v>1.5580000000000001</v>
      </c>
      <c r="E239">
        <v>1.875</v>
      </c>
      <c r="F239">
        <v>2.2770000000000001</v>
      </c>
      <c r="G239">
        <v>2.802</v>
      </c>
      <c r="H239">
        <f t="shared" ca="1" si="31"/>
        <v>0.50245098039215697</v>
      </c>
      <c r="I239">
        <f t="shared" ca="1" si="31"/>
        <v>0.33661740558292291</v>
      </c>
      <c r="J239">
        <f t="shared" ca="1" si="31"/>
        <v>0.2352266207687895</v>
      </c>
      <c r="K239">
        <f t="shared" ca="1" si="31"/>
        <v>0.26026272577996706</v>
      </c>
      <c r="L239">
        <f t="shared" ca="1" si="31"/>
        <v>0.18187033849684447</v>
      </c>
      <c r="M239">
        <f t="shared" ca="1" si="31"/>
        <v>0.2807794508414525</v>
      </c>
      <c r="N239">
        <f t="shared" ca="1" si="31"/>
        <v>0.19165659008464325</v>
      </c>
      <c r="O239">
        <f t="shared" ca="1" si="31"/>
        <v>0.23063683304647167</v>
      </c>
      <c r="P239">
        <f t="shared" ca="1" si="31"/>
        <v>0.24304715840386948</v>
      </c>
      <c r="Q239">
        <f t="shared" ca="1" si="31"/>
        <v>0.32315112540192936</v>
      </c>
      <c r="R239">
        <f t="shared" ca="1" si="31"/>
        <v>0.64773379231210571</v>
      </c>
      <c r="S239">
        <f t="shared" ca="1" si="31"/>
        <v>0.41250717154331612</v>
      </c>
      <c r="T239">
        <f t="shared" ca="1" si="31"/>
        <v>0.43470374848851273</v>
      </c>
      <c r="V239" s="4">
        <f t="shared" si="29"/>
        <v>41792</v>
      </c>
      <c r="W239" s="5">
        <f t="shared" ca="1" si="27"/>
        <v>0.64773379231210571</v>
      </c>
      <c r="Z239" s="4" t="str">
        <f ca="1">IF(OFFSET('Calc Canada'!$A$1,0,0,300)="","",OFFSET('Calc Canada'!$A$1,0,0,300))</f>
        <v/>
      </c>
      <c r="AA239" s="5" t="e">
        <f ca="1">IF(OFFSET('Calc Canada'!$A$1,0,MATCH(W$1,'Calc Canada'!$1:$1,0)-1,300)="","",OFFSET('Calc Canada'!$A$1,0,MATCH(W$1,'Calc Canada'!$1:$1,0)-1,300))</f>
        <v>#N/A</v>
      </c>
      <c r="AB239" s="5" t="e">
        <f ca="1">IF(OFFSET('Calc Canada'!$A$1,0,MATCH(X$1,'Calc Canada'!$1:$1,0)-1,300)="","",OFFSET('Calc Canada'!$A$1,0,MATCH(X$1,'Calc Canada'!$1:$1,0)-1,300))</f>
        <v>#N/A</v>
      </c>
      <c r="AC239" t="e">
        <f t="shared" ca="1" si="25"/>
        <v>#N/A</v>
      </c>
      <c r="AD239" t="e">
        <f t="shared" ca="1" si="26"/>
        <v>#N/A</v>
      </c>
    </row>
    <row r="240" spans="1:30" x14ac:dyDescent="0.25">
      <c r="A240" s="4">
        <v>41789</v>
      </c>
      <c r="B240">
        <v>1.048</v>
      </c>
      <c r="C240" s="5">
        <v>1.1320000000000001</v>
      </c>
      <c r="D240">
        <v>1.5249999999999999</v>
      </c>
      <c r="E240">
        <v>1.841</v>
      </c>
      <c r="F240">
        <v>2.2439999999999998</v>
      </c>
      <c r="G240">
        <v>2.778</v>
      </c>
      <c r="H240">
        <f t="shared" ca="1" si="31"/>
        <v>0.49558638083228224</v>
      </c>
      <c r="I240">
        <f t="shared" ca="1" si="31"/>
        <v>0.3285953177257524</v>
      </c>
      <c r="J240">
        <f t="shared" ca="1" si="31"/>
        <v>0.22716763005780335</v>
      </c>
      <c r="K240">
        <f t="shared" ca="1" si="31"/>
        <v>0.26421404682274258</v>
      </c>
      <c r="L240">
        <f t="shared" ca="1" si="31"/>
        <v>0.1826589595375723</v>
      </c>
      <c r="M240">
        <f t="shared" ca="1" si="31"/>
        <v>0.28417266187050372</v>
      </c>
      <c r="N240">
        <f t="shared" ca="1" si="31"/>
        <v>0.19198055893074123</v>
      </c>
      <c r="O240">
        <f t="shared" ca="1" si="31"/>
        <v>0.2329479768786126</v>
      </c>
      <c r="P240">
        <f t="shared" ca="1" si="31"/>
        <v>0.24483596597812868</v>
      </c>
      <c r="Q240">
        <f t="shared" ca="1" si="31"/>
        <v>0.32162809257781305</v>
      </c>
      <c r="R240">
        <f t="shared" ca="1" si="31"/>
        <v>0.64277456647398823</v>
      </c>
      <c r="S240">
        <f t="shared" ca="1" si="31"/>
        <v>0.4156069364161849</v>
      </c>
      <c r="T240">
        <f t="shared" ca="1" si="31"/>
        <v>0.43681652490886991</v>
      </c>
      <c r="V240" s="4">
        <f t="shared" si="29"/>
        <v>41789</v>
      </c>
      <c r="W240" s="5">
        <f t="shared" ca="1" si="27"/>
        <v>0.64277456647398823</v>
      </c>
      <c r="Z240" s="4" t="str">
        <f ca="1">IF(OFFSET('Calc Canada'!$A$1,0,0,300)="","",OFFSET('Calc Canada'!$A$1,0,0,300))</f>
        <v/>
      </c>
      <c r="AA240" s="5" t="e">
        <f ca="1">IF(OFFSET('Calc Canada'!$A$1,0,MATCH(W$1,'Calc Canada'!$1:$1,0)-1,300)="","",OFFSET('Calc Canada'!$A$1,0,MATCH(W$1,'Calc Canada'!$1:$1,0)-1,300))</f>
        <v>#N/A</v>
      </c>
      <c r="AB240" s="5" t="e">
        <f ca="1">IF(OFFSET('Calc Canada'!$A$1,0,MATCH(X$1,'Calc Canada'!$1:$1,0)-1,300)="","",OFFSET('Calc Canada'!$A$1,0,MATCH(X$1,'Calc Canada'!$1:$1,0)-1,300))</f>
        <v>#N/A</v>
      </c>
      <c r="AC240" t="e">
        <f t="shared" ca="1" si="25"/>
        <v>#N/A</v>
      </c>
      <c r="AD240" t="e">
        <f t="shared" ca="1" si="26"/>
        <v>#N/A</v>
      </c>
    </row>
    <row r="241" spans="1:30" x14ac:dyDescent="0.25">
      <c r="A241" s="4">
        <v>41788</v>
      </c>
      <c r="B241">
        <v>1.05</v>
      </c>
      <c r="C241" s="5">
        <v>1.1360000000000001</v>
      </c>
      <c r="D241">
        <v>1.54</v>
      </c>
      <c r="E241">
        <v>1.8620000000000001</v>
      </c>
      <c r="F241">
        <v>2.2640000000000002</v>
      </c>
      <c r="G241">
        <v>2.7909999999999999</v>
      </c>
      <c r="H241">
        <f t="shared" ca="1" si="31"/>
        <v>0.49753694581280772</v>
      </c>
      <c r="I241">
        <f t="shared" ca="1" si="31"/>
        <v>0.33278418451400316</v>
      </c>
      <c r="J241">
        <f t="shared" ca="1" si="31"/>
        <v>0.23205054566341179</v>
      </c>
      <c r="K241">
        <f t="shared" ca="1" si="31"/>
        <v>0.26523887973640858</v>
      </c>
      <c r="L241">
        <f t="shared" ca="1" si="31"/>
        <v>0.18495117748420453</v>
      </c>
      <c r="M241">
        <f t="shared" ca="1" si="31"/>
        <v>0.28546099290780147</v>
      </c>
      <c r="N241">
        <f t="shared" ca="1" si="31"/>
        <v>0.19456193353474327</v>
      </c>
      <c r="O241">
        <f t="shared" ca="1" si="31"/>
        <v>0.23090178058587027</v>
      </c>
      <c r="P241">
        <f t="shared" ca="1" si="31"/>
        <v>0.24290030211480373</v>
      </c>
      <c r="Q241">
        <f t="shared" ca="1" si="31"/>
        <v>0.32134292565947253</v>
      </c>
      <c r="R241">
        <f t="shared" ca="1" si="31"/>
        <v>0.6479035037334866</v>
      </c>
      <c r="S241">
        <f t="shared" ca="1" si="31"/>
        <v>0.41585295807007483</v>
      </c>
      <c r="T241">
        <f t="shared" ca="1" si="31"/>
        <v>0.437462235649547</v>
      </c>
      <c r="V241" s="4">
        <f t="shared" si="29"/>
        <v>41788</v>
      </c>
      <c r="W241" s="5">
        <f t="shared" ca="1" si="27"/>
        <v>0.6479035037334866</v>
      </c>
      <c r="Z241" s="4" t="str">
        <f ca="1">IF(OFFSET('Calc Canada'!$A$1,0,0,300)="","",OFFSET('Calc Canada'!$A$1,0,0,300))</f>
        <v/>
      </c>
      <c r="AA241" s="5" t="e">
        <f ca="1">IF(OFFSET('Calc Canada'!$A$1,0,MATCH(W$1,'Calc Canada'!$1:$1,0)-1,300)="","",OFFSET('Calc Canada'!$A$1,0,MATCH(W$1,'Calc Canada'!$1:$1,0)-1,300))</f>
        <v>#N/A</v>
      </c>
      <c r="AB241" s="5" t="e">
        <f ca="1">IF(OFFSET('Calc Canada'!$A$1,0,MATCH(X$1,'Calc Canada'!$1:$1,0)-1,300)="","",OFFSET('Calc Canada'!$A$1,0,MATCH(X$1,'Calc Canada'!$1:$1,0)-1,300))</f>
        <v>#N/A</v>
      </c>
      <c r="AC241" t="e">
        <f t="shared" ca="1" si="25"/>
        <v>#N/A</v>
      </c>
      <c r="AD241" t="e">
        <f t="shared" ca="1" si="26"/>
        <v>#N/A</v>
      </c>
    </row>
    <row r="242" spans="1:30" x14ac:dyDescent="0.25">
      <c r="A242" s="4">
        <v>41787</v>
      </c>
      <c r="B242">
        <v>1.0349999999999999</v>
      </c>
      <c r="C242" s="5">
        <v>1.1179999999999999</v>
      </c>
      <c r="D242">
        <v>1.508</v>
      </c>
      <c r="E242">
        <v>1.8180000000000001</v>
      </c>
      <c r="F242">
        <v>2.2210000000000001</v>
      </c>
      <c r="G242">
        <v>2.7629999999999999</v>
      </c>
      <c r="H242">
        <f t="shared" ca="1" si="31"/>
        <v>0.49808429118773956</v>
      </c>
      <c r="I242">
        <f t="shared" ca="1" si="31"/>
        <v>0.32883642495784154</v>
      </c>
      <c r="J242">
        <f t="shared" ca="1" si="31"/>
        <v>0.22569444444444453</v>
      </c>
      <c r="K242">
        <f t="shared" ca="1" si="31"/>
        <v>0.26138279932546377</v>
      </c>
      <c r="L242">
        <f t="shared" ca="1" si="31"/>
        <v>0.17939814814814817</v>
      </c>
      <c r="M242">
        <f t="shared" ca="1" si="31"/>
        <v>0.2810516772438803</v>
      </c>
      <c r="N242">
        <f t="shared" ca="1" si="31"/>
        <v>0.18844984802431614</v>
      </c>
      <c r="O242">
        <f t="shared" ca="1" si="31"/>
        <v>0.23321759259259262</v>
      </c>
      <c r="P242">
        <f t="shared" ca="1" si="31"/>
        <v>0.24498480243161094</v>
      </c>
      <c r="Q242">
        <f t="shared" ca="1" si="31"/>
        <v>0.32111553784860564</v>
      </c>
      <c r="R242">
        <f t="shared" ca="1" si="31"/>
        <v>0.63831018518518534</v>
      </c>
      <c r="S242">
        <f t="shared" ca="1" si="31"/>
        <v>0.41261574074074081</v>
      </c>
      <c r="T242">
        <f t="shared" ca="1" si="31"/>
        <v>0.43343465045592711</v>
      </c>
      <c r="V242" s="4">
        <f t="shared" si="29"/>
        <v>41787</v>
      </c>
      <c r="W242" s="5">
        <f t="shared" ca="1" si="27"/>
        <v>0.63831018518518534</v>
      </c>
      <c r="Z242" s="4" t="str">
        <f ca="1">IF(OFFSET('Calc Canada'!$A$1,0,0,300)="","",OFFSET('Calc Canada'!$A$1,0,0,300))</f>
        <v/>
      </c>
      <c r="AA242" s="5" t="e">
        <f ca="1">IF(OFFSET('Calc Canada'!$A$1,0,MATCH(W$1,'Calc Canada'!$1:$1,0)-1,300)="","",OFFSET('Calc Canada'!$A$1,0,MATCH(W$1,'Calc Canada'!$1:$1,0)-1,300))</f>
        <v>#N/A</v>
      </c>
      <c r="AB242" s="5" t="e">
        <f ca="1">IF(OFFSET('Calc Canada'!$A$1,0,MATCH(X$1,'Calc Canada'!$1:$1,0)-1,300)="","",OFFSET('Calc Canada'!$A$1,0,MATCH(X$1,'Calc Canada'!$1:$1,0)-1,300))</f>
        <v>#N/A</v>
      </c>
      <c r="AC242" t="e">
        <f t="shared" ca="1" si="25"/>
        <v>#N/A</v>
      </c>
      <c r="AD242" t="e">
        <f t="shared" ca="1" si="26"/>
        <v>#N/A</v>
      </c>
    </row>
    <row r="243" spans="1:30" x14ac:dyDescent="0.25">
      <c r="A243" s="4">
        <v>41786</v>
      </c>
      <c r="B243">
        <v>1.054</v>
      </c>
      <c r="C243" s="5">
        <v>1.141</v>
      </c>
      <c r="D243">
        <v>1.5620000000000001</v>
      </c>
      <c r="E243">
        <v>1.8959999999999999</v>
      </c>
      <c r="F243">
        <v>2.298</v>
      </c>
      <c r="G243">
        <v>2.835</v>
      </c>
      <c r="H243">
        <f t="shared" ca="1" si="31"/>
        <v>0.50000000000000011</v>
      </c>
      <c r="I243">
        <f t="shared" ca="1" si="31"/>
        <v>0.33842443729903543</v>
      </c>
      <c r="J243">
        <f t="shared" ca="1" si="31"/>
        <v>0.2363840539023021</v>
      </c>
      <c r="K243">
        <f t="shared" ca="1" si="31"/>
        <v>0.26848874598070727</v>
      </c>
      <c r="L243">
        <f t="shared" ca="1" si="31"/>
        <v>0.18753509264458162</v>
      </c>
      <c r="M243">
        <f t="shared" ca="1" si="31"/>
        <v>0.28867761452031099</v>
      </c>
      <c r="N243">
        <f t="shared" ca="1" si="31"/>
        <v>0.19716646989374254</v>
      </c>
      <c r="O243">
        <f t="shared" ca="1" si="31"/>
        <v>0.22571588994946667</v>
      </c>
      <c r="P243">
        <f t="shared" ca="1" si="31"/>
        <v>0.23730814639905556</v>
      </c>
      <c r="Q243">
        <f t="shared" ca="1" si="31"/>
        <v>0.31578947368421068</v>
      </c>
      <c r="R243">
        <f t="shared" ca="1" si="31"/>
        <v>0.64963503649635046</v>
      </c>
      <c r="S243">
        <f t="shared" ca="1" si="31"/>
        <v>0.4132509825940483</v>
      </c>
      <c r="T243">
        <f t="shared" ca="1" si="31"/>
        <v>0.4344746162927981</v>
      </c>
      <c r="V243" s="4">
        <f t="shared" si="29"/>
        <v>41786</v>
      </c>
      <c r="W243" s="5">
        <f t="shared" ca="1" si="27"/>
        <v>0.64963503649635046</v>
      </c>
      <c r="Z243" s="4" t="str">
        <f ca="1">IF(OFFSET('Calc Canada'!$A$1,0,0,300)="","",OFFSET('Calc Canada'!$A$1,0,0,300))</f>
        <v/>
      </c>
      <c r="AA243" s="5" t="e">
        <f ca="1">IF(OFFSET('Calc Canada'!$A$1,0,MATCH(W$1,'Calc Canada'!$1:$1,0)-1,300)="","",OFFSET('Calc Canada'!$A$1,0,MATCH(W$1,'Calc Canada'!$1:$1,0)-1,300))</f>
        <v>#N/A</v>
      </c>
      <c r="AB243" s="5" t="e">
        <f ca="1">IF(OFFSET('Calc Canada'!$A$1,0,MATCH(X$1,'Calc Canada'!$1:$1,0)-1,300)="","",OFFSET('Calc Canada'!$A$1,0,MATCH(X$1,'Calc Canada'!$1:$1,0)-1,300))</f>
        <v>#N/A</v>
      </c>
      <c r="AC243" t="e">
        <f t="shared" ca="1" si="25"/>
        <v>#N/A</v>
      </c>
      <c r="AD243" t="e">
        <f t="shared" ca="1" si="26"/>
        <v>#N/A</v>
      </c>
    </row>
    <row r="244" spans="1:30" x14ac:dyDescent="0.25">
      <c r="A244" s="4">
        <v>41785</v>
      </c>
      <c r="B244">
        <v>1.0580000000000001</v>
      </c>
      <c r="C244" s="5">
        <v>1.1479999999999999</v>
      </c>
      <c r="D244">
        <v>1.581</v>
      </c>
      <c r="E244">
        <v>1.9159999999999999</v>
      </c>
      <c r="F244">
        <v>2.319</v>
      </c>
      <c r="G244">
        <v>2.847</v>
      </c>
      <c r="H244">
        <f t="shared" ca="1" si="31"/>
        <v>0.50466200466200484</v>
      </c>
      <c r="I244">
        <f t="shared" ca="1" si="31"/>
        <v>0.34337827121332282</v>
      </c>
      <c r="J244">
        <f t="shared" ca="1" si="31"/>
        <v>0.24203465623253217</v>
      </c>
      <c r="K244">
        <f t="shared" ca="1" si="31"/>
        <v>0.26566217287866772</v>
      </c>
      <c r="L244">
        <f t="shared" ca="1" si="31"/>
        <v>0.1872554499720514</v>
      </c>
      <c r="M244">
        <f t="shared" ca="1" si="31"/>
        <v>0.28608027327070873</v>
      </c>
      <c r="N244">
        <f t="shared" ca="1" si="31"/>
        <v>0.19717480871100646</v>
      </c>
      <c r="O244">
        <f t="shared" ca="1" si="31"/>
        <v>0.22526551145891563</v>
      </c>
      <c r="P244">
        <f t="shared" ca="1" si="31"/>
        <v>0.2371983519717481</v>
      </c>
      <c r="Q244">
        <f t="shared" ca="1" si="31"/>
        <v>0.31832543443917855</v>
      </c>
      <c r="R244">
        <f t="shared" ca="1" si="31"/>
        <v>0.65455561766349923</v>
      </c>
      <c r="S244">
        <f t="shared" ca="1" si="31"/>
        <v>0.41252096143096706</v>
      </c>
      <c r="T244">
        <f t="shared" ca="1" si="31"/>
        <v>0.43437316068275456</v>
      </c>
      <c r="V244" s="4">
        <f t="shared" si="29"/>
        <v>41785</v>
      </c>
      <c r="W244" s="5">
        <f t="shared" ca="1" si="27"/>
        <v>0.65455561766349923</v>
      </c>
      <c r="Z244" s="4" t="str">
        <f ca="1">IF(OFFSET('Calc Canada'!$A$1,0,0,300)="","",OFFSET('Calc Canada'!$A$1,0,0,300))</f>
        <v/>
      </c>
      <c r="AA244" s="5" t="e">
        <f ca="1">IF(OFFSET('Calc Canada'!$A$1,0,MATCH(W$1,'Calc Canada'!$1:$1,0)-1,300)="","",OFFSET('Calc Canada'!$A$1,0,MATCH(W$1,'Calc Canada'!$1:$1,0)-1,300))</f>
        <v>#N/A</v>
      </c>
      <c r="AB244" s="5" t="e">
        <f ca="1">IF(OFFSET('Calc Canada'!$A$1,0,MATCH(X$1,'Calc Canada'!$1:$1,0)-1,300)="","",OFFSET('Calc Canada'!$A$1,0,MATCH(X$1,'Calc Canada'!$1:$1,0)-1,300))</f>
        <v>#N/A</v>
      </c>
      <c r="AC244" t="e">
        <f t="shared" ca="1" si="25"/>
        <v>#N/A</v>
      </c>
      <c r="AD244" t="e">
        <f t="shared" ca="1" si="26"/>
        <v>#N/A</v>
      </c>
    </row>
    <row r="245" spans="1:30" x14ac:dyDescent="0.25">
      <c r="A245" s="4">
        <v>41782</v>
      </c>
      <c r="B245">
        <v>1.05</v>
      </c>
      <c r="C245" s="5">
        <v>1.1400000000000001</v>
      </c>
      <c r="D245">
        <v>1.5649999999999999</v>
      </c>
      <c r="E245">
        <v>1.9</v>
      </c>
      <c r="F245">
        <v>2.302</v>
      </c>
      <c r="G245">
        <v>2.8369999999999997</v>
      </c>
      <c r="H245">
        <f t="shared" ca="1" si="31"/>
        <v>0.49999999999999989</v>
      </c>
      <c r="I245">
        <f t="shared" ca="1" si="31"/>
        <v>0.33945686900958455</v>
      </c>
      <c r="J245">
        <f t="shared" ca="1" si="31"/>
        <v>0.23782876329043082</v>
      </c>
      <c r="K245">
        <f t="shared" ca="1" si="31"/>
        <v>0.26757188498402551</v>
      </c>
      <c r="L245">
        <f t="shared" ca="1" si="31"/>
        <v>0.18746502518186905</v>
      </c>
      <c r="M245">
        <f t="shared" ca="1" si="31"/>
        <v>0.2882960413080895</v>
      </c>
      <c r="N245">
        <f t="shared" ca="1" si="31"/>
        <v>0.19740718915733649</v>
      </c>
      <c r="O245">
        <f t="shared" ca="1" si="31"/>
        <v>0.22495803021824298</v>
      </c>
      <c r="P245">
        <f t="shared" ca="1" si="31"/>
        <v>0.23688862698880389</v>
      </c>
      <c r="Q245">
        <f t="shared" ca="1" si="31"/>
        <v>0.31603773584905676</v>
      </c>
      <c r="R245">
        <f t="shared" ca="1" si="31"/>
        <v>0.65025181869054283</v>
      </c>
      <c r="S245">
        <f t="shared" ca="1" si="31"/>
        <v>0.41242305540011204</v>
      </c>
      <c r="T245">
        <f t="shared" ca="1" si="31"/>
        <v>0.43429581614614038</v>
      </c>
      <c r="V245" s="4">
        <f t="shared" si="29"/>
        <v>41782</v>
      </c>
      <c r="W245" s="5">
        <f t="shared" ca="1" si="27"/>
        <v>0.65025181869054283</v>
      </c>
      <c r="Z245" s="4" t="str">
        <f ca="1">IF(OFFSET('Calc Canada'!$A$1,0,0,300)="","",OFFSET('Calc Canada'!$A$1,0,0,300))</f>
        <v/>
      </c>
      <c r="AA245" s="5" t="e">
        <f ca="1">IF(OFFSET('Calc Canada'!$A$1,0,MATCH(W$1,'Calc Canada'!$1:$1,0)-1,300)="","",OFFSET('Calc Canada'!$A$1,0,MATCH(W$1,'Calc Canada'!$1:$1,0)-1,300))</f>
        <v>#N/A</v>
      </c>
      <c r="AB245" s="5" t="e">
        <f ca="1">IF(OFFSET('Calc Canada'!$A$1,0,MATCH(X$1,'Calc Canada'!$1:$1,0)-1,300)="","",OFFSET('Calc Canada'!$A$1,0,MATCH(X$1,'Calc Canada'!$1:$1,0)-1,300))</f>
        <v>#N/A</v>
      </c>
      <c r="AC245" t="e">
        <f t="shared" ca="1" si="25"/>
        <v>#N/A</v>
      </c>
      <c r="AD245" t="e">
        <f t="shared" ca="1" si="26"/>
        <v>#N/A</v>
      </c>
    </row>
    <row r="246" spans="1:30" x14ac:dyDescent="0.25">
      <c r="A246" s="4">
        <v>41781</v>
      </c>
      <c r="B246">
        <v>1.0529999999999999</v>
      </c>
      <c r="C246" s="5">
        <v>1.1439999999999999</v>
      </c>
      <c r="D246">
        <v>1.5880000000000001</v>
      </c>
      <c r="E246">
        <v>1.9159999999999999</v>
      </c>
      <c r="F246">
        <v>2.3210000000000002</v>
      </c>
      <c r="G246">
        <v>2.8660000000000001</v>
      </c>
      <c r="H246">
        <f t="shared" ca="1" si="31"/>
        <v>0.51448435689455407</v>
      </c>
      <c r="I246">
        <f t="shared" ca="1" si="31"/>
        <v>0.35015772870662465</v>
      </c>
      <c r="J246">
        <f t="shared" ca="1" si="31"/>
        <v>0.24489795918367355</v>
      </c>
      <c r="K246">
        <f t="shared" ca="1" si="31"/>
        <v>0.25867507886435315</v>
      </c>
      <c r="L246">
        <f t="shared" ca="1" si="31"/>
        <v>0.18091560948703797</v>
      </c>
      <c r="M246">
        <f t="shared" ca="1" si="31"/>
        <v>0.27867459643160558</v>
      </c>
      <c r="N246">
        <f t="shared" ca="1" si="31"/>
        <v>0.19047619047619035</v>
      </c>
      <c r="O246">
        <f t="shared" ca="1" si="31"/>
        <v>0.22338665195808063</v>
      </c>
      <c r="P246">
        <f t="shared" ca="1" si="31"/>
        <v>0.23519163763066214</v>
      </c>
      <c r="Q246">
        <f t="shared" ca="1" si="31"/>
        <v>0.31690140845070441</v>
      </c>
      <c r="R246">
        <f t="shared" ca="1" si="31"/>
        <v>0.64920022062879212</v>
      </c>
      <c r="S246">
        <f t="shared" ca="1" si="31"/>
        <v>0.4043022614451186</v>
      </c>
      <c r="T246">
        <f t="shared" ca="1" si="31"/>
        <v>0.4256678281068525</v>
      </c>
      <c r="V246" s="4">
        <f t="shared" si="29"/>
        <v>41781</v>
      </c>
      <c r="W246" s="5">
        <f t="shared" ca="1" si="27"/>
        <v>0.64920022062879212</v>
      </c>
      <c r="Z246" s="4" t="str">
        <f ca="1">IF(OFFSET('Calc Canada'!$A$1,0,0,300)="","",OFFSET('Calc Canada'!$A$1,0,0,300))</f>
        <v/>
      </c>
      <c r="AA246" s="5" t="e">
        <f ca="1">IF(OFFSET('Calc Canada'!$A$1,0,MATCH(W$1,'Calc Canada'!$1:$1,0)-1,300)="","",OFFSET('Calc Canada'!$A$1,0,MATCH(W$1,'Calc Canada'!$1:$1,0)-1,300))</f>
        <v>#N/A</v>
      </c>
      <c r="AB246" s="5" t="e">
        <f ca="1">IF(OFFSET('Calc Canada'!$A$1,0,MATCH(X$1,'Calc Canada'!$1:$1,0)-1,300)="","",OFFSET('Calc Canada'!$A$1,0,MATCH(X$1,'Calc Canada'!$1:$1,0)-1,300))</f>
        <v>#N/A</v>
      </c>
      <c r="AC246" t="e">
        <f t="shared" ca="1" si="25"/>
        <v>#N/A</v>
      </c>
      <c r="AD246" t="e">
        <f t="shared" ca="1" si="26"/>
        <v>#N/A</v>
      </c>
    </row>
    <row r="247" spans="1:30" x14ac:dyDescent="0.25">
      <c r="A247" s="4">
        <v>41780</v>
      </c>
      <c r="B247">
        <v>1.048</v>
      </c>
      <c r="C247" s="5">
        <v>1.1379999999999999</v>
      </c>
      <c r="D247">
        <v>1.5669999999999999</v>
      </c>
      <c r="E247">
        <v>1.8919999999999999</v>
      </c>
      <c r="F247">
        <v>2.2989999999999999</v>
      </c>
      <c r="G247">
        <v>2.8439999999999999</v>
      </c>
      <c r="H247">
        <f t="shared" ca="1" si="31"/>
        <v>0.50829383886255941</v>
      </c>
      <c r="I247">
        <f t="shared" ca="1" si="31"/>
        <v>0.34292565947242215</v>
      </c>
      <c r="J247">
        <f t="shared" ca="1" si="31"/>
        <v>0.23886414253897556</v>
      </c>
      <c r="K247">
        <f t="shared" ca="1" si="31"/>
        <v>0.25979216626698642</v>
      </c>
      <c r="L247">
        <f t="shared" ca="1" si="31"/>
        <v>0.18095768374164811</v>
      </c>
      <c r="M247">
        <f t="shared" ca="1" si="31"/>
        <v>0.2799310938845822</v>
      </c>
      <c r="N247">
        <f t="shared" ca="1" si="31"/>
        <v>0.19050410316529892</v>
      </c>
      <c r="O247">
        <f t="shared" ca="1" si="31"/>
        <v>0.22661469933184858</v>
      </c>
      <c r="P247">
        <f t="shared" ca="1" si="31"/>
        <v>0.23856975381008208</v>
      </c>
      <c r="Q247">
        <f t="shared" ca="1" si="31"/>
        <v>0.31871574001566177</v>
      </c>
      <c r="R247">
        <f t="shared" ca="1" si="31"/>
        <v>0.64643652561247222</v>
      </c>
      <c r="S247">
        <f t="shared" ca="1" si="31"/>
        <v>0.40757238307349669</v>
      </c>
      <c r="T247">
        <f t="shared" ca="1" si="31"/>
        <v>0.42907385697538103</v>
      </c>
      <c r="V247" s="4">
        <f t="shared" si="29"/>
        <v>41780</v>
      </c>
      <c r="W247" s="5">
        <f t="shared" ca="1" si="27"/>
        <v>0.64643652561247222</v>
      </c>
      <c r="Z247" s="4" t="str">
        <f ca="1">IF(OFFSET('Calc Canada'!$A$1,0,0,300)="","",OFFSET('Calc Canada'!$A$1,0,0,300))</f>
        <v/>
      </c>
      <c r="AA247" s="5" t="e">
        <f ca="1">IF(OFFSET('Calc Canada'!$A$1,0,MATCH(W$1,'Calc Canada'!$1:$1,0)-1,300)="","",OFFSET('Calc Canada'!$A$1,0,MATCH(W$1,'Calc Canada'!$1:$1,0)-1,300))</f>
        <v>#N/A</v>
      </c>
      <c r="AB247" s="5" t="e">
        <f ca="1">IF(OFFSET('Calc Canada'!$A$1,0,MATCH(X$1,'Calc Canada'!$1:$1,0)-1,300)="","",OFFSET('Calc Canada'!$A$1,0,MATCH(X$1,'Calc Canada'!$1:$1,0)-1,300))</f>
        <v>#N/A</v>
      </c>
      <c r="AC247" t="e">
        <f t="shared" ca="1" si="25"/>
        <v>#N/A</v>
      </c>
      <c r="AD247" t="e">
        <f t="shared" ca="1" si="26"/>
        <v>#N/A</v>
      </c>
    </row>
    <row r="248" spans="1:30" x14ac:dyDescent="0.25">
      <c r="A248" s="4">
        <v>41779</v>
      </c>
      <c r="B248">
        <v>1.04</v>
      </c>
      <c r="C248" s="5">
        <v>1.1280000000000001</v>
      </c>
      <c r="D248">
        <v>1.54</v>
      </c>
      <c r="E248">
        <v>1.865</v>
      </c>
      <c r="F248">
        <v>2.2759999999999998</v>
      </c>
      <c r="G248">
        <v>2.8180000000000001</v>
      </c>
      <c r="H248">
        <f t="shared" ca="1" si="31"/>
        <v>0.49939393939393933</v>
      </c>
      <c r="I248">
        <f t="shared" ca="1" si="31"/>
        <v>0.33333333333333331</v>
      </c>
      <c r="J248">
        <f t="shared" ca="1" si="31"/>
        <v>0.23172103487064113</v>
      </c>
      <c r="K248">
        <f t="shared" ca="1" si="31"/>
        <v>0.26294498381877024</v>
      </c>
      <c r="L248">
        <f t="shared" ca="1" si="31"/>
        <v>0.18278965129358826</v>
      </c>
      <c r="M248">
        <f t="shared" ca="1" si="31"/>
        <v>0.28310104529616731</v>
      </c>
      <c r="N248">
        <f t="shared" ca="1" si="31"/>
        <v>0.19230769230769229</v>
      </c>
      <c r="O248">
        <f t="shared" ca="1" si="31"/>
        <v>0.2311586051743531</v>
      </c>
      <c r="P248">
        <f t="shared" ca="1" si="31"/>
        <v>0.24319526627218924</v>
      </c>
      <c r="Q248">
        <f t="shared" ca="1" si="31"/>
        <v>0.32159624413145527</v>
      </c>
      <c r="R248">
        <f t="shared" ca="1" si="31"/>
        <v>0.64566929133858253</v>
      </c>
      <c r="S248">
        <f t="shared" ca="1" si="31"/>
        <v>0.41394825646794137</v>
      </c>
      <c r="T248">
        <f t="shared" ca="1" si="31"/>
        <v>0.43550295857988153</v>
      </c>
      <c r="V248" s="4">
        <f t="shared" si="29"/>
        <v>41779</v>
      </c>
      <c r="W248" s="5">
        <f t="shared" ca="1" si="27"/>
        <v>0.64566929133858253</v>
      </c>
      <c r="Z248" s="4" t="str">
        <f ca="1">IF(OFFSET('Calc Canada'!$A$1,0,0,300)="","",OFFSET('Calc Canada'!$A$1,0,0,300))</f>
        <v/>
      </c>
      <c r="AA248" s="5" t="e">
        <f ca="1">IF(OFFSET('Calc Canada'!$A$1,0,MATCH(W$1,'Calc Canada'!$1:$1,0)-1,300)="","",OFFSET('Calc Canada'!$A$1,0,MATCH(W$1,'Calc Canada'!$1:$1,0)-1,300))</f>
        <v>#N/A</v>
      </c>
      <c r="AB248" s="5" t="e">
        <f ca="1">IF(OFFSET('Calc Canada'!$A$1,0,MATCH(X$1,'Calc Canada'!$1:$1,0)-1,300)="","",OFFSET('Calc Canada'!$A$1,0,MATCH(X$1,'Calc Canada'!$1:$1,0)-1,300))</f>
        <v>#N/A</v>
      </c>
      <c r="AC248" t="e">
        <f t="shared" ca="1" si="25"/>
        <v>#N/A</v>
      </c>
      <c r="AD248" t="e">
        <f t="shared" ca="1" si="26"/>
        <v>#N/A</v>
      </c>
    </row>
    <row r="249" spans="1:30" x14ac:dyDescent="0.25">
      <c r="A249" s="4">
        <v>41778</v>
      </c>
      <c r="B249">
        <v>1.036</v>
      </c>
      <c r="C249" s="5">
        <v>1.1240000000000001</v>
      </c>
      <c r="D249">
        <v>1.5390000000000001</v>
      </c>
      <c r="E249">
        <v>1.855</v>
      </c>
      <c r="F249">
        <v>2.2610000000000001</v>
      </c>
      <c r="G249">
        <v>2.7970000000000002</v>
      </c>
      <c r="H249">
        <f t="shared" ca="1" si="31"/>
        <v>0.5067155067155068</v>
      </c>
      <c r="I249">
        <f t="shared" ca="1" si="31"/>
        <v>0.33877551020408164</v>
      </c>
      <c r="J249">
        <f t="shared" ca="1" si="31"/>
        <v>0.23566155593412835</v>
      </c>
      <c r="K249">
        <f t="shared" ca="1" si="31"/>
        <v>0.25795918367346926</v>
      </c>
      <c r="L249">
        <f t="shared" ca="1" si="31"/>
        <v>0.17944349801249279</v>
      </c>
      <c r="M249">
        <f t="shared" ca="1" si="31"/>
        <v>0.2779243623570799</v>
      </c>
      <c r="N249">
        <f t="shared" ca="1" si="31"/>
        <v>0.18888224745965321</v>
      </c>
      <c r="O249">
        <f t="shared" ca="1" si="31"/>
        <v>0.23055082339579791</v>
      </c>
      <c r="P249">
        <f t="shared" ca="1" si="31"/>
        <v>0.2426778242677825</v>
      </c>
      <c r="Q249">
        <f t="shared" ca="1" si="31"/>
        <v>0.32273449920508757</v>
      </c>
      <c r="R249">
        <f t="shared" ca="1" si="31"/>
        <v>0.64565587734241903</v>
      </c>
      <c r="S249">
        <f t="shared" ca="1" si="31"/>
        <v>0.40999432140829067</v>
      </c>
      <c r="T249">
        <f t="shared" ca="1" si="31"/>
        <v>0.43156007172743571</v>
      </c>
      <c r="V249" s="4">
        <f t="shared" si="29"/>
        <v>41778</v>
      </c>
      <c r="W249" s="5">
        <f t="shared" ca="1" si="27"/>
        <v>0.64565587734241903</v>
      </c>
      <c r="Z249" s="4" t="str">
        <f ca="1">IF(OFFSET('Calc Canada'!$A$1,0,0,300)="","",OFFSET('Calc Canada'!$A$1,0,0,300))</f>
        <v/>
      </c>
      <c r="AA249" s="5" t="e">
        <f ca="1">IF(OFFSET('Calc Canada'!$A$1,0,MATCH(W$1,'Calc Canada'!$1:$1,0)-1,300)="","",OFFSET('Calc Canada'!$A$1,0,MATCH(W$1,'Calc Canada'!$1:$1,0)-1,300))</f>
        <v>#N/A</v>
      </c>
      <c r="AB249" s="5" t="e">
        <f ca="1">IF(OFFSET('Calc Canada'!$A$1,0,MATCH(X$1,'Calc Canada'!$1:$1,0)-1,300)="","",OFFSET('Calc Canada'!$A$1,0,MATCH(X$1,'Calc Canada'!$1:$1,0)-1,300))</f>
        <v>#N/A</v>
      </c>
      <c r="AC249" t="e">
        <f t="shared" ca="1" si="25"/>
        <v>#N/A</v>
      </c>
      <c r="AD249" t="e">
        <f t="shared" ca="1" si="26"/>
        <v>#N/A</v>
      </c>
    </row>
    <row r="250" spans="1:30" x14ac:dyDescent="0.25">
      <c r="A250" s="4">
        <v>41775</v>
      </c>
      <c r="B250">
        <v>1.0369999999999999</v>
      </c>
      <c r="C250" s="5">
        <v>1.1259999999999999</v>
      </c>
      <c r="D250">
        <v>1.542</v>
      </c>
      <c r="E250">
        <v>1.857</v>
      </c>
      <c r="F250">
        <v>2.262</v>
      </c>
      <c r="G250">
        <v>2.7960000000000003</v>
      </c>
      <c r="H250">
        <f t="shared" ca="1" si="31"/>
        <v>0.50731707317073182</v>
      </c>
      <c r="I250">
        <f t="shared" ca="1" si="31"/>
        <v>0.33959183673469395</v>
      </c>
      <c r="J250">
        <f t="shared" ca="1" si="31"/>
        <v>0.23649801023308703</v>
      </c>
      <c r="K250">
        <f t="shared" ca="1" si="31"/>
        <v>0.25714285714285706</v>
      </c>
      <c r="L250">
        <f t="shared" ca="1" si="31"/>
        <v>0.17907902217168839</v>
      </c>
      <c r="M250">
        <f t="shared" ca="1" si="31"/>
        <v>0.27728873239436613</v>
      </c>
      <c r="N250">
        <f t="shared" ca="1" si="31"/>
        <v>0.1886227544910179</v>
      </c>
      <c r="O250">
        <f t="shared" ca="1" si="31"/>
        <v>0.23024445707788513</v>
      </c>
      <c r="P250">
        <f t="shared" ca="1" si="31"/>
        <v>0.24251497005988021</v>
      </c>
      <c r="Q250">
        <f t="shared" ca="1" si="31"/>
        <v>0.32296650717703346</v>
      </c>
      <c r="R250">
        <f t="shared" ca="1" si="31"/>
        <v>0.64582148948266049</v>
      </c>
      <c r="S250">
        <f t="shared" ca="1" si="31"/>
        <v>0.40932347924957352</v>
      </c>
      <c r="T250">
        <f t="shared" ca="1" si="31"/>
        <v>0.4311377245508981</v>
      </c>
      <c r="V250" s="4">
        <f t="shared" si="29"/>
        <v>41775</v>
      </c>
      <c r="W250" s="5">
        <f t="shared" ca="1" si="27"/>
        <v>0.64582148948266049</v>
      </c>
      <c r="Z250" s="4" t="str">
        <f ca="1">IF(OFFSET('Calc Canada'!$A$1,0,0,300)="","",OFFSET('Calc Canada'!$A$1,0,0,300))</f>
        <v/>
      </c>
      <c r="AA250" s="5" t="e">
        <f ca="1">IF(OFFSET('Calc Canada'!$A$1,0,MATCH(W$1,'Calc Canada'!$1:$1,0)-1,300)="","",OFFSET('Calc Canada'!$A$1,0,MATCH(W$1,'Calc Canada'!$1:$1,0)-1,300))</f>
        <v>#N/A</v>
      </c>
      <c r="AB250" s="5" t="e">
        <f ca="1">IF(OFFSET('Calc Canada'!$A$1,0,MATCH(X$1,'Calc Canada'!$1:$1,0)-1,300)="","",OFFSET('Calc Canada'!$A$1,0,MATCH(X$1,'Calc Canada'!$1:$1,0)-1,300))</f>
        <v>#N/A</v>
      </c>
      <c r="AC250" t="e">
        <f t="shared" ca="1" si="25"/>
        <v>#N/A</v>
      </c>
      <c r="AD250" t="e">
        <f t="shared" ca="1" si="26"/>
        <v>#N/A</v>
      </c>
    </row>
    <row r="251" spans="1:30" x14ac:dyDescent="0.25">
      <c r="A251" s="4">
        <v>41774</v>
      </c>
      <c r="B251">
        <v>1.0349999999999999</v>
      </c>
      <c r="C251" s="5">
        <v>1.1219999999999999</v>
      </c>
      <c r="D251">
        <v>1.522</v>
      </c>
      <c r="E251">
        <v>1.8439999999999999</v>
      </c>
      <c r="F251">
        <v>2.2519999999999998</v>
      </c>
      <c r="G251">
        <v>2.7919999999999998</v>
      </c>
      <c r="H251">
        <f t="shared" ca="1" si="31"/>
        <v>0.49443757725587167</v>
      </c>
      <c r="I251">
        <f t="shared" ca="1" si="31"/>
        <v>0.32867707477403468</v>
      </c>
      <c r="J251">
        <f t="shared" ca="1" si="31"/>
        <v>0.22766078542970983</v>
      </c>
      <c r="K251">
        <f t="shared" ca="1" si="31"/>
        <v>0.26458504519309767</v>
      </c>
      <c r="L251">
        <f t="shared" ca="1" si="31"/>
        <v>0.18326693227091626</v>
      </c>
      <c r="M251">
        <f t="shared" ca="1" si="31"/>
        <v>0.28495575221238928</v>
      </c>
      <c r="N251">
        <f t="shared" ca="1" si="31"/>
        <v>0.19281437125748493</v>
      </c>
      <c r="O251">
        <f t="shared" ca="1" si="31"/>
        <v>0.2322140011383039</v>
      </c>
      <c r="P251">
        <f t="shared" ca="1" si="31"/>
        <v>0.24431137724550894</v>
      </c>
      <c r="Q251">
        <f t="shared" ca="1" si="31"/>
        <v>0.32125984251968503</v>
      </c>
      <c r="R251">
        <f t="shared" ca="1" si="31"/>
        <v>0.64314171883893001</v>
      </c>
      <c r="S251">
        <f t="shared" ca="1" si="31"/>
        <v>0.41548093340922015</v>
      </c>
      <c r="T251">
        <f t="shared" ca="1" si="31"/>
        <v>0.4371257485029939</v>
      </c>
      <c r="V251" s="4">
        <f t="shared" si="29"/>
        <v>41774</v>
      </c>
      <c r="W251" s="5">
        <f t="shared" ca="1" si="27"/>
        <v>0.64314171883893001</v>
      </c>
      <c r="Z251" s="4" t="str">
        <f ca="1">IF(OFFSET('Calc Canada'!$A$1,0,0,300)="","",OFFSET('Calc Canada'!$A$1,0,0,300))</f>
        <v/>
      </c>
      <c r="AA251" s="5" t="e">
        <f ca="1">IF(OFFSET('Calc Canada'!$A$1,0,MATCH(W$1,'Calc Canada'!$1:$1,0)-1,300)="","",OFFSET('Calc Canada'!$A$1,0,MATCH(W$1,'Calc Canada'!$1:$1,0)-1,300))</f>
        <v>#N/A</v>
      </c>
      <c r="AB251" s="5" t="e">
        <f ca="1">IF(OFFSET('Calc Canada'!$A$1,0,MATCH(X$1,'Calc Canada'!$1:$1,0)-1,300)="","",OFFSET('Calc Canada'!$A$1,0,MATCH(X$1,'Calc Canada'!$1:$1,0)-1,300))</f>
        <v>#N/A</v>
      </c>
      <c r="AC251" t="e">
        <f t="shared" ca="1" si="25"/>
        <v>#N/A</v>
      </c>
      <c r="AD251" t="e">
        <f t="shared" ca="1" si="26"/>
        <v>#N/A</v>
      </c>
    </row>
    <row r="252" spans="1:30" x14ac:dyDescent="0.25">
      <c r="A252" s="4">
        <v>41773</v>
      </c>
      <c r="B252">
        <v>1.042</v>
      </c>
      <c r="C252" s="5">
        <v>1.133</v>
      </c>
      <c r="D252">
        <v>1.5609999999999999</v>
      </c>
      <c r="E252">
        <v>1.8820000000000001</v>
      </c>
      <c r="F252">
        <v>2.2869999999999999</v>
      </c>
      <c r="G252">
        <v>2.83</v>
      </c>
      <c r="H252">
        <f t="shared" ca="1" si="31"/>
        <v>0.50952380952380938</v>
      </c>
      <c r="I252">
        <f t="shared" ca="1" si="31"/>
        <v>0.34377510040160641</v>
      </c>
      <c r="J252">
        <f t="shared" ca="1" si="31"/>
        <v>0.23937360178970912</v>
      </c>
      <c r="K252">
        <f t="shared" ca="1" si="31"/>
        <v>0.25783132530120501</v>
      </c>
      <c r="L252">
        <f t="shared" ca="1" si="31"/>
        <v>0.17953020134228198</v>
      </c>
      <c r="M252">
        <f t="shared" ca="1" si="31"/>
        <v>0.27816291161178525</v>
      </c>
      <c r="N252">
        <f t="shared" ca="1" si="31"/>
        <v>0.18915733647613445</v>
      </c>
      <c r="O252">
        <f t="shared" ca="1" si="31"/>
        <v>0.22651006711409385</v>
      </c>
      <c r="P252">
        <f t="shared" ca="1" si="31"/>
        <v>0.23865645256334697</v>
      </c>
      <c r="Q252">
        <f t="shared" ca="1" si="31"/>
        <v>0.31914893617021256</v>
      </c>
      <c r="R252">
        <f t="shared" ca="1" si="31"/>
        <v>0.64541387024608499</v>
      </c>
      <c r="S252">
        <f t="shared" ca="1" si="31"/>
        <v>0.40604026845637581</v>
      </c>
      <c r="T252">
        <f t="shared" ca="1" si="31"/>
        <v>0.42781378903948142</v>
      </c>
      <c r="V252" s="4">
        <f t="shared" si="29"/>
        <v>41773</v>
      </c>
      <c r="W252" s="5">
        <f t="shared" ca="1" si="27"/>
        <v>0.64541387024608499</v>
      </c>
      <c r="Z252" s="4" t="str">
        <f ca="1">IF(OFFSET('Calc Canada'!$A$1,0,0,300)="","",OFFSET('Calc Canada'!$A$1,0,0,300))</f>
        <v/>
      </c>
      <c r="AA252" s="5" t="e">
        <f ca="1">IF(OFFSET('Calc Canada'!$A$1,0,MATCH(W$1,'Calc Canada'!$1:$1,0)-1,300)="","",OFFSET('Calc Canada'!$A$1,0,MATCH(W$1,'Calc Canada'!$1:$1,0)-1,300))</f>
        <v>#N/A</v>
      </c>
      <c r="AB252" s="5" t="e">
        <f ca="1">IF(OFFSET('Calc Canada'!$A$1,0,MATCH(X$1,'Calc Canada'!$1:$1,0)-1,300)="","",OFFSET('Calc Canada'!$A$1,0,MATCH(X$1,'Calc Canada'!$1:$1,0)-1,300))</f>
        <v>#N/A</v>
      </c>
      <c r="AC252" t="e">
        <f t="shared" ca="1" si="25"/>
        <v>#N/A</v>
      </c>
      <c r="AD252" t="e">
        <f t="shared" ca="1" si="26"/>
        <v>#N/A</v>
      </c>
    </row>
    <row r="253" spans="1:30" x14ac:dyDescent="0.25">
      <c r="A253" s="4">
        <v>41772</v>
      </c>
      <c r="B253">
        <v>1.0609999999999999</v>
      </c>
      <c r="C253" s="5">
        <v>1.163</v>
      </c>
      <c r="D253">
        <v>1.6219999999999999</v>
      </c>
      <c r="E253">
        <v>1.9489999999999998</v>
      </c>
      <c r="F253">
        <v>2.3529999999999998</v>
      </c>
      <c r="G253">
        <v>2.8879999999999999</v>
      </c>
      <c r="H253">
        <f t="shared" ref="H253:T268" ca="1" si="32">IF(ISERROR(ABS(OFFSET($A$11,ROW()-11,MATCH(LEFT(H$9,2),$A$11:$G$11,0)-1)-OFFSET($A$11,ROW()-11,MATCH(RIGHT(H$9,2),$A$11:$G$11,0)-1))/ABS(OFFSET($A$11,ROW()-11,MATCH(LEFT(H$10,2),$A$11:$G$11,0)-1)-OFFSET($A$11,ROW()-11,MATCH(RIGHT(H$10,2),$A$11:$G$11,0)-1))),"",ABS(OFFSET($A$11,ROW()-11,MATCH(LEFT(H$9,2),$A$11:$G$11,0)-1)-OFFSET($A$11,ROW()-11,MATCH(RIGHT(H$9,2),$A$11:$G$11,0)-1))/ABS(OFFSET($A$11,ROW()-11,MATCH(LEFT(H$10,2),$A$11:$G$11,0)-1)-OFFSET($A$11,ROW()-11,MATCH(RIGHT(H$10,2),$A$11:$G$11,0)-1)))</f>
        <v>0.51689189189189177</v>
      </c>
      <c r="I253">
        <f t="shared" ca="1" si="32"/>
        <v>0.35526315789473678</v>
      </c>
      <c r="J253">
        <f t="shared" ca="1" si="32"/>
        <v>0.25123152709359597</v>
      </c>
      <c r="K253">
        <f t="shared" ca="1" si="32"/>
        <v>0.25309597523219812</v>
      </c>
      <c r="L253">
        <f t="shared" ca="1" si="32"/>
        <v>0.17898193760262723</v>
      </c>
      <c r="M253">
        <f t="shared" ca="1" si="32"/>
        <v>0.27478991596638658</v>
      </c>
      <c r="N253">
        <f t="shared" ca="1" si="32"/>
        <v>0.18956521739130433</v>
      </c>
      <c r="O253">
        <f t="shared" ca="1" si="32"/>
        <v>0.22112753147235903</v>
      </c>
      <c r="P253">
        <f t="shared" ca="1" si="32"/>
        <v>0.2342028985507246</v>
      </c>
      <c r="Q253">
        <f t="shared" ca="1" si="32"/>
        <v>0.31911532385466029</v>
      </c>
      <c r="R253">
        <f t="shared" ca="1" si="32"/>
        <v>0.65134099616858221</v>
      </c>
      <c r="S253">
        <f t="shared" ca="1" si="32"/>
        <v>0.40010946907498623</v>
      </c>
      <c r="T253">
        <f t="shared" ca="1" si="32"/>
        <v>0.42376811594202896</v>
      </c>
      <c r="V253" s="4">
        <f t="shared" si="29"/>
        <v>41772</v>
      </c>
      <c r="W253" s="5">
        <f t="shared" ca="1" si="27"/>
        <v>0.65134099616858221</v>
      </c>
      <c r="Z253" s="4" t="str">
        <f ca="1">IF(OFFSET('Calc Canada'!$A$1,0,0,300)="","",OFFSET('Calc Canada'!$A$1,0,0,300))</f>
        <v/>
      </c>
      <c r="AA253" s="5" t="e">
        <f ca="1">IF(OFFSET('Calc Canada'!$A$1,0,MATCH(W$1,'Calc Canada'!$1:$1,0)-1,300)="","",OFFSET('Calc Canada'!$A$1,0,MATCH(W$1,'Calc Canada'!$1:$1,0)-1,300))</f>
        <v>#N/A</v>
      </c>
      <c r="AB253" s="5" t="e">
        <f ca="1">IF(OFFSET('Calc Canada'!$A$1,0,MATCH(X$1,'Calc Canada'!$1:$1,0)-1,300)="","",OFFSET('Calc Canada'!$A$1,0,MATCH(X$1,'Calc Canada'!$1:$1,0)-1,300))</f>
        <v>#N/A</v>
      </c>
      <c r="AC253" t="e">
        <f t="shared" ca="1" si="25"/>
        <v>#N/A</v>
      </c>
      <c r="AD253" t="e">
        <f t="shared" ca="1" si="26"/>
        <v>#N/A</v>
      </c>
    </row>
    <row r="254" spans="1:30" x14ac:dyDescent="0.25">
      <c r="A254" s="4">
        <v>41771</v>
      </c>
      <c r="B254">
        <v>1.071</v>
      </c>
      <c r="C254" s="5">
        <v>1.17</v>
      </c>
      <c r="D254">
        <v>1.659</v>
      </c>
      <c r="E254">
        <v>1.9950000000000001</v>
      </c>
      <c r="F254">
        <v>2.399</v>
      </c>
      <c r="G254">
        <v>2.9220000000000002</v>
      </c>
      <c r="H254">
        <f t="shared" ca="1" si="32"/>
        <v>0.52922077922077926</v>
      </c>
      <c r="I254">
        <f t="shared" ca="1" si="32"/>
        <v>0.36822289156626514</v>
      </c>
      <c r="J254">
        <f t="shared" ca="1" si="32"/>
        <v>0.26418152350081042</v>
      </c>
      <c r="K254">
        <f t="shared" ca="1" si="32"/>
        <v>0.25301204819277112</v>
      </c>
      <c r="L254">
        <f t="shared" ca="1" si="32"/>
        <v>0.1815235008103728</v>
      </c>
      <c r="M254">
        <f t="shared" ca="1" si="32"/>
        <v>0.273393002441009</v>
      </c>
      <c r="N254">
        <f t="shared" ca="1" si="32"/>
        <v>0.19178082191780824</v>
      </c>
      <c r="O254">
        <f t="shared" ca="1" si="32"/>
        <v>0.21826039978390052</v>
      </c>
      <c r="P254">
        <f t="shared" ca="1" si="32"/>
        <v>0.230593607305936</v>
      </c>
      <c r="Q254">
        <f t="shared" ca="1" si="32"/>
        <v>0.3198733174980205</v>
      </c>
      <c r="R254">
        <f t="shared" ca="1" si="32"/>
        <v>0.66396542409508374</v>
      </c>
      <c r="S254">
        <f t="shared" ca="1" si="32"/>
        <v>0.39978390059427332</v>
      </c>
      <c r="T254">
        <f t="shared" ca="1" si="32"/>
        <v>0.42237442922374424</v>
      </c>
      <c r="V254" s="4">
        <f t="shared" si="29"/>
        <v>41771</v>
      </c>
      <c r="W254" s="5">
        <f t="shared" ca="1" si="27"/>
        <v>0.66396542409508374</v>
      </c>
      <c r="Z254" s="4" t="str">
        <f ca="1">IF(OFFSET('Calc Canada'!$A$1,0,0,300)="","",OFFSET('Calc Canada'!$A$1,0,0,300))</f>
        <v/>
      </c>
      <c r="AA254" s="5" t="e">
        <f ca="1">IF(OFFSET('Calc Canada'!$A$1,0,MATCH(W$1,'Calc Canada'!$1:$1,0)-1,300)="","",OFFSET('Calc Canada'!$A$1,0,MATCH(W$1,'Calc Canada'!$1:$1,0)-1,300))</f>
        <v>#N/A</v>
      </c>
      <c r="AB254" s="5" t="e">
        <f ca="1">IF(OFFSET('Calc Canada'!$A$1,0,MATCH(X$1,'Calc Canada'!$1:$1,0)-1,300)="","",OFFSET('Calc Canada'!$A$1,0,MATCH(X$1,'Calc Canada'!$1:$1,0)-1,300))</f>
        <v>#N/A</v>
      </c>
      <c r="AC254" t="e">
        <f t="shared" ca="1" si="25"/>
        <v>#N/A</v>
      </c>
      <c r="AD254" t="e">
        <f t="shared" ca="1" si="26"/>
        <v>#N/A</v>
      </c>
    </row>
    <row r="255" spans="1:30" x14ac:dyDescent="0.25">
      <c r="A255" s="4">
        <v>41768</v>
      </c>
      <c r="B255">
        <v>1.0580000000000001</v>
      </c>
      <c r="C255" s="5">
        <v>1.1559999999999999</v>
      </c>
      <c r="D255">
        <v>1.6280000000000001</v>
      </c>
      <c r="E255">
        <v>1.958</v>
      </c>
      <c r="F255">
        <v>2.36</v>
      </c>
      <c r="G255">
        <v>2.8940000000000001</v>
      </c>
      <c r="H255">
        <f t="shared" ca="1" si="32"/>
        <v>0.52444444444444471</v>
      </c>
      <c r="I255">
        <f t="shared" ca="1" si="32"/>
        <v>0.36251920122887887</v>
      </c>
      <c r="J255">
        <f t="shared" ca="1" si="32"/>
        <v>0.25708061002178662</v>
      </c>
      <c r="K255">
        <f t="shared" ca="1" si="32"/>
        <v>0.25345622119815658</v>
      </c>
      <c r="L255">
        <f t="shared" ca="1" si="32"/>
        <v>0.17973856209150318</v>
      </c>
      <c r="M255">
        <f t="shared" ca="1" si="32"/>
        <v>0.27408637873754144</v>
      </c>
      <c r="N255">
        <f t="shared" ca="1" si="32"/>
        <v>0.18987341772151889</v>
      </c>
      <c r="O255">
        <f t="shared" ca="1" si="32"/>
        <v>0.21895424836601302</v>
      </c>
      <c r="P255">
        <f t="shared" ca="1" si="32"/>
        <v>0.23130034522439577</v>
      </c>
      <c r="Q255">
        <f t="shared" ca="1" si="32"/>
        <v>0.31753554502369663</v>
      </c>
      <c r="R255">
        <f t="shared" ca="1" si="32"/>
        <v>0.65577342047930276</v>
      </c>
      <c r="S255">
        <f t="shared" ca="1" si="32"/>
        <v>0.3986928104575162</v>
      </c>
      <c r="T255">
        <f t="shared" ca="1" si="32"/>
        <v>0.42117376294591463</v>
      </c>
      <c r="V255" s="4">
        <f t="shared" si="29"/>
        <v>41768</v>
      </c>
      <c r="W255" s="5">
        <f t="shared" ca="1" si="27"/>
        <v>0.65577342047930276</v>
      </c>
      <c r="Z255" s="4" t="str">
        <f ca="1">IF(OFFSET('Calc Canada'!$A$1,0,0,300)="","",OFFSET('Calc Canada'!$A$1,0,0,300))</f>
        <v/>
      </c>
      <c r="AA255" s="5" t="e">
        <f ca="1">IF(OFFSET('Calc Canada'!$A$1,0,MATCH(W$1,'Calc Canada'!$1:$1,0)-1,300)="","",OFFSET('Calc Canada'!$A$1,0,MATCH(W$1,'Calc Canada'!$1:$1,0)-1,300))</f>
        <v>#N/A</v>
      </c>
      <c r="AB255" s="5" t="e">
        <f ca="1">IF(OFFSET('Calc Canada'!$A$1,0,MATCH(X$1,'Calc Canada'!$1:$1,0)-1,300)="","",OFFSET('Calc Canada'!$A$1,0,MATCH(X$1,'Calc Canada'!$1:$1,0)-1,300))</f>
        <v>#N/A</v>
      </c>
      <c r="AC255" t="e">
        <f t="shared" ca="1" si="25"/>
        <v>#N/A</v>
      </c>
      <c r="AD255" t="e">
        <f t="shared" ca="1" si="26"/>
        <v>#N/A</v>
      </c>
    </row>
    <row r="256" spans="1:30" x14ac:dyDescent="0.25">
      <c r="A256" s="4">
        <v>41767</v>
      </c>
      <c r="B256">
        <v>1.071</v>
      </c>
      <c r="C256" s="5">
        <v>1.1659999999999999</v>
      </c>
      <c r="D256">
        <v>1.6480000000000001</v>
      </c>
      <c r="E256">
        <v>1.968</v>
      </c>
      <c r="F256">
        <v>2.3689999999999998</v>
      </c>
      <c r="G256">
        <v>2.895</v>
      </c>
      <c r="H256">
        <f t="shared" ca="1" si="32"/>
        <v>0.53734671125975497</v>
      </c>
      <c r="I256">
        <f t="shared" ca="1" si="32"/>
        <v>0.37134052388289696</v>
      </c>
      <c r="J256">
        <f t="shared" ca="1" si="32"/>
        <v>0.26425438596491241</v>
      </c>
      <c r="K256">
        <f t="shared" ca="1" si="32"/>
        <v>0.24653312788906001</v>
      </c>
      <c r="L256">
        <f t="shared" ca="1" si="32"/>
        <v>0.17543859649122798</v>
      </c>
      <c r="M256">
        <f t="shared" ca="1" si="32"/>
        <v>0.26600166251039059</v>
      </c>
      <c r="N256">
        <f t="shared" ca="1" si="32"/>
        <v>0.18507807981492183</v>
      </c>
      <c r="O256">
        <f t="shared" ca="1" si="32"/>
        <v>0.21984649122807007</v>
      </c>
      <c r="P256">
        <f t="shared" ca="1" si="32"/>
        <v>0.23192596876807389</v>
      </c>
      <c r="Q256">
        <f t="shared" ca="1" si="32"/>
        <v>0.32157177225340805</v>
      </c>
      <c r="R256">
        <f t="shared" ca="1" si="32"/>
        <v>0.6595394736842104</v>
      </c>
      <c r="S256">
        <f t="shared" ca="1" si="32"/>
        <v>0.39528508771929804</v>
      </c>
      <c r="T256">
        <f t="shared" ca="1" si="32"/>
        <v>0.41700404858299572</v>
      </c>
      <c r="V256" s="4">
        <f t="shared" si="29"/>
        <v>41767</v>
      </c>
      <c r="W256" s="5">
        <f t="shared" ca="1" si="27"/>
        <v>0.6595394736842104</v>
      </c>
      <c r="Z256" s="4" t="str">
        <f ca="1">IF(OFFSET('Calc Canada'!$A$1,0,0,300)="","",OFFSET('Calc Canada'!$A$1,0,0,300))</f>
        <v/>
      </c>
      <c r="AA256" s="5" t="e">
        <f ca="1">IF(OFFSET('Calc Canada'!$A$1,0,MATCH(W$1,'Calc Canada'!$1:$1,0)-1,300)="","",OFFSET('Calc Canada'!$A$1,0,MATCH(W$1,'Calc Canada'!$1:$1,0)-1,300))</f>
        <v>#N/A</v>
      </c>
      <c r="AB256" s="5" t="e">
        <f ca="1">IF(OFFSET('Calc Canada'!$A$1,0,MATCH(X$1,'Calc Canada'!$1:$1,0)-1,300)="","",OFFSET('Calc Canada'!$A$1,0,MATCH(X$1,'Calc Canada'!$1:$1,0)-1,300))</f>
        <v>#N/A</v>
      </c>
      <c r="AC256" t="e">
        <f t="shared" ca="1" si="25"/>
        <v>#N/A</v>
      </c>
      <c r="AD256" t="e">
        <f t="shared" ca="1" si="26"/>
        <v>#N/A</v>
      </c>
    </row>
    <row r="257" spans="1:30" x14ac:dyDescent="0.25">
      <c r="A257" s="4">
        <v>41766</v>
      </c>
      <c r="B257">
        <v>1.07</v>
      </c>
      <c r="C257" s="5">
        <v>1.1679999999999999</v>
      </c>
      <c r="D257">
        <v>1.6480000000000001</v>
      </c>
      <c r="E257">
        <v>1.974</v>
      </c>
      <c r="F257">
        <v>2.3769999999999998</v>
      </c>
      <c r="G257">
        <v>2.899</v>
      </c>
      <c r="H257">
        <f t="shared" ca="1" si="32"/>
        <v>0.5309734513274339</v>
      </c>
      <c r="I257">
        <f t="shared" ca="1" si="32"/>
        <v>0.36725325172149986</v>
      </c>
      <c r="J257">
        <f t="shared" ca="1" si="32"/>
        <v>0.262438490978677</v>
      </c>
      <c r="K257">
        <f t="shared" ca="1" si="32"/>
        <v>0.24942616679418508</v>
      </c>
      <c r="L257">
        <f t="shared" ca="1" si="32"/>
        <v>0.17823947512301797</v>
      </c>
      <c r="M257">
        <f t="shared" ca="1" si="32"/>
        <v>0.26964433416046307</v>
      </c>
      <c r="N257">
        <f t="shared" ca="1" si="32"/>
        <v>0.18833044482957817</v>
      </c>
      <c r="O257">
        <f t="shared" ca="1" si="32"/>
        <v>0.22033898305084734</v>
      </c>
      <c r="P257">
        <f t="shared" ca="1" si="32"/>
        <v>0.23281340265742334</v>
      </c>
      <c r="Q257">
        <f t="shared" ca="1" si="32"/>
        <v>0.322142286171063</v>
      </c>
      <c r="R257">
        <f t="shared" ca="1" si="32"/>
        <v>0.66101694915254228</v>
      </c>
      <c r="S257">
        <f t="shared" ca="1" si="32"/>
        <v>0.39857845817386534</v>
      </c>
      <c r="T257">
        <f t="shared" ca="1" si="32"/>
        <v>0.42114384748700151</v>
      </c>
      <c r="V257" s="4">
        <f t="shared" si="29"/>
        <v>41766</v>
      </c>
      <c r="W257" s="5">
        <f t="shared" ca="1" si="27"/>
        <v>0.66101694915254228</v>
      </c>
      <c r="Z257" s="4" t="str">
        <f ca="1">IF(OFFSET('Calc Canada'!$A$1,0,0,300)="","",OFFSET('Calc Canada'!$A$1,0,0,300))</f>
        <v/>
      </c>
      <c r="AA257" s="5" t="e">
        <f ca="1">IF(OFFSET('Calc Canada'!$A$1,0,MATCH(W$1,'Calc Canada'!$1:$1,0)-1,300)="","",OFFSET('Calc Canada'!$A$1,0,MATCH(W$1,'Calc Canada'!$1:$1,0)-1,300))</f>
        <v>#N/A</v>
      </c>
      <c r="AB257" s="5" t="e">
        <f ca="1">IF(OFFSET('Calc Canada'!$A$1,0,MATCH(X$1,'Calc Canada'!$1:$1,0)-1,300)="","",OFFSET('Calc Canada'!$A$1,0,MATCH(X$1,'Calc Canada'!$1:$1,0)-1,300))</f>
        <v>#N/A</v>
      </c>
      <c r="AC257" t="e">
        <f t="shared" ca="1" si="25"/>
        <v>#N/A</v>
      </c>
      <c r="AD257" t="e">
        <f t="shared" ca="1" si="26"/>
        <v>#N/A</v>
      </c>
    </row>
    <row r="258" spans="1:30" x14ac:dyDescent="0.25">
      <c r="A258" s="4">
        <v>41765</v>
      </c>
      <c r="B258">
        <v>1.0669999999999999</v>
      </c>
      <c r="C258" s="5">
        <v>1.1639999999999999</v>
      </c>
      <c r="D258">
        <v>1.647</v>
      </c>
      <c r="E258">
        <v>1.9649999999999999</v>
      </c>
      <c r="F258">
        <v>2.371</v>
      </c>
      <c r="G258">
        <v>2.891</v>
      </c>
      <c r="H258">
        <f t="shared" ca="1" si="32"/>
        <v>0.53786191536748351</v>
      </c>
      <c r="I258">
        <f t="shared" ca="1" si="32"/>
        <v>0.37039877300613505</v>
      </c>
      <c r="J258">
        <f t="shared" ca="1" si="32"/>
        <v>0.2648026315789474</v>
      </c>
      <c r="K258">
        <f t="shared" ca="1" si="32"/>
        <v>0.24386503067484649</v>
      </c>
      <c r="L258">
        <f t="shared" ca="1" si="32"/>
        <v>0.1743421052631578</v>
      </c>
      <c r="M258">
        <f t="shared" ca="1" si="32"/>
        <v>0.26346313173156571</v>
      </c>
      <c r="N258">
        <f t="shared" ca="1" si="32"/>
        <v>0.18413433700057893</v>
      </c>
      <c r="O258">
        <f t="shared" ca="1" si="32"/>
        <v>0.2225877192982457</v>
      </c>
      <c r="P258">
        <f t="shared" ca="1" si="32"/>
        <v>0.23508975101331797</v>
      </c>
      <c r="Q258">
        <f t="shared" ca="1" si="32"/>
        <v>0.32636655948553067</v>
      </c>
      <c r="R258">
        <f t="shared" ca="1" si="32"/>
        <v>0.66173245614035092</v>
      </c>
      <c r="S258">
        <f t="shared" ca="1" si="32"/>
        <v>0.39692982456140347</v>
      </c>
      <c r="T258">
        <f t="shared" ca="1" si="32"/>
        <v>0.41922408801389688</v>
      </c>
      <c r="V258" s="4">
        <f t="shared" si="29"/>
        <v>41765</v>
      </c>
      <c r="W258" s="5">
        <f t="shared" ca="1" si="27"/>
        <v>0.66173245614035092</v>
      </c>
      <c r="Z258" s="4" t="str">
        <f ca="1">IF(OFFSET('Calc Canada'!$A$1,0,0,300)="","",OFFSET('Calc Canada'!$A$1,0,0,300))</f>
        <v/>
      </c>
      <c r="AA258" s="5" t="e">
        <f ca="1">IF(OFFSET('Calc Canada'!$A$1,0,MATCH(W$1,'Calc Canada'!$1:$1,0)-1,300)="","",OFFSET('Calc Canada'!$A$1,0,MATCH(W$1,'Calc Canada'!$1:$1,0)-1,300))</f>
        <v>#N/A</v>
      </c>
      <c r="AB258" s="5" t="e">
        <f ca="1">IF(OFFSET('Calc Canada'!$A$1,0,MATCH(X$1,'Calc Canada'!$1:$1,0)-1,300)="","",OFFSET('Calc Canada'!$A$1,0,MATCH(X$1,'Calc Canada'!$1:$1,0)-1,300))</f>
        <v>#N/A</v>
      </c>
      <c r="AC258" t="e">
        <f t="shared" ca="1" si="25"/>
        <v>#N/A</v>
      </c>
      <c r="AD258" t="e">
        <f t="shared" ca="1" si="26"/>
        <v>#N/A</v>
      </c>
    </row>
    <row r="259" spans="1:30" x14ac:dyDescent="0.25">
      <c r="A259" s="4">
        <v>41764</v>
      </c>
      <c r="B259">
        <v>1.069</v>
      </c>
      <c r="C259" s="5">
        <v>1.165</v>
      </c>
      <c r="D259">
        <v>1.645</v>
      </c>
      <c r="E259">
        <v>1.9609999999999999</v>
      </c>
      <c r="F259">
        <v>2.3679999999999999</v>
      </c>
      <c r="G259">
        <v>2.8970000000000002</v>
      </c>
      <c r="H259">
        <f t="shared" ca="1" si="32"/>
        <v>0.53811659192825112</v>
      </c>
      <c r="I259">
        <f t="shared" ca="1" si="32"/>
        <v>0.36951501154734412</v>
      </c>
      <c r="J259">
        <f t="shared" ca="1" si="32"/>
        <v>0.26258205689277891</v>
      </c>
      <c r="K259">
        <f t="shared" ca="1" si="32"/>
        <v>0.2432640492686681</v>
      </c>
      <c r="L259">
        <f t="shared" ca="1" si="32"/>
        <v>0.17286652078774606</v>
      </c>
      <c r="M259">
        <f t="shared" ca="1" si="32"/>
        <v>0.26267664172901073</v>
      </c>
      <c r="N259">
        <f t="shared" ca="1" si="32"/>
        <v>0.18244803695150105</v>
      </c>
      <c r="O259">
        <f t="shared" ca="1" si="32"/>
        <v>0.22264770240700216</v>
      </c>
      <c r="P259">
        <f t="shared" ca="1" si="32"/>
        <v>0.23498845265588914</v>
      </c>
      <c r="Q259">
        <f t="shared" ca="1" si="32"/>
        <v>0.32507987220447282</v>
      </c>
      <c r="R259">
        <f t="shared" ca="1" si="32"/>
        <v>0.65809628008752719</v>
      </c>
      <c r="S259">
        <f t="shared" ca="1" si="32"/>
        <v>0.39551422319474822</v>
      </c>
      <c r="T259">
        <f t="shared" ca="1" si="32"/>
        <v>0.41743648960739016</v>
      </c>
      <c r="V259" s="4">
        <f t="shared" si="29"/>
        <v>41764</v>
      </c>
      <c r="W259" s="5">
        <f t="shared" ca="1" si="27"/>
        <v>0.65809628008752719</v>
      </c>
      <c r="Z259" s="4" t="str">
        <f ca="1">IF(OFFSET('Calc Canada'!$A$1,0,0,300)="","",OFFSET('Calc Canada'!$A$1,0,0,300))</f>
        <v/>
      </c>
      <c r="AA259" s="5" t="e">
        <f ca="1">IF(OFFSET('Calc Canada'!$A$1,0,MATCH(W$1,'Calc Canada'!$1:$1,0)-1,300)="","",OFFSET('Calc Canada'!$A$1,0,MATCH(W$1,'Calc Canada'!$1:$1,0)-1,300))</f>
        <v>#N/A</v>
      </c>
      <c r="AB259" s="5" t="e">
        <f ca="1">IF(OFFSET('Calc Canada'!$A$1,0,MATCH(X$1,'Calc Canada'!$1:$1,0)-1,300)="","",OFFSET('Calc Canada'!$A$1,0,MATCH(X$1,'Calc Canada'!$1:$1,0)-1,300))</f>
        <v>#N/A</v>
      </c>
      <c r="AC259" t="e">
        <f t="shared" ref="AC259:AC300" ca="1" si="33">IF(AND(AA259&lt;&gt;"",AB259&lt;&gt;""),ABS(AA259-AB259),"")</f>
        <v>#N/A</v>
      </c>
      <c r="AD259" t="e">
        <f t="shared" ref="AD259:AD300" ca="1" si="34">IF(ISNA(MATCH("",AC259:AC278,0)),AVERAGE(AC259:AC278),"")</f>
        <v>#N/A</v>
      </c>
    </row>
    <row r="260" spans="1:30" x14ac:dyDescent="0.25">
      <c r="A260" s="4">
        <v>41761</v>
      </c>
      <c r="B260">
        <v>1.0669999999999999</v>
      </c>
      <c r="C260" s="5">
        <v>1.1619999999999999</v>
      </c>
      <c r="D260">
        <v>1.6280000000000001</v>
      </c>
      <c r="E260">
        <v>1.9409999999999998</v>
      </c>
      <c r="F260">
        <v>2.347</v>
      </c>
      <c r="G260">
        <v>2.8769999999999998</v>
      </c>
      <c r="H260">
        <f t="shared" ca="1" si="32"/>
        <v>0.5331807780320369</v>
      </c>
      <c r="I260">
        <f t="shared" ca="1" si="32"/>
        <v>0.36406250000000012</v>
      </c>
      <c r="J260">
        <f t="shared" ca="1" si="32"/>
        <v>0.25745856353591173</v>
      </c>
      <c r="K260">
        <f t="shared" ca="1" si="32"/>
        <v>0.24453124999999978</v>
      </c>
      <c r="L260">
        <f t="shared" ca="1" si="32"/>
        <v>0.17292817679557998</v>
      </c>
      <c r="M260">
        <f t="shared" ca="1" si="32"/>
        <v>0.26413502109704617</v>
      </c>
      <c r="N260">
        <f t="shared" ca="1" si="32"/>
        <v>0.18250728862973747</v>
      </c>
      <c r="O260">
        <f t="shared" ca="1" si="32"/>
        <v>0.22430939226519347</v>
      </c>
      <c r="P260">
        <f t="shared" ca="1" si="32"/>
        <v>0.23673469387755111</v>
      </c>
      <c r="Q260">
        <f t="shared" ca="1" si="32"/>
        <v>0.32506004803843092</v>
      </c>
      <c r="R260">
        <f t="shared" ca="1" si="32"/>
        <v>0.65469613259668513</v>
      </c>
      <c r="S260">
        <f t="shared" ca="1" si="32"/>
        <v>0.39723756906077345</v>
      </c>
      <c r="T260">
        <f t="shared" ca="1" si="32"/>
        <v>0.41924198250728856</v>
      </c>
      <c r="V260" s="4">
        <f t="shared" si="29"/>
        <v>41761</v>
      </c>
      <c r="W260" s="5">
        <f t="shared" ca="1" si="27"/>
        <v>0.65469613259668513</v>
      </c>
      <c r="Z260" s="4" t="str">
        <f ca="1">IF(OFFSET('Calc Canada'!$A$1,0,0,300)="","",OFFSET('Calc Canada'!$A$1,0,0,300))</f>
        <v/>
      </c>
      <c r="AA260" s="5" t="e">
        <f ca="1">IF(OFFSET('Calc Canada'!$A$1,0,MATCH(W$1,'Calc Canada'!$1:$1,0)-1,300)="","",OFFSET('Calc Canada'!$A$1,0,MATCH(W$1,'Calc Canada'!$1:$1,0)-1,300))</f>
        <v>#N/A</v>
      </c>
      <c r="AB260" s="5" t="e">
        <f ca="1">IF(OFFSET('Calc Canada'!$A$1,0,MATCH(X$1,'Calc Canada'!$1:$1,0)-1,300)="","",OFFSET('Calc Canada'!$A$1,0,MATCH(X$1,'Calc Canada'!$1:$1,0)-1,300))</f>
        <v>#N/A</v>
      </c>
      <c r="AC260" t="e">
        <f t="shared" ca="1" si="33"/>
        <v>#N/A</v>
      </c>
      <c r="AD260" t="e">
        <f t="shared" ca="1" si="34"/>
        <v>#N/A</v>
      </c>
    </row>
    <row r="261" spans="1:30" x14ac:dyDescent="0.25">
      <c r="A261" s="4">
        <v>41760</v>
      </c>
      <c r="B261">
        <v>1.0669999999999999</v>
      </c>
      <c r="C261" s="5">
        <v>1.167</v>
      </c>
      <c r="D261">
        <v>1.6400000000000001</v>
      </c>
      <c r="E261">
        <v>1.958</v>
      </c>
      <c r="F261">
        <v>2.367</v>
      </c>
      <c r="G261">
        <v>2.9</v>
      </c>
      <c r="H261">
        <f t="shared" ca="1" si="32"/>
        <v>0.53086419753086433</v>
      </c>
      <c r="I261">
        <f t="shared" ca="1" si="32"/>
        <v>0.36384615384615387</v>
      </c>
      <c r="J261">
        <f t="shared" ca="1" si="32"/>
        <v>0.25804691762138576</v>
      </c>
      <c r="K261">
        <f t="shared" ca="1" si="32"/>
        <v>0.24461538461538448</v>
      </c>
      <c r="L261">
        <f t="shared" ca="1" si="32"/>
        <v>0.17348608837970531</v>
      </c>
      <c r="M261">
        <f t="shared" ca="1" si="32"/>
        <v>0.2649999999999999</v>
      </c>
      <c r="N261">
        <f t="shared" ca="1" si="32"/>
        <v>0.18349682631275238</v>
      </c>
      <c r="O261">
        <f t="shared" ca="1" si="32"/>
        <v>0.22313147845062742</v>
      </c>
      <c r="P261">
        <f t="shared" ca="1" si="32"/>
        <v>0.23600692440854013</v>
      </c>
      <c r="Q261">
        <f t="shared" ca="1" si="32"/>
        <v>0.32460317460317467</v>
      </c>
      <c r="R261">
        <f t="shared" ca="1" si="32"/>
        <v>0.65466448445171843</v>
      </c>
      <c r="S261">
        <f t="shared" ca="1" si="32"/>
        <v>0.39661756683033272</v>
      </c>
      <c r="T261">
        <f t="shared" ca="1" si="32"/>
        <v>0.41950375072129253</v>
      </c>
      <c r="V261" s="4">
        <f t="shared" si="29"/>
        <v>41760</v>
      </c>
      <c r="W261" s="5">
        <f t="shared" ca="1" si="27"/>
        <v>0.65466448445171843</v>
      </c>
      <c r="Z261" s="4" t="str">
        <f ca="1">IF(OFFSET('Calc Canada'!$A$1,0,0,300)="","",OFFSET('Calc Canada'!$A$1,0,0,300))</f>
        <v/>
      </c>
      <c r="AA261" s="5" t="e">
        <f ca="1">IF(OFFSET('Calc Canada'!$A$1,0,MATCH(W$1,'Calc Canada'!$1:$1,0)-1,300)="","",OFFSET('Calc Canada'!$A$1,0,MATCH(W$1,'Calc Canada'!$1:$1,0)-1,300))</f>
        <v>#N/A</v>
      </c>
      <c r="AB261" s="5" t="e">
        <f ca="1">IF(OFFSET('Calc Canada'!$A$1,0,MATCH(X$1,'Calc Canada'!$1:$1,0)-1,300)="","",OFFSET('Calc Canada'!$A$1,0,MATCH(X$1,'Calc Canada'!$1:$1,0)-1,300))</f>
        <v>#N/A</v>
      </c>
      <c r="AC261" t="e">
        <f t="shared" ca="1" si="33"/>
        <v>#N/A</v>
      </c>
      <c r="AD261" t="e">
        <f t="shared" ca="1" si="34"/>
        <v>#N/A</v>
      </c>
    </row>
    <row r="262" spans="1:30" x14ac:dyDescent="0.25">
      <c r="A262" s="4">
        <v>41759</v>
      </c>
      <c r="B262">
        <v>1.0589999999999999</v>
      </c>
      <c r="C262" s="5">
        <v>1.1839999999999999</v>
      </c>
      <c r="D262">
        <v>1.6720000000000002</v>
      </c>
      <c r="E262">
        <v>1.99</v>
      </c>
      <c r="F262">
        <v>2.4009999999999998</v>
      </c>
      <c r="G262">
        <v>2.9239999999999999</v>
      </c>
      <c r="H262">
        <f t="shared" ca="1" si="32"/>
        <v>0.52416756176154689</v>
      </c>
      <c r="I262">
        <f t="shared" ca="1" si="32"/>
        <v>0.36363636363636381</v>
      </c>
      <c r="J262">
        <f t="shared" ca="1" si="32"/>
        <v>0.26166219839142102</v>
      </c>
      <c r="K262">
        <f t="shared" ca="1" si="32"/>
        <v>0.2369597615499254</v>
      </c>
      <c r="L262">
        <f t="shared" ca="1" si="32"/>
        <v>0.17050938337801599</v>
      </c>
      <c r="M262">
        <f t="shared" ca="1" si="32"/>
        <v>0.26129827444535736</v>
      </c>
      <c r="N262">
        <f t="shared" ca="1" si="32"/>
        <v>0.18275862068965509</v>
      </c>
      <c r="O262">
        <f t="shared" ca="1" si="32"/>
        <v>0.22037533512064333</v>
      </c>
      <c r="P262">
        <f t="shared" ca="1" si="32"/>
        <v>0.23620689655172403</v>
      </c>
      <c r="Q262">
        <f t="shared" ca="1" si="32"/>
        <v>0.32827476038338649</v>
      </c>
      <c r="R262">
        <f t="shared" ca="1" si="32"/>
        <v>0.65254691689008038</v>
      </c>
      <c r="S262">
        <f t="shared" ca="1" si="32"/>
        <v>0.39088471849865936</v>
      </c>
      <c r="T262">
        <f t="shared" ca="1" si="32"/>
        <v>0.41896551724137909</v>
      </c>
      <c r="V262" s="4">
        <f t="shared" si="29"/>
        <v>41759</v>
      </c>
      <c r="W262" s="5">
        <f t="shared" ca="1" si="27"/>
        <v>0.65254691689008038</v>
      </c>
      <c r="Z262" s="4" t="str">
        <f ca="1">IF(OFFSET('Calc Canada'!$A$1,0,0,300)="","",OFFSET('Calc Canada'!$A$1,0,0,300))</f>
        <v/>
      </c>
      <c r="AA262" s="5" t="e">
        <f ca="1">IF(OFFSET('Calc Canada'!$A$1,0,MATCH(W$1,'Calc Canada'!$1:$1,0)-1,300)="","",OFFSET('Calc Canada'!$A$1,0,MATCH(W$1,'Calc Canada'!$1:$1,0)-1,300))</f>
        <v>#N/A</v>
      </c>
      <c r="AB262" s="5" t="e">
        <f ca="1">IF(OFFSET('Calc Canada'!$A$1,0,MATCH(X$1,'Calc Canada'!$1:$1,0)-1,300)="","",OFFSET('Calc Canada'!$A$1,0,MATCH(X$1,'Calc Canada'!$1:$1,0)-1,300))</f>
        <v>#N/A</v>
      </c>
      <c r="AC262" t="e">
        <f t="shared" ca="1" si="33"/>
        <v>#N/A</v>
      </c>
      <c r="AD262" t="e">
        <f t="shared" ca="1" si="34"/>
        <v>#N/A</v>
      </c>
    </row>
    <row r="263" spans="1:30" x14ac:dyDescent="0.25">
      <c r="A263" s="4">
        <v>41758</v>
      </c>
      <c r="B263">
        <v>1.075</v>
      </c>
      <c r="C263" s="5">
        <v>1.2070000000000001</v>
      </c>
      <c r="D263">
        <v>1.7069999999999999</v>
      </c>
      <c r="E263">
        <v>2.0190000000000001</v>
      </c>
      <c r="F263">
        <v>2.4390000000000001</v>
      </c>
      <c r="G263">
        <v>2.9609999999999999</v>
      </c>
      <c r="H263">
        <f t="shared" ca="1" si="32"/>
        <v>0.52966101694915224</v>
      </c>
      <c r="I263">
        <f t="shared" ca="1" si="32"/>
        <v>0.36656891495601152</v>
      </c>
      <c r="J263">
        <f t="shared" ca="1" si="32"/>
        <v>0.26511134676564146</v>
      </c>
      <c r="K263">
        <f t="shared" ca="1" si="32"/>
        <v>0.22873900293255151</v>
      </c>
      <c r="L263">
        <f t="shared" ca="1" si="32"/>
        <v>0.1654294803817605</v>
      </c>
      <c r="M263">
        <f t="shared" ca="1" si="32"/>
        <v>0.2532467532467535</v>
      </c>
      <c r="N263">
        <f t="shared" ca="1" si="32"/>
        <v>0.17787913340935024</v>
      </c>
      <c r="O263">
        <f t="shared" ca="1" si="32"/>
        <v>0.2226935312831389</v>
      </c>
      <c r="P263">
        <f t="shared" ca="1" si="32"/>
        <v>0.23945267958950969</v>
      </c>
      <c r="Q263">
        <f t="shared" ca="1" si="32"/>
        <v>0.33492822966507169</v>
      </c>
      <c r="R263">
        <f t="shared" ca="1" si="32"/>
        <v>0.6532343584305409</v>
      </c>
      <c r="S263">
        <f t="shared" ca="1" si="32"/>
        <v>0.38812301166489938</v>
      </c>
      <c r="T263">
        <f t="shared" ca="1" si="32"/>
        <v>0.41733181299885991</v>
      </c>
      <c r="V263" s="4">
        <f t="shared" si="29"/>
        <v>41758</v>
      </c>
      <c r="W263" s="5">
        <f t="shared" ca="1" si="27"/>
        <v>0.6532343584305409</v>
      </c>
      <c r="Z263" s="4" t="str">
        <f ca="1">IF(OFFSET('Calc Canada'!$A$1,0,0,300)="","",OFFSET('Calc Canada'!$A$1,0,0,300))</f>
        <v/>
      </c>
      <c r="AA263" s="5" t="e">
        <f ca="1">IF(OFFSET('Calc Canada'!$A$1,0,MATCH(W$1,'Calc Canada'!$1:$1,0)-1,300)="","",OFFSET('Calc Canada'!$A$1,0,MATCH(W$1,'Calc Canada'!$1:$1,0)-1,300))</f>
        <v>#N/A</v>
      </c>
      <c r="AB263" s="5" t="e">
        <f ca="1">IF(OFFSET('Calc Canada'!$A$1,0,MATCH(X$1,'Calc Canada'!$1:$1,0)-1,300)="","",OFFSET('Calc Canada'!$A$1,0,MATCH(X$1,'Calc Canada'!$1:$1,0)-1,300))</f>
        <v>#N/A</v>
      </c>
      <c r="AC263" t="e">
        <f t="shared" ca="1" si="33"/>
        <v>#N/A</v>
      </c>
      <c r="AD263" t="e">
        <f t="shared" ca="1" si="34"/>
        <v>#N/A</v>
      </c>
    </row>
    <row r="264" spans="1:30" x14ac:dyDescent="0.25">
      <c r="A264" s="4">
        <v>41757</v>
      </c>
      <c r="B264">
        <v>1.075</v>
      </c>
      <c r="C264" s="5">
        <v>1.206</v>
      </c>
      <c r="D264">
        <v>1.7</v>
      </c>
      <c r="E264">
        <v>2.0259999999999998</v>
      </c>
      <c r="F264">
        <v>2.4460000000000002</v>
      </c>
      <c r="G264">
        <v>2.9699999999999998</v>
      </c>
      <c r="H264">
        <f t="shared" ca="1" si="32"/>
        <v>0.51945320715036813</v>
      </c>
      <c r="I264">
        <f t="shared" ca="1" si="32"/>
        <v>0.3603209336250911</v>
      </c>
      <c r="J264">
        <f t="shared" ca="1" si="32"/>
        <v>0.2606860158311346</v>
      </c>
      <c r="K264">
        <f t="shared" ca="1" si="32"/>
        <v>0.23778264040846084</v>
      </c>
      <c r="L264">
        <f t="shared" ca="1" si="32"/>
        <v>0.17203166226912922</v>
      </c>
      <c r="M264">
        <f t="shared" ca="1" si="32"/>
        <v>0.26290322580645142</v>
      </c>
      <c r="N264">
        <f t="shared" ca="1" si="32"/>
        <v>0.18480725623582761</v>
      </c>
      <c r="O264">
        <f t="shared" ca="1" si="32"/>
        <v>0.2216358839050134</v>
      </c>
      <c r="P264">
        <f t="shared" ca="1" si="32"/>
        <v>0.23809523809523833</v>
      </c>
      <c r="Q264">
        <f t="shared" ca="1" si="32"/>
        <v>0.33070866141732319</v>
      </c>
      <c r="R264">
        <f t="shared" ca="1" si="32"/>
        <v>0.65435356200527728</v>
      </c>
      <c r="S264">
        <f t="shared" ca="1" si="32"/>
        <v>0.39366754617414262</v>
      </c>
      <c r="T264">
        <f t="shared" ca="1" si="32"/>
        <v>0.42290249433106591</v>
      </c>
      <c r="V264" s="4">
        <f t="shared" si="29"/>
        <v>41757</v>
      </c>
      <c r="W264" s="5">
        <f t="shared" ca="1" si="27"/>
        <v>0.65435356200527728</v>
      </c>
      <c r="Z264" s="4" t="str">
        <f ca="1">IF(OFFSET('Calc Canada'!$A$1,0,0,300)="","",OFFSET('Calc Canada'!$A$1,0,0,300))</f>
        <v/>
      </c>
      <c r="AA264" s="5" t="e">
        <f ca="1">IF(OFFSET('Calc Canada'!$A$1,0,MATCH(W$1,'Calc Canada'!$1:$1,0)-1,300)="","",OFFSET('Calc Canada'!$A$1,0,MATCH(W$1,'Calc Canada'!$1:$1,0)-1,300))</f>
        <v>#N/A</v>
      </c>
      <c r="AB264" s="5" t="e">
        <f ca="1">IF(OFFSET('Calc Canada'!$A$1,0,MATCH(X$1,'Calc Canada'!$1:$1,0)-1,300)="","",OFFSET('Calc Canada'!$A$1,0,MATCH(X$1,'Calc Canada'!$1:$1,0)-1,300))</f>
        <v>#N/A</v>
      </c>
      <c r="AC264" t="e">
        <f t="shared" ca="1" si="33"/>
        <v>#N/A</v>
      </c>
      <c r="AD264" t="e">
        <f t="shared" ca="1" si="34"/>
        <v>#N/A</v>
      </c>
    </row>
    <row r="265" spans="1:30" x14ac:dyDescent="0.25">
      <c r="A265" s="4">
        <v>41754</v>
      </c>
      <c r="B265">
        <v>1.0580000000000001</v>
      </c>
      <c r="C265" s="5">
        <v>1.1890000000000001</v>
      </c>
      <c r="D265">
        <v>1.6659999999999999</v>
      </c>
      <c r="E265">
        <v>1.9849999999999999</v>
      </c>
      <c r="F265">
        <v>2.4039999999999999</v>
      </c>
      <c r="G265">
        <v>2.923</v>
      </c>
      <c r="H265">
        <f t="shared" ca="1" si="32"/>
        <v>0.5145631067961165</v>
      </c>
      <c r="I265">
        <f t="shared" ca="1" si="32"/>
        <v>0.35438335809806831</v>
      </c>
      <c r="J265">
        <f t="shared" ca="1" si="32"/>
        <v>0.25576407506702403</v>
      </c>
      <c r="K265">
        <f t="shared" ca="1" si="32"/>
        <v>0.23699851411589895</v>
      </c>
      <c r="L265">
        <f t="shared" ca="1" si="32"/>
        <v>0.17104557640750667</v>
      </c>
      <c r="M265">
        <f t="shared" ca="1" si="32"/>
        <v>0.26255144032921812</v>
      </c>
      <c r="N265">
        <f t="shared" ca="1" si="32"/>
        <v>0.18396770472895038</v>
      </c>
      <c r="O265">
        <f t="shared" ca="1" si="32"/>
        <v>0.2246648793565684</v>
      </c>
      <c r="P265">
        <f t="shared" ca="1" si="32"/>
        <v>0.24163783160322955</v>
      </c>
      <c r="Q265">
        <f t="shared" ca="1" si="32"/>
        <v>0.33333333333333331</v>
      </c>
      <c r="R265">
        <f t="shared" ca="1" si="32"/>
        <v>0.65147453083109907</v>
      </c>
      <c r="S265">
        <f t="shared" ca="1" si="32"/>
        <v>0.39571045576407504</v>
      </c>
      <c r="T265">
        <f t="shared" ca="1" si="32"/>
        <v>0.4256055363321799</v>
      </c>
      <c r="V265" s="4">
        <f t="shared" si="29"/>
        <v>41754</v>
      </c>
      <c r="W265" s="5">
        <f t="shared" ca="1" si="27"/>
        <v>0.65147453083109907</v>
      </c>
      <c r="Z265" s="4" t="str">
        <f ca="1">IF(OFFSET('Calc Canada'!$A$1,0,0,300)="","",OFFSET('Calc Canada'!$A$1,0,0,300))</f>
        <v/>
      </c>
      <c r="AA265" s="5" t="e">
        <f ca="1">IF(OFFSET('Calc Canada'!$A$1,0,MATCH(W$1,'Calc Canada'!$1:$1,0)-1,300)="","",OFFSET('Calc Canada'!$A$1,0,MATCH(W$1,'Calc Canada'!$1:$1,0)-1,300))</f>
        <v>#N/A</v>
      </c>
      <c r="AB265" s="5" t="e">
        <f ca="1">IF(OFFSET('Calc Canada'!$A$1,0,MATCH(X$1,'Calc Canada'!$1:$1,0)-1,300)="","",OFFSET('Calc Canada'!$A$1,0,MATCH(X$1,'Calc Canada'!$1:$1,0)-1,300))</f>
        <v>#N/A</v>
      </c>
      <c r="AC265" t="e">
        <f t="shared" ca="1" si="33"/>
        <v>#N/A</v>
      </c>
      <c r="AD265" t="e">
        <f t="shared" ca="1" si="34"/>
        <v>#N/A</v>
      </c>
    </row>
    <row r="266" spans="1:30" x14ac:dyDescent="0.25">
      <c r="A266" s="4">
        <v>41753</v>
      </c>
      <c r="B266">
        <v>1.0649999999999999</v>
      </c>
      <c r="C266" s="5">
        <v>1.1970000000000001</v>
      </c>
      <c r="D266">
        <v>1.681</v>
      </c>
      <c r="E266">
        <v>2</v>
      </c>
      <c r="F266">
        <v>2.42</v>
      </c>
      <c r="G266">
        <v>2.93</v>
      </c>
      <c r="H266">
        <f t="shared" ca="1" si="32"/>
        <v>0.51764705882352935</v>
      </c>
      <c r="I266">
        <f t="shared" ca="1" si="32"/>
        <v>0.35719557195571955</v>
      </c>
      <c r="J266">
        <f t="shared" ca="1" si="32"/>
        <v>0.25951742627345842</v>
      </c>
      <c r="K266">
        <f t="shared" ca="1" si="32"/>
        <v>0.23542435424354241</v>
      </c>
      <c r="L266">
        <f t="shared" ca="1" si="32"/>
        <v>0.17104557640750664</v>
      </c>
      <c r="M266">
        <f t="shared" ca="1" si="32"/>
        <v>0.26083401471790679</v>
      </c>
      <c r="N266">
        <f t="shared" ca="1" si="32"/>
        <v>0.18407386035776108</v>
      </c>
      <c r="O266">
        <f t="shared" ca="1" si="32"/>
        <v>0.22520107238605891</v>
      </c>
      <c r="P266">
        <f t="shared" ca="1" si="32"/>
        <v>0.24235429890363527</v>
      </c>
      <c r="Q266">
        <f t="shared" ca="1" si="32"/>
        <v>0.33626901521216968</v>
      </c>
      <c r="R266">
        <f t="shared" ca="1" si="32"/>
        <v>0.65576407506702394</v>
      </c>
      <c r="S266">
        <f t="shared" ca="1" si="32"/>
        <v>0.39624664879356558</v>
      </c>
      <c r="T266">
        <f t="shared" ca="1" si="32"/>
        <v>0.42642815926139632</v>
      </c>
      <c r="V266" s="4">
        <f t="shared" si="29"/>
        <v>41753</v>
      </c>
      <c r="W266" s="5">
        <f t="shared" ca="1" si="27"/>
        <v>0.65576407506702394</v>
      </c>
      <c r="Z266" s="4" t="str">
        <f ca="1">IF(OFFSET('Calc Canada'!$A$1,0,0,300)="","",OFFSET('Calc Canada'!$A$1,0,0,300))</f>
        <v/>
      </c>
      <c r="AA266" s="5" t="e">
        <f ca="1">IF(OFFSET('Calc Canada'!$A$1,0,MATCH(W$1,'Calc Canada'!$1:$1,0)-1,300)="","",OFFSET('Calc Canada'!$A$1,0,MATCH(W$1,'Calc Canada'!$1:$1,0)-1,300))</f>
        <v>#N/A</v>
      </c>
      <c r="AB266" s="5" t="e">
        <f ca="1">IF(OFFSET('Calc Canada'!$A$1,0,MATCH(X$1,'Calc Canada'!$1:$1,0)-1,300)="","",OFFSET('Calc Canada'!$A$1,0,MATCH(X$1,'Calc Canada'!$1:$1,0)-1,300))</f>
        <v>#N/A</v>
      </c>
      <c r="AC266" t="e">
        <f t="shared" ca="1" si="33"/>
        <v>#N/A</v>
      </c>
      <c r="AD266" t="e">
        <f t="shared" ca="1" si="34"/>
        <v>#N/A</v>
      </c>
    </row>
    <row r="267" spans="1:30" x14ac:dyDescent="0.25">
      <c r="A267" s="4">
        <v>41752</v>
      </c>
      <c r="B267">
        <v>1.0629999999999999</v>
      </c>
      <c r="C267" s="5">
        <v>1.1990000000000001</v>
      </c>
      <c r="D267">
        <v>1.6970000000000001</v>
      </c>
      <c r="E267">
        <v>2.0070000000000001</v>
      </c>
      <c r="F267">
        <v>2.427</v>
      </c>
      <c r="G267">
        <v>2.931</v>
      </c>
      <c r="H267">
        <f t="shared" ca="1" si="32"/>
        <v>0.52754237288135586</v>
      </c>
      <c r="I267">
        <f t="shared" ca="1" si="32"/>
        <v>0.36510263929618764</v>
      </c>
      <c r="J267">
        <f t="shared" ca="1" si="32"/>
        <v>0.26659528907922908</v>
      </c>
      <c r="K267">
        <f t="shared" ca="1" si="32"/>
        <v>0.22727272727272729</v>
      </c>
      <c r="L267">
        <f t="shared" ca="1" si="32"/>
        <v>0.16595289079229125</v>
      </c>
      <c r="M267">
        <f t="shared" ca="1" si="32"/>
        <v>0.25244299674267107</v>
      </c>
      <c r="N267">
        <f t="shared" ca="1" si="32"/>
        <v>0.17898383371824483</v>
      </c>
      <c r="O267">
        <f t="shared" ca="1" si="32"/>
        <v>0.22483940042826547</v>
      </c>
      <c r="P267">
        <f t="shared" ca="1" si="32"/>
        <v>0.24249422632794454</v>
      </c>
      <c r="Q267">
        <f t="shared" ca="1" si="32"/>
        <v>0.34035656401944892</v>
      </c>
      <c r="R267">
        <f t="shared" ca="1" si="32"/>
        <v>0.65738758029978583</v>
      </c>
      <c r="S267">
        <f t="shared" ca="1" si="32"/>
        <v>0.3907922912205567</v>
      </c>
      <c r="T267">
        <f t="shared" ca="1" si="32"/>
        <v>0.42147806004618937</v>
      </c>
      <c r="V267" s="4">
        <f t="shared" si="29"/>
        <v>41752</v>
      </c>
      <c r="W267" s="5">
        <f t="shared" ca="1" si="27"/>
        <v>0.65738758029978583</v>
      </c>
      <c r="Z267" s="4" t="str">
        <f ca="1">IF(OFFSET('Calc Canada'!$A$1,0,0,300)="","",OFFSET('Calc Canada'!$A$1,0,0,300))</f>
        <v/>
      </c>
      <c r="AA267" s="5" t="e">
        <f ca="1">IF(OFFSET('Calc Canada'!$A$1,0,MATCH(W$1,'Calc Canada'!$1:$1,0)-1,300)="","",OFFSET('Calc Canada'!$A$1,0,MATCH(W$1,'Calc Canada'!$1:$1,0)-1,300))</f>
        <v>#N/A</v>
      </c>
      <c r="AB267" s="5" t="e">
        <f ca="1">IF(OFFSET('Calc Canada'!$A$1,0,MATCH(X$1,'Calc Canada'!$1:$1,0)-1,300)="","",OFFSET('Calc Canada'!$A$1,0,MATCH(X$1,'Calc Canada'!$1:$1,0)-1,300))</f>
        <v>#N/A</v>
      </c>
      <c r="AC267" t="e">
        <f t="shared" ca="1" si="33"/>
        <v>#N/A</v>
      </c>
      <c r="AD267" t="e">
        <f t="shared" ca="1" si="34"/>
        <v>#N/A</v>
      </c>
    </row>
    <row r="268" spans="1:30" x14ac:dyDescent="0.25">
      <c r="A268" s="4">
        <v>41751</v>
      </c>
      <c r="B268">
        <v>1.0660000000000001</v>
      </c>
      <c r="C268" s="5">
        <v>1.2070000000000001</v>
      </c>
      <c r="D268">
        <v>1.71</v>
      </c>
      <c r="E268">
        <v>2.0190000000000001</v>
      </c>
      <c r="F268">
        <v>2.44</v>
      </c>
      <c r="G268">
        <v>2.9350000000000001</v>
      </c>
      <c r="H268">
        <f t="shared" ca="1" si="32"/>
        <v>0.52780692549842589</v>
      </c>
      <c r="I268">
        <f t="shared" ca="1" si="32"/>
        <v>0.36608442503639005</v>
      </c>
      <c r="J268">
        <f t="shared" ca="1" si="32"/>
        <v>0.26912787586944886</v>
      </c>
      <c r="K268">
        <f t="shared" ca="1" si="32"/>
        <v>0.22489082969432328</v>
      </c>
      <c r="L268">
        <f t="shared" ca="1" si="32"/>
        <v>0.16532905296950248</v>
      </c>
      <c r="M268">
        <f t="shared" ca="1" si="32"/>
        <v>0.25060827250608286</v>
      </c>
      <c r="N268">
        <f t="shared" ca="1" si="32"/>
        <v>0.17881944444444453</v>
      </c>
      <c r="O268">
        <f t="shared" ca="1" si="32"/>
        <v>0.22525414660246112</v>
      </c>
      <c r="P268">
        <f t="shared" ca="1" si="32"/>
        <v>0.24363425925925916</v>
      </c>
      <c r="Q268">
        <f t="shared" ca="1" si="32"/>
        <v>0.34367346938775495</v>
      </c>
      <c r="R268">
        <f t="shared" ca="1" si="32"/>
        <v>0.6597110754414125</v>
      </c>
      <c r="S268">
        <f t="shared" ca="1" si="32"/>
        <v>0.39058319957196364</v>
      </c>
      <c r="T268">
        <f t="shared" ca="1" si="32"/>
        <v>0.42245370370370372</v>
      </c>
      <c r="V268" s="4">
        <f t="shared" si="29"/>
        <v>41751</v>
      </c>
      <c r="W268" s="5">
        <f t="shared" ref="W268:W274" ca="1" si="35">OFFSET($H$12,0,MATCH(selectCanada,$H$12:$T$12,0)-1,300,1)</f>
        <v>0.6597110754414125</v>
      </c>
      <c r="Z268" s="4" t="str">
        <f ca="1">IF(OFFSET('Calc Canada'!$A$1,0,0,300)="","",OFFSET('Calc Canada'!$A$1,0,0,300))</f>
        <v/>
      </c>
      <c r="AA268" s="5" t="e">
        <f ca="1">IF(OFFSET('Calc Canada'!$A$1,0,MATCH(W$1,'Calc Canada'!$1:$1,0)-1,300)="","",OFFSET('Calc Canada'!$A$1,0,MATCH(W$1,'Calc Canada'!$1:$1,0)-1,300))</f>
        <v>#N/A</v>
      </c>
      <c r="AB268" s="5" t="e">
        <f ca="1">IF(OFFSET('Calc Canada'!$A$1,0,MATCH(X$1,'Calc Canada'!$1:$1,0)-1,300)="","",OFFSET('Calc Canada'!$A$1,0,MATCH(X$1,'Calc Canada'!$1:$1,0)-1,300))</f>
        <v>#N/A</v>
      </c>
      <c r="AC268" t="e">
        <f t="shared" ca="1" si="33"/>
        <v>#N/A</v>
      </c>
      <c r="AD268" t="e">
        <f t="shared" ca="1" si="34"/>
        <v>#N/A</v>
      </c>
    </row>
    <row r="269" spans="1:30" x14ac:dyDescent="0.25">
      <c r="A269" s="4">
        <v>41750</v>
      </c>
      <c r="B269">
        <v>1.07</v>
      </c>
      <c r="C269" s="5">
        <v>1.208</v>
      </c>
      <c r="D269">
        <v>1.716</v>
      </c>
      <c r="E269">
        <v>2.0259999999999998</v>
      </c>
      <c r="F269">
        <v>2.4460000000000002</v>
      </c>
      <c r="G269">
        <v>2.9430000000000001</v>
      </c>
      <c r="H269">
        <f t="shared" ref="H269:T274" ca="1" si="36">IF(ISERROR(ABS(OFFSET($A$11,ROW()-11,MATCH(LEFT(H$9,2),$A$11:$G$11,0)-1)-OFFSET($A$11,ROW()-11,MATCH(RIGHT(H$9,2),$A$11:$G$11,0)-1))/ABS(OFFSET($A$11,ROW()-11,MATCH(LEFT(H$10,2),$A$11:$G$11,0)-1)-OFFSET($A$11,ROW()-11,MATCH(RIGHT(H$10,2),$A$11:$G$11,0)-1))),"",ABS(OFFSET($A$11,ROW()-11,MATCH(LEFT(H$9,2),$A$11:$G$11,0)-1)-OFFSET($A$11,ROW()-11,MATCH(RIGHT(H$9,2),$A$11:$G$11,0)-1))/ABS(OFFSET($A$11,ROW()-11,MATCH(LEFT(H$10,2),$A$11:$G$11,0)-1)-OFFSET($A$11,ROW()-11,MATCH(RIGHT(H$10,2),$A$11:$G$11,0)-1)))</f>
        <v>0.53138075313807542</v>
      </c>
      <c r="I269">
        <f t="shared" ca="1" si="36"/>
        <v>0.3691860465116279</v>
      </c>
      <c r="J269">
        <f t="shared" ca="1" si="36"/>
        <v>0.27122263747997866</v>
      </c>
      <c r="K269">
        <f t="shared" ca="1" si="36"/>
        <v>0.22529069767441848</v>
      </c>
      <c r="L269">
        <f t="shared" ca="1" si="36"/>
        <v>0.16550987720234908</v>
      </c>
      <c r="M269">
        <f t="shared" ca="1" si="36"/>
        <v>0.25040387722132451</v>
      </c>
      <c r="N269">
        <f t="shared" ca="1" si="36"/>
        <v>0.1786743515850143</v>
      </c>
      <c r="O269">
        <f t="shared" ca="1" si="36"/>
        <v>0.22423918846769908</v>
      </c>
      <c r="P269">
        <f t="shared" ca="1" si="36"/>
        <v>0.24207492795389068</v>
      </c>
      <c r="Q269">
        <f t="shared" ca="1" si="36"/>
        <v>0.34229828850855776</v>
      </c>
      <c r="R269">
        <f t="shared" ca="1" si="36"/>
        <v>0.66097170315002685</v>
      </c>
      <c r="S269">
        <f t="shared" ca="1" si="36"/>
        <v>0.38974906567004813</v>
      </c>
      <c r="T269">
        <f t="shared" ca="1" si="36"/>
        <v>0.42074927953890501</v>
      </c>
      <c r="V269" s="4">
        <f t="shared" si="29"/>
        <v>41750</v>
      </c>
      <c r="W269" s="5">
        <f t="shared" ca="1" si="35"/>
        <v>0.66097170315002685</v>
      </c>
      <c r="Z269" s="4" t="str">
        <f ca="1">IF(OFFSET('Calc Canada'!$A$1,0,0,300)="","",OFFSET('Calc Canada'!$A$1,0,0,300))</f>
        <v/>
      </c>
      <c r="AA269" s="5" t="e">
        <f ca="1">IF(OFFSET('Calc Canada'!$A$1,0,MATCH(W$1,'Calc Canada'!$1:$1,0)-1,300)="","",OFFSET('Calc Canada'!$A$1,0,MATCH(W$1,'Calc Canada'!$1:$1,0)-1,300))</f>
        <v>#N/A</v>
      </c>
      <c r="AB269" s="5" t="e">
        <f ca="1">IF(OFFSET('Calc Canada'!$A$1,0,MATCH(X$1,'Calc Canada'!$1:$1,0)-1,300)="","",OFFSET('Calc Canada'!$A$1,0,MATCH(X$1,'Calc Canada'!$1:$1,0)-1,300))</f>
        <v>#N/A</v>
      </c>
      <c r="AC269" t="e">
        <f t="shared" ca="1" si="33"/>
        <v>#N/A</v>
      </c>
      <c r="AD269" t="e">
        <f t="shared" ca="1" si="34"/>
        <v>#N/A</v>
      </c>
    </row>
    <row r="270" spans="1:30" x14ac:dyDescent="0.25">
      <c r="A270" s="4">
        <v>41747</v>
      </c>
      <c r="B270">
        <v>1.0740000000000001</v>
      </c>
      <c r="C270" s="5">
        <v>1.2130000000000001</v>
      </c>
      <c r="D270">
        <v>1.718</v>
      </c>
      <c r="E270">
        <v>2.0270000000000001</v>
      </c>
      <c r="F270">
        <v>2.4420000000000002</v>
      </c>
      <c r="G270">
        <v>2.9459999999999997</v>
      </c>
      <c r="H270">
        <f t="shared" ca="1" si="36"/>
        <v>0.52990556138509959</v>
      </c>
      <c r="I270">
        <f t="shared" ca="1" si="36"/>
        <v>0.36915204678362562</v>
      </c>
      <c r="J270">
        <f t="shared" ca="1" si="36"/>
        <v>0.26976495726495725</v>
      </c>
      <c r="K270">
        <f t="shared" ca="1" si="36"/>
        <v>0.22587719298245623</v>
      </c>
      <c r="L270">
        <f t="shared" ca="1" si="36"/>
        <v>0.16506410256410267</v>
      </c>
      <c r="M270">
        <f t="shared" ca="1" si="36"/>
        <v>0.25142392188771368</v>
      </c>
      <c r="N270">
        <f t="shared" ca="1" si="36"/>
        <v>0.17830351990767468</v>
      </c>
      <c r="O270">
        <f t="shared" ca="1" si="36"/>
        <v>0.22168803418803423</v>
      </c>
      <c r="P270">
        <f t="shared" ca="1" si="36"/>
        <v>0.2394691286785921</v>
      </c>
      <c r="Q270">
        <f t="shared" ca="1" si="36"/>
        <v>0.33794788273615645</v>
      </c>
      <c r="R270">
        <f t="shared" ca="1" si="36"/>
        <v>0.65651709401709424</v>
      </c>
      <c r="S270">
        <f t="shared" ca="1" si="36"/>
        <v>0.38675213675213693</v>
      </c>
      <c r="T270">
        <f t="shared" ca="1" si="36"/>
        <v>0.41777264858626678</v>
      </c>
      <c r="V270" s="4">
        <f>IF(A270&lt;&gt;"",A270,"")</f>
        <v>41747</v>
      </c>
      <c r="W270" s="5">
        <f t="shared" ca="1" si="35"/>
        <v>0.65651709401709424</v>
      </c>
      <c r="Z270" s="4" t="str">
        <f ca="1">IF(OFFSET('Calc Canada'!$A$1,0,0,300)="","",OFFSET('Calc Canada'!$A$1,0,0,300))</f>
        <v/>
      </c>
      <c r="AA270" s="5" t="e">
        <f ca="1">IF(OFFSET('Calc Canada'!$A$1,0,MATCH(W$1,'Calc Canada'!$1:$1,0)-1,300)="","",OFFSET('Calc Canada'!$A$1,0,MATCH(W$1,'Calc Canada'!$1:$1,0)-1,300))</f>
        <v>#N/A</v>
      </c>
      <c r="AB270" s="5" t="e">
        <f ca="1">IF(OFFSET('Calc Canada'!$A$1,0,MATCH(X$1,'Calc Canada'!$1:$1,0)-1,300)="","",OFFSET('Calc Canada'!$A$1,0,MATCH(X$1,'Calc Canada'!$1:$1,0)-1,300))</f>
        <v>#N/A</v>
      </c>
      <c r="AC270" t="e">
        <f t="shared" ca="1" si="33"/>
        <v>#N/A</v>
      </c>
      <c r="AD270" t="e">
        <f t="shared" ca="1" si="34"/>
        <v>#N/A</v>
      </c>
    </row>
    <row r="271" spans="1:30" x14ac:dyDescent="0.25">
      <c r="A271" s="4">
        <v>41746</v>
      </c>
      <c r="B271">
        <v>1.0740000000000001</v>
      </c>
      <c r="C271" s="5">
        <v>1.2130000000000001</v>
      </c>
      <c r="D271">
        <v>1.718</v>
      </c>
      <c r="E271">
        <v>2.0270000000000001</v>
      </c>
      <c r="F271">
        <v>2.4420000000000002</v>
      </c>
      <c r="G271">
        <v>2.9459999999999997</v>
      </c>
      <c r="H271">
        <f t="shared" ca="1" si="36"/>
        <v>0.52990556138509959</v>
      </c>
      <c r="I271">
        <f t="shared" ca="1" si="36"/>
        <v>0.36915204678362562</v>
      </c>
      <c r="J271">
        <f t="shared" ca="1" si="36"/>
        <v>0.26976495726495725</v>
      </c>
      <c r="K271">
        <f t="shared" ca="1" si="36"/>
        <v>0.22587719298245623</v>
      </c>
      <c r="L271">
        <f t="shared" ca="1" si="36"/>
        <v>0.16506410256410267</v>
      </c>
      <c r="M271">
        <f t="shared" ca="1" si="36"/>
        <v>0.25142392188771368</v>
      </c>
      <c r="N271">
        <f t="shared" ca="1" si="36"/>
        <v>0.17830351990767468</v>
      </c>
      <c r="O271">
        <f t="shared" ca="1" si="36"/>
        <v>0.22168803418803423</v>
      </c>
      <c r="P271">
        <f t="shared" ca="1" si="36"/>
        <v>0.2394691286785921</v>
      </c>
      <c r="Q271">
        <f t="shared" ca="1" si="36"/>
        <v>0.33794788273615645</v>
      </c>
      <c r="R271">
        <f t="shared" ca="1" si="36"/>
        <v>0.65651709401709424</v>
      </c>
      <c r="S271">
        <f t="shared" ca="1" si="36"/>
        <v>0.38675213675213693</v>
      </c>
      <c r="T271">
        <f t="shared" ca="1" si="36"/>
        <v>0.41777264858626678</v>
      </c>
      <c r="V271" s="4">
        <f>IF(A271&lt;&gt;"",A271,"")</f>
        <v>41746</v>
      </c>
      <c r="W271" s="5">
        <f t="shared" ca="1" si="35"/>
        <v>0.65651709401709424</v>
      </c>
      <c r="Z271" s="4" t="str">
        <f ca="1">IF(OFFSET('Calc Canada'!$A$1,0,0,300)="","",OFFSET('Calc Canada'!$A$1,0,0,300))</f>
        <v/>
      </c>
      <c r="AA271" s="5" t="e">
        <f ca="1">IF(OFFSET('Calc Canada'!$A$1,0,MATCH(W$1,'Calc Canada'!$1:$1,0)-1,300)="","",OFFSET('Calc Canada'!$A$1,0,MATCH(W$1,'Calc Canada'!$1:$1,0)-1,300))</f>
        <v>#N/A</v>
      </c>
      <c r="AB271" s="5" t="e">
        <f ca="1">IF(OFFSET('Calc Canada'!$A$1,0,MATCH(X$1,'Calc Canada'!$1:$1,0)-1,300)="","",OFFSET('Calc Canada'!$A$1,0,MATCH(X$1,'Calc Canada'!$1:$1,0)-1,300))</f>
        <v>#N/A</v>
      </c>
      <c r="AC271" t="e">
        <f t="shared" ca="1" si="33"/>
        <v>#N/A</v>
      </c>
      <c r="AD271" t="e">
        <f t="shared" ca="1" si="34"/>
        <v>#N/A</v>
      </c>
    </row>
    <row r="272" spans="1:30" x14ac:dyDescent="0.25">
      <c r="A272" s="4">
        <v>41745</v>
      </c>
      <c r="B272">
        <v>1.046</v>
      </c>
      <c r="C272" s="5">
        <v>1.179</v>
      </c>
      <c r="D272">
        <v>1.6560000000000001</v>
      </c>
      <c r="E272">
        <v>1.964</v>
      </c>
      <c r="F272">
        <v>2.3890000000000002</v>
      </c>
      <c r="G272">
        <v>2.9050000000000002</v>
      </c>
      <c r="H272">
        <f t="shared" ca="1" si="36"/>
        <v>0.51960784313725505</v>
      </c>
      <c r="I272">
        <f t="shared" ca="1" si="36"/>
        <v>0.35517498138495907</v>
      </c>
      <c r="J272">
        <f t="shared" ca="1" si="36"/>
        <v>0.25658956428187202</v>
      </c>
      <c r="K272">
        <f t="shared" ca="1" si="36"/>
        <v>0.22933730454206983</v>
      </c>
      <c r="L272">
        <f t="shared" ca="1" si="36"/>
        <v>0.16568047337278097</v>
      </c>
      <c r="M272">
        <f t="shared" ca="1" si="36"/>
        <v>0.25454545454545435</v>
      </c>
      <c r="N272">
        <f t="shared" ca="1" si="36"/>
        <v>0.1784472769409037</v>
      </c>
      <c r="O272">
        <f t="shared" ca="1" si="36"/>
        <v>0.22861753630984413</v>
      </c>
      <c r="P272">
        <f t="shared" ca="1" si="36"/>
        <v>0.24623406720741611</v>
      </c>
      <c r="Q272">
        <f t="shared" ca="1" si="36"/>
        <v>0.34027221777421957</v>
      </c>
      <c r="R272">
        <f t="shared" ca="1" si="36"/>
        <v>0.65088757396449703</v>
      </c>
      <c r="S272">
        <f t="shared" ca="1" si="36"/>
        <v>0.39429800968262507</v>
      </c>
      <c r="T272">
        <f t="shared" ca="1" si="36"/>
        <v>0.42468134414831982</v>
      </c>
      <c r="V272" s="4">
        <f>IF(A272&lt;&gt;"",A272,"")</f>
        <v>41745</v>
      </c>
      <c r="W272" s="5">
        <f t="shared" ca="1" si="35"/>
        <v>0.65088757396449703</v>
      </c>
      <c r="Z272" s="4" t="str">
        <f ca="1">IF(OFFSET('Calc Canada'!$A$1,0,0,300)="","",OFFSET('Calc Canada'!$A$1,0,0,300))</f>
        <v/>
      </c>
      <c r="AA272" s="5" t="e">
        <f ca="1">IF(OFFSET('Calc Canada'!$A$1,0,MATCH(W$1,'Calc Canada'!$1:$1,0)-1,300)="","",OFFSET('Calc Canada'!$A$1,0,MATCH(W$1,'Calc Canada'!$1:$1,0)-1,300))</f>
        <v>#N/A</v>
      </c>
      <c r="AB272" s="5" t="e">
        <f ca="1">IF(OFFSET('Calc Canada'!$A$1,0,MATCH(X$1,'Calc Canada'!$1:$1,0)-1,300)="","",OFFSET('Calc Canada'!$A$1,0,MATCH(X$1,'Calc Canada'!$1:$1,0)-1,300))</f>
        <v>#N/A</v>
      </c>
      <c r="AC272" t="e">
        <f t="shared" ca="1" si="33"/>
        <v>#N/A</v>
      </c>
      <c r="AD272" t="e">
        <f t="shared" ca="1" si="34"/>
        <v>#N/A</v>
      </c>
    </row>
    <row r="273" spans="1:30" x14ac:dyDescent="0.25">
      <c r="A273" s="4">
        <v>41744</v>
      </c>
      <c r="B273">
        <v>1.044</v>
      </c>
      <c r="C273" s="5">
        <v>1.1779999999999999</v>
      </c>
      <c r="D273">
        <v>1.639</v>
      </c>
      <c r="E273">
        <v>1.9590000000000001</v>
      </c>
      <c r="F273">
        <v>2.383</v>
      </c>
      <c r="G273">
        <v>2.9169999999999998</v>
      </c>
      <c r="H273">
        <f t="shared" ca="1" si="36"/>
        <v>0.50382513661202188</v>
      </c>
      <c r="I273">
        <f t="shared" ca="1" si="36"/>
        <v>0.34428678117998512</v>
      </c>
      <c r="J273">
        <f t="shared" ca="1" si="36"/>
        <v>0.24612920448478384</v>
      </c>
      <c r="K273">
        <f t="shared" ca="1" si="36"/>
        <v>0.23898431665421963</v>
      </c>
      <c r="L273">
        <f t="shared" ca="1" si="36"/>
        <v>0.17084890549919921</v>
      </c>
      <c r="M273">
        <f t="shared" ca="1" si="36"/>
        <v>0.26556016597510379</v>
      </c>
      <c r="N273">
        <f t="shared" ca="1" si="36"/>
        <v>0.18401380103507767</v>
      </c>
      <c r="O273">
        <f t="shared" ca="1" si="36"/>
        <v>0.22637479978643885</v>
      </c>
      <c r="P273">
        <f t="shared" ca="1" si="36"/>
        <v>0.24381828637147784</v>
      </c>
      <c r="Q273">
        <f t="shared" ca="1" si="36"/>
        <v>0.33176838810641629</v>
      </c>
      <c r="R273">
        <f t="shared" ca="1" si="36"/>
        <v>0.64335290977042192</v>
      </c>
      <c r="S273">
        <f t="shared" ca="1" si="36"/>
        <v>0.39722370528563805</v>
      </c>
      <c r="T273">
        <f t="shared" ca="1" si="36"/>
        <v>0.42783208740655554</v>
      </c>
      <c r="V273" s="4">
        <f>IF(A273&lt;&gt;"",A273,"")</f>
        <v>41744</v>
      </c>
      <c r="W273" s="5">
        <f t="shared" ca="1" si="35"/>
        <v>0.64335290977042192</v>
      </c>
      <c r="Z273" s="4" t="str">
        <f ca="1">IF(OFFSET('Calc Canada'!$A$1,0,0,300)="","",OFFSET('Calc Canada'!$A$1,0,0,300))</f>
        <v/>
      </c>
      <c r="AA273" s="5" t="e">
        <f ca="1">IF(OFFSET('Calc Canada'!$A$1,0,MATCH(W$1,'Calc Canada'!$1:$1,0)-1,300)="","",OFFSET('Calc Canada'!$A$1,0,MATCH(W$1,'Calc Canada'!$1:$1,0)-1,300))</f>
        <v>#N/A</v>
      </c>
      <c r="AB273" s="5" t="e">
        <f ca="1">IF(OFFSET('Calc Canada'!$A$1,0,MATCH(X$1,'Calc Canada'!$1:$1,0)-1,300)="","",OFFSET('Calc Canada'!$A$1,0,MATCH(X$1,'Calc Canada'!$1:$1,0)-1,300))</f>
        <v>#N/A</v>
      </c>
      <c r="AC273" t="e">
        <f t="shared" ca="1" si="33"/>
        <v>#N/A</v>
      </c>
      <c r="AD273" t="e">
        <f t="shared" ca="1" si="34"/>
        <v>#N/A</v>
      </c>
    </row>
    <row r="274" spans="1:30" x14ac:dyDescent="0.25">
      <c r="A274" s="4">
        <v>41743</v>
      </c>
      <c r="B274">
        <v>1.0449999999999999</v>
      </c>
      <c r="C274" s="5">
        <v>1.1919999999999999</v>
      </c>
      <c r="D274">
        <v>1.6659999999999999</v>
      </c>
      <c r="E274">
        <v>1.982</v>
      </c>
      <c r="F274">
        <v>2.4079999999999999</v>
      </c>
      <c r="G274">
        <v>2.9370000000000003</v>
      </c>
      <c r="H274">
        <f t="shared" ca="1" si="36"/>
        <v>0.50586979722518666</v>
      </c>
      <c r="I274">
        <f t="shared" ca="1" si="36"/>
        <v>0.34776228906823181</v>
      </c>
      <c r="J274">
        <f t="shared" ca="1" si="36"/>
        <v>0.2505285412262156</v>
      </c>
      <c r="K274">
        <f t="shared" ca="1" si="36"/>
        <v>0.23184152604548794</v>
      </c>
      <c r="L274">
        <f t="shared" ca="1" si="36"/>
        <v>0.16701902748414377</v>
      </c>
      <c r="M274">
        <f t="shared" ca="1" si="36"/>
        <v>0.25986842105263164</v>
      </c>
      <c r="N274">
        <f t="shared" ca="1" si="36"/>
        <v>0.18108882521489972</v>
      </c>
      <c r="O274">
        <f t="shared" ca="1" si="36"/>
        <v>0.22515856236786461</v>
      </c>
      <c r="P274">
        <f t="shared" ca="1" si="36"/>
        <v>0.24412607449856724</v>
      </c>
      <c r="Q274">
        <f t="shared" ca="1" si="36"/>
        <v>0.3351691581431942</v>
      </c>
      <c r="R274">
        <f t="shared" ca="1" si="36"/>
        <v>0.64270613107822394</v>
      </c>
      <c r="S274">
        <f t="shared" ca="1" si="36"/>
        <v>0.3921775898520084</v>
      </c>
      <c r="T274">
        <f t="shared" ca="1" si="36"/>
        <v>0.42521489971346699</v>
      </c>
      <c r="V274" s="4">
        <f>IF(A274&lt;&gt;"",A274,"")</f>
        <v>41743</v>
      </c>
      <c r="W274" s="5">
        <f t="shared" ca="1" si="35"/>
        <v>0.64270613107822394</v>
      </c>
      <c r="Z274" s="4" t="str">
        <f ca="1">IF(OFFSET('Calc Canada'!$A$1,0,0,300)="","",OFFSET('Calc Canada'!$A$1,0,0,300))</f>
        <v/>
      </c>
      <c r="AA274" s="5" t="e">
        <f ca="1">IF(OFFSET('Calc Canada'!$A$1,0,MATCH(W$1,'Calc Canada'!$1:$1,0)-1,300)="","",OFFSET('Calc Canada'!$A$1,0,MATCH(W$1,'Calc Canada'!$1:$1,0)-1,300))</f>
        <v>#N/A</v>
      </c>
      <c r="AB274" s="5" t="e">
        <f ca="1">IF(OFFSET('Calc Canada'!$A$1,0,MATCH(X$1,'Calc Canada'!$1:$1,0)-1,300)="","",OFFSET('Calc Canada'!$A$1,0,MATCH(X$1,'Calc Canada'!$1:$1,0)-1,300))</f>
        <v>#N/A</v>
      </c>
      <c r="AC274" t="e">
        <f t="shared" ca="1" si="33"/>
        <v>#N/A</v>
      </c>
      <c r="AD274" t="e">
        <f t="shared" ca="1" si="34"/>
        <v>#N/A</v>
      </c>
    </row>
    <row r="275" spans="1:30" x14ac:dyDescent="0.25">
      <c r="A275" s="4">
        <v>41740</v>
      </c>
      <c r="B275">
        <v>1.04</v>
      </c>
      <c r="C275" s="5">
        <v>1.1919999999999999</v>
      </c>
      <c r="D275">
        <v>1.6480000000000001</v>
      </c>
      <c r="E275">
        <v>1.9670000000000001</v>
      </c>
      <c r="F275">
        <v>2.3970000000000002</v>
      </c>
      <c r="G275">
        <v>2.9370000000000003</v>
      </c>
      <c r="Z275" s="4" t="str">
        <f ca="1">IF(OFFSET('Calc Canada'!$A$1,0,0,300)="","",OFFSET('Calc Canada'!$A$1,0,0,300))</f>
        <v/>
      </c>
      <c r="AA275" s="5" t="e">
        <f ca="1">IF(OFFSET('Calc Canada'!$A$1,0,MATCH(W$1,'Calc Canada'!$1:$1,0)-1,300)="","",OFFSET('Calc Canada'!$A$1,0,MATCH(W$1,'Calc Canada'!$1:$1,0)-1,300))</f>
        <v>#N/A</v>
      </c>
      <c r="AB275" s="5" t="e">
        <f ca="1">IF(OFFSET('Calc Canada'!$A$1,0,MATCH(X$1,'Calc Canada'!$1:$1,0)-1,300)="","",OFFSET('Calc Canada'!$A$1,0,MATCH(X$1,'Calc Canada'!$1:$1,0)-1,300))</f>
        <v>#N/A</v>
      </c>
      <c r="AC275" t="e">
        <f t="shared" ca="1" si="33"/>
        <v>#N/A</v>
      </c>
      <c r="AD275" t="e">
        <f t="shared" ca="1" si="34"/>
        <v>#N/A</v>
      </c>
    </row>
    <row r="276" spans="1:30" x14ac:dyDescent="0.25">
      <c r="A276" s="4">
        <v>41739</v>
      </c>
      <c r="B276">
        <v>1.054</v>
      </c>
      <c r="C276" s="5">
        <v>1.206</v>
      </c>
      <c r="D276">
        <v>1.677</v>
      </c>
      <c r="E276">
        <v>2.0110000000000001</v>
      </c>
      <c r="F276">
        <v>2.4369999999999998</v>
      </c>
      <c r="G276">
        <v>2.968</v>
      </c>
      <c r="Z276" s="4" t="str">
        <f ca="1">IF(OFFSET('Calc Canada'!$A$1,0,0,300)="","",OFFSET('Calc Canada'!$A$1,0,0,300))</f>
        <v/>
      </c>
      <c r="AA276" s="5" t="e">
        <f ca="1">IF(OFFSET('Calc Canada'!$A$1,0,MATCH(W$1,'Calc Canada'!$1:$1,0)-1,300)="","",OFFSET('Calc Canada'!$A$1,0,MATCH(W$1,'Calc Canada'!$1:$1,0)-1,300))</f>
        <v>#N/A</v>
      </c>
      <c r="AB276" s="5" t="e">
        <f ca="1">IF(OFFSET('Calc Canada'!$A$1,0,MATCH(X$1,'Calc Canada'!$1:$1,0)-1,300)="","",OFFSET('Calc Canada'!$A$1,0,MATCH(X$1,'Calc Canada'!$1:$1,0)-1,300))</f>
        <v>#N/A</v>
      </c>
      <c r="AC276" t="e">
        <f t="shared" ca="1" si="33"/>
        <v>#N/A</v>
      </c>
      <c r="AD276" t="e">
        <f t="shared" ca="1" si="34"/>
        <v>#N/A</v>
      </c>
    </row>
    <row r="277" spans="1:30" x14ac:dyDescent="0.25">
      <c r="A277" s="4">
        <v>41738</v>
      </c>
      <c r="B277">
        <v>1.0680000000000001</v>
      </c>
      <c r="C277" s="5">
        <v>1.2250000000000001</v>
      </c>
      <c r="D277">
        <v>1.704</v>
      </c>
      <c r="E277">
        <v>2.04</v>
      </c>
      <c r="F277">
        <v>2.4630000000000001</v>
      </c>
      <c r="G277">
        <v>2.9849999999999999</v>
      </c>
      <c r="Z277" s="4" t="str">
        <f ca="1">IF(OFFSET('Calc Canada'!$A$1,0,0,300)="","",OFFSET('Calc Canada'!$A$1,0,0,300))</f>
        <v/>
      </c>
      <c r="AA277" s="5" t="e">
        <f ca="1">IF(OFFSET('Calc Canada'!$A$1,0,MATCH(W$1,'Calc Canada'!$1:$1,0)-1,300)="","",OFFSET('Calc Canada'!$A$1,0,MATCH(W$1,'Calc Canada'!$1:$1,0)-1,300))</f>
        <v>#N/A</v>
      </c>
      <c r="AB277" s="5" t="e">
        <f ca="1">IF(OFFSET('Calc Canada'!$A$1,0,MATCH(X$1,'Calc Canada'!$1:$1,0)-1,300)="","",OFFSET('Calc Canada'!$A$1,0,MATCH(X$1,'Calc Canada'!$1:$1,0)-1,300))</f>
        <v>#N/A</v>
      </c>
      <c r="AC277" t="e">
        <f t="shared" ca="1" si="33"/>
        <v>#N/A</v>
      </c>
      <c r="AD277" t="e">
        <f t="shared" ca="1" si="34"/>
        <v>#N/A</v>
      </c>
    </row>
    <row r="278" spans="1:30" x14ac:dyDescent="0.25">
      <c r="A278" s="4">
        <v>41737</v>
      </c>
      <c r="B278">
        <v>1.075</v>
      </c>
      <c r="C278" s="5">
        <v>1.24</v>
      </c>
      <c r="D278">
        <v>1.7250000000000001</v>
      </c>
      <c r="E278">
        <v>2.04</v>
      </c>
      <c r="F278">
        <v>2.46</v>
      </c>
      <c r="G278">
        <v>2.964</v>
      </c>
      <c r="Z278" s="4" t="str">
        <f ca="1">IF(OFFSET('Calc Canada'!$A$1,0,0,300)="","",OFFSET('Calc Canada'!$A$1,0,0,300))</f>
        <v/>
      </c>
      <c r="AA278" s="5" t="e">
        <f ca="1">IF(OFFSET('Calc Canada'!$A$1,0,MATCH(W$1,'Calc Canada'!$1:$1,0)-1,300)="","",OFFSET('Calc Canada'!$A$1,0,MATCH(W$1,'Calc Canada'!$1:$1,0)-1,300))</f>
        <v>#N/A</v>
      </c>
      <c r="AB278" s="5" t="e">
        <f ca="1">IF(OFFSET('Calc Canada'!$A$1,0,MATCH(X$1,'Calc Canada'!$1:$1,0)-1,300)="","",OFFSET('Calc Canada'!$A$1,0,MATCH(X$1,'Calc Canada'!$1:$1,0)-1,300))</f>
        <v>#N/A</v>
      </c>
      <c r="AC278" t="e">
        <f t="shared" ca="1" si="33"/>
        <v>#N/A</v>
      </c>
      <c r="AD278" t="e">
        <f t="shared" ca="1" si="34"/>
        <v>#N/A</v>
      </c>
    </row>
    <row r="279" spans="1:30" x14ac:dyDescent="0.25">
      <c r="A279" s="4">
        <v>41736</v>
      </c>
      <c r="B279">
        <v>1.075</v>
      </c>
      <c r="C279" s="5">
        <v>1.2429999999999999</v>
      </c>
      <c r="D279">
        <v>1.7269999999999999</v>
      </c>
      <c r="E279">
        <v>2.0419999999999998</v>
      </c>
      <c r="F279">
        <v>2.4590000000000001</v>
      </c>
      <c r="G279">
        <v>2.9710000000000001</v>
      </c>
      <c r="Z279" s="4" t="str">
        <f ca="1">IF(OFFSET('Calc Canada'!$A$1,0,0,300)="","",OFFSET('Calc Canada'!$A$1,0,0,300))</f>
        <v/>
      </c>
      <c r="AA279" s="5" t="e">
        <f ca="1">IF(OFFSET('Calc Canada'!$A$1,0,MATCH(W$1,'Calc Canada'!$1:$1,0)-1,300)="","",OFFSET('Calc Canada'!$A$1,0,MATCH(W$1,'Calc Canada'!$1:$1,0)-1,300))</f>
        <v>#N/A</v>
      </c>
      <c r="AB279" s="5" t="e">
        <f ca="1">IF(OFFSET('Calc Canada'!$A$1,0,MATCH(X$1,'Calc Canada'!$1:$1,0)-1,300)="","",OFFSET('Calc Canada'!$A$1,0,MATCH(X$1,'Calc Canada'!$1:$1,0)-1,300))</f>
        <v>#N/A</v>
      </c>
      <c r="AC279" t="e">
        <f t="shared" ca="1" si="33"/>
        <v>#N/A</v>
      </c>
      <c r="AD279" t="e">
        <f t="shared" ca="1" si="34"/>
        <v>#N/A</v>
      </c>
    </row>
    <row r="280" spans="1:30" x14ac:dyDescent="0.25">
      <c r="A280" s="4">
        <v>41733</v>
      </c>
      <c r="B280">
        <v>1.0860000000000001</v>
      </c>
      <c r="C280" s="5">
        <v>1.256</v>
      </c>
      <c r="D280">
        <v>1.7450000000000001</v>
      </c>
      <c r="E280">
        <v>2.0670000000000002</v>
      </c>
      <c r="F280">
        <v>2.4889999999999999</v>
      </c>
      <c r="G280">
        <v>2.996</v>
      </c>
      <c r="Z280" s="4" t="str">
        <f ca="1">IF(OFFSET('Calc Canada'!$A$1,0,0,300)="","",OFFSET('Calc Canada'!$A$1,0,0,300))</f>
        <v/>
      </c>
      <c r="AA280" s="5" t="e">
        <f ca="1">IF(OFFSET('Calc Canada'!$A$1,0,MATCH(W$1,'Calc Canada'!$1:$1,0)-1,300)="","",OFFSET('Calc Canada'!$A$1,0,MATCH(W$1,'Calc Canada'!$1:$1,0)-1,300))</f>
        <v>#N/A</v>
      </c>
      <c r="AB280" s="5" t="e">
        <f ca="1">IF(OFFSET('Calc Canada'!$A$1,0,MATCH(X$1,'Calc Canada'!$1:$1,0)-1,300)="","",OFFSET('Calc Canada'!$A$1,0,MATCH(X$1,'Calc Canada'!$1:$1,0)-1,300))</f>
        <v>#N/A</v>
      </c>
      <c r="AC280" t="e">
        <f t="shared" ca="1" si="33"/>
        <v>#N/A</v>
      </c>
      <c r="AD280" t="e">
        <f t="shared" ca="1" si="34"/>
        <v>#N/A</v>
      </c>
    </row>
    <row r="281" spans="1:30" x14ac:dyDescent="0.25">
      <c r="A281" s="4">
        <v>41732</v>
      </c>
      <c r="B281">
        <v>1.1000000000000001</v>
      </c>
      <c r="C281" s="5">
        <v>1.278</v>
      </c>
      <c r="D281">
        <v>1.7869999999999999</v>
      </c>
      <c r="E281">
        <v>2.1189999999999998</v>
      </c>
      <c r="F281">
        <v>2.544</v>
      </c>
      <c r="G281">
        <v>3.032</v>
      </c>
      <c r="Z281" s="4" t="str">
        <f ca="1">IF(OFFSET('Calc Canada'!$A$1,0,0,300)="","",OFFSET('Calc Canada'!$A$1,0,0,300))</f>
        <v/>
      </c>
      <c r="AA281" s="5" t="e">
        <f ca="1">IF(OFFSET('Calc Canada'!$A$1,0,MATCH(W$1,'Calc Canada'!$1:$1,0)-1,300)="","",OFFSET('Calc Canada'!$A$1,0,MATCH(W$1,'Calc Canada'!$1:$1,0)-1,300))</f>
        <v>#N/A</v>
      </c>
      <c r="AB281" s="5" t="e">
        <f ca="1">IF(OFFSET('Calc Canada'!$A$1,0,MATCH(X$1,'Calc Canada'!$1:$1,0)-1,300)="","",OFFSET('Calc Canada'!$A$1,0,MATCH(X$1,'Calc Canada'!$1:$1,0)-1,300))</f>
        <v>#N/A</v>
      </c>
      <c r="AC281" t="e">
        <f t="shared" ca="1" si="33"/>
        <v>#N/A</v>
      </c>
      <c r="AD281" t="e">
        <f t="shared" ca="1" si="34"/>
        <v>#N/A</v>
      </c>
    </row>
    <row r="282" spans="1:30" x14ac:dyDescent="0.25">
      <c r="A282" s="4">
        <v>41731</v>
      </c>
      <c r="B282">
        <v>1.095</v>
      </c>
      <c r="C282" s="5">
        <v>1.2749999999999999</v>
      </c>
      <c r="D282">
        <v>1.7789999999999999</v>
      </c>
      <c r="E282">
        <v>2.1240000000000001</v>
      </c>
      <c r="F282">
        <v>2.5470000000000002</v>
      </c>
      <c r="G282">
        <v>3.0369999999999999</v>
      </c>
      <c r="Z282" s="4" t="str">
        <f ca="1">IF(OFFSET('Calc Canada'!$A$1,0,0,300)="","",OFFSET('Calc Canada'!$A$1,0,0,300))</f>
        <v/>
      </c>
      <c r="AA282" s="5" t="e">
        <f ca="1">IF(OFFSET('Calc Canada'!$A$1,0,MATCH(W$1,'Calc Canada'!$1:$1,0)-1,300)="","",OFFSET('Calc Canada'!$A$1,0,MATCH(W$1,'Calc Canada'!$1:$1,0)-1,300))</f>
        <v>#N/A</v>
      </c>
      <c r="AB282" s="5" t="e">
        <f ca="1">IF(OFFSET('Calc Canada'!$A$1,0,MATCH(X$1,'Calc Canada'!$1:$1,0)-1,300)="","",OFFSET('Calc Canada'!$A$1,0,MATCH(X$1,'Calc Canada'!$1:$1,0)-1,300))</f>
        <v>#N/A</v>
      </c>
      <c r="AC282" t="e">
        <f t="shared" ca="1" si="33"/>
        <v>#N/A</v>
      </c>
      <c r="AD282" t="e">
        <f t="shared" ca="1" si="34"/>
        <v>#N/A</v>
      </c>
    </row>
    <row r="283" spans="1:30" x14ac:dyDescent="0.25">
      <c r="A283" s="4">
        <v>41730</v>
      </c>
      <c r="B283">
        <v>1.069</v>
      </c>
      <c r="C283" s="5">
        <v>1.248</v>
      </c>
      <c r="D283">
        <v>1.7229999999999999</v>
      </c>
      <c r="E283">
        <v>2.0659999999999998</v>
      </c>
      <c r="F283">
        <v>2.4939999999999998</v>
      </c>
      <c r="G283">
        <v>3.0070000000000001</v>
      </c>
      <c r="Z283" s="4" t="str">
        <f ca="1">IF(OFFSET('Calc Canada'!$A$1,0,0,300)="","",OFFSET('Calc Canada'!$A$1,0,0,300))</f>
        <v/>
      </c>
      <c r="AA283" s="5" t="e">
        <f ca="1">IF(OFFSET('Calc Canada'!$A$1,0,MATCH(W$1,'Calc Canada'!$1:$1,0)-1,300)="","",OFFSET('Calc Canada'!$A$1,0,MATCH(W$1,'Calc Canada'!$1:$1,0)-1,300))</f>
        <v>#N/A</v>
      </c>
      <c r="AB283" s="5" t="e">
        <f ca="1">IF(OFFSET('Calc Canada'!$A$1,0,MATCH(X$1,'Calc Canada'!$1:$1,0)-1,300)="","",OFFSET('Calc Canada'!$A$1,0,MATCH(X$1,'Calc Canada'!$1:$1,0)-1,300))</f>
        <v>#N/A</v>
      </c>
      <c r="AC283" t="e">
        <f t="shared" ca="1" si="33"/>
        <v>#N/A</v>
      </c>
      <c r="AD283" t="e">
        <f t="shared" ca="1" si="34"/>
        <v>#N/A</v>
      </c>
    </row>
    <row r="284" spans="1:30" x14ac:dyDescent="0.25">
      <c r="A284" s="4">
        <v>41729</v>
      </c>
      <c r="B284">
        <v>1.0649999999999999</v>
      </c>
      <c r="C284" s="5">
        <v>1.2389999999999999</v>
      </c>
      <c r="D284">
        <v>1.7029999999999998</v>
      </c>
      <c r="E284">
        <v>2.0299999999999998</v>
      </c>
      <c r="F284">
        <v>2.456</v>
      </c>
      <c r="G284">
        <v>2.9619999999999997</v>
      </c>
      <c r="Z284" s="4" t="str">
        <f ca="1">IF(OFFSET('Calc Canada'!$A$1,0,0,300)="","",OFFSET('Calc Canada'!$A$1,0,0,300))</f>
        <v/>
      </c>
      <c r="AA284" s="5" t="e">
        <f ca="1">IF(OFFSET('Calc Canada'!$A$1,0,MATCH(W$1,'Calc Canada'!$1:$1,0)-1,300)="","",OFFSET('Calc Canada'!$A$1,0,MATCH(W$1,'Calc Canada'!$1:$1,0)-1,300))</f>
        <v>#N/A</v>
      </c>
      <c r="AB284" s="5" t="e">
        <f ca="1">IF(OFFSET('Calc Canada'!$A$1,0,MATCH(X$1,'Calc Canada'!$1:$1,0)-1,300)="","",OFFSET('Calc Canada'!$A$1,0,MATCH(X$1,'Calc Canada'!$1:$1,0)-1,300))</f>
        <v>#N/A</v>
      </c>
      <c r="AC284" t="e">
        <f t="shared" ca="1" si="33"/>
        <v>#N/A</v>
      </c>
      <c r="AD284" t="e">
        <f t="shared" ca="1" si="34"/>
        <v>#N/A</v>
      </c>
    </row>
    <row r="285" spans="1:30" x14ac:dyDescent="0.25">
      <c r="A285" s="4">
        <v>41726</v>
      </c>
      <c r="B285">
        <v>1.07</v>
      </c>
      <c r="C285" s="5">
        <v>1.244</v>
      </c>
      <c r="D285">
        <v>1.7050000000000001</v>
      </c>
      <c r="E285">
        <v>2.0169999999999999</v>
      </c>
      <c r="F285">
        <v>2.444</v>
      </c>
      <c r="G285">
        <v>2.9430000000000001</v>
      </c>
      <c r="Z285" s="4" t="str">
        <f ca="1">IF(OFFSET('Calc Canada'!$A$1,0,0,300)="","",OFFSET('Calc Canada'!$A$1,0,0,300))</f>
        <v/>
      </c>
      <c r="AA285" s="5" t="e">
        <f ca="1">IF(OFFSET('Calc Canada'!$A$1,0,MATCH(W$1,'Calc Canada'!$1:$1,0)-1,300)="","",OFFSET('Calc Canada'!$A$1,0,MATCH(W$1,'Calc Canada'!$1:$1,0)-1,300))</f>
        <v>#N/A</v>
      </c>
      <c r="AB285" s="5" t="e">
        <f ca="1">IF(OFFSET('Calc Canada'!$A$1,0,MATCH(X$1,'Calc Canada'!$1:$1,0)-1,300)="","",OFFSET('Calc Canada'!$A$1,0,MATCH(X$1,'Calc Canada'!$1:$1,0)-1,300))</f>
        <v>#N/A</v>
      </c>
      <c r="AC285" t="e">
        <f t="shared" ca="1" si="33"/>
        <v>#N/A</v>
      </c>
      <c r="AD285" t="e">
        <f t="shared" ca="1" si="34"/>
        <v>#N/A</v>
      </c>
    </row>
    <row r="286" spans="1:30" x14ac:dyDescent="0.25">
      <c r="A286" s="4">
        <v>41725</v>
      </c>
      <c r="B286">
        <v>1.0629999999999999</v>
      </c>
      <c r="C286" s="5">
        <v>1.234</v>
      </c>
      <c r="D286">
        <v>1.6890000000000001</v>
      </c>
      <c r="E286">
        <v>2.0049999999999999</v>
      </c>
      <c r="F286">
        <v>2.4329999999999998</v>
      </c>
      <c r="G286">
        <v>2.9319999999999999</v>
      </c>
      <c r="Z286" s="4" t="str">
        <f ca="1">IF(OFFSET('Calc Canada'!$A$1,0,0,300)="","",OFFSET('Calc Canada'!$A$1,0,0,300))</f>
        <v/>
      </c>
      <c r="AA286" s="5" t="e">
        <f ca="1">IF(OFFSET('Calc Canada'!$A$1,0,MATCH(W$1,'Calc Canada'!$1:$1,0)-1,300)="","",OFFSET('Calc Canada'!$A$1,0,MATCH(W$1,'Calc Canada'!$1:$1,0)-1,300))</f>
        <v>#N/A</v>
      </c>
      <c r="AB286" s="5" t="e">
        <f ca="1">IF(OFFSET('Calc Canada'!$A$1,0,MATCH(X$1,'Calc Canada'!$1:$1,0)-1,300)="","",OFFSET('Calc Canada'!$A$1,0,MATCH(X$1,'Calc Canada'!$1:$1,0)-1,300))</f>
        <v>#N/A</v>
      </c>
      <c r="AC286" t="e">
        <f t="shared" ca="1" si="33"/>
        <v>#N/A</v>
      </c>
      <c r="AD286" t="e">
        <f t="shared" ca="1" si="34"/>
        <v>#N/A</v>
      </c>
    </row>
    <row r="287" spans="1:30" x14ac:dyDescent="0.25">
      <c r="A287" s="4">
        <v>41724</v>
      </c>
      <c r="B287">
        <v>1.0580000000000001</v>
      </c>
      <c r="C287" s="5">
        <v>1.2330000000000001</v>
      </c>
      <c r="D287">
        <v>1.6859999999999999</v>
      </c>
      <c r="E287">
        <v>2.0089999999999999</v>
      </c>
      <c r="F287">
        <v>2.4430000000000001</v>
      </c>
      <c r="G287">
        <v>2.96</v>
      </c>
      <c r="Z287" s="4" t="str">
        <f ca="1">IF(OFFSET('Calc Canada'!$A$1,0,0,300)="","",OFFSET('Calc Canada'!$A$1,0,0,300))</f>
        <v/>
      </c>
      <c r="AA287" s="5" t="e">
        <f ca="1">IF(OFFSET('Calc Canada'!$A$1,0,MATCH(W$1,'Calc Canada'!$1:$1,0)-1,300)="","",OFFSET('Calc Canada'!$A$1,0,MATCH(W$1,'Calc Canada'!$1:$1,0)-1,300))</f>
        <v>#N/A</v>
      </c>
      <c r="AB287" s="5" t="e">
        <f ca="1">IF(OFFSET('Calc Canada'!$A$1,0,MATCH(X$1,'Calc Canada'!$1:$1,0)-1,300)="","",OFFSET('Calc Canada'!$A$1,0,MATCH(X$1,'Calc Canada'!$1:$1,0)-1,300))</f>
        <v>#N/A</v>
      </c>
      <c r="AC287" t="e">
        <f t="shared" ca="1" si="33"/>
        <v>#N/A</v>
      </c>
      <c r="AD287" t="e">
        <f t="shared" ca="1" si="34"/>
        <v>#N/A</v>
      </c>
    </row>
    <row r="288" spans="1:30" x14ac:dyDescent="0.25">
      <c r="A288" s="4">
        <v>41723</v>
      </c>
      <c r="B288">
        <v>1.0660000000000001</v>
      </c>
      <c r="C288" s="5">
        <v>1.244</v>
      </c>
      <c r="D288">
        <v>1.718</v>
      </c>
      <c r="E288">
        <v>2.0459999999999998</v>
      </c>
      <c r="F288">
        <v>2.476</v>
      </c>
      <c r="G288">
        <v>2.976</v>
      </c>
      <c r="Z288" s="4" t="str">
        <f ca="1">IF(OFFSET('Calc Canada'!$A$1,0,0,300)="","",OFFSET('Calc Canada'!$A$1,0,0,300))</f>
        <v/>
      </c>
      <c r="AA288" s="5" t="e">
        <f ca="1">IF(OFFSET('Calc Canada'!$A$1,0,MATCH(W$1,'Calc Canada'!$1:$1,0)-1,300)="","",OFFSET('Calc Canada'!$A$1,0,MATCH(W$1,'Calc Canada'!$1:$1,0)-1,300))</f>
        <v>#N/A</v>
      </c>
      <c r="AB288" s="5" t="e">
        <f ca="1">IF(OFFSET('Calc Canada'!$A$1,0,MATCH(X$1,'Calc Canada'!$1:$1,0)-1,300)="","",OFFSET('Calc Canada'!$A$1,0,MATCH(X$1,'Calc Canada'!$1:$1,0)-1,300))</f>
        <v>#N/A</v>
      </c>
      <c r="AC288" t="e">
        <f t="shared" ca="1" si="33"/>
        <v>#N/A</v>
      </c>
      <c r="AD288" t="e">
        <f t="shared" ca="1" si="34"/>
        <v>#N/A</v>
      </c>
    </row>
    <row r="289" spans="1:30" x14ac:dyDescent="0.25">
      <c r="A289" s="4">
        <v>41722</v>
      </c>
      <c r="B289">
        <v>1.071</v>
      </c>
      <c r="C289" s="5">
        <v>1.2469999999999999</v>
      </c>
      <c r="D289">
        <v>1.7109999999999999</v>
      </c>
      <c r="E289">
        <v>2.0299999999999998</v>
      </c>
      <c r="F289">
        <v>2.456</v>
      </c>
      <c r="G289">
        <v>2.9370000000000003</v>
      </c>
      <c r="Z289" s="4" t="str">
        <f ca="1">IF(OFFSET('Calc Canada'!$A$1,0,0,300)="","",OFFSET('Calc Canada'!$A$1,0,0,300))</f>
        <v/>
      </c>
      <c r="AA289" s="5" t="e">
        <f ca="1">IF(OFFSET('Calc Canada'!$A$1,0,MATCH(W$1,'Calc Canada'!$1:$1,0)-1,300)="","",OFFSET('Calc Canada'!$A$1,0,MATCH(W$1,'Calc Canada'!$1:$1,0)-1,300))</f>
        <v>#N/A</v>
      </c>
      <c r="AB289" s="5" t="e">
        <f ca="1">IF(OFFSET('Calc Canada'!$A$1,0,MATCH(X$1,'Calc Canada'!$1:$1,0)-1,300)="","",OFFSET('Calc Canada'!$A$1,0,MATCH(X$1,'Calc Canada'!$1:$1,0)-1,300))</f>
        <v>#N/A</v>
      </c>
      <c r="AC289" t="e">
        <f t="shared" ca="1" si="33"/>
        <v>#N/A</v>
      </c>
      <c r="AD289" t="e">
        <f t="shared" ca="1" si="34"/>
        <v>#N/A</v>
      </c>
    </row>
    <row r="290" spans="1:30" x14ac:dyDescent="0.25">
      <c r="A290" s="4">
        <v>41719</v>
      </c>
      <c r="B290">
        <v>1.07</v>
      </c>
      <c r="C290" s="5">
        <v>1.2490000000000001</v>
      </c>
      <c r="D290">
        <v>1.7250000000000001</v>
      </c>
      <c r="E290">
        <v>2.0529999999999999</v>
      </c>
      <c r="F290">
        <v>2.4830000000000001</v>
      </c>
      <c r="G290">
        <v>2.9529999999999998</v>
      </c>
      <c r="Z290" s="4" t="str">
        <f ca="1">IF(OFFSET('Calc Canada'!$A$1,0,0,300)="","",OFFSET('Calc Canada'!$A$1,0,0,300))</f>
        <v/>
      </c>
      <c r="AA290" s="5" t="e">
        <f ca="1">IF(OFFSET('Calc Canada'!$A$1,0,MATCH(W$1,'Calc Canada'!$1:$1,0)-1,300)="","",OFFSET('Calc Canada'!$A$1,0,MATCH(W$1,'Calc Canada'!$1:$1,0)-1,300))</f>
        <v>#N/A</v>
      </c>
      <c r="AB290" s="5" t="e">
        <f ca="1">IF(OFFSET('Calc Canada'!$A$1,0,MATCH(X$1,'Calc Canada'!$1:$1,0)-1,300)="","",OFFSET('Calc Canada'!$A$1,0,MATCH(X$1,'Calc Canada'!$1:$1,0)-1,300))</f>
        <v>#N/A</v>
      </c>
      <c r="AC290" t="e">
        <f t="shared" ca="1" si="33"/>
        <v>#N/A</v>
      </c>
      <c r="AD290" t="e">
        <f t="shared" ca="1" si="34"/>
        <v>#N/A</v>
      </c>
    </row>
    <row r="291" spans="1:30" x14ac:dyDescent="0.25">
      <c r="A291" s="4">
        <v>41718</v>
      </c>
      <c r="B291">
        <v>1.07</v>
      </c>
      <c r="C291" s="5">
        <v>1.25</v>
      </c>
      <c r="D291">
        <v>1.7309999999999999</v>
      </c>
      <c r="E291">
        <v>2.0710000000000002</v>
      </c>
      <c r="F291">
        <v>2.4990000000000001</v>
      </c>
      <c r="G291">
        <v>2.99</v>
      </c>
      <c r="Z291" s="4" t="str">
        <f ca="1">IF(OFFSET('Calc Canada'!$A$1,0,0,300)="","",OFFSET('Calc Canada'!$A$1,0,0,300))</f>
        <v/>
      </c>
      <c r="AA291" s="5" t="e">
        <f ca="1">IF(OFFSET('Calc Canada'!$A$1,0,MATCH(W$1,'Calc Canada'!$1:$1,0)-1,300)="","",OFFSET('Calc Canada'!$A$1,0,MATCH(W$1,'Calc Canada'!$1:$1,0)-1,300))</f>
        <v>#N/A</v>
      </c>
      <c r="AB291" s="5" t="e">
        <f ca="1">IF(OFFSET('Calc Canada'!$A$1,0,MATCH(X$1,'Calc Canada'!$1:$1,0)-1,300)="","",OFFSET('Calc Canada'!$A$1,0,MATCH(X$1,'Calc Canada'!$1:$1,0)-1,300))</f>
        <v>#N/A</v>
      </c>
      <c r="AC291" t="e">
        <f t="shared" ca="1" si="33"/>
        <v>#N/A</v>
      </c>
      <c r="AD291" t="e">
        <f t="shared" ca="1" si="34"/>
        <v>#N/A</v>
      </c>
    </row>
    <row r="292" spans="1:30" x14ac:dyDescent="0.25">
      <c r="A292" s="4">
        <v>41717</v>
      </c>
      <c r="B292">
        <v>1.056</v>
      </c>
      <c r="C292" s="5">
        <v>1.234</v>
      </c>
      <c r="D292">
        <v>1.7069999999999999</v>
      </c>
      <c r="E292">
        <v>2.0339999999999998</v>
      </c>
      <c r="F292">
        <v>2.472</v>
      </c>
      <c r="G292">
        <v>2.9740000000000002</v>
      </c>
      <c r="Z292" s="4" t="str">
        <f ca="1">IF(OFFSET('Calc Canada'!$A$1,0,0,300)="","",OFFSET('Calc Canada'!$A$1,0,0,300))</f>
        <v/>
      </c>
      <c r="AA292" s="5" t="e">
        <f ca="1">IF(OFFSET('Calc Canada'!$A$1,0,MATCH(W$1,'Calc Canada'!$1:$1,0)-1,300)="","",OFFSET('Calc Canada'!$A$1,0,MATCH(W$1,'Calc Canada'!$1:$1,0)-1,300))</f>
        <v>#N/A</v>
      </c>
      <c r="AB292" s="5" t="e">
        <f ca="1">IF(OFFSET('Calc Canada'!$A$1,0,MATCH(X$1,'Calc Canada'!$1:$1,0)-1,300)="","",OFFSET('Calc Canada'!$A$1,0,MATCH(X$1,'Calc Canada'!$1:$1,0)-1,300))</f>
        <v>#N/A</v>
      </c>
      <c r="AC292" t="e">
        <f t="shared" ca="1" si="33"/>
        <v>#N/A</v>
      </c>
      <c r="AD292" t="e">
        <f t="shared" ca="1" si="34"/>
        <v>#N/A</v>
      </c>
    </row>
    <row r="293" spans="1:30" x14ac:dyDescent="0.25">
      <c r="A293" s="4">
        <v>41716</v>
      </c>
      <c r="B293">
        <v>1.0029999999999999</v>
      </c>
      <c r="C293" s="5">
        <v>1.173</v>
      </c>
      <c r="D293">
        <v>1.6099999999999999</v>
      </c>
      <c r="E293">
        <v>1.9510000000000001</v>
      </c>
      <c r="F293">
        <v>2.4020000000000001</v>
      </c>
      <c r="G293">
        <v>2.9379999999999997</v>
      </c>
      <c r="Z293" s="4" t="str">
        <f ca="1">IF(OFFSET('Calc Canada'!$A$1,0,0,300)="","",OFFSET('Calc Canada'!$A$1,0,0,300))</f>
        <v/>
      </c>
      <c r="AA293" s="5" t="e">
        <f ca="1">IF(OFFSET('Calc Canada'!$A$1,0,MATCH(W$1,'Calc Canada'!$1:$1,0)-1,300)="","",OFFSET('Calc Canada'!$A$1,0,MATCH(W$1,'Calc Canada'!$1:$1,0)-1,300))</f>
        <v>#N/A</v>
      </c>
      <c r="AB293" s="5" t="e">
        <f ca="1">IF(OFFSET('Calc Canada'!$A$1,0,MATCH(X$1,'Calc Canada'!$1:$1,0)-1,300)="","",OFFSET('Calc Canada'!$A$1,0,MATCH(X$1,'Calc Canada'!$1:$1,0)-1,300))</f>
        <v>#N/A</v>
      </c>
      <c r="AC293" t="e">
        <f t="shared" ca="1" si="33"/>
        <v>#N/A</v>
      </c>
      <c r="AD293" t="e">
        <f t="shared" ca="1" si="34"/>
        <v>#N/A</v>
      </c>
    </row>
    <row r="294" spans="1:30" x14ac:dyDescent="0.25">
      <c r="A294" s="4">
        <v>41715</v>
      </c>
      <c r="B294">
        <v>1.0249999999999999</v>
      </c>
      <c r="C294" s="5">
        <v>1.194</v>
      </c>
      <c r="D294">
        <v>1.6360000000000001</v>
      </c>
      <c r="E294">
        <v>1.98</v>
      </c>
      <c r="F294">
        <v>2.427</v>
      </c>
      <c r="G294">
        <v>2.9459999999999997</v>
      </c>
      <c r="Z294" s="4" t="str">
        <f ca="1">IF(OFFSET('Calc Canada'!$A$1,0,0,300)="","",OFFSET('Calc Canada'!$A$1,0,0,300))</f>
        <v/>
      </c>
      <c r="AA294" s="5" t="e">
        <f ca="1">IF(OFFSET('Calc Canada'!$A$1,0,MATCH(W$1,'Calc Canada'!$1:$1,0)-1,300)="","",OFFSET('Calc Canada'!$A$1,0,MATCH(W$1,'Calc Canada'!$1:$1,0)-1,300))</f>
        <v>#N/A</v>
      </c>
      <c r="AB294" s="5" t="e">
        <f ca="1">IF(OFFSET('Calc Canada'!$A$1,0,MATCH(X$1,'Calc Canada'!$1:$1,0)-1,300)="","",OFFSET('Calc Canada'!$A$1,0,MATCH(X$1,'Calc Canada'!$1:$1,0)-1,300))</f>
        <v>#N/A</v>
      </c>
      <c r="AC294" t="e">
        <f t="shared" ca="1" si="33"/>
        <v>#N/A</v>
      </c>
      <c r="AD294" t="e">
        <f t="shared" ca="1" si="34"/>
        <v>#N/A</v>
      </c>
    </row>
    <row r="295" spans="1:30" x14ac:dyDescent="0.25">
      <c r="A295" s="4">
        <v>41712</v>
      </c>
      <c r="B295">
        <v>1.008</v>
      </c>
      <c r="C295" s="5">
        <v>1.173</v>
      </c>
      <c r="D295">
        <v>1.603</v>
      </c>
      <c r="E295">
        <v>1.9419999999999999</v>
      </c>
      <c r="F295">
        <v>2.391</v>
      </c>
      <c r="G295">
        <v>2.9239999999999999</v>
      </c>
      <c r="Z295" s="4" t="str">
        <f ca="1">IF(OFFSET('Calc Canada'!$A$1,0,0,300)="","",OFFSET('Calc Canada'!$A$1,0,0,300))</f>
        <v/>
      </c>
      <c r="AA295" s="5" t="e">
        <f ca="1">IF(OFFSET('Calc Canada'!$A$1,0,MATCH(W$1,'Calc Canada'!$1:$1,0)-1,300)="","",OFFSET('Calc Canada'!$A$1,0,MATCH(W$1,'Calc Canada'!$1:$1,0)-1,300))</f>
        <v>#N/A</v>
      </c>
      <c r="AB295" s="5" t="e">
        <f ca="1">IF(OFFSET('Calc Canada'!$A$1,0,MATCH(X$1,'Calc Canada'!$1:$1,0)-1,300)="","",OFFSET('Calc Canada'!$A$1,0,MATCH(X$1,'Calc Canada'!$1:$1,0)-1,300))</f>
        <v>#N/A</v>
      </c>
      <c r="AC295" t="e">
        <f t="shared" ca="1" si="33"/>
        <v>#N/A</v>
      </c>
      <c r="AD295" t="e">
        <f t="shared" ca="1" si="34"/>
        <v>#N/A</v>
      </c>
    </row>
    <row r="296" spans="1:30" x14ac:dyDescent="0.25">
      <c r="A296" s="4">
        <v>41711</v>
      </c>
      <c r="B296">
        <v>1.002</v>
      </c>
      <c r="C296" s="5">
        <v>1.1739999999999999</v>
      </c>
      <c r="D296">
        <v>1.589</v>
      </c>
      <c r="E296">
        <v>1.931</v>
      </c>
      <c r="F296">
        <v>2.3820000000000001</v>
      </c>
      <c r="G296">
        <v>2.9290000000000003</v>
      </c>
      <c r="Z296" s="4" t="str">
        <f ca="1">IF(OFFSET('Calc Canada'!$A$1,0,0,300)="","",OFFSET('Calc Canada'!$A$1,0,0,300))</f>
        <v/>
      </c>
      <c r="AA296" s="5" t="e">
        <f ca="1">IF(OFFSET('Calc Canada'!$A$1,0,MATCH(W$1,'Calc Canada'!$1:$1,0)-1,300)="","",OFFSET('Calc Canada'!$A$1,0,MATCH(W$1,'Calc Canada'!$1:$1,0)-1,300))</f>
        <v>#N/A</v>
      </c>
      <c r="AB296" s="5" t="e">
        <f ca="1">IF(OFFSET('Calc Canada'!$A$1,0,MATCH(X$1,'Calc Canada'!$1:$1,0)-1,300)="","",OFFSET('Calc Canada'!$A$1,0,MATCH(X$1,'Calc Canada'!$1:$1,0)-1,300))</f>
        <v>#N/A</v>
      </c>
      <c r="AC296" t="e">
        <f t="shared" ca="1" si="33"/>
        <v>#N/A</v>
      </c>
      <c r="AD296" t="e">
        <f t="shared" ca="1" si="34"/>
        <v>#N/A</v>
      </c>
    </row>
    <row r="297" spans="1:30" x14ac:dyDescent="0.25">
      <c r="A297" s="4">
        <v>41710</v>
      </c>
      <c r="B297">
        <v>1.0189999999999999</v>
      </c>
      <c r="C297" s="5">
        <v>1.1950000000000001</v>
      </c>
      <c r="D297">
        <v>1.639</v>
      </c>
      <c r="E297">
        <v>1.9889999999999999</v>
      </c>
      <c r="F297">
        <v>2.4489999999999998</v>
      </c>
      <c r="G297">
        <v>2.988</v>
      </c>
      <c r="Z297" s="4" t="str">
        <f ca="1">IF(OFFSET('Calc Canada'!$A$1,0,0,300)="","",OFFSET('Calc Canada'!$A$1,0,0,300))</f>
        <v/>
      </c>
      <c r="AA297" s="5" t="e">
        <f ca="1">IF(OFFSET('Calc Canada'!$A$1,0,MATCH(W$1,'Calc Canada'!$1:$1,0)-1,300)="","",OFFSET('Calc Canada'!$A$1,0,MATCH(W$1,'Calc Canada'!$1:$1,0)-1,300))</f>
        <v>#N/A</v>
      </c>
      <c r="AB297" s="5" t="e">
        <f ca="1">IF(OFFSET('Calc Canada'!$A$1,0,MATCH(X$1,'Calc Canada'!$1:$1,0)-1,300)="","",OFFSET('Calc Canada'!$A$1,0,MATCH(X$1,'Calc Canada'!$1:$1,0)-1,300))</f>
        <v>#N/A</v>
      </c>
      <c r="AC297" t="e">
        <f t="shared" ca="1" si="33"/>
        <v>#N/A</v>
      </c>
      <c r="AD297" t="e">
        <f t="shared" ca="1" si="34"/>
        <v>#N/A</v>
      </c>
    </row>
    <row r="298" spans="1:30" x14ac:dyDescent="0.25">
      <c r="A298" s="4">
        <v>41709</v>
      </c>
      <c r="B298">
        <v>1.0329999999999999</v>
      </c>
      <c r="C298" s="5">
        <v>1.2130000000000001</v>
      </c>
      <c r="D298">
        <v>1.671</v>
      </c>
      <c r="E298">
        <v>2.0230000000000001</v>
      </c>
      <c r="F298">
        <v>2.4830000000000001</v>
      </c>
      <c r="G298">
        <v>3.016</v>
      </c>
      <c r="Z298" s="4" t="str">
        <f ca="1">IF(OFFSET('Calc Canada'!$A$1,0,0,300)="","",OFFSET('Calc Canada'!$A$1,0,0,300))</f>
        <v/>
      </c>
      <c r="AA298" s="5" t="e">
        <f ca="1">IF(OFFSET('Calc Canada'!$A$1,0,MATCH(W$1,'Calc Canada'!$1:$1,0)-1,300)="","",OFFSET('Calc Canada'!$A$1,0,MATCH(W$1,'Calc Canada'!$1:$1,0)-1,300))</f>
        <v>#N/A</v>
      </c>
      <c r="AB298" s="5" t="e">
        <f ca="1">IF(OFFSET('Calc Canada'!$A$1,0,MATCH(X$1,'Calc Canada'!$1:$1,0)-1,300)="","",OFFSET('Calc Canada'!$A$1,0,MATCH(X$1,'Calc Canada'!$1:$1,0)-1,300))</f>
        <v>#N/A</v>
      </c>
      <c r="AC298" t="e">
        <f t="shared" ca="1" si="33"/>
        <v>#N/A</v>
      </c>
      <c r="AD298" t="e">
        <f t="shared" ca="1" si="34"/>
        <v>#N/A</v>
      </c>
    </row>
    <row r="299" spans="1:30" x14ac:dyDescent="0.25">
      <c r="A299" s="4">
        <v>41708</v>
      </c>
      <c r="B299">
        <v>1.0389999999999999</v>
      </c>
      <c r="C299" s="5">
        <v>1.216</v>
      </c>
      <c r="D299">
        <v>1.6870000000000001</v>
      </c>
      <c r="E299">
        <v>2.0259999999999998</v>
      </c>
      <c r="F299">
        <v>2.4929999999999999</v>
      </c>
      <c r="G299">
        <v>3.0270000000000001</v>
      </c>
      <c r="Z299" s="4" t="str">
        <f ca="1">IF(OFFSET('Calc Canada'!$A$1,0,0,300)="","",OFFSET('Calc Canada'!$A$1,0,0,300))</f>
        <v/>
      </c>
      <c r="AA299" s="5" t="e">
        <f ca="1">IF(OFFSET('Calc Canada'!$A$1,0,MATCH(W$1,'Calc Canada'!$1:$1,0)-1,300)="","",OFFSET('Calc Canada'!$A$1,0,MATCH(W$1,'Calc Canada'!$1:$1,0)-1,300))</f>
        <v>#N/A</v>
      </c>
      <c r="AB299" s="5" t="e">
        <f ca="1">IF(OFFSET('Calc Canada'!$A$1,0,MATCH(X$1,'Calc Canada'!$1:$1,0)-1,300)="","",OFFSET('Calc Canada'!$A$1,0,MATCH(X$1,'Calc Canada'!$1:$1,0)-1,300))</f>
        <v>#N/A</v>
      </c>
      <c r="AC299" t="e">
        <f t="shared" ca="1" si="33"/>
        <v>#N/A</v>
      </c>
      <c r="AD299" t="e">
        <f t="shared" ca="1" si="34"/>
        <v>#N/A</v>
      </c>
    </row>
    <row r="300" spans="1:30" x14ac:dyDescent="0.25">
      <c r="A300" s="4">
        <v>41705</v>
      </c>
      <c r="B300">
        <v>1.05</v>
      </c>
      <c r="C300" s="5">
        <v>1.2310000000000001</v>
      </c>
      <c r="D300">
        <v>1.712</v>
      </c>
      <c r="E300">
        <v>2.0539999999999998</v>
      </c>
      <c r="F300">
        <v>2.5190000000000001</v>
      </c>
      <c r="G300">
        <v>3.04</v>
      </c>
      <c r="Z300" s="4" t="str">
        <f ca="1">IF(OFFSET('Calc Canada'!$A$1,0,0,300)="","",OFFSET('Calc Canada'!$A$1,0,0,300))</f>
        <v/>
      </c>
      <c r="AA300" s="5" t="e">
        <f ca="1">IF(OFFSET('Calc Canada'!$A$1,0,MATCH(W$1,'Calc Canada'!$1:$1,0)-1,300)="","",OFFSET('Calc Canada'!$A$1,0,MATCH(W$1,'Calc Canada'!$1:$1,0)-1,300))</f>
        <v>#N/A</v>
      </c>
      <c r="AB300" s="5" t="e">
        <f ca="1">IF(OFFSET('Calc Canada'!$A$1,0,MATCH(X$1,'Calc Canada'!$1:$1,0)-1,300)="","",OFFSET('Calc Canada'!$A$1,0,MATCH(X$1,'Calc Canada'!$1:$1,0)-1,300))</f>
        <v>#N/A</v>
      </c>
      <c r="AC300" t="e">
        <f t="shared" ca="1" si="33"/>
        <v>#N/A</v>
      </c>
      <c r="AD300" t="e">
        <f t="shared" ca="1" si="34"/>
        <v>#N/A</v>
      </c>
    </row>
    <row r="301" spans="1:30" x14ac:dyDescent="0.25">
      <c r="A301" s="4">
        <v>41704</v>
      </c>
      <c r="B301">
        <v>1.0489999999999999</v>
      </c>
      <c r="C301" s="5">
        <v>1.232</v>
      </c>
      <c r="D301">
        <v>1.7109999999999999</v>
      </c>
      <c r="E301">
        <v>2.036</v>
      </c>
      <c r="F301">
        <v>2.5060000000000002</v>
      </c>
      <c r="G301">
        <v>3.0219999999999998</v>
      </c>
    </row>
    <row r="302" spans="1:30" x14ac:dyDescent="0.25">
      <c r="A302" s="4">
        <v>41703</v>
      </c>
      <c r="B302">
        <v>1.04</v>
      </c>
      <c r="C302" s="5">
        <v>1.22</v>
      </c>
      <c r="D302">
        <v>1.6850000000000001</v>
      </c>
      <c r="E302">
        <v>1.9990000000000001</v>
      </c>
      <c r="F302">
        <v>2.4729999999999999</v>
      </c>
      <c r="G302">
        <v>2.9870000000000001</v>
      </c>
    </row>
    <row r="303" spans="1:30" x14ac:dyDescent="0.25">
      <c r="A303" s="4">
        <v>41702</v>
      </c>
      <c r="B303">
        <v>1.0269999999999999</v>
      </c>
      <c r="C303" s="5">
        <v>1.2070000000000001</v>
      </c>
      <c r="D303">
        <v>1.663</v>
      </c>
      <c r="E303">
        <v>1.9870000000000001</v>
      </c>
      <c r="F303">
        <v>2.4670000000000001</v>
      </c>
      <c r="G303">
        <v>2.9859999999999998</v>
      </c>
    </row>
    <row r="304" spans="1:30" x14ac:dyDescent="0.25">
      <c r="A304" s="4">
        <v>41701</v>
      </c>
      <c r="B304">
        <v>0.997</v>
      </c>
      <c r="C304" s="5">
        <v>1.167</v>
      </c>
      <c r="D304">
        <v>1.6019999999999999</v>
      </c>
      <c r="E304">
        <v>1.919</v>
      </c>
      <c r="F304">
        <v>2.399</v>
      </c>
      <c r="G304">
        <v>2.927</v>
      </c>
    </row>
    <row r="305" spans="1:7" x14ac:dyDescent="0.25">
      <c r="A305" s="4">
        <v>41698</v>
      </c>
      <c r="B305">
        <v>0.998</v>
      </c>
      <c r="C305" s="5">
        <v>1.175</v>
      </c>
      <c r="D305">
        <v>1.625</v>
      </c>
      <c r="E305">
        <v>1.9300000000000002</v>
      </c>
      <c r="F305">
        <v>2.423</v>
      </c>
      <c r="G305">
        <v>2.9390000000000001</v>
      </c>
    </row>
    <row r="306" spans="1:7" x14ac:dyDescent="0.25">
      <c r="A306" s="4">
        <v>41697</v>
      </c>
      <c r="B306">
        <v>0.98499999999999999</v>
      </c>
      <c r="C306" s="5">
        <v>1.1679999999999999</v>
      </c>
      <c r="D306">
        <v>1.6099999999999999</v>
      </c>
      <c r="E306">
        <v>1.9180000000000001</v>
      </c>
      <c r="F306">
        <v>2.4119999999999999</v>
      </c>
      <c r="G306">
        <v>2.9370000000000003</v>
      </c>
    </row>
    <row r="307" spans="1:7" x14ac:dyDescent="0.25">
      <c r="A307" s="4">
        <v>41696</v>
      </c>
      <c r="B307">
        <v>1.0029999999999999</v>
      </c>
      <c r="C307" s="5">
        <v>1.1870000000000001</v>
      </c>
      <c r="D307">
        <v>1.6280000000000001</v>
      </c>
      <c r="E307">
        <v>1.944</v>
      </c>
      <c r="F307">
        <v>2.4409999999999998</v>
      </c>
      <c r="G307">
        <v>2.9619999999999997</v>
      </c>
    </row>
    <row r="308" spans="1:7" x14ac:dyDescent="0.25">
      <c r="A308" s="4">
        <v>41695</v>
      </c>
      <c r="B308">
        <v>1.0209999999999999</v>
      </c>
      <c r="C308" s="5">
        <v>1.2110000000000001</v>
      </c>
      <c r="D308">
        <v>1.6720000000000002</v>
      </c>
      <c r="E308">
        <v>1.99</v>
      </c>
      <c r="F308">
        <v>2.484</v>
      </c>
      <c r="G308">
        <v>2.992</v>
      </c>
    </row>
    <row r="309" spans="1:7" x14ac:dyDescent="0.25">
      <c r="A309" s="4">
        <v>41694</v>
      </c>
      <c r="B309">
        <v>1.024</v>
      </c>
      <c r="C309" s="5">
        <v>1.218</v>
      </c>
      <c r="D309">
        <v>1.6970000000000001</v>
      </c>
      <c r="E309">
        <v>2.0270000000000001</v>
      </c>
      <c r="F309">
        <v>2.5190000000000001</v>
      </c>
      <c r="G309">
        <v>3.0179999999999998</v>
      </c>
    </row>
    <row r="310" spans="1:7" x14ac:dyDescent="0.25">
      <c r="A310" s="4">
        <v>41691</v>
      </c>
      <c r="B310">
        <v>1.0089999999999999</v>
      </c>
      <c r="C310" s="5">
        <v>1.2030000000000001</v>
      </c>
      <c r="D310">
        <v>1.6870000000000001</v>
      </c>
      <c r="E310">
        <v>2.024</v>
      </c>
      <c r="F310">
        <v>2.516</v>
      </c>
      <c r="G310">
        <v>3.016</v>
      </c>
    </row>
    <row r="311" spans="1:7" x14ac:dyDescent="0.25">
      <c r="A311" s="4">
        <v>41690</v>
      </c>
      <c r="B311">
        <v>1.0009999999999999</v>
      </c>
      <c r="C311" s="5">
        <v>1.2</v>
      </c>
      <c r="D311">
        <v>1.7050000000000001</v>
      </c>
      <c r="E311">
        <v>2.0489999999999999</v>
      </c>
      <c r="F311">
        <v>2.544</v>
      </c>
      <c r="G311">
        <v>3.044</v>
      </c>
    </row>
    <row r="312" spans="1:7" x14ac:dyDescent="0.25">
      <c r="A312" s="4">
        <v>41689</v>
      </c>
      <c r="B312">
        <v>1.0009999999999999</v>
      </c>
      <c r="C312" s="5">
        <v>1.1990000000000001</v>
      </c>
      <c r="D312">
        <v>1.623</v>
      </c>
      <c r="E312">
        <v>1.877</v>
      </c>
      <c r="F312">
        <v>2.4409999999999998</v>
      </c>
      <c r="G312">
        <v>3.0470000000000002</v>
      </c>
    </row>
    <row r="313" spans="1:7" x14ac:dyDescent="0.25">
      <c r="A313" s="4">
        <v>41688</v>
      </c>
      <c r="B313">
        <v>0.99199999999999999</v>
      </c>
      <c r="C313" s="5">
        <v>1.1919999999999999</v>
      </c>
      <c r="D313">
        <v>1.6139999999999999</v>
      </c>
      <c r="E313">
        <v>1.871</v>
      </c>
      <c r="F313">
        <v>2.4369999999999998</v>
      </c>
      <c r="G313">
        <v>3.0390000000000001</v>
      </c>
    </row>
    <row r="314" spans="1:7" x14ac:dyDescent="0.25">
      <c r="A314" s="4">
        <v>41687</v>
      </c>
      <c r="B314">
        <v>1.0109999999999999</v>
      </c>
      <c r="C314" s="5">
        <v>1.2150000000000001</v>
      </c>
      <c r="D314">
        <v>1.6419999999999999</v>
      </c>
      <c r="E314">
        <v>1.8980000000000001</v>
      </c>
      <c r="F314">
        <v>2.4620000000000002</v>
      </c>
      <c r="G314">
        <v>3.0470000000000002</v>
      </c>
    </row>
    <row r="315" spans="1:7" x14ac:dyDescent="0.25">
      <c r="A315" s="4">
        <v>41684</v>
      </c>
      <c r="B315">
        <v>1.0109999999999999</v>
      </c>
      <c r="C315" s="5">
        <v>1.2150000000000001</v>
      </c>
      <c r="D315">
        <v>1.6419999999999999</v>
      </c>
      <c r="E315">
        <v>1.8980000000000001</v>
      </c>
      <c r="F315">
        <v>2.4620000000000002</v>
      </c>
      <c r="G315">
        <v>3.0470000000000002</v>
      </c>
    </row>
    <row r="316" spans="1:7" x14ac:dyDescent="0.25">
      <c r="A316" s="4">
        <v>41683</v>
      </c>
      <c r="B316">
        <v>1.016</v>
      </c>
      <c r="C316" s="5">
        <v>1.216</v>
      </c>
      <c r="D316">
        <v>1.6400000000000001</v>
      </c>
      <c r="E316">
        <v>1.897</v>
      </c>
      <c r="F316">
        <v>2.4569999999999999</v>
      </c>
      <c r="G316">
        <v>3.048</v>
      </c>
    </row>
    <row r="317" spans="1:7" x14ac:dyDescent="0.25">
      <c r="A317" s="4">
        <v>41682</v>
      </c>
      <c r="B317">
        <v>1.032</v>
      </c>
      <c r="C317" s="5">
        <v>1.236</v>
      </c>
      <c r="D317">
        <v>1.67</v>
      </c>
      <c r="E317">
        <v>1.929</v>
      </c>
      <c r="F317">
        <v>2.4820000000000002</v>
      </c>
      <c r="G317">
        <v>3.0680000000000001</v>
      </c>
    </row>
    <row r="318" spans="1:7" x14ac:dyDescent="0.25">
      <c r="A318" s="4">
        <v>41681</v>
      </c>
      <c r="B318">
        <v>1</v>
      </c>
      <c r="C318" s="5">
        <v>1.2050000000000001</v>
      </c>
      <c r="D318">
        <v>1.635</v>
      </c>
      <c r="E318">
        <v>1.889</v>
      </c>
      <c r="F318">
        <v>2.4550000000000001</v>
      </c>
      <c r="G318">
        <v>3.0529999999999999</v>
      </c>
    </row>
    <row r="319" spans="1:7" x14ac:dyDescent="0.25">
      <c r="A319" s="4">
        <v>41680</v>
      </c>
      <c r="B319">
        <v>0.97699999999999998</v>
      </c>
      <c r="C319" s="5">
        <v>1.169</v>
      </c>
      <c r="D319">
        <v>1.591</v>
      </c>
      <c r="E319">
        <v>1.8519999999999999</v>
      </c>
      <c r="F319">
        <v>2.4020000000000001</v>
      </c>
      <c r="G319">
        <v>3.0049999999999999</v>
      </c>
    </row>
    <row r="320" spans="1:7" x14ac:dyDescent="0.25">
      <c r="A320" s="4">
        <v>41677</v>
      </c>
      <c r="B320">
        <v>0.97699999999999998</v>
      </c>
      <c r="C320" s="5">
        <v>1.167</v>
      </c>
      <c r="D320">
        <v>1.597</v>
      </c>
      <c r="E320">
        <v>1.855</v>
      </c>
      <c r="F320">
        <v>2.4050000000000002</v>
      </c>
      <c r="G320">
        <v>3.008</v>
      </c>
    </row>
    <row r="321" spans="1:7" x14ac:dyDescent="0.25">
      <c r="A321" s="4">
        <v>41676</v>
      </c>
      <c r="B321">
        <v>0.97899999999999998</v>
      </c>
      <c r="C321" s="5">
        <v>1.18</v>
      </c>
      <c r="D321">
        <v>1.6160000000000001</v>
      </c>
      <c r="E321">
        <v>1.8780000000000001</v>
      </c>
      <c r="F321">
        <v>2.4340000000000002</v>
      </c>
      <c r="G321">
        <v>3.024</v>
      </c>
    </row>
    <row r="322" spans="1:7" x14ac:dyDescent="0.25">
      <c r="A322" s="4">
        <v>41675</v>
      </c>
      <c r="B322">
        <v>0.97699999999999998</v>
      </c>
      <c r="C322" s="5">
        <v>1.1719999999999999</v>
      </c>
      <c r="D322">
        <v>1.5840000000000001</v>
      </c>
      <c r="E322">
        <v>1.845</v>
      </c>
      <c r="F322">
        <v>2.3879999999999999</v>
      </c>
      <c r="G322">
        <v>2.9870000000000001</v>
      </c>
    </row>
    <row r="323" spans="1:7" x14ac:dyDescent="0.25">
      <c r="A323" s="4">
        <v>41674</v>
      </c>
      <c r="B323">
        <v>0.95699999999999996</v>
      </c>
      <c r="C323" s="5">
        <v>1.1539999999999999</v>
      </c>
      <c r="D323">
        <v>1.552</v>
      </c>
      <c r="E323">
        <v>1.8120000000000001</v>
      </c>
      <c r="F323">
        <v>2.343</v>
      </c>
      <c r="G323">
        <v>2.9319999999999999</v>
      </c>
    </row>
    <row r="324" spans="1:7" x14ac:dyDescent="0.25">
      <c r="A324" s="4">
        <v>41673</v>
      </c>
      <c r="B324">
        <v>0.92900000000000005</v>
      </c>
      <c r="C324" s="5">
        <v>1.115</v>
      </c>
      <c r="D324">
        <v>1.506</v>
      </c>
      <c r="E324">
        <v>1.7669999999999999</v>
      </c>
      <c r="F324">
        <v>2.2930000000000001</v>
      </c>
      <c r="G324">
        <v>2.8839999999999999</v>
      </c>
    </row>
    <row r="325" spans="1:7" x14ac:dyDescent="0.25">
      <c r="A325" s="4">
        <v>41670</v>
      </c>
      <c r="B325">
        <v>0.94399999999999995</v>
      </c>
      <c r="C325" s="5">
        <v>1.1400000000000001</v>
      </c>
      <c r="D325">
        <v>1.5489999999999999</v>
      </c>
      <c r="E325">
        <v>1.81</v>
      </c>
      <c r="F325">
        <v>2.3359999999999999</v>
      </c>
      <c r="G325">
        <v>2.9220000000000002</v>
      </c>
    </row>
    <row r="326" spans="1:7" x14ac:dyDescent="0.25">
      <c r="A326" s="4">
        <v>41669</v>
      </c>
      <c r="B326">
        <v>0.96799999999999997</v>
      </c>
      <c r="C326" s="5">
        <v>1.1679999999999999</v>
      </c>
      <c r="D326">
        <v>1.577</v>
      </c>
      <c r="E326">
        <v>1.8420000000000001</v>
      </c>
      <c r="F326">
        <v>2.371</v>
      </c>
      <c r="G326">
        <v>2.948</v>
      </c>
    </row>
    <row r="327" spans="1:7" x14ac:dyDescent="0.25">
      <c r="A327" s="4">
        <v>41668</v>
      </c>
      <c r="B327">
        <v>0.95899999999999996</v>
      </c>
      <c r="C327" s="5">
        <v>1.159</v>
      </c>
      <c r="D327">
        <v>1.5699999999999998</v>
      </c>
      <c r="E327">
        <v>1.837</v>
      </c>
      <c r="F327">
        <v>2.3620000000000001</v>
      </c>
      <c r="G327">
        <v>2.9420000000000002</v>
      </c>
    </row>
    <row r="328" spans="1:7" x14ac:dyDescent="0.25">
      <c r="A328" s="4">
        <v>41667</v>
      </c>
      <c r="B328">
        <v>0.96699999999999997</v>
      </c>
      <c r="C328" s="5">
        <v>1.1759999999999999</v>
      </c>
      <c r="D328">
        <v>1.603</v>
      </c>
      <c r="E328">
        <v>1.8740000000000001</v>
      </c>
      <c r="F328">
        <v>2.419</v>
      </c>
      <c r="G328">
        <v>2.9859999999999998</v>
      </c>
    </row>
    <row r="329" spans="1:7" x14ac:dyDescent="0.25">
      <c r="A329" s="4">
        <v>41666</v>
      </c>
      <c r="B329">
        <v>0.98</v>
      </c>
      <c r="C329" s="5">
        <v>1.1950000000000001</v>
      </c>
      <c r="D329">
        <v>1.6160000000000001</v>
      </c>
      <c r="E329">
        <v>1.885</v>
      </c>
      <c r="F329">
        <v>2.4220000000000002</v>
      </c>
      <c r="G329">
        <v>2.9910000000000001</v>
      </c>
    </row>
    <row r="330" spans="1:7" x14ac:dyDescent="0.25">
      <c r="A330" s="4">
        <v>41663</v>
      </c>
      <c r="B330">
        <v>0.96399999999999997</v>
      </c>
      <c r="C330" s="5">
        <v>1.1679999999999999</v>
      </c>
      <c r="D330">
        <v>1.589</v>
      </c>
      <c r="E330">
        <v>1.8599999999999999</v>
      </c>
      <c r="F330">
        <v>2.3959999999999999</v>
      </c>
      <c r="G330">
        <v>2.968</v>
      </c>
    </row>
    <row r="331" spans="1:7" x14ac:dyDescent="0.25">
      <c r="A331" s="4">
        <v>41662</v>
      </c>
      <c r="B331">
        <v>0.96599999999999997</v>
      </c>
      <c r="C331" s="5">
        <v>1.171</v>
      </c>
      <c r="D331">
        <v>1.593</v>
      </c>
      <c r="E331">
        <v>1.8620000000000001</v>
      </c>
      <c r="F331">
        <v>2.4020000000000001</v>
      </c>
      <c r="G331">
        <v>2.9820000000000002</v>
      </c>
    </row>
    <row r="332" spans="1:7" x14ac:dyDescent="0.25">
      <c r="A332" s="4">
        <v>41661</v>
      </c>
      <c r="B332">
        <v>1.006</v>
      </c>
      <c r="C332" s="5">
        <v>1.2230000000000001</v>
      </c>
      <c r="D332">
        <v>1.677</v>
      </c>
      <c r="E332">
        <v>1.9430000000000001</v>
      </c>
      <c r="F332">
        <v>2.4900000000000002</v>
      </c>
      <c r="G332">
        <v>3.0510000000000002</v>
      </c>
    </row>
    <row r="333" spans="1:7" x14ac:dyDescent="0.25">
      <c r="A333" s="4">
        <v>41660</v>
      </c>
      <c r="B333">
        <v>1.0289999999999999</v>
      </c>
      <c r="C333" s="5">
        <v>1.25</v>
      </c>
      <c r="D333">
        <v>1.708</v>
      </c>
      <c r="E333">
        <v>1.976</v>
      </c>
      <c r="F333">
        <v>2.5049999999999999</v>
      </c>
      <c r="G333">
        <v>3.0550000000000002</v>
      </c>
    </row>
    <row r="334" spans="1:7" x14ac:dyDescent="0.25">
      <c r="A334" s="4">
        <v>41659</v>
      </c>
      <c r="B334">
        <v>1.0149999999999999</v>
      </c>
      <c r="C334" s="5">
        <v>1.2290000000000001</v>
      </c>
      <c r="D334">
        <v>1.677</v>
      </c>
      <c r="E334">
        <v>1.9449999999999998</v>
      </c>
      <c r="F334">
        <v>2.488</v>
      </c>
      <c r="G334">
        <v>3.0539999999999998</v>
      </c>
    </row>
    <row r="335" spans="1:7" x14ac:dyDescent="0.25">
      <c r="A335" s="4">
        <v>41656</v>
      </c>
      <c r="B335">
        <v>1.02</v>
      </c>
      <c r="C335" s="5">
        <v>1.2389999999999999</v>
      </c>
      <c r="D335">
        <v>1.6930000000000001</v>
      </c>
      <c r="E335">
        <v>1.9649999999999999</v>
      </c>
      <c r="F335">
        <v>2.5009999999999999</v>
      </c>
      <c r="G335">
        <v>3.0640000000000001</v>
      </c>
    </row>
    <row r="336" spans="1:7" x14ac:dyDescent="0.25">
      <c r="A336" s="4">
        <v>41655</v>
      </c>
      <c r="B336">
        <v>1.04</v>
      </c>
      <c r="C336" s="5">
        <v>1.2629999999999999</v>
      </c>
      <c r="D336">
        <v>1.724</v>
      </c>
      <c r="E336">
        <v>1.992</v>
      </c>
      <c r="F336">
        <v>2.5249999999999999</v>
      </c>
      <c r="G336">
        <v>3.08</v>
      </c>
    </row>
    <row r="337" spans="1:7" x14ac:dyDescent="0.25">
      <c r="A337" s="4">
        <v>41654</v>
      </c>
      <c r="B337">
        <v>1.0660000000000001</v>
      </c>
      <c r="C337" s="5">
        <v>1.3</v>
      </c>
      <c r="D337">
        <v>1.774</v>
      </c>
      <c r="E337">
        <v>2.0430000000000001</v>
      </c>
      <c r="F337">
        <v>2.5760000000000001</v>
      </c>
      <c r="G337">
        <v>3.1219999999999999</v>
      </c>
    </row>
    <row r="338" spans="1:7" x14ac:dyDescent="0.25">
      <c r="A338" s="4">
        <v>41653</v>
      </c>
      <c r="B338">
        <v>1.054</v>
      </c>
      <c r="C338" s="5">
        <v>1.278</v>
      </c>
      <c r="D338">
        <v>1.768</v>
      </c>
      <c r="E338">
        <v>2.0419999999999998</v>
      </c>
      <c r="F338">
        <v>2.5830000000000002</v>
      </c>
      <c r="G338">
        <v>3.1280000000000001</v>
      </c>
    </row>
    <row r="339" spans="1:7" x14ac:dyDescent="0.25">
      <c r="A339" s="4">
        <v>41652</v>
      </c>
      <c r="B339">
        <v>1.034</v>
      </c>
      <c r="C339" s="5">
        <v>1.25</v>
      </c>
      <c r="D339">
        <v>1.72</v>
      </c>
      <c r="E339">
        <v>1.992</v>
      </c>
      <c r="F339">
        <v>2.5409999999999999</v>
      </c>
      <c r="G339">
        <v>3.0910000000000002</v>
      </c>
    </row>
    <row r="340" spans="1:7" x14ac:dyDescent="0.25">
      <c r="A340" s="4">
        <v>41649</v>
      </c>
      <c r="B340">
        <v>1.012</v>
      </c>
      <c r="C340" s="5">
        <v>1.24</v>
      </c>
      <c r="D340">
        <v>1.7229999999999999</v>
      </c>
      <c r="E340">
        <v>1.9950000000000001</v>
      </c>
      <c r="F340">
        <v>2.5550000000000002</v>
      </c>
      <c r="G340">
        <v>3.109</v>
      </c>
    </row>
    <row r="341" spans="1:7" x14ac:dyDescent="0.25">
      <c r="A341" s="4">
        <v>41648</v>
      </c>
      <c r="B341">
        <v>1.095</v>
      </c>
      <c r="C341" s="5">
        <v>1.349</v>
      </c>
      <c r="D341">
        <v>1.87</v>
      </c>
      <c r="E341">
        <v>2.1379999999999999</v>
      </c>
      <c r="F341">
        <v>2.68</v>
      </c>
      <c r="G341">
        <v>3.1880000000000002</v>
      </c>
    </row>
    <row r="342" spans="1:7" x14ac:dyDescent="0.25">
      <c r="A342" s="4">
        <v>41647</v>
      </c>
      <c r="B342">
        <v>1.109</v>
      </c>
      <c r="C342" s="5">
        <v>1.198</v>
      </c>
      <c r="D342">
        <v>1.8980000000000001</v>
      </c>
      <c r="E342">
        <v>2.17</v>
      </c>
      <c r="F342">
        <v>2.7189999999999999</v>
      </c>
      <c r="G342">
        <v>3.21</v>
      </c>
    </row>
    <row r="343" spans="1:7" x14ac:dyDescent="0.25">
      <c r="A343" s="4">
        <v>41646</v>
      </c>
      <c r="B343">
        <v>1.1080000000000001</v>
      </c>
      <c r="C343" s="5">
        <v>1.1839999999999999</v>
      </c>
      <c r="D343">
        <v>1.8679999999999999</v>
      </c>
      <c r="E343">
        <v>2.1339999999999999</v>
      </c>
      <c r="F343">
        <v>2.6779999999999999</v>
      </c>
      <c r="G343">
        <v>3.1659999999999999</v>
      </c>
    </row>
    <row r="344" spans="1:7" x14ac:dyDescent="0.25">
      <c r="A344" s="4">
        <v>41645</v>
      </c>
      <c r="B344">
        <v>1.125</v>
      </c>
      <c r="C344" s="5">
        <v>1.196</v>
      </c>
      <c r="D344">
        <v>1.907</v>
      </c>
      <c r="E344">
        <v>2.173</v>
      </c>
      <c r="F344">
        <v>2.7119999999999997</v>
      </c>
      <c r="G344">
        <v>3.1890000000000001</v>
      </c>
    </row>
    <row r="345" spans="1:7" x14ac:dyDescent="0.25">
      <c r="A345" s="4">
        <v>41642</v>
      </c>
      <c r="B345">
        <v>1.1339999999999999</v>
      </c>
      <c r="C345" s="5">
        <v>1.206</v>
      </c>
      <c r="D345">
        <v>1.9370000000000001</v>
      </c>
      <c r="E345">
        <v>2.2040000000000002</v>
      </c>
      <c r="F345">
        <v>2.7480000000000002</v>
      </c>
      <c r="G345">
        <v>3.2109999999999999</v>
      </c>
    </row>
    <row r="346" spans="1:7" x14ac:dyDescent="0.25">
      <c r="A346" s="4">
        <v>41641</v>
      </c>
      <c r="B346">
        <v>1.125</v>
      </c>
      <c r="C346" s="5">
        <v>1.196</v>
      </c>
      <c r="D346">
        <v>1.927</v>
      </c>
      <c r="E346">
        <v>2.194</v>
      </c>
      <c r="F346">
        <v>2.7389999999999999</v>
      </c>
      <c r="G346">
        <v>3.2120000000000002</v>
      </c>
    </row>
    <row r="347" spans="1:7" x14ac:dyDescent="0.25">
      <c r="A347" s="4">
        <v>41640</v>
      </c>
      <c r="B347">
        <v>1.1339999999999999</v>
      </c>
      <c r="C347" s="5">
        <v>1.214</v>
      </c>
      <c r="D347">
        <v>1.94</v>
      </c>
      <c r="E347">
        <v>2.2010000000000001</v>
      </c>
      <c r="F347">
        <v>2.7549999999999999</v>
      </c>
      <c r="G347">
        <v>3.226</v>
      </c>
    </row>
    <row r="348" spans="1:7" x14ac:dyDescent="0.25">
      <c r="A348" s="4">
        <v>41639</v>
      </c>
      <c r="B348">
        <v>1.1339999999999999</v>
      </c>
      <c r="C348" s="5">
        <v>1.214</v>
      </c>
      <c r="D348">
        <v>1.94</v>
      </c>
      <c r="E348">
        <v>2.2010000000000001</v>
      </c>
      <c r="F348">
        <v>2.7549999999999999</v>
      </c>
      <c r="G348">
        <v>3.226</v>
      </c>
    </row>
    <row r="349" spans="1:7" x14ac:dyDescent="0.25">
      <c r="A349" s="4">
        <v>41638</v>
      </c>
      <c r="B349">
        <v>1.1179999999999999</v>
      </c>
      <c r="C349" s="5">
        <v>1.196</v>
      </c>
      <c r="D349">
        <v>1.921</v>
      </c>
      <c r="E349">
        <v>2.1829999999999998</v>
      </c>
      <c r="F349">
        <v>2.7359999999999998</v>
      </c>
      <c r="G349">
        <v>3.21</v>
      </c>
    </row>
    <row r="350" spans="1:7" x14ac:dyDescent="0.25">
      <c r="A350" s="4">
        <v>41635</v>
      </c>
      <c r="B350">
        <v>1.131</v>
      </c>
      <c r="C350" s="5">
        <v>1.2130000000000001</v>
      </c>
      <c r="D350">
        <v>1.958</v>
      </c>
      <c r="E350">
        <v>2.2200000000000002</v>
      </c>
      <c r="F350">
        <v>2.7770000000000001</v>
      </c>
      <c r="G350">
        <v>3.2480000000000002</v>
      </c>
    </row>
    <row r="351" spans="1:7" x14ac:dyDescent="0.25">
      <c r="A351" s="4">
        <v>41634</v>
      </c>
      <c r="B351">
        <v>1.1259999999999999</v>
      </c>
      <c r="C351" s="5">
        <v>1.2010000000000001</v>
      </c>
      <c r="D351">
        <v>1.903</v>
      </c>
      <c r="E351">
        <v>2.1680000000000001</v>
      </c>
      <c r="F351">
        <v>2.7130000000000001</v>
      </c>
      <c r="G351">
        <v>3.2040000000000002</v>
      </c>
    </row>
    <row r="352" spans="1:7" x14ac:dyDescent="0.25">
      <c r="A352" s="4">
        <v>41633</v>
      </c>
      <c r="B352">
        <v>1.1259999999999999</v>
      </c>
      <c r="C352" s="5">
        <v>1.2010000000000001</v>
      </c>
      <c r="D352">
        <v>1.903</v>
      </c>
      <c r="E352">
        <v>2.1680000000000001</v>
      </c>
      <c r="F352">
        <v>2.7130000000000001</v>
      </c>
      <c r="G352">
        <v>3.2040000000000002</v>
      </c>
    </row>
    <row r="353" spans="1:7" x14ac:dyDescent="0.25">
      <c r="A353" s="4">
        <v>41632</v>
      </c>
      <c r="B353">
        <v>1.1259999999999999</v>
      </c>
      <c r="C353" s="5">
        <v>1.2010000000000001</v>
      </c>
      <c r="D353">
        <v>1.903</v>
      </c>
      <c r="E353">
        <v>2.1680000000000001</v>
      </c>
      <c r="F353">
        <v>2.7130000000000001</v>
      </c>
      <c r="G353">
        <v>3.2040000000000002</v>
      </c>
    </row>
    <row r="354" spans="1:7" x14ac:dyDescent="0.25">
      <c r="A354" s="4">
        <v>41631</v>
      </c>
      <c r="B354">
        <v>1.117</v>
      </c>
      <c r="C354" s="5">
        <v>1.1950000000000001</v>
      </c>
      <c r="D354">
        <v>1.8679999999999999</v>
      </c>
      <c r="E354">
        <v>2.1339999999999999</v>
      </c>
      <c r="F354">
        <v>2.67</v>
      </c>
      <c r="G354">
        <v>3.1709999999999998</v>
      </c>
    </row>
    <row r="355" spans="1:7" x14ac:dyDescent="0.25">
      <c r="A355" s="4">
        <v>41628</v>
      </c>
      <c r="B355">
        <v>1.105</v>
      </c>
      <c r="C355" s="5">
        <v>1.171</v>
      </c>
      <c r="D355">
        <v>1.8439999999999999</v>
      </c>
      <c r="E355">
        <v>2.1150000000000002</v>
      </c>
      <c r="F355">
        <v>2.6710000000000003</v>
      </c>
      <c r="G355">
        <v>3.177</v>
      </c>
    </row>
    <row r="356" spans="1:7" x14ac:dyDescent="0.25">
      <c r="A356" s="4">
        <v>41627</v>
      </c>
      <c r="B356">
        <v>1.1360000000000001</v>
      </c>
      <c r="C356" s="5">
        <v>1.2030000000000001</v>
      </c>
      <c r="D356">
        <v>1.8639999999999999</v>
      </c>
      <c r="E356">
        <v>2.1469999999999998</v>
      </c>
      <c r="F356">
        <v>2.7010000000000001</v>
      </c>
      <c r="G356">
        <v>3.2149999999999999</v>
      </c>
    </row>
    <row r="357" spans="1:7" x14ac:dyDescent="0.25">
      <c r="A357" s="4">
        <v>41626</v>
      </c>
      <c r="B357">
        <v>1.103</v>
      </c>
      <c r="C357" s="5">
        <v>1.17</v>
      </c>
      <c r="D357">
        <v>1.819</v>
      </c>
      <c r="E357">
        <v>2.109</v>
      </c>
      <c r="F357">
        <v>2.6790000000000003</v>
      </c>
      <c r="G357">
        <v>3.2149999999999999</v>
      </c>
    </row>
    <row r="358" spans="1:7" x14ac:dyDescent="0.25">
      <c r="A358" s="4">
        <v>41625</v>
      </c>
      <c r="B358">
        <v>1.105</v>
      </c>
      <c r="C358" s="5">
        <v>1.1719999999999999</v>
      </c>
      <c r="D358">
        <v>1.8010000000000002</v>
      </c>
      <c r="E358">
        <v>2.09</v>
      </c>
      <c r="F358">
        <v>2.637</v>
      </c>
      <c r="G358">
        <v>3.1859999999999999</v>
      </c>
    </row>
    <row r="359" spans="1:7" x14ac:dyDescent="0.25">
      <c r="A359" s="4">
        <v>41624</v>
      </c>
      <c r="B359">
        <v>1.113</v>
      </c>
      <c r="C359" s="5">
        <v>1.1830000000000001</v>
      </c>
      <c r="D359">
        <v>1.829</v>
      </c>
      <c r="E359">
        <v>2.1240000000000001</v>
      </c>
      <c r="F359">
        <v>2.673</v>
      </c>
      <c r="G359">
        <v>3.2130000000000001</v>
      </c>
    </row>
    <row r="360" spans="1:7" x14ac:dyDescent="0.25">
      <c r="A360" s="4">
        <v>41621</v>
      </c>
      <c r="B360">
        <v>1.1040000000000001</v>
      </c>
      <c r="C360" s="5">
        <v>1.1850000000000001</v>
      </c>
      <c r="D360">
        <v>1.8220000000000001</v>
      </c>
      <c r="E360">
        <v>2.121</v>
      </c>
      <c r="F360">
        <v>2.661</v>
      </c>
      <c r="G360">
        <v>3.21</v>
      </c>
    </row>
    <row r="361" spans="1:7" x14ac:dyDescent="0.25">
      <c r="A361" s="4">
        <v>41620</v>
      </c>
      <c r="B361">
        <v>1.097</v>
      </c>
      <c r="C361" s="5">
        <v>1.179</v>
      </c>
      <c r="D361">
        <v>1.8149999999999999</v>
      </c>
      <c r="E361">
        <v>2.1150000000000002</v>
      </c>
      <c r="F361">
        <v>2.6619999999999999</v>
      </c>
      <c r="G361">
        <v>3.2149999999999999</v>
      </c>
    </row>
    <row r="362" spans="1:7" x14ac:dyDescent="0.25">
      <c r="A362" s="4">
        <v>41619</v>
      </c>
      <c r="B362">
        <v>1.097</v>
      </c>
      <c r="C362" s="5">
        <v>1.1779999999999999</v>
      </c>
      <c r="D362">
        <v>1.8069999999999999</v>
      </c>
      <c r="E362">
        <v>2.1059999999999999</v>
      </c>
      <c r="F362">
        <v>2.6440000000000001</v>
      </c>
      <c r="G362">
        <v>3.2080000000000002</v>
      </c>
    </row>
    <row r="363" spans="1:7" x14ac:dyDescent="0.25">
      <c r="A363" s="4">
        <v>41618</v>
      </c>
      <c r="B363">
        <v>1.0760000000000001</v>
      </c>
      <c r="C363" s="5">
        <v>1.1579999999999999</v>
      </c>
      <c r="D363">
        <v>1.7770000000000001</v>
      </c>
      <c r="E363">
        <v>2.0779999999999998</v>
      </c>
      <c r="F363">
        <v>2.61</v>
      </c>
      <c r="G363">
        <v>3.18</v>
      </c>
    </row>
    <row r="364" spans="1:7" x14ac:dyDescent="0.25">
      <c r="A364" s="4">
        <v>41617</v>
      </c>
      <c r="B364">
        <v>1.081</v>
      </c>
      <c r="C364" s="5">
        <v>1.175</v>
      </c>
      <c r="D364">
        <v>1.8090000000000002</v>
      </c>
      <c r="E364">
        <v>2.113</v>
      </c>
      <c r="F364">
        <v>2.6659999999999999</v>
      </c>
      <c r="G364">
        <v>3.2509999999999999</v>
      </c>
    </row>
    <row r="365" spans="1:7" x14ac:dyDescent="0.25">
      <c r="A365" s="4">
        <v>41614</v>
      </c>
      <c r="B365">
        <v>1.091</v>
      </c>
      <c r="C365" s="5">
        <v>1.1870000000000001</v>
      </c>
      <c r="D365">
        <v>1.825</v>
      </c>
      <c r="E365">
        <v>2.1280000000000001</v>
      </c>
      <c r="F365">
        <v>2.6870000000000003</v>
      </c>
      <c r="G365">
        <v>3.2770000000000001</v>
      </c>
    </row>
    <row r="366" spans="1:7" x14ac:dyDescent="0.25">
      <c r="A366" s="4">
        <v>41613</v>
      </c>
      <c r="B366">
        <v>1.085</v>
      </c>
      <c r="C366" s="5">
        <v>1.1830000000000001</v>
      </c>
      <c r="D366">
        <v>1.81</v>
      </c>
      <c r="E366">
        <v>2.121</v>
      </c>
      <c r="F366">
        <v>2.6720000000000002</v>
      </c>
      <c r="G366">
        <v>3.2789999999999999</v>
      </c>
    </row>
    <row r="367" spans="1:7" x14ac:dyDescent="0.25">
      <c r="A367" s="4">
        <v>41612</v>
      </c>
      <c r="B367">
        <v>1.0640000000000001</v>
      </c>
      <c r="C367" s="5">
        <v>1.163</v>
      </c>
      <c r="D367">
        <v>1.7749999999999999</v>
      </c>
      <c r="E367">
        <v>2.09</v>
      </c>
      <c r="F367">
        <v>2.649</v>
      </c>
      <c r="G367">
        <v>3.2589999999999999</v>
      </c>
    </row>
    <row r="368" spans="1:7" x14ac:dyDescent="0.25">
      <c r="A368" s="4">
        <v>41611</v>
      </c>
      <c r="B368">
        <v>1.069</v>
      </c>
      <c r="C368" s="5">
        <v>1.1619999999999999</v>
      </c>
      <c r="D368">
        <v>1.738</v>
      </c>
      <c r="E368">
        <v>2.0459999999999998</v>
      </c>
      <c r="F368">
        <v>2.5840000000000001</v>
      </c>
      <c r="G368">
        <v>3.1779999999999999</v>
      </c>
    </row>
    <row r="369" spans="1:7" x14ac:dyDescent="0.25">
      <c r="A369" s="4">
        <v>41610</v>
      </c>
      <c r="B369">
        <v>1.103</v>
      </c>
      <c r="C369" s="5">
        <v>1.2010000000000001</v>
      </c>
      <c r="D369">
        <v>1.7709999999999999</v>
      </c>
      <c r="E369">
        <v>2.0790000000000002</v>
      </c>
      <c r="F369">
        <v>2.6029999999999998</v>
      </c>
      <c r="G369">
        <v>3.1829999999999998</v>
      </c>
    </row>
    <row r="370" spans="1:7" x14ac:dyDescent="0.25">
      <c r="A370" s="4">
        <v>41607</v>
      </c>
      <c r="B370">
        <v>1.0940000000000001</v>
      </c>
      <c r="C370" s="5">
        <v>1.19</v>
      </c>
      <c r="D370">
        <v>1.732</v>
      </c>
      <c r="E370">
        <v>2.0390000000000001</v>
      </c>
      <c r="F370">
        <v>2.5529999999999999</v>
      </c>
      <c r="G370">
        <v>3.1480000000000001</v>
      </c>
    </row>
    <row r="371" spans="1:7" x14ac:dyDescent="0.25">
      <c r="A371" s="4">
        <v>41606</v>
      </c>
      <c r="B371">
        <v>1.0880000000000001</v>
      </c>
      <c r="C371" s="5">
        <v>1.1819999999999999</v>
      </c>
      <c r="D371">
        <v>1.7170000000000001</v>
      </c>
      <c r="E371">
        <v>2.0249999999999999</v>
      </c>
      <c r="F371">
        <v>2.5339999999999998</v>
      </c>
      <c r="G371">
        <v>3.1379999999999999</v>
      </c>
    </row>
    <row r="372" spans="1:7" x14ac:dyDescent="0.25">
      <c r="A372" s="4">
        <v>41605</v>
      </c>
      <c r="B372">
        <v>1.0960000000000001</v>
      </c>
      <c r="C372" s="5">
        <v>1.19</v>
      </c>
      <c r="D372">
        <v>1.7269999999999999</v>
      </c>
      <c r="E372">
        <v>2.0350000000000001</v>
      </c>
      <c r="F372">
        <v>2.5449999999999999</v>
      </c>
      <c r="G372">
        <v>3.1419999999999999</v>
      </c>
    </row>
    <row r="373" spans="1:7" x14ac:dyDescent="0.25">
      <c r="A373" s="4">
        <v>41604</v>
      </c>
      <c r="B373">
        <v>1.095</v>
      </c>
      <c r="C373" s="5">
        <v>1.1870000000000001</v>
      </c>
      <c r="D373">
        <v>1.712</v>
      </c>
      <c r="E373">
        <v>2.02</v>
      </c>
      <c r="F373">
        <v>2.5190000000000001</v>
      </c>
      <c r="G373">
        <v>3.1080000000000001</v>
      </c>
    </row>
    <row r="374" spans="1:7" x14ac:dyDescent="0.25">
      <c r="A374" s="4">
        <v>41603</v>
      </c>
      <c r="B374">
        <v>1.103</v>
      </c>
      <c r="C374" s="5">
        <v>1.1970000000000001</v>
      </c>
      <c r="D374">
        <v>1.7349999999999999</v>
      </c>
      <c r="E374">
        <v>2.0489999999999999</v>
      </c>
      <c r="F374">
        <v>2.552</v>
      </c>
      <c r="G374">
        <v>3.121</v>
      </c>
    </row>
    <row r="375" spans="1:7" x14ac:dyDescent="0.25">
      <c r="A375" s="4">
        <v>41600</v>
      </c>
      <c r="B375">
        <v>1.101</v>
      </c>
      <c r="C375" s="5">
        <v>1.1970000000000001</v>
      </c>
      <c r="D375">
        <v>1.7549999999999999</v>
      </c>
      <c r="E375">
        <v>2.0739999999999998</v>
      </c>
      <c r="F375">
        <v>2.5709999999999997</v>
      </c>
      <c r="G375">
        <v>3.1440000000000001</v>
      </c>
    </row>
    <row r="376" spans="1:7" x14ac:dyDescent="0.25">
      <c r="A376" s="4">
        <v>41599</v>
      </c>
      <c r="B376">
        <v>1.1020000000000001</v>
      </c>
      <c r="C376" s="5">
        <v>1.198</v>
      </c>
      <c r="D376">
        <v>1.776</v>
      </c>
      <c r="E376">
        <v>2.1080000000000001</v>
      </c>
      <c r="F376">
        <v>2.6189999999999998</v>
      </c>
      <c r="G376">
        <v>3.1930000000000001</v>
      </c>
    </row>
    <row r="377" spans="1:7" x14ac:dyDescent="0.25">
      <c r="A377" s="4">
        <v>41598</v>
      </c>
      <c r="B377">
        <v>1.1200000000000001</v>
      </c>
      <c r="C377" s="5">
        <v>1.236</v>
      </c>
      <c r="D377">
        <v>1.802</v>
      </c>
      <c r="E377">
        <v>2.1320000000000001</v>
      </c>
      <c r="F377">
        <v>2.6320000000000001</v>
      </c>
      <c r="G377">
        <v>3.2010000000000001</v>
      </c>
    </row>
    <row r="378" spans="1:7" x14ac:dyDescent="0.25">
      <c r="A378" s="4">
        <v>41597</v>
      </c>
      <c r="B378">
        <v>1.1219999999999999</v>
      </c>
      <c r="C378" s="5">
        <v>1.236</v>
      </c>
      <c r="D378">
        <v>1.7789999999999999</v>
      </c>
      <c r="E378">
        <v>2.0950000000000002</v>
      </c>
      <c r="F378">
        <v>2.5569999999999999</v>
      </c>
      <c r="G378">
        <v>3.101</v>
      </c>
    </row>
    <row r="379" spans="1:7" x14ac:dyDescent="0.25">
      <c r="A379" s="4">
        <v>41596</v>
      </c>
      <c r="B379">
        <v>1.101</v>
      </c>
      <c r="C379" s="5">
        <v>1.2090000000000001</v>
      </c>
      <c r="D379">
        <v>1.7389999999999999</v>
      </c>
      <c r="E379">
        <v>2.0590000000000002</v>
      </c>
      <c r="F379">
        <v>2.5230000000000001</v>
      </c>
      <c r="G379">
        <v>3.0760000000000001</v>
      </c>
    </row>
    <row r="380" spans="1:7" x14ac:dyDescent="0.25">
      <c r="A380" s="4">
        <v>41593</v>
      </c>
      <c r="B380">
        <v>1.1140000000000001</v>
      </c>
      <c r="C380" s="5">
        <v>1.2310000000000001</v>
      </c>
      <c r="D380">
        <v>1.7770000000000001</v>
      </c>
      <c r="E380">
        <v>2.09</v>
      </c>
      <c r="F380">
        <v>2.5590000000000002</v>
      </c>
      <c r="G380">
        <v>3.1179999999999999</v>
      </c>
    </row>
    <row r="381" spans="1:7" x14ac:dyDescent="0.25">
      <c r="A381" s="4">
        <v>41592</v>
      </c>
      <c r="B381">
        <v>1.103</v>
      </c>
      <c r="C381" s="5">
        <v>1.2250000000000001</v>
      </c>
      <c r="D381">
        <v>1.7770000000000001</v>
      </c>
      <c r="E381">
        <v>2.0870000000000002</v>
      </c>
      <c r="F381">
        <v>2.5510000000000002</v>
      </c>
      <c r="G381">
        <v>3.1070000000000002</v>
      </c>
    </row>
    <row r="382" spans="1:7" x14ac:dyDescent="0.25">
      <c r="A382" s="4">
        <v>41591</v>
      </c>
      <c r="B382">
        <v>1.1060000000000001</v>
      </c>
      <c r="C382" s="5">
        <v>1.234</v>
      </c>
      <c r="D382">
        <v>1.8029999999999999</v>
      </c>
      <c r="E382">
        <v>2.109</v>
      </c>
      <c r="F382">
        <v>2.577</v>
      </c>
      <c r="G382">
        <v>3.1390000000000002</v>
      </c>
    </row>
    <row r="383" spans="1:7" x14ac:dyDescent="0.25">
      <c r="A383" s="4">
        <v>41590</v>
      </c>
      <c r="B383">
        <v>1.137</v>
      </c>
      <c r="C383" s="5">
        <v>1.2749999999999999</v>
      </c>
      <c r="D383">
        <v>1.8620000000000001</v>
      </c>
      <c r="E383">
        <v>2.1709999999999998</v>
      </c>
      <c r="F383">
        <v>2.6440000000000001</v>
      </c>
      <c r="G383">
        <v>3.1930000000000001</v>
      </c>
    </row>
    <row r="384" spans="1:7" x14ac:dyDescent="0.25">
      <c r="A384" s="4">
        <v>41589</v>
      </c>
      <c r="B384">
        <v>1.1259999999999999</v>
      </c>
      <c r="C384" s="5">
        <v>1.26</v>
      </c>
      <c r="D384">
        <v>1.833</v>
      </c>
      <c r="E384">
        <v>2.1469999999999998</v>
      </c>
      <c r="F384">
        <v>2.6059999999999999</v>
      </c>
      <c r="G384">
        <v>3.16</v>
      </c>
    </row>
    <row r="385" spans="1:7" x14ac:dyDescent="0.25">
      <c r="A385" s="4">
        <v>41586</v>
      </c>
      <c r="B385">
        <v>1.1259999999999999</v>
      </c>
      <c r="C385" s="5">
        <v>1.26</v>
      </c>
      <c r="D385">
        <v>1.833</v>
      </c>
      <c r="E385">
        <v>2.1469999999999998</v>
      </c>
      <c r="F385">
        <v>2.6059999999999999</v>
      </c>
      <c r="G385">
        <v>3.16</v>
      </c>
    </row>
    <row r="386" spans="1:7" x14ac:dyDescent="0.25">
      <c r="A386" s="4">
        <v>41585</v>
      </c>
      <c r="B386">
        <v>1.095</v>
      </c>
      <c r="C386" s="5">
        <v>1.214</v>
      </c>
      <c r="D386">
        <v>1.758</v>
      </c>
      <c r="E386">
        <v>2.0590000000000002</v>
      </c>
      <c r="F386">
        <v>2.516</v>
      </c>
      <c r="G386">
        <v>3.0819999999999999</v>
      </c>
    </row>
    <row r="387" spans="1:7" x14ac:dyDescent="0.25">
      <c r="A387" s="4">
        <v>41584</v>
      </c>
      <c r="B387">
        <v>1.117</v>
      </c>
      <c r="C387" s="5">
        <v>1.2410000000000001</v>
      </c>
      <c r="D387">
        <v>1.7869999999999999</v>
      </c>
      <c r="E387">
        <v>2.0870000000000002</v>
      </c>
      <c r="F387">
        <v>2.5339999999999998</v>
      </c>
      <c r="G387">
        <v>3.1070000000000002</v>
      </c>
    </row>
    <row r="388" spans="1:7" x14ac:dyDescent="0.25">
      <c r="A388" s="4">
        <v>41583</v>
      </c>
      <c r="B388">
        <v>1.1280000000000001</v>
      </c>
      <c r="C388" s="5">
        <v>1.2530000000000001</v>
      </c>
      <c r="D388">
        <v>1.8029999999999999</v>
      </c>
      <c r="E388">
        <v>2.0979999999999999</v>
      </c>
      <c r="F388">
        <v>2.532</v>
      </c>
      <c r="G388">
        <v>3.101</v>
      </c>
    </row>
    <row r="389" spans="1:7" x14ac:dyDescent="0.25">
      <c r="A389" s="4">
        <v>41582</v>
      </c>
      <c r="B389">
        <v>1.1160000000000001</v>
      </c>
      <c r="C389" s="5">
        <v>1.2370000000000001</v>
      </c>
      <c r="D389">
        <v>1.7690000000000001</v>
      </c>
      <c r="E389">
        <v>2.0609999999999999</v>
      </c>
      <c r="F389">
        <v>2.492</v>
      </c>
      <c r="G389">
        <v>3.0670000000000002</v>
      </c>
    </row>
    <row r="390" spans="1:7" x14ac:dyDescent="0.25">
      <c r="A390" s="4">
        <v>41579</v>
      </c>
      <c r="B390">
        <v>1.1200000000000001</v>
      </c>
      <c r="C390" s="5">
        <v>1.24</v>
      </c>
      <c r="D390">
        <v>1.7730000000000001</v>
      </c>
      <c r="E390">
        <v>2.0619999999999998</v>
      </c>
      <c r="F390">
        <v>2.4939999999999998</v>
      </c>
      <c r="G390">
        <v>3.0680000000000001</v>
      </c>
    </row>
    <row r="391" spans="1:7" x14ac:dyDescent="0.25">
      <c r="A391" s="4">
        <v>41578</v>
      </c>
      <c r="B391">
        <v>1.107</v>
      </c>
      <c r="C391" s="5">
        <v>1.2090000000000001</v>
      </c>
      <c r="D391">
        <v>1.718</v>
      </c>
      <c r="E391">
        <v>2.0030000000000001</v>
      </c>
      <c r="F391">
        <v>2.4209999999999998</v>
      </c>
      <c r="G391">
        <v>3.0110000000000001</v>
      </c>
    </row>
    <row r="392" spans="1:7" x14ac:dyDescent="0.25">
      <c r="A392" s="4">
        <v>41577</v>
      </c>
      <c r="B392">
        <v>1.101</v>
      </c>
      <c r="C392" s="5">
        <v>1.214</v>
      </c>
      <c r="D392">
        <v>1.718</v>
      </c>
      <c r="E392">
        <v>2.0019999999999998</v>
      </c>
      <c r="F392">
        <v>2.4220000000000002</v>
      </c>
      <c r="G392">
        <v>3.016</v>
      </c>
    </row>
    <row r="393" spans="1:7" x14ac:dyDescent="0.25">
      <c r="A393" s="4">
        <v>41576</v>
      </c>
      <c r="B393">
        <v>1.0880000000000001</v>
      </c>
      <c r="C393" s="5">
        <v>1.2050000000000001</v>
      </c>
      <c r="D393">
        <v>1.698</v>
      </c>
      <c r="E393">
        <v>1.9849999999999999</v>
      </c>
      <c r="F393">
        <v>2.4060000000000001</v>
      </c>
      <c r="G393">
        <v>3.004</v>
      </c>
    </row>
    <row r="394" spans="1:7" x14ac:dyDescent="0.25">
      <c r="A394" s="4">
        <v>41575</v>
      </c>
      <c r="B394">
        <v>1.089</v>
      </c>
      <c r="C394" s="5">
        <v>1.214</v>
      </c>
      <c r="D394">
        <v>1.7149999999999999</v>
      </c>
      <c r="E394">
        <v>2.0019999999999998</v>
      </c>
      <c r="F394">
        <v>2.427</v>
      </c>
      <c r="G394">
        <v>3.0249999999999999</v>
      </c>
    </row>
    <row r="395" spans="1:7" x14ac:dyDescent="0.25">
      <c r="A395" s="4">
        <v>41572</v>
      </c>
      <c r="B395">
        <v>1.083</v>
      </c>
      <c r="C395" s="5">
        <v>1.2090000000000001</v>
      </c>
      <c r="D395">
        <v>1.7069999999999999</v>
      </c>
      <c r="E395">
        <v>1.9929999999999999</v>
      </c>
      <c r="F395">
        <v>2.4180000000000001</v>
      </c>
      <c r="G395">
        <v>3.0219999999999998</v>
      </c>
    </row>
    <row r="396" spans="1:7" x14ac:dyDescent="0.25">
      <c r="A396" s="4">
        <v>41571</v>
      </c>
      <c r="B396">
        <v>1.0940000000000001</v>
      </c>
      <c r="C396" s="5">
        <v>1.2389999999999999</v>
      </c>
      <c r="D396">
        <v>1.7149999999999999</v>
      </c>
      <c r="E396">
        <v>2.0019999999999998</v>
      </c>
      <c r="F396">
        <v>2.423</v>
      </c>
      <c r="G396">
        <v>3.0249999999999999</v>
      </c>
    </row>
    <row r="397" spans="1:7" x14ac:dyDescent="0.25">
      <c r="A397" s="4">
        <v>41570</v>
      </c>
      <c r="B397">
        <v>1.105</v>
      </c>
      <c r="C397" s="5">
        <v>1.2770000000000001</v>
      </c>
      <c r="D397">
        <v>1.734</v>
      </c>
      <c r="E397">
        <v>2.016</v>
      </c>
      <c r="F397">
        <v>2.431</v>
      </c>
      <c r="G397">
        <v>3.03</v>
      </c>
    </row>
    <row r="398" spans="1:7" x14ac:dyDescent="0.25">
      <c r="A398" s="4">
        <v>41569</v>
      </c>
      <c r="B398">
        <v>1.165</v>
      </c>
      <c r="C398" s="5">
        <v>1.343</v>
      </c>
      <c r="D398">
        <v>1.79</v>
      </c>
      <c r="E398">
        <v>2.0720000000000001</v>
      </c>
      <c r="F398">
        <v>2.4779999999999998</v>
      </c>
      <c r="G398">
        <v>3.0649999999999999</v>
      </c>
    </row>
    <row r="399" spans="1:7" x14ac:dyDescent="0.25">
      <c r="A399" s="4">
        <v>41568</v>
      </c>
      <c r="B399">
        <v>1.198</v>
      </c>
      <c r="C399" s="5">
        <v>1.3879999999999999</v>
      </c>
      <c r="D399">
        <v>1.85</v>
      </c>
      <c r="E399">
        <v>2.14</v>
      </c>
      <c r="F399">
        <v>2.5489999999999999</v>
      </c>
      <c r="G399">
        <v>3.1150000000000002</v>
      </c>
    </row>
    <row r="400" spans="1:7" x14ac:dyDescent="0.25">
      <c r="A400" s="4">
        <v>41565</v>
      </c>
      <c r="B400">
        <v>1.177</v>
      </c>
      <c r="C400" s="5">
        <v>1.3679999999999999</v>
      </c>
      <c r="D400">
        <v>1.825</v>
      </c>
      <c r="E400">
        <v>2.1160000000000001</v>
      </c>
      <c r="F400">
        <v>2.5289999999999999</v>
      </c>
      <c r="G400">
        <v>3.0979999999999999</v>
      </c>
    </row>
    <row r="401" spans="1:7" x14ac:dyDescent="0.25">
      <c r="A401" s="4">
        <v>41564</v>
      </c>
      <c r="B401">
        <v>1.175</v>
      </c>
      <c r="C401" s="5">
        <v>1.37</v>
      </c>
      <c r="D401">
        <v>1.8420000000000001</v>
      </c>
      <c r="E401">
        <v>2.133</v>
      </c>
      <c r="F401">
        <v>2.5579999999999998</v>
      </c>
      <c r="G401">
        <v>3.1150000000000002</v>
      </c>
    </row>
    <row r="402" spans="1:7" x14ac:dyDescent="0.25">
      <c r="A402" s="4">
        <v>41563</v>
      </c>
      <c r="B402">
        <v>1.2090000000000001</v>
      </c>
      <c r="C402" s="5">
        <v>1.4079999999999999</v>
      </c>
      <c r="D402">
        <v>1.903</v>
      </c>
      <c r="E402">
        <v>2.1970000000000001</v>
      </c>
      <c r="F402">
        <v>2.6120000000000001</v>
      </c>
      <c r="G402">
        <v>3.153</v>
      </c>
    </row>
    <row r="403" spans="1:7" x14ac:dyDescent="0.25">
      <c r="A403" s="4">
        <v>41562</v>
      </c>
      <c r="B403">
        <v>1.2290000000000001</v>
      </c>
      <c r="C403" s="5">
        <v>1.4339999999999999</v>
      </c>
      <c r="D403">
        <v>1.9340000000000002</v>
      </c>
      <c r="E403">
        <v>2.2280000000000002</v>
      </c>
      <c r="F403">
        <v>2.6459999999999999</v>
      </c>
      <c r="G403">
        <v>3.1779999999999999</v>
      </c>
    </row>
    <row r="404" spans="1:7" x14ac:dyDescent="0.25">
      <c r="A404" s="4">
        <v>41561</v>
      </c>
      <c r="B404">
        <v>1.208</v>
      </c>
      <c r="C404" s="5">
        <v>1.4079999999999999</v>
      </c>
      <c r="D404">
        <v>1.8940000000000001</v>
      </c>
      <c r="E404">
        <v>2.1930000000000001</v>
      </c>
      <c r="F404">
        <v>2.5920000000000001</v>
      </c>
      <c r="G404">
        <v>3.145</v>
      </c>
    </row>
    <row r="405" spans="1:7" x14ac:dyDescent="0.25">
      <c r="A405" s="4">
        <v>41558</v>
      </c>
      <c r="B405">
        <v>1.208</v>
      </c>
      <c r="C405" s="5">
        <v>1.4079999999999999</v>
      </c>
      <c r="D405">
        <v>1.8940000000000001</v>
      </c>
      <c r="E405">
        <v>2.1930000000000001</v>
      </c>
      <c r="F405">
        <v>2.5920000000000001</v>
      </c>
      <c r="G405">
        <v>3.145</v>
      </c>
    </row>
    <row r="406" spans="1:7" x14ac:dyDescent="0.25">
      <c r="A406" s="4">
        <v>41557</v>
      </c>
      <c r="B406">
        <v>1.2070000000000001</v>
      </c>
      <c r="C406" s="5">
        <v>1.411</v>
      </c>
      <c r="D406">
        <v>1.9020000000000001</v>
      </c>
      <c r="E406">
        <v>2.19</v>
      </c>
      <c r="F406">
        <v>2.59</v>
      </c>
      <c r="G406">
        <v>3.149</v>
      </c>
    </row>
    <row r="407" spans="1:7" x14ac:dyDescent="0.25">
      <c r="A407" s="4">
        <v>41556</v>
      </c>
      <c r="B407">
        <v>1.194</v>
      </c>
      <c r="C407" s="5">
        <v>1.3959999999999999</v>
      </c>
      <c r="D407">
        <v>1.885</v>
      </c>
      <c r="E407">
        <v>2.177</v>
      </c>
      <c r="F407">
        <v>2.5750000000000002</v>
      </c>
      <c r="G407">
        <v>3.125</v>
      </c>
    </row>
    <row r="408" spans="1:7" x14ac:dyDescent="0.25">
      <c r="A408" s="4">
        <v>41555</v>
      </c>
      <c r="B408">
        <v>1.1870000000000001</v>
      </c>
      <c r="C408" s="5">
        <v>1.389</v>
      </c>
      <c r="D408">
        <v>1.8740000000000001</v>
      </c>
      <c r="E408">
        <v>2.1669999999999998</v>
      </c>
      <c r="F408">
        <v>2.5620000000000003</v>
      </c>
      <c r="G408">
        <v>3.1080000000000001</v>
      </c>
    </row>
    <row r="409" spans="1:7" x14ac:dyDescent="0.25">
      <c r="A409" s="4">
        <v>41554</v>
      </c>
      <c r="B409">
        <v>1.1819999999999999</v>
      </c>
      <c r="C409" s="5">
        <v>1.391</v>
      </c>
      <c r="D409">
        <v>1.871</v>
      </c>
      <c r="E409">
        <v>2.17</v>
      </c>
      <c r="F409">
        <v>2.5649999999999999</v>
      </c>
      <c r="G409">
        <v>3.1070000000000002</v>
      </c>
    </row>
    <row r="410" spans="1:7" x14ac:dyDescent="0.25">
      <c r="A410" s="4">
        <v>41551</v>
      </c>
      <c r="B410">
        <v>1.1910000000000001</v>
      </c>
      <c r="C410" s="5">
        <v>1.3980000000000001</v>
      </c>
      <c r="D410">
        <v>1.8839999999999999</v>
      </c>
      <c r="E410">
        <v>2.1850000000000001</v>
      </c>
      <c r="F410">
        <v>2.577</v>
      </c>
      <c r="G410">
        <v>3.117</v>
      </c>
    </row>
    <row r="411" spans="1:7" x14ac:dyDescent="0.25">
      <c r="A411" s="4">
        <v>41550</v>
      </c>
      <c r="B411">
        <v>1.179</v>
      </c>
      <c r="C411" s="5">
        <v>1.3820000000000001</v>
      </c>
      <c r="D411">
        <v>1.8479999999999999</v>
      </c>
      <c r="E411">
        <v>2.15</v>
      </c>
      <c r="F411">
        <v>2.5380000000000003</v>
      </c>
      <c r="G411">
        <v>3.0950000000000002</v>
      </c>
    </row>
    <row r="412" spans="1:7" x14ac:dyDescent="0.25">
      <c r="A412" s="4">
        <v>41549</v>
      </c>
      <c r="B412">
        <v>1.1830000000000001</v>
      </c>
      <c r="C412" s="5">
        <v>1.387</v>
      </c>
      <c r="D412">
        <v>1.8580000000000001</v>
      </c>
      <c r="E412">
        <v>2.1539999999999999</v>
      </c>
      <c r="F412">
        <v>2.5430000000000001</v>
      </c>
      <c r="G412">
        <v>3.0870000000000002</v>
      </c>
    </row>
    <row r="413" spans="1:7" x14ac:dyDescent="0.25">
      <c r="A413" s="4">
        <v>41548</v>
      </c>
      <c r="B413">
        <v>1.1970000000000001</v>
      </c>
      <c r="C413" s="5">
        <v>1.407</v>
      </c>
      <c r="D413">
        <v>1.881</v>
      </c>
      <c r="E413">
        <v>2.1800000000000002</v>
      </c>
      <c r="F413">
        <v>2.5590000000000002</v>
      </c>
      <c r="G413">
        <v>3.0920000000000001</v>
      </c>
    </row>
    <row r="414" spans="1:7" x14ac:dyDescent="0.25">
      <c r="A414" s="4">
        <v>41547</v>
      </c>
      <c r="B414">
        <v>1.1910000000000001</v>
      </c>
      <c r="C414" s="5">
        <v>1.403</v>
      </c>
      <c r="D414">
        <v>1.8580000000000001</v>
      </c>
      <c r="E414">
        <v>2.1579999999999999</v>
      </c>
      <c r="F414">
        <v>2.5409999999999999</v>
      </c>
      <c r="G414">
        <v>3.07</v>
      </c>
    </row>
    <row r="415" spans="1:7" x14ac:dyDescent="0.25">
      <c r="A415" s="4">
        <v>41544</v>
      </c>
      <c r="B415">
        <v>1.2010000000000001</v>
      </c>
      <c r="C415" s="5">
        <v>1.4179999999999999</v>
      </c>
      <c r="D415">
        <v>1.8740000000000001</v>
      </c>
      <c r="E415">
        <v>2.1800000000000002</v>
      </c>
      <c r="F415">
        <v>2.5529999999999999</v>
      </c>
      <c r="G415">
        <v>3.08</v>
      </c>
    </row>
    <row r="416" spans="1:7" x14ac:dyDescent="0.25">
      <c r="A416" s="4">
        <v>41543</v>
      </c>
      <c r="B416">
        <v>1.2190000000000001</v>
      </c>
      <c r="C416" s="5">
        <v>1.4330000000000001</v>
      </c>
      <c r="D416">
        <v>1.915</v>
      </c>
      <c r="E416">
        <v>2.214</v>
      </c>
      <c r="F416">
        <v>2.5869999999999997</v>
      </c>
      <c r="G416">
        <v>3.1070000000000002</v>
      </c>
    </row>
    <row r="417" spans="1:7" x14ac:dyDescent="0.25">
      <c r="A417" s="4">
        <v>41542</v>
      </c>
      <c r="B417">
        <v>1.2070000000000001</v>
      </c>
      <c r="C417" s="5">
        <v>1.419</v>
      </c>
      <c r="D417">
        <v>1.8919999999999999</v>
      </c>
      <c r="E417">
        <v>2.1909999999999998</v>
      </c>
      <c r="F417">
        <v>2.5709999999999997</v>
      </c>
      <c r="G417">
        <v>3.0979999999999999</v>
      </c>
    </row>
    <row r="418" spans="1:7" x14ac:dyDescent="0.25">
      <c r="A418" s="4">
        <v>41541</v>
      </c>
      <c r="B418">
        <v>1.2070000000000001</v>
      </c>
      <c r="C418" s="5">
        <v>1.423</v>
      </c>
      <c r="D418">
        <v>1.9220000000000002</v>
      </c>
      <c r="E418">
        <v>2.2189999999999999</v>
      </c>
      <c r="F418">
        <v>2.5960000000000001</v>
      </c>
      <c r="G418">
        <v>3.121</v>
      </c>
    </row>
    <row r="419" spans="1:7" x14ac:dyDescent="0.25">
      <c r="A419" s="4">
        <v>41540</v>
      </c>
      <c r="B419">
        <v>1.208</v>
      </c>
      <c r="C419" s="5">
        <v>1.425</v>
      </c>
      <c r="D419">
        <v>1.962</v>
      </c>
      <c r="E419">
        <v>2.2629999999999999</v>
      </c>
      <c r="F419">
        <v>2.645</v>
      </c>
      <c r="G419">
        <v>3.1619999999999999</v>
      </c>
    </row>
    <row r="420" spans="1:7" x14ac:dyDescent="0.25">
      <c r="A420" s="4">
        <v>41537</v>
      </c>
      <c r="B420">
        <v>1.224</v>
      </c>
      <c r="C420" s="5">
        <v>1.4410000000000001</v>
      </c>
      <c r="D420">
        <v>1.998</v>
      </c>
      <c r="E420">
        <v>2.2999999999999998</v>
      </c>
      <c r="F420">
        <v>2.6879999999999997</v>
      </c>
      <c r="G420">
        <v>3.2029999999999998</v>
      </c>
    </row>
    <row r="421" spans="1:7" x14ac:dyDescent="0.25">
      <c r="A421" s="4">
        <v>41536</v>
      </c>
      <c r="B421">
        <v>1.248</v>
      </c>
      <c r="C421" s="5">
        <v>1.4670000000000001</v>
      </c>
      <c r="D421">
        <v>2.024</v>
      </c>
      <c r="E421">
        <v>2.3199999999999998</v>
      </c>
      <c r="F421">
        <v>2.7109999999999999</v>
      </c>
      <c r="G421">
        <v>3.226</v>
      </c>
    </row>
    <row r="422" spans="1:7" x14ac:dyDescent="0.25">
      <c r="A422" s="4">
        <v>41535</v>
      </c>
      <c r="B422">
        <v>1.228</v>
      </c>
      <c r="C422" s="5">
        <v>1.468</v>
      </c>
      <c r="D422">
        <v>2.008</v>
      </c>
      <c r="E422">
        <v>2.3010000000000002</v>
      </c>
      <c r="F422">
        <v>2.6819999999999999</v>
      </c>
      <c r="G422">
        <v>3.1890000000000001</v>
      </c>
    </row>
    <row r="423" spans="1:7" x14ac:dyDescent="0.25">
      <c r="A423" s="4">
        <v>41534</v>
      </c>
      <c r="B423">
        <v>1.262</v>
      </c>
      <c r="C423" s="5">
        <v>1.5190000000000001</v>
      </c>
      <c r="D423">
        <v>2.1059999999999999</v>
      </c>
      <c r="E423">
        <v>2.3980000000000001</v>
      </c>
      <c r="F423">
        <v>2.7679999999999998</v>
      </c>
      <c r="G423">
        <v>3.25</v>
      </c>
    </row>
    <row r="424" spans="1:7" x14ac:dyDescent="0.25">
      <c r="A424" s="4">
        <v>41533</v>
      </c>
      <c r="B424">
        <v>1.2650000000000001</v>
      </c>
      <c r="C424" s="5">
        <v>1.5230000000000001</v>
      </c>
      <c r="D424">
        <v>2.1030000000000002</v>
      </c>
      <c r="E424">
        <v>2.395</v>
      </c>
      <c r="F424">
        <v>2.7759999999999998</v>
      </c>
      <c r="G424">
        <v>3.2720000000000002</v>
      </c>
    </row>
    <row r="425" spans="1:7" x14ac:dyDescent="0.25">
      <c r="A425" s="4">
        <v>41530</v>
      </c>
      <c r="B425">
        <v>1.28</v>
      </c>
      <c r="C425" s="5">
        <v>1.5430000000000001</v>
      </c>
      <c r="D425">
        <v>2.1150000000000002</v>
      </c>
      <c r="E425">
        <v>2.3980000000000001</v>
      </c>
      <c r="F425">
        <v>2.7610000000000001</v>
      </c>
      <c r="G425">
        <v>3.2439999999999998</v>
      </c>
    </row>
    <row r="426" spans="1:7" x14ac:dyDescent="0.25">
      <c r="A426" s="4">
        <v>41529</v>
      </c>
      <c r="B426">
        <v>1.2829999999999999</v>
      </c>
      <c r="C426" s="5">
        <v>1.542</v>
      </c>
      <c r="D426">
        <v>2.1280000000000001</v>
      </c>
      <c r="E426">
        <v>2.4169999999999998</v>
      </c>
      <c r="F426">
        <v>2.7800000000000002</v>
      </c>
      <c r="G426">
        <v>3.26</v>
      </c>
    </row>
    <row r="427" spans="1:7" x14ac:dyDescent="0.25">
      <c r="A427" s="4">
        <v>41528</v>
      </c>
      <c r="B427">
        <v>1.29</v>
      </c>
      <c r="C427" s="5">
        <v>1.5529999999999999</v>
      </c>
      <c r="D427">
        <v>2.129</v>
      </c>
      <c r="E427">
        <v>2.4169999999999998</v>
      </c>
      <c r="F427">
        <v>2.782</v>
      </c>
      <c r="G427">
        <v>3.2610000000000001</v>
      </c>
    </row>
    <row r="428" spans="1:7" x14ac:dyDescent="0.25">
      <c r="A428" s="4">
        <v>41527</v>
      </c>
      <c r="B428">
        <v>1.3080000000000001</v>
      </c>
      <c r="C428" s="5">
        <v>1.5720000000000001</v>
      </c>
      <c r="D428">
        <v>2.1560000000000001</v>
      </c>
      <c r="E428">
        <v>2.4510000000000001</v>
      </c>
      <c r="F428">
        <v>2.8149999999999999</v>
      </c>
      <c r="G428">
        <v>3.2800000000000002</v>
      </c>
    </row>
    <row r="429" spans="1:7" x14ac:dyDescent="0.25">
      <c r="A429" s="4">
        <v>41526</v>
      </c>
      <c r="B429">
        <v>1.284</v>
      </c>
      <c r="C429" s="5">
        <v>1.544</v>
      </c>
      <c r="D429">
        <v>2.1030000000000002</v>
      </c>
      <c r="E429">
        <v>2.3849999999999998</v>
      </c>
      <c r="F429">
        <v>2.7450000000000001</v>
      </c>
      <c r="G429">
        <v>3.218</v>
      </c>
    </row>
    <row r="430" spans="1:7" x14ac:dyDescent="0.25">
      <c r="A430" s="4">
        <v>41523</v>
      </c>
      <c r="B430">
        <v>1.29</v>
      </c>
      <c r="C430" s="5">
        <v>1.55</v>
      </c>
      <c r="D430">
        <v>2.1280000000000001</v>
      </c>
      <c r="E430">
        <v>2.4089999999999998</v>
      </c>
      <c r="F430">
        <v>2.7679999999999998</v>
      </c>
      <c r="G430">
        <v>3.238</v>
      </c>
    </row>
    <row r="431" spans="1:7" x14ac:dyDescent="0.25">
      <c r="A431" s="4">
        <v>41522</v>
      </c>
      <c r="B431">
        <v>1.3009999999999999</v>
      </c>
      <c r="C431" s="5">
        <v>1.5699999999999998</v>
      </c>
      <c r="D431">
        <v>2.1589999999999998</v>
      </c>
      <c r="E431">
        <v>2.4430000000000001</v>
      </c>
      <c r="F431">
        <v>2.802</v>
      </c>
      <c r="G431">
        <v>3.2549999999999999</v>
      </c>
    </row>
    <row r="432" spans="1:7" x14ac:dyDescent="0.25">
      <c r="A432" s="4">
        <v>41521</v>
      </c>
      <c r="B432">
        <v>1.2370000000000001</v>
      </c>
      <c r="C432" s="5">
        <v>1.494</v>
      </c>
      <c r="D432">
        <v>2.056</v>
      </c>
      <c r="E432">
        <v>2.347</v>
      </c>
      <c r="F432">
        <v>2.718</v>
      </c>
      <c r="G432">
        <v>3.1789999999999998</v>
      </c>
    </row>
    <row r="433" spans="1:7" x14ac:dyDescent="0.25">
      <c r="A433" s="4">
        <v>41520</v>
      </c>
      <c r="B433">
        <v>1.2170000000000001</v>
      </c>
      <c r="C433" s="5">
        <v>1.4689999999999999</v>
      </c>
      <c r="D433">
        <v>2.0089999999999999</v>
      </c>
      <c r="E433">
        <v>2.3029999999999999</v>
      </c>
      <c r="F433">
        <v>2.677</v>
      </c>
      <c r="G433">
        <v>3.1469999999999998</v>
      </c>
    </row>
    <row r="434" spans="1:7" x14ac:dyDescent="0.25">
      <c r="A434" s="4">
        <v>41519</v>
      </c>
      <c r="B434">
        <v>1.1859999999999999</v>
      </c>
      <c r="C434" s="5">
        <v>1.4319999999999999</v>
      </c>
      <c r="D434">
        <v>1.9470000000000001</v>
      </c>
      <c r="E434">
        <v>2.246</v>
      </c>
      <c r="F434">
        <v>2.613</v>
      </c>
      <c r="G434">
        <v>3.069</v>
      </c>
    </row>
    <row r="435" spans="1:7" x14ac:dyDescent="0.25">
      <c r="A435" s="4">
        <v>41516</v>
      </c>
      <c r="B435">
        <v>1.1859999999999999</v>
      </c>
      <c r="C435" s="5">
        <v>1.4319999999999999</v>
      </c>
      <c r="D435">
        <v>1.9470000000000001</v>
      </c>
      <c r="E435">
        <v>2.246</v>
      </c>
      <c r="F435">
        <v>2.613</v>
      </c>
      <c r="G435">
        <v>3.069</v>
      </c>
    </row>
    <row r="436" spans="1:7" x14ac:dyDescent="0.25">
      <c r="A436" s="4">
        <v>41515</v>
      </c>
      <c r="B436">
        <v>1.1890000000000001</v>
      </c>
      <c r="C436" s="5">
        <v>1.4370000000000001</v>
      </c>
      <c r="D436">
        <v>1.952</v>
      </c>
      <c r="E436">
        <v>2.2370000000000001</v>
      </c>
      <c r="F436">
        <v>2.6019999999999999</v>
      </c>
      <c r="G436">
        <v>3.0640000000000001</v>
      </c>
    </row>
    <row r="437" spans="1:7" x14ac:dyDescent="0.25">
      <c r="A437" s="4">
        <v>41514</v>
      </c>
      <c r="B437">
        <v>1.1950000000000001</v>
      </c>
      <c r="C437" s="5">
        <v>1.4450000000000001</v>
      </c>
      <c r="D437">
        <v>1.897</v>
      </c>
      <c r="E437">
        <v>2.254</v>
      </c>
      <c r="F437">
        <v>2.62</v>
      </c>
      <c r="G437">
        <v>3.081</v>
      </c>
    </row>
    <row r="438" spans="1:7" x14ac:dyDescent="0.25">
      <c r="A438" s="4">
        <v>41513</v>
      </c>
      <c r="B438">
        <v>1.161</v>
      </c>
      <c r="C438" s="5">
        <v>1.4020000000000001</v>
      </c>
      <c r="D438">
        <v>1.837</v>
      </c>
      <c r="E438">
        <v>2.1909999999999998</v>
      </c>
      <c r="F438">
        <v>2.5590000000000002</v>
      </c>
      <c r="G438">
        <v>3.0379999999999998</v>
      </c>
    </row>
    <row r="439" spans="1:7" x14ac:dyDescent="0.25">
      <c r="A439" s="4">
        <v>41512</v>
      </c>
      <c r="B439">
        <v>1.1859999999999999</v>
      </c>
      <c r="C439" s="5">
        <v>1.446</v>
      </c>
      <c r="D439">
        <v>1.925</v>
      </c>
      <c r="E439">
        <v>2.2730000000000001</v>
      </c>
      <c r="F439">
        <v>2.6459999999999999</v>
      </c>
      <c r="G439">
        <v>3.1189999999999998</v>
      </c>
    </row>
    <row r="440" spans="1:7" x14ac:dyDescent="0.25">
      <c r="A440" s="4">
        <v>41509</v>
      </c>
      <c r="B440">
        <v>1.1919999999999999</v>
      </c>
      <c r="C440" s="5">
        <v>1.4530000000000001</v>
      </c>
      <c r="D440">
        <v>1.9370000000000001</v>
      </c>
      <c r="E440">
        <v>2.3109999999999999</v>
      </c>
      <c r="F440">
        <v>2.69</v>
      </c>
      <c r="G440">
        <v>3.16</v>
      </c>
    </row>
    <row r="441" spans="1:7" x14ac:dyDescent="0.25">
      <c r="A441" s="4">
        <v>41508</v>
      </c>
      <c r="B441">
        <v>1.2010000000000001</v>
      </c>
      <c r="C441" s="5">
        <v>1.4750000000000001</v>
      </c>
      <c r="D441">
        <v>1.9750000000000001</v>
      </c>
      <c r="E441">
        <v>2.3580000000000001</v>
      </c>
      <c r="F441">
        <v>2.74</v>
      </c>
      <c r="G441">
        <v>3.206</v>
      </c>
    </row>
    <row r="442" spans="1:7" x14ac:dyDescent="0.25">
      <c r="A442" s="4">
        <v>41507</v>
      </c>
      <c r="B442">
        <v>1.212</v>
      </c>
      <c r="C442" s="5">
        <v>1.4830000000000001</v>
      </c>
      <c r="D442">
        <v>1.988</v>
      </c>
      <c r="E442">
        <v>2.371</v>
      </c>
      <c r="F442">
        <v>2.7509999999999999</v>
      </c>
      <c r="G442">
        <v>3.2130000000000001</v>
      </c>
    </row>
    <row r="443" spans="1:7" x14ac:dyDescent="0.25">
      <c r="A443" s="4">
        <v>41506</v>
      </c>
      <c r="B443">
        <v>1.1859999999999999</v>
      </c>
      <c r="C443" s="5">
        <v>1.448</v>
      </c>
      <c r="D443">
        <v>1.915</v>
      </c>
      <c r="E443">
        <v>2.3029999999999999</v>
      </c>
      <c r="F443">
        <v>2.6779999999999999</v>
      </c>
      <c r="G443">
        <v>3.1579999999999999</v>
      </c>
    </row>
    <row r="444" spans="1:7" x14ac:dyDescent="0.25">
      <c r="A444" s="4">
        <v>41505</v>
      </c>
      <c r="B444">
        <v>1.2170000000000001</v>
      </c>
      <c r="C444" s="5">
        <v>1.4889999999999999</v>
      </c>
      <c r="D444">
        <v>1.9790000000000001</v>
      </c>
      <c r="E444">
        <v>2.3679999999999999</v>
      </c>
      <c r="F444">
        <v>2.742</v>
      </c>
      <c r="G444">
        <v>3.2069999999999999</v>
      </c>
    </row>
    <row r="445" spans="1:7" x14ac:dyDescent="0.25">
      <c r="A445" s="4">
        <v>41502</v>
      </c>
      <c r="B445">
        <v>1.2110000000000001</v>
      </c>
      <c r="C445" s="5">
        <v>1.4750000000000001</v>
      </c>
      <c r="D445">
        <v>1.956</v>
      </c>
      <c r="E445">
        <v>2.3370000000000002</v>
      </c>
      <c r="F445">
        <v>2.7029999999999998</v>
      </c>
      <c r="G445">
        <v>3.1720000000000002</v>
      </c>
    </row>
    <row r="446" spans="1:7" x14ac:dyDescent="0.25">
      <c r="A446" s="4">
        <v>41501</v>
      </c>
      <c r="B446">
        <v>1.2030000000000001</v>
      </c>
      <c r="C446" s="5">
        <v>1.4570000000000001</v>
      </c>
      <c r="D446">
        <v>1.927</v>
      </c>
      <c r="E446">
        <v>2.3029999999999999</v>
      </c>
      <c r="F446">
        <v>2.669</v>
      </c>
      <c r="G446">
        <v>3.1379999999999999</v>
      </c>
    </row>
    <row r="447" spans="1:7" x14ac:dyDescent="0.25">
      <c r="A447" s="4">
        <v>41500</v>
      </c>
      <c r="B447">
        <v>1.1990000000000001</v>
      </c>
      <c r="C447" s="5">
        <v>1.446</v>
      </c>
      <c r="D447">
        <v>1.8900000000000001</v>
      </c>
      <c r="E447">
        <v>2.2640000000000002</v>
      </c>
      <c r="F447">
        <v>2.6269999999999998</v>
      </c>
      <c r="G447">
        <v>3.101</v>
      </c>
    </row>
    <row r="448" spans="1:7" x14ac:dyDescent="0.25">
      <c r="A448" s="4">
        <v>41499</v>
      </c>
      <c r="B448">
        <v>1.2</v>
      </c>
      <c r="C448" s="5">
        <v>1.446</v>
      </c>
      <c r="D448">
        <v>1.887</v>
      </c>
      <c r="E448">
        <v>2.2610000000000001</v>
      </c>
      <c r="F448">
        <v>2.6230000000000002</v>
      </c>
      <c r="G448">
        <v>3.0939999999999999</v>
      </c>
    </row>
    <row r="449" spans="1:7" x14ac:dyDescent="0.25">
      <c r="A449" s="4">
        <v>41498</v>
      </c>
      <c r="B449">
        <v>1.1439999999999999</v>
      </c>
      <c r="C449" s="5">
        <v>1.379</v>
      </c>
      <c r="D449">
        <v>1.7909999999999999</v>
      </c>
      <c r="E449">
        <v>2.1749999999999998</v>
      </c>
      <c r="F449">
        <v>2.5339999999999998</v>
      </c>
      <c r="G449">
        <v>3.0259999999999998</v>
      </c>
    </row>
    <row r="450" spans="1:7" x14ac:dyDescent="0.25">
      <c r="A450" s="4">
        <v>41495</v>
      </c>
      <c r="B450">
        <v>1.133</v>
      </c>
      <c r="C450" s="5">
        <v>1.3639999999999999</v>
      </c>
      <c r="D450">
        <v>1.756</v>
      </c>
      <c r="E450">
        <v>2.1259999999999999</v>
      </c>
      <c r="F450">
        <v>2.4779999999999998</v>
      </c>
      <c r="G450">
        <v>2.9820000000000002</v>
      </c>
    </row>
    <row r="451" spans="1:7" x14ac:dyDescent="0.25">
      <c r="A451" s="4">
        <v>41494</v>
      </c>
      <c r="B451">
        <v>1.137</v>
      </c>
      <c r="C451" s="5">
        <v>1.365</v>
      </c>
      <c r="D451">
        <v>1.7690000000000001</v>
      </c>
      <c r="E451">
        <v>2.1390000000000002</v>
      </c>
      <c r="F451">
        <v>2.4950000000000001</v>
      </c>
      <c r="G451">
        <v>3.0009999999999999</v>
      </c>
    </row>
    <row r="452" spans="1:7" x14ac:dyDescent="0.25">
      <c r="A452" s="4">
        <v>41493</v>
      </c>
      <c r="B452">
        <v>1.141</v>
      </c>
      <c r="C452" s="5">
        <v>1.2610000000000001</v>
      </c>
      <c r="D452">
        <v>1.7629999999999999</v>
      </c>
      <c r="E452">
        <v>2.141</v>
      </c>
      <c r="F452">
        <v>2.4990000000000001</v>
      </c>
      <c r="G452">
        <v>3.01</v>
      </c>
    </row>
    <row r="453" spans="1:7" x14ac:dyDescent="0.25">
      <c r="A453" s="4">
        <v>41492</v>
      </c>
      <c r="B453">
        <v>1.149</v>
      </c>
      <c r="C453" s="5">
        <v>1.2749999999999999</v>
      </c>
      <c r="D453">
        <v>1.7669999999999999</v>
      </c>
      <c r="E453">
        <v>2.1589999999999998</v>
      </c>
      <c r="F453">
        <v>2.5150000000000001</v>
      </c>
      <c r="G453">
        <v>3.0259999999999998</v>
      </c>
    </row>
    <row r="454" spans="1:7" x14ac:dyDescent="0.25">
      <c r="A454" s="4">
        <v>41491</v>
      </c>
      <c r="B454">
        <v>1.1519999999999999</v>
      </c>
      <c r="C454" s="5">
        <v>1.276</v>
      </c>
      <c r="D454">
        <v>1.7530000000000001</v>
      </c>
      <c r="E454">
        <v>2.1349999999999998</v>
      </c>
      <c r="F454">
        <v>2.4859999999999998</v>
      </c>
      <c r="G454">
        <v>2.9990000000000001</v>
      </c>
    </row>
    <row r="455" spans="1:7" x14ac:dyDescent="0.25">
      <c r="A455" s="4">
        <v>41488</v>
      </c>
      <c r="B455">
        <v>1.1519999999999999</v>
      </c>
      <c r="C455" s="5">
        <v>1.276</v>
      </c>
      <c r="D455">
        <v>1.7530000000000001</v>
      </c>
      <c r="E455">
        <v>2.1349999999999998</v>
      </c>
      <c r="F455">
        <v>2.4859999999999998</v>
      </c>
      <c r="G455">
        <v>2.9990000000000001</v>
      </c>
    </row>
    <row r="456" spans="1:7" x14ac:dyDescent="0.25">
      <c r="A456" s="4">
        <v>41487</v>
      </c>
      <c r="B456">
        <v>1.1859999999999999</v>
      </c>
      <c r="C456" s="5">
        <v>1.3120000000000001</v>
      </c>
      <c r="D456">
        <v>1.8149999999999999</v>
      </c>
      <c r="E456">
        <v>2.194</v>
      </c>
      <c r="F456">
        <v>2.544</v>
      </c>
      <c r="G456">
        <v>3.04</v>
      </c>
    </row>
    <row r="457" spans="1:7" x14ac:dyDescent="0.25">
      <c r="A457" s="4">
        <v>41486</v>
      </c>
      <c r="B457">
        <v>1.1539999999999999</v>
      </c>
      <c r="C457" s="5">
        <v>1.272</v>
      </c>
      <c r="D457">
        <v>1.744</v>
      </c>
      <c r="E457">
        <v>2.1120000000000001</v>
      </c>
      <c r="F457">
        <v>2.4500000000000002</v>
      </c>
      <c r="G457">
        <v>2.9689999999999999</v>
      </c>
    </row>
    <row r="458" spans="1:7" x14ac:dyDescent="0.25">
      <c r="A458" s="4">
        <v>41485</v>
      </c>
      <c r="B458">
        <v>1.179</v>
      </c>
      <c r="C458" s="5">
        <v>1.298</v>
      </c>
      <c r="D458">
        <v>1.796</v>
      </c>
      <c r="E458">
        <v>2.1659999999999999</v>
      </c>
      <c r="F458">
        <v>2.5110000000000001</v>
      </c>
      <c r="G458">
        <v>3.0249999999999999</v>
      </c>
    </row>
    <row r="459" spans="1:7" x14ac:dyDescent="0.25">
      <c r="A459" s="4">
        <v>41484</v>
      </c>
      <c r="B459">
        <v>1.163</v>
      </c>
      <c r="C459" s="5">
        <v>1.2770000000000001</v>
      </c>
      <c r="D459">
        <v>1.7669999999999999</v>
      </c>
      <c r="E459">
        <v>2.1480000000000001</v>
      </c>
      <c r="F459">
        <v>2.4929999999999999</v>
      </c>
      <c r="G459">
        <v>2.9969999999999999</v>
      </c>
    </row>
    <row r="460" spans="1:7" x14ac:dyDescent="0.25">
      <c r="A460" s="4">
        <v>41481</v>
      </c>
      <c r="B460">
        <v>1.143</v>
      </c>
      <c r="C460" s="5">
        <v>1.2610000000000001</v>
      </c>
      <c r="D460">
        <v>1.726</v>
      </c>
      <c r="E460">
        <v>2.105</v>
      </c>
      <c r="F460">
        <v>2.448</v>
      </c>
      <c r="G460">
        <v>2.952</v>
      </c>
    </row>
    <row r="461" spans="1:7" x14ac:dyDescent="0.25">
      <c r="A461" s="4">
        <v>41480</v>
      </c>
      <c r="B461">
        <v>1.1499999999999999</v>
      </c>
      <c r="C461" s="5">
        <v>1.2629999999999999</v>
      </c>
      <c r="D461">
        <v>1.734</v>
      </c>
      <c r="E461">
        <v>2.1189999999999998</v>
      </c>
      <c r="F461">
        <v>2.46</v>
      </c>
      <c r="G461">
        <v>2.9649999999999999</v>
      </c>
    </row>
    <row r="462" spans="1:7" x14ac:dyDescent="0.25">
      <c r="A462" s="4">
        <v>41479</v>
      </c>
      <c r="B462">
        <v>1.1479999999999999</v>
      </c>
      <c r="C462" s="5">
        <v>1.2589999999999999</v>
      </c>
      <c r="D462">
        <v>1.7589999999999999</v>
      </c>
      <c r="E462">
        <v>2.1349999999999998</v>
      </c>
      <c r="F462">
        <v>2.4769999999999999</v>
      </c>
      <c r="G462">
        <v>2.98</v>
      </c>
    </row>
    <row r="463" spans="1:7" x14ac:dyDescent="0.25">
      <c r="A463" s="4">
        <v>41478</v>
      </c>
      <c r="B463">
        <v>1.1179999999999999</v>
      </c>
      <c r="C463" s="5">
        <v>1.22</v>
      </c>
      <c r="D463">
        <v>1.6909999999999998</v>
      </c>
      <c r="E463">
        <v>2.0630000000000002</v>
      </c>
      <c r="F463">
        <v>2.4050000000000002</v>
      </c>
      <c r="G463">
        <v>2.923</v>
      </c>
    </row>
    <row r="464" spans="1:7" x14ac:dyDescent="0.25">
      <c r="A464" s="4">
        <v>41477</v>
      </c>
      <c r="B464">
        <v>1.089</v>
      </c>
      <c r="C464" s="5">
        <v>1.19</v>
      </c>
      <c r="D464">
        <v>1.651</v>
      </c>
      <c r="E464">
        <v>2.016</v>
      </c>
      <c r="F464">
        <v>2.3529999999999998</v>
      </c>
      <c r="G464">
        <v>2.875</v>
      </c>
    </row>
    <row r="465" spans="1:7" x14ac:dyDescent="0.25">
      <c r="A465" s="4">
        <v>41474</v>
      </c>
      <c r="B465">
        <v>1.0820000000000001</v>
      </c>
      <c r="C465" s="5">
        <v>1.1870000000000001</v>
      </c>
      <c r="D465">
        <v>1.655</v>
      </c>
      <c r="E465">
        <v>2.0219999999999998</v>
      </c>
      <c r="F465">
        <v>2.3570000000000002</v>
      </c>
      <c r="G465">
        <v>2.8839999999999999</v>
      </c>
    </row>
    <row r="466" spans="1:7" x14ac:dyDescent="0.25">
      <c r="A466" s="4">
        <v>41473</v>
      </c>
      <c r="B466">
        <v>1.093</v>
      </c>
      <c r="C466" s="5">
        <v>1.194</v>
      </c>
      <c r="D466">
        <v>1.681</v>
      </c>
      <c r="E466">
        <v>2.0539999999999998</v>
      </c>
      <c r="F466">
        <v>2.3959999999999999</v>
      </c>
      <c r="G466">
        <v>2.9169999999999998</v>
      </c>
    </row>
    <row r="467" spans="1:7" x14ac:dyDescent="0.25">
      <c r="A467" s="4">
        <v>41472</v>
      </c>
      <c r="B467">
        <v>1.0960000000000001</v>
      </c>
      <c r="C467" s="5">
        <v>1.1879999999999999</v>
      </c>
      <c r="D467">
        <v>1.665</v>
      </c>
      <c r="E467">
        <v>2.0289999999999999</v>
      </c>
      <c r="F467">
        <v>2.3679999999999999</v>
      </c>
      <c r="G467">
        <v>2.903</v>
      </c>
    </row>
    <row r="468" spans="1:7" x14ac:dyDescent="0.25">
      <c r="A468" s="4">
        <v>41471</v>
      </c>
      <c r="B468">
        <v>1.1179999999999999</v>
      </c>
      <c r="C468" s="5">
        <v>1.2210000000000001</v>
      </c>
      <c r="D468">
        <v>1.708</v>
      </c>
      <c r="E468">
        <v>2.069</v>
      </c>
      <c r="F468">
        <v>2.4050000000000002</v>
      </c>
      <c r="G468">
        <v>2.9220000000000002</v>
      </c>
    </row>
    <row r="469" spans="1:7" x14ac:dyDescent="0.25">
      <c r="A469" s="4">
        <v>41470</v>
      </c>
      <c r="B469">
        <v>1.1299999999999999</v>
      </c>
      <c r="C469" s="5">
        <v>1.236</v>
      </c>
      <c r="D469">
        <v>1.7269999999999999</v>
      </c>
      <c r="E469">
        <v>2.08</v>
      </c>
      <c r="F469">
        <v>2.4129999999999998</v>
      </c>
      <c r="G469">
        <v>2.92</v>
      </c>
    </row>
    <row r="470" spans="1:7" x14ac:dyDescent="0.25">
      <c r="A470" s="4">
        <v>41467</v>
      </c>
      <c r="B470">
        <v>1.131</v>
      </c>
      <c r="C470" s="5">
        <v>1.2429999999999999</v>
      </c>
      <c r="D470">
        <v>1.7490000000000001</v>
      </c>
      <c r="E470">
        <v>2.1019999999999999</v>
      </c>
      <c r="F470">
        <v>2.431</v>
      </c>
      <c r="G470">
        <v>2.9260000000000002</v>
      </c>
    </row>
    <row r="471" spans="1:7" x14ac:dyDescent="0.25">
      <c r="A471" s="4">
        <v>41466</v>
      </c>
      <c r="B471">
        <v>1.1320000000000001</v>
      </c>
      <c r="C471" s="5">
        <v>1.246</v>
      </c>
      <c r="D471">
        <v>1.752</v>
      </c>
      <c r="E471">
        <v>2.109</v>
      </c>
      <c r="F471">
        <v>2.4420000000000002</v>
      </c>
      <c r="G471">
        <v>2.9239999999999999</v>
      </c>
    </row>
    <row r="472" spans="1:7" x14ac:dyDescent="0.25">
      <c r="A472" s="4">
        <v>41465</v>
      </c>
      <c r="B472">
        <v>1.1459999999999999</v>
      </c>
      <c r="C472" s="5">
        <v>1.2610000000000001</v>
      </c>
      <c r="D472">
        <v>1.7890000000000001</v>
      </c>
      <c r="E472">
        <v>2.1549999999999998</v>
      </c>
      <c r="F472">
        <v>2.488</v>
      </c>
      <c r="G472">
        <v>2.944</v>
      </c>
    </row>
    <row r="473" spans="1:7" x14ac:dyDescent="0.25">
      <c r="A473" s="4">
        <v>41464</v>
      </c>
      <c r="B473">
        <v>1.1400000000000001</v>
      </c>
      <c r="C473" s="5">
        <v>1.26</v>
      </c>
      <c r="D473">
        <v>1.786</v>
      </c>
      <c r="E473">
        <v>2.1419999999999999</v>
      </c>
      <c r="F473">
        <v>2.472</v>
      </c>
      <c r="G473">
        <v>2.927</v>
      </c>
    </row>
    <row r="474" spans="1:7" x14ac:dyDescent="0.25">
      <c r="A474" s="4">
        <v>41463</v>
      </c>
      <c r="B474">
        <v>1.1579999999999999</v>
      </c>
      <c r="C474" s="5">
        <v>1.274</v>
      </c>
      <c r="D474">
        <v>1.7890000000000001</v>
      </c>
      <c r="E474">
        <v>2.1459999999999999</v>
      </c>
      <c r="F474">
        <v>2.4740000000000002</v>
      </c>
      <c r="G474">
        <v>2.9210000000000003</v>
      </c>
    </row>
    <row r="475" spans="1:7" x14ac:dyDescent="0.25">
      <c r="A475" s="4">
        <v>41460</v>
      </c>
      <c r="B475">
        <v>1.2230000000000001</v>
      </c>
      <c r="C475" s="5">
        <v>1.351</v>
      </c>
      <c r="D475">
        <v>1.867</v>
      </c>
      <c r="E475">
        <v>2.2200000000000002</v>
      </c>
      <c r="F475">
        <v>2.548</v>
      </c>
      <c r="G475">
        <v>2.9710000000000001</v>
      </c>
    </row>
    <row r="476" spans="1:7" x14ac:dyDescent="0.25">
      <c r="A476" s="4">
        <v>41459</v>
      </c>
      <c r="B476">
        <v>1.179</v>
      </c>
      <c r="C476" s="5">
        <v>1.2989999999999999</v>
      </c>
      <c r="D476">
        <v>1.766</v>
      </c>
      <c r="E476">
        <v>2.1019999999999999</v>
      </c>
      <c r="F476">
        <v>2.4129999999999998</v>
      </c>
      <c r="G476">
        <v>2.86</v>
      </c>
    </row>
    <row r="477" spans="1:7" x14ac:dyDescent="0.25">
      <c r="A477" s="4">
        <v>41458</v>
      </c>
      <c r="B477">
        <v>1.1879999999999999</v>
      </c>
      <c r="C477" s="5">
        <v>1.3049999999999999</v>
      </c>
      <c r="D477">
        <v>1.774</v>
      </c>
      <c r="E477">
        <v>2.1019999999999999</v>
      </c>
      <c r="F477">
        <v>2.4159999999999999</v>
      </c>
      <c r="G477">
        <v>2.8570000000000002</v>
      </c>
    </row>
    <row r="478" spans="1:7" x14ac:dyDescent="0.25">
      <c r="A478" s="4">
        <v>41457</v>
      </c>
      <c r="B478">
        <v>1.1970000000000001</v>
      </c>
      <c r="C478" s="5">
        <v>1.319</v>
      </c>
      <c r="D478">
        <v>1.7669999999999999</v>
      </c>
      <c r="E478">
        <v>2.0990000000000002</v>
      </c>
      <c r="F478">
        <v>2.403</v>
      </c>
      <c r="G478">
        <v>2.851</v>
      </c>
    </row>
    <row r="479" spans="1:7" x14ac:dyDescent="0.25">
      <c r="A479" s="4">
        <v>41456</v>
      </c>
      <c r="B479">
        <v>1.218</v>
      </c>
      <c r="C479" s="5">
        <v>1.343</v>
      </c>
      <c r="D479">
        <v>1.796</v>
      </c>
      <c r="E479">
        <v>2.137</v>
      </c>
      <c r="F479">
        <v>2.4380000000000002</v>
      </c>
      <c r="G479">
        <v>2.8849999999999998</v>
      </c>
    </row>
    <row r="480" spans="1:7" x14ac:dyDescent="0.25">
      <c r="A480" s="4">
        <v>41453</v>
      </c>
      <c r="B480">
        <v>1.2190000000000001</v>
      </c>
      <c r="C480" s="5">
        <v>1.341</v>
      </c>
      <c r="D480">
        <v>1.7970000000000002</v>
      </c>
      <c r="E480">
        <v>2.1310000000000002</v>
      </c>
      <c r="F480">
        <v>2.4359999999999999</v>
      </c>
      <c r="G480">
        <v>2.8940000000000001</v>
      </c>
    </row>
    <row r="481" spans="1:7" x14ac:dyDescent="0.25">
      <c r="A481" s="4">
        <v>41452</v>
      </c>
      <c r="B481">
        <v>1.1990000000000001</v>
      </c>
      <c r="C481" s="5">
        <v>1.323</v>
      </c>
      <c r="D481">
        <v>1.7789999999999999</v>
      </c>
      <c r="E481">
        <v>2.0720000000000001</v>
      </c>
      <c r="F481">
        <v>2.41</v>
      </c>
      <c r="G481">
        <v>2.891</v>
      </c>
    </row>
    <row r="482" spans="1:7" x14ac:dyDescent="0.25">
      <c r="A482" s="4">
        <v>41451</v>
      </c>
      <c r="B482">
        <v>1.222</v>
      </c>
      <c r="C482" s="5">
        <v>1.351</v>
      </c>
      <c r="D482">
        <v>1.835</v>
      </c>
      <c r="E482">
        <v>2.1920000000000002</v>
      </c>
      <c r="F482">
        <v>2.4950000000000001</v>
      </c>
      <c r="G482">
        <v>2.9539999999999997</v>
      </c>
    </row>
    <row r="483" spans="1:7" x14ac:dyDescent="0.25">
      <c r="A483" s="4">
        <v>41450</v>
      </c>
      <c r="B483">
        <v>1.26</v>
      </c>
      <c r="C483" s="5">
        <v>1.387</v>
      </c>
      <c r="D483">
        <v>1.8759999999999999</v>
      </c>
      <c r="E483">
        <v>2.2290000000000001</v>
      </c>
      <c r="F483">
        <v>2.536</v>
      </c>
      <c r="G483">
        <v>2.98</v>
      </c>
    </row>
    <row r="484" spans="1:7" x14ac:dyDescent="0.25">
      <c r="A484" s="4">
        <v>41449</v>
      </c>
      <c r="B484">
        <v>1.24</v>
      </c>
      <c r="C484" s="5">
        <v>1.367</v>
      </c>
      <c r="D484">
        <v>1.8460000000000001</v>
      </c>
      <c r="E484">
        <v>2.1819999999999999</v>
      </c>
      <c r="F484">
        <v>2.4830000000000001</v>
      </c>
      <c r="G484">
        <v>2.9290000000000003</v>
      </c>
    </row>
    <row r="485" spans="1:7" x14ac:dyDescent="0.25">
      <c r="A485" s="4">
        <v>41446</v>
      </c>
      <c r="B485">
        <v>1.232</v>
      </c>
      <c r="C485" s="5">
        <v>1.3420000000000001</v>
      </c>
      <c r="D485">
        <v>1.81</v>
      </c>
      <c r="E485">
        <v>2.1469999999999998</v>
      </c>
      <c r="F485">
        <v>2.444</v>
      </c>
      <c r="G485">
        <v>2.903</v>
      </c>
    </row>
    <row r="486" spans="1:7" x14ac:dyDescent="0.25">
      <c r="A486" s="4">
        <v>41445</v>
      </c>
      <c r="B486">
        <v>1.1839999999999999</v>
      </c>
      <c r="C486" s="5">
        <v>1.2949999999999999</v>
      </c>
      <c r="D486">
        <v>1.7090000000000001</v>
      </c>
      <c r="E486">
        <v>2.0289999999999999</v>
      </c>
      <c r="F486">
        <v>2.323</v>
      </c>
      <c r="G486">
        <v>2.8069999999999999</v>
      </c>
    </row>
    <row r="487" spans="1:7" x14ac:dyDescent="0.25">
      <c r="A487" s="4">
        <v>41444</v>
      </c>
      <c r="B487">
        <v>1.165</v>
      </c>
      <c r="C487" s="5">
        <v>1.2610000000000001</v>
      </c>
      <c r="D487">
        <v>1.6539999999999999</v>
      </c>
      <c r="E487">
        <v>1.9609999999999999</v>
      </c>
      <c r="F487">
        <v>2.25</v>
      </c>
      <c r="G487">
        <v>2.746</v>
      </c>
    </row>
    <row r="488" spans="1:7" x14ac:dyDescent="0.25">
      <c r="A488" s="4">
        <v>41443</v>
      </c>
      <c r="B488">
        <v>1.111</v>
      </c>
      <c r="C488" s="5">
        <v>1.2030000000000001</v>
      </c>
      <c r="D488">
        <v>1.5489999999999999</v>
      </c>
      <c r="E488">
        <v>1.8620000000000001</v>
      </c>
      <c r="F488">
        <v>2.1589999999999998</v>
      </c>
      <c r="G488">
        <v>2.702</v>
      </c>
    </row>
    <row r="489" spans="1:7" x14ac:dyDescent="0.25">
      <c r="A489" s="4">
        <v>41442</v>
      </c>
      <c r="B489">
        <v>1.1020000000000001</v>
      </c>
      <c r="C489" s="5">
        <v>1.1919999999999999</v>
      </c>
      <c r="D489">
        <v>1.5369999999999999</v>
      </c>
      <c r="E489">
        <v>1.847</v>
      </c>
      <c r="F489">
        <v>2.149</v>
      </c>
      <c r="G489">
        <v>2.6989999999999998</v>
      </c>
    </row>
    <row r="490" spans="1:7" x14ac:dyDescent="0.25">
      <c r="A490" s="4">
        <v>41439</v>
      </c>
      <c r="B490">
        <v>1.1040000000000001</v>
      </c>
      <c r="C490" s="5">
        <v>1.1890000000000001</v>
      </c>
      <c r="D490">
        <v>1.5249999999999999</v>
      </c>
      <c r="E490">
        <v>1.829</v>
      </c>
      <c r="F490">
        <v>2.1179999999999999</v>
      </c>
      <c r="G490">
        <v>2.6760000000000002</v>
      </c>
    </row>
    <row r="491" spans="1:7" x14ac:dyDescent="0.25">
      <c r="A491" s="4">
        <v>41438</v>
      </c>
      <c r="B491">
        <v>1.119</v>
      </c>
      <c r="C491" s="5">
        <v>1.2170000000000001</v>
      </c>
      <c r="D491">
        <v>1.5550000000000002</v>
      </c>
      <c r="E491">
        <v>1.851</v>
      </c>
      <c r="F491">
        <v>2.1360000000000001</v>
      </c>
      <c r="G491">
        <v>2.69</v>
      </c>
    </row>
    <row r="492" spans="1:7" x14ac:dyDescent="0.25">
      <c r="A492" s="4">
        <v>41437</v>
      </c>
      <c r="B492">
        <v>1.159</v>
      </c>
      <c r="C492" s="5">
        <v>1.266</v>
      </c>
      <c r="D492">
        <v>1.625</v>
      </c>
      <c r="E492">
        <v>1.9239999999999999</v>
      </c>
      <c r="F492">
        <v>2.2069999999999999</v>
      </c>
      <c r="G492">
        <v>2.746</v>
      </c>
    </row>
    <row r="493" spans="1:7" x14ac:dyDescent="0.25">
      <c r="A493" s="4">
        <v>41436</v>
      </c>
      <c r="B493">
        <v>1.1499999999999999</v>
      </c>
      <c r="C493" s="5">
        <v>1.26</v>
      </c>
      <c r="D493">
        <v>1.6</v>
      </c>
      <c r="E493">
        <v>1.8940000000000001</v>
      </c>
      <c r="F493">
        <v>2.173</v>
      </c>
      <c r="G493">
        <v>2.7199999999999998</v>
      </c>
    </row>
    <row r="494" spans="1:7" x14ac:dyDescent="0.25">
      <c r="A494" s="4">
        <v>41435</v>
      </c>
      <c r="B494">
        <v>1.1599999999999999</v>
      </c>
      <c r="C494" s="5">
        <v>1.2650000000000001</v>
      </c>
      <c r="D494">
        <v>1.629</v>
      </c>
      <c r="E494">
        <v>1.92</v>
      </c>
      <c r="F494">
        <v>2.2000000000000002</v>
      </c>
      <c r="G494">
        <v>2.7509999999999999</v>
      </c>
    </row>
    <row r="495" spans="1:7" x14ac:dyDescent="0.25">
      <c r="A495" s="4">
        <v>41432</v>
      </c>
      <c r="B495">
        <v>1.129</v>
      </c>
      <c r="C495" s="5">
        <v>1.2330000000000001</v>
      </c>
      <c r="D495">
        <v>1.5659999999999998</v>
      </c>
      <c r="E495">
        <v>1.8660000000000001</v>
      </c>
      <c r="F495">
        <v>2.1440000000000001</v>
      </c>
      <c r="G495">
        <v>2.7160000000000002</v>
      </c>
    </row>
    <row r="496" spans="1:7" x14ac:dyDescent="0.25">
      <c r="A496" s="4">
        <v>41431</v>
      </c>
      <c r="B496">
        <v>1.0449999999999999</v>
      </c>
      <c r="C496" s="5">
        <v>1.149</v>
      </c>
      <c r="D496">
        <v>1.4430000000000001</v>
      </c>
      <c r="E496">
        <v>1.7549999999999999</v>
      </c>
      <c r="F496">
        <v>2.0390000000000001</v>
      </c>
      <c r="G496">
        <v>2.6139999999999999</v>
      </c>
    </row>
    <row r="497" spans="1:7" x14ac:dyDescent="0.25">
      <c r="A497" s="4">
        <v>41430</v>
      </c>
      <c r="B497">
        <v>1.0469999999999999</v>
      </c>
      <c r="C497" s="5">
        <v>1.149</v>
      </c>
      <c r="D497">
        <v>1.4530000000000001</v>
      </c>
      <c r="E497">
        <v>1.758</v>
      </c>
      <c r="F497">
        <v>2.0419999999999998</v>
      </c>
      <c r="G497">
        <v>2.617</v>
      </c>
    </row>
    <row r="498" spans="1:7" x14ac:dyDescent="0.25">
      <c r="A498" s="4">
        <v>41429</v>
      </c>
      <c r="B498">
        <v>1.0609999999999999</v>
      </c>
      <c r="C498" s="5">
        <v>1.169</v>
      </c>
      <c r="D498">
        <v>1.4809999999999999</v>
      </c>
      <c r="E498">
        <v>1.7930000000000001</v>
      </c>
      <c r="F498">
        <v>2.0819999999999999</v>
      </c>
      <c r="G498">
        <v>2.6360000000000001</v>
      </c>
    </row>
    <row r="499" spans="1:7" x14ac:dyDescent="0.25">
      <c r="A499" s="4">
        <v>41428</v>
      </c>
      <c r="B499">
        <v>1.069</v>
      </c>
      <c r="C499" s="5">
        <v>1.1739999999999999</v>
      </c>
      <c r="D499">
        <v>1.4610000000000001</v>
      </c>
      <c r="E499">
        <v>1.76</v>
      </c>
      <c r="F499">
        <v>2.0489999999999999</v>
      </c>
      <c r="G499">
        <v>2.6029999999999998</v>
      </c>
    </row>
    <row r="500" spans="1:7" x14ac:dyDescent="0.25">
      <c r="A500" s="4">
        <v>41425</v>
      </c>
      <c r="B500">
        <v>1.0780000000000001</v>
      </c>
      <c r="C500" s="5">
        <v>1.1870000000000001</v>
      </c>
      <c r="D500">
        <v>1.478</v>
      </c>
      <c r="E500">
        <v>1.7709999999999999</v>
      </c>
      <c r="F500">
        <v>2.0609999999999999</v>
      </c>
      <c r="G500">
        <v>2.629</v>
      </c>
    </row>
    <row r="501" spans="1:7" x14ac:dyDescent="0.25">
      <c r="A501" s="4">
        <v>41424</v>
      </c>
      <c r="B501">
        <v>1.0740000000000001</v>
      </c>
      <c r="C501" s="5">
        <v>1.1870000000000001</v>
      </c>
      <c r="D501">
        <v>1.476</v>
      </c>
      <c r="E501">
        <v>1.7709999999999999</v>
      </c>
      <c r="F501">
        <v>2.0630000000000002</v>
      </c>
      <c r="G501">
        <v>2.637</v>
      </c>
    </row>
    <row r="502" spans="1:7" x14ac:dyDescent="0.25">
      <c r="A502" s="4">
        <v>41423</v>
      </c>
      <c r="B502">
        <v>1.073</v>
      </c>
      <c r="C502" s="5">
        <v>1.1830000000000001</v>
      </c>
      <c r="D502">
        <v>1.4750000000000001</v>
      </c>
      <c r="E502">
        <v>1.776</v>
      </c>
      <c r="F502">
        <v>2.0659999999999998</v>
      </c>
      <c r="G502">
        <v>2.6429999999999998</v>
      </c>
    </row>
    <row r="503" spans="1:7" x14ac:dyDescent="0.25">
      <c r="A503" s="4">
        <v>41422</v>
      </c>
      <c r="B503">
        <v>1.0640000000000001</v>
      </c>
      <c r="C503" s="5">
        <v>1.1779999999999999</v>
      </c>
      <c r="D503">
        <v>1.4750000000000001</v>
      </c>
      <c r="E503">
        <v>1.78</v>
      </c>
      <c r="F503">
        <v>2.0739999999999998</v>
      </c>
      <c r="G503">
        <v>2.6630000000000003</v>
      </c>
    </row>
    <row r="504" spans="1:7" x14ac:dyDescent="0.25">
      <c r="A504" s="4">
        <v>41421</v>
      </c>
      <c r="B504">
        <v>1.0389999999999999</v>
      </c>
      <c r="C504" s="5">
        <v>1.149</v>
      </c>
      <c r="D504">
        <v>1.3959999999999999</v>
      </c>
      <c r="E504">
        <v>1.6919999999999999</v>
      </c>
      <c r="F504">
        <v>1.9790000000000001</v>
      </c>
      <c r="G504">
        <v>2.5859999999999999</v>
      </c>
    </row>
    <row r="505" spans="1:7" x14ac:dyDescent="0.25">
      <c r="A505" s="4">
        <v>41418</v>
      </c>
      <c r="B505">
        <v>1.026</v>
      </c>
      <c r="C505" s="5">
        <v>1.139</v>
      </c>
      <c r="D505">
        <v>1.371</v>
      </c>
      <c r="E505">
        <v>1.6560000000000001</v>
      </c>
      <c r="F505">
        <v>1.948</v>
      </c>
      <c r="G505">
        <v>2.5649999999999999</v>
      </c>
    </row>
    <row r="506" spans="1:7" x14ac:dyDescent="0.25">
      <c r="A506" s="4">
        <v>41417</v>
      </c>
      <c r="B506">
        <v>1.03</v>
      </c>
      <c r="C506" s="5">
        <v>1.1439999999999999</v>
      </c>
      <c r="D506">
        <v>1.377</v>
      </c>
      <c r="E506">
        <v>1.6640000000000001</v>
      </c>
      <c r="F506">
        <v>1.9569999999999999</v>
      </c>
      <c r="G506">
        <v>2.5709999999999997</v>
      </c>
    </row>
    <row r="507" spans="1:7" x14ac:dyDescent="0.25">
      <c r="A507" s="4">
        <v>41416</v>
      </c>
      <c r="B507">
        <v>1.0289999999999999</v>
      </c>
      <c r="C507" s="5">
        <v>1.1479999999999999</v>
      </c>
      <c r="D507">
        <v>1.3820000000000001</v>
      </c>
      <c r="E507">
        <v>1.67</v>
      </c>
      <c r="F507">
        <v>1.964</v>
      </c>
      <c r="G507">
        <v>2.5680000000000001</v>
      </c>
    </row>
    <row r="508" spans="1:7" x14ac:dyDescent="0.25">
      <c r="A508" s="4">
        <v>41415</v>
      </c>
      <c r="B508">
        <v>1.006</v>
      </c>
      <c r="C508" s="5">
        <v>1.121</v>
      </c>
      <c r="D508">
        <v>1.3320000000000001</v>
      </c>
      <c r="E508">
        <v>1.613</v>
      </c>
      <c r="F508">
        <v>1.907</v>
      </c>
      <c r="G508">
        <v>2.5249999999999999</v>
      </c>
    </row>
    <row r="509" spans="1:7" x14ac:dyDescent="0.25">
      <c r="A509" s="4">
        <v>41414</v>
      </c>
      <c r="B509">
        <v>1.006</v>
      </c>
      <c r="C509" s="5">
        <v>1.121</v>
      </c>
      <c r="D509">
        <v>1.353</v>
      </c>
      <c r="E509">
        <v>1.627</v>
      </c>
      <c r="F509">
        <v>1.9180000000000001</v>
      </c>
      <c r="G509">
        <v>2.5270000000000001</v>
      </c>
    </row>
    <row r="510" spans="1:7" x14ac:dyDescent="0.25">
      <c r="A510" s="4">
        <v>41411</v>
      </c>
      <c r="B510">
        <v>1.0049999999999999</v>
      </c>
      <c r="C510" s="5">
        <v>1.117</v>
      </c>
      <c r="D510">
        <v>1.353</v>
      </c>
      <c r="E510">
        <v>1.6259999999999999</v>
      </c>
      <c r="F510">
        <v>1.919</v>
      </c>
      <c r="G510">
        <v>2.5249999999999999</v>
      </c>
    </row>
    <row r="511" spans="1:7" x14ac:dyDescent="0.25">
      <c r="A511" s="4">
        <v>41410</v>
      </c>
      <c r="B511">
        <v>1.0069999999999999</v>
      </c>
      <c r="C511" s="5">
        <v>1.125</v>
      </c>
      <c r="D511">
        <v>1.3280000000000001</v>
      </c>
      <c r="E511">
        <v>1.5939999999999999</v>
      </c>
      <c r="F511">
        <v>1.883</v>
      </c>
      <c r="G511">
        <v>2.492</v>
      </c>
    </row>
    <row r="512" spans="1:7" x14ac:dyDescent="0.25">
      <c r="A512" s="4">
        <v>41409</v>
      </c>
      <c r="B512">
        <v>1.0249999999999999</v>
      </c>
      <c r="C512" s="5">
        <v>1.1479999999999999</v>
      </c>
      <c r="D512">
        <v>1.363</v>
      </c>
      <c r="E512">
        <v>1.6240000000000001</v>
      </c>
      <c r="F512">
        <v>1.9180000000000001</v>
      </c>
      <c r="G512">
        <v>2.5310000000000001</v>
      </c>
    </row>
    <row r="513" spans="1:7" x14ac:dyDescent="0.25">
      <c r="A513" s="4">
        <v>41408</v>
      </c>
      <c r="B513">
        <v>1.0369999999999999</v>
      </c>
      <c r="C513" s="5">
        <v>1.1619999999999999</v>
      </c>
      <c r="D513">
        <v>1.3940000000000001</v>
      </c>
      <c r="E513">
        <v>1.6600000000000001</v>
      </c>
      <c r="F513">
        <v>1.9550000000000001</v>
      </c>
      <c r="G513">
        <v>2.56</v>
      </c>
    </row>
    <row r="514" spans="1:7" x14ac:dyDescent="0.25">
      <c r="A514" s="4">
        <v>41407</v>
      </c>
      <c r="B514">
        <v>1.0129999999999999</v>
      </c>
      <c r="C514" s="5">
        <v>1.135</v>
      </c>
      <c r="D514">
        <v>1.35</v>
      </c>
      <c r="E514">
        <v>1.609</v>
      </c>
      <c r="F514">
        <v>1.9060000000000001</v>
      </c>
      <c r="G514">
        <v>2.5300000000000002</v>
      </c>
    </row>
    <row r="515" spans="1:7" x14ac:dyDescent="0.25">
      <c r="A515" s="4">
        <v>41404</v>
      </c>
      <c r="B515">
        <v>1.0029999999999999</v>
      </c>
      <c r="C515" s="5">
        <v>1.1240000000000001</v>
      </c>
      <c r="D515">
        <v>1.3360000000000001</v>
      </c>
      <c r="E515">
        <v>1.585</v>
      </c>
      <c r="F515">
        <v>1.8839999999999999</v>
      </c>
      <c r="G515">
        <v>2.5110000000000001</v>
      </c>
    </row>
    <row r="516" spans="1:7" x14ac:dyDescent="0.25">
      <c r="A516" s="4">
        <v>41403</v>
      </c>
      <c r="B516">
        <v>0.96899999999999997</v>
      </c>
      <c r="C516" s="5">
        <v>1.079</v>
      </c>
      <c r="D516">
        <v>1.2610000000000001</v>
      </c>
      <c r="E516">
        <v>1.4969999999999999</v>
      </c>
      <c r="F516">
        <v>1.7970000000000002</v>
      </c>
      <c r="G516">
        <v>2.4460000000000002</v>
      </c>
    </row>
    <row r="517" spans="1:7" x14ac:dyDescent="0.25">
      <c r="A517" s="4">
        <v>41402</v>
      </c>
      <c r="B517">
        <v>0.97299999999999998</v>
      </c>
      <c r="C517" s="5">
        <v>1.081</v>
      </c>
      <c r="D517">
        <v>1.2669999999999999</v>
      </c>
      <c r="E517">
        <v>1.504</v>
      </c>
      <c r="F517">
        <v>1.806</v>
      </c>
      <c r="G517">
        <v>2.4630000000000001</v>
      </c>
    </row>
    <row r="518" spans="1:7" x14ac:dyDescent="0.25">
      <c r="A518" s="4">
        <v>41401</v>
      </c>
      <c r="B518">
        <v>0.97499999999999998</v>
      </c>
      <c r="C518" s="5">
        <v>1.083</v>
      </c>
      <c r="D518">
        <v>1.2749999999999999</v>
      </c>
      <c r="E518">
        <v>1.5169999999999999</v>
      </c>
      <c r="F518">
        <v>1.821</v>
      </c>
      <c r="G518">
        <v>2.4779999999999998</v>
      </c>
    </row>
    <row r="519" spans="1:7" x14ac:dyDescent="0.25">
      <c r="A519" s="4">
        <v>41400</v>
      </c>
      <c r="B519">
        <v>0.97399999999999998</v>
      </c>
      <c r="C519" s="5">
        <v>1.08</v>
      </c>
      <c r="D519">
        <v>1.262</v>
      </c>
      <c r="E519">
        <v>1.4950000000000001</v>
      </c>
      <c r="F519">
        <v>1.7970000000000002</v>
      </c>
      <c r="G519">
        <v>2.4660000000000002</v>
      </c>
    </row>
    <row r="520" spans="1:7" x14ac:dyDescent="0.25">
      <c r="A520" s="4">
        <v>41397</v>
      </c>
      <c r="B520">
        <v>0.95899999999999996</v>
      </c>
      <c r="C520" s="5">
        <v>1.0649999999999999</v>
      </c>
      <c r="D520">
        <v>1.232</v>
      </c>
      <c r="E520">
        <v>1.4670000000000001</v>
      </c>
      <c r="F520">
        <v>1.7669999999999999</v>
      </c>
      <c r="G520">
        <v>2.4359999999999999</v>
      </c>
    </row>
    <row r="521" spans="1:7" x14ac:dyDescent="0.25">
      <c r="A521" s="4">
        <v>41396</v>
      </c>
      <c r="B521">
        <v>0.91100000000000003</v>
      </c>
      <c r="C521" s="5">
        <v>1.0049999999999999</v>
      </c>
      <c r="D521">
        <v>1.149</v>
      </c>
      <c r="E521">
        <v>1.3740000000000001</v>
      </c>
      <c r="F521">
        <v>1.67</v>
      </c>
      <c r="G521">
        <v>2.3490000000000002</v>
      </c>
    </row>
    <row r="522" spans="1:7" x14ac:dyDescent="0.25">
      <c r="A522" s="4">
        <v>41395</v>
      </c>
      <c r="B522">
        <v>0.91100000000000003</v>
      </c>
      <c r="C522" s="5">
        <v>1.0049999999999999</v>
      </c>
      <c r="D522">
        <v>1.1539999999999999</v>
      </c>
      <c r="E522">
        <v>1.3820000000000001</v>
      </c>
      <c r="F522">
        <v>1.679</v>
      </c>
      <c r="G522">
        <v>2.35</v>
      </c>
    </row>
    <row r="523" spans="1:7" x14ac:dyDescent="0.25">
      <c r="A523" s="4">
        <v>41394</v>
      </c>
      <c r="B523">
        <v>0.92</v>
      </c>
      <c r="C523" s="5">
        <v>1.0149999999999999</v>
      </c>
      <c r="D523">
        <v>1.1619999999999999</v>
      </c>
      <c r="E523">
        <v>1.397</v>
      </c>
      <c r="F523">
        <v>1.6949999999999998</v>
      </c>
      <c r="G523">
        <v>2.3689999999999998</v>
      </c>
    </row>
    <row r="524" spans="1:7" x14ac:dyDescent="0.25">
      <c r="A524" s="4">
        <v>41393</v>
      </c>
      <c r="B524">
        <v>0.92900000000000005</v>
      </c>
      <c r="C524" s="5">
        <v>1.022</v>
      </c>
      <c r="D524">
        <v>1.173</v>
      </c>
      <c r="E524">
        <v>1.3980000000000001</v>
      </c>
      <c r="F524">
        <v>1.698</v>
      </c>
      <c r="G524">
        <v>2.3650000000000002</v>
      </c>
    </row>
    <row r="525" spans="1:7" x14ac:dyDescent="0.25">
      <c r="A525" s="4">
        <v>41390</v>
      </c>
      <c r="B525">
        <v>0.93200000000000005</v>
      </c>
      <c r="C525" s="5">
        <v>1.0209999999999999</v>
      </c>
      <c r="D525">
        <v>1.177</v>
      </c>
      <c r="E525">
        <v>1.397</v>
      </c>
      <c r="F525">
        <v>1.702</v>
      </c>
      <c r="G525">
        <v>2.3730000000000002</v>
      </c>
    </row>
    <row r="526" spans="1:7" x14ac:dyDescent="0.25">
      <c r="A526" s="4">
        <v>41389</v>
      </c>
      <c r="B526">
        <v>0.94199999999999995</v>
      </c>
      <c r="C526" s="5">
        <v>1.038</v>
      </c>
      <c r="D526">
        <v>1.2030000000000001</v>
      </c>
      <c r="E526">
        <v>1.4359999999999999</v>
      </c>
      <c r="F526">
        <v>1.74</v>
      </c>
      <c r="G526">
        <v>2.403</v>
      </c>
    </row>
    <row r="527" spans="1:7" x14ac:dyDescent="0.25">
      <c r="A527" s="4">
        <v>41388</v>
      </c>
      <c r="B527">
        <v>0.94199999999999995</v>
      </c>
      <c r="C527" s="5">
        <v>1.034</v>
      </c>
      <c r="D527">
        <v>1.1919999999999999</v>
      </c>
      <c r="E527">
        <v>1.419</v>
      </c>
      <c r="F527">
        <v>1.7210000000000001</v>
      </c>
      <c r="G527">
        <v>2.3769999999999998</v>
      </c>
    </row>
    <row r="528" spans="1:7" x14ac:dyDescent="0.25">
      <c r="A528" s="4">
        <v>41387</v>
      </c>
      <c r="B528">
        <v>0.94099999999999995</v>
      </c>
      <c r="C528" s="5">
        <v>1.0249999999999999</v>
      </c>
      <c r="D528">
        <v>1.1910000000000001</v>
      </c>
      <c r="E528">
        <v>1.421</v>
      </c>
      <c r="F528">
        <v>1.7229999999999999</v>
      </c>
      <c r="G528">
        <v>2.3759999999999999</v>
      </c>
    </row>
    <row r="529" spans="1:7" x14ac:dyDescent="0.25">
      <c r="A529" s="4">
        <v>41386</v>
      </c>
      <c r="B529">
        <v>0.93799999999999994</v>
      </c>
      <c r="C529" s="5">
        <v>1.0209999999999999</v>
      </c>
      <c r="D529">
        <v>1.18</v>
      </c>
      <c r="E529">
        <v>1.405</v>
      </c>
      <c r="F529">
        <v>1.702</v>
      </c>
      <c r="G529">
        <v>2.3639999999999999</v>
      </c>
    </row>
    <row r="530" spans="1:7" x14ac:dyDescent="0.25">
      <c r="A530" s="4">
        <v>41383</v>
      </c>
      <c r="B530">
        <v>0.93500000000000005</v>
      </c>
      <c r="C530" s="5">
        <v>1.0209999999999999</v>
      </c>
      <c r="D530">
        <v>1.1850000000000001</v>
      </c>
      <c r="E530">
        <v>1.4079999999999999</v>
      </c>
      <c r="F530">
        <v>1.708</v>
      </c>
      <c r="G530">
        <v>2.3559999999999999</v>
      </c>
    </row>
    <row r="531" spans="1:7" x14ac:dyDescent="0.25">
      <c r="A531" s="4">
        <v>41382</v>
      </c>
      <c r="B531">
        <v>0.93600000000000005</v>
      </c>
      <c r="C531" s="5">
        <v>1.0209999999999999</v>
      </c>
      <c r="D531">
        <v>1.1779999999999999</v>
      </c>
      <c r="E531">
        <v>1.403</v>
      </c>
      <c r="F531">
        <v>1.702</v>
      </c>
      <c r="G531">
        <v>2.35</v>
      </c>
    </row>
    <row r="532" spans="1:7" x14ac:dyDescent="0.25">
      <c r="A532" s="4">
        <v>41381</v>
      </c>
      <c r="B532">
        <v>0.92800000000000005</v>
      </c>
      <c r="C532" s="5">
        <v>1.0149999999999999</v>
      </c>
      <c r="D532">
        <v>1.177</v>
      </c>
      <c r="E532">
        <v>1.4119999999999999</v>
      </c>
      <c r="F532">
        <v>1.7090000000000001</v>
      </c>
      <c r="G532">
        <v>2.3580000000000001</v>
      </c>
    </row>
    <row r="533" spans="1:7" x14ac:dyDescent="0.25">
      <c r="A533" s="4">
        <v>41380</v>
      </c>
      <c r="B533">
        <v>0.93500000000000005</v>
      </c>
      <c r="C533" s="5">
        <v>1.0189999999999999</v>
      </c>
      <c r="D533">
        <v>1.1930000000000001</v>
      </c>
      <c r="E533">
        <v>1.4330000000000001</v>
      </c>
      <c r="F533">
        <v>1.7349999999999999</v>
      </c>
      <c r="G533">
        <v>2.38</v>
      </c>
    </row>
    <row r="534" spans="1:7" x14ac:dyDescent="0.25">
      <c r="A534" s="4">
        <v>41379</v>
      </c>
      <c r="B534">
        <v>0.93200000000000005</v>
      </c>
      <c r="C534" s="5">
        <v>1.014</v>
      </c>
      <c r="D534">
        <v>1.1719999999999999</v>
      </c>
      <c r="E534">
        <v>1.4060000000000001</v>
      </c>
      <c r="F534">
        <v>1.7069999999999999</v>
      </c>
      <c r="G534">
        <v>2.3570000000000002</v>
      </c>
    </row>
    <row r="535" spans="1:7" x14ac:dyDescent="0.25">
      <c r="A535" s="4"/>
      <c r="C535" s="5"/>
    </row>
  </sheetData>
  <phoneticPr fontId="5" type="noConversion"/>
  <pageMargins left="0.7" right="0.7" top="0.75" bottom="0.75" header="0.3" footer="0.3"/>
  <pageSetup orientation="portrait"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
  <dimension ref="A1:DW508"/>
  <sheetViews>
    <sheetView topLeftCell="A22" workbookViewId="0">
      <selection activeCell="F2" sqref="F2"/>
    </sheetView>
  </sheetViews>
  <sheetFormatPr defaultRowHeight="15" x14ac:dyDescent="0.25"/>
  <cols>
    <col min="1" max="1" width="10.7109375" bestFit="1" customWidth="1"/>
    <col min="2" max="2" width="13.42578125" bestFit="1" customWidth="1"/>
    <col min="3" max="3" width="9.7109375" bestFit="1" customWidth="1"/>
  </cols>
  <sheetData>
    <row r="1" spans="1:127" x14ac:dyDescent="0.25">
      <c r="A1" s="9" t="e">
        <f ca="1">MID([1]!getformula(A2),SEARCH("rows=",[1]!getformula(A2),1)+5,LEN([1]!getformula(A2))-SEARCH("rows=",[1]!getformula(A2),1)-6)</f>
        <v>#VALUE!</v>
      </c>
      <c r="B1" t="str">
        <f ca="1">Canada!G43</f>
        <v>#N/A Invalid Security</v>
      </c>
      <c r="C1" t="str">
        <f ca="1">Canada!H43</f>
        <v>#N/A Invalid Security</v>
      </c>
      <c r="D1" t="str">
        <f ca="1">Canada!I43</f>
        <v>BAZ5</v>
      </c>
      <c r="E1" t="str">
        <f ca="1">Canada!J43</f>
        <v>BAH6</v>
      </c>
      <c r="F1" t="str">
        <f ca="1">Canada!K43</f>
        <v>BAM6</v>
      </c>
      <c r="G1" t="str">
        <f ca="1">Canada!L43</f>
        <v>BAU6</v>
      </c>
      <c r="H1" t="str">
        <f ca="1">Canada!M43</f>
        <v>BAZ6</v>
      </c>
      <c r="I1" t="str">
        <f ca="1">Canada!N43</f>
        <v>BAH7</v>
      </c>
      <c r="J1" t="str">
        <f ca="1">Canada!O43</f>
        <v>BAM7</v>
      </c>
      <c r="K1" t="str">
        <f ca="1">Canada!P43</f>
        <v>BAU7</v>
      </c>
      <c r="L1" t="str">
        <f ca="1">Canada!Q43</f>
        <v>BAZ7</v>
      </c>
      <c r="M1">
        <f>Canada!R43</f>
        <v>0</v>
      </c>
      <c r="N1">
        <f>Canada!S43</f>
        <v>0</v>
      </c>
      <c r="O1">
        <f>Canada!T43</f>
        <v>0</v>
      </c>
      <c r="P1">
        <f>Canada!U43</f>
        <v>0</v>
      </c>
      <c r="Q1">
        <f>Canada!V43</f>
        <v>0</v>
      </c>
      <c r="R1">
        <f>Canada!W43</f>
        <v>0</v>
      </c>
      <c r="S1">
        <f>Canada!X43</f>
        <v>0</v>
      </c>
      <c r="T1">
        <f>Canada!Y43</f>
        <v>0</v>
      </c>
      <c r="U1">
        <f>Canada!Z43</f>
        <v>0</v>
      </c>
      <c r="W1" s="4"/>
      <c r="X1" s="4"/>
      <c r="Y1" s="4"/>
      <c r="Z1" s="4"/>
      <c r="AA1" s="4"/>
      <c r="AB1" s="4"/>
      <c r="AC1" s="4"/>
      <c r="AD1" s="4"/>
      <c r="AE1" s="4"/>
      <c r="AF1" s="4"/>
      <c r="AG1" s="4"/>
      <c r="AH1" s="4"/>
      <c r="AI1" s="4"/>
      <c r="AJ1" s="4"/>
      <c r="AK1" s="4"/>
      <c r="AL1" s="4"/>
      <c r="AM1" s="4"/>
      <c r="AN1" s="4"/>
      <c r="AO1" s="4"/>
      <c r="AP1" s="4"/>
      <c r="AQ1" s="4"/>
      <c r="AR1" s="4"/>
      <c r="AS1" s="4"/>
      <c r="AT1" s="4"/>
      <c r="AU1" s="4"/>
      <c r="AV1" s="4"/>
      <c r="AW1" s="4"/>
      <c r="AX1" s="4"/>
      <c r="AY1" s="4"/>
      <c r="AZ1" s="4"/>
      <c r="BA1" s="4"/>
      <c r="BB1" s="4"/>
      <c r="BC1" s="4"/>
      <c r="BD1" s="4"/>
      <c r="BE1" s="4"/>
      <c r="BF1" s="4"/>
      <c r="BG1" s="4"/>
      <c r="BH1" s="4"/>
      <c r="BI1" s="4"/>
      <c r="BJ1" s="4"/>
      <c r="BK1" s="4"/>
      <c r="BL1" s="4"/>
      <c r="BM1" s="4"/>
      <c r="BN1" s="4"/>
      <c r="BO1" s="4"/>
      <c r="BP1" s="4"/>
      <c r="BQ1" s="4"/>
      <c r="BR1" s="4"/>
      <c r="BS1" s="4"/>
      <c r="BT1" s="4"/>
      <c r="BU1" s="4"/>
      <c r="BV1" s="4"/>
      <c r="BW1" s="4"/>
      <c r="BX1" s="4"/>
      <c r="BY1" s="4"/>
      <c r="BZ1" s="4"/>
      <c r="CA1" s="4"/>
      <c r="CB1" s="4"/>
      <c r="CC1" s="4"/>
      <c r="CD1" s="4"/>
      <c r="CE1" s="4"/>
      <c r="CF1" s="4"/>
      <c r="CG1" s="4"/>
      <c r="CH1" s="4"/>
      <c r="CI1" s="4"/>
      <c r="CJ1" s="4"/>
      <c r="CK1" s="4"/>
      <c r="CL1" s="4"/>
      <c r="CM1" s="4"/>
      <c r="CN1" s="4"/>
      <c r="CO1" s="4"/>
      <c r="CP1" s="4"/>
      <c r="CQ1" s="4"/>
      <c r="CR1" s="4"/>
      <c r="CS1" s="4"/>
      <c r="CT1" s="4"/>
      <c r="CU1" s="4"/>
      <c r="CV1" s="4"/>
      <c r="CW1" s="4"/>
      <c r="CX1" s="4"/>
      <c r="CY1" s="4"/>
      <c r="CZ1" s="4"/>
      <c r="DA1" s="4"/>
      <c r="DB1" s="4"/>
      <c r="DC1" s="4"/>
      <c r="DD1" s="4"/>
      <c r="DE1" s="4"/>
      <c r="DF1" s="4"/>
      <c r="DG1" s="4"/>
      <c r="DH1" s="4"/>
      <c r="DI1" s="4"/>
      <c r="DJ1" s="4"/>
      <c r="DK1" s="4"/>
      <c r="DL1" s="4"/>
      <c r="DM1" s="4"/>
      <c r="DN1" s="4"/>
      <c r="DO1" s="4"/>
      <c r="DP1" s="4"/>
      <c r="DQ1" s="4"/>
      <c r="DR1" s="4"/>
      <c r="DS1" s="4"/>
      <c r="DT1" s="4"/>
      <c r="DU1" s="4"/>
      <c r="DV1" s="4"/>
      <c r="DW1" s="4"/>
    </row>
    <row r="2" spans="1:127" x14ac:dyDescent="0.25">
      <c r="A2" s="13" t="str">
        <f ca="1">_xll.BDH(B1&amp;" comdty","px last",Canada!$K$41,Canada!$N$41,"Sort=D")</f>
        <v>#N/A Invalid Security</v>
      </c>
      <c r="C2" t="str">
        <f ca="1">_xll.BDH(C1&amp;" comdty","px last",Canada!$K$41,Canada!$N$41,"Dts=H","Sort=D")</f>
        <v>#N/A Invalid Security</v>
      </c>
      <c r="D2" t="str">
        <f ca="1">_xll.BDH(D1&amp;" comdty","px last",Canada!$K$41,Canada!$N$41,"Dts=H","Sort=D")</f>
        <v>#N/A Requesting Data...</v>
      </c>
      <c r="E2" t="str">
        <f ca="1">_xll.BDH(E1&amp;" comdty","px last",Canada!$K$41,Canada!$N$41,"Dts=H","Sort=D")</f>
        <v>#N/A Requesting Data...</v>
      </c>
      <c r="F2" t="str">
        <f ca="1">_xll.BDH(F1&amp;" comdty","px last",Canada!$K$41,Canada!$N$41,"Dts=H","Sort=D")</f>
        <v>#N/A Requesting Data...</v>
      </c>
      <c r="G2" t="str">
        <f ca="1">_xll.BDH(G1&amp;" comdty","px last",Canada!$K$41,Canada!$N$41,"Dts=H","Sort=D")</f>
        <v>#N/A Requesting Data...</v>
      </c>
      <c r="H2" t="str">
        <f ca="1">_xll.BDH(H1&amp;" comdty","px last",Canada!$K$41,Canada!$N$41,"Dts=H","Sort=D")</f>
        <v>#N/A Requesting Data...</v>
      </c>
      <c r="I2" t="str">
        <f ca="1">_xll.BDH(I1&amp;" comdty","px last",Canada!$K$41,Canada!$N$41,"Dts=H","Sort=D")</f>
        <v>#N/A Requesting Data...</v>
      </c>
      <c r="J2" t="str">
        <f ca="1">_xll.BDH(J1&amp;" comdty","px last",Canada!$K$41,Canada!$N$41,"Dts=H","Sort=D")</f>
        <v>#N/A Requesting Data...</v>
      </c>
      <c r="K2" t="str">
        <f ca="1">_xll.BDH(K1&amp;" comdty","px last",Canada!$K$41,Canada!$N$41,"Dts=H","Sort=D")</f>
        <v>#N/A Requesting Data...</v>
      </c>
      <c r="L2" t="str">
        <f ca="1">_xll.BDH(L1&amp;" comdty","px last",Canada!$K$41,Canada!$N$41,"Dts=H","Sort=D")</f>
        <v>#N/A Requesting Data...</v>
      </c>
      <c r="M2" t="str">
        <f>_xll.BDH(M1&amp;" comdty","px last",Canada!$K$41,Canada!$N$41,"Dts=H","Sort=D","cols=1;rows=63")</f>
        <v>#N/A Requesting Data...</v>
      </c>
      <c r="N2" t="str">
        <f>_xll.BDH(N1&amp;" comdty","px last",Canada!$K$41,Canada!$N$41,"Dts=H","Sort=D","cols=1;rows=63")</f>
        <v>#N/A Requesting Data...</v>
      </c>
      <c r="O2" t="str">
        <f>_xll.BDH(O1&amp;" comdty","px last",Canada!$K$41,Canada!$N$41,"Dts=H","Sort=D","cols=1;rows=63")</f>
        <v>#N/A Requesting Data...</v>
      </c>
      <c r="P2" t="str">
        <f>_xll.BDH(P1&amp;" comdty","px last",Canada!$K$41,Canada!$N$41,"Dts=H","Sort=D","cols=1;rows=63")</f>
        <v>#N/A Requesting Data...</v>
      </c>
      <c r="Q2" t="str">
        <f>_xll.BDH(Q1&amp;" comdty","px last",Canada!$K$41,Canada!$N$41,"Dts=H","Sort=D","cols=1;rows=63")</f>
        <v>#N/A Requesting Data...</v>
      </c>
      <c r="R2" t="str">
        <f>_xll.BDH(R1&amp;" comdty","px last",Canada!$K$41,Canada!$N$41,"Dts=H","Sort=D","cols=1;rows=63")</f>
        <v>#N/A Requesting Data...</v>
      </c>
      <c r="S2" t="str">
        <f>_xll.BDH(S1&amp;" comdty","px last",Canada!$K$41,Canada!$N$41,"Dts=H","Sort=D","cols=1;rows=63")</f>
        <v>#N/A Requesting Data...</v>
      </c>
      <c r="T2" t="str">
        <f>_xll.BDH(T1&amp;" comdty","px last",Canada!$K$41,Canada!$N$41,"Dts=H","Sort=D","cols=1;rows=63")</f>
        <v>#N/A Requesting Data...</v>
      </c>
      <c r="U2" t="str">
        <f>_xll.BDH(U1&amp;" comdty","px last",Canada!$K$41,Canada!$N$41,"Dts=H","Sort=D","cols=1;rows=63")</f>
        <v>#N/A Requesting Data...</v>
      </c>
    </row>
    <row r="3" spans="1:127" x14ac:dyDescent="0.25">
      <c r="A3" s="4"/>
      <c r="M3">
        <v>2.9710999999999999</v>
      </c>
      <c r="N3">
        <v>2.9710999999999999</v>
      </c>
      <c r="O3">
        <v>2.9710999999999999</v>
      </c>
      <c r="P3">
        <v>2.9710999999999999</v>
      </c>
      <c r="Q3">
        <v>2.9710999999999999</v>
      </c>
      <c r="R3">
        <v>2.9710999999999999</v>
      </c>
      <c r="S3">
        <v>2.9710999999999999</v>
      </c>
      <c r="T3">
        <v>2.9710999999999999</v>
      </c>
      <c r="U3">
        <v>2.9710999999999999</v>
      </c>
    </row>
    <row r="4" spans="1:127" x14ac:dyDescent="0.25">
      <c r="A4" s="4"/>
      <c r="M4">
        <v>2.9842</v>
      </c>
      <c r="N4">
        <v>2.9842</v>
      </c>
      <c r="O4">
        <v>2.9842</v>
      </c>
      <c r="P4">
        <v>2.9842</v>
      </c>
      <c r="Q4">
        <v>2.9842</v>
      </c>
      <c r="R4">
        <v>2.9842</v>
      </c>
      <c r="S4">
        <v>2.9842</v>
      </c>
      <c r="T4">
        <v>2.9842</v>
      </c>
      <c r="U4">
        <v>2.9842</v>
      </c>
    </row>
    <row r="5" spans="1:127" x14ac:dyDescent="0.25">
      <c r="A5" s="4"/>
      <c r="M5">
        <v>2.9820000000000002</v>
      </c>
      <c r="N5">
        <v>2.9820000000000002</v>
      </c>
      <c r="O5">
        <v>2.9820000000000002</v>
      </c>
      <c r="P5">
        <v>2.9820000000000002</v>
      </c>
      <c r="Q5">
        <v>2.9820000000000002</v>
      </c>
      <c r="R5">
        <v>2.9820000000000002</v>
      </c>
      <c r="S5">
        <v>2.9820000000000002</v>
      </c>
      <c r="T5">
        <v>2.9820000000000002</v>
      </c>
      <c r="U5">
        <v>2.9820000000000002</v>
      </c>
    </row>
    <row r="6" spans="1:127" x14ac:dyDescent="0.25">
      <c r="A6" s="4"/>
      <c r="M6">
        <v>2.9632000000000001</v>
      </c>
      <c r="N6">
        <v>2.9632000000000001</v>
      </c>
      <c r="O6">
        <v>2.9632000000000001</v>
      </c>
      <c r="P6">
        <v>2.9632000000000001</v>
      </c>
      <c r="Q6">
        <v>2.9632000000000001</v>
      </c>
      <c r="R6">
        <v>2.9632000000000001</v>
      </c>
      <c r="S6">
        <v>2.9632000000000001</v>
      </c>
      <c r="T6">
        <v>2.9632000000000001</v>
      </c>
      <c r="U6">
        <v>2.9632000000000001</v>
      </c>
    </row>
    <row r="7" spans="1:127" x14ac:dyDescent="0.25">
      <c r="A7" s="4"/>
      <c r="M7">
        <v>2.94</v>
      </c>
      <c r="N7">
        <v>2.94</v>
      </c>
      <c r="O7">
        <v>2.94</v>
      </c>
      <c r="P7">
        <v>2.94</v>
      </c>
      <c r="Q7">
        <v>2.94</v>
      </c>
      <c r="R7">
        <v>2.94</v>
      </c>
      <c r="S7">
        <v>2.94</v>
      </c>
      <c r="T7">
        <v>2.94</v>
      </c>
      <c r="U7">
        <v>2.94</v>
      </c>
    </row>
    <row r="8" spans="1:127" x14ac:dyDescent="0.25">
      <c r="A8" s="4"/>
      <c r="M8">
        <v>2.9340999999999999</v>
      </c>
      <c r="N8">
        <v>2.9340999999999999</v>
      </c>
      <c r="O8">
        <v>2.9340999999999999</v>
      </c>
      <c r="P8">
        <v>2.9340999999999999</v>
      </c>
      <c r="Q8">
        <v>2.9340999999999999</v>
      </c>
      <c r="R8">
        <v>2.9340999999999999</v>
      </c>
      <c r="S8">
        <v>2.9340999999999999</v>
      </c>
      <c r="T8">
        <v>2.9340999999999999</v>
      </c>
      <c r="U8">
        <v>2.9340999999999999</v>
      </c>
    </row>
    <row r="9" spans="1:127" x14ac:dyDescent="0.25">
      <c r="A9" s="4"/>
      <c r="M9">
        <v>2.9398999999999997</v>
      </c>
      <c r="N9">
        <v>2.9398999999999997</v>
      </c>
      <c r="O9">
        <v>2.9398999999999997</v>
      </c>
      <c r="P9">
        <v>2.9398999999999997</v>
      </c>
      <c r="Q9">
        <v>2.9398999999999997</v>
      </c>
      <c r="R9">
        <v>2.9398999999999997</v>
      </c>
      <c r="S9">
        <v>2.9398999999999997</v>
      </c>
      <c r="T9">
        <v>2.9398999999999997</v>
      </c>
      <c r="U9">
        <v>2.9398999999999997</v>
      </c>
    </row>
    <row r="10" spans="1:127" x14ac:dyDescent="0.25">
      <c r="A10" s="4"/>
      <c r="M10">
        <v>2.9102999999999999</v>
      </c>
      <c r="N10">
        <v>2.9102999999999999</v>
      </c>
      <c r="O10">
        <v>2.9102999999999999</v>
      </c>
      <c r="P10">
        <v>2.9102999999999999</v>
      </c>
      <c r="Q10">
        <v>2.9102999999999999</v>
      </c>
      <c r="R10">
        <v>2.9102999999999999</v>
      </c>
      <c r="S10">
        <v>2.9102999999999999</v>
      </c>
      <c r="T10">
        <v>2.9102999999999999</v>
      </c>
      <c r="U10">
        <v>2.9102999999999999</v>
      </c>
    </row>
    <row r="11" spans="1:127" x14ac:dyDescent="0.25">
      <c r="A11" s="4"/>
      <c r="M11">
        <v>2.9419</v>
      </c>
      <c r="N11">
        <v>2.9419</v>
      </c>
      <c r="O11">
        <v>2.9419</v>
      </c>
      <c r="P11">
        <v>2.9419</v>
      </c>
      <c r="Q11">
        <v>2.9419</v>
      </c>
      <c r="R11">
        <v>2.9419</v>
      </c>
      <c r="S11">
        <v>2.9419</v>
      </c>
      <c r="T11">
        <v>2.9419</v>
      </c>
      <c r="U11">
        <v>2.9419</v>
      </c>
    </row>
    <row r="12" spans="1:127" x14ac:dyDescent="0.25">
      <c r="A12" s="4"/>
      <c r="M12">
        <v>2.9258999999999999</v>
      </c>
      <c r="N12">
        <v>2.9258999999999999</v>
      </c>
      <c r="O12">
        <v>2.9258999999999999</v>
      </c>
      <c r="P12">
        <v>2.9258999999999999</v>
      </c>
      <c r="Q12">
        <v>2.9258999999999999</v>
      </c>
      <c r="R12">
        <v>2.9258999999999999</v>
      </c>
      <c r="S12">
        <v>2.9258999999999999</v>
      </c>
      <c r="T12">
        <v>2.9258999999999999</v>
      </c>
      <c r="U12">
        <v>2.9258999999999999</v>
      </c>
    </row>
    <row r="13" spans="1:127" x14ac:dyDescent="0.25">
      <c r="A13" s="4"/>
      <c r="M13">
        <v>2.9422999999999999</v>
      </c>
      <c r="N13">
        <v>2.9422999999999999</v>
      </c>
      <c r="O13">
        <v>2.9422999999999999</v>
      </c>
      <c r="P13">
        <v>2.9422999999999999</v>
      </c>
      <c r="Q13">
        <v>2.9422999999999999</v>
      </c>
      <c r="R13">
        <v>2.9422999999999999</v>
      </c>
      <c r="S13">
        <v>2.9422999999999999</v>
      </c>
      <c r="T13">
        <v>2.9422999999999999</v>
      </c>
      <c r="U13">
        <v>2.9422999999999999</v>
      </c>
    </row>
    <row r="14" spans="1:127" x14ac:dyDescent="0.25">
      <c r="A14" s="4"/>
      <c r="M14">
        <v>2.9281999999999999</v>
      </c>
      <c r="N14">
        <v>2.9281999999999999</v>
      </c>
      <c r="O14">
        <v>2.9281999999999999</v>
      </c>
      <c r="P14">
        <v>2.9281999999999999</v>
      </c>
      <c r="Q14">
        <v>2.9281999999999999</v>
      </c>
      <c r="R14">
        <v>2.9281999999999999</v>
      </c>
      <c r="S14">
        <v>2.9281999999999999</v>
      </c>
      <c r="T14">
        <v>2.9281999999999999</v>
      </c>
      <c r="U14">
        <v>2.9281999999999999</v>
      </c>
    </row>
    <row r="15" spans="1:127" x14ac:dyDescent="0.25">
      <c r="A15" s="4"/>
      <c r="M15">
        <v>2.9112999999999998</v>
      </c>
      <c r="N15">
        <v>2.9112999999999998</v>
      </c>
      <c r="O15">
        <v>2.9112999999999998</v>
      </c>
      <c r="P15">
        <v>2.9112999999999998</v>
      </c>
      <c r="Q15">
        <v>2.9112999999999998</v>
      </c>
      <c r="R15">
        <v>2.9112999999999998</v>
      </c>
      <c r="S15">
        <v>2.9112999999999998</v>
      </c>
      <c r="T15">
        <v>2.9112999999999998</v>
      </c>
      <c r="U15">
        <v>2.9112999999999998</v>
      </c>
    </row>
    <row r="16" spans="1:127" x14ac:dyDescent="0.25">
      <c r="A16" s="4"/>
      <c r="M16">
        <v>2.9348999999999998</v>
      </c>
      <c r="N16">
        <v>2.9348999999999998</v>
      </c>
      <c r="O16">
        <v>2.9348999999999998</v>
      </c>
      <c r="P16">
        <v>2.9348999999999998</v>
      </c>
      <c r="Q16">
        <v>2.9348999999999998</v>
      </c>
      <c r="R16">
        <v>2.9348999999999998</v>
      </c>
      <c r="S16">
        <v>2.9348999999999998</v>
      </c>
      <c r="T16">
        <v>2.9348999999999998</v>
      </c>
      <c r="U16">
        <v>2.9348999999999998</v>
      </c>
    </row>
    <row r="17" spans="1:21" x14ac:dyDescent="0.25">
      <c r="A17" s="4"/>
      <c r="M17">
        <v>2.9767999999999999</v>
      </c>
      <c r="N17">
        <v>2.9767999999999999</v>
      </c>
      <c r="O17">
        <v>2.9767999999999999</v>
      </c>
      <c r="P17">
        <v>2.9767999999999999</v>
      </c>
      <c r="Q17">
        <v>2.9767999999999999</v>
      </c>
      <c r="R17">
        <v>2.9767999999999999</v>
      </c>
      <c r="S17">
        <v>2.9767999999999999</v>
      </c>
      <c r="T17">
        <v>2.9767999999999999</v>
      </c>
      <c r="U17">
        <v>2.9767999999999999</v>
      </c>
    </row>
    <row r="18" spans="1:21" x14ac:dyDescent="0.25">
      <c r="A18" s="4"/>
      <c r="M18">
        <v>2.9878</v>
      </c>
      <c r="N18">
        <v>2.9878</v>
      </c>
      <c r="O18">
        <v>2.9878</v>
      </c>
      <c r="P18">
        <v>2.9878</v>
      </c>
      <c r="Q18">
        <v>2.9878</v>
      </c>
      <c r="R18">
        <v>2.9878</v>
      </c>
      <c r="S18">
        <v>2.9878</v>
      </c>
      <c r="T18">
        <v>2.9878</v>
      </c>
      <c r="U18">
        <v>2.9878</v>
      </c>
    </row>
    <row r="19" spans="1:21" x14ac:dyDescent="0.25">
      <c r="A19" s="4"/>
      <c r="M19">
        <v>3.0308000000000002</v>
      </c>
      <c r="N19">
        <v>3.0308000000000002</v>
      </c>
      <c r="O19">
        <v>3.0308000000000002</v>
      </c>
      <c r="P19">
        <v>3.0308000000000002</v>
      </c>
      <c r="Q19">
        <v>3.0308000000000002</v>
      </c>
      <c r="R19">
        <v>3.0308000000000002</v>
      </c>
      <c r="S19">
        <v>3.0308000000000002</v>
      </c>
      <c r="T19">
        <v>3.0308000000000002</v>
      </c>
      <c r="U19">
        <v>3.0308000000000002</v>
      </c>
    </row>
    <row r="20" spans="1:21" x14ac:dyDescent="0.25">
      <c r="A20" s="4"/>
      <c r="M20">
        <v>3.0257999999999998</v>
      </c>
      <c r="N20">
        <v>3.0257999999999998</v>
      </c>
      <c r="O20">
        <v>3.0257999999999998</v>
      </c>
      <c r="P20">
        <v>3.0257999999999998</v>
      </c>
      <c r="Q20">
        <v>3.0257999999999998</v>
      </c>
      <c r="R20">
        <v>3.0257999999999998</v>
      </c>
      <c r="S20">
        <v>3.0257999999999998</v>
      </c>
      <c r="T20">
        <v>3.0257999999999998</v>
      </c>
      <c r="U20">
        <v>3.0257999999999998</v>
      </c>
    </row>
    <row r="21" spans="1:21" x14ac:dyDescent="0.25">
      <c r="A21" s="4"/>
      <c r="M21">
        <v>2.9969999999999999</v>
      </c>
      <c r="N21">
        <v>2.9969999999999999</v>
      </c>
      <c r="O21">
        <v>2.9969999999999999</v>
      </c>
      <c r="P21">
        <v>2.9969999999999999</v>
      </c>
      <c r="Q21">
        <v>2.9969999999999999</v>
      </c>
      <c r="R21">
        <v>2.9969999999999999</v>
      </c>
      <c r="S21">
        <v>2.9969999999999999</v>
      </c>
      <c r="T21">
        <v>2.9969999999999999</v>
      </c>
      <c r="U21">
        <v>2.9969999999999999</v>
      </c>
    </row>
    <row r="22" spans="1:21" x14ac:dyDescent="0.25">
      <c r="A22" s="4"/>
      <c r="M22">
        <v>2.9948999999999999</v>
      </c>
      <c r="N22">
        <v>2.9948999999999999</v>
      </c>
      <c r="O22">
        <v>2.9948999999999999</v>
      </c>
      <c r="P22">
        <v>2.9948999999999999</v>
      </c>
      <c r="Q22">
        <v>2.9948999999999999</v>
      </c>
      <c r="R22">
        <v>2.9948999999999999</v>
      </c>
      <c r="S22">
        <v>2.9948999999999999</v>
      </c>
      <c r="T22">
        <v>2.9948999999999999</v>
      </c>
      <c r="U22">
        <v>2.9948999999999999</v>
      </c>
    </row>
    <row r="23" spans="1:21" x14ac:dyDescent="0.25">
      <c r="A23" s="4"/>
      <c r="M23">
        <v>2.9802</v>
      </c>
      <c r="N23">
        <v>2.9802</v>
      </c>
      <c r="O23">
        <v>2.9802</v>
      </c>
      <c r="P23">
        <v>2.9802</v>
      </c>
      <c r="Q23">
        <v>2.9802</v>
      </c>
      <c r="R23">
        <v>2.9802</v>
      </c>
      <c r="S23">
        <v>2.9802</v>
      </c>
      <c r="T23">
        <v>2.9802</v>
      </c>
      <c r="U23">
        <v>2.9802</v>
      </c>
    </row>
    <row r="24" spans="1:21" x14ac:dyDescent="0.25">
      <c r="A24" s="4"/>
      <c r="M24">
        <v>2.9906999999999999</v>
      </c>
      <c r="N24">
        <v>2.9906999999999999</v>
      </c>
      <c r="O24">
        <v>2.9906999999999999</v>
      </c>
      <c r="P24">
        <v>2.9906999999999999</v>
      </c>
      <c r="Q24">
        <v>2.9906999999999999</v>
      </c>
      <c r="R24">
        <v>2.9906999999999999</v>
      </c>
      <c r="S24">
        <v>2.9906999999999999</v>
      </c>
      <c r="T24">
        <v>2.9906999999999999</v>
      </c>
      <c r="U24">
        <v>2.9906999999999999</v>
      </c>
    </row>
    <row r="25" spans="1:21" x14ac:dyDescent="0.25">
      <c r="A25" s="4"/>
      <c r="M25">
        <v>2.9660000000000002</v>
      </c>
      <c r="N25">
        <v>2.9660000000000002</v>
      </c>
      <c r="O25">
        <v>2.9660000000000002</v>
      </c>
      <c r="P25">
        <v>2.9660000000000002</v>
      </c>
      <c r="Q25">
        <v>2.9660000000000002</v>
      </c>
      <c r="R25">
        <v>2.9660000000000002</v>
      </c>
      <c r="S25">
        <v>2.9660000000000002</v>
      </c>
      <c r="T25">
        <v>2.9660000000000002</v>
      </c>
      <c r="U25">
        <v>2.9660000000000002</v>
      </c>
    </row>
    <row r="26" spans="1:21" x14ac:dyDescent="0.25">
      <c r="A26" s="4"/>
      <c r="M26">
        <v>2.9840999999999998</v>
      </c>
      <c r="N26">
        <v>2.9840999999999998</v>
      </c>
      <c r="O26">
        <v>2.9840999999999998</v>
      </c>
      <c r="P26">
        <v>2.9840999999999998</v>
      </c>
      <c r="Q26">
        <v>2.9840999999999998</v>
      </c>
      <c r="R26">
        <v>2.9840999999999998</v>
      </c>
      <c r="S26">
        <v>2.9840999999999998</v>
      </c>
      <c r="T26">
        <v>2.9840999999999998</v>
      </c>
      <c r="U26">
        <v>2.9840999999999998</v>
      </c>
    </row>
    <row r="27" spans="1:21" x14ac:dyDescent="0.25">
      <c r="A27" s="4"/>
      <c r="M27">
        <v>2.9736000000000002</v>
      </c>
      <c r="N27">
        <v>2.9736000000000002</v>
      </c>
      <c r="O27">
        <v>2.9736000000000002</v>
      </c>
      <c r="P27">
        <v>2.9736000000000002</v>
      </c>
      <c r="Q27">
        <v>2.9736000000000002</v>
      </c>
      <c r="R27">
        <v>2.9736000000000002</v>
      </c>
      <c r="S27">
        <v>2.9736000000000002</v>
      </c>
      <c r="T27">
        <v>2.9736000000000002</v>
      </c>
      <c r="U27">
        <v>2.9736000000000002</v>
      </c>
    </row>
    <row r="28" spans="1:21" x14ac:dyDescent="0.25">
      <c r="A28" s="4"/>
      <c r="M28">
        <v>2.9718</v>
      </c>
      <c r="N28">
        <v>2.9718</v>
      </c>
      <c r="O28">
        <v>2.9718</v>
      </c>
      <c r="P28">
        <v>2.9718</v>
      </c>
      <c r="Q28">
        <v>2.9718</v>
      </c>
      <c r="R28">
        <v>2.9718</v>
      </c>
      <c r="S28">
        <v>2.9718</v>
      </c>
      <c r="T28">
        <v>2.9718</v>
      </c>
      <c r="U28">
        <v>2.9718</v>
      </c>
    </row>
    <row r="29" spans="1:21" x14ac:dyDescent="0.25">
      <c r="A29" s="4"/>
      <c r="M29">
        <v>2.9622000000000002</v>
      </c>
      <c r="N29">
        <v>2.9622000000000002</v>
      </c>
      <c r="O29">
        <v>2.9622000000000002</v>
      </c>
      <c r="P29">
        <v>2.9622000000000002</v>
      </c>
      <c r="Q29">
        <v>2.9622000000000002</v>
      </c>
      <c r="R29">
        <v>2.9622000000000002</v>
      </c>
      <c r="S29">
        <v>2.9622000000000002</v>
      </c>
      <c r="T29">
        <v>2.9622000000000002</v>
      </c>
      <c r="U29">
        <v>2.9622000000000002</v>
      </c>
    </row>
    <row r="30" spans="1:21" x14ac:dyDescent="0.25">
      <c r="A30" s="4"/>
      <c r="M30">
        <v>2.9567999999999999</v>
      </c>
      <c r="N30">
        <v>2.9567999999999999</v>
      </c>
      <c r="O30">
        <v>2.9567999999999999</v>
      </c>
      <c r="P30">
        <v>2.9567999999999999</v>
      </c>
      <c r="Q30">
        <v>2.9567999999999999</v>
      </c>
      <c r="R30">
        <v>2.9567999999999999</v>
      </c>
      <c r="S30">
        <v>2.9567999999999999</v>
      </c>
      <c r="T30">
        <v>2.9567999999999999</v>
      </c>
      <c r="U30">
        <v>2.9567999999999999</v>
      </c>
    </row>
    <row r="31" spans="1:21" x14ac:dyDescent="0.25">
      <c r="A31" s="4"/>
      <c r="M31">
        <v>2.9561999999999999</v>
      </c>
      <c r="N31">
        <v>2.9561999999999999</v>
      </c>
      <c r="O31">
        <v>2.9561999999999999</v>
      </c>
      <c r="P31">
        <v>2.9561999999999999</v>
      </c>
      <c r="Q31">
        <v>2.9561999999999999</v>
      </c>
      <c r="R31">
        <v>2.9561999999999999</v>
      </c>
      <c r="S31">
        <v>2.9561999999999999</v>
      </c>
      <c r="T31">
        <v>2.9561999999999999</v>
      </c>
      <c r="U31">
        <v>2.9561999999999999</v>
      </c>
    </row>
    <row r="32" spans="1:21" x14ac:dyDescent="0.25">
      <c r="A32" s="4"/>
      <c r="M32">
        <v>2.9561999999999999</v>
      </c>
      <c r="N32">
        <v>2.9561999999999999</v>
      </c>
      <c r="O32">
        <v>2.9561999999999999</v>
      </c>
      <c r="P32">
        <v>2.9561999999999999</v>
      </c>
      <c r="Q32">
        <v>2.9561999999999999</v>
      </c>
      <c r="R32">
        <v>2.9561999999999999</v>
      </c>
      <c r="S32">
        <v>2.9561999999999999</v>
      </c>
      <c r="T32">
        <v>2.9561999999999999</v>
      </c>
      <c r="U32">
        <v>2.9561999999999999</v>
      </c>
    </row>
    <row r="33" spans="1:21" x14ac:dyDescent="0.25">
      <c r="A33" s="4"/>
      <c r="M33">
        <v>2.9514</v>
      </c>
      <c r="N33">
        <v>2.9514</v>
      </c>
      <c r="O33">
        <v>2.9514</v>
      </c>
      <c r="P33">
        <v>2.9514</v>
      </c>
      <c r="Q33">
        <v>2.9514</v>
      </c>
      <c r="R33">
        <v>2.9514</v>
      </c>
      <c r="S33">
        <v>2.9514</v>
      </c>
      <c r="T33">
        <v>2.9514</v>
      </c>
      <c r="U33">
        <v>2.9514</v>
      </c>
    </row>
    <row r="34" spans="1:21" x14ac:dyDescent="0.25">
      <c r="A34" s="4"/>
      <c r="M34">
        <v>2.9718999999999998</v>
      </c>
      <c r="N34">
        <v>2.9718999999999998</v>
      </c>
      <c r="O34">
        <v>2.9718999999999998</v>
      </c>
      <c r="P34">
        <v>2.9718999999999998</v>
      </c>
      <c r="Q34">
        <v>2.9718999999999998</v>
      </c>
      <c r="R34">
        <v>2.9718999999999998</v>
      </c>
      <c r="S34">
        <v>2.9718999999999998</v>
      </c>
      <c r="T34">
        <v>2.9718999999999998</v>
      </c>
      <c r="U34">
        <v>2.9718999999999998</v>
      </c>
    </row>
    <row r="35" spans="1:21" x14ac:dyDescent="0.25">
      <c r="A35" s="4"/>
      <c r="M35">
        <v>2.9792000000000001</v>
      </c>
      <c r="N35">
        <v>2.9792000000000001</v>
      </c>
      <c r="O35">
        <v>2.9792000000000001</v>
      </c>
      <c r="P35">
        <v>2.9792000000000001</v>
      </c>
      <c r="Q35">
        <v>2.9792000000000001</v>
      </c>
      <c r="R35">
        <v>2.9792000000000001</v>
      </c>
      <c r="S35">
        <v>2.9792000000000001</v>
      </c>
      <c r="T35">
        <v>2.9792000000000001</v>
      </c>
      <c r="U35">
        <v>2.9792000000000001</v>
      </c>
    </row>
    <row r="36" spans="1:21" x14ac:dyDescent="0.25">
      <c r="A36" s="4"/>
      <c r="M36">
        <v>2.9935</v>
      </c>
      <c r="N36">
        <v>2.9935</v>
      </c>
      <c r="O36">
        <v>2.9935</v>
      </c>
      <c r="P36">
        <v>2.9935</v>
      </c>
      <c r="Q36">
        <v>2.9935</v>
      </c>
      <c r="R36">
        <v>2.9935</v>
      </c>
      <c r="S36">
        <v>2.9935</v>
      </c>
      <c r="T36">
        <v>2.9935</v>
      </c>
      <c r="U36">
        <v>2.9935</v>
      </c>
    </row>
    <row r="37" spans="1:21" x14ac:dyDescent="0.25">
      <c r="A37" s="4"/>
      <c r="M37">
        <v>3.0036</v>
      </c>
      <c r="N37">
        <v>3.0036</v>
      </c>
      <c r="O37">
        <v>3.0036</v>
      </c>
      <c r="P37">
        <v>3.0036</v>
      </c>
      <c r="Q37">
        <v>3.0036</v>
      </c>
      <c r="R37">
        <v>3.0036</v>
      </c>
      <c r="S37">
        <v>3.0036</v>
      </c>
      <c r="T37">
        <v>3.0036</v>
      </c>
      <c r="U37">
        <v>3.0036</v>
      </c>
    </row>
    <row r="38" spans="1:21" x14ac:dyDescent="0.25">
      <c r="A38" s="4"/>
      <c r="M38">
        <v>2.9878999999999998</v>
      </c>
      <c r="N38">
        <v>2.9878999999999998</v>
      </c>
      <c r="O38">
        <v>2.9878999999999998</v>
      </c>
      <c r="P38">
        <v>2.9878999999999998</v>
      </c>
      <c r="Q38">
        <v>2.9878999999999998</v>
      </c>
      <c r="R38">
        <v>2.9878999999999998</v>
      </c>
      <c r="S38">
        <v>2.9878999999999998</v>
      </c>
      <c r="T38">
        <v>2.9878999999999998</v>
      </c>
      <c r="U38">
        <v>2.9878999999999998</v>
      </c>
    </row>
    <row r="39" spans="1:21" x14ac:dyDescent="0.25">
      <c r="A39" s="4"/>
      <c r="M39">
        <v>2.9588000000000001</v>
      </c>
      <c r="N39">
        <v>2.9588000000000001</v>
      </c>
      <c r="O39">
        <v>2.9588000000000001</v>
      </c>
      <c r="P39">
        <v>2.9588000000000001</v>
      </c>
      <c r="Q39">
        <v>2.9588000000000001</v>
      </c>
      <c r="R39">
        <v>2.9588000000000001</v>
      </c>
      <c r="S39">
        <v>2.9588000000000001</v>
      </c>
      <c r="T39">
        <v>2.9588000000000001</v>
      </c>
      <c r="U39">
        <v>2.9588000000000001</v>
      </c>
    </row>
    <row r="40" spans="1:21" x14ac:dyDescent="0.25">
      <c r="A40" s="4"/>
      <c r="M40">
        <v>2.9516999999999998</v>
      </c>
      <c r="N40">
        <v>2.9516999999999998</v>
      </c>
      <c r="O40">
        <v>2.9516999999999998</v>
      </c>
      <c r="P40">
        <v>2.9516999999999998</v>
      </c>
      <c r="Q40">
        <v>2.9516999999999998</v>
      </c>
      <c r="R40">
        <v>2.9516999999999998</v>
      </c>
      <c r="S40">
        <v>2.9516999999999998</v>
      </c>
      <c r="T40">
        <v>2.9516999999999998</v>
      </c>
      <c r="U40">
        <v>2.9516999999999998</v>
      </c>
    </row>
    <row r="41" spans="1:21" x14ac:dyDescent="0.25">
      <c r="A41" s="4"/>
      <c r="M41">
        <v>2.9417999999999997</v>
      </c>
      <c r="N41">
        <v>2.9417999999999997</v>
      </c>
      <c r="O41">
        <v>2.9417999999999997</v>
      </c>
      <c r="P41">
        <v>2.9417999999999997</v>
      </c>
      <c r="Q41">
        <v>2.9417999999999997</v>
      </c>
      <c r="R41">
        <v>2.9417999999999997</v>
      </c>
      <c r="S41">
        <v>2.9417999999999997</v>
      </c>
      <c r="T41">
        <v>2.9417999999999997</v>
      </c>
      <c r="U41">
        <v>2.9417999999999997</v>
      </c>
    </row>
    <row r="42" spans="1:21" x14ac:dyDescent="0.25">
      <c r="A42" s="4"/>
      <c r="M42">
        <v>2.9077999999999999</v>
      </c>
      <c r="N42">
        <v>2.9077999999999999</v>
      </c>
      <c r="O42">
        <v>2.9077999999999999</v>
      </c>
      <c r="P42">
        <v>2.9077999999999999</v>
      </c>
      <c r="Q42">
        <v>2.9077999999999999</v>
      </c>
      <c r="R42">
        <v>2.9077999999999999</v>
      </c>
      <c r="S42">
        <v>2.9077999999999999</v>
      </c>
      <c r="T42">
        <v>2.9077999999999999</v>
      </c>
      <c r="U42">
        <v>2.9077999999999999</v>
      </c>
    </row>
    <row r="43" spans="1:21" x14ac:dyDescent="0.25">
      <c r="A43" s="4"/>
      <c r="M43">
        <v>2.9001000000000001</v>
      </c>
      <c r="N43">
        <v>2.9001000000000001</v>
      </c>
      <c r="O43">
        <v>2.9001000000000001</v>
      </c>
      <c r="P43">
        <v>2.9001000000000001</v>
      </c>
      <c r="Q43">
        <v>2.9001000000000001</v>
      </c>
      <c r="R43">
        <v>2.9001000000000001</v>
      </c>
      <c r="S43">
        <v>2.9001000000000001</v>
      </c>
      <c r="T43">
        <v>2.9001000000000001</v>
      </c>
      <c r="U43">
        <v>2.9001000000000001</v>
      </c>
    </row>
    <row r="44" spans="1:21" x14ac:dyDescent="0.25">
      <c r="A44" s="4"/>
      <c r="M44">
        <v>2.8858999999999999</v>
      </c>
      <c r="N44">
        <v>2.8858999999999999</v>
      </c>
      <c r="O44">
        <v>2.8858999999999999</v>
      </c>
      <c r="P44">
        <v>2.8858999999999999</v>
      </c>
      <c r="Q44">
        <v>2.8858999999999999</v>
      </c>
      <c r="R44">
        <v>2.8858999999999999</v>
      </c>
      <c r="S44">
        <v>2.8858999999999999</v>
      </c>
      <c r="T44">
        <v>2.8858999999999999</v>
      </c>
      <c r="U44">
        <v>2.8858999999999999</v>
      </c>
    </row>
    <row r="45" spans="1:21" x14ac:dyDescent="0.25">
      <c r="A45" s="4"/>
      <c r="M45">
        <v>2.8683000000000001</v>
      </c>
      <c r="N45">
        <v>2.8683000000000001</v>
      </c>
      <c r="O45">
        <v>2.8683000000000001</v>
      </c>
      <c r="P45">
        <v>2.8683000000000001</v>
      </c>
      <c r="Q45">
        <v>2.8683000000000001</v>
      </c>
      <c r="R45">
        <v>2.8683000000000001</v>
      </c>
      <c r="S45">
        <v>2.8683000000000001</v>
      </c>
      <c r="T45">
        <v>2.8683000000000001</v>
      </c>
      <c r="U45">
        <v>2.8683000000000001</v>
      </c>
    </row>
    <row r="46" spans="1:21" x14ac:dyDescent="0.25">
      <c r="A46" s="4"/>
      <c r="M46">
        <v>2.8369</v>
      </c>
      <c r="N46">
        <v>2.8369</v>
      </c>
      <c r="O46">
        <v>2.8369</v>
      </c>
      <c r="P46">
        <v>2.8369</v>
      </c>
      <c r="Q46">
        <v>2.8369</v>
      </c>
      <c r="R46">
        <v>2.8369</v>
      </c>
      <c r="S46">
        <v>2.8369</v>
      </c>
      <c r="T46">
        <v>2.8369</v>
      </c>
      <c r="U46">
        <v>2.8369</v>
      </c>
    </row>
    <row r="47" spans="1:21" x14ac:dyDescent="0.25">
      <c r="A47" s="4"/>
      <c r="M47">
        <v>2.8321000000000001</v>
      </c>
      <c r="N47">
        <v>2.8321000000000001</v>
      </c>
      <c r="O47">
        <v>2.8321000000000001</v>
      </c>
      <c r="P47">
        <v>2.8321000000000001</v>
      </c>
      <c r="Q47">
        <v>2.8321000000000001</v>
      </c>
      <c r="R47">
        <v>2.8321000000000001</v>
      </c>
      <c r="S47">
        <v>2.8321000000000001</v>
      </c>
      <c r="T47">
        <v>2.8321000000000001</v>
      </c>
      <c r="U47">
        <v>2.8321000000000001</v>
      </c>
    </row>
    <row r="48" spans="1:21" x14ac:dyDescent="0.25">
      <c r="A48" s="4"/>
      <c r="M48">
        <v>2.7858999999999998</v>
      </c>
      <c r="N48">
        <v>2.7858999999999998</v>
      </c>
      <c r="O48">
        <v>2.7858999999999998</v>
      </c>
      <c r="P48">
        <v>2.7858999999999998</v>
      </c>
      <c r="Q48">
        <v>2.7858999999999998</v>
      </c>
      <c r="R48">
        <v>2.7858999999999998</v>
      </c>
      <c r="S48">
        <v>2.7858999999999998</v>
      </c>
      <c r="T48">
        <v>2.7858999999999998</v>
      </c>
      <c r="U48">
        <v>2.7858999999999998</v>
      </c>
    </row>
    <row r="49" spans="1:21" x14ac:dyDescent="0.25">
      <c r="A49" s="4"/>
      <c r="M49">
        <v>2.7732999999999999</v>
      </c>
      <c r="N49">
        <v>2.7732999999999999</v>
      </c>
      <c r="O49">
        <v>2.7732999999999999</v>
      </c>
      <c r="P49">
        <v>2.7732999999999999</v>
      </c>
      <c r="Q49">
        <v>2.7732999999999999</v>
      </c>
      <c r="R49">
        <v>2.7732999999999999</v>
      </c>
      <c r="S49">
        <v>2.7732999999999999</v>
      </c>
      <c r="T49">
        <v>2.7732999999999999</v>
      </c>
      <c r="U49">
        <v>2.7732999999999999</v>
      </c>
    </row>
    <row r="50" spans="1:21" x14ac:dyDescent="0.25">
      <c r="A50" s="4"/>
      <c r="M50">
        <v>2.8162000000000003</v>
      </c>
      <c r="N50">
        <v>2.8162000000000003</v>
      </c>
      <c r="O50">
        <v>2.8162000000000003</v>
      </c>
      <c r="P50">
        <v>2.8162000000000003</v>
      </c>
      <c r="Q50">
        <v>2.8162000000000003</v>
      </c>
      <c r="R50">
        <v>2.8162000000000003</v>
      </c>
      <c r="S50">
        <v>2.8162000000000003</v>
      </c>
      <c r="T50">
        <v>2.8162000000000003</v>
      </c>
      <c r="U50">
        <v>2.8162000000000003</v>
      </c>
    </row>
    <row r="51" spans="1:21" x14ac:dyDescent="0.25">
      <c r="A51" s="4"/>
      <c r="M51">
        <v>2.8611</v>
      </c>
      <c r="N51">
        <v>2.8611</v>
      </c>
      <c r="O51">
        <v>2.8611</v>
      </c>
      <c r="P51">
        <v>2.8611</v>
      </c>
      <c r="Q51">
        <v>2.8611</v>
      </c>
      <c r="R51">
        <v>2.8611</v>
      </c>
      <c r="S51">
        <v>2.8611</v>
      </c>
      <c r="T51">
        <v>2.8611</v>
      </c>
      <c r="U51">
        <v>2.8611</v>
      </c>
    </row>
    <row r="52" spans="1:21" x14ac:dyDescent="0.25">
      <c r="A52" s="4"/>
      <c r="M52">
        <v>2.8746</v>
      </c>
      <c r="N52">
        <v>2.8746</v>
      </c>
      <c r="O52">
        <v>2.8746</v>
      </c>
      <c r="P52">
        <v>2.8746</v>
      </c>
      <c r="Q52">
        <v>2.8746</v>
      </c>
      <c r="R52">
        <v>2.8746</v>
      </c>
      <c r="S52">
        <v>2.8746</v>
      </c>
      <c r="T52">
        <v>2.8746</v>
      </c>
      <c r="U52">
        <v>2.8746</v>
      </c>
    </row>
    <row r="53" spans="1:21" x14ac:dyDescent="0.25">
      <c r="A53" s="4"/>
      <c r="M53">
        <v>2.8660000000000001</v>
      </c>
      <c r="N53">
        <v>2.8660000000000001</v>
      </c>
      <c r="O53">
        <v>2.8660000000000001</v>
      </c>
      <c r="P53">
        <v>2.8660000000000001</v>
      </c>
      <c r="Q53">
        <v>2.8660000000000001</v>
      </c>
      <c r="R53">
        <v>2.8660000000000001</v>
      </c>
      <c r="S53">
        <v>2.8660000000000001</v>
      </c>
      <c r="T53">
        <v>2.8660000000000001</v>
      </c>
      <c r="U53">
        <v>2.8660000000000001</v>
      </c>
    </row>
    <row r="54" spans="1:21" x14ac:dyDescent="0.25">
      <c r="A54" s="4"/>
      <c r="M54">
        <v>2.8346999999999998</v>
      </c>
      <c r="N54">
        <v>2.8346999999999998</v>
      </c>
      <c r="O54">
        <v>2.8346999999999998</v>
      </c>
      <c r="P54">
        <v>2.8346999999999998</v>
      </c>
      <c r="Q54">
        <v>2.8346999999999998</v>
      </c>
      <c r="R54">
        <v>2.8346999999999998</v>
      </c>
      <c r="S54">
        <v>2.8346999999999998</v>
      </c>
      <c r="T54">
        <v>2.8346999999999998</v>
      </c>
      <c r="U54">
        <v>2.8346999999999998</v>
      </c>
    </row>
    <row r="55" spans="1:21" x14ac:dyDescent="0.25">
      <c r="A55" s="4"/>
      <c r="M55">
        <v>2.8094999999999999</v>
      </c>
      <c r="N55">
        <v>2.8094999999999999</v>
      </c>
      <c r="O55">
        <v>2.8094999999999999</v>
      </c>
      <c r="P55">
        <v>2.8094999999999999</v>
      </c>
      <c r="Q55">
        <v>2.8094999999999999</v>
      </c>
      <c r="R55">
        <v>2.8094999999999999</v>
      </c>
      <c r="S55">
        <v>2.8094999999999999</v>
      </c>
      <c r="T55">
        <v>2.8094999999999999</v>
      </c>
      <c r="U55">
        <v>2.8094999999999999</v>
      </c>
    </row>
    <row r="56" spans="1:21" x14ac:dyDescent="0.25">
      <c r="A56" s="4"/>
      <c r="M56">
        <v>2.8418999999999999</v>
      </c>
      <c r="N56">
        <v>2.8418999999999999</v>
      </c>
      <c r="O56">
        <v>2.8418999999999999</v>
      </c>
      <c r="P56">
        <v>2.8418999999999999</v>
      </c>
      <c r="Q56">
        <v>2.8418999999999999</v>
      </c>
      <c r="R56">
        <v>2.8418999999999999</v>
      </c>
      <c r="S56">
        <v>2.8418999999999999</v>
      </c>
      <c r="T56">
        <v>2.8418999999999999</v>
      </c>
      <c r="U56">
        <v>2.8418999999999999</v>
      </c>
    </row>
    <row r="57" spans="1:21" x14ac:dyDescent="0.25">
      <c r="A57" s="4"/>
      <c r="M57">
        <v>2.8464</v>
      </c>
      <c r="N57">
        <v>2.8464</v>
      </c>
      <c r="O57">
        <v>2.8464</v>
      </c>
      <c r="P57">
        <v>2.8464</v>
      </c>
      <c r="Q57">
        <v>2.8464</v>
      </c>
      <c r="R57">
        <v>2.8464</v>
      </c>
      <c r="S57">
        <v>2.8464</v>
      </c>
      <c r="T57">
        <v>2.8464</v>
      </c>
      <c r="U57">
        <v>2.8464</v>
      </c>
    </row>
    <row r="58" spans="1:21" x14ac:dyDescent="0.25">
      <c r="A58" s="4"/>
      <c r="M58">
        <v>2.8647</v>
      </c>
      <c r="N58">
        <v>2.8647</v>
      </c>
      <c r="O58">
        <v>2.8647</v>
      </c>
      <c r="P58">
        <v>2.8647</v>
      </c>
      <c r="Q58">
        <v>2.8647</v>
      </c>
      <c r="R58">
        <v>2.8647</v>
      </c>
      <c r="S58">
        <v>2.8647</v>
      </c>
      <c r="T58">
        <v>2.8647</v>
      </c>
      <c r="U58">
        <v>2.8647</v>
      </c>
    </row>
    <row r="59" spans="1:21" x14ac:dyDescent="0.25">
      <c r="A59" s="4"/>
      <c r="M59">
        <v>2.8733</v>
      </c>
      <c r="N59">
        <v>2.8733</v>
      </c>
      <c r="O59">
        <v>2.8733</v>
      </c>
      <c r="P59">
        <v>2.8733</v>
      </c>
      <c r="Q59">
        <v>2.8733</v>
      </c>
      <c r="R59">
        <v>2.8733</v>
      </c>
      <c r="S59">
        <v>2.8733</v>
      </c>
      <c r="T59">
        <v>2.8733</v>
      </c>
      <c r="U59">
        <v>2.8733</v>
      </c>
    </row>
    <row r="60" spans="1:21" x14ac:dyDescent="0.25">
      <c r="A60" s="4"/>
      <c r="M60">
        <v>2.8815</v>
      </c>
      <c r="N60">
        <v>2.8815</v>
      </c>
      <c r="O60">
        <v>2.8815</v>
      </c>
      <c r="P60">
        <v>2.8815</v>
      </c>
      <c r="Q60">
        <v>2.8815</v>
      </c>
      <c r="R60">
        <v>2.8815</v>
      </c>
      <c r="S60">
        <v>2.8815</v>
      </c>
      <c r="T60">
        <v>2.8815</v>
      </c>
      <c r="U60">
        <v>2.8815</v>
      </c>
    </row>
    <row r="61" spans="1:21" x14ac:dyDescent="0.25">
      <c r="A61" s="4"/>
      <c r="M61">
        <v>2.9173</v>
      </c>
      <c r="N61">
        <v>2.9173</v>
      </c>
      <c r="O61">
        <v>2.9173</v>
      </c>
      <c r="P61">
        <v>2.9173</v>
      </c>
      <c r="Q61">
        <v>2.9173</v>
      </c>
      <c r="R61">
        <v>2.9173</v>
      </c>
      <c r="S61">
        <v>2.9173</v>
      </c>
      <c r="T61">
        <v>2.9173</v>
      </c>
      <c r="U61">
        <v>2.9173</v>
      </c>
    </row>
    <row r="62" spans="1:21" x14ac:dyDescent="0.25">
      <c r="A62" s="4"/>
      <c r="M62">
        <v>2.9428999999999998</v>
      </c>
      <c r="N62">
        <v>2.9428999999999998</v>
      </c>
      <c r="O62">
        <v>2.9428999999999998</v>
      </c>
      <c r="P62">
        <v>2.9428999999999998</v>
      </c>
      <c r="Q62">
        <v>2.9428999999999998</v>
      </c>
      <c r="R62">
        <v>2.9428999999999998</v>
      </c>
      <c r="S62">
        <v>2.9428999999999998</v>
      </c>
      <c r="T62">
        <v>2.9428999999999998</v>
      </c>
      <c r="U62">
        <v>2.9428999999999998</v>
      </c>
    </row>
    <row r="63" spans="1:21" x14ac:dyDescent="0.25">
      <c r="A63" s="4"/>
      <c r="M63">
        <v>2.9630999999999998</v>
      </c>
      <c r="N63">
        <v>2.9630999999999998</v>
      </c>
      <c r="O63">
        <v>2.9630999999999998</v>
      </c>
      <c r="P63">
        <v>2.9630999999999998</v>
      </c>
      <c r="Q63">
        <v>2.9630999999999998</v>
      </c>
      <c r="R63">
        <v>2.9630999999999998</v>
      </c>
      <c r="S63">
        <v>2.9630999999999998</v>
      </c>
      <c r="T63">
        <v>2.9630999999999998</v>
      </c>
      <c r="U63">
        <v>2.9630999999999998</v>
      </c>
    </row>
    <row r="64" spans="1:21" x14ac:dyDescent="0.25">
      <c r="A64" s="4">
        <v>42006</v>
      </c>
      <c r="B64">
        <v>3.0194000000000001</v>
      </c>
      <c r="D64">
        <v>3.0194000000000001</v>
      </c>
      <c r="E64">
        <v>3.0194000000000001</v>
      </c>
      <c r="F64">
        <v>3.0194000000000001</v>
      </c>
      <c r="G64">
        <v>3.0194000000000001</v>
      </c>
      <c r="H64">
        <v>3.0194000000000001</v>
      </c>
      <c r="I64">
        <v>3.0194000000000001</v>
      </c>
      <c r="J64">
        <v>3.0194000000000001</v>
      </c>
      <c r="K64">
        <v>3.0194000000000001</v>
      </c>
      <c r="L64">
        <v>3.0194000000000001</v>
      </c>
      <c r="M64">
        <v>3.0194000000000001</v>
      </c>
      <c r="N64">
        <v>3.0194000000000001</v>
      </c>
      <c r="O64">
        <v>3.0194000000000001</v>
      </c>
      <c r="P64">
        <v>3.0194000000000001</v>
      </c>
      <c r="Q64">
        <v>3.0194000000000001</v>
      </c>
      <c r="R64">
        <v>3.0194000000000001</v>
      </c>
      <c r="S64">
        <v>3.0194000000000001</v>
      </c>
      <c r="T64">
        <v>3.0194000000000001</v>
      </c>
      <c r="U64">
        <v>3.0194000000000001</v>
      </c>
    </row>
    <row r="65" spans="1:1" x14ac:dyDescent="0.25">
      <c r="A65" s="4"/>
    </row>
    <row r="66" spans="1:1" x14ac:dyDescent="0.25">
      <c r="A66" s="4"/>
    </row>
    <row r="67" spans="1:1" x14ac:dyDescent="0.25">
      <c r="A67" s="4"/>
    </row>
    <row r="68" spans="1:1" x14ac:dyDescent="0.25">
      <c r="A68" s="4"/>
    </row>
    <row r="69" spans="1:1" x14ac:dyDescent="0.25">
      <c r="A69" s="4"/>
    </row>
    <row r="70" spans="1:1" x14ac:dyDescent="0.25">
      <c r="A70" s="4"/>
    </row>
    <row r="71" spans="1:1" x14ac:dyDescent="0.25">
      <c r="A71" s="4"/>
    </row>
    <row r="72" spans="1:1" x14ac:dyDescent="0.25">
      <c r="A72" s="4"/>
    </row>
    <row r="73" spans="1:1" x14ac:dyDescent="0.25">
      <c r="A73" s="4"/>
    </row>
    <row r="74" spans="1:1" x14ac:dyDescent="0.25">
      <c r="A74" s="4"/>
    </row>
    <row r="75" spans="1:1" x14ac:dyDescent="0.25">
      <c r="A75" s="4"/>
    </row>
    <row r="76" spans="1:1" x14ac:dyDescent="0.25">
      <c r="A76" s="4"/>
    </row>
    <row r="77" spans="1:1" x14ac:dyDescent="0.25">
      <c r="A77" s="4"/>
    </row>
    <row r="78" spans="1:1" x14ac:dyDescent="0.25">
      <c r="A78" s="4"/>
    </row>
    <row r="79" spans="1:1" x14ac:dyDescent="0.25">
      <c r="A79" s="4"/>
    </row>
    <row r="80" spans="1:1" x14ac:dyDescent="0.25">
      <c r="A80" s="4"/>
    </row>
    <row r="81" spans="1:1" x14ac:dyDescent="0.25">
      <c r="A81" s="4"/>
    </row>
    <row r="82" spans="1:1" x14ac:dyDescent="0.25">
      <c r="A82" s="4"/>
    </row>
    <row r="83" spans="1:1" x14ac:dyDescent="0.25">
      <c r="A83" s="4"/>
    </row>
    <row r="84" spans="1:1" x14ac:dyDescent="0.25">
      <c r="A84" s="4"/>
    </row>
    <row r="85" spans="1:1" x14ac:dyDescent="0.25">
      <c r="A85" s="4"/>
    </row>
    <row r="86" spans="1:1" x14ac:dyDescent="0.25">
      <c r="A86" s="4"/>
    </row>
    <row r="87" spans="1:1" x14ac:dyDescent="0.25">
      <c r="A87" s="4"/>
    </row>
    <row r="88" spans="1:1" x14ac:dyDescent="0.25">
      <c r="A88" s="4"/>
    </row>
    <row r="89" spans="1:1" x14ac:dyDescent="0.25">
      <c r="A89" s="4"/>
    </row>
    <row r="90" spans="1:1" x14ac:dyDescent="0.25">
      <c r="A90" s="4"/>
    </row>
    <row r="91" spans="1:1" x14ac:dyDescent="0.25">
      <c r="A91" s="4"/>
    </row>
    <row r="92" spans="1:1" x14ac:dyDescent="0.25">
      <c r="A92" s="4"/>
    </row>
    <row r="93" spans="1:1" x14ac:dyDescent="0.25">
      <c r="A93" s="4"/>
    </row>
    <row r="94" spans="1:1" x14ac:dyDescent="0.25">
      <c r="A94" s="4"/>
    </row>
    <row r="95" spans="1:1" x14ac:dyDescent="0.25">
      <c r="A95" s="4"/>
    </row>
    <row r="96" spans="1:1" x14ac:dyDescent="0.25">
      <c r="A96" s="4"/>
    </row>
    <row r="97" spans="1:1" x14ac:dyDescent="0.25">
      <c r="A97" s="4"/>
    </row>
    <row r="98" spans="1:1" x14ac:dyDescent="0.25">
      <c r="A98" s="4"/>
    </row>
    <row r="99" spans="1:1" x14ac:dyDescent="0.25">
      <c r="A99" s="4"/>
    </row>
    <row r="100" spans="1:1" x14ac:dyDescent="0.25">
      <c r="A100" s="4"/>
    </row>
    <row r="101" spans="1:1" x14ac:dyDescent="0.25">
      <c r="A101" s="4"/>
    </row>
    <row r="102" spans="1:1" x14ac:dyDescent="0.25">
      <c r="A102" s="4"/>
    </row>
    <row r="103" spans="1:1" x14ac:dyDescent="0.25">
      <c r="A103" s="4"/>
    </row>
    <row r="104" spans="1:1" x14ac:dyDescent="0.25">
      <c r="A104" s="4"/>
    </row>
    <row r="105" spans="1:1" x14ac:dyDescent="0.25">
      <c r="A105" s="4"/>
    </row>
    <row r="106" spans="1:1" x14ac:dyDescent="0.25">
      <c r="A106" s="4"/>
    </row>
    <row r="107" spans="1:1" x14ac:dyDescent="0.25">
      <c r="A107" s="4"/>
    </row>
    <row r="108" spans="1:1" x14ac:dyDescent="0.25">
      <c r="A108" s="4"/>
    </row>
    <row r="109" spans="1:1" x14ac:dyDescent="0.25">
      <c r="A109" s="4"/>
    </row>
    <row r="110" spans="1:1" x14ac:dyDescent="0.25">
      <c r="A110" s="4"/>
    </row>
    <row r="111" spans="1:1" x14ac:dyDescent="0.25">
      <c r="A111" s="4"/>
    </row>
    <row r="112" spans="1:1" x14ac:dyDescent="0.25">
      <c r="A112" s="4"/>
    </row>
    <row r="113" spans="1:1" x14ac:dyDescent="0.25">
      <c r="A113" s="4"/>
    </row>
    <row r="114" spans="1:1" x14ac:dyDescent="0.25">
      <c r="A114" s="4"/>
    </row>
    <row r="115" spans="1:1" x14ac:dyDescent="0.25">
      <c r="A115" s="4"/>
    </row>
    <row r="116" spans="1:1" x14ac:dyDescent="0.25">
      <c r="A116" s="4"/>
    </row>
    <row r="117" spans="1:1" x14ac:dyDescent="0.25">
      <c r="A117" s="4"/>
    </row>
    <row r="118" spans="1:1" x14ac:dyDescent="0.25">
      <c r="A118" s="4"/>
    </row>
    <row r="119" spans="1:1" x14ac:dyDescent="0.25">
      <c r="A119" s="4"/>
    </row>
    <row r="120" spans="1:1" x14ac:dyDescent="0.25">
      <c r="A120" s="4"/>
    </row>
    <row r="121" spans="1:1" x14ac:dyDescent="0.25">
      <c r="A121" s="4"/>
    </row>
    <row r="122" spans="1:1" x14ac:dyDescent="0.25">
      <c r="A122" s="4"/>
    </row>
    <row r="123" spans="1:1" x14ac:dyDescent="0.25">
      <c r="A123" s="4"/>
    </row>
    <row r="124" spans="1:1" x14ac:dyDescent="0.25">
      <c r="A124" s="4"/>
    </row>
    <row r="125" spans="1:1" x14ac:dyDescent="0.25">
      <c r="A125" s="4"/>
    </row>
    <row r="126" spans="1:1" x14ac:dyDescent="0.25">
      <c r="A126" s="4"/>
    </row>
    <row r="127" spans="1:1" x14ac:dyDescent="0.25">
      <c r="A127" s="4"/>
    </row>
    <row r="128" spans="1:1" x14ac:dyDescent="0.25">
      <c r="A128" s="4"/>
    </row>
    <row r="129" spans="1:1" x14ac:dyDescent="0.25">
      <c r="A129" s="4"/>
    </row>
    <row r="130" spans="1:1" x14ac:dyDescent="0.25">
      <c r="A130" s="4"/>
    </row>
    <row r="131" spans="1:1" x14ac:dyDescent="0.25">
      <c r="A131" s="4"/>
    </row>
    <row r="132" spans="1:1" x14ac:dyDescent="0.25">
      <c r="A132" s="4"/>
    </row>
    <row r="133" spans="1:1" x14ac:dyDescent="0.25">
      <c r="A133" s="4"/>
    </row>
    <row r="134" spans="1:1" x14ac:dyDescent="0.25">
      <c r="A134" s="4"/>
    </row>
    <row r="135" spans="1:1" x14ac:dyDescent="0.25">
      <c r="A135" s="4"/>
    </row>
    <row r="136" spans="1:1" x14ac:dyDescent="0.25">
      <c r="A136" s="4"/>
    </row>
    <row r="137" spans="1:1" x14ac:dyDescent="0.25">
      <c r="A137" s="4"/>
    </row>
    <row r="138" spans="1:1" x14ac:dyDescent="0.25">
      <c r="A138" s="4"/>
    </row>
    <row r="139" spans="1:1" x14ac:dyDescent="0.25">
      <c r="A139" s="4"/>
    </row>
    <row r="140" spans="1:1" x14ac:dyDescent="0.25">
      <c r="A140" s="4"/>
    </row>
    <row r="141" spans="1:1" x14ac:dyDescent="0.25">
      <c r="A141" s="4"/>
    </row>
    <row r="142" spans="1:1" x14ac:dyDescent="0.25">
      <c r="A142" s="4"/>
    </row>
    <row r="143" spans="1:1" x14ac:dyDescent="0.25">
      <c r="A143" s="4"/>
    </row>
    <row r="144" spans="1:1" x14ac:dyDescent="0.25">
      <c r="A144" s="4"/>
    </row>
    <row r="145" spans="1:1" x14ac:dyDescent="0.25">
      <c r="A145" s="4"/>
    </row>
    <row r="146" spans="1:1" x14ac:dyDescent="0.25">
      <c r="A146" s="4"/>
    </row>
    <row r="147" spans="1:1" x14ac:dyDescent="0.25">
      <c r="A147" s="4"/>
    </row>
    <row r="148" spans="1:1" x14ac:dyDescent="0.25">
      <c r="A148" s="4"/>
    </row>
    <row r="149" spans="1:1" x14ac:dyDescent="0.25">
      <c r="A149" s="4"/>
    </row>
    <row r="150" spans="1:1" x14ac:dyDescent="0.25">
      <c r="A150" s="4"/>
    </row>
    <row r="151" spans="1:1" x14ac:dyDescent="0.25">
      <c r="A151" s="4"/>
    </row>
    <row r="152" spans="1:1" x14ac:dyDescent="0.25">
      <c r="A152" s="4"/>
    </row>
    <row r="153" spans="1:1" x14ac:dyDescent="0.25">
      <c r="A153" s="4"/>
    </row>
    <row r="154" spans="1:1" x14ac:dyDescent="0.25">
      <c r="A154" s="4"/>
    </row>
    <row r="155" spans="1:1" x14ac:dyDescent="0.25">
      <c r="A155" s="4"/>
    </row>
    <row r="156" spans="1:1" x14ac:dyDescent="0.25">
      <c r="A156" s="4"/>
    </row>
    <row r="157" spans="1:1" x14ac:dyDescent="0.25">
      <c r="A157" s="4"/>
    </row>
    <row r="158" spans="1:1" x14ac:dyDescent="0.25">
      <c r="A158" s="4"/>
    </row>
    <row r="159" spans="1:1" x14ac:dyDescent="0.25">
      <c r="A159" s="4"/>
    </row>
    <row r="160" spans="1:1" x14ac:dyDescent="0.25">
      <c r="A160" s="4"/>
    </row>
    <row r="161" spans="1:1" x14ac:dyDescent="0.25">
      <c r="A161" s="4"/>
    </row>
    <row r="162" spans="1:1" x14ac:dyDescent="0.25">
      <c r="A162" s="4"/>
    </row>
    <row r="163" spans="1:1" x14ac:dyDescent="0.25">
      <c r="A163" s="4"/>
    </row>
    <row r="164" spans="1:1" x14ac:dyDescent="0.25">
      <c r="A164" s="4"/>
    </row>
    <row r="165" spans="1:1" x14ac:dyDescent="0.25">
      <c r="A165" s="4"/>
    </row>
    <row r="166" spans="1:1" x14ac:dyDescent="0.25">
      <c r="A166" s="4"/>
    </row>
    <row r="167" spans="1:1" x14ac:dyDescent="0.25">
      <c r="A167" s="4"/>
    </row>
    <row r="168" spans="1:1" x14ac:dyDescent="0.25">
      <c r="A168" s="4"/>
    </row>
    <row r="169" spans="1:1" x14ac:dyDescent="0.25">
      <c r="A169" s="4"/>
    </row>
    <row r="170" spans="1:1" x14ac:dyDescent="0.25">
      <c r="A170" s="4"/>
    </row>
    <row r="171" spans="1:1" x14ac:dyDescent="0.25">
      <c r="A171" s="4"/>
    </row>
    <row r="172" spans="1:1" x14ac:dyDescent="0.25">
      <c r="A172" s="4"/>
    </row>
    <row r="173" spans="1:1" x14ac:dyDescent="0.25">
      <c r="A173" s="4"/>
    </row>
    <row r="174" spans="1:1" x14ac:dyDescent="0.25">
      <c r="A174" s="4"/>
    </row>
    <row r="175" spans="1:1" x14ac:dyDescent="0.25">
      <c r="A175" s="4"/>
    </row>
    <row r="176" spans="1:1" x14ac:dyDescent="0.25">
      <c r="A176" s="4"/>
    </row>
    <row r="177" spans="1:1" x14ac:dyDescent="0.25">
      <c r="A177" s="4"/>
    </row>
    <row r="178" spans="1:1" x14ac:dyDescent="0.25">
      <c r="A178" s="4"/>
    </row>
    <row r="179" spans="1:1" x14ac:dyDescent="0.25">
      <c r="A179" s="4"/>
    </row>
    <row r="180" spans="1:1" x14ac:dyDescent="0.25">
      <c r="A180" s="4"/>
    </row>
    <row r="181" spans="1:1" x14ac:dyDescent="0.25">
      <c r="A181" s="4"/>
    </row>
    <row r="182" spans="1:1" x14ac:dyDescent="0.25">
      <c r="A182" s="4"/>
    </row>
    <row r="183" spans="1:1" x14ac:dyDescent="0.25">
      <c r="A183" s="4"/>
    </row>
    <row r="184" spans="1:1" x14ac:dyDescent="0.25">
      <c r="A184" s="4"/>
    </row>
    <row r="185" spans="1:1" x14ac:dyDescent="0.25">
      <c r="A185" s="4"/>
    </row>
    <row r="186" spans="1:1" x14ac:dyDescent="0.25">
      <c r="A186" s="4"/>
    </row>
    <row r="187" spans="1:1" x14ac:dyDescent="0.25">
      <c r="A187" s="4"/>
    </row>
    <row r="188" spans="1:1" x14ac:dyDescent="0.25">
      <c r="A188" s="4"/>
    </row>
    <row r="189" spans="1:1" x14ac:dyDescent="0.25">
      <c r="A189" s="4"/>
    </row>
    <row r="190" spans="1:1" x14ac:dyDescent="0.25">
      <c r="A190" s="4"/>
    </row>
    <row r="191" spans="1:1" x14ac:dyDescent="0.25">
      <c r="A191" s="4"/>
    </row>
    <row r="192" spans="1:1" x14ac:dyDescent="0.25">
      <c r="A192" s="4"/>
    </row>
    <row r="193" spans="1:1" x14ac:dyDescent="0.25">
      <c r="A193" s="4"/>
    </row>
    <row r="194" spans="1:1" x14ac:dyDescent="0.25">
      <c r="A194" s="4"/>
    </row>
    <row r="195" spans="1:1" x14ac:dyDescent="0.25">
      <c r="A195" s="4"/>
    </row>
    <row r="196" spans="1:1" x14ac:dyDescent="0.25">
      <c r="A196" s="4"/>
    </row>
    <row r="197" spans="1:1" x14ac:dyDescent="0.25">
      <c r="A197" s="4"/>
    </row>
    <row r="198" spans="1:1" x14ac:dyDescent="0.25">
      <c r="A198" s="4"/>
    </row>
    <row r="199" spans="1:1" x14ac:dyDescent="0.25">
      <c r="A199" s="4"/>
    </row>
    <row r="200" spans="1:1" x14ac:dyDescent="0.25">
      <c r="A200" s="4"/>
    </row>
    <row r="201" spans="1:1" x14ac:dyDescent="0.25">
      <c r="A201" s="4"/>
    </row>
    <row r="202" spans="1:1" x14ac:dyDescent="0.25">
      <c r="A202" s="4"/>
    </row>
    <row r="203" spans="1:1" x14ac:dyDescent="0.25">
      <c r="A203" s="4"/>
    </row>
    <row r="204" spans="1:1" x14ac:dyDescent="0.25">
      <c r="A204" s="4"/>
    </row>
    <row r="205" spans="1:1" x14ac:dyDescent="0.25">
      <c r="A205" s="4"/>
    </row>
    <row r="206" spans="1:1" x14ac:dyDescent="0.25">
      <c r="A206" s="4"/>
    </row>
    <row r="207" spans="1:1" x14ac:dyDescent="0.25">
      <c r="A207" s="4"/>
    </row>
    <row r="208" spans="1:1" x14ac:dyDescent="0.25">
      <c r="A208" s="4"/>
    </row>
    <row r="209" spans="1:1" x14ac:dyDescent="0.25">
      <c r="A209" s="4"/>
    </row>
    <row r="210" spans="1:1" x14ac:dyDescent="0.25">
      <c r="A210" s="4"/>
    </row>
    <row r="211" spans="1:1" x14ac:dyDescent="0.25">
      <c r="A211" s="4"/>
    </row>
    <row r="212" spans="1:1" x14ac:dyDescent="0.25">
      <c r="A212" s="4"/>
    </row>
    <row r="213" spans="1:1" x14ac:dyDescent="0.25">
      <c r="A213" s="4"/>
    </row>
    <row r="214" spans="1:1" x14ac:dyDescent="0.25">
      <c r="A214" s="4"/>
    </row>
    <row r="215" spans="1:1" x14ac:dyDescent="0.25">
      <c r="A215" s="4"/>
    </row>
    <row r="216" spans="1:1" x14ac:dyDescent="0.25">
      <c r="A216" s="4"/>
    </row>
    <row r="217" spans="1:1" x14ac:dyDescent="0.25">
      <c r="A217" s="4"/>
    </row>
    <row r="218" spans="1:1" x14ac:dyDescent="0.25">
      <c r="A218" s="4"/>
    </row>
    <row r="219" spans="1:1" x14ac:dyDescent="0.25">
      <c r="A219" s="4"/>
    </row>
    <row r="220" spans="1:1" x14ac:dyDescent="0.25">
      <c r="A220" s="4"/>
    </row>
    <row r="221" spans="1:1" x14ac:dyDescent="0.25">
      <c r="A221" s="4"/>
    </row>
    <row r="222" spans="1:1" x14ac:dyDescent="0.25">
      <c r="A222" s="4"/>
    </row>
    <row r="223" spans="1:1" x14ac:dyDescent="0.25">
      <c r="A223" s="4"/>
    </row>
    <row r="224" spans="1:1" x14ac:dyDescent="0.25">
      <c r="A224" s="4"/>
    </row>
    <row r="225" spans="1:1" x14ac:dyDescent="0.25">
      <c r="A225" s="4"/>
    </row>
    <row r="226" spans="1:1" x14ac:dyDescent="0.25">
      <c r="A226" s="4"/>
    </row>
    <row r="227" spans="1:1" x14ac:dyDescent="0.25">
      <c r="A227" s="4"/>
    </row>
    <row r="228" spans="1:1" x14ac:dyDescent="0.25">
      <c r="A228" s="4"/>
    </row>
    <row r="229" spans="1:1" x14ac:dyDescent="0.25">
      <c r="A229" s="4"/>
    </row>
    <row r="230" spans="1:1" x14ac:dyDescent="0.25">
      <c r="A230" s="4"/>
    </row>
    <row r="231" spans="1:1" x14ac:dyDescent="0.25">
      <c r="A231" s="4"/>
    </row>
    <row r="232" spans="1:1" x14ac:dyDescent="0.25">
      <c r="A232" s="4"/>
    </row>
    <row r="233" spans="1:1" x14ac:dyDescent="0.25">
      <c r="A233" s="4"/>
    </row>
    <row r="234" spans="1:1" x14ac:dyDescent="0.25">
      <c r="A234" s="4"/>
    </row>
    <row r="235" spans="1:1" x14ac:dyDescent="0.25">
      <c r="A235" s="4"/>
    </row>
    <row r="236" spans="1:1" x14ac:dyDescent="0.25">
      <c r="A236" s="4"/>
    </row>
    <row r="237" spans="1:1" x14ac:dyDescent="0.25">
      <c r="A237" s="4"/>
    </row>
    <row r="238" spans="1:1" x14ac:dyDescent="0.25">
      <c r="A238" s="4"/>
    </row>
    <row r="239" spans="1:1" x14ac:dyDescent="0.25">
      <c r="A239" s="4"/>
    </row>
    <row r="240" spans="1:1" x14ac:dyDescent="0.25">
      <c r="A240" s="4"/>
    </row>
    <row r="241" spans="1:1" x14ac:dyDescent="0.25">
      <c r="A241" s="4"/>
    </row>
    <row r="242" spans="1:1" x14ac:dyDescent="0.25">
      <c r="A242" s="4"/>
    </row>
    <row r="243" spans="1:1" x14ac:dyDescent="0.25">
      <c r="A243" s="4"/>
    </row>
    <row r="244" spans="1:1" x14ac:dyDescent="0.25">
      <c r="A244" s="4"/>
    </row>
    <row r="245" spans="1:1" x14ac:dyDescent="0.25">
      <c r="A245" s="4"/>
    </row>
    <row r="246" spans="1:1" x14ac:dyDescent="0.25">
      <c r="A246" s="4"/>
    </row>
    <row r="247" spans="1:1" x14ac:dyDescent="0.25">
      <c r="A247" s="4"/>
    </row>
    <row r="248" spans="1:1" x14ac:dyDescent="0.25">
      <c r="A248" s="4"/>
    </row>
    <row r="249" spans="1:1" x14ac:dyDescent="0.25">
      <c r="A249" s="4"/>
    </row>
    <row r="250" spans="1:1" x14ac:dyDescent="0.25">
      <c r="A250" s="4"/>
    </row>
    <row r="251" spans="1:1" x14ac:dyDescent="0.25">
      <c r="A251" s="4"/>
    </row>
    <row r="252" spans="1:1" x14ac:dyDescent="0.25">
      <c r="A252" s="4"/>
    </row>
    <row r="253" spans="1:1" x14ac:dyDescent="0.25">
      <c r="A253" s="4"/>
    </row>
    <row r="254" spans="1:1" x14ac:dyDescent="0.25">
      <c r="A254" s="4"/>
    </row>
    <row r="255" spans="1:1" x14ac:dyDescent="0.25">
      <c r="A255" s="4"/>
    </row>
    <row r="256" spans="1:1" x14ac:dyDescent="0.25">
      <c r="A256" s="4"/>
    </row>
    <row r="257" spans="1:1" x14ac:dyDescent="0.25">
      <c r="A257" s="4"/>
    </row>
    <row r="258" spans="1:1" x14ac:dyDescent="0.25">
      <c r="A258" s="4"/>
    </row>
    <row r="259" spans="1:1" x14ac:dyDescent="0.25">
      <c r="A259" s="4"/>
    </row>
    <row r="260" spans="1:1" x14ac:dyDescent="0.25">
      <c r="A260" s="4"/>
    </row>
    <row r="261" spans="1:1" x14ac:dyDescent="0.25">
      <c r="A261" s="4"/>
    </row>
    <row r="262" spans="1:1" x14ac:dyDescent="0.25">
      <c r="A262" s="4"/>
    </row>
    <row r="263" spans="1:1" x14ac:dyDescent="0.25">
      <c r="A263" s="4"/>
    </row>
    <row r="264" spans="1:1" x14ac:dyDescent="0.25">
      <c r="A264" s="4"/>
    </row>
    <row r="265" spans="1:1" x14ac:dyDescent="0.25">
      <c r="A265" s="4"/>
    </row>
    <row r="266" spans="1:1" x14ac:dyDescent="0.25">
      <c r="A266" s="4"/>
    </row>
    <row r="267" spans="1:1" x14ac:dyDescent="0.25">
      <c r="A267" s="4"/>
    </row>
    <row r="268" spans="1:1" x14ac:dyDescent="0.25">
      <c r="A268" s="4"/>
    </row>
    <row r="269" spans="1:1" x14ac:dyDescent="0.25">
      <c r="A269" s="4"/>
    </row>
    <row r="270" spans="1:1" x14ac:dyDescent="0.25">
      <c r="A270" s="4"/>
    </row>
    <row r="271" spans="1:1" x14ac:dyDescent="0.25">
      <c r="A271" s="4"/>
    </row>
    <row r="272" spans="1:1" x14ac:dyDescent="0.25">
      <c r="A272" s="4"/>
    </row>
    <row r="273" spans="1:1" x14ac:dyDescent="0.25">
      <c r="A273" s="4"/>
    </row>
    <row r="274" spans="1:1" x14ac:dyDescent="0.25">
      <c r="A274" s="4"/>
    </row>
    <row r="275" spans="1:1" x14ac:dyDescent="0.25">
      <c r="A275" s="4"/>
    </row>
    <row r="276" spans="1:1" x14ac:dyDescent="0.25">
      <c r="A276" s="4"/>
    </row>
    <row r="277" spans="1:1" x14ac:dyDescent="0.25">
      <c r="A277" s="4"/>
    </row>
    <row r="278" spans="1:1" x14ac:dyDescent="0.25">
      <c r="A278" s="4"/>
    </row>
    <row r="279" spans="1:1" x14ac:dyDescent="0.25">
      <c r="A279" s="4"/>
    </row>
    <row r="280" spans="1:1" x14ac:dyDescent="0.25">
      <c r="A280" s="4"/>
    </row>
    <row r="281" spans="1:1" x14ac:dyDescent="0.25">
      <c r="A281" s="4"/>
    </row>
    <row r="282" spans="1:1" x14ac:dyDescent="0.25">
      <c r="A282" s="4"/>
    </row>
    <row r="283" spans="1:1" x14ac:dyDescent="0.25">
      <c r="A283" s="4"/>
    </row>
    <row r="284" spans="1:1" x14ac:dyDescent="0.25">
      <c r="A284" s="4"/>
    </row>
    <row r="285" spans="1:1" x14ac:dyDescent="0.25">
      <c r="A285" s="4"/>
    </row>
    <row r="286" spans="1:1" x14ac:dyDescent="0.25">
      <c r="A286" s="4"/>
    </row>
    <row r="287" spans="1:1" x14ac:dyDescent="0.25">
      <c r="A287" s="4"/>
    </row>
    <row r="288" spans="1:1" x14ac:dyDescent="0.25">
      <c r="A288" s="4"/>
    </row>
    <row r="289" spans="1:1" x14ac:dyDescent="0.25">
      <c r="A289" s="4"/>
    </row>
    <row r="290" spans="1:1" x14ac:dyDescent="0.25">
      <c r="A290" s="4"/>
    </row>
    <row r="291" spans="1:1" x14ac:dyDescent="0.25">
      <c r="A291" s="4"/>
    </row>
    <row r="292" spans="1:1" x14ac:dyDescent="0.25">
      <c r="A292" s="4"/>
    </row>
    <row r="293" spans="1:1" x14ac:dyDescent="0.25">
      <c r="A293" s="4"/>
    </row>
    <row r="294" spans="1:1" x14ac:dyDescent="0.25">
      <c r="A294" s="4"/>
    </row>
    <row r="295" spans="1:1" x14ac:dyDescent="0.25">
      <c r="A295" s="4"/>
    </row>
    <row r="296" spans="1:1" x14ac:dyDescent="0.25">
      <c r="A296" s="4"/>
    </row>
    <row r="297" spans="1:1" x14ac:dyDescent="0.25">
      <c r="A297" s="4"/>
    </row>
    <row r="298" spans="1:1" x14ac:dyDescent="0.25">
      <c r="A298" s="4"/>
    </row>
    <row r="299" spans="1:1" x14ac:dyDescent="0.25">
      <c r="A299" s="4"/>
    </row>
    <row r="300" spans="1:1" x14ac:dyDescent="0.25">
      <c r="A300" s="4"/>
    </row>
    <row r="301" spans="1:1" x14ac:dyDescent="0.25">
      <c r="A301" s="4"/>
    </row>
    <row r="302" spans="1:1" x14ac:dyDescent="0.25">
      <c r="A302" s="4"/>
    </row>
    <row r="303" spans="1:1" x14ac:dyDescent="0.25">
      <c r="A303" s="4"/>
    </row>
    <row r="304" spans="1:1" x14ac:dyDescent="0.25">
      <c r="A304" s="4"/>
    </row>
    <row r="305" spans="1:1" x14ac:dyDescent="0.25">
      <c r="A305" s="4"/>
    </row>
    <row r="306" spans="1:1" x14ac:dyDescent="0.25">
      <c r="A306" s="4"/>
    </row>
    <row r="307" spans="1:1" x14ac:dyDescent="0.25">
      <c r="A307" s="4"/>
    </row>
    <row r="308" spans="1:1" x14ac:dyDescent="0.25">
      <c r="A308" s="4"/>
    </row>
    <row r="309" spans="1:1" x14ac:dyDescent="0.25">
      <c r="A309" s="4"/>
    </row>
    <row r="310" spans="1:1" x14ac:dyDescent="0.25">
      <c r="A310" s="4"/>
    </row>
    <row r="311" spans="1:1" x14ac:dyDescent="0.25">
      <c r="A311" s="4"/>
    </row>
    <row r="312" spans="1:1" x14ac:dyDescent="0.25">
      <c r="A312" s="4"/>
    </row>
    <row r="313" spans="1:1" x14ac:dyDescent="0.25">
      <c r="A313" s="4"/>
    </row>
    <row r="314" spans="1:1" x14ac:dyDescent="0.25">
      <c r="A314" s="4"/>
    </row>
    <row r="315" spans="1:1" x14ac:dyDescent="0.25">
      <c r="A315" s="4"/>
    </row>
    <row r="316" spans="1:1" x14ac:dyDescent="0.25">
      <c r="A316" s="4"/>
    </row>
    <row r="317" spans="1:1" x14ac:dyDescent="0.25">
      <c r="A317" s="4"/>
    </row>
    <row r="318" spans="1:1" x14ac:dyDescent="0.25">
      <c r="A318" s="4"/>
    </row>
    <row r="319" spans="1:1" x14ac:dyDescent="0.25">
      <c r="A319" s="4"/>
    </row>
    <row r="320" spans="1:1" x14ac:dyDescent="0.25">
      <c r="A320" s="4"/>
    </row>
    <row r="321" spans="1:1" x14ac:dyDescent="0.25">
      <c r="A321" s="4"/>
    </row>
    <row r="322" spans="1:1" x14ac:dyDescent="0.25">
      <c r="A322" s="4"/>
    </row>
    <row r="323" spans="1:1" x14ac:dyDescent="0.25">
      <c r="A323" s="4"/>
    </row>
    <row r="324" spans="1:1" x14ac:dyDescent="0.25">
      <c r="A324" s="4"/>
    </row>
    <row r="325" spans="1:1" x14ac:dyDescent="0.25">
      <c r="A325" s="4"/>
    </row>
    <row r="326" spans="1:1" x14ac:dyDescent="0.25">
      <c r="A326" s="4"/>
    </row>
    <row r="327" spans="1:1" x14ac:dyDescent="0.25">
      <c r="A327" s="4"/>
    </row>
    <row r="328" spans="1:1" x14ac:dyDescent="0.25">
      <c r="A328" s="4"/>
    </row>
    <row r="329" spans="1:1" x14ac:dyDescent="0.25">
      <c r="A329" s="4"/>
    </row>
    <row r="330" spans="1:1" x14ac:dyDescent="0.25">
      <c r="A330" s="4"/>
    </row>
    <row r="331" spans="1:1" x14ac:dyDescent="0.25">
      <c r="A331" s="4"/>
    </row>
    <row r="332" spans="1:1" x14ac:dyDescent="0.25">
      <c r="A332" s="4"/>
    </row>
    <row r="333" spans="1:1" x14ac:dyDescent="0.25">
      <c r="A333" s="4"/>
    </row>
    <row r="334" spans="1:1" x14ac:dyDescent="0.25">
      <c r="A334" s="4"/>
    </row>
    <row r="335" spans="1:1" x14ac:dyDescent="0.25">
      <c r="A335" s="4"/>
    </row>
    <row r="336" spans="1:1" x14ac:dyDescent="0.25">
      <c r="A336" s="4"/>
    </row>
    <row r="337" spans="1:1" x14ac:dyDescent="0.25">
      <c r="A337" s="4"/>
    </row>
    <row r="338" spans="1:1" x14ac:dyDescent="0.25">
      <c r="A338" s="4"/>
    </row>
    <row r="339" spans="1:1" x14ac:dyDescent="0.25">
      <c r="A339" s="4"/>
    </row>
    <row r="340" spans="1:1" x14ac:dyDescent="0.25">
      <c r="A340" s="4"/>
    </row>
    <row r="341" spans="1:1" x14ac:dyDescent="0.25">
      <c r="A341" s="4"/>
    </row>
    <row r="342" spans="1:1" x14ac:dyDescent="0.25">
      <c r="A342" s="4"/>
    </row>
    <row r="343" spans="1:1" x14ac:dyDescent="0.25">
      <c r="A343" s="4"/>
    </row>
    <row r="344" spans="1:1" x14ac:dyDescent="0.25">
      <c r="A344" s="4"/>
    </row>
    <row r="345" spans="1:1" x14ac:dyDescent="0.25">
      <c r="A345" s="4"/>
    </row>
    <row r="346" spans="1:1" x14ac:dyDescent="0.25">
      <c r="A346" s="4"/>
    </row>
    <row r="347" spans="1:1" x14ac:dyDescent="0.25">
      <c r="A347" s="4"/>
    </row>
    <row r="348" spans="1:1" x14ac:dyDescent="0.25">
      <c r="A348" s="4"/>
    </row>
    <row r="349" spans="1:1" x14ac:dyDescent="0.25">
      <c r="A349" s="4"/>
    </row>
    <row r="350" spans="1:1" x14ac:dyDescent="0.25">
      <c r="A350" s="4"/>
    </row>
    <row r="351" spans="1:1" x14ac:dyDescent="0.25">
      <c r="A351" s="4"/>
    </row>
    <row r="352" spans="1:1" x14ac:dyDescent="0.25">
      <c r="A352" s="4"/>
    </row>
    <row r="353" spans="1:1" x14ac:dyDescent="0.25">
      <c r="A353" s="4"/>
    </row>
    <row r="354" spans="1:1" x14ac:dyDescent="0.25">
      <c r="A354" s="4"/>
    </row>
    <row r="355" spans="1:1" x14ac:dyDescent="0.25">
      <c r="A355" s="4"/>
    </row>
    <row r="356" spans="1:1" x14ac:dyDescent="0.25">
      <c r="A356" s="4"/>
    </row>
    <row r="357" spans="1:1" x14ac:dyDescent="0.25">
      <c r="A357" s="4"/>
    </row>
    <row r="358" spans="1:1" x14ac:dyDescent="0.25">
      <c r="A358" s="4"/>
    </row>
    <row r="359" spans="1:1" x14ac:dyDescent="0.25">
      <c r="A359" s="4"/>
    </row>
    <row r="360" spans="1:1" x14ac:dyDescent="0.25">
      <c r="A360" s="4"/>
    </row>
    <row r="361" spans="1:1" x14ac:dyDescent="0.25">
      <c r="A361" s="4"/>
    </row>
    <row r="362" spans="1:1" x14ac:dyDescent="0.25">
      <c r="A362" s="4"/>
    </row>
    <row r="363" spans="1:1" x14ac:dyDescent="0.25">
      <c r="A363" s="4"/>
    </row>
    <row r="364" spans="1:1" x14ac:dyDescent="0.25">
      <c r="A364" s="4"/>
    </row>
    <row r="365" spans="1:1" x14ac:dyDescent="0.25">
      <c r="A365" s="4"/>
    </row>
    <row r="366" spans="1:1" x14ac:dyDescent="0.25">
      <c r="A366" s="4"/>
    </row>
    <row r="367" spans="1:1" x14ac:dyDescent="0.25">
      <c r="A367" s="4"/>
    </row>
    <row r="368" spans="1:1" x14ac:dyDescent="0.25">
      <c r="A368" s="4"/>
    </row>
    <row r="369" spans="1:1" x14ac:dyDescent="0.25">
      <c r="A369" s="4"/>
    </row>
    <row r="370" spans="1:1" x14ac:dyDescent="0.25">
      <c r="A370" s="4"/>
    </row>
    <row r="371" spans="1:1" x14ac:dyDescent="0.25">
      <c r="A371" s="4"/>
    </row>
    <row r="372" spans="1:1" x14ac:dyDescent="0.25">
      <c r="A372" s="4"/>
    </row>
    <row r="373" spans="1:1" x14ac:dyDescent="0.25">
      <c r="A373" s="4"/>
    </row>
    <row r="374" spans="1:1" x14ac:dyDescent="0.25">
      <c r="A374" s="4"/>
    </row>
    <row r="375" spans="1:1" x14ac:dyDescent="0.25">
      <c r="A375" s="4"/>
    </row>
    <row r="376" spans="1:1" x14ac:dyDescent="0.25">
      <c r="A376" s="4"/>
    </row>
    <row r="377" spans="1:1" x14ac:dyDescent="0.25">
      <c r="A377" s="4"/>
    </row>
    <row r="378" spans="1:1" x14ac:dyDescent="0.25">
      <c r="A378" s="4"/>
    </row>
    <row r="379" spans="1:1" x14ac:dyDescent="0.25">
      <c r="A379" s="4"/>
    </row>
    <row r="380" spans="1:1" x14ac:dyDescent="0.25">
      <c r="A380" s="4"/>
    </row>
    <row r="381" spans="1:1" x14ac:dyDescent="0.25">
      <c r="A381" s="4"/>
    </row>
    <row r="382" spans="1:1" x14ac:dyDescent="0.25">
      <c r="A382" s="4"/>
    </row>
    <row r="383" spans="1:1" x14ac:dyDescent="0.25">
      <c r="A383" s="4"/>
    </row>
    <row r="384" spans="1:1" x14ac:dyDescent="0.25">
      <c r="A384" s="4"/>
    </row>
    <row r="385" spans="1:1" x14ac:dyDescent="0.25">
      <c r="A385" s="4"/>
    </row>
    <row r="386" spans="1:1" x14ac:dyDescent="0.25">
      <c r="A386" s="4"/>
    </row>
    <row r="387" spans="1:1" x14ac:dyDescent="0.25">
      <c r="A387" s="4"/>
    </row>
    <row r="388" spans="1:1" x14ac:dyDescent="0.25">
      <c r="A388" s="4"/>
    </row>
    <row r="389" spans="1:1" x14ac:dyDescent="0.25">
      <c r="A389" s="4"/>
    </row>
    <row r="390" spans="1:1" x14ac:dyDescent="0.25">
      <c r="A390" s="4"/>
    </row>
    <row r="391" spans="1:1" x14ac:dyDescent="0.25">
      <c r="A391" s="4"/>
    </row>
    <row r="392" spans="1:1" x14ac:dyDescent="0.25">
      <c r="A392" s="4"/>
    </row>
    <row r="393" spans="1:1" x14ac:dyDescent="0.25">
      <c r="A393" s="4"/>
    </row>
    <row r="394" spans="1:1" x14ac:dyDescent="0.25">
      <c r="A394" s="4"/>
    </row>
    <row r="395" spans="1:1" x14ac:dyDescent="0.25">
      <c r="A395" s="4"/>
    </row>
    <row r="396" spans="1:1" x14ac:dyDescent="0.25">
      <c r="A396" s="4"/>
    </row>
    <row r="397" spans="1:1" x14ac:dyDescent="0.25">
      <c r="A397" s="4"/>
    </row>
    <row r="398" spans="1:1" x14ac:dyDescent="0.25">
      <c r="A398" s="4"/>
    </row>
    <row r="399" spans="1:1" x14ac:dyDescent="0.25">
      <c r="A399" s="4"/>
    </row>
    <row r="400" spans="1:1" x14ac:dyDescent="0.25">
      <c r="A400" s="4"/>
    </row>
    <row r="401" spans="1:1" x14ac:dyDescent="0.25">
      <c r="A401" s="4"/>
    </row>
    <row r="402" spans="1:1" x14ac:dyDescent="0.25">
      <c r="A402" s="4"/>
    </row>
    <row r="403" spans="1:1" x14ac:dyDescent="0.25">
      <c r="A403" s="4"/>
    </row>
    <row r="404" spans="1:1" x14ac:dyDescent="0.25">
      <c r="A404" s="4"/>
    </row>
    <row r="405" spans="1:1" x14ac:dyDescent="0.25">
      <c r="A405" s="4"/>
    </row>
    <row r="406" spans="1:1" x14ac:dyDescent="0.25">
      <c r="A406" s="4"/>
    </row>
    <row r="407" spans="1:1" x14ac:dyDescent="0.25">
      <c r="A407" s="4"/>
    </row>
    <row r="408" spans="1:1" x14ac:dyDescent="0.25">
      <c r="A408" s="4"/>
    </row>
    <row r="409" spans="1:1" x14ac:dyDescent="0.25">
      <c r="A409" s="4"/>
    </row>
    <row r="410" spans="1:1" x14ac:dyDescent="0.25">
      <c r="A410" s="4"/>
    </row>
    <row r="411" spans="1:1" x14ac:dyDescent="0.25">
      <c r="A411" s="4"/>
    </row>
    <row r="412" spans="1:1" x14ac:dyDescent="0.25">
      <c r="A412" s="4"/>
    </row>
    <row r="413" spans="1:1" x14ac:dyDescent="0.25">
      <c r="A413" s="4"/>
    </row>
    <row r="414" spans="1:1" x14ac:dyDescent="0.25">
      <c r="A414" s="4"/>
    </row>
    <row r="415" spans="1:1" x14ac:dyDescent="0.25">
      <c r="A415" s="4"/>
    </row>
    <row r="416" spans="1:1" x14ac:dyDescent="0.25">
      <c r="A416" s="4"/>
    </row>
    <row r="417" spans="1:1" x14ac:dyDescent="0.25">
      <c r="A417" s="4"/>
    </row>
    <row r="418" spans="1:1" x14ac:dyDescent="0.25">
      <c r="A418" s="4"/>
    </row>
    <row r="419" spans="1:1" x14ac:dyDescent="0.25">
      <c r="A419" s="4"/>
    </row>
    <row r="420" spans="1:1" x14ac:dyDescent="0.25">
      <c r="A420" s="4"/>
    </row>
    <row r="421" spans="1:1" x14ac:dyDescent="0.25">
      <c r="A421" s="4"/>
    </row>
    <row r="422" spans="1:1" x14ac:dyDescent="0.25">
      <c r="A422" s="4"/>
    </row>
    <row r="423" spans="1:1" x14ac:dyDescent="0.25">
      <c r="A423" s="4"/>
    </row>
    <row r="424" spans="1:1" x14ac:dyDescent="0.25">
      <c r="A424" s="4"/>
    </row>
    <row r="425" spans="1:1" x14ac:dyDescent="0.25">
      <c r="A425" s="4"/>
    </row>
    <row r="426" spans="1:1" x14ac:dyDescent="0.25">
      <c r="A426" s="4"/>
    </row>
    <row r="427" spans="1:1" x14ac:dyDescent="0.25">
      <c r="A427" s="4"/>
    </row>
    <row r="428" spans="1:1" x14ac:dyDescent="0.25">
      <c r="A428" s="4"/>
    </row>
    <row r="429" spans="1:1" x14ac:dyDescent="0.25">
      <c r="A429" s="4"/>
    </row>
    <row r="430" spans="1:1" x14ac:dyDescent="0.25">
      <c r="A430" s="4"/>
    </row>
    <row r="431" spans="1:1" x14ac:dyDescent="0.25">
      <c r="A431" s="4"/>
    </row>
    <row r="432" spans="1:1" x14ac:dyDescent="0.25">
      <c r="A432" s="4"/>
    </row>
    <row r="433" spans="1:1" x14ac:dyDescent="0.25">
      <c r="A433" s="4"/>
    </row>
    <row r="434" spans="1:1" x14ac:dyDescent="0.25">
      <c r="A434" s="4"/>
    </row>
    <row r="435" spans="1:1" x14ac:dyDescent="0.25">
      <c r="A435" s="4"/>
    </row>
    <row r="436" spans="1:1" x14ac:dyDescent="0.25">
      <c r="A436" s="4"/>
    </row>
    <row r="437" spans="1:1" x14ac:dyDescent="0.25">
      <c r="A437" s="4"/>
    </row>
    <row r="438" spans="1:1" x14ac:dyDescent="0.25">
      <c r="A438" s="4"/>
    </row>
    <row r="439" spans="1:1" x14ac:dyDescent="0.25">
      <c r="A439" s="4"/>
    </row>
    <row r="440" spans="1:1" x14ac:dyDescent="0.25">
      <c r="A440" s="4"/>
    </row>
    <row r="441" spans="1:1" x14ac:dyDescent="0.25">
      <c r="A441" s="4"/>
    </row>
    <row r="442" spans="1:1" x14ac:dyDescent="0.25">
      <c r="A442" s="4"/>
    </row>
    <row r="443" spans="1:1" x14ac:dyDescent="0.25">
      <c r="A443" s="4"/>
    </row>
    <row r="444" spans="1:1" x14ac:dyDescent="0.25">
      <c r="A444" s="4"/>
    </row>
    <row r="445" spans="1:1" x14ac:dyDescent="0.25">
      <c r="A445" s="4"/>
    </row>
    <row r="446" spans="1:1" x14ac:dyDescent="0.25">
      <c r="A446" s="4"/>
    </row>
    <row r="447" spans="1:1" x14ac:dyDescent="0.25">
      <c r="A447" s="4"/>
    </row>
    <row r="448" spans="1:1" x14ac:dyDescent="0.25">
      <c r="A448" s="4"/>
    </row>
    <row r="449" spans="1:1" x14ac:dyDescent="0.25">
      <c r="A449" s="4"/>
    </row>
    <row r="450" spans="1:1" x14ac:dyDescent="0.25">
      <c r="A450" s="4"/>
    </row>
    <row r="451" spans="1:1" x14ac:dyDescent="0.25">
      <c r="A451" s="4"/>
    </row>
    <row r="452" spans="1:1" x14ac:dyDescent="0.25">
      <c r="A452" s="4"/>
    </row>
    <row r="453" spans="1:1" x14ac:dyDescent="0.25">
      <c r="A453" s="4"/>
    </row>
    <row r="454" spans="1:1" x14ac:dyDescent="0.25">
      <c r="A454" s="4"/>
    </row>
    <row r="455" spans="1:1" x14ac:dyDescent="0.25">
      <c r="A455" s="4"/>
    </row>
    <row r="456" spans="1:1" x14ac:dyDescent="0.25">
      <c r="A456" s="4"/>
    </row>
    <row r="457" spans="1:1" x14ac:dyDescent="0.25">
      <c r="A457" s="4"/>
    </row>
    <row r="458" spans="1:1" x14ac:dyDescent="0.25">
      <c r="A458" s="4"/>
    </row>
    <row r="459" spans="1:1" x14ac:dyDescent="0.25">
      <c r="A459" s="4"/>
    </row>
    <row r="460" spans="1:1" x14ac:dyDescent="0.25">
      <c r="A460" s="4"/>
    </row>
    <row r="461" spans="1:1" x14ac:dyDescent="0.25">
      <c r="A461" s="4"/>
    </row>
    <row r="462" spans="1:1" x14ac:dyDescent="0.25">
      <c r="A462" s="4"/>
    </row>
    <row r="463" spans="1:1" x14ac:dyDescent="0.25">
      <c r="A463" s="4"/>
    </row>
    <row r="464" spans="1:1" x14ac:dyDescent="0.25">
      <c r="A464" s="4"/>
    </row>
    <row r="465" spans="1:1" x14ac:dyDescent="0.25">
      <c r="A465" s="4"/>
    </row>
    <row r="466" spans="1:1" x14ac:dyDescent="0.25">
      <c r="A466" s="4"/>
    </row>
    <row r="467" spans="1:1" x14ac:dyDescent="0.25">
      <c r="A467" s="4"/>
    </row>
    <row r="468" spans="1:1" x14ac:dyDescent="0.25">
      <c r="A468" s="4"/>
    </row>
    <row r="469" spans="1:1" x14ac:dyDescent="0.25">
      <c r="A469" s="4"/>
    </row>
    <row r="470" spans="1:1" x14ac:dyDescent="0.25">
      <c r="A470" s="4"/>
    </row>
    <row r="471" spans="1:1" x14ac:dyDescent="0.25">
      <c r="A471" s="4"/>
    </row>
    <row r="472" spans="1:1" x14ac:dyDescent="0.25">
      <c r="A472" s="4"/>
    </row>
    <row r="473" spans="1:1" x14ac:dyDescent="0.25">
      <c r="A473" s="4"/>
    </row>
    <row r="474" spans="1:1" x14ac:dyDescent="0.25">
      <c r="A474" s="4"/>
    </row>
    <row r="475" spans="1:1" x14ac:dyDescent="0.25">
      <c r="A475" s="4"/>
    </row>
    <row r="476" spans="1:1" x14ac:dyDescent="0.25">
      <c r="A476" s="4"/>
    </row>
    <row r="477" spans="1:1" x14ac:dyDescent="0.25">
      <c r="A477" s="4"/>
    </row>
    <row r="478" spans="1:1" x14ac:dyDescent="0.25">
      <c r="A478" s="4"/>
    </row>
    <row r="479" spans="1:1" x14ac:dyDescent="0.25">
      <c r="A479" s="4"/>
    </row>
    <row r="480" spans="1:1" x14ac:dyDescent="0.25">
      <c r="A480" s="4"/>
    </row>
    <row r="481" spans="1:1" x14ac:dyDescent="0.25">
      <c r="A481" s="4"/>
    </row>
    <row r="482" spans="1:1" x14ac:dyDescent="0.25">
      <c r="A482" s="4"/>
    </row>
    <row r="483" spans="1:1" x14ac:dyDescent="0.25">
      <c r="A483" s="4"/>
    </row>
    <row r="484" spans="1:1" x14ac:dyDescent="0.25">
      <c r="A484" s="4"/>
    </row>
    <row r="485" spans="1:1" x14ac:dyDescent="0.25">
      <c r="A485" s="4"/>
    </row>
    <row r="486" spans="1:1" x14ac:dyDescent="0.25">
      <c r="A486" s="4"/>
    </row>
    <row r="487" spans="1:1" x14ac:dyDescent="0.25">
      <c r="A487" s="4"/>
    </row>
    <row r="488" spans="1:1" x14ac:dyDescent="0.25">
      <c r="A488" s="4"/>
    </row>
    <row r="489" spans="1:1" x14ac:dyDescent="0.25">
      <c r="A489" s="4"/>
    </row>
    <row r="490" spans="1:1" x14ac:dyDescent="0.25">
      <c r="A490" s="4"/>
    </row>
    <row r="491" spans="1:1" x14ac:dyDescent="0.25">
      <c r="A491" s="4"/>
    </row>
    <row r="492" spans="1:1" x14ac:dyDescent="0.25">
      <c r="A492" s="4"/>
    </row>
    <row r="493" spans="1:1" x14ac:dyDescent="0.25">
      <c r="A493" s="4"/>
    </row>
    <row r="494" spans="1:1" x14ac:dyDescent="0.25">
      <c r="A494" s="4"/>
    </row>
    <row r="495" spans="1:1" x14ac:dyDescent="0.25">
      <c r="A495" s="4"/>
    </row>
    <row r="496" spans="1:1" x14ac:dyDescent="0.25">
      <c r="A496" s="4"/>
    </row>
    <row r="497" spans="1:1" x14ac:dyDescent="0.25">
      <c r="A497" s="4"/>
    </row>
    <row r="498" spans="1:1" x14ac:dyDescent="0.25">
      <c r="A498" s="4"/>
    </row>
    <row r="499" spans="1:1" x14ac:dyDescent="0.25">
      <c r="A499" s="4"/>
    </row>
    <row r="500" spans="1:1" x14ac:dyDescent="0.25">
      <c r="A500" s="4"/>
    </row>
    <row r="501" spans="1:1" x14ac:dyDescent="0.25">
      <c r="A501" s="4"/>
    </row>
    <row r="502" spans="1:1" x14ac:dyDescent="0.25">
      <c r="A502" s="4"/>
    </row>
    <row r="503" spans="1:1" x14ac:dyDescent="0.25">
      <c r="A503" s="4"/>
    </row>
    <row r="504" spans="1:1" x14ac:dyDescent="0.25">
      <c r="A504" s="4"/>
    </row>
    <row r="505" spans="1:1" x14ac:dyDescent="0.25">
      <c r="A505" s="4"/>
    </row>
    <row r="506" spans="1:1" x14ac:dyDescent="0.25">
      <c r="A506" s="4"/>
    </row>
    <row r="507" spans="1:1" x14ac:dyDescent="0.25">
      <c r="A507" s="4"/>
    </row>
    <row r="508" spans="1:1" x14ac:dyDescent="0.25">
      <c r="A508" s="4"/>
    </row>
  </sheetData>
  <phoneticPr fontId="5" type="noConversion"/>
  <pageMargins left="0.7" right="0.7" top="0.75" bottom="0.75" header="0.3" footer="0.3"/>
  <pageSetup orientation="portrait" r:id="rId1"/>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
  <dimension ref="A1:G263"/>
  <sheetViews>
    <sheetView workbookViewId="0">
      <selection activeCell="A4" sqref="A4:W10"/>
    </sheetView>
  </sheetViews>
  <sheetFormatPr defaultRowHeight="15" x14ac:dyDescent="0.25"/>
  <cols>
    <col min="1" max="1" width="10.7109375" style="4" bestFit="1" customWidth="1"/>
    <col min="2" max="2" width="18.5703125" bestFit="1" customWidth="1"/>
  </cols>
  <sheetData>
    <row r="1" spans="1:7" x14ac:dyDescent="0.25">
      <c r="B1" t="str">
        <f ca="1">IF(Canada!$H$8="SWAPS",'SWPS Canada'!W12,'TRSYS Canada'!W12)</f>
        <v>SWPS: 03-10 vs 02-30</v>
      </c>
      <c r="C1" t="str">
        <f>IF(Canada!$H$8="STACKED",'SWPS Canada'!W12,"")</f>
        <v/>
      </c>
      <c r="F1">
        <f ca="1">MAX(B:C)*1.1</f>
        <v>0.68167432363450753</v>
      </c>
      <c r="G1">
        <f ca="1">MIN(B:C)*0.9</f>
        <v>0.46892045454545456</v>
      </c>
    </row>
    <row r="2" spans="1:7" x14ac:dyDescent="0.25">
      <c r="A2" s="4" t="str">
        <f>IF(Canada!$H$8="SWAPS",'SWPS Canada'!V13,'TRSYS Canada'!V13)</f>
        <v>#N/A Requesting Data...</v>
      </c>
      <c r="B2" t="str">
        <f ca="1">IF(Canada!$H$8="SWAPS",'SWPS Canada'!W13,'TRSYS Canada'!W13)</f>
        <v/>
      </c>
      <c r="C2" t="str">
        <f>IF(Canada!$H$8="STACKED",'SWPS Canada'!W13,"")</f>
        <v/>
      </c>
    </row>
    <row r="3" spans="1:7" x14ac:dyDescent="0.25">
      <c r="A3" s="4">
        <f>IF(Canada!$H$8="SWAPS",'SWPS Canada'!V14,'TRSYS Canada'!V14)</f>
        <v>42107</v>
      </c>
      <c r="B3">
        <f ca="1">IF(Canada!$H$8="SWAPS",'SWPS Canada'!W14,'TRSYS Canada'!W14)</f>
        <v>0.55154432410750087</v>
      </c>
      <c r="C3" t="str">
        <f>IF(Canada!$H$8="STACKED",'SWPS Canada'!W14,"")</f>
        <v/>
      </c>
    </row>
    <row r="4" spans="1:7" x14ac:dyDescent="0.25">
      <c r="A4" s="4">
        <f>IF(Canada!$H$8="SWAPS",'SWPS Canada'!V15,'TRSYS Canada'!V15)</f>
        <v>42104</v>
      </c>
      <c r="B4">
        <f ca="1">IF(Canada!$H$8="SWAPS",'SWPS Canada'!W15,'TRSYS Canada'!W15)</f>
        <v>0.55872594558725941</v>
      </c>
      <c r="C4" t="str">
        <f>IF(Canada!$H$8="STACKED",'SWPS Canada'!W15,"")</f>
        <v/>
      </c>
    </row>
    <row r="5" spans="1:7" x14ac:dyDescent="0.25">
      <c r="A5" s="4">
        <f>IF(Canada!$H$8="SWAPS",'SWPS Canada'!V16,'TRSYS Canada'!V16)</f>
        <v>42103</v>
      </c>
      <c r="B5">
        <f ca="1">IF(Canada!$H$8="SWAPS",'SWPS Canada'!W16,'TRSYS Canada'!W16)</f>
        <v>0.56143790849673203</v>
      </c>
      <c r="C5" t="str">
        <f>IF(Canada!$H$8="STACKED",'SWPS Canada'!W16,"")</f>
        <v/>
      </c>
    </row>
    <row r="6" spans="1:7" x14ac:dyDescent="0.25">
      <c r="A6" s="4">
        <f>IF(Canada!$H$8="SWAPS",'SWPS Canada'!V17,'TRSYS Canada'!V17)</f>
        <v>42102</v>
      </c>
      <c r="B6">
        <f ca="1">IF(Canada!$H$8="SWAPS",'SWPS Canada'!W17,'TRSYS Canada'!W17)</f>
        <v>0.56158229969829032</v>
      </c>
      <c r="C6" t="str">
        <f>IF(Canada!$H$8="STACKED",'SWPS Canada'!W17,"")</f>
        <v/>
      </c>
    </row>
    <row r="7" spans="1:7" x14ac:dyDescent="0.25">
      <c r="A7" s="4">
        <f>IF(Canada!$H$8="SWAPS",'SWPS Canada'!V18,'TRSYS Canada'!V18)</f>
        <v>42101</v>
      </c>
      <c r="B7">
        <f ca="1">IF(Canada!$H$8="SWAPS",'SWPS Canada'!W18,'TRSYS Canada'!W18)</f>
        <v>0.56764705882352928</v>
      </c>
      <c r="C7" t="str">
        <f>IF(Canada!$H$8="STACKED",'SWPS Canada'!W18,"")</f>
        <v/>
      </c>
    </row>
    <row r="8" spans="1:7" x14ac:dyDescent="0.25">
      <c r="A8" s="4">
        <f>IF(Canada!$H$8="SWAPS",'SWPS Canada'!V19,'TRSYS Canada'!V19)</f>
        <v>42100</v>
      </c>
      <c r="B8">
        <f ca="1">IF(Canada!$H$8="SWAPS",'SWPS Canada'!W19,'TRSYS Canada'!W19)</f>
        <v>0.56226765799256517</v>
      </c>
      <c r="C8" t="str">
        <f>IF(Canada!$H$8="STACKED",'SWPS Canada'!W19,"")</f>
        <v/>
      </c>
    </row>
    <row r="9" spans="1:7" x14ac:dyDescent="0.25">
      <c r="A9" s="4">
        <f>IF(Canada!$H$8="SWAPS",'SWPS Canada'!V20,'TRSYS Canada'!V20)</f>
        <v>42097</v>
      </c>
      <c r="B9">
        <f ca="1">IF(Canada!$H$8="SWAPS",'SWPS Canada'!W20,'TRSYS Canada'!W20)</f>
        <v>0.56014071167636303</v>
      </c>
      <c r="C9" t="str">
        <f>IF(Canada!$H$8="STACKED",'SWPS Canada'!W20,"")</f>
        <v/>
      </c>
    </row>
    <row r="10" spans="1:7" x14ac:dyDescent="0.25">
      <c r="A10" s="4">
        <f>IF(Canada!$H$8="SWAPS",'SWPS Canada'!V21,'TRSYS Canada'!V21)</f>
        <v>42096</v>
      </c>
      <c r="B10">
        <f ca="1">IF(Canada!$H$8="SWAPS",'SWPS Canada'!W21,'TRSYS Canada'!W21)</f>
        <v>0.55758807588075887</v>
      </c>
      <c r="C10" t="str">
        <f>IF(Canada!$H$8="STACKED",'SWPS Canada'!W21,"")</f>
        <v/>
      </c>
    </row>
    <row r="11" spans="1:7" x14ac:dyDescent="0.25">
      <c r="A11" s="4">
        <f>IF(Canada!$H$8="SWAPS",'SWPS Canada'!V22,'TRSYS Canada'!V22)</f>
        <v>42095</v>
      </c>
      <c r="B11">
        <f ca="1">IF(Canada!$H$8="SWAPS",'SWPS Canada'!W22,'TRSYS Canada'!W22)</f>
        <v>0.5634947511005759</v>
      </c>
      <c r="C11" t="str">
        <f>IF(Canada!$H$8="STACKED",'SWPS Canada'!W22,"")</f>
        <v/>
      </c>
    </row>
    <row r="12" spans="1:7" x14ac:dyDescent="0.25">
      <c r="A12" s="4">
        <f>IF(Canada!$H$8="SWAPS",'SWPS Canada'!V23,'TRSYS Canada'!V23)</f>
        <v>42094</v>
      </c>
      <c r="B12">
        <f ca="1">IF(Canada!$H$8="SWAPS",'SWPS Canada'!W23,'TRSYS Canada'!W23)</f>
        <v>0.57283542630535356</v>
      </c>
      <c r="C12" t="str">
        <f>IF(Canada!$H$8="STACKED",'SWPS Canada'!W23,"")</f>
        <v/>
      </c>
    </row>
    <row r="13" spans="1:7" x14ac:dyDescent="0.25">
      <c r="A13" s="4">
        <f>IF(Canada!$H$8="SWAPS",'SWPS Canada'!V24,'TRSYS Canada'!V24)</f>
        <v>42093</v>
      </c>
      <c r="B13">
        <f ca="1">IF(Canada!$H$8="SWAPS",'SWPS Canada'!W24,'TRSYS Canada'!W24)</f>
        <v>0.57564649426819514</v>
      </c>
      <c r="C13" t="str">
        <f>IF(Canada!$H$8="STACKED",'SWPS Canada'!W24,"")</f>
        <v/>
      </c>
    </row>
    <row r="14" spans="1:7" x14ac:dyDescent="0.25">
      <c r="A14" s="4">
        <f>IF(Canada!$H$8="SWAPS",'SWPS Canada'!V25,'TRSYS Canada'!V25)</f>
        <v>42090</v>
      </c>
      <c r="B14">
        <f ca="1">IF(Canada!$H$8="SWAPS",'SWPS Canada'!W25,'TRSYS Canada'!W25)</f>
        <v>0.56519118730328799</v>
      </c>
      <c r="C14" t="str">
        <f>IF(Canada!$H$8="STACKED",'SWPS Canada'!W25,"")</f>
        <v/>
      </c>
    </row>
    <row r="15" spans="1:7" x14ac:dyDescent="0.25">
      <c r="A15" s="4">
        <f>IF(Canada!$H$8="SWAPS",'SWPS Canada'!V26,'TRSYS Canada'!V26)</f>
        <v>42089</v>
      </c>
      <c r="B15">
        <f ca="1">IF(Canada!$H$8="SWAPS",'SWPS Canada'!W26,'TRSYS Canada'!W26)</f>
        <v>0.56542372881355929</v>
      </c>
      <c r="C15" t="str">
        <f>IF(Canada!$H$8="STACKED",'SWPS Canada'!W26,"")</f>
        <v/>
      </c>
    </row>
    <row r="16" spans="1:7" x14ac:dyDescent="0.25">
      <c r="A16" s="4">
        <f>IF(Canada!$H$8="SWAPS",'SWPS Canada'!V27,'TRSYS Canada'!V27)</f>
        <v>42088</v>
      </c>
      <c r="B16">
        <f ca="1">IF(Canada!$H$8="SWAPS",'SWPS Canada'!W27,'TRSYS Canada'!W27)</f>
        <v>0.55705804749340382</v>
      </c>
      <c r="C16" t="str">
        <f>IF(Canada!$H$8="STACKED",'SWPS Canada'!W27,"")</f>
        <v/>
      </c>
    </row>
    <row r="17" spans="1:3" x14ac:dyDescent="0.25">
      <c r="A17" s="4">
        <f>IF(Canada!$H$8="SWAPS",'SWPS Canada'!V28,'TRSYS Canada'!V28)</f>
        <v>42087</v>
      </c>
      <c r="B17">
        <f ca="1">IF(Canada!$H$8="SWAPS",'SWPS Canada'!W28,'TRSYS Canada'!W28)</f>
        <v>0.56027851458885924</v>
      </c>
      <c r="C17" t="str">
        <f>IF(Canada!$H$8="STACKED",'SWPS Canada'!W28,"")</f>
        <v/>
      </c>
    </row>
    <row r="18" spans="1:3" x14ac:dyDescent="0.25">
      <c r="A18" s="4">
        <f>IF(Canada!$H$8="SWAPS",'SWPS Canada'!V29,'TRSYS Canada'!V29)</f>
        <v>42086</v>
      </c>
      <c r="B18">
        <f ca="1">IF(Canada!$H$8="SWAPS",'SWPS Canada'!W29,'TRSYS Canada'!W29)</f>
        <v>0.56035502958579886</v>
      </c>
      <c r="C18" t="str">
        <f>IF(Canada!$H$8="STACKED",'SWPS Canada'!W29,"")</f>
        <v/>
      </c>
    </row>
    <row r="19" spans="1:3" x14ac:dyDescent="0.25">
      <c r="A19" s="4">
        <f>IF(Canada!$H$8="SWAPS",'SWPS Canada'!V30,'TRSYS Canada'!V30)</f>
        <v>42083</v>
      </c>
      <c r="B19">
        <f ca="1">IF(Canada!$H$8="SWAPS",'SWPS Canada'!W30,'TRSYS Canada'!W30)</f>
        <v>0.56668878566688785</v>
      </c>
      <c r="C19" t="str">
        <f>IF(Canada!$H$8="STACKED",'SWPS Canada'!W30,"")</f>
        <v/>
      </c>
    </row>
    <row r="20" spans="1:3" x14ac:dyDescent="0.25">
      <c r="A20" s="4">
        <f>IF(Canada!$H$8="SWAPS",'SWPS Canada'!V31,'TRSYS Canada'!V31)</f>
        <v>42082</v>
      </c>
      <c r="B20">
        <f ca="1">IF(Canada!$H$8="SWAPS",'SWPS Canada'!W31,'TRSYS Canada'!W31)</f>
        <v>0.56021290751829667</v>
      </c>
      <c r="C20" t="str">
        <f>IF(Canada!$H$8="STACKED",'SWPS Canada'!W31,"")</f>
        <v/>
      </c>
    </row>
    <row r="21" spans="1:3" x14ac:dyDescent="0.25">
      <c r="A21" s="4">
        <f>IF(Canada!$H$8="SWAPS",'SWPS Canada'!V32,'TRSYS Canada'!V32)</f>
        <v>42081</v>
      </c>
      <c r="B21">
        <f ca="1">IF(Canada!$H$8="SWAPS",'SWPS Canada'!W32,'TRSYS Canada'!W32)</f>
        <v>0.55384110308601453</v>
      </c>
      <c r="C21" t="str">
        <f>IF(Canada!$H$8="STACKED",'SWPS Canada'!W32,"")</f>
        <v/>
      </c>
    </row>
    <row r="22" spans="1:3" x14ac:dyDescent="0.25">
      <c r="A22" s="4">
        <f>IF(Canada!$H$8="SWAPS",'SWPS Canada'!V33,'TRSYS Canada'!V33)</f>
        <v>42080</v>
      </c>
      <c r="B22">
        <f ca="1">IF(Canada!$H$8="SWAPS",'SWPS Canada'!W33,'TRSYS Canada'!W33)</f>
        <v>0.56024212763217207</v>
      </c>
      <c r="C22" t="str">
        <f>IF(Canada!$H$8="STACKED",'SWPS Canada'!W33,"")</f>
        <v/>
      </c>
    </row>
    <row r="23" spans="1:3" x14ac:dyDescent="0.25">
      <c r="A23" s="4">
        <f>IF(Canada!$H$8="SWAPS",'SWPS Canada'!V34,'TRSYS Canada'!V34)</f>
        <v>42079</v>
      </c>
      <c r="B23">
        <f ca="1">IF(Canada!$H$8="SWAPS",'SWPS Canada'!W34,'TRSYS Canada'!W34)</f>
        <v>0.55350438047559458</v>
      </c>
      <c r="C23" t="str">
        <f>IF(Canada!$H$8="STACKED",'SWPS Canada'!W34,"")</f>
        <v/>
      </c>
    </row>
    <row r="24" spans="1:3" x14ac:dyDescent="0.25">
      <c r="A24" s="4">
        <f>IF(Canada!$H$8="SWAPS",'SWPS Canada'!V35,'TRSYS Canada'!V35)</f>
        <v>42076</v>
      </c>
      <c r="B24">
        <f ca="1">IF(Canada!$H$8="SWAPS",'SWPS Canada'!W35,'TRSYS Canada'!W35)</f>
        <v>0.57128676014393831</v>
      </c>
      <c r="C24" t="str">
        <f>IF(Canada!$H$8="STACKED",'SWPS Canada'!W35,"")</f>
        <v/>
      </c>
    </row>
    <row r="25" spans="1:3" x14ac:dyDescent="0.25">
      <c r="A25" s="4">
        <f>IF(Canada!$H$8="SWAPS",'SWPS Canada'!V36,'TRSYS Canada'!V36)</f>
        <v>42075</v>
      </c>
      <c r="B25">
        <f ca="1">IF(Canada!$H$8="SWAPS",'SWPS Canada'!W36,'TRSYS Canada'!W36)</f>
        <v>0.56829511465603177</v>
      </c>
      <c r="C25" t="str">
        <f>IF(Canada!$H$8="STACKED",'SWPS Canada'!W36,"")</f>
        <v/>
      </c>
    </row>
    <row r="26" spans="1:3" x14ac:dyDescent="0.25">
      <c r="A26" s="4">
        <f>IF(Canada!$H$8="SWAPS",'SWPS Canada'!V37,'TRSYS Canada'!V37)</f>
        <v>42074</v>
      </c>
      <c r="B26">
        <f ca="1">IF(Canada!$H$8="SWAPS",'SWPS Canada'!W37,'TRSYS Canada'!W37)</f>
        <v>0.57005913476501713</v>
      </c>
      <c r="C26" t="str">
        <f>IF(Canada!$H$8="STACKED",'SWPS Canada'!W37,"")</f>
        <v/>
      </c>
    </row>
    <row r="27" spans="1:3" x14ac:dyDescent="0.25">
      <c r="A27" s="4">
        <f>IF(Canada!$H$8="SWAPS",'SWPS Canada'!V38,'TRSYS Canada'!V38)</f>
        <v>42073</v>
      </c>
      <c r="B27">
        <f ca="1">IF(Canada!$H$8="SWAPS",'SWPS Canada'!W38,'TRSYS Canada'!W38)</f>
        <v>0.57868392137712121</v>
      </c>
      <c r="C27" t="str">
        <f>IF(Canada!$H$8="STACKED",'SWPS Canada'!W38,"")</f>
        <v/>
      </c>
    </row>
    <row r="28" spans="1:3" x14ac:dyDescent="0.25">
      <c r="A28" s="4">
        <f>IF(Canada!$H$8="SWAPS",'SWPS Canada'!V39,'TRSYS Canada'!V39)</f>
        <v>42072</v>
      </c>
      <c r="B28">
        <f ca="1">IF(Canada!$H$8="SWAPS",'SWPS Canada'!W39,'TRSYS Canada'!W39)</f>
        <v>0.57818050454572834</v>
      </c>
      <c r="C28" t="str">
        <f>IF(Canada!$H$8="STACKED",'SWPS Canada'!W39,"")</f>
        <v/>
      </c>
    </row>
    <row r="29" spans="1:3" x14ac:dyDescent="0.25">
      <c r="A29" s="4">
        <f>IF(Canada!$H$8="SWAPS",'SWPS Canada'!V40,'TRSYS Canada'!V40)</f>
        <v>42069</v>
      </c>
      <c r="B29">
        <f ca="1">IF(Canada!$H$8="SWAPS",'SWPS Canada'!W40,'TRSYS Canada'!W40)</f>
        <v>0.58045023696682474</v>
      </c>
      <c r="C29" t="str">
        <f>IF(Canada!$H$8="STACKED",'SWPS Canada'!W40,"")</f>
        <v/>
      </c>
    </row>
    <row r="30" spans="1:3" x14ac:dyDescent="0.25">
      <c r="A30" s="4">
        <f>IF(Canada!$H$8="SWAPS",'SWPS Canada'!V41,'TRSYS Canada'!V41)</f>
        <v>42068</v>
      </c>
      <c r="B30">
        <f ca="1">IF(Canada!$H$8="SWAPS",'SWPS Canada'!W41,'TRSYS Canada'!W41)</f>
        <v>0.57682458386683744</v>
      </c>
      <c r="C30" t="str">
        <f>IF(Canada!$H$8="STACKED",'SWPS Canada'!W41,"")</f>
        <v/>
      </c>
    </row>
    <row r="31" spans="1:3" x14ac:dyDescent="0.25">
      <c r="A31" s="4">
        <f>IF(Canada!$H$8="SWAPS",'SWPS Canada'!V42,'TRSYS Canada'!V42)</f>
        <v>42067</v>
      </c>
      <c r="B31">
        <f ca="1">IF(Canada!$H$8="SWAPS",'SWPS Canada'!W42,'TRSYS Canada'!W42)</f>
        <v>0.58111082340756093</v>
      </c>
      <c r="C31" t="str">
        <f>IF(Canada!$H$8="STACKED",'SWPS Canada'!W42,"")</f>
        <v/>
      </c>
    </row>
    <row r="32" spans="1:3" x14ac:dyDescent="0.25">
      <c r="A32" s="4">
        <f>IF(Canada!$H$8="SWAPS",'SWPS Canada'!V43,'TRSYS Canada'!V43)</f>
        <v>42066</v>
      </c>
      <c r="B32">
        <f ca="1">IF(Canada!$H$8="SWAPS",'SWPS Canada'!W43,'TRSYS Canada'!W43)</f>
        <v>0.57916137229987297</v>
      </c>
      <c r="C32" t="str">
        <f>IF(Canada!$H$8="STACKED",'SWPS Canada'!W43,"")</f>
        <v/>
      </c>
    </row>
    <row r="33" spans="1:3" x14ac:dyDescent="0.25">
      <c r="A33" s="4">
        <f>IF(Canada!$H$8="SWAPS",'SWPS Canada'!V44,'TRSYS Canada'!V44)</f>
        <v>42065</v>
      </c>
      <c r="B33">
        <f ca="1">IF(Canada!$H$8="SWAPS",'SWPS Canada'!W44,'TRSYS Canada'!W44)</f>
        <v>0.57696094519199204</v>
      </c>
      <c r="C33" t="str">
        <f>IF(Canada!$H$8="STACKED",'SWPS Canada'!W44,"")</f>
        <v/>
      </c>
    </row>
    <row r="34" spans="1:3" x14ac:dyDescent="0.25">
      <c r="A34" s="4">
        <f>IF(Canada!$H$8="SWAPS",'SWPS Canada'!V45,'TRSYS Canada'!V45)</f>
        <v>42062</v>
      </c>
      <c r="B34">
        <f ca="1">IF(Canada!$H$8="SWAPS",'SWPS Canada'!W45,'TRSYS Canada'!W45)</f>
        <v>0.5590207914151577</v>
      </c>
      <c r="C34" t="str">
        <f>IF(Canada!$H$8="STACKED",'SWPS Canada'!W45,"")</f>
        <v/>
      </c>
    </row>
    <row r="35" spans="1:3" x14ac:dyDescent="0.25">
      <c r="A35" s="4">
        <f>IF(Canada!$H$8="SWAPS",'SWPS Canada'!V46,'TRSYS Canada'!V46)</f>
        <v>42061</v>
      </c>
      <c r="B35">
        <f ca="1">IF(Canada!$H$8="SWAPS",'SWPS Canada'!W46,'TRSYS Canada'!W46)</f>
        <v>0.56773977196512415</v>
      </c>
      <c r="C35" t="str">
        <f>IF(Canada!$H$8="STACKED",'SWPS Canada'!W46,"")</f>
        <v/>
      </c>
    </row>
    <row r="36" spans="1:3" x14ac:dyDescent="0.25">
      <c r="A36" s="4">
        <f>IF(Canada!$H$8="SWAPS",'SWPS Canada'!V47,'TRSYS Canada'!V47)</f>
        <v>42060</v>
      </c>
      <c r="B36">
        <f ca="1">IF(Canada!$H$8="SWAPS",'SWPS Canada'!W47,'TRSYS Canada'!W47)</f>
        <v>0.56797082228116713</v>
      </c>
      <c r="C36" t="str">
        <f>IF(Canada!$H$8="STACKED",'SWPS Canada'!W47,"")</f>
        <v/>
      </c>
    </row>
    <row r="37" spans="1:3" x14ac:dyDescent="0.25">
      <c r="A37" s="4">
        <f>IF(Canada!$H$8="SWAPS",'SWPS Canada'!V48,'TRSYS Canada'!V48)</f>
        <v>42059</v>
      </c>
      <c r="B37">
        <f ca="1">IF(Canada!$H$8="SWAPS",'SWPS Canada'!W48,'TRSYS Canada'!W48)</f>
        <v>0.55244299674267117</v>
      </c>
      <c r="C37" t="str">
        <f>IF(Canada!$H$8="STACKED",'SWPS Canada'!W48,"")</f>
        <v/>
      </c>
    </row>
    <row r="38" spans="1:3" x14ac:dyDescent="0.25">
      <c r="A38" s="4">
        <f>IF(Canada!$H$8="SWAPS",'SWPS Canada'!V49,'TRSYS Canada'!V49)</f>
        <v>42058</v>
      </c>
      <c r="B38">
        <f ca="1">IF(Canada!$H$8="SWAPS",'SWPS Canada'!W49,'TRSYS Canada'!W49)</f>
        <v>0.56402660217654177</v>
      </c>
      <c r="C38" t="str">
        <f>IF(Canada!$H$8="STACKED",'SWPS Canada'!W49,"")</f>
        <v/>
      </c>
    </row>
    <row r="39" spans="1:3" x14ac:dyDescent="0.25">
      <c r="A39" s="4">
        <f>IF(Canada!$H$8="SWAPS",'SWPS Canada'!V50,'TRSYS Canada'!V50)</f>
        <v>42055</v>
      </c>
      <c r="B39">
        <f ca="1">IF(Canada!$H$8="SWAPS",'SWPS Canada'!W50,'TRSYS Canada'!W50)</f>
        <v>0.57031756318859372</v>
      </c>
      <c r="C39" t="str">
        <f>IF(Canada!$H$8="STACKED",'SWPS Canada'!W50,"")</f>
        <v/>
      </c>
    </row>
    <row r="40" spans="1:3" x14ac:dyDescent="0.25">
      <c r="A40" s="4">
        <f>IF(Canada!$H$8="SWAPS",'SWPS Canada'!V51,'TRSYS Canada'!V51)</f>
        <v>42054</v>
      </c>
      <c r="B40">
        <f ca="1">IF(Canada!$H$8="SWAPS",'SWPS Canada'!W51,'TRSYS Canada'!W51)</f>
        <v>0.57485345838218038</v>
      </c>
      <c r="C40" t="str">
        <f>IF(Canada!$H$8="STACKED",'SWPS Canada'!W51,"")</f>
        <v/>
      </c>
    </row>
    <row r="41" spans="1:3" x14ac:dyDescent="0.25">
      <c r="A41" s="4">
        <f>IF(Canada!$H$8="SWAPS",'SWPS Canada'!V52,'TRSYS Canada'!V52)</f>
        <v>42053</v>
      </c>
      <c r="B41">
        <f ca="1">IF(Canada!$H$8="SWAPS",'SWPS Canada'!W52,'TRSYS Canada'!W52)</f>
        <v>0.57378472222222232</v>
      </c>
      <c r="C41" t="str">
        <f>IF(Canada!$H$8="STACKED",'SWPS Canada'!W52,"")</f>
        <v/>
      </c>
    </row>
    <row r="42" spans="1:3" x14ac:dyDescent="0.25">
      <c r="A42" s="4">
        <f>IF(Canada!$H$8="SWAPS",'SWPS Canada'!V53,'TRSYS Canada'!V53)</f>
        <v>42052</v>
      </c>
      <c r="B42">
        <f ca="1">IF(Canada!$H$8="SWAPS",'SWPS Canada'!W53,'TRSYS Canada'!W53)</f>
        <v>0.58038067349926781</v>
      </c>
      <c r="C42" t="str">
        <f>IF(Canada!$H$8="STACKED",'SWPS Canada'!W53,"")</f>
        <v/>
      </c>
    </row>
    <row r="43" spans="1:3" x14ac:dyDescent="0.25">
      <c r="A43" s="4">
        <f>IF(Canada!$H$8="SWAPS",'SWPS Canada'!V54,'TRSYS Canada'!V54)</f>
        <v>42051</v>
      </c>
      <c r="B43">
        <f ca="1">IF(Canada!$H$8="SWAPS",'SWPS Canada'!W54,'TRSYS Canada'!W54)</f>
        <v>0.56931906498475504</v>
      </c>
      <c r="C43" t="str">
        <f>IF(Canada!$H$8="STACKED",'SWPS Canada'!W54,"")</f>
        <v/>
      </c>
    </row>
    <row r="44" spans="1:3" x14ac:dyDescent="0.25">
      <c r="A44" s="4">
        <f>IF(Canada!$H$8="SWAPS",'SWPS Canada'!V55,'TRSYS Canada'!V55)</f>
        <v>42048</v>
      </c>
      <c r="B44">
        <f ca="1">IF(Canada!$H$8="SWAPS",'SWPS Canada'!W55,'TRSYS Canada'!W55)</f>
        <v>0.57111257248759473</v>
      </c>
      <c r="C44" t="str">
        <f>IF(Canada!$H$8="STACKED",'SWPS Canada'!W55,"")</f>
        <v/>
      </c>
    </row>
    <row r="45" spans="1:3" x14ac:dyDescent="0.25">
      <c r="A45" s="4">
        <f>IF(Canada!$H$8="SWAPS",'SWPS Canada'!V56,'TRSYS Canada'!V56)</f>
        <v>42047</v>
      </c>
      <c r="B45">
        <f ca="1">IF(Canada!$H$8="SWAPS",'SWPS Canada'!W56,'TRSYS Canada'!W56)</f>
        <v>0.56359662437010516</v>
      </c>
      <c r="C45" t="str">
        <f>IF(Canada!$H$8="STACKED",'SWPS Canada'!W56,"")</f>
        <v/>
      </c>
    </row>
    <row r="46" spans="1:3" x14ac:dyDescent="0.25">
      <c r="A46" s="4">
        <f>IF(Canada!$H$8="SWAPS",'SWPS Canada'!V57,'TRSYS Canada'!V57)</f>
        <v>42046</v>
      </c>
      <c r="B46">
        <f ca="1">IF(Canada!$H$8="SWAPS",'SWPS Canada'!W57,'TRSYS Canada'!W57)</f>
        <v>0.5805629701528755</v>
      </c>
      <c r="C46" t="str">
        <f>IF(Canada!$H$8="STACKED",'SWPS Canada'!W57,"")</f>
        <v/>
      </c>
    </row>
    <row r="47" spans="1:3" x14ac:dyDescent="0.25">
      <c r="A47" s="4">
        <f>IF(Canada!$H$8="SWAPS",'SWPS Canada'!V58,'TRSYS Canada'!V58)</f>
        <v>42045</v>
      </c>
      <c r="B47">
        <f ca="1">IF(Canada!$H$8="SWAPS",'SWPS Canada'!W58,'TRSYS Canada'!W58)</f>
        <v>0.57290709780145765</v>
      </c>
      <c r="C47" t="str">
        <f>IF(Canada!$H$8="STACKED",'SWPS Canada'!W58,"")</f>
        <v/>
      </c>
    </row>
    <row r="48" spans="1:3" x14ac:dyDescent="0.25">
      <c r="A48" s="4">
        <f>IF(Canada!$H$8="SWAPS",'SWPS Canada'!V59,'TRSYS Canada'!V59)</f>
        <v>42044</v>
      </c>
      <c r="B48">
        <f ca="1">IF(Canada!$H$8="SWAPS",'SWPS Canada'!W59,'TRSYS Canada'!W59)</f>
        <v>0.57398289712360717</v>
      </c>
      <c r="C48" t="str">
        <f>IF(Canada!$H$8="STACKED",'SWPS Canada'!W59,"")</f>
        <v/>
      </c>
    </row>
    <row r="49" spans="1:3" x14ac:dyDescent="0.25">
      <c r="A49" s="4">
        <f>IF(Canada!$H$8="SWAPS",'SWPS Canada'!V60,'TRSYS Canada'!V60)</f>
        <v>42041</v>
      </c>
      <c r="B49">
        <f ca="1">IF(Canada!$H$8="SWAPS",'SWPS Canada'!W60,'TRSYS Canada'!W60)</f>
        <v>0.5764214919144498</v>
      </c>
      <c r="C49" t="str">
        <f>IF(Canada!$H$8="STACKED",'SWPS Canada'!W60,"")</f>
        <v/>
      </c>
    </row>
    <row r="50" spans="1:3" x14ac:dyDescent="0.25">
      <c r="A50" s="4">
        <f>IF(Canada!$H$8="SWAPS",'SWPS Canada'!V61,'TRSYS Canada'!V61)</f>
        <v>42040</v>
      </c>
      <c r="B50">
        <f ca="1">IF(Canada!$H$8="SWAPS",'SWPS Canada'!W61,'TRSYS Canada'!W61)</f>
        <v>0.58007773898148751</v>
      </c>
      <c r="C50" t="str">
        <f>IF(Canada!$H$8="STACKED",'SWPS Canada'!W61,"")</f>
        <v/>
      </c>
    </row>
    <row r="51" spans="1:3" x14ac:dyDescent="0.25">
      <c r="A51" s="4">
        <f>IF(Canada!$H$8="SWAPS",'SWPS Canada'!V62,'TRSYS Canada'!V62)</f>
        <v>42039</v>
      </c>
      <c r="B51">
        <f ca="1">IF(Canada!$H$8="SWAPS",'SWPS Canada'!W62,'TRSYS Canada'!W62)</f>
        <v>0.56770441327403354</v>
      </c>
      <c r="C51" t="str">
        <f>IF(Canada!$H$8="STACKED",'SWPS Canada'!W62,"")</f>
        <v/>
      </c>
    </row>
    <row r="52" spans="1:3" x14ac:dyDescent="0.25">
      <c r="A52" s="4">
        <f>IF(Canada!$H$8="SWAPS",'SWPS Canada'!V63,'TRSYS Canada'!V63)</f>
        <v>42038</v>
      </c>
      <c r="B52">
        <f ca="1">IF(Canada!$H$8="SWAPS",'SWPS Canada'!W63,'TRSYS Canada'!W63)</f>
        <v>0.56758237994108374</v>
      </c>
      <c r="C52" t="str">
        <f>IF(Canada!$H$8="STACKED",'SWPS Canada'!W63,"")</f>
        <v/>
      </c>
    </row>
    <row r="53" spans="1:3" x14ac:dyDescent="0.25">
      <c r="A53" s="4">
        <f>IF(Canada!$H$8="SWAPS",'SWPS Canada'!V64,'TRSYS Canada'!V64)</f>
        <v>42037</v>
      </c>
      <c r="B53">
        <f ca="1">IF(Canada!$H$8="SWAPS",'SWPS Canada'!W64,'TRSYS Canada'!W64)</f>
        <v>0.54805653710247348</v>
      </c>
      <c r="C53" t="str">
        <f>IF(Canada!$H$8="STACKED",'SWPS Canada'!W64,"")</f>
        <v/>
      </c>
    </row>
    <row r="54" spans="1:3" x14ac:dyDescent="0.25">
      <c r="A54" s="4">
        <f>IF(Canada!$H$8="SWAPS",'SWPS Canada'!V65,'TRSYS Canada'!V65)</f>
        <v>42034</v>
      </c>
      <c r="B54">
        <f ca="1">IF(Canada!$H$8="SWAPS",'SWPS Canada'!W65,'TRSYS Canada'!W65)</f>
        <v>0.56324209029505856</v>
      </c>
      <c r="C54" t="str">
        <f>IF(Canada!$H$8="STACKED",'SWPS Canada'!W65,"")</f>
        <v/>
      </c>
    </row>
    <row r="55" spans="1:3" x14ac:dyDescent="0.25">
      <c r="A55" s="4">
        <f>IF(Canada!$H$8="SWAPS",'SWPS Canada'!V66,'TRSYS Canada'!V66)</f>
        <v>42033</v>
      </c>
      <c r="B55">
        <f ca="1">IF(Canada!$H$8="SWAPS",'SWPS Canada'!W66,'TRSYS Canada'!W66)</f>
        <v>0.56995318094188918</v>
      </c>
      <c r="C55" t="str">
        <f>IF(Canada!$H$8="STACKED",'SWPS Canada'!W66,"")</f>
        <v/>
      </c>
    </row>
    <row r="56" spans="1:3" x14ac:dyDescent="0.25">
      <c r="A56" s="4">
        <f>IF(Canada!$H$8="SWAPS",'SWPS Canada'!V67,'TRSYS Canada'!V67)</f>
        <v>42032</v>
      </c>
      <c r="B56">
        <f ca="1">IF(Canada!$H$8="SWAPS",'SWPS Canada'!W67,'TRSYS Canada'!W67)</f>
        <v>0.56829334787350061</v>
      </c>
      <c r="C56" t="str">
        <f>IF(Canada!$H$8="STACKED",'SWPS Canada'!W67,"")</f>
        <v/>
      </c>
    </row>
    <row r="57" spans="1:3" x14ac:dyDescent="0.25">
      <c r="A57" s="4">
        <f>IF(Canada!$H$8="SWAPS",'SWPS Canada'!V68,'TRSYS Canada'!V68)</f>
        <v>42031</v>
      </c>
      <c r="B57">
        <f ca="1">IF(Canada!$H$8="SWAPS",'SWPS Canada'!W68,'TRSYS Canada'!W68)</f>
        <v>0.56809101374686799</v>
      </c>
      <c r="C57" t="str">
        <f>IF(Canada!$H$8="STACKED",'SWPS Canada'!W68,"")</f>
        <v/>
      </c>
    </row>
    <row r="58" spans="1:3" x14ac:dyDescent="0.25">
      <c r="A58" s="4">
        <f>IF(Canada!$H$8="SWAPS",'SWPS Canada'!V69,'TRSYS Canada'!V69)</f>
        <v>42030</v>
      </c>
      <c r="B58">
        <f ca="1">IF(Canada!$H$8="SWAPS",'SWPS Canada'!W69,'TRSYS Canada'!W69)</f>
        <v>0.56574371321562333</v>
      </c>
      <c r="C58" t="str">
        <f>IF(Canada!$H$8="STACKED",'SWPS Canada'!W69,"")</f>
        <v/>
      </c>
    </row>
    <row r="59" spans="1:3" x14ac:dyDescent="0.25">
      <c r="A59" s="4">
        <f>IF(Canada!$H$8="SWAPS",'SWPS Canada'!V70,'TRSYS Canada'!V70)</f>
        <v>42027</v>
      </c>
      <c r="B59">
        <f ca="1">IF(Canada!$H$8="SWAPS",'SWPS Canada'!W70,'TRSYS Canada'!W70)</f>
        <v>0.55583704210886686</v>
      </c>
      <c r="C59" t="str">
        <f>IF(Canada!$H$8="STACKED",'SWPS Canada'!W70,"")</f>
        <v/>
      </c>
    </row>
    <row r="60" spans="1:3" x14ac:dyDescent="0.25">
      <c r="A60" s="4">
        <f>IF(Canada!$H$8="SWAPS",'SWPS Canada'!V71,'TRSYS Canada'!V71)</f>
        <v>42026</v>
      </c>
      <c r="B60">
        <f ca="1">IF(Canada!$H$8="SWAPS",'SWPS Canada'!W71,'TRSYS Canada'!W71)</f>
        <v>0.57881395503969046</v>
      </c>
      <c r="C60" t="str">
        <f>IF(Canada!$H$8="STACKED",'SWPS Canada'!W71,"")</f>
        <v/>
      </c>
    </row>
    <row r="61" spans="1:3" x14ac:dyDescent="0.25">
      <c r="A61" s="4">
        <f>IF(Canada!$H$8="SWAPS",'SWPS Canada'!V72,'TRSYS Canada'!V72)</f>
        <v>42025</v>
      </c>
      <c r="B61">
        <f ca="1">IF(Canada!$H$8="SWAPS",'SWPS Canada'!W72,'TRSYS Canada'!W72)</f>
        <v>0.58574879227053145</v>
      </c>
      <c r="C61" t="str">
        <f>IF(Canada!$H$8="STACKED",'SWPS Canada'!W72,"")</f>
        <v/>
      </c>
    </row>
    <row r="62" spans="1:3" x14ac:dyDescent="0.25">
      <c r="A62" s="4">
        <f>IF(Canada!$H$8="SWAPS",'SWPS Canada'!V73,'TRSYS Canada'!V73)</f>
        <v>42024</v>
      </c>
      <c r="B62">
        <f ca="1">IF(Canada!$H$8="SWAPS",'SWPS Canada'!W73,'TRSYS Canada'!W73)</f>
        <v>0.57140434192672984</v>
      </c>
      <c r="C62" t="str">
        <f>IF(Canada!$H$8="STACKED",'SWPS Canada'!W73,"")</f>
        <v/>
      </c>
    </row>
    <row r="63" spans="1:3" x14ac:dyDescent="0.25">
      <c r="A63" s="4">
        <f>IF(Canada!$H$8="SWAPS",'SWPS Canada'!V74,'TRSYS Canada'!V74)</f>
        <v>42023</v>
      </c>
      <c r="B63">
        <f ca="1">IF(Canada!$H$8="SWAPS",'SWPS Canada'!W74,'TRSYS Canada'!W74)</f>
        <v>0.5588428665351739</v>
      </c>
      <c r="C63" t="str">
        <f>IF(Canada!$H$8="STACKED",'SWPS Canada'!W74,"")</f>
        <v/>
      </c>
    </row>
    <row r="64" spans="1:3" x14ac:dyDescent="0.25">
      <c r="A64" s="4">
        <f>IF(Canada!$H$8="SWAPS",'SWPS Canada'!V75,'TRSYS Canada'!V75)</f>
        <v>42020</v>
      </c>
      <c r="B64">
        <f ca="1">IF(Canada!$H$8="SWAPS",'SWPS Canada'!W75,'TRSYS Canada'!W75)</f>
        <v>0.56730374866704958</v>
      </c>
      <c r="C64" t="str">
        <f>IF(Canada!$H$8="STACKED",'SWPS Canada'!W75,"")</f>
        <v/>
      </c>
    </row>
    <row r="65" spans="1:3" x14ac:dyDescent="0.25">
      <c r="A65" s="4">
        <f>IF(Canada!$H$8="SWAPS",'SWPS Canada'!V76,'TRSYS Canada'!V76)</f>
        <v>42019</v>
      </c>
      <c r="B65">
        <f ca="1">IF(Canada!$H$8="SWAPS",'SWPS Canada'!W76,'TRSYS Canada'!W76)</f>
        <v>0.56006519967400148</v>
      </c>
      <c r="C65" t="str">
        <f>IF(Canada!$H$8="STACKED",'SWPS Canada'!W76,"")</f>
        <v/>
      </c>
    </row>
    <row r="66" spans="1:3" x14ac:dyDescent="0.25">
      <c r="A66" s="4">
        <f>IF(Canada!$H$8="SWAPS",'SWPS Canada'!V77,'TRSYS Canada'!V77)</f>
        <v>42018</v>
      </c>
      <c r="B66">
        <f ca="1">IF(Canada!$H$8="SWAPS",'SWPS Canada'!W77,'TRSYS Canada'!W77)</f>
        <v>0.56649451258876704</v>
      </c>
      <c r="C66" t="str">
        <f>IF(Canada!$H$8="STACKED",'SWPS Canada'!W77,"")</f>
        <v/>
      </c>
    </row>
    <row r="67" spans="1:3" x14ac:dyDescent="0.25">
      <c r="A67" s="4">
        <f>IF(Canada!$H$8="SWAPS",'SWPS Canada'!V78,'TRSYS Canada'!V78)</f>
        <v>42017</v>
      </c>
      <c r="B67">
        <f ca="1">IF(Canada!$H$8="SWAPS",'SWPS Canada'!W78,'TRSYS Canada'!W78)</f>
        <v>0.55423742585520419</v>
      </c>
      <c r="C67" t="str">
        <f>IF(Canada!$H$8="STACKED",'SWPS Canada'!W78,"")</f>
        <v/>
      </c>
    </row>
    <row r="68" spans="1:3" x14ac:dyDescent="0.25">
      <c r="A68" s="4">
        <f>IF(Canada!$H$8="SWAPS",'SWPS Canada'!V79,'TRSYS Canada'!V79)</f>
        <v>42016</v>
      </c>
      <c r="B68">
        <f ca="1">IF(Canada!$H$8="SWAPS",'SWPS Canada'!W79,'TRSYS Canada'!W79)</f>
        <v>0.54880534942509984</v>
      </c>
      <c r="C68" t="str">
        <f>IF(Canada!$H$8="STACKED",'SWPS Canada'!W79,"")</f>
        <v/>
      </c>
    </row>
    <row r="69" spans="1:3" x14ac:dyDescent="0.25">
      <c r="A69" s="4">
        <f>IF(Canada!$H$8="SWAPS",'SWPS Canada'!V80,'TRSYS Canada'!V80)</f>
        <v>42013</v>
      </c>
      <c r="B69">
        <f ca="1">IF(Canada!$H$8="SWAPS",'SWPS Canada'!W80,'TRSYS Canada'!W80)</f>
        <v>0.54488366476129135</v>
      </c>
      <c r="C69" t="str">
        <f>IF(Canada!$H$8="STACKED",'SWPS Canada'!W80,"")</f>
        <v/>
      </c>
    </row>
    <row r="70" spans="1:3" x14ac:dyDescent="0.25">
      <c r="A70" s="4">
        <f>IF(Canada!$H$8="SWAPS",'SWPS Canada'!V81,'TRSYS Canada'!V81)</f>
        <v>42012</v>
      </c>
      <c r="B70">
        <f ca="1">IF(Canada!$H$8="SWAPS",'SWPS Canada'!W81,'TRSYS Canada'!W81)</f>
        <v>0.54264060630235333</v>
      </c>
      <c r="C70" t="str">
        <f>IF(Canada!$H$8="STACKED",'SWPS Canada'!W81,"")</f>
        <v/>
      </c>
    </row>
    <row r="71" spans="1:3" x14ac:dyDescent="0.25">
      <c r="A71" s="4">
        <f>IF(Canada!$H$8="SWAPS",'SWPS Canada'!V82,'TRSYS Canada'!V82)</f>
        <v>42011</v>
      </c>
      <c r="B71">
        <f ca="1">IF(Canada!$H$8="SWAPS",'SWPS Canada'!W82,'TRSYS Canada'!W82)</f>
        <v>0.5300443276966017</v>
      </c>
      <c r="C71" t="str">
        <f>IF(Canada!$H$8="STACKED",'SWPS Canada'!W82,"")</f>
        <v/>
      </c>
    </row>
    <row r="72" spans="1:3" x14ac:dyDescent="0.25">
      <c r="A72" s="4">
        <f>IF(Canada!$H$8="SWAPS",'SWPS Canada'!V83,'TRSYS Canada'!V83)</f>
        <v>42010</v>
      </c>
      <c r="B72">
        <f ca="1">IF(Canada!$H$8="SWAPS",'SWPS Canada'!W83,'TRSYS Canada'!W83)</f>
        <v>0.52102272727272725</v>
      </c>
      <c r="C72" t="str">
        <f>IF(Canada!$H$8="STACKED",'SWPS Canada'!W83,"")</f>
        <v/>
      </c>
    </row>
    <row r="73" spans="1:3" x14ac:dyDescent="0.25">
      <c r="A73" s="4">
        <f>IF(Canada!$H$8="SWAPS",'SWPS Canada'!V84,'TRSYS Canada'!V84)</f>
        <v>42009</v>
      </c>
      <c r="B73">
        <f ca="1">IF(Canada!$H$8="SWAPS",'SWPS Canada'!W84,'TRSYS Canada'!W84)</f>
        <v>0.52549552429667501</v>
      </c>
      <c r="C73" t="str">
        <f>IF(Canada!$H$8="STACKED",'SWPS Canada'!W84,"")</f>
        <v/>
      </c>
    </row>
    <row r="74" spans="1:3" x14ac:dyDescent="0.25">
      <c r="A74" s="4">
        <f>IF(Canada!$H$8="SWAPS",'SWPS Canada'!V85,'TRSYS Canada'!V85)</f>
        <v>42006</v>
      </c>
      <c r="B74">
        <f ca="1">IF(Canada!$H$8="SWAPS",'SWPS Canada'!W85,'TRSYS Canada'!W85)</f>
        <v>0.53248466971978581</v>
      </c>
      <c r="C74" t="str">
        <f>IF(Canada!$H$8="STACKED",'SWPS Canada'!W85,"")</f>
        <v/>
      </c>
    </row>
    <row r="75" spans="1:3" x14ac:dyDescent="0.25">
      <c r="A75" s="4">
        <f>IF(Canada!$H$8="SWAPS",'SWPS Canada'!V86,'TRSYS Canada'!V86)</f>
        <v>42005</v>
      </c>
      <c r="B75">
        <f ca="1">IF(Canada!$H$8="SWAPS",'SWPS Canada'!W86,'TRSYS Canada'!W86)</f>
        <v>0.53875968992248058</v>
      </c>
      <c r="C75" t="str">
        <f>IF(Canada!$H$8="STACKED",'SWPS Canada'!W86,"")</f>
        <v/>
      </c>
    </row>
    <row r="76" spans="1:3" x14ac:dyDescent="0.25">
      <c r="A76" s="4">
        <f>IF(Canada!$H$8="SWAPS",'SWPS Canada'!V87,'TRSYS Canada'!V87)</f>
        <v>42004</v>
      </c>
      <c r="B76">
        <f ca="1">IF(Canada!$H$8="SWAPS",'SWPS Canada'!W87,'TRSYS Canada'!W87)</f>
        <v>0.53875968992248058</v>
      </c>
      <c r="C76" t="str">
        <f>IF(Canada!$H$8="STACKED",'SWPS Canada'!W87,"")</f>
        <v/>
      </c>
    </row>
    <row r="77" spans="1:3" x14ac:dyDescent="0.25">
      <c r="A77" s="4">
        <f>IF(Canada!$H$8="SWAPS",'SWPS Canada'!V88,'TRSYS Canada'!V88)</f>
        <v>42003</v>
      </c>
      <c r="B77">
        <f ca="1">IF(Canada!$H$8="SWAPS",'SWPS Canada'!W88,'TRSYS Canada'!W88)</f>
        <v>0.54448105436573324</v>
      </c>
      <c r="C77" t="str">
        <f>IF(Canada!$H$8="STACKED",'SWPS Canada'!W88,"")</f>
        <v/>
      </c>
    </row>
    <row r="78" spans="1:3" x14ac:dyDescent="0.25">
      <c r="A78" s="4">
        <f>IF(Canada!$H$8="SWAPS",'SWPS Canada'!V89,'TRSYS Canada'!V89)</f>
        <v>42002</v>
      </c>
      <c r="B78">
        <f ca="1">IF(Canada!$H$8="SWAPS",'SWPS Canada'!W89,'TRSYS Canada'!W89)</f>
        <v>0.54381922247825765</v>
      </c>
      <c r="C78" t="str">
        <f>IF(Canada!$H$8="STACKED",'SWPS Canada'!W89,"")</f>
        <v/>
      </c>
    </row>
    <row r="79" spans="1:3" x14ac:dyDescent="0.25">
      <c r="A79" s="4">
        <f>IF(Canada!$H$8="SWAPS",'SWPS Canada'!V90,'TRSYS Canada'!V90)</f>
        <v>41999</v>
      </c>
      <c r="B79">
        <f ca="1">IF(Canada!$H$8="SWAPS",'SWPS Canada'!W90,'TRSYS Canada'!W90)</f>
        <v>0.58750723798494509</v>
      </c>
      <c r="C79" t="str">
        <f>IF(Canada!$H$8="STACKED",'SWPS Canada'!W90,"")</f>
        <v/>
      </c>
    </row>
    <row r="80" spans="1:3" x14ac:dyDescent="0.25">
      <c r="A80" s="4">
        <f>IF(Canada!$H$8="SWAPS",'SWPS Canada'!V91,'TRSYS Canada'!V91)</f>
        <v>41998</v>
      </c>
      <c r="B80">
        <f ca="1">IF(Canada!$H$8="SWAPS",'SWPS Canada'!W91,'TRSYS Canada'!W91)</f>
        <v>0.58779233943957709</v>
      </c>
      <c r="C80" t="str">
        <f>IF(Canada!$H$8="STACKED",'SWPS Canada'!W91,"")</f>
        <v/>
      </c>
    </row>
    <row r="81" spans="1:3" x14ac:dyDescent="0.25">
      <c r="A81" s="4">
        <f>IF(Canada!$H$8="SWAPS",'SWPS Canada'!V92,'TRSYS Canada'!V92)</f>
        <v>41997</v>
      </c>
      <c r="B81">
        <f ca="1">IF(Canada!$H$8="SWAPS",'SWPS Canada'!W92,'TRSYS Canada'!W92)</f>
        <v>0.56245022083846208</v>
      </c>
      <c r="C81" t="str">
        <f>IF(Canada!$H$8="STACKED",'SWPS Canada'!W92,"")</f>
        <v/>
      </c>
    </row>
    <row r="82" spans="1:3" x14ac:dyDescent="0.25">
      <c r="A82" s="4">
        <f>IF(Canada!$H$8="SWAPS",'SWPS Canada'!V93,'TRSYS Canada'!V93)</f>
        <v>41996</v>
      </c>
      <c r="B82">
        <f ca="1">IF(Canada!$H$8="SWAPS",'SWPS Canada'!W93,'TRSYS Canada'!W93)</f>
        <v>0.5633464394932286</v>
      </c>
      <c r="C82" t="str">
        <f>IF(Canada!$H$8="STACKED",'SWPS Canada'!W93,"")</f>
        <v/>
      </c>
    </row>
    <row r="83" spans="1:3" x14ac:dyDescent="0.25">
      <c r="A83" s="4">
        <f>IF(Canada!$H$8="SWAPS",'SWPS Canada'!V94,'TRSYS Canada'!V94)</f>
        <v>41995</v>
      </c>
      <c r="B83">
        <f ca="1">IF(Canada!$H$8="SWAPS",'SWPS Canada'!W94,'TRSYS Canada'!W94)</f>
        <v>0.55221832596432352</v>
      </c>
      <c r="C83" t="str">
        <f>IF(Canada!$H$8="STACKED",'SWPS Canada'!W94,"")</f>
        <v/>
      </c>
    </row>
    <row r="84" spans="1:3" x14ac:dyDescent="0.25">
      <c r="A84" s="4">
        <f>IF(Canada!$H$8="SWAPS",'SWPS Canada'!V95,'TRSYS Canada'!V95)</f>
        <v>41992</v>
      </c>
      <c r="B84">
        <f ca="1">IF(Canada!$H$8="SWAPS",'SWPS Canada'!W95,'TRSYS Canada'!W95)</f>
        <v>0.55190440627333825</v>
      </c>
      <c r="C84" t="str">
        <f>IF(Canada!$H$8="STACKED",'SWPS Canada'!W95,"")</f>
        <v/>
      </c>
    </row>
    <row r="85" spans="1:3" x14ac:dyDescent="0.25">
      <c r="A85" s="4">
        <f>IF(Canada!$H$8="SWAPS",'SWPS Canada'!V96,'TRSYS Canada'!V96)</f>
        <v>41991</v>
      </c>
      <c r="B85">
        <f ca="1">IF(Canada!$H$8="SWAPS",'SWPS Canada'!W96,'TRSYS Canada'!W96)</f>
        <v>0.5623925501432665</v>
      </c>
      <c r="C85" t="str">
        <f>IF(Canada!$H$8="STACKED",'SWPS Canada'!W96,"")</f>
        <v/>
      </c>
    </row>
    <row r="86" spans="1:3" x14ac:dyDescent="0.25">
      <c r="A86" s="4">
        <f>IF(Canada!$H$8="SWAPS",'SWPS Canada'!V97,'TRSYS Canada'!V97)</f>
        <v>41990</v>
      </c>
      <c r="B86">
        <f ca="1">IF(Canada!$H$8="SWAPS",'SWPS Canada'!W97,'TRSYS Canada'!W97)</f>
        <v>0.55411540714704144</v>
      </c>
      <c r="C86" t="str">
        <f>IF(Canada!$H$8="STACKED",'SWPS Canada'!W97,"")</f>
        <v/>
      </c>
    </row>
    <row r="87" spans="1:3" x14ac:dyDescent="0.25">
      <c r="A87" s="4">
        <f>IF(Canada!$H$8="SWAPS",'SWPS Canada'!V98,'TRSYS Canada'!V98)</f>
        <v>41989</v>
      </c>
      <c r="B87">
        <f ca="1">IF(Canada!$H$8="SWAPS",'SWPS Canada'!W98,'TRSYS Canada'!W98)</f>
        <v>0.55143705205241444</v>
      </c>
      <c r="C87" t="str">
        <f>IF(Canada!$H$8="STACKED",'SWPS Canada'!W98,"")</f>
        <v/>
      </c>
    </row>
    <row r="88" spans="1:3" x14ac:dyDescent="0.25">
      <c r="A88" s="4">
        <f>IF(Canada!$H$8="SWAPS",'SWPS Canada'!V99,'TRSYS Canada'!V99)</f>
        <v>41988</v>
      </c>
      <c r="B88">
        <f ca="1">IF(Canada!$H$8="SWAPS",'SWPS Canada'!W99,'TRSYS Canada'!W99)</f>
        <v>0.553244108233925</v>
      </c>
      <c r="C88" t="str">
        <f>IF(Canada!$H$8="STACKED",'SWPS Canada'!W99,"")</f>
        <v/>
      </c>
    </row>
    <row r="89" spans="1:3" x14ac:dyDescent="0.25">
      <c r="A89" s="4">
        <f>IF(Canada!$H$8="SWAPS",'SWPS Canada'!V100,'TRSYS Canada'!V100)</f>
        <v>41985</v>
      </c>
      <c r="B89">
        <f ca="1">IF(Canada!$H$8="SWAPS",'SWPS Canada'!W100,'TRSYS Canada'!W100)</f>
        <v>0.55413777843339729</v>
      </c>
      <c r="C89" t="str">
        <f>IF(Canada!$H$8="STACKED",'SWPS Canada'!W100,"")</f>
        <v/>
      </c>
    </row>
    <row r="90" spans="1:3" x14ac:dyDescent="0.25">
      <c r="A90" s="4">
        <f>IF(Canada!$H$8="SWAPS",'SWPS Canada'!V101,'TRSYS Canada'!V101)</f>
        <v>41984</v>
      </c>
      <c r="B90">
        <f ca="1">IF(Canada!$H$8="SWAPS",'SWPS Canada'!W101,'TRSYS Canada'!W101)</f>
        <v>0.55470123022847095</v>
      </c>
      <c r="C90" t="str">
        <f>IF(Canada!$H$8="STACKED",'SWPS Canada'!W101,"")</f>
        <v/>
      </c>
    </row>
    <row r="91" spans="1:3" x14ac:dyDescent="0.25">
      <c r="A91" s="4">
        <f>IF(Canada!$H$8="SWAPS",'SWPS Canada'!V102,'TRSYS Canada'!V102)</f>
        <v>41983</v>
      </c>
      <c r="B91">
        <f ca="1">IF(Canada!$H$8="SWAPS",'SWPS Canada'!W102,'TRSYS Canada'!W102)</f>
        <v>0.5550920598388952</v>
      </c>
      <c r="C91" t="str">
        <f>IF(Canada!$H$8="STACKED",'SWPS Canada'!W102,"")</f>
        <v/>
      </c>
    </row>
    <row r="92" spans="1:3" x14ac:dyDescent="0.25">
      <c r="A92" s="4">
        <f>IF(Canada!$H$8="SWAPS",'SWPS Canada'!V103,'TRSYS Canada'!V103)</f>
        <v>41982</v>
      </c>
      <c r="B92">
        <f ca="1">IF(Canada!$H$8="SWAPS",'SWPS Canada'!W103,'TRSYS Canada'!W103)</f>
        <v>0.55381771647945388</v>
      </c>
      <c r="C92" t="str">
        <f>IF(Canada!$H$8="STACKED",'SWPS Canada'!W103,"")</f>
        <v/>
      </c>
    </row>
    <row r="93" spans="1:3" x14ac:dyDescent="0.25">
      <c r="A93" s="4">
        <f>IF(Canada!$H$8="SWAPS",'SWPS Canada'!V104,'TRSYS Canada'!V104)</f>
        <v>41981</v>
      </c>
      <c r="B93">
        <f ca="1">IF(Canada!$H$8="SWAPS",'SWPS Canada'!W104,'TRSYS Canada'!W104)</f>
        <v>0.55779179363617015</v>
      </c>
      <c r="C93" t="str">
        <f>IF(Canada!$H$8="STACKED",'SWPS Canada'!W104,"")</f>
        <v/>
      </c>
    </row>
    <row r="94" spans="1:3" x14ac:dyDescent="0.25">
      <c r="A94" s="4">
        <f>IF(Canada!$H$8="SWAPS",'SWPS Canada'!V105,'TRSYS Canada'!V105)</f>
        <v>41978</v>
      </c>
      <c r="B94">
        <f ca="1">IF(Canada!$H$8="SWAPS",'SWPS Canada'!W105,'TRSYS Canada'!W105)</f>
        <v>0.57708508845829831</v>
      </c>
      <c r="C94" t="str">
        <f>IF(Canada!$H$8="STACKED",'SWPS Canada'!W105,"")</f>
        <v/>
      </c>
    </row>
    <row r="95" spans="1:3" x14ac:dyDescent="0.25">
      <c r="A95" s="4">
        <f>IF(Canada!$H$8="SWAPS",'SWPS Canada'!V106,'TRSYS Canada'!V106)</f>
        <v>41977</v>
      </c>
      <c r="B95">
        <f ca="1">IF(Canada!$H$8="SWAPS",'SWPS Canada'!W106,'TRSYS Canada'!W106)</f>
        <v>0.55823237885462551</v>
      </c>
      <c r="C95" t="str">
        <f>IF(Canada!$H$8="STACKED",'SWPS Canada'!W106,"")</f>
        <v/>
      </c>
    </row>
    <row r="96" spans="1:3" x14ac:dyDescent="0.25">
      <c r="A96" s="4">
        <f>IF(Canada!$H$8="SWAPS",'SWPS Canada'!V107,'TRSYS Canada'!V107)</f>
        <v>41976</v>
      </c>
      <c r="B96">
        <f ca="1">IF(Canada!$H$8="SWAPS",'SWPS Canada'!W107,'TRSYS Canada'!W107)</f>
        <v>0.5577169875042215</v>
      </c>
      <c r="C96" t="str">
        <f>IF(Canada!$H$8="STACKED",'SWPS Canada'!W107,"")</f>
        <v/>
      </c>
    </row>
    <row r="97" spans="1:3" x14ac:dyDescent="0.25">
      <c r="A97" s="4">
        <f>IF(Canada!$H$8="SWAPS",'SWPS Canada'!V108,'TRSYS Canada'!V108)</f>
        <v>41975</v>
      </c>
      <c r="B97">
        <f ca="1">IF(Canada!$H$8="SWAPS",'SWPS Canada'!W108,'TRSYS Canada'!W108)</f>
        <v>0.5650052056220719</v>
      </c>
      <c r="C97" t="str">
        <f>IF(Canada!$H$8="STACKED",'SWPS Canada'!W108,"")</f>
        <v/>
      </c>
    </row>
    <row r="98" spans="1:3" x14ac:dyDescent="0.25">
      <c r="A98" s="4">
        <f>IF(Canada!$H$8="SWAPS",'SWPS Canada'!V109,'TRSYS Canada'!V109)</f>
        <v>41974</v>
      </c>
      <c r="B98">
        <f ca="1">IF(Canada!$H$8="SWAPS",'SWPS Canada'!W109,'TRSYS Canada'!W109)</f>
        <v>0.56057180851063815</v>
      </c>
      <c r="C98" t="str">
        <f>IF(Canada!$H$8="STACKED",'SWPS Canada'!W109,"")</f>
        <v/>
      </c>
    </row>
    <row r="99" spans="1:3" x14ac:dyDescent="0.25">
      <c r="A99" s="4">
        <f>IF(Canada!$H$8="SWAPS",'SWPS Canada'!V110,'TRSYS Canada'!V110)</f>
        <v>41971</v>
      </c>
      <c r="B99">
        <f ca="1">IF(Canada!$H$8="SWAPS",'SWPS Canada'!W110,'TRSYS Canada'!W110)</f>
        <v>0.55596886409037694</v>
      </c>
      <c r="C99" t="str">
        <f>IF(Canada!$H$8="STACKED",'SWPS Canada'!W110,"")</f>
        <v/>
      </c>
    </row>
    <row r="100" spans="1:3" x14ac:dyDescent="0.25">
      <c r="A100" s="4">
        <f>IF(Canada!$H$8="SWAPS",'SWPS Canada'!V111,'TRSYS Canada'!V111)</f>
        <v>41970</v>
      </c>
      <c r="B100">
        <f ca="1">IF(Canada!$H$8="SWAPS",'SWPS Canada'!W111,'TRSYS Canada'!W111)</f>
        <v>0.57075503928937454</v>
      </c>
      <c r="C100" t="str">
        <f>IF(Canada!$H$8="STACKED",'SWPS Canada'!W111,"")</f>
        <v/>
      </c>
    </row>
    <row r="101" spans="1:3" x14ac:dyDescent="0.25">
      <c r="A101" s="4">
        <f>IF(Canada!$H$8="SWAPS",'SWPS Canada'!V112,'TRSYS Canada'!V112)</f>
        <v>41969</v>
      </c>
      <c r="B101">
        <f ca="1">IF(Canada!$H$8="SWAPS",'SWPS Canada'!W112,'TRSYS Canada'!W112)</f>
        <v>0.55646036916395236</v>
      </c>
      <c r="C101" t="str">
        <f>IF(Canada!$H$8="STACKED",'SWPS Canada'!W112,"")</f>
        <v/>
      </c>
    </row>
    <row r="102" spans="1:3" x14ac:dyDescent="0.25">
      <c r="A102" s="4">
        <f>IF(Canada!$H$8="SWAPS",'SWPS Canada'!V113,'TRSYS Canada'!V113)</f>
        <v>41968</v>
      </c>
      <c r="B102">
        <f ca="1">IF(Canada!$H$8="SWAPS",'SWPS Canada'!W113,'TRSYS Canada'!W113)</f>
        <v>0.57318505215168891</v>
      </c>
      <c r="C102" t="str">
        <f>IF(Canada!$H$8="STACKED",'SWPS Canada'!W113,"")</f>
        <v/>
      </c>
    </row>
    <row r="103" spans="1:3" x14ac:dyDescent="0.25">
      <c r="A103" s="4">
        <f>IF(Canada!$H$8="SWAPS",'SWPS Canada'!V114,'TRSYS Canada'!V114)</f>
        <v>41967</v>
      </c>
      <c r="B103">
        <f ca="1">IF(Canada!$H$8="SWAPS",'SWPS Canada'!W114,'TRSYS Canada'!W114)</f>
        <v>0.59396339797869435</v>
      </c>
      <c r="C103" t="str">
        <f>IF(Canada!$H$8="STACKED",'SWPS Canada'!W114,"")</f>
        <v/>
      </c>
    </row>
    <row r="104" spans="1:3" x14ac:dyDescent="0.25">
      <c r="A104" s="4">
        <f>IF(Canada!$H$8="SWAPS",'SWPS Canada'!V115,'TRSYS Canada'!V115)</f>
        <v>41964</v>
      </c>
      <c r="B104">
        <f ca="1">IF(Canada!$H$8="SWAPS",'SWPS Canada'!W115,'TRSYS Canada'!W115)</f>
        <v>0.59995976125008388</v>
      </c>
      <c r="C104" t="str">
        <f>IF(Canada!$H$8="STACKED",'SWPS Canada'!W115,"")</f>
        <v/>
      </c>
    </row>
    <row r="105" spans="1:3" x14ac:dyDescent="0.25">
      <c r="A105" s="4">
        <f>IF(Canada!$H$8="SWAPS",'SWPS Canada'!V116,'TRSYS Canada'!V116)</f>
        <v>41963</v>
      </c>
      <c r="B105">
        <f ca="1">IF(Canada!$H$8="SWAPS",'SWPS Canada'!W116,'TRSYS Canada'!W116)</f>
        <v>0.58591087811271303</v>
      </c>
      <c r="C105" t="str">
        <f>IF(Canada!$H$8="STACKED",'SWPS Canada'!W116,"")</f>
        <v/>
      </c>
    </row>
    <row r="106" spans="1:3" x14ac:dyDescent="0.25">
      <c r="A106" s="4">
        <f>IF(Canada!$H$8="SWAPS",'SWPS Canada'!V117,'TRSYS Canada'!V117)</f>
        <v>41962</v>
      </c>
      <c r="B106">
        <f ca="1">IF(Canada!$H$8="SWAPS",'SWPS Canada'!W117,'TRSYS Canada'!W117)</f>
        <v>0.58343057176196023</v>
      </c>
      <c r="C106" t="str">
        <f>IF(Canada!$H$8="STACKED",'SWPS Canada'!W117,"")</f>
        <v/>
      </c>
    </row>
    <row r="107" spans="1:3" x14ac:dyDescent="0.25">
      <c r="A107" s="4">
        <f>IF(Canada!$H$8="SWAPS",'SWPS Canada'!V118,'TRSYS Canada'!V118)</f>
        <v>41961</v>
      </c>
      <c r="B107">
        <f ca="1">IF(Canada!$H$8="SWAPS",'SWPS Canada'!W118,'TRSYS Canada'!W118)</f>
        <v>0.57616675406397477</v>
      </c>
      <c r="C107" t="str">
        <f>IF(Canada!$H$8="STACKED",'SWPS Canada'!W118,"")</f>
        <v/>
      </c>
    </row>
    <row r="108" spans="1:3" x14ac:dyDescent="0.25">
      <c r="A108" s="4">
        <f>IF(Canada!$H$8="SWAPS",'SWPS Canada'!V119,'TRSYS Canada'!V119)</f>
        <v>41960</v>
      </c>
      <c r="B108">
        <f ca="1">IF(Canada!$H$8="SWAPS",'SWPS Canada'!W119,'TRSYS Canada'!W119)</f>
        <v>0.58548054625096624</v>
      </c>
      <c r="C108" t="str">
        <f>IF(Canada!$H$8="STACKED",'SWPS Canada'!W119,"")</f>
        <v/>
      </c>
    </row>
    <row r="109" spans="1:3" x14ac:dyDescent="0.25">
      <c r="A109" s="4">
        <f>IF(Canada!$H$8="SWAPS",'SWPS Canada'!V120,'TRSYS Canada'!V120)</f>
        <v>41957</v>
      </c>
      <c r="B109">
        <f ca="1">IF(Canada!$H$8="SWAPS",'SWPS Canada'!W120,'TRSYS Canada'!W120)</f>
        <v>0.58785695909441749</v>
      </c>
      <c r="C109" t="str">
        <f>IF(Canada!$H$8="STACKED",'SWPS Canada'!W120,"")</f>
        <v/>
      </c>
    </row>
    <row r="110" spans="1:3" x14ac:dyDescent="0.25">
      <c r="A110" s="4">
        <f>IF(Canada!$H$8="SWAPS",'SWPS Canada'!V121,'TRSYS Canada'!V121)</f>
        <v>41956</v>
      </c>
      <c r="B110">
        <f ca="1">IF(Canada!$H$8="SWAPS",'SWPS Canada'!W121,'TRSYS Canada'!W121)</f>
        <v>0.58414198161389175</v>
      </c>
      <c r="C110" t="str">
        <f>IF(Canada!$H$8="STACKED",'SWPS Canada'!W121,"")</f>
        <v/>
      </c>
    </row>
    <row r="111" spans="1:3" x14ac:dyDescent="0.25">
      <c r="A111" s="4">
        <f>IF(Canada!$H$8="SWAPS",'SWPS Canada'!V122,'TRSYS Canada'!V122)</f>
        <v>41955</v>
      </c>
      <c r="B111">
        <f ca="1">IF(Canada!$H$8="SWAPS",'SWPS Canada'!W122,'TRSYS Canada'!W122)</f>
        <v>0.58329120323559147</v>
      </c>
      <c r="C111" t="str">
        <f>IF(Canada!$H$8="STACKED",'SWPS Canada'!W122,"")</f>
        <v/>
      </c>
    </row>
    <row r="112" spans="1:3" x14ac:dyDescent="0.25">
      <c r="A112" s="4">
        <f>IF(Canada!$H$8="SWAPS",'SWPS Canada'!V123,'TRSYS Canada'!V123)</f>
        <v>41954</v>
      </c>
      <c r="B112">
        <f ca="1">IF(Canada!$H$8="SWAPS",'SWPS Canada'!W123,'TRSYS Canada'!W123)</f>
        <v>0.58609143593045721</v>
      </c>
      <c r="C112" t="str">
        <f>IF(Canada!$H$8="STACKED",'SWPS Canada'!W123,"")</f>
        <v/>
      </c>
    </row>
    <row r="113" spans="1:3" x14ac:dyDescent="0.25">
      <c r="A113" s="4">
        <f>IF(Canada!$H$8="SWAPS",'SWPS Canada'!V124,'TRSYS Canada'!V124)</f>
        <v>41953</v>
      </c>
      <c r="B113">
        <f ca="1">IF(Canada!$H$8="SWAPS",'SWPS Canada'!W124,'TRSYS Canada'!W124)</f>
        <v>0.58905344494526723</v>
      </c>
      <c r="C113" t="str">
        <f>IF(Canada!$H$8="STACKED",'SWPS Canada'!W124,"")</f>
        <v/>
      </c>
    </row>
    <row r="114" spans="1:3" x14ac:dyDescent="0.25">
      <c r="A114" s="4">
        <f>IF(Canada!$H$8="SWAPS",'SWPS Canada'!V125,'TRSYS Canada'!V125)</f>
        <v>41950</v>
      </c>
      <c r="B114">
        <f ca="1">IF(Canada!$H$8="SWAPS",'SWPS Canada'!W125,'TRSYS Canada'!W125)</f>
        <v>0.57824353863957823</v>
      </c>
      <c r="C114" t="str">
        <f>IF(Canada!$H$8="STACKED",'SWPS Canada'!W125,"")</f>
        <v/>
      </c>
    </row>
    <row r="115" spans="1:3" x14ac:dyDescent="0.25">
      <c r="A115" s="4">
        <f>IF(Canada!$H$8="SWAPS",'SWPS Canada'!V126,'TRSYS Canada'!V126)</f>
        <v>41949</v>
      </c>
      <c r="B115">
        <f ca="1">IF(Canada!$H$8="SWAPS",'SWPS Canada'!W126,'TRSYS Canada'!W126)</f>
        <v>0.58757133003072681</v>
      </c>
      <c r="C115" t="str">
        <f>IF(Canada!$H$8="STACKED",'SWPS Canada'!W126,"")</f>
        <v/>
      </c>
    </row>
    <row r="116" spans="1:3" x14ac:dyDescent="0.25">
      <c r="A116" s="4">
        <f>IF(Canada!$H$8="SWAPS",'SWPS Canada'!V127,'TRSYS Canada'!V127)</f>
        <v>41948</v>
      </c>
      <c r="B116">
        <f ca="1">IF(Canada!$H$8="SWAPS",'SWPS Canada'!W127,'TRSYS Canada'!W127)</f>
        <v>0.59490932230353155</v>
      </c>
      <c r="C116" t="str">
        <f>IF(Canada!$H$8="STACKED",'SWPS Canada'!W127,"")</f>
        <v/>
      </c>
    </row>
    <row r="117" spans="1:3" x14ac:dyDescent="0.25">
      <c r="A117" s="4">
        <f>IF(Canada!$H$8="SWAPS",'SWPS Canada'!V128,'TRSYS Canada'!V128)</f>
        <v>41947</v>
      </c>
      <c r="B117">
        <f ca="1">IF(Canada!$H$8="SWAPS",'SWPS Canada'!W128,'TRSYS Canada'!W128)</f>
        <v>0.59074733096085408</v>
      </c>
      <c r="C117" t="str">
        <f>IF(Canada!$H$8="STACKED",'SWPS Canada'!W128,"")</f>
        <v/>
      </c>
    </row>
    <row r="118" spans="1:3" x14ac:dyDescent="0.25">
      <c r="A118" s="4">
        <f>IF(Canada!$H$8="SWAPS",'SWPS Canada'!V129,'TRSYS Canada'!V129)</f>
        <v>41946</v>
      </c>
      <c r="B118">
        <f ca="1">IF(Canada!$H$8="SWAPS",'SWPS Canada'!W129,'TRSYS Canada'!W129)</f>
        <v>0.58702689243027895</v>
      </c>
      <c r="C118" t="str">
        <f>IF(Canada!$H$8="STACKED",'SWPS Canada'!W129,"")</f>
        <v/>
      </c>
    </row>
    <row r="119" spans="1:3" x14ac:dyDescent="0.25">
      <c r="A119" s="4">
        <f>IF(Canada!$H$8="SWAPS",'SWPS Canada'!V130,'TRSYS Canada'!V130)</f>
        <v>41943</v>
      </c>
      <c r="B119">
        <f ca="1">IF(Canada!$H$8="SWAPS",'SWPS Canada'!W130,'TRSYS Canada'!W130)</f>
        <v>0.58985267970535926</v>
      </c>
      <c r="C119" t="str">
        <f>IF(Canada!$H$8="STACKED",'SWPS Canada'!W130,"")</f>
        <v/>
      </c>
    </row>
    <row r="120" spans="1:3" x14ac:dyDescent="0.25">
      <c r="A120" s="4">
        <f>IF(Canada!$H$8="SWAPS",'SWPS Canada'!V131,'TRSYS Canada'!V131)</f>
        <v>41942</v>
      </c>
      <c r="B120">
        <f ca="1">IF(Canada!$H$8="SWAPS",'SWPS Canada'!W131,'TRSYS Canada'!W131)</f>
        <v>0.58806963645673338</v>
      </c>
      <c r="C120" t="str">
        <f>IF(Canada!$H$8="STACKED",'SWPS Canada'!W131,"")</f>
        <v/>
      </c>
    </row>
    <row r="121" spans="1:3" x14ac:dyDescent="0.25">
      <c r="A121" s="4">
        <f>IF(Canada!$H$8="SWAPS",'SWPS Canada'!V132,'TRSYS Canada'!V132)</f>
        <v>41941</v>
      </c>
      <c r="B121">
        <f ca="1">IF(Canada!$H$8="SWAPS",'SWPS Canada'!W132,'TRSYS Canada'!W132)</f>
        <v>0.59683896877833942</v>
      </c>
      <c r="C121" t="str">
        <f>IF(Canada!$H$8="STACKED",'SWPS Canada'!W132,"")</f>
        <v/>
      </c>
    </row>
    <row r="122" spans="1:3" x14ac:dyDescent="0.25">
      <c r="A122" s="4">
        <f>IF(Canada!$H$8="SWAPS",'SWPS Canada'!V133,'TRSYS Canada'!V133)</f>
        <v>41940</v>
      </c>
      <c r="B122">
        <f ca="1">IF(Canada!$H$8="SWAPS",'SWPS Canada'!W133,'TRSYS Canada'!W133)</f>
        <v>0.59283574478934287</v>
      </c>
      <c r="C122" t="str">
        <f>IF(Canada!$H$8="STACKED",'SWPS Canada'!W133,"")</f>
        <v/>
      </c>
    </row>
    <row r="123" spans="1:3" x14ac:dyDescent="0.25">
      <c r="A123" s="4">
        <f>IF(Canada!$H$8="SWAPS",'SWPS Canada'!V134,'TRSYS Canada'!V134)</f>
        <v>41939</v>
      </c>
      <c r="B123">
        <f ca="1">IF(Canada!$H$8="SWAPS",'SWPS Canada'!W134,'TRSYS Canada'!W134)</f>
        <v>0.59789808917197451</v>
      </c>
      <c r="C123" t="str">
        <f>IF(Canada!$H$8="STACKED",'SWPS Canada'!W134,"")</f>
        <v/>
      </c>
    </row>
    <row r="124" spans="1:3" x14ac:dyDescent="0.25">
      <c r="A124" s="4">
        <f>IF(Canada!$H$8="SWAPS",'SWPS Canada'!V135,'TRSYS Canada'!V135)</f>
        <v>41936</v>
      </c>
      <c r="B124">
        <f ca="1">IF(Canada!$H$8="SWAPS",'SWPS Canada'!W135,'TRSYS Canada'!W135)</f>
        <v>0.60140350877192994</v>
      </c>
      <c r="C124" t="str">
        <f>IF(Canada!$H$8="STACKED",'SWPS Canada'!W135,"")</f>
        <v/>
      </c>
    </row>
    <row r="125" spans="1:3" x14ac:dyDescent="0.25">
      <c r="A125" s="4">
        <f>IF(Canada!$H$8="SWAPS",'SWPS Canada'!V136,'TRSYS Canada'!V136)</f>
        <v>41935</v>
      </c>
      <c r="B125">
        <f ca="1">IF(Canada!$H$8="SWAPS",'SWPS Canada'!W136,'TRSYS Canada'!W136)</f>
        <v>0.59553286534779815</v>
      </c>
      <c r="C125" t="str">
        <f>IF(Canada!$H$8="STACKED",'SWPS Canada'!W136,"")</f>
        <v/>
      </c>
    </row>
    <row r="126" spans="1:3" x14ac:dyDescent="0.25">
      <c r="A126" s="4">
        <f>IF(Canada!$H$8="SWAPS",'SWPS Canada'!V137,'TRSYS Canada'!V137)</f>
        <v>41934</v>
      </c>
      <c r="B126">
        <f ca="1">IF(Canada!$H$8="SWAPS",'SWPS Canada'!W137,'TRSYS Canada'!W137)</f>
        <v>0.59501821019771062</v>
      </c>
      <c r="C126" t="str">
        <f>IF(Canada!$H$8="STACKED",'SWPS Canada'!W137,"")</f>
        <v/>
      </c>
    </row>
    <row r="127" spans="1:3" x14ac:dyDescent="0.25">
      <c r="A127" s="4">
        <f>IF(Canada!$H$8="SWAPS",'SWPS Canada'!V138,'TRSYS Canada'!V138)</f>
        <v>41933</v>
      </c>
      <c r="B127">
        <f ca="1">IF(Canada!$H$8="SWAPS",'SWPS Canada'!W138,'TRSYS Canada'!W138)</f>
        <v>0.587798374809548</v>
      </c>
      <c r="C127" t="str">
        <f>IF(Canada!$H$8="STACKED",'SWPS Canada'!W138,"")</f>
        <v/>
      </c>
    </row>
    <row r="128" spans="1:3" x14ac:dyDescent="0.25">
      <c r="A128" s="4">
        <f>IF(Canada!$H$8="SWAPS",'SWPS Canada'!V139,'TRSYS Canada'!V139)</f>
        <v>41932</v>
      </c>
      <c r="B128">
        <f ca="1">IF(Canada!$H$8="SWAPS",'SWPS Canada'!W139,'TRSYS Canada'!W139)</f>
        <v>0.58256533266001764</v>
      </c>
      <c r="C128" t="str">
        <f>IF(Canada!$H$8="STACKED",'SWPS Canada'!W139,"")</f>
        <v/>
      </c>
    </row>
    <row r="129" spans="1:3" x14ac:dyDescent="0.25">
      <c r="A129" s="4">
        <f>IF(Canada!$H$8="SWAPS",'SWPS Canada'!V140,'TRSYS Canada'!V140)</f>
        <v>41929</v>
      </c>
      <c r="B129">
        <f ca="1">IF(Canada!$H$8="SWAPS",'SWPS Canada'!W140,'TRSYS Canada'!W140)</f>
        <v>0.58498124244929095</v>
      </c>
      <c r="C129" t="str">
        <f>IF(Canada!$H$8="STACKED",'SWPS Canada'!W140,"")</f>
        <v/>
      </c>
    </row>
    <row r="130" spans="1:3" x14ac:dyDescent="0.25">
      <c r="A130" s="4">
        <f>IF(Canada!$H$8="SWAPS",'SWPS Canada'!V141,'TRSYS Canada'!V141)</f>
        <v>41928</v>
      </c>
      <c r="B130">
        <f ca="1">IF(Canada!$H$8="SWAPS",'SWPS Canada'!W141,'TRSYS Canada'!W141)</f>
        <v>0.5966295707472179</v>
      </c>
      <c r="C130" t="str">
        <f>IF(Canada!$H$8="STACKED",'SWPS Canada'!W141,"")</f>
        <v/>
      </c>
    </row>
    <row r="131" spans="1:3" x14ac:dyDescent="0.25">
      <c r="A131" s="4">
        <f>IF(Canada!$H$8="SWAPS",'SWPS Canada'!V142,'TRSYS Canada'!V142)</f>
        <v>41927</v>
      </c>
      <c r="B131">
        <f ca="1">IF(Canada!$H$8="SWAPS",'SWPS Canada'!W142,'TRSYS Canada'!W142)</f>
        <v>0.59924974567650058</v>
      </c>
      <c r="C131" t="str">
        <f>IF(Canada!$H$8="STACKED",'SWPS Canada'!W142,"")</f>
        <v/>
      </c>
    </row>
    <row r="132" spans="1:3" x14ac:dyDescent="0.25">
      <c r="A132" s="4">
        <f>IF(Canada!$H$8="SWAPS",'SWPS Canada'!V143,'TRSYS Canada'!V143)</f>
        <v>41926</v>
      </c>
      <c r="B132">
        <f ca="1">IF(Canada!$H$8="SWAPS",'SWPS Canada'!W143,'TRSYS Canada'!W143)</f>
        <v>0.58010870971916662</v>
      </c>
      <c r="C132" t="str">
        <f>IF(Canada!$H$8="STACKED",'SWPS Canada'!W143,"")</f>
        <v/>
      </c>
    </row>
    <row r="133" spans="1:3" x14ac:dyDescent="0.25">
      <c r="A133" s="4">
        <f>IF(Canada!$H$8="SWAPS",'SWPS Canada'!V144,'TRSYS Canada'!V144)</f>
        <v>41925</v>
      </c>
      <c r="B133">
        <f ca="1">IF(Canada!$H$8="SWAPS",'SWPS Canada'!W144,'TRSYS Canada'!W144)</f>
        <v>0.58028963219274632</v>
      </c>
      <c r="C133" t="str">
        <f>IF(Canada!$H$8="STACKED",'SWPS Canada'!W144,"")</f>
        <v/>
      </c>
    </row>
    <row r="134" spans="1:3" x14ac:dyDescent="0.25">
      <c r="A134" s="4">
        <f>IF(Canada!$H$8="SWAPS",'SWPS Canada'!V145,'TRSYS Canada'!V145)</f>
        <v>41922</v>
      </c>
      <c r="B134">
        <f ca="1">IF(Canada!$H$8="SWAPS",'SWPS Canada'!W145,'TRSYS Canada'!W145)</f>
        <v>0.57437144136651541</v>
      </c>
      <c r="C134" t="str">
        <f>IF(Canada!$H$8="STACKED",'SWPS Canada'!W145,"")</f>
        <v/>
      </c>
    </row>
    <row r="135" spans="1:3" x14ac:dyDescent="0.25">
      <c r="A135" s="4">
        <f>IF(Canada!$H$8="SWAPS",'SWPS Canada'!V146,'TRSYS Canada'!V146)</f>
        <v>41921</v>
      </c>
      <c r="B135">
        <f ca="1">IF(Canada!$H$8="SWAPS",'SWPS Canada'!W146,'TRSYS Canada'!W146)</f>
        <v>0.57837597612849978</v>
      </c>
      <c r="C135" t="str">
        <f>IF(Canada!$H$8="STACKED",'SWPS Canada'!W146,"")</f>
        <v/>
      </c>
    </row>
    <row r="136" spans="1:3" x14ac:dyDescent="0.25">
      <c r="A136" s="4">
        <f>IF(Canada!$H$8="SWAPS",'SWPS Canada'!V147,'TRSYS Canada'!V147)</f>
        <v>41920</v>
      </c>
      <c r="B136">
        <f ca="1">IF(Canada!$H$8="SWAPS",'SWPS Canada'!W147,'TRSYS Canada'!W147)</f>
        <v>0.5745322114780862</v>
      </c>
      <c r="C136" t="str">
        <f>IF(Canada!$H$8="STACKED",'SWPS Canada'!W147,"")</f>
        <v/>
      </c>
    </row>
    <row r="137" spans="1:3" x14ac:dyDescent="0.25">
      <c r="A137" s="4">
        <f>IF(Canada!$H$8="SWAPS",'SWPS Canada'!V148,'TRSYS Canada'!V148)</f>
        <v>41919</v>
      </c>
      <c r="B137">
        <f ca="1">IF(Canada!$H$8="SWAPS",'SWPS Canada'!W148,'TRSYS Canada'!W148)</f>
        <v>0.5787569043235351</v>
      </c>
      <c r="C137" t="str">
        <f>IF(Canada!$H$8="STACKED",'SWPS Canada'!W148,"")</f>
        <v/>
      </c>
    </row>
    <row r="138" spans="1:3" x14ac:dyDescent="0.25">
      <c r="A138" s="4">
        <f>IF(Canada!$H$8="SWAPS",'SWPS Canada'!V149,'TRSYS Canada'!V149)</f>
        <v>41918</v>
      </c>
      <c r="B138">
        <f ca="1">IF(Canada!$H$8="SWAPS",'SWPS Canada'!W149,'TRSYS Canada'!W149)</f>
        <v>0.58178391959798992</v>
      </c>
      <c r="C138" t="str">
        <f>IF(Canada!$H$8="STACKED",'SWPS Canada'!W149,"")</f>
        <v/>
      </c>
    </row>
    <row r="139" spans="1:3" x14ac:dyDescent="0.25">
      <c r="A139" s="4">
        <f>IF(Canada!$H$8="SWAPS",'SWPS Canada'!V150,'TRSYS Canada'!V150)</f>
        <v>41915</v>
      </c>
      <c r="B139">
        <f ca="1">IF(Canada!$H$8="SWAPS",'SWPS Canada'!W150,'TRSYS Canada'!W150)</f>
        <v>0.57206528562460746</v>
      </c>
      <c r="C139" t="str">
        <f>IF(Canada!$H$8="STACKED",'SWPS Canada'!W150,"")</f>
        <v/>
      </c>
    </row>
    <row r="140" spans="1:3" x14ac:dyDescent="0.25">
      <c r="A140" s="4">
        <f>IF(Canada!$H$8="SWAPS",'SWPS Canada'!V151,'TRSYS Canada'!V151)</f>
        <v>41914</v>
      </c>
      <c r="B140">
        <f ca="1">IF(Canada!$H$8="SWAPS",'SWPS Canada'!W151,'TRSYS Canada'!W151)</f>
        <v>0.56133094635471348</v>
      </c>
      <c r="C140" t="str">
        <f>IF(Canada!$H$8="STACKED",'SWPS Canada'!W151,"")</f>
        <v/>
      </c>
    </row>
    <row r="141" spans="1:3" x14ac:dyDescent="0.25">
      <c r="A141" s="4">
        <f>IF(Canada!$H$8="SWAPS",'SWPS Canada'!V152,'TRSYS Canada'!V152)</f>
        <v>41913</v>
      </c>
      <c r="B141">
        <f ca="1">IF(Canada!$H$8="SWAPS",'SWPS Canada'!W152,'TRSYS Canada'!W152)</f>
        <v>0.56368580433842164</v>
      </c>
      <c r="C141" t="str">
        <f>IF(Canada!$H$8="STACKED",'SWPS Canada'!W152,"")</f>
        <v/>
      </c>
    </row>
    <row r="142" spans="1:3" x14ac:dyDescent="0.25">
      <c r="A142" s="4">
        <f>IF(Canada!$H$8="SWAPS",'SWPS Canada'!V153,'TRSYS Canada'!V153)</f>
        <v>41912</v>
      </c>
      <c r="B142">
        <f ca="1">IF(Canada!$H$8="SWAPS",'SWPS Canada'!W153,'TRSYS Canada'!W153)</f>
        <v>0.5684968496849685</v>
      </c>
      <c r="C142" t="str">
        <f>IF(Canada!$H$8="STACKED",'SWPS Canada'!W153,"")</f>
        <v/>
      </c>
    </row>
    <row r="143" spans="1:3" x14ac:dyDescent="0.25">
      <c r="A143" s="4">
        <f>IF(Canada!$H$8="SWAPS",'SWPS Canada'!V154,'TRSYS Canada'!V154)</f>
        <v>41911</v>
      </c>
      <c r="B143">
        <f ca="1">IF(Canada!$H$8="SWAPS",'SWPS Canada'!W154,'TRSYS Canada'!W154)</f>
        <v>0.5594892277898813</v>
      </c>
      <c r="C143" t="str">
        <f>IF(Canada!$H$8="STACKED",'SWPS Canada'!W154,"")</f>
        <v/>
      </c>
    </row>
    <row r="144" spans="1:3" x14ac:dyDescent="0.25">
      <c r="A144" s="4">
        <f>IF(Canada!$H$8="SWAPS",'SWPS Canada'!V155,'TRSYS Canada'!V155)</f>
        <v>41908</v>
      </c>
      <c r="B144">
        <f ca="1">IF(Canada!$H$8="SWAPS",'SWPS Canada'!W155,'TRSYS Canada'!W155)</f>
        <v>0.56318763009217954</v>
      </c>
      <c r="C144" t="str">
        <f>IF(Canada!$H$8="STACKED",'SWPS Canada'!W155,"")</f>
        <v/>
      </c>
    </row>
    <row r="145" spans="1:3" x14ac:dyDescent="0.25">
      <c r="A145" s="4">
        <f>IF(Canada!$H$8="SWAPS",'SWPS Canada'!V156,'TRSYS Canada'!V156)</f>
        <v>41907</v>
      </c>
      <c r="B145">
        <f ca="1">IF(Canada!$H$8="SWAPS",'SWPS Canada'!W156,'TRSYS Canada'!W156)</f>
        <v>0.56618962432915909</v>
      </c>
      <c r="C145" t="str">
        <f>IF(Canada!$H$8="STACKED",'SWPS Canada'!W156,"")</f>
        <v/>
      </c>
    </row>
    <row r="146" spans="1:3" x14ac:dyDescent="0.25">
      <c r="A146" s="4">
        <f>IF(Canada!$H$8="SWAPS",'SWPS Canada'!V157,'TRSYS Canada'!V157)</f>
        <v>41906</v>
      </c>
      <c r="B146">
        <f ca="1">IF(Canada!$H$8="SWAPS",'SWPS Canada'!W157,'TRSYS Canada'!W157)</f>
        <v>0.56045552263087528</v>
      </c>
      <c r="C146" t="str">
        <f>IF(Canada!$H$8="STACKED",'SWPS Canada'!W157,"")</f>
        <v/>
      </c>
    </row>
    <row r="147" spans="1:3" x14ac:dyDescent="0.25">
      <c r="A147" s="4">
        <f>IF(Canada!$H$8="SWAPS",'SWPS Canada'!V158,'TRSYS Canada'!V158)</f>
        <v>41905</v>
      </c>
      <c r="B147">
        <f ca="1">IF(Canada!$H$8="SWAPS",'SWPS Canada'!W158,'TRSYS Canada'!W158)</f>
        <v>0.56027174544187652</v>
      </c>
      <c r="C147" t="str">
        <f>IF(Canada!$H$8="STACKED",'SWPS Canada'!W158,"")</f>
        <v/>
      </c>
    </row>
    <row r="148" spans="1:3" x14ac:dyDescent="0.25">
      <c r="A148" s="4">
        <f>IF(Canada!$H$8="SWAPS",'SWPS Canada'!V159,'TRSYS Canada'!V159)</f>
        <v>41904</v>
      </c>
      <c r="B148">
        <f ca="1">IF(Canada!$H$8="SWAPS",'SWPS Canada'!W159,'TRSYS Canada'!W159)</f>
        <v>0.56785527310802175</v>
      </c>
      <c r="C148" t="str">
        <f>IF(Canada!$H$8="STACKED",'SWPS Canada'!W159,"")</f>
        <v/>
      </c>
    </row>
    <row r="149" spans="1:3" x14ac:dyDescent="0.25">
      <c r="A149" s="4">
        <f>IF(Canada!$H$8="SWAPS",'SWPS Canada'!V160,'TRSYS Canada'!V160)</f>
        <v>41901</v>
      </c>
      <c r="B149">
        <f ca="1">IF(Canada!$H$8="SWAPS",'SWPS Canada'!W160,'TRSYS Canada'!W160)</f>
        <v>0.5704159343878149</v>
      </c>
      <c r="C149" t="str">
        <f>IF(Canada!$H$8="STACKED",'SWPS Canada'!W160,"")</f>
        <v/>
      </c>
    </row>
    <row r="150" spans="1:3" x14ac:dyDescent="0.25">
      <c r="A150" s="4">
        <f>IF(Canada!$H$8="SWAPS",'SWPS Canada'!V161,'TRSYS Canada'!V161)</f>
        <v>41900</v>
      </c>
      <c r="B150">
        <f ca="1">IF(Canada!$H$8="SWAPS",'SWPS Canada'!W161,'TRSYS Canada'!W161)</f>
        <v>0.58247658213388176</v>
      </c>
      <c r="C150" t="str">
        <f>IF(Canada!$H$8="STACKED",'SWPS Canada'!W161,"")</f>
        <v/>
      </c>
    </row>
    <row r="151" spans="1:3" x14ac:dyDescent="0.25">
      <c r="A151" s="4">
        <f>IF(Canada!$H$8="SWAPS",'SWPS Canada'!V162,'TRSYS Canada'!V162)</f>
        <v>41899</v>
      </c>
      <c r="B151">
        <f ca="1">IF(Canada!$H$8="SWAPS",'SWPS Canada'!W162,'TRSYS Canada'!W162)</f>
        <v>0.57433203927837417</v>
      </c>
      <c r="C151" t="str">
        <f>IF(Canada!$H$8="STACKED",'SWPS Canada'!W162,"")</f>
        <v/>
      </c>
    </row>
    <row r="152" spans="1:3" x14ac:dyDescent="0.25">
      <c r="A152" s="4">
        <f>IF(Canada!$H$8="SWAPS",'SWPS Canada'!V163,'TRSYS Canada'!V163)</f>
        <v>41898</v>
      </c>
      <c r="B152">
        <f ca="1">IF(Canada!$H$8="SWAPS",'SWPS Canada'!W163,'TRSYS Canada'!W163)</f>
        <v>0.57192443382269242</v>
      </c>
      <c r="C152" t="str">
        <f>IF(Canada!$H$8="STACKED",'SWPS Canada'!W163,"")</f>
        <v/>
      </c>
    </row>
    <row r="153" spans="1:3" x14ac:dyDescent="0.25">
      <c r="A153" s="4">
        <f>IF(Canada!$H$8="SWAPS",'SWPS Canada'!V164,'TRSYS Canada'!V164)</f>
        <v>41897</v>
      </c>
      <c r="B153">
        <f ca="1">IF(Canada!$H$8="SWAPS",'SWPS Canada'!W164,'TRSYS Canada'!W164)</f>
        <v>0.57407832778224399</v>
      </c>
      <c r="C153" t="str">
        <f>IF(Canada!$H$8="STACKED",'SWPS Canada'!W164,"")</f>
        <v/>
      </c>
    </row>
    <row r="154" spans="1:3" x14ac:dyDescent="0.25">
      <c r="A154" s="4">
        <f>IF(Canada!$H$8="SWAPS",'SWPS Canada'!V165,'TRSYS Canada'!V165)</f>
        <v>41894</v>
      </c>
      <c r="B154">
        <f ca="1">IF(Canada!$H$8="SWAPS",'SWPS Canada'!W165,'TRSYS Canada'!W165)</f>
        <v>0.57197973050788897</v>
      </c>
      <c r="C154" t="str">
        <f>IF(Canada!$H$8="STACKED",'SWPS Canada'!W165,"")</f>
        <v/>
      </c>
    </row>
    <row r="155" spans="1:3" x14ac:dyDescent="0.25">
      <c r="A155" s="4">
        <f>IF(Canada!$H$8="SWAPS",'SWPS Canada'!V166,'TRSYS Canada'!V166)</f>
        <v>41893</v>
      </c>
      <c r="B155">
        <f ca="1">IF(Canada!$H$8="SWAPS",'SWPS Canada'!W166,'TRSYS Canada'!W166)</f>
        <v>0.57319069332397998</v>
      </c>
      <c r="C155" t="str">
        <f>IF(Canada!$H$8="STACKED",'SWPS Canada'!W166,"")</f>
        <v/>
      </c>
    </row>
    <row r="156" spans="1:3" x14ac:dyDescent="0.25">
      <c r="A156" s="4">
        <f>IF(Canada!$H$8="SWAPS",'SWPS Canada'!V167,'TRSYS Canada'!V167)</f>
        <v>41892</v>
      </c>
      <c r="B156">
        <f ca="1">IF(Canada!$H$8="SWAPS",'SWPS Canada'!W167,'TRSYS Canada'!W167)</f>
        <v>0.57549824150058626</v>
      </c>
      <c r="C156" t="str">
        <f>IF(Canada!$H$8="STACKED",'SWPS Canada'!W167,"")</f>
        <v/>
      </c>
    </row>
    <row r="157" spans="1:3" x14ac:dyDescent="0.25">
      <c r="A157" s="4">
        <f>IF(Canada!$H$8="SWAPS",'SWPS Canada'!V168,'TRSYS Canada'!V168)</f>
        <v>41891</v>
      </c>
      <c r="B157">
        <f ca="1">IF(Canada!$H$8="SWAPS",'SWPS Canada'!W168,'TRSYS Canada'!W168)</f>
        <v>0.56802700941775763</v>
      </c>
      <c r="C157" t="str">
        <f>IF(Canada!$H$8="STACKED",'SWPS Canada'!W168,"")</f>
        <v/>
      </c>
    </row>
    <row r="158" spans="1:3" x14ac:dyDescent="0.25">
      <c r="A158" s="4">
        <f>IF(Canada!$H$8="SWAPS",'SWPS Canada'!V169,'TRSYS Canada'!V169)</f>
        <v>41890</v>
      </c>
      <c r="B158">
        <f ca="1">IF(Canada!$H$8="SWAPS",'SWPS Canada'!W169,'TRSYS Canada'!W169)</f>
        <v>0.56103604932444406</v>
      </c>
      <c r="C158" t="str">
        <f>IF(Canada!$H$8="STACKED",'SWPS Canada'!W169,"")</f>
        <v/>
      </c>
    </row>
    <row r="159" spans="1:3" x14ac:dyDescent="0.25">
      <c r="A159" s="4">
        <f>IF(Canada!$H$8="SWAPS",'SWPS Canada'!V170,'TRSYS Canada'!V170)</f>
        <v>41887</v>
      </c>
      <c r="B159">
        <f ca="1">IF(Canada!$H$8="SWAPS",'SWPS Canada'!W170,'TRSYS Canada'!W170)</f>
        <v>0.55283786173159677</v>
      </c>
      <c r="C159" t="str">
        <f>IF(Canada!$H$8="STACKED",'SWPS Canada'!W170,"")</f>
        <v/>
      </c>
    </row>
    <row r="160" spans="1:3" x14ac:dyDescent="0.25">
      <c r="A160" s="4">
        <f>IF(Canada!$H$8="SWAPS",'SWPS Canada'!V171,'TRSYS Canada'!V171)</f>
        <v>41886</v>
      </c>
      <c r="B160">
        <f ca="1">IF(Canada!$H$8="SWAPS",'SWPS Canada'!W171,'TRSYS Canada'!W171)</f>
        <v>0.56126529394210689</v>
      </c>
      <c r="C160" t="str">
        <f>IF(Canada!$H$8="STACKED",'SWPS Canada'!W171,"")</f>
        <v/>
      </c>
    </row>
    <row r="161" spans="1:3" x14ac:dyDescent="0.25">
      <c r="A161" s="4">
        <f>IF(Canada!$H$8="SWAPS",'SWPS Canada'!V172,'TRSYS Canada'!V172)</f>
        <v>41885</v>
      </c>
      <c r="B161">
        <f ca="1">IF(Canada!$H$8="SWAPS",'SWPS Canada'!W172,'TRSYS Canada'!W172)</f>
        <v>0.5551443824314487</v>
      </c>
      <c r="C161" t="str">
        <f>IF(Canada!$H$8="STACKED",'SWPS Canada'!W172,"")</f>
        <v/>
      </c>
    </row>
    <row r="162" spans="1:3" x14ac:dyDescent="0.25">
      <c r="A162" s="4">
        <f>IF(Canada!$H$8="SWAPS",'SWPS Canada'!V173,'TRSYS Canada'!V173)</f>
        <v>41884</v>
      </c>
      <c r="B162">
        <f ca="1">IF(Canada!$H$8="SWAPS",'SWPS Canada'!W173,'TRSYS Canada'!W173)</f>
        <v>0.55610372420431997</v>
      </c>
      <c r="C162" t="str">
        <f>IF(Canada!$H$8="STACKED",'SWPS Canada'!W173,"")</f>
        <v/>
      </c>
    </row>
    <row r="163" spans="1:3" x14ac:dyDescent="0.25">
      <c r="A163" s="4">
        <f>IF(Canada!$H$8="SWAPS",'SWPS Canada'!V174,'TRSYS Canada'!V174)</f>
        <v>41883</v>
      </c>
      <c r="B163">
        <f ca="1">IF(Canada!$H$8="SWAPS",'SWPS Canada'!W174,'TRSYS Canada'!W174)</f>
        <v>0.5479357510352616</v>
      </c>
      <c r="C163" t="str">
        <f>IF(Canada!$H$8="STACKED",'SWPS Canada'!W174,"")</f>
        <v/>
      </c>
    </row>
    <row r="164" spans="1:3" x14ac:dyDescent="0.25">
      <c r="A164" s="4">
        <f>IF(Canada!$H$8="SWAPS",'SWPS Canada'!V175,'TRSYS Canada'!V175)</f>
        <v>41880</v>
      </c>
      <c r="B164">
        <f ca="1">IF(Canada!$H$8="SWAPS",'SWPS Canada'!W175,'TRSYS Canada'!W175)</f>
        <v>0.5454260258501693</v>
      </c>
      <c r="C164" t="str">
        <f>IF(Canada!$H$8="STACKED",'SWPS Canada'!W175,"")</f>
        <v/>
      </c>
    </row>
    <row r="165" spans="1:3" x14ac:dyDescent="0.25">
      <c r="A165" s="4">
        <f>IF(Canada!$H$8="SWAPS",'SWPS Canada'!V176,'TRSYS Canada'!V176)</f>
        <v>41879</v>
      </c>
      <c r="B165">
        <f ca="1">IF(Canada!$H$8="SWAPS",'SWPS Canada'!W176,'TRSYS Canada'!W176)</f>
        <v>0.54330413016270318</v>
      </c>
      <c r="C165" t="str">
        <f>IF(Canada!$H$8="STACKED",'SWPS Canada'!W176,"")</f>
        <v/>
      </c>
    </row>
    <row r="166" spans="1:3" x14ac:dyDescent="0.25">
      <c r="A166" s="4">
        <f>IF(Canada!$H$8="SWAPS",'SWPS Canada'!V177,'TRSYS Canada'!V177)</f>
        <v>41878</v>
      </c>
      <c r="B166">
        <f ca="1">IF(Canada!$H$8="SWAPS",'SWPS Canada'!W177,'TRSYS Canada'!W177)</f>
        <v>0.54256442098727087</v>
      </c>
      <c r="C166" t="str">
        <f>IF(Canada!$H$8="STACKED",'SWPS Canada'!W177,"")</f>
        <v/>
      </c>
    </row>
    <row r="167" spans="1:3" x14ac:dyDescent="0.25">
      <c r="A167" s="4">
        <f>IF(Canada!$H$8="SWAPS",'SWPS Canada'!V178,'TRSYS Canada'!V178)</f>
        <v>41877</v>
      </c>
      <c r="B167">
        <f ca="1">IF(Canada!$H$8="SWAPS",'SWPS Canada'!W178,'TRSYS Canada'!W178)</f>
        <v>0.54823815309842039</v>
      </c>
      <c r="C167" t="str">
        <f>IF(Canada!$H$8="STACKED",'SWPS Canada'!W178,"")</f>
        <v/>
      </c>
    </row>
    <row r="168" spans="1:3" x14ac:dyDescent="0.25">
      <c r="A168" s="4">
        <f>IF(Canada!$H$8="SWAPS",'SWPS Canada'!V179,'TRSYS Canada'!V179)</f>
        <v>41876</v>
      </c>
      <c r="B168">
        <f ca="1">IF(Canada!$H$8="SWAPS",'SWPS Canada'!W179,'TRSYS Canada'!W179)</f>
        <v>0.54659888646816746</v>
      </c>
      <c r="C168" t="str">
        <f>IF(Canada!$H$8="STACKED",'SWPS Canada'!W179,"")</f>
        <v/>
      </c>
    </row>
    <row r="169" spans="1:3" x14ac:dyDescent="0.25">
      <c r="A169" s="4">
        <f>IF(Canada!$H$8="SWAPS",'SWPS Canada'!V180,'TRSYS Canada'!V180)</f>
        <v>41873</v>
      </c>
      <c r="B169">
        <f ca="1">IF(Canada!$H$8="SWAPS",'SWPS Canada'!W180,'TRSYS Canada'!W180)</f>
        <v>0.55378131307135237</v>
      </c>
      <c r="C169" t="str">
        <f>IF(Canada!$H$8="STACKED",'SWPS Canada'!W180,"")</f>
        <v/>
      </c>
    </row>
    <row r="170" spans="1:3" x14ac:dyDescent="0.25">
      <c r="A170" s="4">
        <f>IF(Canada!$H$8="SWAPS",'SWPS Canada'!V181,'TRSYS Canada'!V181)</f>
        <v>41872</v>
      </c>
      <c r="B170">
        <f ca="1">IF(Canada!$H$8="SWAPS",'SWPS Canada'!W181,'TRSYS Canada'!W181)</f>
        <v>0.55616791744840521</v>
      </c>
      <c r="C170" t="str">
        <f>IF(Canada!$H$8="STACKED",'SWPS Canada'!W181,"")</f>
        <v/>
      </c>
    </row>
    <row r="171" spans="1:3" x14ac:dyDescent="0.25">
      <c r="A171" s="4">
        <f>IF(Canada!$H$8="SWAPS",'SWPS Canada'!V182,'TRSYS Canada'!V182)</f>
        <v>41871</v>
      </c>
      <c r="B171">
        <f ca="1">IF(Canada!$H$8="SWAPS",'SWPS Canada'!W182,'TRSYS Canada'!W182)</f>
        <v>0.55857898715041554</v>
      </c>
      <c r="C171" t="str">
        <f>IF(Canada!$H$8="STACKED",'SWPS Canada'!W182,"")</f>
        <v/>
      </c>
    </row>
    <row r="172" spans="1:3" x14ac:dyDescent="0.25">
      <c r="A172" s="4">
        <f>IF(Canada!$H$8="SWAPS",'SWPS Canada'!V183,'TRSYS Canada'!V183)</f>
        <v>41870</v>
      </c>
      <c r="B172">
        <f ca="1">IF(Canada!$H$8="SWAPS",'SWPS Canada'!W183,'TRSYS Canada'!W183)</f>
        <v>0.56015917602996268</v>
      </c>
      <c r="C172" t="str">
        <f>IF(Canada!$H$8="STACKED",'SWPS Canada'!W183,"")</f>
        <v/>
      </c>
    </row>
    <row r="173" spans="1:3" x14ac:dyDescent="0.25">
      <c r="A173" s="4">
        <f>IF(Canada!$H$8="SWAPS",'SWPS Canada'!V184,'TRSYS Canada'!V184)</f>
        <v>41869</v>
      </c>
      <c r="B173">
        <f ca="1">IF(Canada!$H$8="SWAPS",'SWPS Canada'!W184,'TRSYS Canada'!W184)</f>
        <v>0.55773624699748081</v>
      </c>
      <c r="C173" t="str">
        <f>IF(Canada!$H$8="STACKED",'SWPS Canada'!W184,"")</f>
        <v/>
      </c>
    </row>
    <row r="174" spans="1:3" x14ac:dyDescent="0.25">
      <c r="A174" s="4">
        <f>IF(Canada!$H$8="SWAPS",'SWPS Canada'!V185,'TRSYS Canada'!V185)</f>
        <v>41866</v>
      </c>
      <c r="B174">
        <f ca="1">IF(Canada!$H$8="SWAPS",'SWPS Canada'!W185,'TRSYS Canada'!W185)</f>
        <v>0.54690087532528986</v>
      </c>
      <c r="C174" t="str">
        <f>IF(Canada!$H$8="STACKED",'SWPS Canada'!W185,"")</f>
        <v/>
      </c>
    </row>
    <row r="175" spans="1:3" x14ac:dyDescent="0.25">
      <c r="A175" s="4">
        <f>IF(Canada!$H$8="SWAPS",'SWPS Canada'!V186,'TRSYS Canada'!V186)</f>
        <v>41865</v>
      </c>
      <c r="B175">
        <f ca="1">IF(Canada!$H$8="SWAPS",'SWPS Canada'!W186,'TRSYS Canada'!W186)</f>
        <v>0.56288707530242532</v>
      </c>
      <c r="C175" t="str">
        <f>IF(Canada!$H$8="STACKED",'SWPS Canada'!W186,"")</f>
        <v/>
      </c>
    </row>
    <row r="176" spans="1:3" x14ac:dyDescent="0.25">
      <c r="A176" s="4">
        <f>IF(Canada!$H$8="SWAPS",'SWPS Canada'!V187,'TRSYS Canada'!V187)</f>
        <v>41864</v>
      </c>
      <c r="B176">
        <f ca="1">IF(Canada!$H$8="SWAPS",'SWPS Canada'!W187,'TRSYS Canada'!W187)</f>
        <v>0.55553016453382087</v>
      </c>
      <c r="C176" t="str">
        <f>IF(Canada!$H$8="STACKED",'SWPS Canada'!W187,"")</f>
        <v/>
      </c>
    </row>
    <row r="177" spans="1:3" x14ac:dyDescent="0.25">
      <c r="A177" s="4">
        <f>IF(Canada!$H$8="SWAPS",'SWPS Canada'!V188,'TRSYS Canada'!V188)</f>
        <v>41863</v>
      </c>
      <c r="B177">
        <f ca="1">IF(Canada!$H$8="SWAPS",'SWPS Canada'!W188,'TRSYS Canada'!W188)</f>
        <v>0.56375570776255723</v>
      </c>
      <c r="C177" t="str">
        <f>IF(Canada!$H$8="STACKED",'SWPS Canada'!W188,"")</f>
        <v/>
      </c>
    </row>
    <row r="178" spans="1:3" x14ac:dyDescent="0.25">
      <c r="A178" s="4">
        <f>IF(Canada!$H$8="SWAPS",'SWPS Canada'!V189,'TRSYS Canada'!V189)</f>
        <v>41862</v>
      </c>
      <c r="B178">
        <f ca="1">IF(Canada!$H$8="SWAPS",'SWPS Canada'!W189,'TRSYS Canada'!W189)</f>
        <v>0.56084020146520164</v>
      </c>
      <c r="C178" t="str">
        <f>IF(Canada!$H$8="STACKED",'SWPS Canada'!W189,"")</f>
        <v/>
      </c>
    </row>
    <row r="179" spans="1:3" x14ac:dyDescent="0.25">
      <c r="A179" s="4">
        <f>IF(Canada!$H$8="SWAPS",'SWPS Canada'!V190,'TRSYS Canada'!V190)</f>
        <v>41859</v>
      </c>
      <c r="B179">
        <f ca="1">IF(Canada!$H$8="SWAPS",'SWPS Canada'!W190,'TRSYS Canada'!W190)</f>
        <v>0.55797059671375038</v>
      </c>
      <c r="C179" t="str">
        <f>IF(Canada!$H$8="STACKED",'SWPS Canada'!W190,"")</f>
        <v/>
      </c>
    </row>
    <row r="180" spans="1:3" x14ac:dyDescent="0.25">
      <c r="A180" s="4">
        <f>IF(Canada!$H$8="SWAPS",'SWPS Canada'!V191,'TRSYS Canada'!V191)</f>
        <v>41858</v>
      </c>
      <c r="B180">
        <f ca="1">IF(Canada!$H$8="SWAPS",'SWPS Canada'!W191,'TRSYS Canada'!W191)</f>
        <v>0.55890554200069698</v>
      </c>
      <c r="C180" t="str">
        <f>IF(Canada!$H$8="STACKED",'SWPS Canada'!W191,"")</f>
        <v/>
      </c>
    </row>
    <row r="181" spans="1:3" x14ac:dyDescent="0.25">
      <c r="A181" s="4">
        <f>IF(Canada!$H$8="SWAPS",'SWPS Canada'!V192,'TRSYS Canada'!V192)</f>
        <v>41857</v>
      </c>
      <c r="B181">
        <f ca="1">IF(Canada!$H$8="SWAPS",'SWPS Canada'!W192,'TRSYS Canada'!W192)</f>
        <v>0.56534813786722204</v>
      </c>
      <c r="C181" t="str">
        <f>IF(Canada!$H$8="STACKED",'SWPS Canada'!W192,"")</f>
        <v/>
      </c>
    </row>
    <row r="182" spans="1:3" x14ac:dyDescent="0.25">
      <c r="A182" s="4">
        <f>IF(Canada!$H$8="SWAPS",'SWPS Canada'!V193,'TRSYS Canada'!V193)</f>
        <v>41856</v>
      </c>
      <c r="B182">
        <f ca="1">IF(Canada!$H$8="SWAPS",'SWPS Canada'!W193,'TRSYS Canada'!W193)</f>
        <v>0.56945978949816833</v>
      </c>
      <c r="C182" t="str">
        <f>IF(Canada!$H$8="STACKED",'SWPS Canada'!W193,"")</f>
        <v/>
      </c>
    </row>
    <row r="183" spans="1:3" x14ac:dyDescent="0.25">
      <c r="A183" s="4">
        <f>IF(Canada!$H$8="SWAPS",'SWPS Canada'!V194,'TRSYS Canada'!V194)</f>
        <v>41855</v>
      </c>
      <c r="B183">
        <f ca="1">IF(Canada!$H$8="SWAPS",'SWPS Canada'!W194,'TRSYS Canada'!W194)</f>
        <v>0.57125520110957007</v>
      </c>
      <c r="C183" t="str">
        <f>IF(Canada!$H$8="STACKED",'SWPS Canada'!W194,"")</f>
        <v/>
      </c>
    </row>
    <row r="184" spans="1:3" x14ac:dyDescent="0.25">
      <c r="A184" s="4">
        <f>IF(Canada!$H$8="SWAPS",'SWPS Canada'!V195,'TRSYS Canada'!V195)</f>
        <v>41852</v>
      </c>
      <c r="B184">
        <f ca="1">IF(Canada!$H$8="SWAPS",'SWPS Canada'!W195,'TRSYS Canada'!W195)</f>
        <v>0.56723490320716563</v>
      </c>
      <c r="C184" t="str">
        <f>IF(Canada!$H$8="STACKED",'SWPS Canada'!W195,"")</f>
        <v/>
      </c>
    </row>
    <row r="185" spans="1:3" x14ac:dyDescent="0.25">
      <c r="A185" s="4">
        <f>IF(Canada!$H$8="SWAPS",'SWPS Canada'!V196,'TRSYS Canada'!V196)</f>
        <v>41851</v>
      </c>
      <c r="B185">
        <f ca="1">IF(Canada!$H$8="SWAPS",'SWPS Canada'!W196,'TRSYS Canada'!W196)</f>
        <v>0.57218853678068859</v>
      </c>
      <c r="C185" t="str">
        <f>IF(Canada!$H$8="STACKED",'SWPS Canada'!W196,"")</f>
        <v/>
      </c>
    </row>
    <row r="186" spans="1:3" x14ac:dyDescent="0.25">
      <c r="A186" s="4">
        <f>IF(Canada!$H$8="SWAPS",'SWPS Canada'!V197,'TRSYS Canada'!V197)</f>
        <v>41850</v>
      </c>
      <c r="B186">
        <f ca="1">IF(Canada!$H$8="SWAPS",'SWPS Canada'!W197,'TRSYS Canada'!W197)</f>
        <v>0.56847738519967783</v>
      </c>
      <c r="C186" t="str">
        <f>IF(Canada!$H$8="STACKED",'SWPS Canada'!W197,"")</f>
        <v/>
      </c>
    </row>
    <row r="187" spans="1:3" x14ac:dyDescent="0.25">
      <c r="A187" s="4">
        <f>IF(Canada!$H$8="SWAPS",'SWPS Canada'!V198,'TRSYS Canada'!V198)</f>
        <v>41849</v>
      </c>
      <c r="B187">
        <f ca="1">IF(Canada!$H$8="SWAPS",'SWPS Canada'!W198,'TRSYS Canada'!W198)</f>
        <v>0.55698572431546911</v>
      </c>
      <c r="C187" t="str">
        <f>IF(Canada!$H$8="STACKED",'SWPS Canada'!W198,"")</f>
        <v/>
      </c>
    </row>
    <row r="188" spans="1:3" x14ac:dyDescent="0.25">
      <c r="A188" s="4">
        <f>IF(Canada!$H$8="SWAPS",'SWPS Canada'!V199,'TRSYS Canada'!V199)</f>
        <v>41848</v>
      </c>
      <c r="B188">
        <f ca="1">IF(Canada!$H$8="SWAPS",'SWPS Canada'!W199,'TRSYS Canada'!W199)</f>
        <v>0.56052495251251933</v>
      </c>
      <c r="C188" t="str">
        <f>IF(Canada!$H$8="STACKED",'SWPS Canada'!W199,"")</f>
        <v/>
      </c>
    </row>
    <row r="189" spans="1:3" x14ac:dyDescent="0.25">
      <c r="A189" s="4">
        <f>IF(Canada!$H$8="SWAPS",'SWPS Canada'!V200,'TRSYS Canada'!V200)</f>
        <v>41845</v>
      </c>
      <c r="B189">
        <f ca="1">IF(Canada!$H$8="SWAPS",'SWPS Canada'!W200,'TRSYS Canada'!W200)</f>
        <v>0.56089706728004596</v>
      </c>
      <c r="C189" t="str">
        <f>IF(Canada!$H$8="STACKED",'SWPS Canada'!W200,"")</f>
        <v/>
      </c>
    </row>
    <row r="190" spans="1:3" x14ac:dyDescent="0.25">
      <c r="A190" s="4">
        <f>IF(Canada!$H$8="SWAPS",'SWPS Canada'!V201,'TRSYS Canada'!V201)</f>
        <v>41844</v>
      </c>
      <c r="B190">
        <f ca="1">IF(Canada!$H$8="SWAPS",'SWPS Canada'!W201,'TRSYS Canada'!W201)</f>
        <v>0.5615970879308384</v>
      </c>
      <c r="C190" t="str">
        <f>IF(Canada!$H$8="STACKED",'SWPS Canada'!W201,"")</f>
        <v/>
      </c>
    </row>
    <row r="191" spans="1:3" x14ac:dyDescent="0.25">
      <c r="A191" s="4">
        <f>IF(Canada!$H$8="SWAPS",'SWPS Canada'!V202,'TRSYS Canada'!V202)</f>
        <v>41843</v>
      </c>
      <c r="B191">
        <f ca="1">IF(Canada!$H$8="SWAPS",'SWPS Canada'!W202,'TRSYS Canada'!W202)</f>
        <v>0.56930749828021088</v>
      </c>
      <c r="C191" t="str">
        <f>IF(Canada!$H$8="STACKED",'SWPS Canada'!W202,"")</f>
        <v/>
      </c>
    </row>
    <row r="192" spans="1:3" x14ac:dyDescent="0.25">
      <c r="A192" s="4">
        <f>IF(Canada!$H$8="SWAPS",'SWPS Canada'!V203,'TRSYS Canada'!V203)</f>
        <v>41842</v>
      </c>
      <c r="B192">
        <f ca="1">IF(Canada!$H$8="SWAPS",'SWPS Canada'!W203,'TRSYS Canada'!W203)</f>
        <v>0.56637677820653121</v>
      </c>
      <c r="C192" t="str">
        <f>IF(Canada!$H$8="STACKED",'SWPS Canada'!W203,"")</f>
        <v/>
      </c>
    </row>
    <row r="193" spans="1:3" x14ac:dyDescent="0.25">
      <c r="A193" s="4">
        <f>IF(Canada!$H$8="SWAPS",'SWPS Canada'!V204,'TRSYS Canada'!V204)</f>
        <v>41841</v>
      </c>
      <c r="B193">
        <f ca="1">IF(Canada!$H$8="SWAPS",'SWPS Canada'!W204,'TRSYS Canada'!W204)</f>
        <v>0.56768911439114411</v>
      </c>
      <c r="C193" t="str">
        <f>IF(Canada!$H$8="STACKED",'SWPS Canada'!W204,"")</f>
        <v/>
      </c>
    </row>
    <row r="194" spans="1:3" x14ac:dyDescent="0.25">
      <c r="A194" s="4">
        <f>IF(Canada!$H$8="SWAPS",'SWPS Canada'!V205,'TRSYS Canada'!V205)</f>
        <v>41838</v>
      </c>
      <c r="B194">
        <f ca="1">IF(Canada!$H$8="SWAPS",'SWPS Canada'!W205,'TRSYS Canada'!W205)</f>
        <v>0.57084269662921372</v>
      </c>
      <c r="C194" t="str">
        <f>IF(Canada!$H$8="STACKED",'SWPS Canada'!W205,"")</f>
        <v/>
      </c>
    </row>
    <row r="195" spans="1:3" x14ac:dyDescent="0.25">
      <c r="A195" s="4">
        <f>IF(Canada!$H$8="SWAPS",'SWPS Canada'!V206,'TRSYS Canada'!V206)</f>
        <v>41837</v>
      </c>
      <c r="B195">
        <f ca="1">IF(Canada!$H$8="SWAPS",'SWPS Canada'!W206,'TRSYS Canada'!W206)</f>
        <v>0.56446620518881185</v>
      </c>
      <c r="C195" t="str">
        <f>IF(Canada!$H$8="STACKED",'SWPS Canada'!W206,"")</f>
        <v/>
      </c>
    </row>
    <row r="196" spans="1:3" x14ac:dyDescent="0.25">
      <c r="A196" s="4">
        <f>IF(Canada!$H$8="SWAPS",'SWPS Canada'!V207,'TRSYS Canada'!V207)</f>
        <v>41836</v>
      </c>
      <c r="B196">
        <f ca="1">IF(Canada!$H$8="SWAPS",'SWPS Canada'!W207,'TRSYS Canada'!W207)</f>
        <v>0.56514818880351259</v>
      </c>
      <c r="C196" t="str">
        <f>IF(Canada!$H$8="STACKED",'SWPS Canada'!W207,"")</f>
        <v/>
      </c>
    </row>
    <row r="197" spans="1:3" x14ac:dyDescent="0.25">
      <c r="A197" s="4">
        <f>IF(Canada!$H$8="SWAPS",'SWPS Canada'!V208,'TRSYS Canada'!V208)</f>
        <v>41835</v>
      </c>
      <c r="B197">
        <f ca="1">IF(Canada!$H$8="SWAPS",'SWPS Canada'!W208,'TRSYS Canada'!W208)</f>
        <v>0.56701424905825193</v>
      </c>
      <c r="C197" t="str">
        <f>IF(Canada!$H$8="STACKED",'SWPS Canada'!W208,"")</f>
        <v/>
      </c>
    </row>
    <row r="198" spans="1:3" x14ac:dyDescent="0.25">
      <c r="A198" s="4">
        <f>IF(Canada!$H$8="SWAPS",'SWPS Canada'!V209,'TRSYS Canada'!V209)</f>
        <v>41834</v>
      </c>
      <c r="B198">
        <f ca="1">IF(Canada!$H$8="SWAPS",'SWPS Canada'!W209,'TRSYS Canada'!W209)</f>
        <v>0.56952266389633099</v>
      </c>
      <c r="C198" t="str">
        <f>IF(Canada!$H$8="STACKED",'SWPS Canada'!W209,"")</f>
        <v/>
      </c>
    </row>
    <row r="199" spans="1:3" x14ac:dyDescent="0.25">
      <c r="A199" s="4">
        <f>IF(Canada!$H$8="SWAPS",'SWPS Canada'!V210,'TRSYS Canada'!V210)</f>
        <v>41831</v>
      </c>
      <c r="B199">
        <f ca="1">IF(Canada!$H$8="SWAPS",'SWPS Canada'!W210,'TRSYS Canada'!W210)</f>
        <v>0.57011039710001654</v>
      </c>
      <c r="C199" t="str">
        <f>IF(Canada!$H$8="STACKED",'SWPS Canada'!W210,"")</f>
        <v/>
      </c>
    </row>
    <row r="200" spans="1:3" x14ac:dyDescent="0.25">
      <c r="A200" s="4">
        <f>IF(Canada!$H$8="SWAPS",'SWPS Canada'!V211,'TRSYS Canada'!V211)</f>
        <v>41830</v>
      </c>
      <c r="B200">
        <f ca="1">IF(Canada!$H$8="SWAPS",'SWPS Canada'!W211,'TRSYS Canada'!W211)</f>
        <v>0.57009141168098976</v>
      </c>
      <c r="C200" t="str">
        <f>IF(Canada!$H$8="STACKED",'SWPS Canada'!W211,"")</f>
        <v/>
      </c>
    </row>
    <row r="201" spans="1:3" x14ac:dyDescent="0.25">
      <c r="A201" s="4">
        <f>IF(Canada!$H$8="SWAPS",'SWPS Canada'!V212,'TRSYS Canada'!V212)</f>
        <v>41829</v>
      </c>
      <c r="B201">
        <f ca="1">IF(Canada!$H$8="SWAPS",'SWPS Canada'!W212,'TRSYS Canada'!W212)</f>
        <v>0.57406087194954747</v>
      </c>
      <c r="C201" t="str">
        <f>IF(Canada!$H$8="STACKED",'SWPS Canada'!W212,"")</f>
        <v/>
      </c>
    </row>
    <row r="202" spans="1:3" x14ac:dyDescent="0.25">
      <c r="A202" s="4">
        <f>IF(Canada!$H$8="SWAPS",'SWPS Canada'!V213,'TRSYS Canada'!V213)</f>
        <v>41828</v>
      </c>
      <c r="B202">
        <f ca="1">IF(Canada!$H$8="SWAPS",'SWPS Canada'!W213,'TRSYS Canada'!W213)</f>
        <v>0.57438692098092636</v>
      </c>
      <c r="C202" t="str">
        <f>IF(Canada!$H$8="STACKED",'SWPS Canada'!W213,"")</f>
        <v/>
      </c>
    </row>
    <row r="203" spans="1:3" x14ac:dyDescent="0.25">
      <c r="A203" s="4">
        <f>IF(Canada!$H$8="SWAPS",'SWPS Canada'!V214,'TRSYS Canada'!V214)</f>
        <v>41827</v>
      </c>
      <c r="B203">
        <f ca="1">IF(Canada!$H$8="SWAPS",'SWPS Canada'!W214,'TRSYS Canada'!W214)</f>
        <v>0.5844344183048662</v>
      </c>
      <c r="C203" t="str">
        <f>IF(Canada!$H$8="STACKED",'SWPS Canada'!W214,"")</f>
        <v/>
      </c>
    </row>
    <row r="204" spans="1:3" x14ac:dyDescent="0.25">
      <c r="A204" s="4">
        <f>IF(Canada!$H$8="SWAPS",'SWPS Canada'!V215,'TRSYS Canada'!V215)</f>
        <v>41824</v>
      </c>
      <c r="B204">
        <f ca="1">IF(Canada!$H$8="SWAPS",'SWPS Canada'!W215,'TRSYS Canada'!W215)</f>
        <v>0.58914438502673816</v>
      </c>
      <c r="C204" t="str">
        <f>IF(Canada!$H$8="STACKED",'SWPS Canada'!W215,"")</f>
        <v/>
      </c>
    </row>
    <row r="205" spans="1:3" x14ac:dyDescent="0.25">
      <c r="A205" s="4">
        <f>IF(Canada!$H$8="SWAPS",'SWPS Canada'!V216,'TRSYS Canada'!V216)</f>
        <v>41823</v>
      </c>
      <c r="B205">
        <f ca="1">IF(Canada!$H$8="SWAPS",'SWPS Canada'!W216,'TRSYS Canada'!W216)</f>
        <v>0.58906383890317049</v>
      </c>
      <c r="C205" t="str">
        <f>IF(Canada!$H$8="STACKED",'SWPS Canada'!W216,"")</f>
        <v/>
      </c>
    </row>
    <row r="206" spans="1:3" x14ac:dyDescent="0.25">
      <c r="A206" s="4">
        <f>IF(Canada!$H$8="SWAPS",'SWPS Canada'!V217,'TRSYS Canada'!V217)</f>
        <v>41822</v>
      </c>
      <c r="B206">
        <f ca="1">IF(Canada!$H$8="SWAPS",'SWPS Canada'!W217,'TRSYS Canada'!W217)</f>
        <v>0.59313332263757412</v>
      </c>
      <c r="C206" t="str">
        <f>IF(Canada!$H$8="STACKED",'SWPS Canada'!W217,"")</f>
        <v/>
      </c>
    </row>
    <row r="207" spans="1:3" x14ac:dyDescent="0.25">
      <c r="A207" s="4">
        <f>IF(Canada!$H$8="SWAPS",'SWPS Canada'!V218,'TRSYS Canada'!V218)</f>
        <v>41821</v>
      </c>
      <c r="B207">
        <f ca="1">IF(Canada!$H$8="SWAPS",'SWPS Canada'!W218,'TRSYS Canada'!W218)</f>
        <v>0.58111499018110391</v>
      </c>
      <c r="C207" t="str">
        <f>IF(Canada!$H$8="STACKED",'SWPS Canada'!W218,"")</f>
        <v/>
      </c>
    </row>
    <row r="208" spans="1:3" x14ac:dyDescent="0.25">
      <c r="A208" s="4">
        <f>IF(Canada!$H$8="SWAPS",'SWPS Canada'!V219,'TRSYS Canada'!V219)</f>
        <v>41820</v>
      </c>
      <c r="B208">
        <f ca="1">IF(Canada!$H$8="SWAPS",'SWPS Canada'!W219,'TRSYS Canada'!W219)</f>
        <v>0.58118352877011181</v>
      </c>
      <c r="C208" t="str">
        <f>IF(Canada!$H$8="STACKED",'SWPS Canada'!W219,"")</f>
        <v/>
      </c>
    </row>
    <row r="209" spans="1:3" x14ac:dyDescent="0.25">
      <c r="A209" s="4">
        <f>IF(Canada!$H$8="SWAPS",'SWPS Canada'!V220,'TRSYS Canada'!V220)</f>
        <v>41817</v>
      </c>
      <c r="B209">
        <f ca="1">IF(Canada!$H$8="SWAPS",'SWPS Canada'!W220,'TRSYS Canada'!W220)</f>
        <v>0.57646103896103895</v>
      </c>
      <c r="C209" t="str">
        <f>IF(Canada!$H$8="STACKED",'SWPS Canada'!W220,"")</f>
        <v/>
      </c>
    </row>
    <row r="210" spans="1:3" x14ac:dyDescent="0.25">
      <c r="A210" s="4">
        <f>IF(Canada!$H$8="SWAPS",'SWPS Canada'!V221,'TRSYS Canada'!V221)</f>
        <v>41816</v>
      </c>
      <c r="B210">
        <f ca="1">IF(Canada!$H$8="SWAPS",'SWPS Canada'!W221,'TRSYS Canada'!W221)</f>
        <v>0.5678867218808441</v>
      </c>
      <c r="C210" t="str">
        <f>IF(Canada!$H$8="STACKED",'SWPS Canada'!W221,"")</f>
        <v/>
      </c>
    </row>
    <row r="211" spans="1:3" x14ac:dyDescent="0.25">
      <c r="A211" s="4">
        <f>IF(Canada!$H$8="SWAPS",'SWPS Canada'!V222,'TRSYS Canada'!V222)</f>
        <v>41815</v>
      </c>
      <c r="B211">
        <f ca="1">IF(Canada!$H$8="SWAPS",'SWPS Canada'!W222,'TRSYS Canada'!W222)</f>
        <v>0.57300290007909294</v>
      </c>
      <c r="C211" t="str">
        <f>IF(Canada!$H$8="STACKED",'SWPS Canada'!W222,"")</f>
        <v/>
      </c>
    </row>
    <row r="212" spans="1:3" x14ac:dyDescent="0.25">
      <c r="A212" s="4">
        <f>IF(Canada!$H$8="SWAPS",'SWPS Canada'!V223,'TRSYS Canada'!V223)</f>
        <v>41814</v>
      </c>
      <c r="B212">
        <f ca="1">IF(Canada!$H$8="SWAPS",'SWPS Canada'!W223,'TRSYS Canada'!W223)</f>
        <v>0.57327290931127173</v>
      </c>
      <c r="C212" t="str">
        <f>IF(Canada!$H$8="STACKED",'SWPS Canada'!W223,"")</f>
        <v/>
      </c>
    </row>
    <row r="213" spans="1:3" x14ac:dyDescent="0.25">
      <c r="A213" s="4">
        <f>IF(Canada!$H$8="SWAPS",'SWPS Canada'!V224,'TRSYS Canada'!V224)</f>
        <v>41813</v>
      </c>
      <c r="B213">
        <f ca="1">IF(Canada!$H$8="SWAPS",'SWPS Canada'!W224,'TRSYS Canada'!W224)</f>
        <v>0.57778245097523784</v>
      </c>
      <c r="C213" t="str">
        <f>IF(Canada!$H$8="STACKED",'SWPS Canada'!W224,"")</f>
        <v/>
      </c>
    </row>
    <row r="214" spans="1:3" x14ac:dyDescent="0.25">
      <c r="A214" s="4">
        <f>IF(Canada!$H$8="SWAPS",'SWPS Canada'!V225,'TRSYS Canada'!V225)</f>
        <v>41810</v>
      </c>
      <c r="B214">
        <f ca="1">IF(Canada!$H$8="SWAPS",'SWPS Canada'!W225,'TRSYS Canada'!W225)</f>
        <v>0.57818786545786172</v>
      </c>
      <c r="C214" t="str">
        <f>IF(Canada!$H$8="STACKED",'SWPS Canada'!W225,"")</f>
        <v/>
      </c>
    </row>
    <row r="215" spans="1:3" x14ac:dyDescent="0.25">
      <c r="A215" s="4">
        <f>IF(Canada!$H$8="SWAPS",'SWPS Canada'!V226,'TRSYS Canada'!V226)</f>
        <v>41809</v>
      </c>
      <c r="B215">
        <f ca="1">IF(Canada!$H$8="SWAPS",'SWPS Canada'!W226,'TRSYS Canada'!W226)</f>
        <v>0.58200190456036405</v>
      </c>
      <c r="C215" t="str">
        <f>IF(Canada!$H$8="STACKED",'SWPS Canada'!W226,"")</f>
        <v/>
      </c>
    </row>
    <row r="216" spans="1:3" x14ac:dyDescent="0.25">
      <c r="A216" s="4">
        <f>IF(Canada!$H$8="SWAPS",'SWPS Canada'!V227,'TRSYS Canada'!V227)</f>
        <v>41808</v>
      </c>
      <c r="B216">
        <f ca="1">IF(Canada!$H$8="SWAPS",'SWPS Canada'!W227,'TRSYS Canada'!W227)</f>
        <v>0.58422958439172035</v>
      </c>
      <c r="C216" t="str">
        <f>IF(Canada!$H$8="STACKED",'SWPS Canada'!W227,"")</f>
        <v/>
      </c>
    </row>
    <row r="217" spans="1:3" x14ac:dyDescent="0.25">
      <c r="A217" s="4">
        <f>IF(Canada!$H$8="SWAPS",'SWPS Canada'!V228,'TRSYS Canada'!V228)</f>
        <v>41807</v>
      </c>
      <c r="B217">
        <f ca="1">IF(Canada!$H$8="SWAPS",'SWPS Canada'!W228,'TRSYS Canada'!W228)</f>
        <v>0.58921228304405882</v>
      </c>
      <c r="C217" t="str">
        <f>IF(Canada!$H$8="STACKED",'SWPS Canada'!W228,"")</f>
        <v/>
      </c>
    </row>
    <row r="218" spans="1:3" x14ac:dyDescent="0.25">
      <c r="A218" s="4">
        <f>IF(Canada!$H$8="SWAPS",'SWPS Canada'!V229,'TRSYS Canada'!V229)</f>
        <v>41806</v>
      </c>
      <c r="B218">
        <f ca="1">IF(Canada!$H$8="SWAPS",'SWPS Canada'!W229,'TRSYS Canada'!W229)</f>
        <v>0.58987068965517253</v>
      </c>
      <c r="C218" t="str">
        <f>IF(Canada!$H$8="STACKED",'SWPS Canada'!W229,"")</f>
        <v/>
      </c>
    </row>
    <row r="219" spans="1:3" x14ac:dyDescent="0.25">
      <c r="A219" s="4">
        <f>IF(Canada!$H$8="SWAPS",'SWPS Canada'!V230,'TRSYS Canada'!V230)</f>
        <v>41803</v>
      </c>
      <c r="B219">
        <f ca="1">IF(Canada!$H$8="SWAPS",'SWPS Canada'!W230,'TRSYS Canada'!W230)</f>
        <v>0.60011718958078097</v>
      </c>
      <c r="C219" t="str">
        <f>IF(Canada!$H$8="STACKED",'SWPS Canada'!W230,"")</f>
        <v/>
      </c>
    </row>
    <row r="220" spans="1:3" x14ac:dyDescent="0.25">
      <c r="A220" s="4">
        <f>IF(Canada!$H$8="SWAPS",'SWPS Canada'!V231,'TRSYS Canada'!V231)</f>
        <v>41802</v>
      </c>
      <c r="B220">
        <f ca="1">IF(Canada!$H$8="SWAPS",'SWPS Canada'!W231,'TRSYS Canada'!W231)</f>
        <v>0.59791095167756914</v>
      </c>
      <c r="C220" t="str">
        <f>IF(Canada!$H$8="STACKED",'SWPS Canada'!W231,"")</f>
        <v/>
      </c>
    </row>
    <row r="221" spans="1:3" x14ac:dyDescent="0.25">
      <c r="A221" s="4">
        <f>IF(Canada!$H$8="SWAPS",'SWPS Canada'!V232,'TRSYS Canada'!V232)</f>
        <v>41801</v>
      </c>
      <c r="B221">
        <f ca="1">IF(Canada!$H$8="SWAPS",'SWPS Canada'!W232,'TRSYS Canada'!W232)</f>
        <v>0.59963711767755312</v>
      </c>
      <c r="C221" t="str">
        <f>IF(Canada!$H$8="STACKED",'SWPS Canada'!W232,"")</f>
        <v/>
      </c>
    </row>
    <row r="222" spans="1:3" x14ac:dyDescent="0.25">
      <c r="A222" s="4">
        <f>IF(Canada!$H$8="SWAPS",'SWPS Canada'!V233,'TRSYS Canada'!V233)</f>
        <v>41800</v>
      </c>
      <c r="B222">
        <f ca="1">IF(Canada!$H$8="SWAPS",'SWPS Canada'!W233,'TRSYS Canada'!W233)</f>
        <v>0.60386397958652294</v>
      </c>
      <c r="C222" t="str">
        <f>IF(Canada!$H$8="STACKED",'SWPS Canada'!W233,"")</f>
        <v/>
      </c>
    </row>
    <row r="223" spans="1:3" x14ac:dyDescent="0.25">
      <c r="A223" s="4">
        <f>IF(Canada!$H$8="SWAPS",'SWPS Canada'!V234,'TRSYS Canada'!V234)</f>
        <v>41799</v>
      </c>
      <c r="B223">
        <f ca="1">IF(Canada!$H$8="SWAPS",'SWPS Canada'!W234,'TRSYS Canada'!W234)</f>
        <v>0.60220158597662765</v>
      </c>
      <c r="C223" t="str">
        <f>IF(Canada!$H$8="STACKED",'SWPS Canada'!W234,"")</f>
        <v/>
      </c>
    </row>
    <row r="224" spans="1:3" x14ac:dyDescent="0.25">
      <c r="A224" s="4">
        <f>IF(Canada!$H$8="SWAPS",'SWPS Canada'!V235,'TRSYS Canada'!V235)</f>
        <v>41796</v>
      </c>
      <c r="B224">
        <f ca="1">IF(Canada!$H$8="SWAPS",'SWPS Canada'!W235,'TRSYS Canada'!W235)</f>
        <v>0.60307131702238426</v>
      </c>
      <c r="C224" t="str">
        <f>IF(Canada!$H$8="STACKED",'SWPS Canada'!W235,"")</f>
        <v/>
      </c>
    </row>
    <row r="225" spans="1:3" x14ac:dyDescent="0.25">
      <c r="A225" s="4">
        <f>IF(Canada!$H$8="SWAPS",'SWPS Canada'!V236,'TRSYS Canada'!V236)</f>
        <v>41795</v>
      </c>
      <c r="B225">
        <f ca="1">IF(Canada!$H$8="SWAPS",'SWPS Canada'!W236,'TRSYS Canada'!W236)</f>
        <v>0.60948620707569223</v>
      </c>
      <c r="C225" t="str">
        <f>IF(Canada!$H$8="STACKED",'SWPS Canada'!W236,"")</f>
        <v/>
      </c>
    </row>
    <row r="226" spans="1:3" x14ac:dyDescent="0.25">
      <c r="A226" s="4">
        <f>IF(Canada!$H$8="SWAPS",'SWPS Canada'!V237,'TRSYS Canada'!V237)</f>
        <v>41794</v>
      </c>
      <c r="B226">
        <f ca="1">IF(Canada!$H$8="SWAPS",'SWPS Canada'!W237,'TRSYS Canada'!W237)</f>
        <v>0.61270715361836992</v>
      </c>
      <c r="C226" t="str">
        <f>IF(Canada!$H$8="STACKED",'SWPS Canada'!W237,"")</f>
        <v/>
      </c>
    </row>
    <row r="227" spans="1:3" x14ac:dyDescent="0.25">
      <c r="A227" s="4">
        <f>IF(Canada!$H$8="SWAPS",'SWPS Canada'!V238,'TRSYS Canada'!V238)</f>
        <v>41793</v>
      </c>
      <c r="B227">
        <f ca="1">IF(Canada!$H$8="SWAPS",'SWPS Canada'!W238,'TRSYS Canada'!W238)</f>
        <v>0.61198970209635895</v>
      </c>
      <c r="C227" t="str">
        <f>IF(Canada!$H$8="STACKED",'SWPS Canada'!W238,"")</f>
        <v/>
      </c>
    </row>
    <row r="228" spans="1:3" x14ac:dyDescent="0.25">
      <c r="A228" s="4">
        <f>IF(Canada!$H$8="SWAPS",'SWPS Canada'!V239,'TRSYS Canada'!V239)</f>
        <v>41792</v>
      </c>
      <c r="B228">
        <f ca="1">IF(Canada!$H$8="SWAPS",'SWPS Canada'!W239,'TRSYS Canada'!W239)</f>
        <v>0.603598750134684</v>
      </c>
      <c r="C228" t="str">
        <f>IF(Canada!$H$8="STACKED",'SWPS Canada'!W239,"")</f>
        <v/>
      </c>
    </row>
    <row r="229" spans="1:3" x14ac:dyDescent="0.25">
      <c r="A229" s="4">
        <f>IF(Canada!$H$8="SWAPS",'SWPS Canada'!V240,'TRSYS Canada'!V240)</f>
        <v>41789</v>
      </c>
      <c r="B229">
        <f ca="1">IF(Canada!$H$8="SWAPS",'SWPS Canada'!W240,'TRSYS Canada'!W240)</f>
        <v>0.59771298504227188</v>
      </c>
      <c r="C229" t="str">
        <f>IF(Canada!$H$8="STACKED",'SWPS Canada'!W240,"")</f>
        <v/>
      </c>
    </row>
    <row r="230" spans="1:3" x14ac:dyDescent="0.25">
      <c r="A230" s="4">
        <f>IF(Canada!$H$8="SWAPS",'SWPS Canada'!V241,'TRSYS Canada'!V241)</f>
        <v>41788</v>
      </c>
      <c r="B230">
        <f ca="1">IF(Canada!$H$8="SWAPS",'SWPS Canada'!W241,'TRSYS Canada'!W241)</f>
        <v>0.6035410612420623</v>
      </c>
      <c r="C230" t="str">
        <f>IF(Canada!$H$8="STACKED",'SWPS Canada'!W241,"")</f>
        <v/>
      </c>
    </row>
    <row r="231" spans="1:3" x14ac:dyDescent="0.25">
      <c r="A231" s="4">
        <f>IF(Canada!$H$8="SWAPS",'SWPS Canada'!V242,'TRSYS Canada'!V242)</f>
        <v>41787</v>
      </c>
      <c r="B231">
        <f ca="1">IF(Canada!$H$8="SWAPS",'SWPS Canada'!W242,'TRSYS Canada'!W242)</f>
        <v>0.59281339764782393</v>
      </c>
      <c r="C231" t="str">
        <f>IF(Canada!$H$8="STACKED",'SWPS Canada'!W242,"")</f>
        <v/>
      </c>
    </row>
    <row r="232" spans="1:3" x14ac:dyDescent="0.25">
      <c r="A232" s="4">
        <f>IF(Canada!$H$8="SWAPS",'SWPS Canada'!V243,'TRSYS Canada'!V243)</f>
        <v>41786</v>
      </c>
      <c r="B232">
        <f ca="1">IF(Canada!$H$8="SWAPS",'SWPS Canada'!W243,'TRSYS Canada'!W243)</f>
        <v>0.60627177700348422</v>
      </c>
      <c r="C232" t="str">
        <f>IF(Canada!$H$8="STACKED",'SWPS Canada'!W243,"")</f>
        <v/>
      </c>
    </row>
    <row r="233" spans="1:3" x14ac:dyDescent="0.25">
      <c r="A233" s="4">
        <f>IF(Canada!$H$8="SWAPS",'SWPS Canada'!V244,'TRSYS Canada'!V244)</f>
        <v>41785</v>
      </c>
      <c r="B233">
        <f ca="1">IF(Canada!$H$8="SWAPS",'SWPS Canada'!W244,'TRSYS Canada'!W244)</f>
        <v>0.60040897651006719</v>
      </c>
      <c r="C233" t="str">
        <f>IF(Canada!$H$8="STACKED",'SWPS Canada'!W244,"")</f>
        <v/>
      </c>
    </row>
    <row r="234" spans="1:3" x14ac:dyDescent="0.25">
      <c r="A234" s="4">
        <f>IF(Canada!$H$8="SWAPS",'SWPS Canada'!V245,'TRSYS Canada'!V245)</f>
        <v>41782</v>
      </c>
      <c r="B234">
        <f ca="1">IF(Canada!$H$8="SWAPS",'SWPS Canada'!W245,'TRSYS Canada'!W245)</f>
        <v>0.60445286594031267</v>
      </c>
      <c r="C234" t="str">
        <f>IF(Canada!$H$8="STACKED",'SWPS Canada'!W245,"")</f>
        <v/>
      </c>
    </row>
    <row r="235" spans="1:3" x14ac:dyDescent="0.25">
      <c r="A235" s="4">
        <f>IF(Canada!$H$8="SWAPS",'SWPS Canada'!V246,'TRSYS Canada'!V246)</f>
        <v>41781</v>
      </c>
      <c r="B235">
        <f ca="1">IF(Canada!$H$8="SWAPS",'SWPS Canada'!W246,'TRSYS Canada'!W246)</f>
        <v>0.60410709643878358</v>
      </c>
      <c r="C235" t="str">
        <f>IF(Canada!$H$8="STACKED",'SWPS Canada'!W246,"")</f>
        <v/>
      </c>
    </row>
    <row r="236" spans="1:3" x14ac:dyDescent="0.25">
      <c r="A236" s="4">
        <f>IF(Canada!$H$8="SWAPS",'SWPS Canada'!V247,'TRSYS Canada'!V247)</f>
        <v>41780</v>
      </c>
      <c r="B236">
        <f ca="1">IF(Canada!$H$8="SWAPS",'SWPS Canada'!W247,'TRSYS Canada'!W247)</f>
        <v>0.60252514668901902</v>
      </c>
      <c r="C236" t="str">
        <f>IF(Canada!$H$8="STACKED",'SWPS Canada'!W247,"")</f>
        <v/>
      </c>
    </row>
    <row r="237" spans="1:3" x14ac:dyDescent="0.25">
      <c r="A237" s="4">
        <f>IF(Canada!$H$8="SWAPS",'SWPS Canada'!V248,'TRSYS Canada'!V248)</f>
        <v>41779</v>
      </c>
      <c r="B237">
        <f ca="1">IF(Canada!$H$8="SWAPS",'SWPS Canada'!W248,'TRSYS Canada'!W248)</f>
        <v>0.60379357846773329</v>
      </c>
      <c r="C237" t="str">
        <f>IF(Canada!$H$8="STACKED",'SWPS Canada'!W248,"")</f>
        <v/>
      </c>
    </row>
    <row r="238" spans="1:3" x14ac:dyDescent="0.25">
      <c r="A238" s="4">
        <f>IF(Canada!$H$8="SWAPS",'SWPS Canada'!V249,'TRSYS Canada'!V249)</f>
        <v>41778</v>
      </c>
      <c r="B238">
        <f ca="1">IF(Canada!$H$8="SWAPS",'SWPS Canada'!W249,'TRSYS Canada'!W249)</f>
        <v>0.60280423846730158</v>
      </c>
      <c r="C238" t="str">
        <f>IF(Canada!$H$8="STACKED",'SWPS Canada'!W249,"")</f>
        <v/>
      </c>
    </row>
    <row r="239" spans="1:3" x14ac:dyDescent="0.25">
      <c r="A239" s="4">
        <f>IF(Canada!$H$8="SWAPS",'SWPS Canada'!V250,'TRSYS Canada'!V250)</f>
        <v>41775</v>
      </c>
      <c r="B239">
        <f ca="1">IF(Canada!$H$8="SWAPS",'SWPS Canada'!W250,'TRSYS Canada'!W250)</f>
        <v>0.6028254936586932</v>
      </c>
      <c r="C239" t="str">
        <f>IF(Canada!$H$8="STACKED",'SWPS Canada'!W250,"")</f>
        <v/>
      </c>
    </row>
    <row r="240" spans="1:3" x14ac:dyDescent="0.25">
      <c r="A240" s="4">
        <f>IF(Canada!$H$8="SWAPS",'SWPS Canada'!V251,'TRSYS Canada'!V251)</f>
        <v>41774</v>
      </c>
      <c r="B240">
        <f ca="1">IF(Canada!$H$8="SWAPS",'SWPS Canada'!W251,'TRSYS Canada'!W251)</f>
        <v>0.60214649852428237</v>
      </c>
      <c r="C240" t="str">
        <f>IF(Canada!$H$8="STACKED",'SWPS Canada'!W251,"")</f>
        <v/>
      </c>
    </row>
    <row r="241" spans="1:3" x14ac:dyDescent="0.25">
      <c r="A241" s="4">
        <f>IF(Canada!$H$8="SWAPS",'SWPS Canada'!V252,'TRSYS Canada'!V252)</f>
        <v>41773</v>
      </c>
      <c r="B241">
        <f ca="1">IF(Canada!$H$8="SWAPS",'SWPS Canada'!W252,'TRSYS Canada'!W252)</f>
        <v>0.60065328486381098</v>
      </c>
      <c r="C241" t="str">
        <f>IF(Canada!$H$8="STACKED",'SWPS Canada'!W252,"")</f>
        <v/>
      </c>
    </row>
    <row r="242" spans="1:3" x14ac:dyDescent="0.25">
      <c r="A242" s="4">
        <f>IF(Canada!$H$8="SWAPS",'SWPS Canada'!V253,'TRSYS Canada'!V253)</f>
        <v>41772</v>
      </c>
      <c r="B242">
        <f ca="1">IF(Canada!$H$8="SWAPS",'SWPS Canada'!W253,'TRSYS Canada'!W253)</f>
        <v>0.6029313103163545</v>
      </c>
      <c r="C242" t="str">
        <f>IF(Canada!$H$8="STACKED",'SWPS Canada'!W253,"")</f>
        <v/>
      </c>
    </row>
    <row r="243" spans="1:3" x14ac:dyDescent="0.25">
      <c r="A243" s="4">
        <f>IF(Canada!$H$8="SWAPS",'SWPS Canada'!V254,'TRSYS Canada'!V254)</f>
        <v>41771</v>
      </c>
      <c r="B243">
        <f ca="1">IF(Canada!$H$8="SWAPS",'SWPS Canada'!W254,'TRSYS Canada'!W254)</f>
        <v>0.60928433268858795</v>
      </c>
      <c r="C243" t="str">
        <f>IF(Canada!$H$8="STACKED",'SWPS Canada'!W254,"")</f>
        <v/>
      </c>
    </row>
    <row r="244" spans="1:3" x14ac:dyDescent="0.25">
      <c r="A244" s="4">
        <f>IF(Canada!$H$8="SWAPS",'SWPS Canada'!V255,'TRSYS Canada'!V255)</f>
        <v>41768</v>
      </c>
      <c r="B244">
        <f ca="1">IF(Canada!$H$8="SWAPS",'SWPS Canada'!W255,'TRSYS Canada'!W255)</f>
        <v>0.60268911013035009</v>
      </c>
      <c r="C244" t="str">
        <f>IF(Canada!$H$8="STACKED",'SWPS Canada'!W255,"")</f>
        <v/>
      </c>
    </row>
    <row r="245" spans="1:3" x14ac:dyDescent="0.25">
      <c r="A245" s="4">
        <f>IF(Canada!$H$8="SWAPS",'SWPS Canada'!V256,'TRSYS Canada'!V256)</f>
        <v>41767</v>
      </c>
      <c r="B245">
        <f ca="1">IF(Canada!$H$8="SWAPS",'SWPS Canada'!W256,'TRSYS Canada'!W256)</f>
        <v>0.60197283478799757</v>
      </c>
      <c r="C245" t="str">
        <f>IF(Canada!$H$8="STACKED",'SWPS Canada'!W256,"")</f>
        <v/>
      </c>
    </row>
    <row r="246" spans="1:3" x14ac:dyDescent="0.25">
      <c r="A246" s="4">
        <f>IF(Canada!$H$8="SWAPS",'SWPS Canada'!V257,'TRSYS Canada'!V257)</f>
        <v>41766</v>
      </c>
      <c r="B246">
        <f ca="1">IF(Canada!$H$8="SWAPS",'SWPS Canada'!W257,'TRSYS Canada'!W257)</f>
        <v>0.60462943740917585</v>
      </c>
      <c r="C246" t="str">
        <f>IF(Canada!$H$8="STACKED",'SWPS Canada'!W257,"")</f>
        <v/>
      </c>
    </row>
    <row r="247" spans="1:3" x14ac:dyDescent="0.25">
      <c r="A247" s="4">
        <f>IF(Canada!$H$8="SWAPS",'SWPS Canada'!V258,'TRSYS Canada'!V258)</f>
        <v>41765</v>
      </c>
      <c r="B247">
        <f ca="1">IF(Canada!$H$8="SWAPS",'SWPS Canada'!W258,'TRSYS Canada'!W258)</f>
        <v>0.60541384695471101</v>
      </c>
      <c r="C247" t="str">
        <f>IF(Canada!$H$8="STACKED",'SWPS Canada'!W258,"")</f>
        <v/>
      </c>
    </row>
    <row r="248" spans="1:3" x14ac:dyDescent="0.25">
      <c r="A248" s="4">
        <f>IF(Canada!$H$8="SWAPS",'SWPS Canada'!V259,'TRSYS Canada'!V259)</f>
        <v>41764</v>
      </c>
      <c r="B248">
        <f ca="1">IF(Canada!$H$8="SWAPS",'SWPS Canada'!W259,'TRSYS Canada'!W259)</f>
        <v>0.60595854922279779</v>
      </c>
      <c r="C248" t="str">
        <f>IF(Canada!$H$8="STACKED",'SWPS Canada'!W259,"")</f>
        <v/>
      </c>
    </row>
    <row r="249" spans="1:3" x14ac:dyDescent="0.25">
      <c r="A249" s="4">
        <f>IF(Canada!$H$8="SWAPS",'SWPS Canada'!V260,'TRSYS Canada'!V260)</f>
        <v>41761</v>
      </c>
      <c r="B249">
        <f ca="1">IF(Canada!$H$8="SWAPS",'SWPS Canada'!W260,'TRSYS Canada'!W260)</f>
        <v>0.60192357681310127</v>
      </c>
      <c r="C249" t="str">
        <f>IF(Canada!$H$8="STACKED",'SWPS Canada'!W260,"")</f>
        <v/>
      </c>
    </row>
    <row r="250" spans="1:3" x14ac:dyDescent="0.25">
      <c r="A250" s="4">
        <f>IF(Canada!$H$8="SWAPS",'SWPS Canada'!V261,'TRSYS Canada'!V261)</f>
        <v>41760</v>
      </c>
      <c r="B250">
        <f ca="1">IF(Canada!$H$8="SWAPS",'SWPS Canada'!W261,'TRSYS Canada'!W261)</f>
        <v>0.6078198440163215</v>
      </c>
      <c r="C250" t="str">
        <f>IF(Canada!$H$8="STACKED",'SWPS Canada'!W261,"")</f>
        <v/>
      </c>
    </row>
    <row r="251" spans="1:3" x14ac:dyDescent="0.25">
      <c r="A251" s="4">
        <f>IF(Canada!$H$8="SWAPS",'SWPS Canada'!V262,'TRSYS Canada'!V262)</f>
        <v>41759</v>
      </c>
      <c r="B251">
        <f ca="1">IF(Canada!$H$8="SWAPS",'SWPS Canada'!W262,'TRSYS Canada'!W262)</f>
        <v>0.60635534959515214</v>
      </c>
      <c r="C251" t="str">
        <f>IF(Canada!$H$8="STACKED",'SWPS Canada'!W262,"")</f>
        <v/>
      </c>
    </row>
    <row r="252" spans="1:3" x14ac:dyDescent="0.25">
      <c r="A252" s="4">
        <f>IF(Canada!$H$8="SWAPS",'SWPS Canada'!V263,'TRSYS Canada'!V263)</f>
        <v>41758</v>
      </c>
      <c r="B252">
        <f ca="1">IF(Canada!$H$8="SWAPS",'SWPS Canada'!W263,'TRSYS Canada'!W263)</f>
        <v>0.60760456273764263</v>
      </c>
      <c r="C252" t="str">
        <f>IF(Canada!$H$8="STACKED",'SWPS Canada'!W263,"")</f>
        <v/>
      </c>
    </row>
    <row r="253" spans="1:3" x14ac:dyDescent="0.25">
      <c r="A253" s="4">
        <f>IF(Canada!$H$8="SWAPS",'SWPS Canada'!V264,'TRSYS Canada'!V264)</f>
        <v>41757</v>
      </c>
      <c r="B253">
        <f ca="1">IF(Canada!$H$8="SWAPS",'SWPS Canada'!W264,'TRSYS Canada'!W264)</f>
        <v>0.60329159935379628</v>
      </c>
      <c r="C253" t="str">
        <f>IF(Canada!$H$8="STACKED",'SWPS Canada'!W264,"")</f>
        <v/>
      </c>
    </row>
    <row r="254" spans="1:3" x14ac:dyDescent="0.25">
      <c r="A254" s="4">
        <f>IF(Canada!$H$8="SWAPS",'SWPS Canada'!V265,'TRSYS Canada'!V265)</f>
        <v>41754</v>
      </c>
      <c r="B254">
        <f ca="1">IF(Canada!$H$8="SWAPS",'SWPS Canada'!W265,'TRSYS Canada'!W265)</f>
        <v>0.60739454601164344</v>
      </c>
      <c r="C254" t="str">
        <f>IF(Canada!$H$8="STACKED",'SWPS Canada'!W265,"")</f>
        <v/>
      </c>
    </row>
    <row r="255" spans="1:3" x14ac:dyDescent="0.25">
      <c r="A255" s="4">
        <f>IF(Canada!$H$8="SWAPS",'SWPS Canada'!V266,'TRSYS Canada'!V266)</f>
        <v>41753</v>
      </c>
      <c r="B255">
        <f ca="1">IF(Canada!$H$8="SWAPS",'SWPS Canada'!W266,'TRSYS Canada'!W266)</f>
        <v>0.6126323289902279</v>
      </c>
      <c r="C255" t="str">
        <f>IF(Canada!$H$8="STACKED",'SWPS Canada'!W266,"")</f>
        <v/>
      </c>
    </row>
    <row r="256" spans="1:3" x14ac:dyDescent="0.25">
      <c r="A256" s="4">
        <f>IF(Canada!$H$8="SWAPS",'SWPS Canada'!V267,'TRSYS Canada'!V267)</f>
        <v>41752</v>
      </c>
      <c r="B256">
        <f ca="1">IF(Canada!$H$8="SWAPS",'SWPS Canada'!W267,'TRSYS Canada'!W267)</f>
        <v>0.61527458492975728</v>
      </c>
      <c r="C256" t="str">
        <f>IF(Canada!$H$8="STACKED",'SWPS Canada'!W267,"")</f>
        <v/>
      </c>
    </row>
    <row r="257" spans="1:3" x14ac:dyDescent="0.25">
      <c r="A257" s="4">
        <f>IF(Canada!$H$8="SWAPS",'SWPS Canada'!V268,'TRSYS Canada'!V268)</f>
        <v>41751</v>
      </c>
      <c r="B257">
        <f ca="1">IF(Canada!$H$8="SWAPS",'SWPS Canada'!W268,'TRSYS Canada'!W268)</f>
        <v>0.61970393057682494</v>
      </c>
      <c r="C257" t="str">
        <f>IF(Canada!$H$8="STACKED",'SWPS Canada'!W268,"")</f>
        <v/>
      </c>
    </row>
    <row r="258" spans="1:3" x14ac:dyDescent="0.25">
      <c r="A258" s="4">
        <f>IF(Canada!$H$8="SWAPS",'SWPS Canada'!V269,'TRSYS Canada'!V269)</f>
        <v>41750</v>
      </c>
      <c r="B258">
        <f ca="1">IF(Canada!$H$8="SWAPS",'SWPS Canada'!W269,'TRSYS Canada'!W269)</f>
        <v>0.61663790478124048</v>
      </c>
      <c r="C258" t="str">
        <f>IF(Canada!$H$8="STACKED",'SWPS Canada'!W269,"")</f>
        <v/>
      </c>
    </row>
    <row r="259" spans="1:3" x14ac:dyDescent="0.25">
      <c r="A259" s="4">
        <f>IF(Canada!$H$8="SWAPS",'SWPS Canada'!V270,'TRSYS Canada'!V270)</f>
        <v>41747</v>
      </c>
      <c r="B259">
        <f ca="1">IF(Canada!$H$8="SWAPS",'SWPS Canada'!W270,'TRSYS Canada'!W270)</f>
        <v>0.6160932410423452</v>
      </c>
      <c r="C259" t="str">
        <f>IF(Canada!$H$8="STACKED",'SWPS Canada'!W270,"")</f>
        <v/>
      </c>
    </row>
    <row r="260" spans="1:3" x14ac:dyDescent="0.25">
      <c r="A260" s="4">
        <f>IF(Canada!$H$8="SWAPS",'SWPS Canada'!V271,'TRSYS Canada'!V271)</f>
        <v>41746</v>
      </c>
      <c r="B260">
        <f ca="1">IF(Canada!$H$8="SWAPS",'SWPS Canada'!W271,'TRSYS Canada'!W271)</f>
        <v>0.61840833968980402</v>
      </c>
      <c r="C260" t="str">
        <f>IF(Canada!$H$8="STACKED",'SWPS Canada'!W271,"")</f>
        <v/>
      </c>
    </row>
    <row r="261" spans="1:3" x14ac:dyDescent="0.25">
      <c r="A261" s="4">
        <f>IF(Canada!$H$8="SWAPS",'SWPS Canada'!V272,'TRSYS Canada'!V272)</f>
        <v>41745</v>
      </c>
      <c r="B261">
        <f ca="1">IF(Canada!$H$8="SWAPS",'SWPS Canada'!W272,'TRSYS Canada'!W272)</f>
        <v>0.6103909412307218</v>
      </c>
      <c r="C261" t="str">
        <f>IF(Canada!$H$8="STACKED",'SWPS Canada'!W272,"")</f>
        <v/>
      </c>
    </row>
    <row r="262" spans="1:3" x14ac:dyDescent="0.25">
      <c r="A262" s="4">
        <f>IF(Canada!$H$8="SWAPS",'SWPS Canada'!V273,'TRSYS Canada'!V273)</f>
        <v>41744</v>
      </c>
      <c r="B262">
        <f ca="1">IF(Canada!$H$8="SWAPS",'SWPS Canada'!W273,'TRSYS Canada'!W273)</f>
        <v>0.60649489251410282</v>
      </c>
      <c r="C262" t="str">
        <f>IF(Canada!$H$8="STACKED",'SWPS Canada'!W273,"")</f>
        <v/>
      </c>
    </row>
    <row r="263" spans="1:3" x14ac:dyDescent="0.25">
      <c r="A263" s="4">
        <f>IF(Canada!$H$8="SWAPS",'SWPS Canada'!V274,'TRSYS Canada'!V274)</f>
        <v>41743</v>
      </c>
      <c r="B263">
        <f ca="1">IF(Canada!$H$8="SWAPS",'SWPS Canada'!W274,'TRSYS Canada'!W274)</f>
        <v>0.61119790354281112</v>
      </c>
      <c r="C263" t="str">
        <f>IF(Canada!$H$8="STACKED",'SWPS Canada'!W274,"")</f>
        <v/>
      </c>
    </row>
  </sheetData>
  <phoneticPr fontId="5" type="noConversion"/>
  <pageMargins left="0.7" right="0.7" top="0.75" bottom="0.75" header="0.3" footer="0.3"/>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dimension ref="A1:G263"/>
  <sheetViews>
    <sheetView workbookViewId="0">
      <selection activeCell="Z23" sqref="Z23"/>
    </sheetView>
  </sheetViews>
  <sheetFormatPr defaultRowHeight="15" x14ac:dyDescent="0.25"/>
  <cols>
    <col min="1" max="1" width="10.7109375" style="4" bestFit="1" customWidth="1"/>
    <col min="2" max="2" width="18.5703125" bestFit="1" customWidth="1"/>
  </cols>
  <sheetData>
    <row r="1" spans="1:7" x14ac:dyDescent="0.25">
      <c r="B1" t="str">
        <f ca="1">IF(USA!$H$8="SWAPS",SWPS!W12,TRSYS!W12)</f>
        <v>TRSY: 05-07 vs 03-10</v>
      </c>
      <c r="C1" t="str">
        <f>IF(USA!$H$8="STACKED",SWPS!W12,"")</f>
        <v/>
      </c>
      <c r="F1">
        <f ca="1">MAX(B:C)*1.1</f>
        <v>0.37112831858407075</v>
      </c>
      <c r="G1">
        <f ca="1">MIN(B:C)*0.9</f>
        <v>0.24960686204431726</v>
      </c>
    </row>
    <row r="2" spans="1:7" x14ac:dyDescent="0.25">
      <c r="A2" s="4" t="str">
        <f>IF(USA!$H$8="SWAPS",SWPS!V13,TRSYS!V13)</f>
        <v>#N/A Requesting Data...</v>
      </c>
      <c r="B2" t="str">
        <f ca="1">IF(USA!$H$8="SWAPS",SWPS!W13,TRSYS!W13)</f>
        <v/>
      </c>
      <c r="C2" t="str">
        <f>IF(USA!$H$8="STACKED",SWPS!W13,"")</f>
        <v/>
      </c>
    </row>
    <row r="3" spans="1:7" x14ac:dyDescent="0.25">
      <c r="A3" s="4">
        <f>IF(USA!$H$8="SWAPS",SWPS!V14,TRSYS!V14)</f>
        <v>42107</v>
      </c>
      <c r="B3">
        <f ca="1">IF(USA!$H$8="SWAPS",SWPS!W14,TRSYS!W14)</f>
        <v>0.31704980842911873</v>
      </c>
      <c r="C3" t="str">
        <f>IF(USA!$H$8="STACKED",SWPS!W14,"")</f>
        <v/>
      </c>
    </row>
    <row r="4" spans="1:7" x14ac:dyDescent="0.25">
      <c r="A4" s="4">
        <f>IF(USA!$H$8="SWAPS",SWPS!V15,TRSYS!V15)</f>
        <v>42104</v>
      </c>
      <c r="B4">
        <f ca="1">IF(USA!$H$8="SWAPS",SWPS!W15,TRSYS!W15)</f>
        <v>0.31884057971014501</v>
      </c>
      <c r="C4" t="str">
        <f>IF(USA!$H$8="STACKED",SWPS!W15,"")</f>
        <v/>
      </c>
    </row>
    <row r="5" spans="1:7" x14ac:dyDescent="0.25">
      <c r="A5" s="4">
        <f>IF(USA!$H$8="SWAPS",SWPS!V16,TRSYS!V16)</f>
        <v>42103</v>
      </c>
      <c r="B5">
        <f ca="1">IF(USA!$H$8="SWAPS",SWPS!W16,TRSYS!W16)</f>
        <v>0.31623931623931623</v>
      </c>
      <c r="C5" t="str">
        <f>IF(USA!$H$8="STACKED",SWPS!W16,"")</f>
        <v/>
      </c>
    </row>
    <row r="6" spans="1:7" x14ac:dyDescent="0.25">
      <c r="A6" s="4">
        <f>IF(USA!$H$8="SWAPS",SWPS!V17,TRSYS!V17)</f>
        <v>42102</v>
      </c>
      <c r="B6">
        <f ca="1">IF(USA!$H$8="SWAPS",SWPS!W17,TRSYS!W17)</f>
        <v>0.32233009708737886</v>
      </c>
      <c r="C6" t="str">
        <f>IF(USA!$H$8="STACKED",SWPS!W17,"")</f>
        <v/>
      </c>
    </row>
    <row r="7" spans="1:7" x14ac:dyDescent="0.25">
      <c r="A7" s="4">
        <f>IF(USA!$H$8="SWAPS",SWPS!V18,TRSYS!V18)</f>
        <v>42101</v>
      </c>
      <c r="B7">
        <f ca="1">IF(USA!$H$8="SWAPS",SWPS!W18,TRSYS!W18)</f>
        <v>0.32071901608325443</v>
      </c>
      <c r="C7" t="str">
        <f>IF(USA!$H$8="STACKED",SWPS!W18,"")</f>
        <v/>
      </c>
    </row>
    <row r="8" spans="1:7" x14ac:dyDescent="0.25">
      <c r="A8" s="4">
        <f>IF(USA!$H$8="SWAPS",SWPS!V19,TRSYS!V19)</f>
        <v>42100</v>
      </c>
      <c r="B8">
        <f ca="1">IF(USA!$H$8="SWAPS",SWPS!W19,TRSYS!W19)</f>
        <v>0.31864095500459133</v>
      </c>
      <c r="C8" t="str">
        <f>IF(USA!$H$8="STACKED",SWPS!W19,"")</f>
        <v/>
      </c>
    </row>
    <row r="9" spans="1:7" x14ac:dyDescent="0.25">
      <c r="A9" s="4">
        <f>IF(USA!$H$8="SWAPS",SWPS!V20,TRSYS!V20)</f>
        <v>42097</v>
      </c>
      <c r="B9">
        <f ca="1">IF(USA!$H$8="SWAPS",SWPS!W20,TRSYS!W20)</f>
        <v>0.3235849056603774</v>
      </c>
      <c r="C9" t="str">
        <f>IF(USA!$H$8="STACKED",SWPS!W20,"")</f>
        <v/>
      </c>
    </row>
    <row r="10" spans="1:7" x14ac:dyDescent="0.25">
      <c r="A10" s="4">
        <f>IF(USA!$H$8="SWAPS",SWPS!V21,TRSYS!V21)</f>
        <v>42096</v>
      </c>
      <c r="B10">
        <f ca="1">IF(USA!$H$8="SWAPS",SWPS!W21,TRSYS!W21)</f>
        <v>0.32068311195445931</v>
      </c>
      <c r="C10" t="str">
        <f>IF(USA!$H$8="STACKED",SWPS!W21,"")</f>
        <v/>
      </c>
    </row>
    <row r="11" spans="1:7" x14ac:dyDescent="0.25">
      <c r="A11" s="4">
        <f>IF(USA!$H$8="SWAPS",SWPS!V22,TRSYS!V22)</f>
        <v>42095</v>
      </c>
      <c r="B11">
        <f ca="1">IF(USA!$H$8="SWAPS",SWPS!W22,TRSYS!W22)</f>
        <v>0.32571996027805367</v>
      </c>
      <c r="C11" t="str">
        <f>IF(USA!$H$8="STACKED",SWPS!W22,"")</f>
        <v/>
      </c>
    </row>
    <row r="12" spans="1:7" x14ac:dyDescent="0.25">
      <c r="A12" s="4">
        <f>IF(USA!$H$8="SWAPS",SWPS!V23,TRSYS!V23)</f>
        <v>42094</v>
      </c>
      <c r="B12">
        <f ca="1">IF(USA!$H$8="SWAPS",SWPS!W23,TRSYS!W23)</f>
        <v>0.32279693486590033</v>
      </c>
      <c r="C12" t="str">
        <f>IF(USA!$H$8="STACKED",SWPS!W23,"")</f>
        <v/>
      </c>
    </row>
    <row r="13" spans="1:7" x14ac:dyDescent="0.25">
      <c r="A13" s="4">
        <f>IF(USA!$H$8="SWAPS",SWPS!V24,TRSYS!V24)</f>
        <v>42093</v>
      </c>
      <c r="B13">
        <f ca="1">IF(USA!$H$8="SWAPS",SWPS!W24,TRSYS!W24)</f>
        <v>0.32276657060518721</v>
      </c>
      <c r="C13" t="str">
        <f>IF(USA!$H$8="STACKED",SWPS!W24,"")</f>
        <v/>
      </c>
    </row>
    <row r="14" spans="1:7" x14ac:dyDescent="0.25">
      <c r="A14" s="4">
        <f>IF(USA!$H$8="SWAPS",SWPS!V25,TRSYS!V25)</f>
        <v>42090</v>
      </c>
      <c r="B14">
        <f ca="1">IF(USA!$H$8="SWAPS",SWPS!W25,TRSYS!W25)</f>
        <v>0.31747572815533981</v>
      </c>
      <c r="C14" t="str">
        <f>IF(USA!$H$8="STACKED",SWPS!W25,"")</f>
        <v/>
      </c>
    </row>
    <row r="15" spans="1:7" x14ac:dyDescent="0.25">
      <c r="A15" s="4">
        <f>IF(USA!$H$8="SWAPS",SWPS!V26,TRSYS!V26)</f>
        <v>42089</v>
      </c>
      <c r="B15">
        <f ca="1">IF(USA!$H$8="SWAPS",SWPS!W26,TRSYS!W26)</f>
        <v>0.3123791102514506</v>
      </c>
      <c r="C15" t="str">
        <f>IF(USA!$H$8="STACKED",SWPS!W26,"")</f>
        <v/>
      </c>
    </row>
    <row r="16" spans="1:7" x14ac:dyDescent="0.25">
      <c r="A16" s="4">
        <f>IF(USA!$H$8="SWAPS",SWPS!V27,TRSYS!V27)</f>
        <v>42088</v>
      </c>
      <c r="B16">
        <f ca="1">IF(USA!$H$8="SWAPS",SWPS!W27,TRSYS!W27)</f>
        <v>0.3170731707317071</v>
      </c>
      <c r="C16" t="str">
        <f>IF(USA!$H$8="STACKED",SWPS!W27,"")</f>
        <v/>
      </c>
    </row>
    <row r="17" spans="1:3" x14ac:dyDescent="0.25">
      <c r="A17" s="4">
        <f>IF(USA!$H$8="SWAPS",SWPS!V28,TRSYS!V28)</f>
        <v>42087</v>
      </c>
      <c r="B17">
        <f ca="1">IF(USA!$H$8="SWAPS",SWPS!W28,TRSYS!W28)</f>
        <v>0.32234809474768272</v>
      </c>
      <c r="C17" t="str">
        <f>IF(USA!$H$8="STACKED",SWPS!W28,"")</f>
        <v/>
      </c>
    </row>
    <row r="18" spans="1:3" x14ac:dyDescent="0.25">
      <c r="A18" s="4">
        <f>IF(USA!$H$8="SWAPS",SWPS!V29,TRSYS!V29)</f>
        <v>42086</v>
      </c>
      <c r="B18">
        <f ca="1">IF(USA!$H$8="SWAPS",SWPS!W29,TRSYS!W29)</f>
        <v>0.3208502024291498</v>
      </c>
      <c r="C18" t="str">
        <f>IF(USA!$H$8="STACKED",SWPS!W29,"")</f>
        <v/>
      </c>
    </row>
    <row r="19" spans="1:3" x14ac:dyDescent="0.25">
      <c r="A19" s="4">
        <f>IF(USA!$H$8="SWAPS",SWPS!V30,TRSYS!V30)</f>
        <v>42083</v>
      </c>
      <c r="B19">
        <f ca="1">IF(USA!$H$8="SWAPS",SWPS!W30,TRSYS!W30)</f>
        <v>0.31882591093117402</v>
      </c>
      <c r="C19" t="str">
        <f>IF(USA!$H$8="STACKED",SWPS!W30,"")</f>
        <v/>
      </c>
    </row>
    <row r="20" spans="1:3" x14ac:dyDescent="0.25">
      <c r="A20" s="4">
        <f>IF(USA!$H$8="SWAPS",SWPS!V31,TRSYS!V31)</f>
        <v>42082</v>
      </c>
      <c r="B20">
        <f ca="1">IF(USA!$H$8="SWAPS",SWPS!W31,TRSYS!W31)</f>
        <v>0.31600407747196746</v>
      </c>
      <c r="C20" t="str">
        <f>IF(USA!$H$8="STACKED",SWPS!W31,"")</f>
        <v/>
      </c>
    </row>
    <row r="21" spans="1:3" x14ac:dyDescent="0.25">
      <c r="A21" s="4">
        <f>IF(USA!$H$8="SWAPS",SWPS!V32,TRSYS!V32)</f>
        <v>42081</v>
      </c>
      <c r="B21">
        <f ca="1">IF(USA!$H$8="SWAPS",SWPS!W32,TRSYS!W32)</f>
        <v>0.32277227722772261</v>
      </c>
      <c r="C21" t="str">
        <f>IF(USA!$H$8="STACKED",SWPS!W32,"")</f>
        <v/>
      </c>
    </row>
    <row r="22" spans="1:3" x14ac:dyDescent="0.25">
      <c r="A22" s="4">
        <f>IF(USA!$H$8="SWAPS",SWPS!V33,TRSYS!V33)</f>
        <v>42080</v>
      </c>
      <c r="B22">
        <f ca="1">IF(USA!$H$8="SWAPS",SWPS!W33,TRSYS!W33)</f>
        <v>0.31637843336724303</v>
      </c>
      <c r="C22" t="str">
        <f>IF(USA!$H$8="STACKED",SWPS!W33,"")</f>
        <v/>
      </c>
    </row>
    <row r="23" spans="1:3" x14ac:dyDescent="0.25">
      <c r="A23" s="4">
        <f>IF(USA!$H$8="SWAPS",SWPS!V34,TRSYS!V34)</f>
        <v>42079</v>
      </c>
      <c r="B23">
        <f ca="1">IF(USA!$H$8="SWAPS",SWPS!W34,TRSYS!W34)</f>
        <v>0.32188420019627095</v>
      </c>
      <c r="C23" t="str">
        <f>IF(USA!$H$8="STACKED",SWPS!W34,"")</f>
        <v/>
      </c>
    </row>
    <row r="24" spans="1:3" x14ac:dyDescent="0.25">
      <c r="A24" s="4">
        <f>IF(USA!$H$8="SWAPS",SWPS!V35,TRSYS!V35)</f>
        <v>42076</v>
      </c>
      <c r="B24">
        <f ca="1">IF(USA!$H$8="SWAPS",SWPS!W35,TRSYS!W35)</f>
        <v>0.31709646609360082</v>
      </c>
      <c r="C24" t="str">
        <f>IF(USA!$H$8="STACKED",SWPS!W35,"")</f>
        <v/>
      </c>
    </row>
    <row r="25" spans="1:3" x14ac:dyDescent="0.25">
      <c r="A25" s="4">
        <f>IF(USA!$H$8="SWAPS",SWPS!V36,TRSYS!V36)</f>
        <v>42075</v>
      </c>
      <c r="B25">
        <f ca="1">IF(USA!$H$8="SWAPS",SWPS!W36,TRSYS!W36)</f>
        <v>0.31563706563706578</v>
      </c>
      <c r="C25" t="str">
        <f>IF(USA!$H$8="STACKED",SWPS!W36,"")</f>
        <v/>
      </c>
    </row>
    <row r="26" spans="1:3" x14ac:dyDescent="0.25">
      <c r="A26" s="4">
        <f>IF(USA!$H$8="SWAPS",SWPS!V37,TRSYS!V37)</f>
        <v>42074</v>
      </c>
      <c r="B26">
        <f ca="1">IF(USA!$H$8="SWAPS",SWPS!W37,TRSYS!W37)</f>
        <v>0.31719367588932823</v>
      </c>
      <c r="C26" t="str">
        <f>IF(USA!$H$8="STACKED",SWPS!W37,"")</f>
        <v/>
      </c>
    </row>
    <row r="27" spans="1:3" x14ac:dyDescent="0.25">
      <c r="A27" s="4">
        <f>IF(USA!$H$8="SWAPS",SWPS!V38,TRSYS!V38)</f>
        <v>42073</v>
      </c>
      <c r="B27">
        <f ca="1">IF(USA!$H$8="SWAPS",SWPS!W38,TRSYS!W38)</f>
        <v>0.31161473087818697</v>
      </c>
      <c r="C27" t="str">
        <f>IF(USA!$H$8="STACKED",SWPS!W38,"")</f>
        <v/>
      </c>
    </row>
    <row r="28" spans="1:3" x14ac:dyDescent="0.25">
      <c r="A28" s="4">
        <f>IF(USA!$H$8="SWAPS",SWPS!V39,TRSYS!V39)</f>
        <v>42072</v>
      </c>
      <c r="B28">
        <f ca="1">IF(USA!$H$8="SWAPS",SWPS!W39,TRSYS!W39)</f>
        <v>0.3143382352941177</v>
      </c>
      <c r="C28" t="str">
        <f>IF(USA!$H$8="STACKED",SWPS!W39,"")</f>
        <v/>
      </c>
    </row>
    <row r="29" spans="1:3" x14ac:dyDescent="0.25">
      <c r="A29" s="4">
        <f>IF(USA!$H$8="SWAPS",SWPS!V40,TRSYS!V40)</f>
        <v>42069</v>
      </c>
      <c r="B29">
        <f ca="1">IF(USA!$H$8="SWAPS",SWPS!W40,TRSYS!W40)</f>
        <v>0.31454545454545457</v>
      </c>
      <c r="C29" t="str">
        <f>IF(USA!$H$8="STACKED",SWPS!W40,"")</f>
        <v/>
      </c>
    </row>
    <row r="30" spans="1:3" x14ac:dyDescent="0.25">
      <c r="A30" s="4">
        <f>IF(USA!$H$8="SWAPS",SWPS!V41,TRSYS!V41)</f>
        <v>42068</v>
      </c>
      <c r="B30">
        <f ca="1">IF(USA!$H$8="SWAPS",SWPS!W41,TRSYS!W41)</f>
        <v>0.31481481481481505</v>
      </c>
      <c r="C30" t="str">
        <f>IF(USA!$H$8="STACKED",SWPS!W41,"")</f>
        <v/>
      </c>
    </row>
    <row r="31" spans="1:3" x14ac:dyDescent="0.25">
      <c r="A31" s="4">
        <f>IF(USA!$H$8="SWAPS",SWPS!V42,TRSYS!V42)</f>
        <v>42067</v>
      </c>
      <c r="B31">
        <f ca="1">IF(USA!$H$8="SWAPS",SWPS!W42,TRSYS!W42)</f>
        <v>0.31559290382819805</v>
      </c>
      <c r="C31" t="str">
        <f>IF(USA!$H$8="STACKED",SWPS!W42,"")</f>
        <v/>
      </c>
    </row>
    <row r="32" spans="1:3" x14ac:dyDescent="0.25">
      <c r="A32" s="4">
        <f>IF(USA!$H$8="SWAPS",SWPS!V43,TRSYS!V43)</f>
        <v>42066</v>
      </c>
      <c r="B32">
        <f ca="1">IF(USA!$H$8="SWAPS",SWPS!W43,TRSYS!W43)</f>
        <v>0.31548757170172087</v>
      </c>
      <c r="C32" t="str">
        <f>IF(USA!$H$8="STACKED",SWPS!W43,"")</f>
        <v/>
      </c>
    </row>
    <row r="33" spans="1:3" x14ac:dyDescent="0.25">
      <c r="A33" s="4">
        <f>IF(USA!$H$8="SWAPS",SWPS!V44,TRSYS!V44)</f>
        <v>42065</v>
      </c>
      <c r="B33">
        <f ca="1">IF(USA!$H$8="SWAPS",SWPS!W44,TRSYS!W44)</f>
        <v>0.31655372700871259</v>
      </c>
      <c r="C33" t="str">
        <f>IF(USA!$H$8="STACKED",SWPS!W44,"")</f>
        <v/>
      </c>
    </row>
    <row r="34" spans="1:3" x14ac:dyDescent="0.25">
      <c r="A34" s="4">
        <f>IF(USA!$H$8="SWAPS",SWPS!V45,TRSYS!V45)</f>
        <v>42062</v>
      </c>
      <c r="B34">
        <f ca="1">IF(USA!$H$8="SWAPS",SWPS!W45,TRSYS!W45)</f>
        <v>0.31959798994974881</v>
      </c>
      <c r="C34" t="str">
        <f>IF(USA!$H$8="STACKED",SWPS!W45,"")</f>
        <v/>
      </c>
    </row>
    <row r="35" spans="1:3" x14ac:dyDescent="0.25">
      <c r="A35" s="4">
        <f>IF(USA!$H$8="SWAPS",SWPS!V46,TRSYS!V46)</f>
        <v>42061</v>
      </c>
      <c r="B35">
        <f ca="1">IF(USA!$H$8="SWAPS",SWPS!W46,TRSYS!W46)</f>
        <v>0.30983118172790475</v>
      </c>
      <c r="C35" t="str">
        <f>IF(USA!$H$8="STACKED",SWPS!W46,"")</f>
        <v/>
      </c>
    </row>
    <row r="36" spans="1:3" x14ac:dyDescent="0.25">
      <c r="A36" s="4">
        <f>IF(USA!$H$8="SWAPS",SWPS!V47,TRSYS!V47)</f>
        <v>42060</v>
      </c>
      <c r="B36">
        <f ca="1">IF(USA!$H$8="SWAPS",SWPS!W47,TRSYS!W47)</f>
        <v>0.32303090727816552</v>
      </c>
      <c r="C36" t="str">
        <f>IF(USA!$H$8="STACKED",SWPS!W47,"")</f>
        <v/>
      </c>
    </row>
    <row r="37" spans="1:3" x14ac:dyDescent="0.25">
      <c r="A37" s="4">
        <f>IF(USA!$H$8="SWAPS",SWPS!V48,TRSYS!V48)</f>
        <v>42059</v>
      </c>
      <c r="B37">
        <f ca="1">IF(USA!$H$8="SWAPS",SWPS!W48,TRSYS!W48)</f>
        <v>0.31898238747553809</v>
      </c>
      <c r="C37" t="str">
        <f>IF(USA!$H$8="STACKED",SWPS!W48,"")</f>
        <v/>
      </c>
    </row>
    <row r="38" spans="1:3" x14ac:dyDescent="0.25">
      <c r="A38" s="4">
        <f>IF(USA!$H$8="SWAPS",SWPS!V49,TRSYS!V49)</f>
        <v>42058</v>
      </c>
      <c r="B38">
        <f ca="1">IF(USA!$H$8="SWAPS",SWPS!W49,TRSYS!W49)</f>
        <v>0.31502890173410408</v>
      </c>
      <c r="C38" t="str">
        <f>IF(USA!$H$8="STACKED",SWPS!W49,"")</f>
        <v/>
      </c>
    </row>
    <row r="39" spans="1:3" x14ac:dyDescent="0.25">
      <c r="A39" s="4">
        <f>IF(USA!$H$8="SWAPS",SWPS!V50,TRSYS!V50)</f>
        <v>42055</v>
      </c>
      <c r="B39">
        <f ca="1">IF(USA!$H$8="SWAPS",SWPS!W50,TRSYS!W50)</f>
        <v>0.31668237511781366</v>
      </c>
      <c r="C39" t="str">
        <f>IF(USA!$H$8="STACKED",SWPS!W50,"")</f>
        <v/>
      </c>
    </row>
    <row r="40" spans="1:3" x14ac:dyDescent="0.25">
      <c r="A40" s="4">
        <f>IF(USA!$H$8="SWAPS",SWPS!V51,TRSYS!V51)</f>
        <v>42054</v>
      </c>
      <c r="B40">
        <f ca="1">IF(USA!$H$8="SWAPS",SWPS!W51,TRSYS!W51)</f>
        <v>0.32119514472455651</v>
      </c>
      <c r="C40" t="str">
        <f>IF(USA!$H$8="STACKED",SWPS!W51,"")</f>
        <v/>
      </c>
    </row>
    <row r="41" spans="1:3" x14ac:dyDescent="0.25">
      <c r="A41" s="4">
        <f>IF(USA!$H$8="SWAPS",SWPS!V52,TRSYS!V52)</f>
        <v>42053</v>
      </c>
      <c r="B41">
        <f ca="1">IF(USA!$H$8="SWAPS",SWPS!W52,TRSYS!W52)</f>
        <v>0.32742537313432835</v>
      </c>
      <c r="C41" t="str">
        <f>IF(USA!$H$8="STACKED",SWPS!W52,"")</f>
        <v/>
      </c>
    </row>
    <row r="42" spans="1:3" x14ac:dyDescent="0.25">
      <c r="A42" s="4">
        <f>IF(USA!$H$8="SWAPS",SWPS!V53,TRSYS!V53)</f>
        <v>42052</v>
      </c>
      <c r="B42">
        <f ca="1">IF(USA!$H$8="SWAPS",SWPS!W53,TRSYS!W53)</f>
        <v>0.32098765432098747</v>
      </c>
      <c r="C42" t="str">
        <f>IF(USA!$H$8="STACKED",SWPS!W53,"")</f>
        <v/>
      </c>
    </row>
    <row r="43" spans="1:3" x14ac:dyDescent="0.25">
      <c r="A43" s="4">
        <f>IF(USA!$H$8="SWAPS",SWPS!V54,TRSYS!V54)</f>
        <v>42051</v>
      </c>
      <c r="B43">
        <f ca="1">IF(USA!$H$8="SWAPS",SWPS!W54,TRSYS!W54)</f>
        <v>0.31876861966236314</v>
      </c>
      <c r="C43" t="str">
        <f>IF(USA!$H$8="STACKED",SWPS!W54,"")</f>
        <v/>
      </c>
    </row>
    <row r="44" spans="1:3" x14ac:dyDescent="0.25">
      <c r="A44" s="4">
        <f>IF(USA!$H$8="SWAPS",SWPS!V55,TRSYS!V55)</f>
        <v>42048</v>
      </c>
      <c r="B44">
        <f ca="1">IF(USA!$H$8="SWAPS",SWPS!W55,TRSYS!W55)</f>
        <v>0.31876861966236314</v>
      </c>
      <c r="C44" t="str">
        <f>IF(USA!$H$8="STACKED",SWPS!W55,"")</f>
        <v/>
      </c>
    </row>
    <row r="45" spans="1:3" x14ac:dyDescent="0.25">
      <c r="A45" s="4">
        <f>IF(USA!$H$8="SWAPS",SWPS!V56,TRSYS!V56)</f>
        <v>42047</v>
      </c>
      <c r="B45">
        <f ca="1">IF(USA!$H$8="SWAPS",SWPS!W56,TRSYS!W56)</f>
        <v>0.32128099173553715</v>
      </c>
      <c r="C45" t="str">
        <f>IF(USA!$H$8="STACKED",SWPS!W56,"")</f>
        <v/>
      </c>
    </row>
    <row r="46" spans="1:3" x14ac:dyDescent="0.25">
      <c r="A46" s="4">
        <f>IF(USA!$H$8="SWAPS",SWPS!V57,TRSYS!V57)</f>
        <v>42046</v>
      </c>
      <c r="B46">
        <f ca="1">IF(USA!$H$8="SWAPS",SWPS!W57,TRSYS!W57)</f>
        <v>0.3199999999999999</v>
      </c>
      <c r="C46" t="str">
        <f>IF(USA!$H$8="STACKED",SWPS!W57,"")</f>
        <v/>
      </c>
    </row>
    <row r="47" spans="1:3" x14ac:dyDescent="0.25">
      <c r="A47" s="4">
        <f>IF(USA!$H$8="SWAPS",SWPS!V58,TRSYS!V58)</f>
        <v>42045</v>
      </c>
      <c r="B47">
        <f ca="1">IF(USA!$H$8="SWAPS",SWPS!W58,TRSYS!W58)</f>
        <v>0.30974358974358979</v>
      </c>
      <c r="C47" t="str">
        <f>IF(USA!$H$8="STACKED",SWPS!W58,"")</f>
        <v/>
      </c>
    </row>
    <row r="48" spans="1:3" x14ac:dyDescent="0.25">
      <c r="A48" s="4">
        <f>IF(USA!$H$8="SWAPS",SWPS!V59,TRSYS!V59)</f>
        <v>42044</v>
      </c>
      <c r="B48">
        <f ca="1">IF(USA!$H$8="SWAPS",SWPS!W59,TRSYS!W59)</f>
        <v>0.31461864406779677</v>
      </c>
      <c r="C48" t="str">
        <f>IF(USA!$H$8="STACKED",SWPS!W59,"")</f>
        <v/>
      </c>
    </row>
    <row r="49" spans="1:3" x14ac:dyDescent="0.25">
      <c r="A49" s="4">
        <f>IF(USA!$H$8="SWAPS",SWPS!V60,TRSYS!V60)</f>
        <v>42041</v>
      </c>
      <c r="B49">
        <f ca="1">IF(USA!$H$8="SWAPS",SWPS!W60,TRSYS!W60)</f>
        <v>0.32029598308668072</v>
      </c>
      <c r="C49" t="str">
        <f>IF(USA!$H$8="STACKED",SWPS!W60,"")</f>
        <v/>
      </c>
    </row>
    <row r="50" spans="1:3" x14ac:dyDescent="0.25">
      <c r="A50" s="4">
        <f>IF(USA!$H$8="SWAPS",SWPS!V61,TRSYS!V61)</f>
        <v>42040</v>
      </c>
      <c r="B50">
        <f ca="1">IF(USA!$H$8="SWAPS",SWPS!W61,TRSYS!W61)</f>
        <v>0.33024691358024688</v>
      </c>
      <c r="C50" t="str">
        <f>IF(USA!$H$8="STACKED",SWPS!W61,"")</f>
        <v/>
      </c>
    </row>
    <row r="51" spans="1:3" x14ac:dyDescent="0.25">
      <c r="A51" s="4">
        <f>IF(USA!$H$8="SWAPS",SWPS!V62,TRSYS!V62)</f>
        <v>42039</v>
      </c>
      <c r="B51">
        <f ca="1">IF(USA!$H$8="SWAPS",SWPS!W62,TRSYS!W62)</f>
        <v>0.33017875920084105</v>
      </c>
      <c r="C51" t="str">
        <f>IF(USA!$H$8="STACKED",SWPS!W62,"")</f>
        <v/>
      </c>
    </row>
    <row r="52" spans="1:3" x14ac:dyDescent="0.25">
      <c r="A52" s="4">
        <f>IF(USA!$H$8="SWAPS",SWPS!V63,TRSYS!V63)</f>
        <v>42038</v>
      </c>
      <c r="B52">
        <f ca="1">IF(USA!$H$8="SWAPS",SWPS!W63,TRSYS!W63)</f>
        <v>0.33263598326359839</v>
      </c>
      <c r="C52" t="str">
        <f>IF(USA!$H$8="STACKED",SWPS!W63,"")</f>
        <v/>
      </c>
    </row>
    <row r="53" spans="1:3" x14ac:dyDescent="0.25">
      <c r="A53" s="4">
        <f>IF(USA!$H$8="SWAPS",SWPS!V64,TRSYS!V64)</f>
        <v>42037</v>
      </c>
      <c r="B53">
        <f ca="1">IF(USA!$H$8="SWAPS",SWPS!W64,TRSYS!W64)</f>
        <v>0.33738938053097339</v>
      </c>
      <c r="C53" t="str">
        <f>IF(USA!$H$8="STACKED",SWPS!W64,"")</f>
        <v/>
      </c>
    </row>
    <row r="54" spans="1:3" x14ac:dyDescent="0.25">
      <c r="A54" s="4">
        <f>IF(USA!$H$8="SWAPS",SWPS!V65,TRSYS!V65)</f>
        <v>42034</v>
      </c>
      <c r="B54">
        <f ca="1">IF(USA!$H$8="SWAPS",SWPS!W65,TRSYS!W65)</f>
        <v>0.33701657458563555</v>
      </c>
      <c r="C54" t="str">
        <f>IF(USA!$H$8="STACKED",SWPS!W65,"")</f>
        <v/>
      </c>
    </row>
    <row r="55" spans="1:3" x14ac:dyDescent="0.25">
      <c r="A55" s="4">
        <f>IF(USA!$H$8="SWAPS",SWPS!V66,TRSYS!V66)</f>
        <v>42033</v>
      </c>
      <c r="B55">
        <f ca="1">IF(USA!$H$8="SWAPS",SWPS!W66,TRSYS!W66)</f>
        <v>0.30952380952380953</v>
      </c>
      <c r="C55" t="str">
        <f>IF(USA!$H$8="STACKED",SWPS!W66,"")</f>
        <v/>
      </c>
    </row>
    <row r="56" spans="1:3" x14ac:dyDescent="0.25">
      <c r="A56" s="4">
        <f>IF(USA!$H$8="SWAPS",SWPS!V67,TRSYS!V67)</f>
        <v>42032</v>
      </c>
      <c r="B56">
        <f ca="1">IF(USA!$H$8="SWAPS",SWPS!W67,TRSYS!W67)</f>
        <v>0.31161780673181344</v>
      </c>
      <c r="C56" t="str">
        <f>IF(USA!$H$8="STACKED",SWPS!W67,"")</f>
        <v/>
      </c>
    </row>
    <row r="57" spans="1:3" x14ac:dyDescent="0.25">
      <c r="A57" s="4">
        <f>IF(USA!$H$8="SWAPS",SWPS!V68,TRSYS!V68)</f>
        <v>42031</v>
      </c>
      <c r="B57">
        <f ca="1">IF(USA!$H$8="SWAPS",SWPS!W68,TRSYS!W68)</f>
        <v>0.30640083945435476</v>
      </c>
      <c r="C57" t="str">
        <f>IF(USA!$H$8="STACKED",SWPS!W68,"")</f>
        <v/>
      </c>
    </row>
    <row r="58" spans="1:3" x14ac:dyDescent="0.25">
      <c r="A58" s="4">
        <f>IF(USA!$H$8="SWAPS",SWPS!V69,TRSYS!V69)</f>
        <v>42030</v>
      </c>
      <c r="B58">
        <f ca="1">IF(USA!$H$8="SWAPS",SWPS!W69,TRSYS!W69)</f>
        <v>0.31335436382755</v>
      </c>
      <c r="C58" t="str">
        <f>IF(USA!$H$8="STACKED",SWPS!W69,"")</f>
        <v/>
      </c>
    </row>
    <row r="59" spans="1:3" x14ac:dyDescent="0.25">
      <c r="A59" s="4">
        <f>IF(USA!$H$8="SWAPS",SWPS!V70,TRSYS!V70)</f>
        <v>42027</v>
      </c>
      <c r="B59">
        <f ca="1">IF(USA!$H$8="SWAPS",SWPS!W70,TRSYS!W70)</f>
        <v>0.30972515856236776</v>
      </c>
      <c r="C59" t="str">
        <f>IF(USA!$H$8="STACKED",SWPS!W70,"")</f>
        <v/>
      </c>
    </row>
    <row r="60" spans="1:3" x14ac:dyDescent="0.25">
      <c r="A60" s="4">
        <f>IF(USA!$H$8="SWAPS",SWPS!V71,TRSYS!V71)</f>
        <v>42026</v>
      </c>
      <c r="B60">
        <f ca="1">IF(USA!$H$8="SWAPS",SWPS!W71,TRSYS!W71)</f>
        <v>0.31275720164609061</v>
      </c>
      <c r="C60" t="str">
        <f>IF(USA!$H$8="STACKED",SWPS!W71,"")</f>
        <v/>
      </c>
    </row>
    <row r="61" spans="1:3" x14ac:dyDescent="0.25">
      <c r="A61" s="4">
        <f>IF(USA!$H$8="SWAPS",SWPS!V72,TRSYS!V72)</f>
        <v>42025</v>
      </c>
      <c r="B61">
        <f ca="1">IF(USA!$H$8="SWAPS",SWPS!W72,TRSYS!W72)</f>
        <v>0.3163672654690618</v>
      </c>
      <c r="C61" t="str">
        <f>IF(USA!$H$8="STACKED",SWPS!W72,"")</f>
        <v/>
      </c>
    </row>
    <row r="62" spans="1:3" x14ac:dyDescent="0.25">
      <c r="A62" s="4">
        <f>IF(USA!$H$8="SWAPS",SWPS!V73,TRSYS!V73)</f>
        <v>42024</v>
      </c>
      <c r="B62">
        <f ca="1">IF(USA!$H$8="SWAPS",SWPS!W73,TRSYS!W73)</f>
        <v>0.31837160751565752</v>
      </c>
      <c r="C62" t="str">
        <f>IF(USA!$H$8="STACKED",SWPS!W73,"")</f>
        <v/>
      </c>
    </row>
    <row r="63" spans="1:3" x14ac:dyDescent="0.25">
      <c r="A63" s="4">
        <f>IF(USA!$H$8="SWAPS",SWPS!V74,TRSYS!V74)</f>
        <v>42023</v>
      </c>
      <c r="B63">
        <f ca="1">IF(USA!$H$8="SWAPS",SWPS!W74,TRSYS!W74)</f>
        <v>0.30541871921182268</v>
      </c>
      <c r="C63" t="str">
        <f>IF(USA!$H$8="STACKED",SWPS!W74,"")</f>
        <v/>
      </c>
    </row>
    <row r="64" spans="1:3" x14ac:dyDescent="0.25">
      <c r="A64" s="4">
        <f>IF(USA!$H$8="SWAPS",SWPS!V75,TRSYS!V75)</f>
        <v>42020</v>
      </c>
      <c r="B64">
        <f ca="1">IF(USA!$H$8="SWAPS",SWPS!W75,TRSYS!W75)</f>
        <v>0.30541871921182268</v>
      </c>
      <c r="C64" t="str">
        <f>IF(USA!$H$8="STACKED",SWPS!W75,"")</f>
        <v/>
      </c>
    </row>
    <row r="65" spans="1:3" x14ac:dyDescent="0.25">
      <c r="A65" s="4">
        <f>IF(USA!$H$8="SWAPS",SWPS!V76,TRSYS!V76)</f>
        <v>42019</v>
      </c>
      <c r="B65">
        <f ca="1">IF(USA!$H$8="SWAPS",SWPS!W76,TRSYS!W76)</f>
        <v>0.31605184446660034</v>
      </c>
      <c r="C65" t="str">
        <f>IF(USA!$H$8="STACKED",SWPS!W76,"")</f>
        <v/>
      </c>
    </row>
    <row r="66" spans="1:3" x14ac:dyDescent="0.25">
      <c r="A66" s="4">
        <f>IF(USA!$H$8="SWAPS",SWPS!V77,TRSYS!V77)</f>
        <v>42018</v>
      </c>
      <c r="B66">
        <f ca="1">IF(USA!$H$8="SWAPS",SWPS!W77,TRSYS!W77)</f>
        <v>0.30285152409046223</v>
      </c>
      <c r="C66" t="str">
        <f>IF(USA!$H$8="STACKED",SWPS!W77,"")</f>
        <v/>
      </c>
    </row>
    <row r="67" spans="1:3" x14ac:dyDescent="0.25">
      <c r="A67" s="4">
        <f>IF(USA!$H$8="SWAPS",SWPS!V78,TRSYS!V78)</f>
        <v>42017</v>
      </c>
      <c r="B67">
        <f ca="1">IF(USA!$H$8="SWAPS",SWPS!W78,TRSYS!W78)</f>
        <v>0.30128840436075333</v>
      </c>
      <c r="C67" t="str">
        <f>IF(USA!$H$8="STACKED",SWPS!W78,"")</f>
        <v/>
      </c>
    </row>
    <row r="68" spans="1:3" x14ac:dyDescent="0.25">
      <c r="A68" s="4">
        <f>IF(USA!$H$8="SWAPS",SWPS!V79,TRSYS!V79)</f>
        <v>42016</v>
      </c>
      <c r="B68">
        <f ca="1">IF(USA!$H$8="SWAPS",SWPS!W79,TRSYS!W79)</f>
        <v>0.297747306562194</v>
      </c>
      <c r="C68" t="str">
        <f>IF(USA!$H$8="STACKED",SWPS!W79,"")</f>
        <v/>
      </c>
    </row>
    <row r="69" spans="1:3" x14ac:dyDescent="0.25">
      <c r="A69" s="4">
        <f>IF(USA!$H$8="SWAPS",SWPS!V80,TRSYS!V80)</f>
        <v>42013</v>
      </c>
      <c r="B69">
        <f ca="1">IF(USA!$H$8="SWAPS",SWPS!W80,TRSYS!W80)</f>
        <v>0.30320699708454818</v>
      </c>
      <c r="C69" t="str">
        <f>IF(USA!$H$8="STACKED",SWPS!W80,"")</f>
        <v/>
      </c>
    </row>
    <row r="70" spans="1:3" x14ac:dyDescent="0.25">
      <c r="A70" s="4">
        <f>IF(USA!$H$8="SWAPS",SWPS!V81,TRSYS!V81)</f>
        <v>42012</v>
      </c>
      <c r="B70">
        <f ca="1">IF(USA!$H$8="SWAPS",SWPS!W81,TRSYS!W81)</f>
        <v>0.30152671755725197</v>
      </c>
      <c r="C70" t="str">
        <f>IF(USA!$H$8="STACKED",SWPS!W81,"")</f>
        <v/>
      </c>
    </row>
    <row r="71" spans="1:3" x14ac:dyDescent="0.25">
      <c r="A71" s="4">
        <f>IF(USA!$H$8="SWAPS",SWPS!V82,TRSYS!V82)</f>
        <v>42011</v>
      </c>
      <c r="B71">
        <f ca="1">IF(USA!$H$8="SWAPS",SWPS!W82,TRSYS!W82)</f>
        <v>0.29748743718592952</v>
      </c>
      <c r="C71" t="str">
        <f>IF(USA!$H$8="STACKED",SWPS!W82,"")</f>
        <v/>
      </c>
    </row>
    <row r="72" spans="1:3" x14ac:dyDescent="0.25">
      <c r="A72" s="4">
        <f>IF(USA!$H$8="SWAPS",SWPS!V83,TRSYS!V83)</f>
        <v>42010</v>
      </c>
      <c r="B72">
        <f ca="1">IF(USA!$H$8="SWAPS",SWPS!W83,TRSYS!W83)</f>
        <v>0.29184100418410036</v>
      </c>
      <c r="C72" t="str">
        <f>IF(USA!$H$8="STACKED",SWPS!W83,"")</f>
        <v/>
      </c>
    </row>
    <row r="73" spans="1:3" x14ac:dyDescent="0.25">
      <c r="A73" s="4">
        <f>IF(USA!$H$8="SWAPS",SWPS!V84,TRSYS!V84)</f>
        <v>42009</v>
      </c>
      <c r="B73">
        <f ca="1">IF(USA!$H$8="SWAPS",SWPS!W84,TRSYS!W84)</f>
        <v>0.28269617706237438</v>
      </c>
      <c r="C73" t="str">
        <f>IF(USA!$H$8="STACKED",SWPS!W84,"")</f>
        <v/>
      </c>
    </row>
    <row r="74" spans="1:3" x14ac:dyDescent="0.25">
      <c r="A74" s="4">
        <f>IF(USA!$H$8="SWAPS",SWPS!V85,TRSYS!V85)</f>
        <v>42006</v>
      </c>
      <c r="B74">
        <f ca="1">IF(USA!$H$8="SWAPS",SWPS!W85,TRSYS!W85)</f>
        <v>0.29154795821462476</v>
      </c>
      <c r="C74" t="str">
        <f>IF(USA!$H$8="STACKED",SWPS!W85,"")</f>
        <v/>
      </c>
    </row>
    <row r="75" spans="1:3" x14ac:dyDescent="0.25">
      <c r="A75" s="4">
        <f>IF(USA!$H$8="SWAPS",SWPS!V86,TRSYS!V86)</f>
        <v>42005</v>
      </c>
      <c r="B75">
        <f ca="1">IF(USA!$H$8="SWAPS",SWPS!W86,TRSYS!W86)</f>
        <v>0.28882833787465939</v>
      </c>
      <c r="C75" t="str">
        <f>IF(USA!$H$8="STACKED",SWPS!W86,"")</f>
        <v/>
      </c>
    </row>
    <row r="76" spans="1:3" x14ac:dyDescent="0.25">
      <c r="A76" s="4">
        <f>IF(USA!$H$8="SWAPS",SWPS!V87,TRSYS!V87)</f>
        <v>42004</v>
      </c>
      <c r="B76">
        <f ca="1">IF(USA!$H$8="SWAPS",SWPS!W87,TRSYS!W87)</f>
        <v>0.28882833787465939</v>
      </c>
      <c r="C76" t="str">
        <f>IF(USA!$H$8="STACKED",SWPS!W87,"")</f>
        <v/>
      </c>
    </row>
    <row r="77" spans="1:3" x14ac:dyDescent="0.25">
      <c r="A77" s="4">
        <f>IF(USA!$H$8="SWAPS",SWPS!V88,TRSYS!V88)</f>
        <v>42003</v>
      </c>
      <c r="B77">
        <f ca="1">IF(USA!$H$8="SWAPS",SWPS!W88,TRSYS!W88)</f>
        <v>0.28754578754578736</v>
      </c>
      <c r="C77" t="str">
        <f>IF(USA!$H$8="STACKED",SWPS!W88,"")</f>
        <v/>
      </c>
    </row>
    <row r="78" spans="1:3" x14ac:dyDescent="0.25">
      <c r="A78" s="4">
        <f>IF(USA!$H$8="SWAPS",SWPS!V89,TRSYS!V89)</f>
        <v>42002</v>
      </c>
      <c r="B78">
        <f ca="1">IF(USA!$H$8="SWAPS",SWPS!W89,TRSYS!W89)</f>
        <v>0.28677150786308958</v>
      </c>
      <c r="C78" t="str">
        <f>IF(USA!$H$8="STACKED",SWPS!W89,"")</f>
        <v/>
      </c>
    </row>
    <row r="79" spans="1:3" x14ac:dyDescent="0.25">
      <c r="A79" s="4">
        <f>IF(USA!$H$8="SWAPS",SWPS!V90,TRSYS!V90)</f>
        <v>41999</v>
      </c>
      <c r="B79">
        <f ca="1">IF(USA!$H$8="SWAPS",SWPS!W90,TRSYS!W90)</f>
        <v>0.28993536472760856</v>
      </c>
      <c r="C79" t="str">
        <f>IF(USA!$H$8="STACKED",SWPS!W90,"")</f>
        <v/>
      </c>
    </row>
    <row r="80" spans="1:3" x14ac:dyDescent="0.25">
      <c r="A80" s="4">
        <f>IF(USA!$H$8="SWAPS",SWPS!V91,TRSYS!V91)</f>
        <v>41998</v>
      </c>
      <c r="B80">
        <f ca="1">IF(USA!$H$8="SWAPS",SWPS!W91,TRSYS!W91)</f>
        <v>0.28375912408759113</v>
      </c>
      <c r="C80" t="str">
        <f>IF(USA!$H$8="STACKED",SWPS!W91,"")</f>
        <v/>
      </c>
    </row>
    <row r="81" spans="1:3" x14ac:dyDescent="0.25">
      <c r="A81" s="4">
        <f>IF(USA!$H$8="SWAPS",SWPS!V92,TRSYS!V92)</f>
        <v>41997</v>
      </c>
      <c r="B81">
        <f ca="1">IF(USA!$H$8="SWAPS",SWPS!W92,TRSYS!W92)</f>
        <v>0.28375912408759113</v>
      </c>
      <c r="C81" t="str">
        <f>IF(USA!$H$8="STACKED",SWPS!W92,"")</f>
        <v/>
      </c>
    </row>
    <row r="82" spans="1:3" x14ac:dyDescent="0.25">
      <c r="A82" s="4">
        <f>IF(USA!$H$8="SWAPS",SWPS!V93,TRSYS!V93)</f>
        <v>41996</v>
      </c>
      <c r="B82">
        <f ca="1">IF(USA!$H$8="SWAPS",SWPS!W93,TRSYS!W93)</f>
        <v>0.29727272727272741</v>
      </c>
      <c r="C82" t="str">
        <f>IF(USA!$H$8="STACKED",SWPS!W93,"")</f>
        <v/>
      </c>
    </row>
    <row r="83" spans="1:3" x14ac:dyDescent="0.25">
      <c r="A83" s="4">
        <f>IF(USA!$H$8="SWAPS",SWPS!V94,TRSYS!V94)</f>
        <v>41995</v>
      </c>
      <c r="B83">
        <f ca="1">IF(USA!$H$8="SWAPS",SWPS!W94,TRSYS!W94)</f>
        <v>0.29640151515151536</v>
      </c>
      <c r="C83" t="str">
        <f>IF(USA!$H$8="STACKED",SWPS!W94,"")</f>
        <v/>
      </c>
    </row>
    <row r="84" spans="1:3" x14ac:dyDescent="0.25">
      <c r="A84" s="4">
        <f>IF(USA!$H$8="SWAPS",SWPS!V95,TRSYS!V95)</f>
        <v>41992</v>
      </c>
      <c r="B84">
        <f ca="1">IF(USA!$H$8="SWAPS",SWPS!W95,TRSYS!W95)</f>
        <v>0.30260707635009293</v>
      </c>
      <c r="C84" t="str">
        <f>IF(USA!$H$8="STACKED",SWPS!W95,"")</f>
        <v/>
      </c>
    </row>
    <row r="85" spans="1:3" x14ac:dyDescent="0.25">
      <c r="A85" s="4">
        <f>IF(USA!$H$8="SWAPS",SWPS!V96,TRSYS!V96)</f>
        <v>41991</v>
      </c>
      <c r="B85">
        <f ca="1">IF(USA!$H$8="SWAPS",SWPS!W96,TRSYS!W96)</f>
        <v>0.30376344086021478</v>
      </c>
      <c r="C85" t="str">
        <f>IF(USA!$H$8="STACKED",SWPS!W96,"")</f>
        <v/>
      </c>
    </row>
    <row r="86" spans="1:3" x14ac:dyDescent="0.25">
      <c r="A86" s="4">
        <f>IF(USA!$H$8="SWAPS",SWPS!V97,TRSYS!V97)</f>
        <v>41990</v>
      </c>
      <c r="B86">
        <f ca="1">IF(USA!$H$8="SWAPS",SWPS!W97,TRSYS!W97)</f>
        <v>0.30271790065604498</v>
      </c>
      <c r="C86" t="str">
        <f>IF(USA!$H$8="STACKED",SWPS!W97,"")</f>
        <v/>
      </c>
    </row>
    <row r="87" spans="1:3" x14ac:dyDescent="0.25">
      <c r="A87" s="4">
        <f>IF(USA!$H$8="SWAPS",SWPS!V98,TRSYS!V98)</f>
        <v>41989</v>
      </c>
      <c r="B87">
        <f ca="1">IF(USA!$H$8="SWAPS",SWPS!W98,TRSYS!W98)</f>
        <v>0.30597014925373139</v>
      </c>
      <c r="C87" t="str">
        <f>IF(USA!$H$8="STACKED",SWPS!W98,"")</f>
        <v/>
      </c>
    </row>
    <row r="88" spans="1:3" x14ac:dyDescent="0.25">
      <c r="A88" s="4">
        <f>IF(USA!$H$8="SWAPS",SWPS!V99,TRSYS!V99)</f>
        <v>41988</v>
      </c>
      <c r="B88">
        <f ca="1">IF(USA!$H$8="SWAPS",SWPS!W99,TRSYS!W99)</f>
        <v>0.30073126142595979</v>
      </c>
      <c r="C88" t="str">
        <f>IF(USA!$H$8="STACKED",SWPS!W99,"")</f>
        <v/>
      </c>
    </row>
    <row r="89" spans="1:3" x14ac:dyDescent="0.25">
      <c r="A89" s="4">
        <f>IF(USA!$H$8="SWAPS",SWPS!V100,TRSYS!V100)</f>
        <v>41985</v>
      </c>
      <c r="B89">
        <f ca="1">IF(USA!$H$8="SWAPS",SWPS!W100,TRSYS!W100)</f>
        <v>0.30054151624548731</v>
      </c>
      <c r="C89" t="str">
        <f>IF(USA!$H$8="STACKED",SWPS!W100,"")</f>
        <v/>
      </c>
    </row>
    <row r="90" spans="1:3" x14ac:dyDescent="0.25">
      <c r="A90" s="4">
        <f>IF(USA!$H$8="SWAPS",SWPS!V101,TRSYS!V101)</f>
        <v>41984</v>
      </c>
      <c r="B90">
        <f ca="1">IF(USA!$H$8="SWAPS",SWPS!W101,TRSYS!W101)</f>
        <v>0.30205540661304747</v>
      </c>
      <c r="C90" t="str">
        <f>IF(USA!$H$8="STACKED",SWPS!W101,"")</f>
        <v/>
      </c>
    </row>
    <row r="91" spans="1:3" x14ac:dyDescent="0.25">
      <c r="A91" s="4">
        <f>IF(USA!$H$8="SWAPS",SWPS!V102,TRSYS!V102)</f>
        <v>41983</v>
      </c>
      <c r="B91">
        <f ca="1">IF(USA!$H$8="SWAPS",SWPS!W102,TRSYS!W102)</f>
        <v>0.30224525043177897</v>
      </c>
      <c r="C91" t="str">
        <f>IF(USA!$H$8="STACKED",SWPS!W102,"")</f>
        <v/>
      </c>
    </row>
    <row r="92" spans="1:3" x14ac:dyDescent="0.25">
      <c r="A92" s="4">
        <f>IF(USA!$H$8="SWAPS",SWPS!V103,TRSYS!V103)</f>
        <v>41982</v>
      </c>
      <c r="B92">
        <f ca="1">IF(USA!$H$8="SWAPS",SWPS!W103,TRSYS!W103)</f>
        <v>0.29208754208754206</v>
      </c>
      <c r="C92" t="str">
        <f>IF(USA!$H$8="STACKED",SWPS!W103,"")</f>
        <v/>
      </c>
    </row>
    <row r="93" spans="1:3" x14ac:dyDescent="0.25">
      <c r="A93" s="4">
        <f>IF(USA!$H$8="SWAPS",SWPS!V104,TRSYS!V104)</f>
        <v>41981</v>
      </c>
      <c r="B93">
        <f ca="1">IF(USA!$H$8="SWAPS",SWPS!W104,TRSYS!W104)</f>
        <v>0.29958158995815887</v>
      </c>
      <c r="C93" t="str">
        <f>IF(USA!$H$8="STACKED",SWPS!W104,"")</f>
        <v/>
      </c>
    </row>
    <row r="94" spans="1:3" x14ac:dyDescent="0.25">
      <c r="A94" s="4">
        <f>IF(USA!$H$8="SWAPS",SWPS!V105,TRSYS!V105)</f>
        <v>41978</v>
      </c>
      <c r="B94">
        <f ca="1">IF(USA!$H$8="SWAPS",SWPS!W105,TRSYS!W105)</f>
        <v>0.30413625304136255</v>
      </c>
      <c r="C94" t="str">
        <f>IF(USA!$H$8="STACKED",SWPS!W105,"")</f>
        <v/>
      </c>
    </row>
    <row r="95" spans="1:3" x14ac:dyDescent="0.25">
      <c r="A95" s="4">
        <f>IF(USA!$H$8="SWAPS",SWPS!V106,TRSYS!V106)</f>
        <v>41977</v>
      </c>
      <c r="B95">
        <f ca="1">IF(USA!$H$8="SWAPS",SWPS!W106,TRSYS!W106)</f>
        <v>0.30482115085536537</v>
      </c>
      <c r="C95" t="str">
        <f>IF(USA!$H$8="STACKED",SWPS!W106,"")</f>
        <v/>
      </c>
    </row>
    <row r="96" spans="1:3" x14ac:dyDescent="0.25">
      <c r="A96" s="4">
        <f>IF(USA!$H$8="SWAPS",SWPS!V107,TRSYS!V107)</f>
        <v>41976</v>
      </c>
      <c r="B96">
        <f ca="1">IF(USA!$H$8="SWAPS",SWPS!W107,TRSYS!W107)</f>
        <v>0.30547112462006049</v>
      </c>
      <c r="C96" t="str">
        <f>IF(USA!$H$8="STACKED",SWPS!W107,"")</f>
        <v/>
      </c>
    </row>
    <row r="97" spans="1:3" x14ac:dyDescent="0.25">
      <c r="A97" s="4">
        <f>IF(USA!$H$8="SWAPS",SWPS!V108,TRSYS!V108)</f>
        <v>41975</v>
      </c>
      <c r="B97">
        <f ca="1">IF(USA!$H$8="SWAPS",SWPS!W108,TRSYS!W108)</f>
        <v>0.30615270570793163</v>
      </c>
      <c r="C97" t="str">
        <f>IF(USA!$H$8="STACKED",SWPS!W108,"")</f>
        <v/>
      </c>
    </row>
    <row r="98" spans="1:3" x14ac:dyDescent="0.25">
      <c r="A98" s="4">
        <f>IF(USA!$H$8="SWAPS",SWPS!V109,TRSYS!V109)</f>
        <v>41974</v>
      </c>
      <c r="B98">
        <f ca="1">IF(USA!$H$8="SWAPS",SWPS!W109,TRSYS!W109)</f>
        <v>0.30941704035874457</v>
      </c>
      <c r="C98" t="str">
        <f>IF(USA!$H$8="STACKED",SWPS!W109,"")</f>
        <v/>
      </c>
    </row>
    <row r="99" spans="1:3" x14ac:dyDescent="0.25">
      <c r="A99" s="4">
        <f>IF(USA!$H$8="SWAPS",SWPS!V110,TRSYS!V110)</f>
        <v>41971</v>
      </c>
      <c r="B99">
        <f ca="1">IF(USA!$H$8="SWAPS",SWPS!W110,TRSYS!W110)</f>
        <v>0.30395136778115511</v>
      </c>
      <c r="C99" t="str">
        <f>IF(USA!$H$8="STACKED",SWPS!W110,"")</f>
        <v/>
      </c>
    </row>
    <row r="100" spans="1:3" x14ac:dyDescent="0.25">
      <c r="A100" s="4">
        <f>IF(USA!$H$8="SWAPS",SWPS!V111,TRSYS!V111)</f>
        <v>41970</v>
      </c>
      <c r="B100">
        <f ca="1">IF(USA!$H$8="SWAPS",SWPS!W111,TRSYS!W111)</f>
        <v>0.30255255255255259</v>
      </c>
      <c r="C100" t="str">
        <f>IF(USA!$H$8="STACKED",SWPS!W111,"")</f>
        <v/>
      </c>
    </row>
    <row r="101" spans="1:3" x14ac:dyDescent="0.25">
      <c r="A101" s="4">
        <f>IF(USA!$H$8="SWAPS",SWPS!V112,TRSYS!V112)</f>
        <v>41969</v>
      </c>
      <c r="B101">
        <f ca="1">IF(USA!$H$8="SWAPS",SWPS!W112,TRSYS!W112)</f>
        <v>0.29279279279279274</v>
      </c>
      <c r="C101" t="str">
        <f>IF(USA!$H$8="STACKED",SWPS!W112,"")</f>
        <v/>
      </c>
    </row>
    <row r="102" spans="1:3" x14ac:dyDescent="0.25">
      <c r="A102" s="4">
        <f>IF(USA!$H$8="SWAPS",SWPS!V113,TRSYS!V113)</f>
        <v>41968</v>
      </c>
      <c r="B102">
        <f ca="1">IF(USA!$H$8="SWAPS",SWPS!W113,TRSYS!W113)</f>
        <v>0.30059970014992504</v>
      </c>
      <c r="C102" t="str">
        <f>IF(USA!$H$8="STACKED",SWPS!W113,"")</f>
        <v/>
      </c>
    </row>
    <row r="103" spans="1:3" x14ac:dyDescent="0.25">
      <c r="A103" s="4">
        <f>IF(USA!$H$8="SWAPS",SWPS!V114,TRSYS!V114)</f>
        <v>41967</v>
      </c>
      <c r="B103">
        <f ca="1">IF(USA!$H$8="SWAPS",SWPS!W114,TRSYS!W114)</f>
        <v>0.30021913805697592</v>
      </c>
      <c r="C103" t="str">
        <f>IF(USA!$H$8="STACKED",SWPS!W114,"")</f>
        <v/>
      </c>
    </row>
    <row r="104" spans="1:3" x14ac:dyDescent="0.25">
      <c r="A104" s="4">
        <f>IF(USA!$H$8="SWAPS",SWPS!V115,TRSYS!V115)</f>
        <v>41964</v>
      </c>
      <c r="B104">
        <f ca="1">IF(USA!$H$8="SWAPS",SWPS!W115,TRSYS!W115)</f>
        <v>0.30336257309941528</v>
      </c>
      <c r="C104" t="str">
        <f>IF(USA!$H$8="STACKED",SWPS!W115,"")</f>
        <v/>
      </c>
    </row>
    <row r="105" spans="1:3" x14ac:dyDescent="0.25">
      <c r="A105" s="4">
        <f>IF(USA!$H$8="SWAPS",SWPS!V116,TRSYS!V116)</f>
        <v>41963</v>
      </c>
      <c r="B105">
        <f ca="1">IF(USA!$H$8="SWAPS",SWPS!W116,TRSYS!W116)</f>
        <v>0.30094271211022483</v>
      </c>
      <c r="C105" t="str">
        <f>IF(USA!$H$8="STACKED",SWPS!W116,"")</f>
        <v/>
      </c>
    </row>
    <row r="106" spans="1:3" x14ac:dyDescent="0.25">
      <c r="A106" s="4">
        <f>IF(USA!$H$8="SWAPS",SWPS!V117,TRSYS!V117)</f>
        <v>41962</v>
      </c>
      <c r="B106">
        <f ca="1">IF(USA!$H$8="SWAPS",SWPS!W117,TRSYS!W117)</f>
        <v>0.3018050541516244</v>
      </c>
      <c r="C106" t="str">
        <f>IF(USA!$H$8="STACKED",SWPS!W117,"")</f>
        <v/>
      </c>
    </row>
    <row r="107" spans="1:3" x14ac:dyDescent="0.25">
      <c r="A107" s="4">
        <f>IF(USA!$H$8="SWAPS",SWPS!V118,TRSYS!V118)</f>
        <v>41961</v>
      </c>
      <c r="B107">
        <f ca="1">IF(USA!$H$8="SWAPS",SWPS!W118,TRSYS!W118)</f>
        <v>0.30183150183150181</v>
      </c>
      <c r="C107" t="str">
        <f>IF(USA!$H$8="STACKED",SWPS!W118,"")</f>
        <v/>
      </c>
    </row>
    <row r="108" spans="1:3" x14ac:dyDescent="0.25">
      <c r="A108" s="4">
        <f>IF(USA!$H$8="SWAPS",SWPS!V119,TRSYS!V119)</f>
        <v>41960</v>
      </c>
      <c r="B108">
        <f ca="1">IF(USA!$H$8="SWAPS",SWPS!W119,TRSYS!W119)</f>
        <v>0.30000000000000004</v>
      </c>
      <c r="C108" t="str">
        <f>IF(USA!$H$8="STACKED",SWPS!W119,"")</f>
        <v/>
      </c>
    </row>
    <row r="109" spans="1:3" x14ac:dyDescent="0.25">
      <c r="A109" s="4">
        <f>IF(USA!$H$8="SWAPS",SWPS!V120,TRSYS!V120)</f>
        <v>41957</v>
      </c>
      <c r="B109">
        <f ca="1">IF(USA!$H$8="SWAPS",SWPS!W120,TRSYS!W120)</f>
        <v>0.3018315018315017</v>
      </c>
      <c r="C109" t="str">
        <f>IF(USA!$H$8="STACKED",SWPS!W120,"")</f>
        <v/>
      </c>
    </row>
    <row r="110" spans="1:3" x14ac:dyDescent="0.25">
      <c r="A110" s="4">
        <f>IF(USA!$H$8="SWAPS",SWPS!V121,TRSYS!V121)</f>
        <v>41956</v>
      </c>
      <c r="B110">
        <f ca="1">IF(USA!$H$8="SWAPS",SWPS!W121,TRSYS!W121)</f>
        <v>0.30029154518950424</v>
      </c>
      <c r="C110" t="str">
        <f>IF(USA!$H$8="STACKED",SWPS!W121,"")</f>
        <v/>
      </c>
    </row>
    <row r="111" spans="1:3" x14ac:dyDescent="0.25">
      <c r="A111" s="4">
        <f>IF(USA!$H$8="SWAPS",SWPS!V122,TRSYS!V122)</f>
        <v>41955</v>
      </c>
      <c r="B111">
        <f ca="1">IF(USA!$H$8="SWAPS",SWPS!W122,TRSYS!W122)</f>
        <v>0.30482456140350866</v>
      </c>
      <c r="C111" t="str">
        <f>IF(USA!$H$8="STACKED",SWPS!W122,"")</f>
        <v/>
      </c>
    </row>
    <row r="112" spans="1:3" x14ac:dyDescent="0.25">
      <c r="A112" s="4">
        <f>IF(USA!$H$8="SWAPS",SWPS!V123,TRSYS!V123)</f>
        <v>41954</v>
      </c>
      <c r="B112">
        <f ca="1">IF(USA!$H$8="SWAPS",SWPS!W123,TRSYS!W123)</f>
        <v>0.30825958702064876</v>
      </c>
      <c r="C112" t="str">
        <f>IF(USA!$H$8="STACKED",SWPS!W123,"")</f>
        <v/>
      </c>
    </row>
    <row r="113" spans="1:3" x14ac:dyDescent="0.25">
      <c r="A113" s="4">
        <f>IF(USA!$H$8="SWAPS",SWPS!V124,TRSYS!V124)</f>
        <v>41953</v>
      </c>
      <c r="B113">
        <f ca="1">IF(USA!$H$8="SWAPS",SWPS!W124,TRSYS!W124)</f>
        <v>0.30028735632183889</v>
      </c>
      <c r="C113" t="str">
        <f>IF(USA!$H$8="STACKED",SWPS!W124,"")</f>
        <v/>
      </c>
    </row>
    <row r="114" spans="1:3" x14ac:dyDescent="0.25">
      <c r="A114" s="4">
        <f>IF(USA!$H$8="SWAPS",SWPS!V125,TRSYS!V125)</f>
        <v>41950</v>
      </c>
      <c r="B114">
        <f ca="1">IF(USA!$H$8="SWAPS",SWPS!W125,TRSYS!W125)</f>
        <v>0.30225782957028408</v>
      </c>
      <c r="C114" t="str">
        <f>IF(USA!$H$8="STACKED",SWPS!W125,"")</f>
        <v/>
      </c>
    </row>
    <row r="115" spans="1:3" x14ac:dyDescent="0.25">
      <c r="A115" s="4">
        <f>IF(USA!$H$8="SWAPS",SWPS!V126,TRSYS!V126)</f>
        <v>41949</v>
      </c>
      <c r="B115">
        <f ca="1">IF(USA!$H$8="SWAPS",SWPS!W126,TRSYS!W126)</f>
        <v>0.30028735632183906</v>
      </c>
      <c r="C115" t="str">
        <f>IF(USA!$H$8="STACKED",SWPS!W126,"")</f>
        <v/>
      </c>
    </row>
    <row r="116" spans="1:3" x14ac:dyDescent="0.25">
      <c r="A116" s="4">
        <f>IF(USA!$H$8="SWAPS",SWPS!V127,TRSYS!V127)</f>
        <v>41948</v>
      </c>
      <c r="B116">
        <f ca="1">IF(USA!$H$8="SWAPS",SWPS!W127,TRSYS!W127)</f>
        <v>0.3004322766570604</v>
      </c>
      <c r="C116" t="str">
        <f>IF(USA!$H$8="STACKED",SWPS!W127,"")</f>
        <v/>
      </c>
    </row>
    <row r="117" spans="1:3" x14ac:dyDescent="0.25">
      <c r="A117" s="4">
        <f>IF(USA!$H$8="SWAPS",SWPS!V128,TRSYS!V128)</f>
        <v>41947</v>
      </c>
      <c r="B117">
        <f ca="1">IF(USA!$H$8="SWAPS",SWPS!W128,TRSYS!W128)</f>
        <v>0.30215827338129486</v>
      </c>
      <c r="C117" t="str">
        <f>IF(USA!$H$8="STACKED",SWPS!W128,"")</f>
        <v/>
      </c>
    </row>
    <row r="118" spans="1:3" x14ac:dyDescent="0.25">
      <c r="A118" s="4">
        <f>IF(USA!$H$8="SWAPS",SWPS!V129,TRSYS!V129)</f>
        <v>41946</v>
      </c>
      <c r="B118">
        <f ca="1">IF(USA!$H$8="SWAPS",SWPS!W129,TRSYS!W129)</f>
        <v>0.30028530670470738</v>
      </c>
      <c r="C118" t="str">
        <f>IF(USA!$H$8="STACKED",SWPS!W129,"")</f>
        <v/>
      </c>
    </row>
    <row r="119" spans="1:3" x14ac:dyDescent="0.25">
      <c r="A119" s="4">
        <f>IF(USA!$H$8="SWAPS",SWPS!V130,TRSYS!V130)</f>
        <v>41943</v>
      </c>
      <c r="B119">
        <f ca="1">IF(USA!$H$8="SWAPS",SWPS!W130,TRSYS!W130)</f>
        <v>0.30410183875530428</v>
      </c>
      <c r="C119" t="str">
        <f>IF(USA!$H$8="STACKED",SWPS!W130,"")</f>
        <v/>
      </c>
    </row>
    <row r="120" spans="1:3" x14ac:dyDescent="0.25">
      <c r="A120" s="4">
        <f>IF(USA!$H$8="SWAPS",SWPS!V131,TRSYS!V131)</f>
        <v>41942</v>
      </c>
      <c r="B120">
        <f ca="1">IF(USA!$H$8="SWAPS",SWPS!W131,TRSYS!W131)</f>
        <v>0.29943502824858753</v>
      </c>
      <c r="C120" t="str">
        <f>IF(USA!$H$8="STACKED",SWPS!W131,"")</f>
        <v/>
      </c>
    </row>
    <row r="121" spans="1:3" x14ac:dyDescent="0.25">
      <c r="A121" s="4">
        <f>IF(USA!$H$8="SWAPS",SWPS!V132,TRSYS!V132)</f>
        <v>41941</v>
      </c>
      <c r="B121">
        <f ca="1">IF(USA!$H$8="SWAPS",SWPS!W132,TRSYS!W132)</f>
        <v>0.30176678445229682</v>
      </c>
      <c r="C121" t="str">
        <f>IF(USA!$H$8="STACKED",SWPS!W132,"")</f>
        <v/>
      </c>
    </row>
    <row r="122" spans="1:3" x14ac:dyDescent="0.25">
      <c r="A122" s="4">
        <f>IF(USA!$H$8="SWAPS",SWPS!V133,TRSYS!V133)</f>
        <v>41940</v>
      </c>
      <c r="B122">
        <f ca="1">IF(USA!$H$8="SWAPS",SWPS!W133,TRSYS!W133)</f>
        <v>0.30695770804911315</v>
      </c>
      <c r="C122" t="str">
        <f>IF(USA!$H$8="STACKED",SWPS!W133,"")</f>
        <v/>
      </c>
    </row>
    <row r="123" spans="1:3" x14ac:dyDescent="0.25">
      <c r="A123" s="4">
        <f>IF(USA!$H$8="SWAPS",SWPS!V134,TRSYS!V134)</f>
        <v>41939</v>
      </c>
      <c r="B123">
        <f ca="1">IF(USA!$H$8="SWAPS",SWPS!W134,TRSYS!W134)</f>
        <v>0.30536451169188439</v>
      </c>
      <c r="C123" t="str">
        <f>IF(USA!$H$8="STACKED",SWPS!W134,"")</f>
        <v/>
      </c>
    </row>
    <row r="124" spans="1:3" x14ac:dyDescent="0.25">
      <c r="A124" s="4">
        <f>IF(USA!$H$8="SWAPS",SWPS!V135,TRSYS!V135)</f>
        <v>41936</v>
      </c>
      <c r="B124">
        <f ca="1">IF(USA!$H$8="SWAPS",SWPS!W135,TRSYS!W135)</f>
        <v>0.30674002751031632</v>
      </c>
      <c r="C124" t="str">
        <f>IF(USA!$H$8="STACKED",SWPS!W135,"")</f>
        <v/>
      </c>
    </row>
    <row r="125" spans="1:3" x14ac:dyDescent="0.25">
      <c r="A125" s="4">
        <f>IF(USA!$H$8="SWAPS",SWPS!V136,TRSYS!V136)</f>
        <v>41935</v>
      </c>
      <c r="B125">
        <f ca="1">IF(USA!$H$8="SWAPS",SWPS!W136,TRSYS!W136)</f>
        <v>0.30716253443526159</v>
      </c>
      <c r="C125" t="str">
        <f>IF(USA!$H$8="STACKED",SWPS!W136,"")</f>
        <v/>
      </c>
    </row>
    <row r="126" spans="1:3" x14ac:dyDescent="0.25">
      <c r="A126" s="4">
        <f>IF(USA!$H$8="SWAPS",SWPS!V137,TRSYS!V137)</f>
        <v>41934</v>
      </c>
      <c r="B126">
        <f ca="1">IF(USA!$H$8="SWAPS",SWPS!W137,TRSYS!W137)</f>
        <v>0.31167933655839669</v>
      </c>
      <c r="C126" t="str">
        <f>IF(USA!$H$8="STACKED",SWPS!W137,"")</f>
        <v/>
      </c>
    </row>
    <row r="127" spans="1:3" x14ac:dyDescent="0.25">
      <c r="A127" s="4">
        <f>IF(USA!$H$8="SWAPS",SWPS!V138,TRSYS!V138)</f>
        <v>41933</v>
      </c>
      <c r="B127">
        <f ca="1">IF(USA!$H$8="SWAPS",SWPS!W138,TRSYS!W138)</f>
        <v>0.31146408839778994</v>
      </c>
      <c r="C127" t="str">
        <f>IF(USA!$H$8="STACKED",SWPS!W138,"")</f>
        <v/>
      </c>
    </row>
    <row r="128" spans="1:3" x14ac:dyDescent="0.25">
      <c r="A128" s="4">
        <f>IF(USA!$H$8="SWAPS",SWPS!V139,TRSYS!V139)</f>
        <v>41932</v>
      </c>
      <c r="B128">
        <f ca="1">IF(USA!$H$8="SWAPS",SWPS!W139,TRSYS!W139)</f>
        <v>0.31504922644163141</v>
      </c>
      <c r="C128" t="str">
        <f>IF(USA!$H$8="STACKED",SWPS!W139,"")</f>
        <v/>
      </c>
    </row>
    <row r="129" spans="1:3" x14ac:dyDescent="0.25">
      <c r="A129" s="4">
        <f>IF(USA!$H$8="SWAPS",SWPS!V140,TRSYS!V140)</f>
        <v>41929</v>
      </c>
      <c r="B129">
        <f ca="1">IF(USA!$H$8="SWAPS",SWPS!W140,TRSYS!W140)</f>
        <v>0.31463068181818188</v>
      </c>
      <c r="C129" t="str">
        <f>IF(USA!$H$8="STACKED",SWPS!W140,"")</f>
        <v/>
      </c>
    </row>
    <row r="130" spans="1:3" x14ac:dyDescent="0.25">
      <c r="A130" s="4">
        <f>IF(USA!$H$8="SWAPS",SWPS!V141,TRSYS!V141)</f>
        <v>41928</v>
      </c>
      <c r="B130">
        <f ca="1">IF(USA!$H$8="SWAPS",SWPS!W141,TRSYS!W141)</f>
        <v>0.31428571428571428</v>
      </c>
      <c r="C130" t="str">
        <f>IF(USA!$H$8="STACKED",SWPS!W141,"")</f>
        <v/>
      </c>
    </row>
    <row r="131" spans="1:3" x14ac:dyDescent="0.25">
      <c r="A131" s="4">
        <f>IF(USA!$H$8="SWAPS",SWPS!V142,TRSYS!V142)</f>
        <v>41927</v>
      </c>
      <c r="B131">
        <f ca="1">IF(USA!$H$8="SWAPS",SWPS!W142,TRSYS!W142)</f>
        <v>0.31320224719101136</v>
      </c>
      <c r="C131" t="str">
        <f>IF(USA!$H$8="STACKED",SWPS!W142,"")</f>
        <v/>
      </c>
    </row>
    <row r="132" spans="1:3" x14ac:dyDescent="0.25">
      <c r="A132" s="4">
        <f>IF(USA!$H$8="SWAPS",SWPS!V143,TRSYS!V143)</f>
        <v>41926</v>
      </c>
      <c r="B132">
        <f ca="1">IF(USA!$H$8="SWAPS",SWPS!W143,TRSYS!W143)</f>
        <v>0.31258941344778263</v>
      </c>
      <c r="C132" t="str">
        <f>IF(USA!$H$8="STACKED",SWPS!W143,"")</f>
        <v/>
      </c>
    </row>
    <row r="133" spans="1:3" x14ac:dyDescent="0.25">
      <c r="A133" s="4">
        <f>IF(USA!$H$8="SWAPS",SWPS!V144,TRSYS!V144)</f>
        <v>41925</v>
      </c>
      <c r="B133">
        <f ca="1">IF(USA!$H$8="SWAPS",SWPS!W144,TRSYS!W144)</f>
        <v>0.31169757489300981</v>
      </c>
      <c r="C133" t="str">
        <f>IF(USA!$H$8="STACKED",SWPS!W144,"")</f>
        <v/>
      </c>
    </row>
    <row r="134" spans="1:3" x14ac:dyDescent="0.25">
      <c r="A134" s="4">
        <f>IF(USA!$H$8="SWAPS",SWPS!V145,TRSYS!V145)</f>
        <v>41922</v>
      </c>
      <c r="B134">
        <f ca="1">IF(USA!$H$8="SWAPS",SWPS!W145,TRSYS!W145)</f>
        <v>0.31169757489300981</v>
      </c>
      <c r="C134" t="str">
        <f>IF(USA!$H$8="STACKED",SWPS!W145,"")</f>
        <v/>
      </c>
    </row>
    <row r="135" spans="1:3" x14ac:dyDescent="0.25">
      <c r="A135" s="4">
        <f>IF(USA!$H$8="SWAPS",SWPS!V146,TRSYS!V146)</f>
        <v>41921</v>
      </c>
      <c r="B135">
        <f ca="1">IF(USA!$H$8="SWAPS",SWPS!W146,TRSYS!W146)</f>
        <v>0.31014904187366932</v>
      </c>
      <c r="C135" t="str">
        <f>IF(USA!$H$8="STACKED",SWPS!W146,"")</f>
        <v/>
      </c>
    </row>
    <row r="136" spans="1:3" x14ac:dyDescent="0.25">
      <c r="A136" s="4">
        <f>IF(USA!$H$8="SWAPS",SWPS!V147,TRSYS!V147)</f>
        <v>41920</v>
      </c>
      <c r="B136">
        <f ca="1">IF(USA!$H$8="SWAPS",SWPS!W147,TRSYS!W147)</f>
        <v>0.31501057082452422</v>
      </c>
      <c r="C136" t="str">
        <f>IF(USA!$H$8="STACKED",SWPS!W147,"")</f>
        <v/>
      </c>
    </row>
    <row r="137" spans="1:3" x14ac:dyDescent="0.25">
      <c r="A137" s="4">
        <f>IF(USA!$H$8="SWAPS",SWPS!V148,TRSYS!V148)</f>
        <v>41919</v>
      </c>
      <c r="B137">
        <f ca="1">IF(USA!$H$8="SWAPS",SWPS!W148,TRSYS!W148)</f>
        <v>0.30537634408602143</v>
      </c>
      <c r="C137" t="str">
        <f>IF(USA!$H$8="STACKED",SWPS!W148,"")</f>
        <v/>
      </c>
    </row>
    <row r="138" spans="1:3" x14ac:dyDescent="0.25">
      <c r="A138" s="4">
        <f>IF(USA!$H$8="SWAPS",SWPS!V149,TRSYS!V149)</f>
        <v>41918</v>
      </c>
      <c r="B138">
        <f ca="1">IF(USA!$H$8="SWAPS",SWPS!W149,TRSYS!W149)</f>
        <v>0.30596491228070177</v>
      </c>
      <c r="C138" t="str">
        <f>IF(USA!$H$8="STACKED",SWPS!W149,"")</f>
        <v/>
      </c>
    </row>
    <row r="139" spans="1:3" x14ac:dyDescent="0.25">
      <c r="A139" s="4">
        <f>IF(USA!$H$8="SWAPS",SWPS!V150,TRSYS!V150)</f>
        <v>41915</v>
      </c>
      <c r="B139">
        <f ca="1">IF(USA!$H$8="SWAPS",SWPS!W150,TRSYS!W150)</f>
        <v>0.30626780626780636</v>
      </c>
      <c r="C139" t="str">
        <f>IF(USA!$H$8="STACKED",SWPS!W150,"")</f>
        <v/>
      </c>
    </row>
    <row r="140" spans="1:3" x14ac:dyDescent="0.25">
      <c r="A140" s="4">
        <f>IF(USA!$H$8="SWAPS",SWPS!V151,TRSYS!V151)</f>
        <v>41914</v>
      </c>
      <c r="B140">
        <f ca="1">IF(USA!$H$8="SWAPS",SWPS!W151,TRSYS!W151)</f>
        <v>0.30843706777316743</v>
      </c>
      <c r="C140" t="str">
        <f>IF(USA!$H$8="STACKED",SWPS!W151,"")</f>
        <v/>
      </c>
    </row>
    <row r="141" spans="1:3" x14ac:dyDescent="0.25">
      <c r="A141" s="4">
        <f>IF(USA!$H$8="SWAPS",SWPS!V152,TRSYS!V152)</f>
        <v>41913</v>
      </c>
      <c r="B141">
        <f ca="1">IF(USA!$H$8="SWAPS",SWPS!W152,TRSYS!W152)</f>
        <v>0.30480905233380468</v>
      </c>
      <c r="C141" t="str">
        <f>IF(USA!$H$8="STACKED",SWPS!W152,"")</f>
        <v/>
      </c>
    </row>
    <row r="142" spans="1:3" x14ac:dyDescent="0.25">
      <c r="A142" s="4">
        <f>IF(USA!$H$8="SWAPS",SWPS!V153,TRSYS!V153)</f>
        <v>41912</v>
      </c>
      <c r="B142">
        <f ca="1">IF(USA!$H$8="SWAPS",SWPS!W153,TRSYS!W153)</f>
        <v>0.30806340454858716</v>
      </c>
      <c r="C142" t="str">
        <f>IF(USA!$H$8="STACKED",SWPS!W153,"")</f>
        <v/>
      </c>
    </row>
    <row r="143" spans="1:3" x14ac:dyDescent="0.25">
      <c r="A143" s="4">
        <f>IF(USA!$H$8="SWAPS",SWPS!V154,TRSYS!V154)</f>
        <v>41911</v>
      </c>
      <c r="B143">
        <f ca="1">IF(USA!$H$8="SWAPS",SWPS!W154,TRSYS!W154)</f>
        <v>0.30609418282548462</v>
      </c>
      <c r="C143" t="str">
        <f>IF(USA!$H$8="STACKED",SWPS!W154,"")</f>
        <v/>
      </c>
    </row>
    <row r="144" spans="1:3" x14ac:dyDescent="0.25">
      <c r="A144" s="4">
        <f>IF(USA!$H$8="SWAPS",SWPS!V155,TRSYS!V155)</f>
        <v>41908</v>
      </c>
      <c r="B144">
        <f ca="1">IF(USA!$H$8="SWAPS",SWPS!W155,TRSYS!W155)</f>
        <v>0.30360789652825038</v>
      </c>
      <c r="C144" t="str">
        <f>IF(USA!$H$8="STACKED",SWPS!W155,"")</f>
        <v/>
      </c>
    </row>
    <row r="145" spans="1:3" x14ac:dyDescent="0.25">
      <c r="A145" s="4">
        <f>IF(USA!$H$8="SWAPS",SWPS!V156,TRSYS!V156)</f>
        <v>41907</v>
      </c>
      <c r="B145">
        <f ca="1">IF(USA!$H$8="SWAPS",SWPS!W156,TRSYS!W156)</f>
        <v>0.29609690444145365</v>
      </c>
      <c r="C145" t="str">
        <f>IF(USA!$H$8="STACKED",SWPS!W156,"")</f>
        <v/>
      </c>
    </row>
    <row r="146" spans="1:3" x14ac:dyDescent="0.25">
      <c r="A146" s="4">
        <f>IF(USA!$H$8="SWAPS",SWPS!V157,TRSYS!V157)</f>
        <v>41906</v>
      </c>
      <c r="B146">
        <f ca="1">IF(USA!$H$8="SWAPS",SWPS!W157,TRSYS!W157)</f>
        <v>0.3075383589059375</v>
      </c>
      <c r="C146" t="str">
        <f>IF(USA!$H$8="STACKED",SWPS!W157,"")</f>
        <v/>
      </c>
    </row>
    <row r="147" spans="1:3" x14ac:dyDescent="0.25">
      <c r="A147" s="4">
        <f>IF(USA!$H$8="SWAPS",SWPS!V158,TRSYS!V158)</f>
        <v>41905</v>
      </c>
      <c r="B147">
        <f ca="1">IF(USA!$H$8="SWAPS",SWPS!W158,TRSYS!W158)</f>
        <v>0.30795148247978454</v>
      </c>
      <c r="C147" t="str">
        <f>IF(USA!$H$8="STACKED",SWPS!W158,"")</f>
        <v/>
      </c>
    </row>
    <row r="148" spans="1:3" x14ac:dyDescent="0.25">
      <c r="A148" s="4">
        <f>IF(USA!$H$8="SWAPS",SWPS!V159,TRSYS!V159)</f>
        <v>41904</v>
      </c>
      <c r="B148">
        <f ca="1">IF(USA!$H$8="SWAPS",SWPS!W159,TRSYS!W159)</f>
        <v>0.31162790697674414</v>
      </c>
      <c r="C148" t="str">
        <f>IF(USA!$H$8="STACKED",SWPS!W159,"")</f>
        <v/>
      </c>
    </row>
    <row r="149" spans="1:3" x14ac:dyDescent="0.25">
      <c r="A149" s="4">
        <f>IF(USA!$H$8="SWAPS",SWPS!V160,TRSYS!V160)</f>
        <v>41901</v>
      </c>
      <c r="B149">
        <f ca="1">IF(USA!$H$8="SWAPS",SWPS!W160,TRSYS!W160)</f>
        <v>0.31115591397849446</v>
      </c>
      <c r="C149" t="str">
        <f>IF(USA!$H$8="STACKED",SWPS!W160,"")</f>
        <v/>
      </c>
    </row>
    <row r="150" spans="1:3" x14ac:dyDescent="0.25">
      <c r="A150" s="4">
        <f>IF(USA!$H$8="SWAPS",SWPS!V161,TRSYS!V161)</f>
        <v>41900</v>
      </c>
      <c r="B150">
        <f ca="1">IF(USA!$H$8="SWAPS",SWPS!W161,TRSYS!W161)</f>
        <v>0.31184210526315798</v>
      </c>
      <c r="C150" t="str">
        <f>IF(USA!$H$8="STACKED",SWPS!W161,"")</f>
        <v/>
      </c>
    </row>
    <row r="151" spans="1:3" x14ac:dyDescent="0.25">
      <c r="A151" s="4">
        <f>IF(USA!$H$8="SWAPS",SWPS!V162,TRSYS!V162)</f>
        <v>41899</v>
      </c>
      <c r="B151">
        <f ca="1">IF(USA!$H$8="SWAPS",SWPS!W162,TRSYS!W162)</f>
        <v>0.30966469428007898</v>
      </c>
      <c r="C151" t="str">
        <f>IF(USA!$H$8="STACKED",SWPS!W162,"")</f>
        <v/>
      </c>
    </row>
    <row r="152" spans="1:3" x14ac:dyDescent="0.25">
      <c r="A152" s="4">
        <f>IF(USA!$H$8="SWAPS",SWPS!V163,TRSYS!V163)</f>
        <v>41898</v>
      </c>
      <c r="B152">
        <f ca="1">IF(USA!$H$8="SWAPS",SWPS!W163,TRSYS!W163)</f>
        <v>0.31027795733678087</v>
      </c>
      <c r="C152" t="str">
        <f>IF(USA!$H$8="STACKED",SWPS!W163,"")</f>
        <v/>
      </c>
    </row>
    <row r="153" spans="1:3" x14ac:dyDescent="0.25">
      <c r="A153" s="4">
        <f>IF(USA!$H$8="SWAPS",SWPS!V164,TRSYS!V164)</f>
        <v>41897</v>
      </c>
      <c r="B153">
        <f ca="1">IF(USA!$H$8="SWAPS",SWPS!W164,TRSYS!W164)</f>
        <v>0.30533854166666674</v>
      </c>
      <c r="C153" t="str">
        <f>IF(USA!$H$8="STACKED",SWPS!W164,"")</f>
        <v/>
      </c>
    </row>
    <row r="154" spans="1:3" x14ac:dyDescent="0.25">
      <c r="A154" s="4">
        <f>IF(USA!$H$8="SWAPS",SWPS!V165,TRSYS!V165)</f>
        <v>41894</v>
      </c>
      <c r="B154">
        <f ca="1">IF(USA!$H$8="SWAPS",SWPS!W165,TRSYS!W165)</f>
        <v>0.30326797385620918</v>
      </c>
      <c r="C154" t="str">
        <f>IF(USA!$H$8="STACKED",SWPS!W165,"")</f>
        <v/>
      </c>
    </row>
    <row r="155" spans="1:3" x14ac:dyDescent="0.25">
      <c r="A155" s="4">
        <f>IF(USA!$H$8="SWAPS",SWPS!V166,TRSYS!V166)</f>
        <v>41893</v>
      </c>
      <c r="B155">
        <f ca="1">IF(USA!$H$8="SWAPS",SWPS!W166,TRSYS!W166)</f>
        <v>0.29762711864406782</v>
      </c>
      <c r="C155" t="str">
        <f>IF(USA!$H$8="STACKED",SWPS!W166,"")</f>
        <v/>
      </c>
    </row>
    <row r="156" spans="1:3" x14ac:dyDescent="0.25">
      <c r="A156" s="4">
        <f>IF(USA!$H$8="SWAPS",SWPS!V167,TRSYS!V167)</f>
        <v>41892</v>
      </c>
      <c r="B156">
        <f ca="1">IF(USA!$H$8="SWAPS",SWPS!W167,TRSYS!W167)</f>
        <v>0.29903978052126201</v>
      </c>
      <c r="C156" t="str">
        <f>IF(USA!$H$8="STACKED",SWPS!W167,"")</f>
        <v/>
      </c>
    </row>
    <row r="157" spans="1:3" x14ac:dyDescent="0.25">
      <c r="A157" s="4">
        <f>IF(USA!$H$8="SWAPS",SWPS!V168,TRSYS!V168)</f>
        <v>41891</v>
      </c>
      <c r="B157">
        <f ca="1">IF(USA!$H$8="SWAPS",SWPS!W168,TRSYS!W168)</f>
        <v>0.29291553133514997</v>
      </c>
      <c r="C157" t="str">
        <f>IF(USA!$H$8="STACKED",SWPS!W168,"")</f>
        <v/>
      </c>
    </row>
    <row r="158" spans="1:3" x14ac:dyDescent="0.25">
      <c r="A158" s="4">
        <f>IF(USA!$H$8="SWAPS",SWPS!V169,TRSYS!V169)</f>
        <v>41890</v>
      </c>
      <c r="B158">
        <f ca="1">IF(USA!$H$8="SWAPS",SWPS!W169,TRSYS!W169)</f>
        <v>0.2953929539295394</v>
      </c>
      <c r="C158" t="str">
        <f>IF(USA!$H$8="STACKED",SWPS!W169,"")</f>
        <v/>
      </c>
    </row>
    <row r="159" spans="1:3" x14ac:dyDescent="0.25">
      <c r="A159" s="4">
        <f>IF(USA!$H$8="SWAPS",SWPS!V170,TRSYS!V170)</f>
        <v>41887</v>
      </c>
      <c r="B159">
        <f ca="1">IF(USA!$H$8="SWAPS",SWPS!W170,TRSYS!W170)</f>
        <v>0.29792919171676702</v>
      </c>
      <c r="C159" t="str">
        <f>IF(USA!$H$8="STACKED",SWPS!W170,"")</f>
        <v/>
      </c>
    </row>
    <row r="160" spans="1:3" x14ac:dyDescent="0.25">
      <c r="A160" s="4">
        <f>IF(USA!$H$8="SWAPS",SWPS!V171,TRSYS!V171)</f>
        <v>41886</v>
      </c>
      <c r="B160">
        <f ca="1">IF(USA!$H$8="SWAPS",SWPS!W171,TRSYS!W171)</f>
        <v>0.29516019086571221</v>
      </c>
      <c r="C160" t="str">
        <f>IF(USA!$H$8="STACKED",SWPS!W171,"")</f>
        <v/>
      </c>
    </row>
    <row r="161" spans="1:3" x14ac:dyDescent="0.25">
      <c r="A161" s="4">
        <f>IF(USA!$H$8="SWAPS",SWPS!V172,TRSYS!V172)</f>
        <v>41885</v>
      </c>
      <c r="B161">
        <f ca="1">IF(USA!$H$8="SWAPS",SWPS!W172,TRSYS!W172)</f>
        <v>0.2957550452331244</v>
      </c>
      <c r="C161" t="str">
        <f>IF(USA!$H$8="STACKED",SWPS!W172,"")</f>
        <v/>
      </c>
    </row>
    <row r="162" spans="1:3" x14ac:dyDescent="0.25">
      <c r="A162" s="4">
        <f>IF(USA!$H$8="SWAPS",SWPS!V173,TRSYS!V173)</f>
        <v>41884</v>
      </c>
      <c r="B162">
        <f ca="1">IF(USA!$H$8="SWAPS",SWPS!W173,TRSYS!W173)</f>
        <v>0.29427980702963474</v>
      </c>
      <c r="C162" t="str">
        <f>IF(USA!$H$8="STACKED",SWPS!W173,"")</f>
        <v/>
      </c>
    </row>
    <row r="163" spans="1:3" x14ac:dyDescent="0.25">
      <c r="A163" s="4">
        <f>IF(USA!$H$8="SWAPS",SWPS!V174,TRSYS!V174)</f>
        <v>41883</v>
      </c>
      <c r="B163">
        <f ca="1">IF(USA!$H$8="SWAPS",SWPS!W174,TRSYS!W174)</f>
        <v>0.2942008486562942</v>
      </c>
      <c r="C163" t="str">
        <f>IF(USA!$H$8="STACKED",SWPS!W174,"")</f>
        <v/>
      </c>
    </row>
    <row r="164" spans="1:3" x14ac:dyDescent="0.25">
      <c r="A164" s="4">
        <f>IF(USA!$H$8="SWAPS",SWPS!V175,TRSYS!V175)</f>
        <v>41880</v>
      </c>
      <c r="B164">
        <f ca="1">IF(USA!$H$8="SWAPS",SWPS!W175,TRSYS!W175)</f>
        <v>0.2942008486562942</v>
      </c>
      <c r="C164" t="str">
        <f>IF(USA!$H$8="STACKED",SWPS!W175,"")</f>
        <v/>
      </c>
    </row>
    <row r="165" spans="1:3" x14ac:dyDescent="0.25">
      <c r="A165" s="4">
        <f>IF(USA!$H$8="SWAPS",SWPS!V176,TRSYS!V176)</f>
        <v>41879</v>
      </c>
      <c r="B165">
        <f ca="1">IF(USA!$H$8="SWAPS",SWPS!W176,TRSYS!W176)</f>
        <v>0.27734095782701917</v>
      </c>
      <c r="C165" t="str">
        <f>IF(USA!$H$8="STACKED",SWPS!W176,"")</f>
        <v/>
      </c>
    </row>
    <row r="166" spans="1:3" x14ac:dyDescent="0.25">
      <c r="A166" s="4">
        <f>IF(USA!$H$8="SWAPS",SWPS!V177,TRSYS!V177)</f>
        <v>41878</v>
      </c>
      <c r="B166">
        <f ca="1">IF(USA!$H$8="SWAPS",SWPS!W177,TRSYS!W177)</f>
        <v>0.28846153846153844</v>
      </c>
      <c r="C166" t="str">
        <f>IF(USA!$H$8="STACKED",SWPS!W177,"")</f>
        <v/>
      </c>
    </row>
    <row r="167" spans="1:3" x14ac:dyDescent="0.25">
      <c r="A167" s="4">
        <f>IF(USA!$H$8="SWAPS",SWPS!V178,TRSYS!V178)</f>
        <v>41877</v>
      </c>
      <c r="B167">
        <f ca="1">IF(USA!$H$8="SWAPS",SWPS!W178,TRSYS!W178)</f>
        <v>0.28980446927374298</v>
      </c>
      <c r="C167" t="str">
        <f>IF(USA!$H$8="STACKED",SWPS!W178,"")</f>
        <v/>
      </c>
    </row>
    <row r="168" spans="1:3" x14ac:dyDescent="0.25">
      <c r="A168" s="4">
        <f>IF(USA!$H$8="SWAPS",SWPS!V179,TRSYS!V179)</f>
        <v>41876</v>
      </c>
      <c r="B168">
        <f ca="1">IF(USA!$H$8="SWAPS",SWPS!W179,TRSYS!W179)</f>
        <v>0.29039145907473302</v>
      </c>
      <c r="C168" t="str">
        <f>IF(USA!$H$8="STACKED",SWPS!W179,"")</f>
        <v/>
      </c>
    </row>
    <row r="169" spans="1:3" x14ac:dyDescent="0.25">
      <c r="A169" s="4">
        <f>IF(USA!$H$8="SWAPS",SWPS!V180,TRSYS!V180)</f>
        <v>41873</v>
      </c>
      <c r="B169">
        <f ca="1">IF(USA!$H$8="SWAPS",SWPS!W180,TRSYS!W180)</f>
        <v>0.29735376044568251</v>
      </c>
      <c r="C169" t="str">
        <f>IF(USA!$H$8="STACKED",SWPS!W180,"")</f>
        <v/>
      </c>
    </row>
    <row r="170" spans="1:3" x14ac:dyDescent="0.25">
      <c r="A170" s="4">
        <f>IF(USA!$H$8="SWAPS",SWPS!V181,TRSYS!V181)</f>
        <v>41872</v>
      </c>
      <c r="B170">
        <f ca="1">IF(USA!$H$8="SWAPS",SWPS!W181,TRSYS!W181)</f>
        <v>0.30136054421768699</v>
      </c>
      <c r="C170" t="str">
        <f>IF(USA!$H$8="STACKED",SWPS!W181,"")</f>
        <v/>
      </c>
    </row>
    <row r="171" spans="1:3" x14ac:dyDescent="0.25">
      <c r="A171" s="4">
        <f>IF(USA!$H$8="SWAPS",SWPS!V182,TRSYS!V182)</f>
        <v>41871</v>
      </c>
      <c r="B171">
        <f ca="1">IF(USA!$H$8="SWAPS",SWPS!W182,TRSYS!W182)</f>
        <v>0.30525606469002703</v>
      </c>
      <c r="C171" t="str">
        <f>IF(USA!$H$8="STACKED",SWPS!W182,"")</f>
        <v/>
      </c>
    </row>
    <row r="172" spans="1:3" x14ac:dyDescent="0.25">
      <c r="A172" s="4">
        <f>IF(USA!$H$8="SWAPS",SWPS!V183,TRSYS!V183)</f>
        <v>41870</v>
      </c>
      <c r="B172">
        <f ca="1">IF(USA!$H$8="SWAPS",SWPS!W183,TRSYS!W183)</f>
        <v>0.30748840291583829</v>
      </c>
      <c r="C172" t="str">
        <f>IF(USA!$H$8="STACKED",SWPS!W183,"")</f>
        <v/>
      </c>
    </row>
    <row r="173" spans="1:3" x14ac:dyDescent="0.25">
      <c r="A173" s="4">
        <f>IF(USA!$H$8="SWAPS",SWPS!V184,TRSYS!V184)</f>
        <v>41869</v>
      </c>
      <c r="B173">
        <f ca="1">IF(USA!$H$8="SWAPS",SWPS!W184,TRSYS!W184)</f>
        <v>0.30856005308560058</v>
      </c>
      <c r="C173" t="str">
        <f>IF(USA!$H$8="STACKED",SWPS!W184,"")</f>
        <v/>
      </c>
    </row>
    <row r="174" spans="1:3" x14ac:dyDescent="0.25">
      <c r="A174" s="4">
        <f>IF(USA!$H$8="SWAPS",SWPS!V185,TRSYS!V185)</f>
        <v>41866</v>
      </c>
      <c r="B174">
        <f ca="1">IF(USA!$H$8="SWAPS",SWPS!W185,TRSYS!W185)</f>
        <v>0.30587440918298447</v>
      </c>
      <c r="C174" t="str">
        <f>IF(USA!$H$8="STACKED",SWPS!W185,"")</f>
        <v/>
      </c>
    </row>
    <row r="175" spans="1:3" x14ac:dyDescent="0.25">
      <c r="A175" s="4">
        <f>IF(USA!$H$8="SWAPS",SWPS!V186,TRSYS!V186)</f>
        <v>41865</v>
      </c>
      <c r="B175">
        <f ca="1">IF(USA!$H$8="SWAPS",SWPS!W186,TRSYS!W186)</f>
        <v>0.30891089108910902</v>
      </c>
      <c r="C175" t="str">
        <f>IF(USA!$H$8="STACKED",SWPS!W186,"")</f>
        <v/>
      </c>
    </row>
    <row r="176" spans="1:3" x14ac:dyDescent="0.25">
      <c r="A176" s="4">
        <f>IF(USA!$H$8="SWAPS",SWPS!V187,TRSYS!V187)</f>
        <v>41864</v>
      </c>
      <c r="B176">
        <f ca="1">IF(USA!$H$8="SWAPS",SWPS!W187,TRSYS!W187)</f>
        <v>0.31054687500000022</v>
      </c>
      <c r="C176" t="str">
        <f>IF(USA!$H$8="STACKED",SWPS!W187,"")</f>
        <v/>
      </c>
    </row>
    <row r="177" spans="1:3" x14ac:dyDescent="0.25">
      <c r="A177" s="4">
        <f>IF(USA!$H$8="SWAPS",SWPS!V188,TRSYS!V188)</f>
        <v>41863</v>
      </c>
      <c r="B177">
        <f ca="1">IF(USA!$H$8="SWAPS",SWPS!W188,TRSYS!W188)</f>
        <v>0.30635838150289008</v>
      </c>
      <c r="C177" t="str">
        <f>IF(USA!$H$8="STACKED",SWPS!W188,"")</f>
        <v/>
      </c>
    </row>
    <row r="178" spans="1:3" x14ac:dyDescent="0.25">
      <c r="A178" s="4">
        <f>IF(USA!$H$8="SWAPS",SWPS!V189,TRSYS!V189)</f>
        <v>41862</v>
      </c>
      <c r="B178">
        <f ca="1">IF(USA!$H$8="SWAPS",SWPS!W189,TRSYS!W189)</f>
        <v>0.30814332247556997</v>
      </c>
      <c r="C178" t="str">
        <f>IF(USA!$H$8="STACKED",SWPS!W189,"")</f>
        <v/>
      </c>
    </row>
    <row r="179" spans="1:3" x14ac:dyDescent="0.25">
      <c r="A179" s="4">
        <f>IF(USA!$H$8="SWAPS",SWPS!V190,TRSYS!V190)</f>
        <v>41859</v>
      </c>
      <c r="B179">
        <f ca="1">IF(USA!$H$8="SWAPS",SWPS!W190,TRSYS!W190)</f>
        <v>0.30340760157273927</v>
      </c>
      <c r="C179" t="str">
        <f>IF(USA!$H$8="STACKED",SWPS!W190,"")</f>
        <v/>
      </c>
    </row>
    <row r="180" spans="1:3" x14ac:dyDescent="0.25">
      <c r="A180" s="4">
        <f>IF(USA!$H$8="SWAPS",SWPS!V191,TRSYS!V191)</f>
        <v>41858</v>
      </c>
      <c r="B180">
        <f ca="1">IF(USA!$H$8="SWAPS",SWPS!W191,TRSYS!W191)</f>
        <v>0.30569948186528495</v>
      </c>
      <c r="C180" t="str">
        <f>IF(USA!$H$8="STACKED",SWPS!W191,"")</f>
        <v/>
      </c>
    </row>
    <row r="181" spans="1:3" x14ac:dyDescent="0.25">
      <c r="A181" s="4">
        <f>IF(USA!$H$8="SWAPS",SWPS!V192,TRSYS!V192)</f>
        <v>41857</v>
      </c>
      <c r="B181">
        <f ca="1">IF(USA!$H$8="SWAPS",SWPS!W192,TRSYS!W192)</f>
        <v>0.30528999362651377</v>
      </c>
      <c r="C181" t="str">
        <f>IF(USA!$H$8="STACKED",SWPS!W192,"")</f>
        <v/>
      </c>
    </row>
    <row r="182" spans="1:3" x14ac:dyDescent="0.25">
      <c r="A182" s="4">
        <f>IF(USA!$H$8="SWAPS",SWPS!V193,TRSYS!V193)</f>
        <v>41856</v>
      </c>
      <c r="B182">
        <f ca="1">IF(USA!$H$8="SWAPS",SWPS!W193,TRSYS!W193)</f>
        <v>0.30404551201011371</v>
      </c>
      <c r="C182" t="str">
        <f>IF(USA!$H$8="STACKED",SWPS!W193,"")</f>
        <v/>
      </c>
    </row>
    <row r="183" spans="1:3" x14ac:dyDescent="0.25">
      <c r="A183" s="4">
        <f>IF(USA!$H$8="SWAPS",SWPS!V194,TRSYS!V194)</f>
        <v>41855</v>
      </c>
      <c r="B183">
        <f ca="1">IF(USA!$H$8="SWAPS",SWPS!W194,TRSYS!W194)</f>
        <v>0.30604534005037765</v>
      </c>
      <c r="C183" t="str">
        <f>IF(USA!$H$8="STACKED",SWPS!W194,"")</f>
        <v/>
      </c>
    </row>
    <row r="184" spans="1:3" x14ac:dyDescent="0.25">
      <c r="A184" s="4">
        <f>IF(USA!$H$8="SWAPS",SWPS!V195,TRSYS!V195)</f>
        <v>41852</v>
      </c>
      <c r="B184">
        <f ca="1">IF(USA!$H$8="SWAPS",SWPS!W195,TRSYS!W195)</f>
        <v>0.30901015228426393</v>
      </c>
      <c r="C184" t="str">
        <f>IF(USA!$H$8="STACKED",SWPS!W195,"")</f>
        <v/>
      </c>
    </row>
    <row r="185" spans="1:3" x14ac:dyDescent="0.25">
      <c r="A185" s="4">
        <f>IF(USA!$H$8="SWAPS",SWPS!V196,TRSYS!V196)</f>
        <v>41851</v>
      </c>
      <c r="B185">
        <f ca="1">IF(USA!$H$8="SWAPS",SWPS!W196,TRSYS!W196)</f>
        <v>0.30631780472239944</v>
      </c>
      <c r="C185" t="str">
        <f>IF(USA!$H$8="STACKED",SWPS!W196,"")</f>
        <v/>
      </c>
    </row>
    <row r="186" spans="1:3" x14ac:dyDescent="0.25">
      <c r="A186" s="4">
        <f>IF(USA!$H$8="SWAPS",SWPS!V197,TRSYS!V197)</f>
        <v>41850</v>
      </c>
      <c r="B186">
        <f ca="1">IF(USA!$H$8="SWAPS",SWPS!W197,TRSYS!W197)</f>
        <v>0.294996751137102</v>
      </c>
      <c r="C186" t="str">
        <f>IF(USA!$H$8="STACKED",SWPS!W197,"")</f>
        <v/>
      </c>
    </row>
    <row r="187" spans="1:3" x14ac:dyDescent="0.25">
      <c r="A187" s="4">
        <f>IF(USA!$H$8="SWAPS",SWPS!V198,TRSYS!V198)</f>
        <v>41849</v>
      </c>
      <c r="B187">
        <f ca="1">IF(USA!$H$8="SWAPS",SWPS!W198,TRSYS!W198)</f>
        <v>0.29790115098171971</v>
      </c>
      <c r="C187" t="str">
        <f>IF(USA!$H$8="STACKED",SWPS!W198,"")</f>
        <v/>
      </c>
    </row>
    <row r="188" spans="1:3" x14ac:dyDescent="0.25">
      <c r="A188" s="4">
        <f>IF(USA!$H$8="SWAPS",SWPS!V199,TRSYS!V199)</f>
        <v>41848</v>
      </c>
      <c r="B188">
        <f ca="1">IF(USA!$H$8="SWAPS",SWPS!W199,TRSYS!W199)</f>
        <v>0.30187416331994638</v>
      </c>
      <c r="C188" t="str">
        <f>IF(USA!$H$8="STACKED",SWPS!W199,"")</f>
        <v/>
      </c>
    </row>
    <row r="189" spans="1:3" x14ac:dyDescent="0.25">
      <c r="A189" s="4">
        <f>IF(USA!$H$8="SWAPS",SWPS!V200,TRSYS!V200)</f>
        <v>41845</v>
      </c>
      <c r="B189">
        <f ca="1">IF(USA!$H$8="SWAPS",SWPS!W200,TRSYS!W200)</f>
        <v>0.30486991327551688</v>
      </c>
      <c r="C189" t="str">
        <f>IF(USA!$H$8="STACKED",SWPS!W200,"")</f>
        <v/>
      </c>
    </row>
    <row r="190" spans="1:3" x14ac:dyDescent="0.25">
      <c r="A190" s="4">
        <f>IF(USA!$H$8="SWAPS",SWPS!V201,TRSYS!V201)</f>
        <v>41844</v>
      </c>
      <c r="B190">
        <f ca="1">IF(USA!$H$8="SWAPS",SWPS!W201,TRSYS!W201)</f>
        <v>0.30592105263157915</v>
      </c>
      <c r="C190" t="str">
        <f>IF(USA!$H$8="STACKED",SWPS!W201,"")</f>
        <v/>
      </c>
    </row>
    <row r="191" spans="1:3" x14ac:dyDescent="0.25">
      <c r="A191" s="4">
        <f>IF(USA!$H$8="SWAPS",SWPS!V202,TRSYS!V202)</f>
        <v>41843</v>
      </c>
      <c r="B191">
        <f ca="1">IF(USA!$H$8="SWAPS",SWPS!W202,TRSYS!W202)</f>
        <v>0.3063241106719366</v>
      </c>
      <c r="C191" t="str">
        <f>IF(USA!$H$8="STACKED",SWPS!W202,"")</f>
        <v/>
      </c>
    </row>
    <row r="192" spans="1:3" x14ac:dyDescent="0.25">
      <c r="A192" s="4">
        <f>IF(USA!$H$8="SWAPS",SWPS!V203,TRSYS!V203)</f>
        <v>41842</v>
      </c>
      <c r="B192">
        <f ca="1">IF(USA!$H$8="SWAPS",SWPS!W203,TRSYS!W203)</f>
        <v>0.30564784053156147</v>
      </c>
      <c r="C192" t="str">
        <f>IF(USA!$H$8="STACKED",SWPS!W203,"")</f>
        <v/>
      </c>
    </row>
    <row r="193" spans="1:3" x14ac:dyDescent="0.25">
      <c r="A193" s="4">
        <f>IF(USA!$H$8="SWAPS",SWPS!V204,TRSYS!V204)</f>
        <v>41841</v>
      </c>
      <c r="B193">
        <f ca="1">IF(USA!$H$8="SWAPS",SWPS!W204,TRSYS!W204)</f>
        <v>0.30437710437710436</v>
      </c>
      <c r="C193" t="str">
        <f>IF(USA!$H$8="STACKED",SWPS!W204,"")</f>
        <v/>
      </c>
    </row>
    <row r="194" spans="1:3" x14ac:dyDescent="0.25">
      <c r="A194" s="4">
        <f>IF(USA!$H$8="SWAPS",SWPS!V205,TRSYS!V205)</f>
        <v>41838</v>
      </c>
      <c r="B194">
        <f ca="1">IF(USA!$H$8="SWAPS",SWPS!W205,TRSYS!W205)</f>
        <v>0.30687830687830681</v>
      </c>
      <c r="C194" t="str">
        <f>IF(USA!$H$8="STACKED",SWPS!W205,"")</f>
        <v/>
      </c>
    </row>
    <row r="195" spans="1:3" x14ac:dyDescent="0.25">
      <c r="A195" s="4">
        <f>IF(USA!$H$8="SWAPS",SWPS!V206,TRSYS!V206)</f>
        <v>41837</v>
      </c>
      <c r="B195">
        <f ca="1">IF(USA!$H$8="SWAPS",SWPS!W206,TRSYS!W206)</f>
        <v>0.30602883355176941</v>
      </c>
      <c r="C195" t="str">
        <f>IF(USA!$H$8="STACKED",SWPS!W206,"")</f>
        <v/>
      </c>
    </row>
    <row r="196" spans="1:3" x14ac:dyDescent="0.25">
      <c r="A196" s="4">
        <f>IF(USA!$H$8="SWAPS",SWPS!V207,TRSYS!V207)</f>
        <v>41836</v>
      </c>
      <c r="B196">
        <f ca="1">IF(USA!$H$8="SWAPS",SWPS!W207,TRSYS!W207)</f>
        <v>0.30614886731391572</v>
      </c>
      <c r="C196" t="str">
        <f>IF(USA!$H$8="STACKED",SWPS!W207,"")</f>
        <v/>
      </c>
    </row>
    <row r="197" spans="1:3" x14ac:dyDescent="0.25">
      <c r="A197" s="4">
        <f>IF(USA!$H$8="SWAPS",SWPS!V208,TRSYS!V208)</f>
        <v>41835</v>
      </c>
      <c r="B197">
        <f ca="1">IF(USA!$H$8="SWAPS",SWPS!W208,TRSYS!W208)</f>
        <v>0.30710659898477172</v>
      </c>
      <c r="C197" t="str">
        <f>IF(USA!$H$8="STACKED",SWPS!W208,"")</f>
        <v/>
      </c>
    </row>
    <row r="198" spans="1:3" x14ac:dyDescent="0.25">
      <c r="A198" s="4">
        <f>IF(USA!$H$8="SWAPS",SWPS!V209,TRSYS!V209)</f>
        <v>41834</v>
      </c>
      <c r="B198">
        <f ca="1">IF(USA!$H$8="SWAPS",SWPS!W209,TRSYS!W209)</f>
        <v>0.30499999999999999</v>
      </c>
      <c r="C198" t="str">
        <f>IF(USA!$H$8="STACKED",SWPS!W209,"")</f>
        <v/>
      </c>
    </row>
    <row r="199" spans="1:3" x14ac:dyDescent="0.25">
      <c r="A199" s="4">
        <f>IF(USA!$H$8="SWAPS",SWPS!V210,TRSYS!V210)</f>
        <v>41831</v>
      </c>
      <c r="B199">
        <f ca="1">IF(USA!$H$8="SWAPS",SWPS!W210,TRSYS!W210)</f>
        <v>0.30691823899371073</v>
      </c>
      <c r="C199" t="str">
        <f>IF(USA!$H$8="STACKED",SWPS!W210,"")</f>
        <v/>
      </c>
    </row>
    <row r="200" spans="1:3" x14ac:dyDescent="0.25">
      <c r="A200" s="4">
        <f>IF(USA!$H$8="SWAPS",SWPS!V211,TRSYS!V211)</f>
        <v>41830</v>
      </c>
      <c r="B200">
        <f ca="1">IF(USA!$H$8="SWAPS",SWPS!W211,TRSYS!W211)</f>
        <v>0.30870381966186594</v>
      </c>
      <c r="C200" t="str">
        <f>IF(USA!$H$8="STACKED",SWPS!W211,"")</f>
        <v/>
      </c>
    </row>
    <row r="201" spans="1:3" x14ac:dyDescent="0.25">
      <c r="A201" s="4">
        <f>IF(USA!$H$8="SWAPS",SWPS!V212,TRSYS!V212)</f>
        <v>41829</v>
      </c>
      <c r="B201">
        <f ca="1">IF(USA!$H$8="SWAPS",SWPS!W212,TRSYS!W212)</f>
        <v>0.3101067168863777</v>
      </c>
      <c r="C201" t="str">
        <f>IF(USA!$H$8="STACKED",SWPS!W212,"")</f>
        <v/>
      </c>
    </row>
    <row r="202" spans="1:3" x14ac:dyDescent="0.25">
      <c r="A202" s="4">
        <f>IF(USA!$H$8="SWAPS",SWPS!V213,TRSYS!V213)</f>
        <v>41828</v>
      </c>
      <c r="B202">
        <f ca="1">IF(USA!$H$8="SWAPS",SWPS!W213,TRSYS!W213)</f>
        <v>0.30378177309361454</v>
      </c>
      <c r="C202" t="str">
        <f>IF(USA!$H$8="STACKED",SWPS!W213,"")</f>
        <v/>
      </c>
    </row>
    <row r="203" spans="1:3" x14ac:dyDescent="0.25">
      <c r="A203" s="4">
        <f>IF(USA!$H$8="SWAPS",SWPS!V214,TRSYS!V214)</f>
        <v>41827</v>
      </c>
      <c r="B203">
        <f ca="1">IF(USA!$H$8="SWAPS",SWPS!W214,TRSYS!W214)</f>
        <v>0.30109489051094895</v>
      </c>
      <c r="C203" t="str">
        <f>IF(USA!$H$8="STACKED",SWPS!W214,"")</f>
        <v/>
      </c>
    </row>
    <row r="204" spans="1:3" x14ac:dyDescent="0.25">
      <c r="A204" s="4">
        <f>IF(USA!$H$8="SWAPS",SWPS!V215,TRSYS!V215)</f>
        <v>41824</v>
      </c>
      <c r="B204">
        <f ca="1">IF(USA!$H$8="SWAPS",SWPS!W215,TRSYS!W215)</f>
        <v>0.3010688836104512</v>
      </c>
      <c r="C204" t="str">
        <f>IF(USA!$H$8="STACKED",SWPS!W215,"")</f>
        <v/>
      </c>
    </row>
    <row r="205" spans="1:3" x14ac:dyDescent="0.25">
      <c r="A205" s="4">
        <f>IF(USA!$H$8="SWAPS",SWPS!V216,TRSYS!V216)</f>
        <v>41823</v>
      </c>
      <c r="B205">
        <f ca="1">IF(USA!$H$8="SWAPS",SWPS!W216,TRSYS!W216)</f>
        <v>0.3010688836104512</v>
      </c>
      <c r="C205" t="str">
        <f>IF(USA!$H$8="STACKED",SWPS!W216,"")</f>
        <v/>
      </c>
    </row>
    <row r="206" spans="1:3" x14ac:dyDescent="0.25">
      <c r="A206" s="4">
        <f>IF(USA!$H$8="SWAPS",SWPS!V217,TRSYS!V217)</f>
        <v>41822</v>
      </c>
      <c r="B206">
        <f ca="1">IF(USA!$H$8="SWAPS",SWPS!W217,TRSYS!W217)</f>
        <v>0.30269320843091335</v>
      </c>
      <c r="C206" t="str">
        <f>IF(USA!$H$8="STACKED",SWPS!W217,"")</f>
        <v/>
      </c>
    </row>
    <row r="207" spans="1:3" x14ac:dyDescent="0.25">
      <c r="A207" s="4">
        <f>IF(USA!$H$8="SWAPS",SWPS!V218,TRSYS!V218)</f>
        <v>41821</v>
      </c>
      <c r="B207">
        <f ca="1">IF(USA!$H$8="SWAPS",SWPS!W218,TRSYS!W218)</f>
        <v>0.30166270783847976</v>
      </c>
      <c r="C207" t="str">
        <f>IF(USA!$H$8="STACKED",SWPS!W218,"")</f>
        <v/>
      </c>
    </row>
    <row r="208" spans="1:3" x14ac:dyDescent="0.25">
      <c r="A208" s="4">
        <f>IF(USA!$H$8="SWAPS",SWPS!V219,TRSYS!V219)</f>
        <v>41820</v>
      </c>
      <c r="B208">
        <f ca="1">IF(USA!$H$8="SWAPS",SWPS!W219,TRSYS!W219)</f>
        <v>0.30366806975345761</v>
      </c>
      <c r="C208" t="str">
        <f>IF(USA!$H$8="STACKED",SWPS!W219,"")</f>
        <v/>
      </c>
    </row>
    <row r="209" spans="1:3" x14ac:dyDescent="0.25">
      <c r="A209" s="4">
        <f>IF(USA!$H$8="SWAPS",SWPS!V220,TRSYS!V220)</f>
        <v>41817</v>
      </c>
      <c r="B209">
        <f ca="1">IF(USA!$H$8="SWAPS",SWPS!W220,TRSYS!W220)</f>
        <v>0.30259192284508735</v>
      </c>
      <c r="C209" t="str">
        <f>IF(USA!$H$8="STACKED",SWPS!W220,"")</f>
        <v/>
      </c>
    </row>
    <row r="210" spans="1:3" x14ac:dyDescent="0.25">
      <c r="A210" s="4">
        <f>IF(USA!$H$8="SWAPS",SWPS!V221,TRSYS!V221)</f>
        <v>41816</v>
      </c>
      <c r="B210">
        <f ca="1">IF(USA!$H$8="SWAPS",SWPS!W221,TRSYS!W221)</f>
        <v>0.29083181542197944</v>
      </c>
      <c r="C210" t="str">
        <f>IF(USA!$H$8="STACKED",SWPS!W221,"")</f>
        <v/>
      </c>
    </row>
    <row r="211" spans="1:3" x14ac:dyDescent="0.25">
      <c r="A211" s="4">
        <f>IF(USA!$H$8="SWAPS",SWPS!V222,TRSYS!V222)</f>
        <v>41815</v>
      </c>
      <c r="B211">
        <f ca="1">IF(USA!$H$8="SWAPS",SWPS!W222,TRSYS!W222)</f>
        <v>0.30498177399756987</v>
      </c>
      <c r="C211" t="str">
        <f>IF(USA!$H$8="STACKED",SWPS!W222,"")</f>
        <v/>
      </c>
    </row>
    <row r="212" spans="1:3" x14ac:dyDescent="0.25">
      <c r="A212" s="4">
        <f>IF(USA!$H$8="SWAPS",SWPS!V223,TRSYS!V223)</f>
        <v>41814</v>
      </c>
      <c r="B212">
        <f ca="1">IF(USA!$H$8="SWAPS",SWPS!W223,TRSYS!W223)</f>
        <v>0.3060109289617487</v>
      </c>
      <c r="C212" t="str">
        <f>IF(USA!$H$8="STACKED",SWPS!W223,"")</f>
        <v/>
      </c>
    </row>
    <row r="213" spans="1:3" x14ac:dyDescent="0.25">
      <c r="A213" s="4">
        <f>IF(USA!$H$8="SWAPS",SWPS!V224,TRSYS!V224)</f>
        <v>41813</v>
      </c>
      <c r="B213">
        <f ca="1">IF(USA!$H$8="SWAPS",SWPS!W224,TRSYS!W224)</f>
        <v>0.30851697438951775</v>
      </c>
      <c r="C213" t="str">
        <f>IF(USA!$H$8="STACKED",SWPS!W224,"")</f>
        <v/>
      </c>
    </row>
    <row r="214" spans="1:3" x14ac:dyDescent="0.25">
      <c r="A214" s="4">
        <f>IF(USA!$H$8="SWAPS",SWPS!V225,TRSYS!V225)</f>
        <v>41810</v>
      </c>
      <c r="B214">
        <f ca="1">IF(USA!$H$8="SWAPS",SWPS!W225,TRSYS!W225)</f>
        <v>0.30851697438951747</v>
      </c>
      <c r="C214" t="str">
        <f>IF(USA!$H$8="STACKED",SWPS!W225,"")</f>
        <v/>
      </c>
    </row>
    <row r="215" spans="1:3" x14ac:dyDescent="0.25">
      <c r="A215" s="4">
        <f>IF(USA!$H$8="SWAPS",SWPS!V226,TRSYS!V226)</f>
        <v>41809</v>
      </c>
      <c r="B215">
        <f ca="1">IF(USA!$H$8="SWAPS",SWPS!W226,TRSYS!W226)</f>
        <v>0.31168831168831174</v>
      </c>
      <c r="C215" t="str">
        <f>IF(USA!$H$8="STACKED",SWPS!W226,"")</f>
        <v/>
      </c>
    </row>
    <row r="216" spans="1:3" x14ac:dyDescent="0.25">
      <c r="A216" s="4">
        <f>IF(USA!$H$8="SWAPS",SWPS!V227,TRSYS!V227)</f>
        <v>41808</v>
      </c>
      <c r="B216">
        <f ca="1">IF(USA!$H$8="SWAPS",SWPS!W227,TRSYS!W227)</f>
        <v>0.31090909090909086</v>
      </c>
      <c r="C216" t="str">
        <f>IF(USA!$H$8="STACKED",SWPS!W227,"")</f>
        <v/>
      </c>
    </row>
    <row r="217" spans="1:3" x14ac:dyDescent="0.25">
      <c r="A217" s="4">
        <f>IF(USA!$H$8="SWAPS",SWPS!V228,TRSYS!V228)</f>
        <v>41807</v>
      </c>
      <c r="B217">
        <f ca="1">IF(USA!$H$8="SWAPS",SWPS!W228,TRSYS!W228)</f>
        <v>0.30570570570570565</v>
      </c>
      <c r="C217" t="str">
        <f>IF(USA!$H$8="STACKED",SWPS!W228,"")</f>
        <v/>
      </c>
    </row>
    <row r="218" spans="1:3" x14ac:dyDescent="0.25">
      <c r="A218" s="4">
        <f>IF(USA!$H$8="SWAPS",SWPS!V229,TRSYS!V229)</f>
        <v>41806</v>
      </c>
      <c r="B218">
        <f ca="1">IF(USA!$H$8="SWAPS",SWPS!W229,TRSYS!W229)</f>
        <v>0.3060109289617487</v>
      </c>
      <c r="C218" t="str">
        <f>IF(USA!$H$8="STACKED",SWPS!W229,"")</f>
        <v/>
      </c>
    </row>
    <row r="219" spans="1:3" x14ac:dyDescent="0.25">
      <c r="A219" s="4">
        <f>IF(USA!$H$8="SWAPS",SWPS!V230,TRSYS!V230)</f>
        <v>41803</v>
      </c>
      <c r="B219">
        <f ca="1">IF(USA!$H$8="SWAPS",SWPS!W230,TRSYS!W230)</f>
        <v>0.30567164179104478</v>
      </c>
      <c r="C219" t="str">
        <f>IF(USA!$H$8="STACKED",SWPS!W230,"")</f>
        <v/>
      </c>
    </row>
    <row r="220" spans="1:3" x14ac:dyDescent="0.25">
      <c r="A220" s="4">
        <f>IF(USA!$H$8="SWAPS",SWPS!V231,TRSYS!V231)</f>
        <v>41802</v>
      </c>
      <c r="B220">
        <f ca="1">IF(USA!$H$8="SWAPS",SWPS!W231,TRSYS!W231)</f>
        <v>0.30388059701492531</v>
      </c>
      <c r="C220" t="str">
        <f>IF(USA!$H$8="STACKED",SWPS!W231,"")</f>
        <v/>
      </c>
    </row>
    <row r="221" spans="1:3" x14ac:dyDescent="0.25">
      <c r="A221" s="4">
        <f>IF(USA!$H$8="SWAPS",SWPS!V232,TRSYS!V232)</f>
        <v>41801</v>
      </c>
      <c r="B221">
        <f ca="1">IF(USA!$H$8="SWAPS",SWPS!W232,TRSYS!W232)</f>
        <v>0.3093987157034444</v>
      </c>
      <c r="C221" t="str">
        <f>IF(USA!$H$8="STACKED",SWPS!W232,"")</f>
        <v/>
      </c>
    </row>
    <row r="222" spans="1:3" x14ac:dyDescent="0.25">
      <c r="A222" s="4">
        <f>IF(USA!$H$8="SWAPS",SWPS!V233,TRSYS!V233)</f>
        <v>41800</v>
      </c>
      <c r="B222">
        <f ca="1">IF(USA!$H$8="SWAPS",SWPS!W233,TRSYS!W233)</f>
        <v>0.30142450142450139</v>
      </c>
      <c r="C222" t="str">
        <f>IF(USA!$H$8="STACKED",SWPS!W233,"")</f>
        <v/>
      </c>
    </row>
    <row r="223" spans="1:3" x14ac:dyDescent="0.25">
      <c r="A223" s="4">
        <f>IF(USA!$H$8="SWAPS",SWPS!V234,TRSYS!V234)</f>
        <v>41799</v>
      </c>
      <c r="B223">
        <f ca="1">IF(USA!$H$8="SWAPS",SWPS!W234,TRSYS!W234)</f>
        <v>0.30275229357798161</v>
      </c>
      <c r="C223" t="str">
        <f>IF(USA!$H$8="STACKED",SWPS!W234,"")</f>
        <v/>
      </c>
    </row>
    <row r="224" spans="1:3" x14ac:dyDescent="0.25">
      <c r="A224" s="4">
        <f>IF(USA!$H$8="SWAPS",SWPS!V235,TRSYS!V235)</f>
        <v>41796</v>
      </c>
      <c r="B224">
        <f ca="1">IF(USA!$H$8="SWAPS",SWPS!W235,TRSYS!W235)</f>
        <v>0.30681818181818182</v>
      </c>
      <c r="C224" t="str">
        <f>IF(USA!$H$8="STACKED",SWPS!W235,"")</f>
        <v/>
      </c>
    </row>
    <row r="225" spans="1:3" x14ac:dyDescent="0.25">
      <c r="A225" s="4">
        <f>IF(USA!$H$8="SWAPS",SWPS!V236,TRSYS!V236)</f>
        <v>41795</v>
      </c>
      <c r="B225">
        <f ca="1">IF(USA!$H$8="SWAPS",SWPS!W236,TRSYS!W236)</f>
        <v>0.30471380471380477</v>
      </c>
      <c r="C225" t="str">
        <f>IF(USA!$H$8="STACKED",SWPS!W236,"")</f>
        <v/>
      </c>
    </row>
    <row r="226" spans="1:3" x14ac:dyDescent="0.25">
      <c r="A226" s="4">
        <f>IF(USA!$H$8="SWAPS",SWPS!V237,TRSYS!V237)</f>
        <v>41794</v>
      </c>
      <c r="B226">
        <f ca="1">IF(USA!$H$8="SWAPS",SWPS!W237,TRSYS!W237)</f>
        <v>0.30881527231892192</v>
      </c>
      <c r="C226" t="str">
        <f>IF(USA!$H$8="STACKED",SWPS!W237,"")</f>
        <v/>
      </c>
    </row>
    <row r="227" spans="1:3" x14ac:dyDescent="0.25">
      <c r="A227" s="4">
        <f>IF(USA!$H$8="SWAPS",SWPS!V238,TRSYS!V238)</f>
        <v>41793</v>
      </c>
      <c r="B227">
        <f ca="1">IF(USA!$H$8="SWAPS",SWPS!W238,TRSYS!W238)</f>
        <v>0.30656108597285064</v>
      </c>
      <c r="C227" t="str">
        <f>IF(USA!$H$8="STACKED",SWPS!W238,"")</f>
        <v/>
      </c>
    </row>
    <row r="228" spans="1:3" x14ac:dyDescent="0.25">
      <c r="A228" s="4">
        <f>IF(USA!$H$8="SWAPS",SWPS!V239,TRSYS!V239)</f>
        <v>41792</v>
      </c>
      <c r="B228">
        <f ca="1">IF(USA!$H$8="SWAPS",SWPS!W239,TRSYS!W239)</f>
        <v>0.30429732868757275</v>
      </c>
      <c r="C228" t="str">
        <f>IF(USA!$H$8="STACKED",SWPS!W239,"")</f>
        <v/>
      </c>
    </row>
    <row r="229" spans="1:3" x14ac:dyDescent="0.25">
      <c r="A229" s="4">
        <f>IF(USA!$H$8="SWAPS",SWPS!V240,TRSYS!V240)</f>
        <v>41789</v>
      </c>
      <c r="B229">
        <f ca="1">IF(USA!$H$8="SWAPS",SWPS!W240,TRSYS!W240)</f>
        <v>0.30475631238990025</v>
      </c>
      <c r="C229" t="str">
        <f>IF(USA!$H$8="STACKED",SWPS!W240,"")</f>
        <v/>
      </c>
    </row>
    <row r="230" spans="1:3" x14ac:dyDescent="0.25">
      <c r="A230" s="4">
        <f>IF(USA!$H$8="SWAPS",SWPS!V241,TRSYS!V241)</f>
        <v>41788</v>
      </c>
      <c r="B230">
        <f ca="1">IF(USA!$H$8="SWAPS",SWPS!W241,TRSYS!W241)</f>
        <v>0.29151943462897523</v>
      </c>
      <c r="C230" t="str">
        <f>IF(USA!$H$8="STACKED",SWPS!W241,"")</f>
        <v/>
      </c>
    </row>
    <row r="231" spans="1:3" x14ac:dyDescent="0.25">
      <c r="A231" s="4">
        <f>IF(USA!$H$8="SWAPS",SWPS!V242,TRSYS!V242)</f>
        <v>41787</v>
      </c>
      <c r="B231">
        <f ca="1">IF(USA!$H$8="SWAPS",SWPS!W242,TRSYS!W242)</f>
        <v>0.30370806356680402</v>
      </c>
      <c r="C231" t="str">
        <f>IF(USA!$H$8="STACKED",SWPS!W242,"")</f>
        <v/>
      </c>
    </row>
    <row r="232" spans="1:3" x14ac:dyDescent="0.25">
      <c r="A232" s="4">
        <f>IF(USA!$H$8="SWAPS",SWPS!V243,TRSYS!V243)</f>
        <v>41786</v>
      </c>
      <c r="B232">
        <f ca="1">IF(USA!$H$8="SWAPS",SWPS!W243,TRSYS!W243)</f>
        <v>0.30724971231300335</v>
      </c>
      <c r="C232" t="str">
        <f>IF(USA!$H$8="STACKED",SWPS!W243,"")</f>
        <v/>
      </c>
    </row>
    <row r="233" spans="1:3" x14ac:dyDescent="0.25">
      <c r="A233" s="4">
        <f>IF(USA!$H$8="SWAPS",SWPS!V244,TRSYS!V244)</f>
        <v>41785</v>
      </c>
      <c r="B233">
        <f ca="1">IF(USA!$H$8="SWAPS",SWPS!W244,TRSYS!W244)</f>
        <v>0.30944254835039819</v>
      </c>
      <c r="C233" t="str">
        <f>IF(USA!$H$8="STACKED",SWPS!W244,"")</f>
        <v/>
      </c>
    </row>
    <row r="234" spans="1:3" x14ac:dyDescent="0.25">
      <c r="A234" s="4">
        <f>IF(USA!$H$8="SWAPS",SWPS!V245,TRSYS!V245)</f>
        <v>41782</v>
      </c>
      <c r="B234">
        <f ca="1">IF(USA!$H$8="SWAPS",SWPS!W245,TRSYS!W245)</f>
        <v>0.30944254835039819</v>
      </c>
      <c r="C234" t="str">
        <f>IF(USA!$H$8="STACKED",SWPS!W245,"")</f>
        <v/>
      </c>
    </row>
    <row r="235" spans="1:3" x14ac:dyDescent="0.25">
      <c r="A235" s="4">
        <f>IF(USA!$H$8="SWAPS",SWPS!V246,TRSYS!V246)</f>
        <v>41781</v>
      </c>
      <c r="B235">
        <f ca="1">IF(USA!$H$8="SWAPS",SWPS!W246,TRSYS!W246)</f>
        <v>0.30712669683257898</v>
      </c>
      <c r="C235" t="str">
        <f>IF(USA!$H$8="STACKED",SWPS!W246,"")</f>
        <v/>
      </c>
    </row>
    <row r="236" spans="1:3" x14ac:dyDescent="0.25">
      <c r="A236" s="4">
        <f>IF(USA!$H$8="SWAPS",SWPS!V247,TRSYS!V247)</f>
        <v>41780</v>
      </c>
      <c r="B236">
        <f ca="1">IF(USA!$H$8="SWAPS",SWPS!W247,TRSYS!W247)</f>
        <v>0.30965909090909088</v>
      </c>
      <c r="C236" t="str">
        <f>IF(USA!$H$8="STACKED",SWPS!W247,"")</f>
        <v/>
      </c>
    </row>
    <row r="237" spans="1:3" x14ac:dyDescent="0.25">
      <c r="A237" s="4">
        <f>IF(USA!$H$8="SWAPS",SWPS!V248,TRSYS!V248)</f>
        <v>41779</v>
      </c>
      <c r="B237">
        <f ca="1">IF(USA!$H$8="SWAPS",SWPS!W248,TRSYS!W248)</f>
        <v>0.30733944954128445</v>
      </c>
      <c r="C237" t="str">
        <f>IF(USA!$H$8="STACKED",SWPS!W248,"")</f>
        <v/>
      </c>
    </row>
    <row r="238" spans="1:3" x14ac:dyDescent="0.25">
      <c r="A238" s="4">
        <f>IF(USA!$H$8="SWAPS",SWPS!V249,TRSYS!V249)</f>
        <v>41778</v>
      </c>
      <c r="B238">
        <f ca="1">IF(USA!$H$8="SWAPS",SWPS!W249,TRSYS!W249)</f>
        <v>0.30580865603644647</v>
      </c>
      <c r="C238" t="str">
        <f>IF(USA!$H$8="STACKED",SWPS!W249,"")</f>
        <v/>
      </c>
    </row>
    <row r="239" spans="1:3" x14ac:dyDescent="0.25">
      <c r="A239" s="4">
        <f>IF(USA!$H$8="SWAPS",SWPS!V250,TRSYS!V250)</f>
        <v>41775</v>
      </c>
      <c r="B239">
        <f ca="1">IF(USA!$H$8="SWAPS",SWPS!W250,TRSYS!W250)</f>
        <v>0.30518345952242282</v>
      </c>
      <c r="C239" t="str">
        <f>IF(USA!$H$8="STACKED",SWPS!W250,"")</f>
        <v/>
      </c>
    </row>
    <row r="240" spans="1:3" x14ac:dyDescent="0.25">
      <c r="A240" s="4">
        <f>IF(USA!$H$8="SWAPS",SWPS!V251,TRSYS!V251)</f>
        <v>41774</v>
      </c>
      <c r="B240">
        <f ca="1">IF(USA!$H$8="SWAPS",SWPS!W251,TRSYS!W251)</f>
        <v>0.3048349056603773</v>
      </c>
      <c r="C240" t="str">
        <f>IF(USA!$H$8="STACKED",SWPS!W251,"")</f>
        <v/>
      </c>
    </row>
    <row r="241" spans="1:3" x14ac:dyDescent="0.25">
      <c r="A241" s="4">
        <f>IF(USA!$H$8="SWAPS",SWPS!V252,TRSYS!V252)</f>
        <v>41773</v>
      </c>
      <c r="B241">
        <f ca="1">IF(USA!$H$8="SWAPS",SWPS!W252,TRSYS!W252)</f>
        <v>0.30387059503177366</v>
      </c>
      <c r="C241" t="str">
        <f>IF(USA!$H$8="STACKED",SWPS!W252,"")</f>
        <v/>
      </c>
    </row>
    <row r="242" spans="1:3" x14ac:dyDescent="0.25">
      <c r="A242" s="4">
        <f>IF(USA!$H$8="SWAPS",SWPS!V253,TRSYS!V253)</f>
        <v>41772</v>
      </c>
      <c r="B242">
        <f ca="1">IF(USA!$H$8="SWAPS",SWPS!W253,TRSYS!W253)</f>
        <v>0.30594900849858359</v>
      </c>
      <c r="C242" t="str">
        <f>IF(USA!$H$8="STACKED",SWPS!W253,"")</f>
        <v/>
      </c>
    </row>
    <row r="243" spans="1:3" x14ac:dyDescent="0.25">
      <c r="A243" s="4">
        <f>IF(USA!$H$8="SWAPS",SWPS!V254,TRSYS!V254)</f>
        <v>41771</v>
      </c>
      <c r="B243">
        <f ca="1">IF(USA!$H$8="SWAPS",SWPS!W254,TRSYS!W254)</f>
        <v>0.30505617977528077</v>
      </c>
      <c r="C243" t="str">
        <f>IF(USA!$H$8="STACKED",SWPS!W254,"")</f>
        <v/>
      </c>
    </row>
    <row r="244" spans="1:3" x14ac:dyDescent="0.25">
      <c r="A244" s="4">
        <f>IF(USA!$H$8="SWAPS",SWPS!V255,TRSYS!V255)</f>
        <v>41768</v>
      </c>
      <c r="B244">
        <f ca="1">IF(USA!$H$8="SWAPS",SWPS!W255,TRSYS!W255)</f>
        <v>0.30494037478705277</v>
      </c>
      <c r="C244" t="str">
        <f>IF(USA!$H$8="STACKED",SWPS!W255,"")</f>
        <v/>
      </c>
    </row>
    <row r="245" spans="1:3" x14ac:dyDescent="0.25">
      <c r="A245" s="4">
        <f>IF(USA!$H$8="SWAPS",SWPS!V256,TRSYS!V256)</f>
        <v>41767</v>
      </c>
      <c r="B245">
        <f ca="1">IF(USA!$H$8="SWAPS",SWPS!W256,TRSYS!W256)</f>
        <v>0.3072529982866935</v>
      </c>
      <c r="C245" t="str">
        <f>IF(USA!$H$8="STACKED",SWPS!W256,"")</f>
        <v/>
      </c>
    </row>
    <row r="246" spans="1:3" x14ac:dyDescent="0.25">
      <c r="A246" s="4">
        <f>IF(USA!$H$8="SWAPS",SWPS!V257,TRSYS!V257)</f>
        <v>41766</v>
      </c>
      <c r="B246">
        <f ca="1">IF(USA!$H$8="SWAPS",SWPS!W257,TRSYS!W257)</f>
        <v>0.3134592680047224</v>
      </c>
      <c r="C246" t="str">
        <f>IF(USA!$H$8="STACKED",SWPS!W257,"")</f>
        <v/>
      </c>
    </row>
    <row r="247" spans="1:3" x14ac:dyDescent="0.25">
      <c r="A247" s="4">
        <f>IF(USA!$H$8="SWAPS",SWPS!V258,TRSYS!V258)</f>
        <v>41765</v>
      </c>
      <c r="B247">
        <f ca="1">IF(USA!$H$8="SWAPS",SWPS!W258,TRSYS!W258)</f>
        <v>0.30701754385964908</v>
      </c>
      <c r="C247" t="str">
        <f>IF(USA!$H$8="STACKED",SWPS!W258,"")</f>
        <v/>
      </c>
    </row>
    <row r="248" spans="1:3" x14ac:dyDescent="0.25">
      <c r="A248" s="4">
        <f>IF(USA!$H$8="SWAPS",SWPS!V259,TRSYS!V259)</f>
        <v>41764</v>
      </c>
      <c r="B248">
        <f ca="1">IF(USA!$H$8="SWAPS",SWPS!W259,TRSYS!W259)</f>
        <v>0.30889145496535775</v>
      </c>
      <c r="C248" t="str">
        <f>IF(USA!$H$8="STACKED",SWPS!W259,"")</f>
        <v/>
      </c>
    </row>
    <row r="249" spans="1:3" x14ac:dyDescent="0.25">
      <c r="A249" s="4">
        <f>IF(USA!$H$8="SWAPS",SWPS!V260,TRSYS!V260)</f>
        <v>41761</v>
      </c>
      <c r="B249">
        <f ca="1">IF(USA!$H$8="SWAPS",SWPS!W260,TRSYS!W260)</f>
        <v>0.30831878999418272</v>
      </c>
      <c r="C249" t="str">
        <f>IF(USA!$H$8="STACKED",SWPS!W260,"")</f>
        <v/>
      </c>
    </row>
    <row r="250" spans="1:3" x14ac:dyDescent="0.25">
      <c r="A250" s="4">
        <f>IF(USA!$H$8="SWAPS",SWPS!V261,TRSYS!V261)</f>
        <v>41760</v>
      </c>
      <c r="B250">
        <f ca="1">IF(USA!$H$8="SWAPS",SWPS!W261,TRSYS!W261)</f>
        <v>0.3107727016356458</v>
      </c>
      <c r="C250" t="str">
        <f>IF(USA!$H$8="STACKED",SWPS!W261,"")</f>
        <v/>
      </c>
    </row>
    <row r="251" spans="1:3" x14ac:dyDescent="0.25">
      <c r="A251" s="4">
        <f>IF(USA!$H$8="SWAPS",SWPS!V262,TRSYS!V262)</f>
        <v>41759</v>
      </c>
      <c r="B251">
        <f ca="1">IF(USA!$H$8="SWAPS",SWPS!W262,TRSYS!W262)</f>
        <v>0.30919220055710311</v>
      </c>
      <c r="C251" t="str">
        <f>IF(USA!$H$8="STACKED",SWPS!W262,"")</f>
        <v/>
      </c>
    </row>
    <row r="252" spans="1:3" x14ac:dyDescent="0.25">
      <c r="A252" s="4">
        <f>IF(USA!$H$8="SWAPS",SWPS!V263,TRSYS!V263)</f>
        <v>41758</v>
      </c>
      <c r="B252">
        <f ca="1">IF(USA!$H$8="SWAPS",SWPS!W263,TRSYS!W263)</f>
        <v>0.30777777777777776</v>
      </c>
      <c r="C252" t="str">
        <f>IF(USA!$H$8="STACKED",SWPS!W263,"")</f>
        <v/>
      </c>
    </row>
    <row r="253" spans="1:3" x14ac:dyDescent="0.25">
      <c r="A253" s="4">
        <f>IF(USA!$H$8="SWAPS",SWPS!V264,TRSYS!V264)</f>
        <v>41757</v>
      </c>
      <c r="B253">
        <f ca="1">IF(USA!$H$8="SWAPS",SWPS!W264,TRSYS!W264)</f>
        <v>0.30922142462727764</v>
      </c>
      <c r="C253" t="str">
        <f>IF(USA!$H$8="STACKED",SWPS!W264,"")</f>
        <v/>
      </c>
    </row>
    <row r="254" spans="1:3" x14ac:dyDescent="0.25">
      <c r="A254" s="4">
        <f>IF(USA!$H$8="SWAPS",SWPS!V265,TRSYS!V265)</f>
        <v>41754</v>
      </c>
      <c r="B254">
        <f ca="1">IF(USA!$H$8="SWAPS",SWPS!W265,TRSYS!W265)</f>
        <v>0.30860033726812808</v>
      </c>
      <c r="C254" t="str">
        <f>IF(USA!$H$8="STACKED",SWPS!W265,"")</f>
        <v/>
      </c>
    </row>
    <row r="255" spans="1:3" x14ac:dyDescent="0.25">
      <c r="A255" s="4">
        <f>IF(USA!$H$8="SWAPS",SWPS!V266,TRSYS!V266)</f>
        <v>41753</v>
      </c>
      <c r="B255">
        <f ca="1">IF(USA!$H$8="SWAPS",SWPS!W266,TRSYS!W266)</f>
        <v>0.29849077697037441</v>
      </c>
      <c r="C255" t="str">
        <f>IF(USA!$H$8="STACKED",SWPS!W266,"")</f>
        <v/>
      </c>
    </row>
    <row r="256" spans="1:3" x14ac:dyDescent="0.25">
      <c r="A256" s="4">
        <f>IF(USA!$H$8="SWAPS",SWPS!V267,TRSYS!V267)</f>
        <v>41752</v>
      </c>
      <c r="B256">
        <f ca="1">IF(USA!$H$8="SWAPS",SWPS!W267,TRSYS!W267)</f>
        <v>0.31329994435169711</v>
      </c>
      <c r="C256" t="str">
        <f>IF(USA!$H$8="STACKED",SWPS!W267,"")</f>
        <v/>
      </c>
    </row>
    <row r="257" spans="1:3" x14ac:dyDescent="0.25">
      <c r="A257" s="4">
        <f>IF(USA!$H$8="SWAPS",SWPS!V268,TRSYS!V268)</f>
        <v>41751</v>
      </c>
      <c r="B257">
        <f ca="1">IF(USA!$H$8="SWAPS",SWPS!W268,TRSYS!W268)</f>
        <v>0.31114808652246256</v>
      </c>
      <c r="C257" t="str">
        <f>IF(USA!$H$8="STACKED",SWPS!W268,"")</f>
        <v/>
      </c>
    </row>
    <row r="258" spans="1:3" x14ac:dyDescent="0.25">
      <c r="A258" s="4">
        <f>IF(USA!$H$8="SWAPS",SWPS!V269,TRSYS!V269)</f>
        <v>41750</v>
      </c>
      <c r="B258">
        <f ca="1">IF(USA!$H$8="SWAPS",SWPS!W269,TRSYS!W269)</f>
        <v>0.31408140814081414</v>
      </c>
      <c r="C258" t="str">
        <f>IF(USA!$H$8="STACKED",SWPS!W269,"")</f>
        <v/>
      </c>
    </row>
    <row r="259" spans="1:3" x14ac:dyDescent="0.25">
      <c r="A259" s="4">
        <f>IF(USA!$H$8="SWAPS",SWPS!V270,TRSYS!V270)</f>
        <v>41747</v>
      </c>
      <c r="B259">
        <f ca="1">IF(USA!$H$8="SWAPS",SWPS!W270,TRSYS!W270)</f>
        <v>0.31363887355052461</v>
      </c>
      <c r="C259" t="str">
        <f>IF(USA!$H$8="STACKED",SWPS!W270,"")</f>
        <v/>
      </c>
    </row>
    <row r="260" spans="1:3" x14ac:dyDescent="0.25">
      <c r="A260" s="4">
        <f>IF(USA!$H$8="SWAPS",SWPS!V271,TRSYS!V271)</f>
        <v>41746</v>
      </c>
      <c r="B260">
        <f ca="1">IF(USA!$H$8="SWAPS",SWPS!W271,TRSYS!W271)</f>
        <v>0.31363887355052461</v>
      </c>
      <c r="C260" t="str">
        <f>IF(USA!$H$8="STACKED",SWPS!W271,"")</f>
        <v/>
      </c>
    </row>
    <row r="261" spans="1:3" x14ac:dyDescent="0.25">
      <c r="A261" s="4">
        <f>IF(USA!$H$8="SWAPS",SWPS!V272,TRSYS!V272)</f>
        <v>41745</v>
      </c>
      <c r="B261">
        <f ca="1">IF(USA!$H$8="SWAPS",SWPS!W272,TRSYS!W272)</f>
        <v>0.31260599208592432</v>
      </c>
      <c r="C261" t="str">
        <f>IF(USA!$H$8="STACKED",SWPS!W272,"")</f>
        <v/>
      </c>
    </row>
    <row r="262" spans="1:3" x14ac:dyDescent="0.25">
      <c r="A262" s="4">
        <f>IF(USA!$H$8="SWAPS",SWPS!V273,TRSYS!V273)</f>
        <v>41744</v>
      </c>
      <c r="B262">
        <f ca="1">IF(USA!$H$8="SWAPS",SWPS!W273,TRSYS!W273)</f>
        <v>0.31337437045327371</v>
      </c>
      <c r="C262" t="str">
        <f>IF(USA!$H$8="STACKED",SWPS!W273,"")</f>
        <v/>
      </c>
    </row>
    <row r="263" spans="1:3" x14ac:dyDescent="0.25">
      <c r="A263" s="4">
        <f>IF(USA!$H$8="SWAPS",SWPS!V274,TRSYS!V274)</f>
        <v>41743</v>
      </c>
      <c r="B263">
        <f ca="1">IF(USA!$H$8="SWAPS",SWPS!W274,TRSYS!W274)</f>
        <v>0.31700605393505782</v>
      </c>
      <c r="C263" t="str">
        <f>IF(USA!$H$8="STACKED",SWPS!W274,"")</f>
        <v/>
      </c>
    </row>
  </sheetData>
  <phoneticPr fontId="5" type="noConversion"/>
  <pageMargins left="0.7" right="0.7" top="0.75" bottom="0.75" header="0.3" footer="0.3"/>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tabColor rgb="FF00B050"/>
  </sheetPr>
  <dimension ref="B1:X88"/>
  <sheetViews>
    <sheetView showRowColHeaders="0" zoomScaleNormal="100" workbookViewId="0">
      <pane ySplit="5" topLeftCell="A6" activePane="bottomLeft" state="frozen"/>
      <selection pane="bottomLeft" activeCell="T97" sqref="T97"/>
    </sheetView>
  </sheetViews>
  <sheetFormatPr defaultRowHeight="15" customHeight="1" x14ac:dyDescent="0.25"/>
  <cols>
    <col min="1" max="1" width="1.7109375" style="14" customWidth="1"/>
    <col min="2" max="3" width="9.140625" style="14" customWidth="1"/>
    <col min="4" max="16384" width="9.140625" style="14"/>
  </cols>
  <sheetData>
    <row r="1" spans="2:24" ht="5.0999999999999996" customHeight="1" x14ac:dyDescent="0.25">
      <c r="G1" s="15"/>
    </row>
    <row r="5" spans="2:24" ht="5.0999999999999996" customHeight="1" x14ac:dyDescent="0.25"/>
    <row r="6" spans="2:24" ht="15" customHeight="1" x14ac:dyDescent="0.25">
      <c r="B6" s="109"/>
      <c r="C6" s="109"/>
      <c r="D6" s="107"/>
      <c r="E6" s="107"/>
      <c r="F6" s="107"/>
      <c r="G6" s="107"/>
      <c r="H6" s="107"/>
      <c r="I6" s="107"/>
      <c r="J6" s="107"/>
      <c r="K6" s="107"/>
      <c r="L6" s="107"/>
      <c r="M6" s="107"/>
      <c r="N6" s="107"/>
      <c r="O6" s="107"/>
      <c r="P6" s="107"/>
      <c r="Q6" s="107"/>
      <c r="R6" s="107"/>
      <c r="S6" s="110"/>
      <c r="T6" s="110"/>
      <c r="U6" s="111"/>
      <c r="V6" s="111"/>
      <c r="W6" s="111"/>
      <c r="X6" s="111"/>
    </row>
    <row r="7" spans="2:24" ht="15" customHeight="1" x14ac:dyDescent="0.25">
      <c r="B7" s="109"/>
      <c r="C7" s="109"/>
      <c r="D7" s="107"/>
      <c r="E7" s="107"/>
      <c r="F7" s="107"/>
      <c r="G7" s="107"/>
      <c r="H7" s="107"/>
      <c r="I7" s="107"/>
      <c r="J7" s="107"/>
      <c r="K7" s="107"/>
      <c r="L7" s="107"/>
      <c r="M7" s="107"/>
      <c r="N7" s="107"/>
      <c r="O7" s="107"/>
      <c r="P7" s="107"/>
      <c r="Q7" s="107"/>
      <c r="R7" s="107"/>
      <c r="S7" s="110"/>
      <c r="T7" s="110"/>
      <c r="U7" s="111"/>
      <c r="V7" s="111"/>
      <c r="W7" s="111"/>
      <c r="X7" s="111"/>
    </row>
    <row r="8" spans="2:24" ht="15" customHeight="1" x14ac:dyDescent="0.25">
      <c r="B8" s="109"/>
      <c r="C8" s="109"/>
      <c r="D8" s="107"/>
      <c r="E8" s="107"/>
      <c r="F8" s="107"/>
      <c r="G8" s="107"/>
      <c r="H8" s="107"/>
      <c r="I8" s="107"/>
      <c r="J8" s="107"/>
      <c r="K8" s="107"/>
      <c r="L8" s="107"/>
      <c r="M8" s="107"/>
      <c r="N8" s="107"/>
      <c r="O8" s="107"/>
      <c r="P8" s="107"/>
      <c r="Q8" s="107"/>
      <c r="R8" s="107"/>
      <c r="S8" s="110"/>
      <c r="T8" s="110"/>
      <c r="U8" s="111"/>
      <c r="V8" s="111"/>
      <c r="W8" s="111"/>
      <c r="X8" s="111"/>
    </row>
    <row r="9" spans="2:24" ht="15" customHeight="1" x14ac:dyDescent="0.25">
      <c r="B9" s="109"/>
      <c r="C9" s="109"/>
      <c r="D9" s="107"/>
      <c r="E9" s="107"/>
      <c r="F9" s="107"/>
      <c r="G9" s="107"/>
      <c r="H9" s="107"/>
      <c r="I9" s="107"/>
      <c r="J9" s="107"/>
      <c r="K9" s="107"/>
      <c r="L9" s="107"/>
      <c r="M9" s="107"/>
      <c r="N9" s="107"/>
      <c r="O9" s="107"/>
      <c r="P9" s="107"/>
      <c r="Q9" s="107"/>
      <c r="R9" s="107"/>
      <c r="S9" s="110"/>
      <c r="T9" s="110"/>
      <c r="U9" s="111"/>
      <c r="V9" s="111"/>
      <c r="W9" s="111"/>
      <c r="X9" s="111"/>
    </row>
    <row r="10" spans="2:24" ht="15" customHeight="1" thickBot="1" x14ac:dyDescent="0.3">
      <c r="B10" s="111"/>
      <c r="C10" s="111"/>
      <c r="D10" s="86" t="s">
        <v>88</v>
      </c>
      <c r="E10" s="87"/>
      <c r="F10" s="87"/>
      <c r="G10" s="87"/>
      <c r="H10" s="87"/>
      <c r="I10" s="87"/>
      <c r="J10" s="87"/>
      <c r="K10" s="87"/>
      <c r="L10" s="87"/>
      <c r="M10" s="87"/>
      <c r="N10" s="87"/>
      <c r="O10" s="87"/>
      <c r="P10" s="87"/>
      <c r="Q10" s="87"/>
      <c r="R10" s="88"/>
      <c r="S10" s="112"/>
      <c r="T10" s="112"/>
      <c r="U10" s="111"/>
      <c r="V10" s="111"/>
      <c r="W10" s="111"/>
      <c r="X10" s="111"/>
    </row>
    <row r="11" spans="2:24" ht="15" customHeight="1" x14ac:dyDescent="0.25">
      <c r="B11" s="111"/>
      <c r="C11" s="111"/>
      <c r="D11" s="115" t="s">
        <v>87</v>
      </c>
      <c r="E11" s="115"/>
      <c r="F11" s="115"/>
      <c r="G11" s="115"/>
      <c r="H11" s="115"/>
      <c r="I11" s="115"/>
      <c r="J11" s="115"/>
      <c r="K11" s="115"/>
      <c r="L11" s="115"/>
      <c r="M11" s="115"/>
      <c r="N11" s="115"/>
      <c r="O11" s="115"/>
      <c r="P11" s="115"/>
      <c r="Q11" s="115"/>
      <c r="R11" s="115"/>
      <c r="S11" s="112"/>
      <c r="T11" s="112"/>
      <c r="U11" s="111"/>
      <c r="V11" s="111"/>
      <c r="W11" s="111"/>
      <c r="X11" s="111"/>
    </row>
    <row r="12" spans="2:24" ht="15" customHeight="1" x14ac:dyDescent="0.25">
      <c r="B12" s="111"/>
      <c r="C12" s="111"/>
      <c r="D12" s="116"/>
      <c r="E12" s="116"/>
      <c r="F12" s="116"/>
      <c r="G12" s="116"/>
      <c r="H12" s="116"/>
      <c r="I12" s="116"/>
      <c r="J12" s="116"/>
      <c r="K12" s="116"/>
      <c r="L12" s="116"/>
      <c r="M12" s="116"/>
      <c r="N12" s="116"/>
      <c r="O12" s="116"/>
      <c r="P12" s="116"/>
      <c r="Q12" s="116"/>
      <c r="R12" s="116"/>
      <c r="S12" s="112"/>
      <c r="T12" s="112"/>
      <c r="U12" s="111"/>
      <c r="V12" s="111"/>
      <c r="W12" s="111"/>
      <c r="X12" s="111"/>
    </row>
    <row r="13" spans="2:24" ht="15" customHeight="1" x14ac:dyDescent="0.25">
      <c r="B13" s="111"/>
      <c r="C13" s="111"/>
      <c r="D13" s="116"/>
      <c r="E13" s="116"/>
      <c r="F13" s="116"/>
      <c r="G13" s="116"/>
      <c r="H13" s="116"/>
      <c r="I13" s="116"/>
      <c r="J13" s="116"/>
      <c r="K13" s="116"/>
      <c r="L13" s="116"/>
      <c r="M13" s="116"/>
      <c r="N13" s="116"/>
      <c r="O13" s="116"/>
      <c r="P13" s="116"/>
      <c r="Q13" s="116"/>
      <c r="R13" s="116"/>
      <c r="S13" s="112"/>
      <c r="T13" s="112"/>
      <c r="U13" s="111"/>
      <c r="V13" s="111"/>
      <c r="W13" s="111"/>
      <c r="X13" s="111"/>
    </row>
    <row r="14" spans="2:24" ht="15" customHeight="1" x14ac:dyDescent="0.25">
      <c r="B14" s="111"/>
      <c r="C14" s="111"/>
      <c r="D14" s="116"/>
      <c r="E14" s="116"/>
      <c r="F14" s="116"/>
      <c r="G14" s="116"/>
      <c r="H14" s="116"/>
      <c r="I14" s="116"/>
      <c r="J14" s="116"/>
      <c r="K14" s="116"/>
      <c r="L14" s="116"/>
      <c r="M14" s="116"/>
      <c r="N14" s="116"/>
      <c r="O14" s="116"/>
      <c r="P14" s="116"/>
      <c r="Q14" s="116"/>
      <c r="R14" s="116"/>
      <c r="S14" s="112"/>
      <c r="T14" s="112"/>
      <c r="U14" s="111"/>
      <c r="V14" s="111"/>
      <c r="W14" s="111"/>
      <c r="X14" s="111"/>
    </row>
    <row r="15" spans="2:24" ht="15" customHeight="1" x14ac:dyDescent="0.25">
      <c r="B15" s="111"/>
      <c r="C15" s="111"/>
      <c r="D15" s="85"/>
      <c r="E15" s="85"/>
      <c r="F15" s="85"/>
      <c r="G15" s="85"/>
      <c r="H15" s="85"/>
      <c r="I15" s="85"/>
      <c r="J15" s="85"/>
      <c r="K15" s="85"/>
      <c r="L15" s="85"/>
      <c r="M15" s="85"/>
      <c r="N15" s="85"/>
      <c r="O15" s="85"/>
      <c r="P15" s="85"/>
      <c r="Q15" s="85"/>
      <c r="R15" s="85"/>
      <c r="S15" s="112"/>
      <c r="T15" s="112"/>
      <c r="U15" s="111"/>
      <c r="V15" s="111"/>
      <c r="W15" s="111"/>
      <c r="X15" s="111"/>
    </row>
    <row r="16" spans="2:24" ht="15" customHeight="1" x14ac:dyDescent="0.25">
      <c r="B16" s="111"/>
      <c r="C16" s="111"/>
      <c r="D16" s="85"/>
      <c r="E16" s="85"/>
      <c r="F16" s="85"/>
      <c r="G16" s="85"/>
      <c r="H16" s="85"/>
      <c r="I16" s="85"/>
      <c r="J16" s="85"/>
      <c r="K16" s="85"/>
      <c r="L16" s="85"/>
      <c r="M16" s="85"/>
      <c r="N16" s="85"/>
      <c r="O16" s="85"/>
      <c r="P16" s="85"/>
      <c r="Q16" s="85"/>
      <c r="R16" s="85"/>
      <c r="S16" s="112"/>
      <c r="T16" s="112"/>
      <c r="U16" s="111"/>
      <c r="V16" s="111"/>
      <c r="W16" s="111"/>
      <c r="X16" s="111"/>
    </row>
    <row r="17" spans="2:24" ht="15" customHeight="1" x14ac:dyDescent="0.25">
      <c r="B17" s="111"/>
      <c r="C17" s="111"/>
      <c r="D17" s="85"/>
      <c r="E17" s="85"/>
      <c r="F17" s="85"/>
      <c r="G17" s="85"/>
      <c r="H17" s="85"/>
      <c r="I17" s="85"/>
      <c r="J17" s="85"/>
      <c r="K17" s="85"/>
      <c r="L17" s="85"/>
      <c r="M17" s="85"/>
      <c r="N17" s="85"/>
      <c r="O17" s="85"/>
      <c r="P17" s="85"/>
      <c r="Q17" s="85"/>
      <c r="R17" s="85"/>
      <c r="S17" s="112"/>
      <c r="T17" s="112"/>
      <c r="U17" s="111"/>
      <c r="V17" s="111"/>
      <c r="W17" s="111"/>
      <c r="X17" s="111"/>
    </row>
    <row r="18" spans="2:24" ht="15" customHeight="1" x14ac:dyDescent="0.25">
      <c r="B18" s="111"/>
      <c r="C18" s="111"/>
      <c r="S18" s="112"/>
      <c r="T18" s="112"/>
      <c r="U18" s="111"/>
      <c r="V18" s="111"/>
      <c r="W18" s="111"/>
      <c r="X18" s="111"/>
    </row>
    <row r="19" spans="2:24" ht="15" customHeight="1" x14ac:dyDescent="0.25">
      <c r="B19" s="111"/>
      <c r="C19" s="111"/>
      <c r="S19" s="112"/>
      <c r="T19" s="112"/>
      <c r="U19" s="111"/>
      <c r="V19" s="111"/>
      <c r="W19" s="111"/>
      <c r="X19" s="111"/>
    </row>
    <row r="20" spans="2:24" ht="15" customHeight="1" x14ac:dyDescent="0.25">
      <c r="B20" s="111"/>
      <c r="C20" s="111"/>
      <c r="S20" s="112"/>
      <c r="T20" s="112"/>
      <c r="U20" s="111"/>
      <c r="V20" s="111"/>
      <c r="W20" s="111"/>
      <c r="X20" s="111"/>
    </row>
    <row r="21" spans="2:24" ht="15" customHeight="1" x14ac:dyDescent="0.25">
      <c r="B21" s="111"/>
      <c r="C21" s="111"/>
      <c r="S21" s="112"/>
      <c r="T21" s="112"/>
      <c r="U21" s="111"/>
      <c r="V21" s="111"/>
      <c r="W21" s="111"/>
      <c r="X21" s="111"/>
    </row>
    <row r="22" spans="2:24" ht="15" customHeight="1" x14ac:dyDescent="0.25">
      <c r="B22" s="111"/>
      <c r="C22" s="111"/>
      <c r="S22" s="112"/>
      <c r="T22" s="112"/>
      <c r="U22" s="111"/>
      <c r="V22" s="111"/>
      <c r="W22" s="111"/>
      <c r="X22" s="111"/>
    </row>
    <row r="23" spans="2:24" ht="15" customHeight="1" x14ac:dyDescent="0.25">
      <c r="B23" s="111"/>
      <c r="C23" s="111"/>
      <c r="S23" s="112"/>
      <c r="T23" s="112"/>
      <c r="U23" s="111"/>
      <c r="V23" s="111"/>
      <c r="W23" s="111"/>
      <c r="X23" s="111"/>
    </row>
    <row r="24" spans="2:24" ht="15" customHeight="1" x14ac:dyDescent="0.25">
      <c r="B24" s="111"/>
      <c r="C24" s="111"/>
      <c r="S24" s="112"/>
      <c r="T24" s="112"/>
      <c r="U24" s="111"/>
      <c r="V24" s="111"/>
      <c r="W24" s="111"/>
      <c r="X24" s="111"/>
    </row>
    <row r="25" spans="2:24" ht="15" customHeight="1" x14ac:dyDescent="0.25">
      <c r="B25" s="111"/>
      <c r="C25" s="111"/>
      <c r="S25" s="112"/>
      <c r="T25" s="112"/>
      <c r="U25" s="111"/>
      <c r="V25" s="111"/>
      <c r="W25" s="111"/>
      <c r="X25" s="111"/>
    </row>
    <row r="26" spans="2:24" ht="15" customHeight="1" x14ac:dyDescent="0.25">
      <c r="B26" s="111"/>
      <c r="C26" s="111"/>
      <c r="S26" s="112"/>
      <c r="T26" s="112"/>
      <c r="U26" s="111"/>
      <c r="V26" s="111"/>
      <c r="W26" s="111"/>
      <c r="X26" s="111"/>
    </row>
    <row r="27" spans="2:24" ht="15" customHeight="1" x14ac:dyDescent="0.25">
      <c r="B27" s="111"/>
      <c r="C27" s="111"/>
      <c r="S27" s="112"/>
      <c r="T27" s="112"/>
      <c r="U27" s="111"/>
      <c r="V27" s="111"/>
      <c r="W27" s="111"/>
      <c r="X27" s="111"/>
    </row>
    <row r="28" spans="2:24" ht="15" customHeight="1" x14ac:dyDescent="0.25">
      <c r="B28" s="111"/>
      <c r="C28" s="111"/>
      <c r="S28" s="112"/>
      <c r="T28" s="112"/>
      <c r="U28" s="111"/>
      <c r="V28" s="111"/>
      <c r="W28" s="111"/>
      <c r="X28" s="111"/>
    </row>
    <row r="29" spans="2:24" ht="15" customHeight="1" x14ac:dyDescent="0.25">
      <c r="B29" s="111"/>
      <c r="C29" s="111"/>
      <c r="S29" s="112"/>
      <c r="T29" s="112"/>
      <c r="U29" s="111"/>
      <c r="V29" s="111"/>
      <c r="W29" s="111"/>
      <c r="X29" s="111"/>
    </row>
    <row r="30" spans="2:24" ht="15" customHeight="1" x14ac:dyDescent="0.25">
      <c r="B30" s="111"/>
      <c r="C30" s="111"/>
      <c r="S30" s="112"/>
      <c r="T30" s="112"/>
      <c r="U30" s="111"/>
      <c r="V30" s="111"/>
      <c r="W30" s="111"/>
      <c r="X30" s="111"/>
    </row>
    <row r="31" spans="2:24" ht="15" customHeight="1" x14ac:dyDescent="0.25">
      <c r="B31" s="111"/>
      <c r="C31" s="111"/>
      <c r="S31" s="112"/>
      <c r="T31" s="112"/>
      <c r="U31" s="111"/>
      <c r="V31" s="111"/>
      <c r="W31" s="111"/>
      <c r="X31" s="111"/>
    </row>
    <row r="32" spans="2:24" ht="15" customHeight="1" x14ac:dyDescent="0.25">
      <c r="B32" s="111"/>
      <c r="C32" s="111"/>
      <c r="S32" s="112"/>
      <c r="T32" s="112"/>
      <c r="U32" s="111"/>
      <c r="V32" s="111"/>
      <c r="W32" s="111"/>
      <c r="X32" s="111"/>
    </row>
    <row r="33" spans="2:24" ht="15" customHeight="1" x14ac:dyDescent="0.25">
      <c r="B33" s="111"/>
      <c r="C33" s="111"/>
      <c r="S33" s="112"/>
      <c r="T33" s="112"/>
      <c r="U33" s="111"/>
      <c r="V33" s="111"/>
      <c r="W33" s="111"/>
      <c r="X33" s="111"/>
    </row>
    <row r="34" spans="2:24" ht="15" customHeight="1" x14ac:dyDescent="0.25">
      <c r="B34" s="111"/>
      <c r="C34" s="111"/>
      <c r="S34" s="112"/>
      <c r="T34" s="112"/>
      <c r="U34" s="111"/>
      <c r="V34" s="111"/>
      <c r="W34" s="111"/>
      <c r="X34" s="111"/>
    </row>
    <row r="35" spans="2:24" ht="15" customHeight="1" x14ac:dyDescent="0.25">
      <c r="B35" s="111"/>
      <c r="C35" s="111"/>
      <c r="S35" s="112"/>
      <c r="T35" s="112"/>
      <c r="U35" s="111"/>
      <c r="V35" s="111"/>
      <c r="W35" s="111"/>
      <c r="X35" s="111"/>
    </row>
    <row r="36" spans="2:24" ht="15" customHeight="1" x14ac:dyDescent="0.25">
      <c r="B36" s="111"/>
      <c r="C36" s="111"/>
      <c r="S36" s="112"/>
      <c r="T36" s="112"/>
      <c r="U36" s="111"/>
      <c r="V36" s="111"/>
      <c r="W36" s="111"/>
      <c r="X36" s="111"/>
    </row>
    <row r="37" spans="2:24" ht="15" customHeight="1" x14ac:dyDescent="0.25">
      <c r="B37" s="111"/>
      <c r="C37" s="111"/>
      <c r="S37" s="112"/>
      <c r="T37" s="112"/>
      <c r="U37" s="111"/>
      <c r="V37" s="111"/>
      <c r="W37" s="111"/>
      <c r="X37" s="111"/>
    </row>
    <row r="38" spans="2:24" ht="15" customHeight="1" x14ac:dyDescent="0.25">
      <c r="B38" s="111"/>
      <c r="C38" s="111"/>
      <c r="S38" s="112"/>
      <c r="T38" s="112"/>
      <c r="U38" s="111"/>
      <c r="V38" s="111"/>
      <c r="W38" s="111"/>
      <c r="X38" s="111"/>
    </row>
    <row r="39" spans="2:24" ht="15" customHeight="1" x14ac:dyDescent="0.25">
      <c r="B39" s="111"/>
      <c r="C39" s="111"/>
      <c r="S39" s="112"/>
      <c r="T39" s="112"/>
      <c r="U39" s="111"/>
      <c r="V39" s="111"/>
      <c r="W39" s="111"/>
      <c r="X39" s="111"/>
    </row>
    <row r="40" spans="2:24" ht="15" customHeight="1" x14ac:dyDescent="0.25">
      <c r="B40" s="111"/>
      <c r="C40" s="111"/>
      <c r="S40" s="112"/>
      <c r="T40" s="112"/>
      <c r="U40" s="111"/>
      <c r="V40" s="111"/>
      <c r="W40" s="111"/>
      <c r="X40" s="111"/>
    </row>
    <row r="41" spans="2:24" ht="15" customHeight="1" x14ac:dyDescent="0.25">
      <c r="B41" s="111"/>
      <c r="C41" s="111"/>
      <c r="S41" s="112"/>
      <c r="T41" s="112"/>
      <c r="U41" s="111"/>
      <c r="V41" s="111"/>
      <c r="W41" s="111"/>
      <c r="X41" s="111"/>
    </row>
    <row r="42" spans="2:24" ht="15" customHeight="1" x14ac:dyDescent="0.25">
      <c r="B42" s="111"/>
      <c r="C42" s="111"/>
      <c r="S42" s="112"/>
      <c r="T42" s="112"/>
      <c r="U42" s="111"/>
      <c r="V42" s="111"/>
      <c r="W42" s="111"/>
      <c r="X42" s="111"/>
    </row>
    <row r="43" spans="2:24" ht="15" customHeight="1" x14ac:dyDescent="0.25">
      <c r="B43" s="111"/>
      <c r="C43" s="111"/>
      <c r="S43" s="112"/>
      <c r="T43" s="112"/>
      <c r="U43" s="111"/>
      <c r="V43" s="111"/>
      <c r="W43" s="111"/>
      <c r="X43" s="111"/>
    </row>
    <row r="44" spans="2:24" ht="15" customHeight="1" x14ac:dyDescent="0.25">
      <c r="B44" s="111"/>
      <c r="C44" s="111"/>
      <c r="S44" s="112"/>
      <c r="T44" s="112"/>
      <c r="U44" s="111"/>
      <c r="V44" s="111"/>
      <c r="W44" s="111"/>
      <c r="X44" s="111"/>
    </row>
    <row r="45" spans="2:24" ht="15" customHeight="1" x14ac:dyDescent="0.25">
      <c r="B45" s="111"/>
      <c r="C45" s="111"/>
      <c r="S45" s="112"/>
      <c r="T45" s="112"/>
      <c r="U45" s="111"/>
      <c r="V45" s="111"/>
      <c r="W45" s="111"/>
      <c r="X45" s="111"/>
    </row>
    <row r="46" spans="2:24" ht="15" customHeight="1" x14ac:dyDescent="0.25">
      <c r="B46" s="111"/>
      <c r="C46" s="111"/>
      <c r="S46" s="112"/>
      <c r="T46" s="112"/>
      <c r="U46" s="111"/>
      <c r="V46" s="111"/>
      <c r="W46" s="111"/>
      <c r="X46" s="111"/>
    </row>
    <row r="47" spans="2:24" ht="15" customHeight="1" x14ac:dyDescent="0.25">
      <c r="B47" s="111"/>
      <c r="C47" s="111"/>
      <c r="S47" s="112"/>
      <c r="T47" s="112"/>
      <c r="U47" s="111"/>
      <c r="V47" s="111"/>
      <c r="W47" s="111"/>
      <c r="X47" s="111"/>
    </row>
    <row r="48" spans="2:24" ht="15" customHeight="1" x14ac:dyDescent="0.25">
      <c r="B48" s="111"/>
      <c r="C48" s="111"/>
      <c r="S48" s="112"/>
      <c r="T48" s="112"/>
      <c r="U48" s="111"/>
      <c r="V48" s="111"/>
      <c r="W48" s="111"/>
      <c r="X48" s="111"/>
    </row>
    <row r="49" spans="2:24" ht="15" customHeight="1" x14ac:dyDescent="0.25">
      <c r="B49" s="111"/>
      <c r="C49" s="111"/>
      <c r="S49" s="112"/>
      <c r="T49" s="112"/>
      <c r="U49" s="111"/>
      <c r="V49" s="111"/>
      <c r="W49" s="111"/>
      <c r="X49" s="111"/>
    </row>
    <row r="50" spans="2:24" ht="15" customHeight="1" x14ac:dyDescent="0.25">
      <c r="B50" s="111"/>
      <c r="C50" s="111"/>
      <c r="S50" s="112"/>
      <c r="T50" s="112"/>
      <c r="U50" s="111"/>
      <c r="V50" s="111"/>
      <c r="W50" s="111"/>
      <c r="X50" s="111"/>
    </row>
    <row r="51" spans="2:24" ht="15" customHeight="1" x14ac:dyDescent="0.25">
      <c r="B51" s="111"/>
      <c r="C51" s="111"/>
      <c r="S51" s="112"/>
      <c r="T51" s="112"/>
      <c r="U51" s="111"/>
      <c r="V51" s="111"/>
      <c r="W51" s="111"/>
      <c r="X51" s="111"/>
    </row>
    <row r="52" spans="2:24" ht="15" customHeight="1" x14ac:dyDescent="0.25">
      <c r="B52" s="111"/>
      <c r="C52" s="111"/>
      <c r="S52" s="112"/>
      <c r="T52" s="112"/>
      <c r="U52" s="111"/>
      <c r="V52" s="111"/>
      <c r="W52" s="111"/>
      <c r="X52" s="111"/>
    </row>
    <row r="53" spans="2:24" ht="15" customHeight="1" x14ac:dyDescent="0.25">
      <c r="B53" s="111"/>
      <c r="C53" s="111"/>
      <c r="S53" s="112"/>
      <c r="T53" s="112"/>
      <c r="U53" s="111"/>
      <c r="V53" s="111"/>
      <c r="W53" s="111"/>
      <c r="X53" s="111"/>
    </row>
    <row r="54" spans="2:24" ht="15" customHeight="1" x14ac:dyDescent="0.25">
      <c r="B54" s="111"/>
      <c r="C54" s="111"/>
      <c r="S54" s="112"/>
      <c r="T54" s="112"/>
      <c r="U54" s="111"/>
      <c r="V54" s="111"/>
      <c r="W54" s="111"/>
      <c r="X54" s="111"/>
    </row>
    <row r="55" spans="2:24" ht="15" customHeight="1" x14ac:dyDescent="0.25">
      <c r="B55" s="111"/>
      <c r="C55" s="111"/>
      <c r="S55" s="112"/>
      <c r="T55" s="112"/>
      <c r="U55" s="111"/>
      <c r="V55" s="111"/>
      <c r="W55" s="111"/>
      <c r="X55" s="111"/>
    </row>
    <row r="56" spans="2:24" ht="15" customHeight="1" x14ac:dyDescent="0.25">
      <c r="B56" s="111"/>
      <c r="C56" s="111"/>
      <c r="S56" s="112"/>
      <c r="T56" s="112"/>
      <c r="U56" s="111"/>
      <c r="V56" s="111"/>
      <c r="W56" s="111"/>
      <c r="X56" s="111"/>
    </row>
    <row r="57" spans="2:24" ht="15" customHeight="1" x14ac:dyDescent="0.25">
      <c r="B57" s="111"/>
      <c r="C57" s="111"/>
      <c r="S57" s="112"/>
      <c r="T57" s="112"/>
      <c r="U57" s="111"/>
      <c r="V57" s="111"/>
      <c r="W57" s="111"/>
      <c r="X57" s="111"/>
    </row>
    <row r="58" spans="2:24" ht="15" customHeight="1" x14ac:dyDescent="0.25">
      <c r="B58" s="111"/>
      <c r="C58" s="111"/>
      <c r="S58" s="112"/>
      <c r="T58" s="112"/>
      <c r="U58" s="111"/>
      <c r="V58" s="111"/>
      <c r="W58" s="111"/>
      <c r="X58" s="111"/>
    </row>
    <row r="59" spans="2:24" ht="15" customHeight="1" x14ac:dyDescent="0.25">
      <c r="B59" s="111"/>
      <c r="C59" s="111"/>
      <c r="S59" s="112"/>
      <c r="T59" s="112"/>
      <c r="U59" s="111"/>
      <c r="V59" s="111"/>
      <c r="W59" s="111"/>
      <c r="X59" s="111"/>
    </row>
    <row r="60" spans="2:24" ht="15" customHeight="1" x14ac:dyDescent="0.25">
      <c r="B60" s="111"/>
      <c r="C60" s="111"/>
      <c r="S60" s="112"/>
      <c r="T60" s="112"/>
      <c r="U60" s="111"/>
      <c r="V60" s="111"/>
      <c r="W60" s="111"/>
      <c r="X60" s="111"/>
    </row>
    <row r="61" spans="2:24" ht="15" customHeight="1" x14ac:dyDescent="0.25">
      <c r="B61" s="111"/>
      <c r="C61" s="111"/>
      <c r="S61" s="112"/>
      <c r="T61" s="112"/>
      <c r="U61" s="111"/>
      <c r="V61" s="111"/>
      <c r="W61" s="111"/>
      <c r="X61" s="111"/>
    </row>
    <row r="62" spans="2:24" ht="15" customHeight="1" x14ac:dyDescent="0.25">
      <c r="B62" s="111"/>
      <c r="C62" s="111"/>
      <c r="S62" s="112"/>
      <c r="T62" s="112"/>
      <c r="U62" s="111"/>
      <c r="V62" s="111"/>
      <c r="W62" s="111"/>
      <c r="X62" s="111"/>
    </row>
    <row r="63" spans="2:24" ht="15" customHeight="1" x14ac:dyDescent="0.25">
      <c r="B63" s="111"/>
      <c r="C63" s="111"/>
      <c r="S63" s="112"/>
      <c r="T63" s="112"/>
      <c r="U63" s="111"/>
      <c r="V63" s="111"/>
      <c r="W63" s="111"/>
      <c r="X63" s="111"/>
    </row>
    <row r="64" spans="2:24" ht="15" customHeight="1" x14ac:dyDescent="0.25">
      <c r="B64" s="111"/>
      <c r="C64" s="111"/>
      <c r="S64" s="112"/>
      <c r="T64" s="112"/>
      <c r="U64" s="111"/>
      <c r="V64" s="111"/>
      <c r="W64" s="111"/>
      <c r="X64" s="111"/>
    </row>
    <row r="65" spans="2:24" ht="15" customHeight="1" x14ac:dyDescent="0.25">
      <c r="B65" s="111"/>
      <c r="C65" s="111"/>
      <c r="S65" s="112"/>
      <c r="T65" s="112"/>
      <c r="U65" s="111"/>
      <c r="V65" s="111"/>
      <c r="W65" s="111"/>
      <c r="X65" s="111"/>
    </row>
    <row r="66" spans="2:24" ht="15" customHeight="1" x14ac:dyDescent="0.25">
      <c r="B66" s="111"/>
      <c r="C66" s="111"/>
      <c r="S66" s="112"/>
      <c r="T66" s="112"/>
      <c r="U66" s="111"/>
      <c r="V66" s="111"/>
      <c r="W66" s="111"/>
      <c r="X66" s="111"/>
    </row>
    <row r="67" spans="2:24" ht="15" customHeight="1" x14ac:dyDescent="0.25">
      <c r="B67" s="111"/>
      <c r="C67" s="111"/>
      <c r="S67" s="112"/>
      <c r="T67" s="112"/>
      <c r="U67" s="111"/>
      <c r="V67" s="111"/>
      <c r="W67" s="111"/>
      <c r="X67" s="111"/>
    </row>
    <row r="68" spans="2:24" ht="15" customHeight="1" x14ac:dyDescent="0.25">
      <c r="B68" s="111"/>
      <c r="C68" s="111"/>
      <c r="S68" s="112"/>
      <c r="T68" s="112"/>
      <c r="U68" s="111"/>
      <c r="V68" s="111"/>
      <c r="W68" s="111"/>
      <c r="X68" s="111"/>
    </row>
    <row r="69" spans="2:24" ht="15" customHeight="1" x14ac:dyDescent="0.25">
      <c r="B69" s="111"/>
      <c r="C69" s="111"/>
      <c r="S69" s="112"/>
      <c r="T69" s="112"/>
      <c r="U69" s="111"/>
      <c r="V69" s="111"/>
      <c r="W69" s="111"/>
      <c r="X69" s="111"/>
    </row>
    <row r="70" spans="2:24" ht="15" customHeight="1" x14ac:dyDescent="0.25">
      <c r="B70" s="111"/>
      <c r="C70" s="111"/>
      <c r="S70" s="112"/>
      <c r="T70" s="112"/>
      <c r="U70" s="111"/>
      <c r="V70" s="111"/>
      <c r="W70" s="111"/>
      <c r="X70" s="111"/>
    </row>
    <row r="71" spans="2:24" ht="15" customHeight="1" x14ac:dyDescent="0.25">
      <c r="B71" s="111"/>
      <c r="C71" s="111"/>
      <c r="S71" s="112"/>
      <c r="T71" s="112"/>
      <c r="U71" s="111"/>
      <c r="V71" s="111"/>
      <c r="W71" s="111"/>
      <c r="X71" s="111"/>
    </row>
    <row r="72" spans="2:24" ht="15" customHeight="1" x14ac:dyDescent="0.25">
      <c r="B72" s="111"/>
      <c r="C72" s="111"/>
      <c r="S72" s="112"/>
      <c r="T72" s="112"/>
      <c r="U72" s="111"/>
      <c r="V72" s="111"/>
      <c r="W72" s="111"/>
      <c r="X72" s="111"/>
    </row>
    <row r="73" spans="2:24" ht="15" customHeight="1" x14ac:dyDescent="0.25">
      <c r="B73" s="111"/>
      <c r="C73" s="111"/>
      <c r="S73" s="112"/>
      <c r="T73" s="112"/>
      <c r="U73" s="111"/>
      <c r="V73" s="111"/>
      <c r="W73" s="111"/>
      <c r="X73" s="111"/>
    </row>
    <row r="74" spans="2:24" ht="15" customHeight="1" x14ac:dyDescent="0.25">
      <c r="B74" s="111"/>
      <c r="C74" s="111"/>
      <c r="S74" s="112"/>
      <c r="T74" s="112"/>
      <c r="U74" s="111"/>
      <c r="V74" s="111"/>
      <c r="W74" s="111"/>
      <c r="X74" s="111"/>
    </row>
    <row r="75" spans="2:24" ht="15" customHeight="1" x14ac:dyDescent="0.25">
      <c r="B75" s="111"/>
      <c r="C75" s="111"/>
      <c r="S75" s="112"/>
      <c r="T75" s="112"/>
      <c r="U75" s="111"/>
      <c r="V75" s="111"/>
      <c r="W75" s="111"/>
      <c r="X75" s="111"/>
    </row>
    <row r="76" spans="2:24" ht="15" customHeight="1" x14ac:dyDescent="0.25">
      <c r="B76" s="114"/>
      <c r="C76" s="114"/>
      <c r="D76" s="106"/>
      <c r="E76" s="106"/>
      <c r="F76" s="106"/>
      <c r="G76" s="106"/>
      <c r="H76" s="106"/>
      <c r="I76" s="106"/>
      <c r="J76" s="106"/>
      <c r="K76" s="106"/>
      <c r="L76" s="106"/>
      <c r="M76" s="106"/>
      <c r="N76" s="106"/>
      <c r="O76" s="106"/>
      <c r="P76" s="106"/>
      <c r="Q76" s="106"/>
      <c r="R76" s="106"/>
      <c r="S76" s="113"/>
      <c r="T76" s="113"/>
      <c r="U76" s="111"/>
      <c r="V76" s="111"/>
      <c r="W76" s="111"/>
      <c r="X76" s="111"/>
    </row>
    <row r="77" spans="2:24" ht="15" customHeight="1" x14ac:dyDescent="0.25">
      <c r="B77" s="114"/>
      <c r="C77" s="114"/>
      <c r="D77" s="106"/>
      <c r="E77" s="106"/>
      <c r="F77" s="106"/>
      <c r="G77" s="106"/>
      <c r="H77" s="106"/>
      <c r="I77" s="106"/>
      <c r="J77" s="106"/>
      <c r="K77" s="106"/>
      <c r="L77" s="106"/>
      <c r="M77" s="106"/>
      <c r="N77" s="106"/>
      <c r="O77" s="106"/>
      <c r="P77" s="106"/>
      <c r="Q77" s="106"/>
      <c r="R77" s="106"/>
      <c r="S77" s="113"/>
      <c r="T77" s="113"/>
      <c r="U77" s="111"/>
      <c r="V77" s="111"/>
      <c r="W77" s="111"/>
      <c r="X77" s="111"/>
    </row>
    <row r="78" spans="2:24" ht="15" customHeight="1" x14ac:dyDescent="0.25">
      <c r="B78" s="114"/>
      <c r="C78" s="114"/>
      <c r="D78" s="106"/>
      <c r="E78" s="106"/>
      <c r="F78" s="106"/>
      <c r="G78" s="106"/>
      <c r="H78" s="106"/>
      <c r="I78" s="106"/>
      <c r="J78" s="106"/>
      <c r="K78" s="106"/>
      <c r="L78" s="106"/>
      <c r="M78" s="106"/>
      <c r="N78" s="106"/>
      <c r="O78" s="106"/>
      <c r="P78" s="106"/>
      <c r="Q78" s="106"/>
      <c r="R78" s="106"/>
      <c r="S78" s="113"/>
      <c r="T78" s="113"/>
      <c r="U78" s="111"/>
      <c r="V78" s="111"/>
      <c r="W78" s="111"/>
      <c r="X78" s="111"/>
    </row>
    <row r="79" spans="2:24" ht="15" customHeight="1" x14ac:dyDescent="0.25">
      <c r="B79" s="114"/>
      <c r="C79" s="114"/>
      <c r="D79" s="106"/>
      <c r="E79" s="106"/>
      <c r="F79" s="106"/>
      <c r="G79" s="106"/>
      <c r="H79" s="106"/>
      <c r="I79" s="106"/>
      <c r="J79" s="106"/>
      <c r="K79" s="106"/>
      <c r="L79" s="106"/>
      <c r="M79" s="106"/>
      <c r="N79" s="106"/>
      <c r="O79" s="106"/>
      <c r="P79" s="106"/>
      <c r="Q79" s="106"/>
      <c r="R79" s="106"/>
      <c r="S79" s="113"/>
      <c r="T79" s="113"/>
      <c r="U79" s="111"/>
      <c r="V79" s="111"/>
      <c r="W79" s="111"/>
      <c r="X79" s="111"/>
    </row>
    <row r="80" spans="2:24" ht="15" customHeight="1" x14ac:dyDescent="0.25">
      <c r="B80" s="107"/>
      <c r="C80" s="107"/>
      <c r="D80" s="107"/>
      <c r="E80" s="107"/>
      <c r="F80" s="107"/>
      <c r="G80" s="107"/>
      <c r="H80" s="107"/>
      <c r="I80" s="107"/>
      <c r="J80" s="107"/>
      <c r="K80" s="107"/>
      <c r="L80" s="107"/>
      <c r="M80" s="107"/>
      <c r="N80" s="107"/>
      <c r="O80" s="107"/>
      <c r="P80" s="107"/>
      <c r="Q80" s="107"/>
      <c r="R80" s="107"/>
      <c r="S80" s="107"/>
      <c r="T80" s="107"/>
      <c r="U80" s="108"/>
      <c r="V80" s="108"/>
      <c r="W80" s="108"/>
      <c r="X80" s="108"/>
    </row>
    <row r="81" spans="2:24" ht="15" customHeight="1" x14ac:dyDescent="0.25">
      <c r="B81" s="107"/>
      <c r="C81" s="107"/>
      <c r="D81" s="107"/>
      <c r="E81" s="107"/>
      <c r="F81" s="107"/>
      <c r="G81" s="107"/>
      <c r="H81" s="107"/>
      <c r="I81" s="107"/>
      <c r="J81" s="107"/>
      <c r="K81" s="107"/>
      <c r="L81" s="107"/>
      <c r="M81" s="107"/>
      <c r="N81" s="107"/>
      <c r="O81" s="107"/>
      <c r="P81" s="107"/>
      <c r="Q81" s="107"/>
      <c r="R81" s="107"/>
      <c r="S81" s="107"/>
      <c r="T81" s="107"/>
      <c r="U81" s="108"/>
      <c r="V81" s="108"/>
      <c r="W81" s="108"/>
      <c r="X81" s="108"/>
    </row>
    <row r="82" spans="2:24" ht="15" customHeight="1" x14ac:dyDescent="0.25">
      <c r="B82" s="107"/>
      <c r="C82" s="107"/>
      <c r="D82" s="107"/>
      <c r="E82" s="107"/>
      <c r="F82" s="107"/>
      <c r="G82" s="107"/>
      <c r="H82" s="107"/>
      <c r="I82" s="107"/>
      <c r="J82" s="107"/>
      <c r="K82" s="107"/>
      <c r="L82" s="107"/>
      <c r="M82" s="107"/>
      <c r="N82" s="107"/>
      <c r="O82" s="107"/>
      <c r="P82" s="107"/>
      <c r="Q82" s="107"/>
      <c r="R82" s="107"/>
      <c r="S82" s="107"/>
      <c r="T82" s="107"/>
      <c r="U82" s="108"/>
      <c r="V82" s="108"/>
      <c r="W82" s="108"/>
      <c r="X82" s="108"/>
    </row>
    <row r="83" spans="2:24" ht="15" customHeight="1" x14ac:dyDescent="0.25">
      <c r="B83" s="107"/>
      <c r="C83" s="107"/>
      <c r="D83" s="107"/>
      <c r="E83" s="107"/>
      <c r="F83" s="107"/>
      <c r="G83" s="107"/>
      <c r="H83" s="107"/>
      <c r="I83" s="107"/>
      <c r="J83" s="107"/>
      <c r="K83" s="107"/>
      <c r="L83" s="107"/>
      <c r="M83" s="107"/>
      <c r="N83" s="107"/>
      <c r="O83" s="107"/>
      <c r="P83" s="107"/>
      <c r="Q83" s="107"/>
      <c r="R83" s="107"/>
      <c r="S83" s="107"/>
      <c r="T83" s="107"/>
      <c r="U83" s="108"/>
      <c r="V83" s="108"/>
      <c r="W83" s="108"/>
      <c r="X83" s="108"/>
    </row>
    <row r="84" spans="2:24" ht="15" customHeight="1" x14ac:dyDescent="0.25">
      <c r="B84" s="107"/>
      <c r="C84" s="107"/>
      <c r="D84" s="107"/>
      <c r="E84" s="107"/>
      <c r="F84" s="107"/>
      <c r="G84" s="107"/>
      <c r="H84" s="107"/>
      <c r="I84" s="107"/>
      <c r="J84" s="107"/>
      <c r="K84" s="107"/>
      <c r="L84" s="107"/>
      <c r="M84" s="107"/>
      <c r="N84" s="107"/>
      <c r="O84" s="107"/>
      <c r="P84" s="107"/>
      <c r="Q84" s="107"/>
      <c r="R84" s="107"/>
      <c r="S84" s="107"/>
      <c r="T84" s="107"/>
      <c r="U84" s="108"/>
      <c r="V84" s="108"/>
      <c r="W84" s="108"/>
      <c r="X84" s="108"/>
    </row>
    <row r="85" spans="2:24" ht="15" customHeight="1" x14ac:dyDescent="0.25">
      <c r="B85" s="107"/>
      <c r="C85" s="107"/>
      <c r="D85" s="107"/>
      <c r="E85" s="107"/>
      <c r="F85" s="107"/>
      <c r="G85" s="107"/>
      <c r="H85" s="107"/>
      <c r="I85" s="107"/>
      <c r="J85" s="107"/>
      <c r="K85" s="107"/>
      <c r="L85" s="107"/>
      <c r="M85" s="107"/>
      <c r="N85" s="107"/>
      <c r="O85" s="107"/>
      <c r="P85" s="107"/>
      <c r="Q85" s="107"/>
      <c r="R85" s="107"/>
      <c r="S85" s="107"/>
      <c r="T85" s="107"/>
      <c r="U85" s="108"/>
      <c r="V85" s="108"/>
      <c r="W85" s="108"/>
      <c r="X85" s="108"/>
    </row>
    <row r="86" spans="2:24" ht="15" customHeight="1" x14ac:dyDescent="0.25">
      <c r="B86" s="107"/>
      <c r="C86" s="107"/>
      <c r="D86" s="107"/>
      <c r="E86" s="107"/>
      <c r="F86" s="107"/>
      <c r="G86" s="107"/>
      <c r="H86" s="107"/>
      <c r="I86" s="107"/>
      <c r="J86" s="107"/>
      <c r="K86" s="107"/>
      <c r="L86" s="107"/>
      <c r="M86" s="107"/>
      <c r="N86" s="107"/>
      <c r="O86" s="107"/>
      <c r="P86" s="107"/>
      <c r="Q86" s="107"/>
      <c r="R86" s="107"/>
      <c r="S86" s="107"/>
      <c r="T86" s="107"/>
      <c r="U86" s="108"/>
      <c r="V86" s="108"/>
      <c r="W86" s="108"/>
      <c r="X86" s="108"/>
    </row>
    <row r="87" spans="2:24" ht="15" customHeight="1" x14ac:dyDescent="0.25">
      <c r="B87" s="107"/>
      <c r="C87" s="107"/>
      <c r="D87" s="107"/>
      <c r="E87" s="107"/>
      <c r="F87" s="107"/>
      <c r="G87" s="107"/>
      <c r="H87" s="107"/>
      <c r="I87" s="107"/>
      <c r="J87" s="107"/>
      <c r="K87" s="107"/>
      <c r="L87" s="107"/>
      <c r="M87" s="107"/>
      <c r="N87" s="107"/>
      <c r="O87" s="107"/>
      <c r="P87" s="107"/>
      <c r="Q87" s="107"/>
      <c r="R87" s="107"/>
      <c r="S87" s="107"/>
      <c r="T87" s="107"/>
      <c r="U87" s="108"/>
      <c r="V87" s="108"/>
      <c r="W87" s="108"/>
      <c r="X87" s="108"/>
    </row>
    <row r="88" spans="2:24" ht="15" customHeight="1" x14ac:dyDescent="0.25">
      <c r="B88" s="107"/>
      <c r="C88" s="107"/>
      <c r="D88" s="107"/>
      <c r="E88" s="107"/>
      <c r="F88" s="107"/>
      <c r="G88" s="107"/>
      <c r="H88" s="107"/>
      <c r="I88" s="107"/>
      <c r="J88" s="107"/>
      <c r="K88" s="107"/>
      <c r="L88" s="107"/>
      <c r="M88" s="107"/>
      <c r="N88" s="107"/>
      <c r="O88" s="107"/>
      <c r="P88" s="107"/>
      <c r="Q88" s="107"/>
      <c r="R88" s="107"/>
      <c r="S88" s="107"/>
      <c r="T88" s="107"/>
      <c r="U88" s="108"/>
      <c r="V88" s="108"/>
      <c r="W88" s="108"/>
      <c r="X88" s="108"/>
    </row>
  </sheetData>
  <sheetProtection sheet="1" objects="1" scenarios="1" selectLockedCells="1" selectUnlockedCells="1"/>
  <mergeCells count="12">
    <mergeCell ref="D76:R79"/>
    <mergeCell ref="B80:T88"/>
    <mergeCell ref="U80:X88"/>
    <mergeCell ref="B6:C9"/>
    <mergeCell ref="S6:T9"/>
    <mergeCell ref="U6:X79"/>
    <mergeCell ref="S10:T75"/>
    <mergeCell ref="S76:T79"/>
    <mergeCell ref="D6:R9"/>
    <mergeCell ref="B10:C75"/>
    <mergeCell ref="B76:C79"/>
    <mergeCell ref="D11:R14"/>
  </mergeCells>
  <phoneticPr fontId="5" type="noConversion"/>
  <pageMargins left="0.7" right="0.7" top="0.75" bottom="0.75" header="0.3" footer="0.3"/>
  <drawing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11</vt:i4>
      </vt:variant>
      <vt:variant>
        <vt:lpstr>Named Ranges</vt:lpstr>
      </vt:variant>
      <vt:variant>
        <vt:i4>58</vt:i4>
      </vt:variant>
    </vt:vector>
  </HeadingPairs>
  <TitlesOfParts>
    <vt:vector size="69" baseType="lpstr">
      <vt:lpstr>USA</vt:lpstr>
      <vt:lpstr>TRSYS</vt:lpstr>
      <vt:lpstr>SWPS</vt:lpstr>
      <vt:lpstr>Sheet3</vt:lpstr>
      <vt:lpstr>Canada</vt:lpstr>
      <vt:lpstr>SWPS Canada</vt:lpstr>
      <vt:lpstr>TRSYS Canada</vt:lpstr>
      <vt:lpstr>Calc Canada</vt:lpstr>
      <vt:lpstr>CHT Canada</vt:lpstr>
      <vt:lpstr>CHT</vt:lpstr>
      <vt:lpstr>HELP</vt:lpstr>
      <vt:lpstr>CAN_Dataset</vt:lpstr>
      <vt:lpstr>CAN_Display</vt:lpstr>
      <vt:lpstr>CAN_End</vt:lpstr>
      <vt:lpstr>CAN_Graph</vt:lpstr>
      <vt:lpstr>CAN_Index</vt:lpstr>
      <vt:lpstr>CAN_SpreadCorr</vt:lpstr>
      <vt:lpstr>CAN_STACKED</vt:lpstr>
      <vt:lpstr>CAN_Start</vt:lpstr>
      <vt:lpstr>CAN_SWPS</vt:lpstr>
      <vt:lpstr>CAN_TRSY</vt:lpstr>
      <vt:lpstr>CAN_X</vt:lpstr>
      <vt:lpstr>CAN_Y</vt:lpstr>
      <vt:lpstr>check</vt:lpstr>
      <vt:lpstr>checkCanada</vt:lpstr>
      <vt:lpstr>chtmax</vt:lpstr>
      <vt:lpstr>chtmaxCanada</vt:lpstr>
      <vt:lpstr>chtmin</vt:lpstr>
      <vt:lpstr>chtminCanada</vt:lpstr>
      <vt:lpstr>col</vt:lpstr>
      <vt:lpstr>colCanada</vt:lpstr>
      <vt:lpstr>dataset</vt:lpstr>
      <vt:lpstr>datasetCanada</vt:lpstr>
      <vt:lpstr>end</vt:lpstr>
      <vt:lpstr>endCanada</vt:lpstr>
      <vt:lpstr>TRSYS!new</vt:lpstr>
      <vt:lpstr>new</vt:lpstr>
      <vt:lpstr>'TRSYS Canada'!newCanada</vt:lpstr>
      <vt:lpstr>newCanada</vt:lpstr>
      <vt:lpstr>TRSYS!old</vt:lpstr>
      <vt:lpstr>old</vt:lpstr>
      <vt:lpstr>'TRSYS Canada'!oldCanada</vt:lpstr>
      <vt:lpstr>oldCanada</vt:lpstr>
      <vt:lpstr>TRSYS!rawend</vt:lpstr>
      <vt:lpstr>rawend</vt:lpstr>
      <vt:lpstr>'TRSYS Canada'!rawendCanada</vt:lpstr>
      <vt:lpstr>rawendCanada</vt:lpstr>
      <vt:lpstr>TRSYS!rawstart</vt:lpstr>
      <vt:lpstr>rawstart</vt:lpstr>
      <vt:lpstr>'TRSYS Canada'!rawstartCanada</vt:lpstr>
      <vt:lpstr>rawstartCanada</vt:lpstr>
      <vt:lpstr>row</vt:lpstr>
      <vt:lpstr>rowCanada</vt:lpstr>
      <vt:lpstr>select</vt:lpstr>
      <vt:lpstr>selectCanada</vt:lpstr>
      <vt:lpstr>start</vt:lpstr>
      <vt:lpstr>startCanada</vt:lpstr>
      <vt:lpstr>USA_Dataset</vt:lpstr>
      <vt:lpstr>USA_Display</vt:lpstr>
      <vt:lpstr>USA_End</vt:lpstr>
      <vt:lpstr>USA_Graph</vt:lpstr>
      <vt:lpstr>USA_Index</vt:lpstr>
      <vt:lpstr>USA_SpreadCorr</vt:lpstr>
      <vt:lpstr>USA_STACKED</vt:lpstr>
      <vt:lpstr>USA_Start</vt:lpstr>
      <vt:lpstr>USA_SWPS</vt:lpstr>
      <vt:lpstr>USA_TRSY</vt:lpstr>
      <vt:lpstr>USA_X</vt:lpstr>
      <vt:lpstr>USA_Y</vt:lpstr>
    </vt:vector>
  </TitlesOfParts>
  <Company>Bloomberg L.P.</Company>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wwong36</dc:creator>
  <cp:lastModifiedBy>Nicholas Burgess</cp:lastModifiedBy>
  <dcterms:created xsi:type="dcterms:W3CDTF">2011-01-27T21:42:47Z</dcterms:created>
  <dcterms:modified xsi:type="dcterms:W3CDTF">2016-10-11T09:58:52Z</dcterms:modified>
</cp:coreProperties>
</file>