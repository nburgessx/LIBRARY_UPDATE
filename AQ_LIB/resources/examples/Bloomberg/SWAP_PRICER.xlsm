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20" windowWidth="18195" windowHeight="11760"/>
  </bookViews>
  <sheets>
    <sheet name="Swaps" sheetId="1" r:id="rId1"/>
    <sheet name="Swaptions" sheetId="5" r:id="rId2"/>
    <sheet name="Favourites" sheetId="3" r:id="rId3"/>
    <sheet name="Valuation" sheetId="4" state="hidden" r:id="rId4"/>
    <sheet name="Help" sheetId="6" r:id="rId5"/>
  </sheets>
  <functionGroups builtInGroupCount="17"/>
  <externalReferences>
    <externalReference r:id="rId6"/>
  </externalReferences>
  <definedNames>
    <definedName name="BStructureBPrice" localSheetId="1">Swaptions!$DN$20</definedName>
    <definedName name="BStructureBPrice">Swaps!$DC$20</definedName>
    <definedName name="BStructureRange" localSheetId="1">Swaptions!$DO$20:$DO$39</definedName>
    <definedName name="BStructureRange">Swaps!$DD$20:$DD$39</definedName>
    <definedName name="CalcBasis">Valuation!$H$29:$H$30</definedName>
    <definedName name="CallFrequency">Valuation!$K$103:$K$117</definedName>
    <definedName name="CSACollateral">Valuation!$L$29:$L$39</definedName>
    <definedName name="CurrencyList">Valuation!$B$29:$B$87</definedName>
    <definedName name="Curves" localSheetId="1">Swaptions!$CF$20</definedName>
    <definedName name="Curves">Swaps!$CD$20</definedName>
    <definedName name="DateInputs">Swaptions!$Y$20</definedName>
    <definedName name="DateOutputs" localSheetId="1">Swaptions!$BE$20</definedName>
    <definedName name="Dates">Swaps!$W$20</definedName>
    <definedName name="DayCount">Valuation!$F$29:$F$49</definedName>
    <definedName name="DealType">Swaps!$O$20</definedName>
    <definedName name="DeliveryMethod">Valuation!$I$103:$I$106</definedName>
    <definedName name="FavouriteSwaps">Favourites!$B$14:$B$33</definedName>
    <definedName name="FavouriteSwaptions">Favourites!$B$42:$B$61</definedName>
    <definedName name="FavSwapMap">Favourites!$D$13:$AG$13</definedName>
    <definedName name="FavSwaptionMap">Favourites!$D$41:$AE$41</definedName>
    <definedName name="HLPBRD_IB">Help!$D$156:$R$159</definedName>
    <definedName name="HLPBRD_IR">Help!$S$10:$T$155</definedName>
    <definedName name="HLPBRD_OBR">Help!$U$160:$X$168</definedName>
    <definedName name="Leg1Input">Swaps!$AA$20</definedName>
    <definedName name="Leg1Inputs">Swaptions!$AH$20</definedName>
    <definedName name="Leg1Outputs">Swaptions!$BK$20</definedName>
    <definedName name="Leg2Input">Swaps!$AL$20</definedName>
    <definedName name="Leg2Inputs">Swaptions!$AM$20</definedName>
    <definedName name="Leg2Outputs">Swaptions!$BS$20</definedName>
    <definedName name="LegNotional">Swaps!$DH$20</definedName>
    <definedName name="LoadSaveClear" localSheetId="1">Swaptions!$H$20</definedName>
    <definedName name="LoadSaveClear">Swaps!$I$20</definedName>
    <definedName name="ModelType">Valuation!$B$111:$B$113</definedName>
    <definedName name="NoCurves">Swaps!$CM$20:$CM$39</definedName>
    <definedName name="NoCurvesSwaptions">Swaptions!$CM$20:$CM$39</definedName>
    <definedName name="OptionInputs">Swaptions!$Q$20</definedName>
    <definedName name="OptionOutputs">Swaptions!$AW$20</definedName>
    <definedName name="OptionPosition">Valuation!$G$103:$G$106</definedName>
    <definedName name="OptionStyle">Valuation!$E$103:$E$106</definedName>
    <definedName name="Outputs">Swaps!$BA$20</definedName>
    <definedName name="OverrideCurve" localSheetId="1">Swaptions!$CM$20</definedName>
    <definedName name="OverrideCurve">Swaps!$CM$20</definedName>
    <definedName name="PaymentFrequency">Valuation!$D$29:$D$34</definedName>
    <definedName name="PrincipalCSA" localSheetId="1">Swaptions!$AS$20</definedName>
    <definedName name="PrincipalCSA">Swaps!$AW$20</definedName>
    <definedName name="PrincipalExchange">Valuation!$J$29:$J$33</definedName>
    <definedName name="RecievePay">Valuation!$B$24:$B$25</definedName>
    <definedName name="SolveFor">Valuation!$G$10:$G$15</definedName>
    <definedName name="SolverInput" localSheetId="1">Swaptions!#REF!</definedName>
    <definedName name="SolverInput">Swaps!$R$20</definedName>
    <definedName name="SolverTarget">Valuation!$F$10:$F$15</definedName>
    <definedName name="SolverTargetName">Valuation!$E$10:$E$15</definedName>
    <definedName name="SwapDealType">Valuation!$C$10:$C$14</definedName>
    <definedName name="SwapDealTypeName">Valuation!$B$10:$B$14</definedName>
    <definedName name="SwapInputMap">Swaps!$O$19:$AY$19</definedName>
    <definedName name="SwapLoadFav">Swaps!$M$20:$M$39</definedName>
    <definedName name="SwapsClearRange">Swaps!$I$20:$I$39,Swaps!$K$20:$K$39,Swaps!$M$20:$M$39,Swaps!$O$20:$O$39,Swaps!$R$20:$R$39,Swaps!$U$20:$U$39,Swaps!$W$20:$Y$39,Swaps!$AA$20:$AJ$39,Swaps!$AL$20:$AU$39,Swaps!$AW$20:$AW$39,Swaps!$AY$20:$AY$39,Swaps!$CN$20:$CO$39,Swaps!$CQ$20:$CQ$39,Swaps!$CT$20:$CT$39,Swaps!$CW$20:$CW$39,Swaps!$CZ$20:$CZ$39</definedName>
    <definedName name="SwapSelectedJumpTo">Swaps!$D$13</definedName>
    <definedName name="SwapsJumpTo">Valuation!$B$121:$B$130</definedName>
    <definedName name="SwapsLoad">Swaps!$I$20:$I$39</definedName>
    <definedName name="SwapsMarketDate">Swaps!$C$8</definedName>
    <definedName name="SwapSolverResult">Swaps!$G$20</definedName>
    <definedName name="SwapsSavedID">Swaps!$K$20:$K$39</definedName>
    <definedName name="SwapsSelected">Swaps!$J$20:$J$39</definedName>
    <definedName name="SwapsSolveFor">Swaps!$R$20:$R$39</definedName>
    <definedName name="SwapStructureInputs">Swaps!$W$20:$AY$20</definedName>
    <definedName name="SwapStructureOutputs">Swaps!$BA$20:$CB$20</definedName>
    <definedName name="SwapsValuationDate">Swaps!$C$9</definedName>
    <definedName name="SwaptionDealName">Valuation!$B$103</definedName>
    <definedName name="SwaptionDealType">Valuation!$C$103</definedName>
    <definedName name="SwaptionMarketDate" localSheetId="1">Swaptions!$C$8</definedName>
    <definedName name="SwaptionsClearRange" localSheetId="1">Swaptions!$H$20:$H$39,Swaptions!$L$20:$L$39,Swaptions!$N$20:$N$39,Swaptions!$Q$20:$W$39,Swaptions!$Y$20:$AC$39,Swaptions!$AE$20:$AF$39,Swaptions!$AH$20:$AK$39,Swaptions!$AM$20:$AQ$39,Swaptions!$AS$20:$AS$39,Swaptions!$AU$20:$AU$39,Swaptions!$CN$20:$CO$39,Swaptions!$CQ$20:$CQ$39,Swaptions!$CT$20:$CT$39,Swaptions!$J$20:$J$39</definedName>
    <definedName name="SwaptionsInputMap">Swaptions!$N$19:$AU$19</definedName>
    <definedName name="SwaptionsJumpTo">Valuation!$E$121:$E$133</definedName>
    <definedName name="SwaptionsLoad" localSheetId="1">Swaptions!$H$20:$H$39</definedName>
    <definedName name="SwaptionsLoadFav">Swaptions!$L$20:$L$39</definedName>
    <definedName name="SwaptionsSavedID" localSheetId="1">Swaptions!$J$20:$J$39</definedName>
    <definedName name="SwaptionsSelected" localSheetId="1">Swaptions!$I$20:$I$39</definedName>
    <definedName name="SwaptionsSelectedJumpTo">Swaptions!$D$12</definedName>
    <definedName name="SwaptionValuationDate" localSheetId="1">Swaptions!$C$9</definedName>
    <definedName name="ValuationInputs">Swaptions!$AE$20</definedName>
    <definedName name="ValuationOutputs">Swaptions!$CW$20</definedName>
  </definedNames>
  <calcPr calcId="145621" calcOnSave="0"/>
</workbook>
</file>

<file path=xl/calcChain.xml><?xml version="1.0" encoding="utf-8"?>
<calcChain xmlns="http://schemas.openxmlformats.org/spreadsheetml/2006/main">
  <c r="Y39" i="1" l="1"/>
  <c r="Y38" i="1"/>
  <c r="Y37" i="1"/>
  <c r="Y36" i="1"/>
  <c r="Y35" i="1"/>
  <c r="Y34" i="1"/>
  <c r="W20" i="1" l="1"/>
  <c r="W21" i="1"/>
  <c r="W22" i="1"/>
  <c r="W23" i="1"/>
  <c r="W24" i="1"/>
  <c r="W25" i="1"/>
  <c r="W26" i="1"/>
  <c r="W27" i="1"/>
  <c r="W28" i="1"/>
  <c r="W29" i="1"/>
  <c r="W30" i="1"/>
  <c r="W31" i="1"/>
  <c r="W32" i="1"/>
  <c r="W33" i="1"/>
  <c r="Y26" i="1"/>
  <c r="Y27" i="1"/>
  <c r="Y28" i="1"/>
  <c r="Y21" i="1"/>
  <c r="Y29" i="1"/>
  <c r="Y22" i="1"/>
  <c r="Y30" i="1"/>
  <c r="Y23" i="1"/>
  <c r="Y31" i="1"/>
  <c r="Y24" i="1"/>
  <c r="Y32" i="1"/>
  <c r="Y25" i="1"/>
  <c r="Y33" i="1"/>
  <c r="Y20" i="1"/>
  <c r="DN20" i="5" l="1"/>
  <c r="E19" i="1" l="1"/>
  <c r="D19" i="1"/>
  <c r="C19" i="1"/>
  <c r="DC39" i="1"/>
  <c r="DC38" i="1"/>
  <c r="DC37" i="1"/>
  <c r="DC36" i="1"/>
  <c r="DC35" i="1"/>
  <c r="DC34" i="1"/>
  <c r="DC33" i="1"/>
  <c r="DC32" i="1"/>
  <c r="DC31" i="1"/>
  <c r="DC30" i="1"/>
  <c r="DC29" i="1"/>
  <c r="DC28" i="1"/>
  <c r="DC27" i="1"/>
  <c r="DC26" i="1"/>
  <c r="DC25" i="1"/>
  <c r="DC24" i="1"/>
  <c r="DC22" i="1"/>
  <c r="DC21" i="1"/>
  <c r="DC20" i="1"/>
  <c r="DC23" i="1"/>
  <c r="H14" i="3" l="1"/>
  <c r="V14" i="3"/>
  <c r="H15" i="3"/>
  <c r="V15" i="3"/>
  <c r="H16" i="3"/>
  <c r="V16" i="3"/>
  <c r="H17" i="3"/>
  <c r="V17" i="3"/>
  <c r="H18" i="3"/>
  <c r="V18" i="3"/>
  <c r="H19" i="3"/>
  <c r="V19" i="3"/>
  <c r="H20" i="3"/>
  <c r="V20" i="3"/>
  <c r="H21" i="3"/>
  <c r="V21" i="3"/>
  <c r="H22" i="3"/>
  <c r="V22" i="3"/>
  <c r="H23" i="3"/>
  <c r="V23" i="3"/>
  <c r="H24" i="3"/>
  <c r="V24" i="3"/>
  <c r="H25" i="3"/>
  <c r="V25" i="3"/>
  <c r="H26" i="3"/>
  <c r="V26" i="3"/>
  <c r="H27" i="3"/>
  <c r="V27" i="3"/>
  <c r="H28" i="3"/>
  <c r="V28" i="3"/>
  <c r="H29" i="3"/>
  <c r="V29" i="3"/>
  <c r="H30" i="3"/>
  <c r="V30" i="3"/>
  <c r="H31" i="3"/>
  <c r="V31" i="3"/>
  <c r="H32" i="3"/>
  <c r="V32" i="3"/>
  <c r="H33" i="3"/>
  <c r="V33" i="3"/>
  <c r="K20" i="5"/>
  <c r="O20" i="5"/>
  <c r="CR20" i="5"/>
  <c r="CU20" i="5"/>
  <c r="K21" i="5"/>
  <c r="O21" i="5"/>
  <c r="CR21" i="5"/>
  <c r="CU21" i="5"/>
  <c r="DN21" i="5"/>
  <c r="K22" i="5"/>
  <c r="O22" i="5"/>
  <c r="CR22" i="5"/>
  <c r="CU22" i="5"/>
  <c r="DN22" i="5"/>
  <c r="K23" i="5"/>
  <c r="O23" i="5"/>
  <c r="CR23" i="5"/>
  <c r="CU23" i="5"/>
  <c r="K24" i="5"/>
  <c r="O24" i="5"/>
  <c r="CR24" i="5"/>
  <c r="CU24" i="5"/>
  <c r="K25" i="5"/>
  <c r="O25" i="5"/>
  <c r="CR25" i="5"/>
  <c r="CU25" i="5"/>
  <c r="B26" i="5"/>
  <c r="DO26" i="5"/>
  <c r="DP26" i="5" s="1"/>
  <c r="K26" i="5"/>
  <c r="O26" i="5"/>
  <c r="CR26" i="5"/>
  <c r="CU26" i="5"/>
  <c r="DN26" i="5"/>
  <c r="B27" i="5"/>
  <c r="DO27" i="5"/>
  <c r="DP27" i="5" s="1"/>
  <c r="K27" i="5"/>
  <c r="O27" i="5"/>
  <c r="CR27" i="5"/>
  <c r="CU27" i="5"/>
  <c r="DN27" i="5"/>
  <c r="B28" i="5"/>
  <c r="DO28" i="5"/>
  <c r="DP28" i="5" s="1"/>
  <c r="K28" i="5"/>
  <c r="O28" i="5"/>
  <c r="CR28" i="5"/>
  <c r="CU28" i="5"/>
  <c r="DN28" i="5"/>
  <c r="B29" i="5"/>
  <c r="DO29" i="5"/>
  <c r="DP29" i="5" s="1"/>
  <c r="K29" i="5"/>
  <c r="O29" i="5"/>
  <c r="CR29" i="5"/>
  <c r="CU29" i="5"/>
  <c r="DN29" i="5"/>
  <c r="B30" i="5"/>
  <c r="DO30" i="5"/>
  <c r="DP30" i="5" s="1"/>
  <c r="K30" i="5"/>
  <c r="O30" i="5"/>
  <c r="CR30" i="5"/>
  <c r="CU30" i="5"/>
  <c r="DN30" i="5"/>
  <c r="B31" i="5"/>
  <c r="DO31" i="5"/>
  <c r="DP31" i="5" s="1"/>
  <c r="K31" i="5"/>
  <c r="O31" i="5"/>
  <c r="CR31" i="5"/>
  <c r="CU31" i="5"/>
  <c r="DN31" i="5"/>
  <c r="B32" i="5"/>
  <c r="DO32" i="5"/>
  <c r="DP32" i="5" s="1"/>
  <c r="K32" i="5"/>
  <c r="O32" i="5"/>
  <c r="CR32" i="5"/>
  <c r="CU32" i="5"/>
  <c r="DN32" i="5"/>
  <c r="B33" i="5"/>
  <c r="DO33" i="5"/>
  <c r="DP33" i="5" s="1"/>
  <c r="K33" i="5"/>
  <c r="O33" i="5"/>
  <c r="CR33" i="5"/>
  <c r="CU33" i="5"/>
  <c r="DN33" i="5"/>
  <c r="B34" i="5"/>
  <c r="DO34" i="5"/>
  <c r="DP34" i="5" s="1"/>
  <c r="K34" i="5"/>
  <c r="O34" i="5"/>
  <c r="CR34" i="5"/>
  <c r="CU34" i="5"/>
  <c r="DN34" i="5"/>
  <c r="B35" i="5"/>
  <c r="DO35" i="5"/>
  <c r="DP35" i="5" s="1"/>
  <c r="K35" i="5"/>
  <c r="O35" i="5"/>
  <c r="CR35" i="5"/>
  <c r="CU35" i="5"/>
  <c r="DN35" i="5"/>
  <c r="B36" i="5"/>
  <c r="DO36" i="5"/>
  <c r="DP36" i="5" s="1"/>
  <c r="K36" i="5"/>
  <c r="O36" i="5"/>
  <c r="CR36" i="5"/>
  <c r="CU36" i="5"/>
  <c r="DN36" i="5"/>
  <c r="B37" i="5"/>
  <c r="DO37" i="5"/>
  <c r="DP37" i="5" s="1"/>
  <c r="K37" i="5"/>
  <c r="O37" i="5"/>
  <c r="CR37" i="5"/>
  <c r="CU37" i="5"/>
  <c r="DN37" i="5"/>
  <c r="B38" i="5"/>
  <c r="DO38" i="5"/>
  <c r="DP38" i="5" s="1"/>
  <c r="K38" i="5"/>
  <c r="O38" i="5"/>
  <c r="CR38" i="5"/>
  <c r="CU38" i="5"/>
  <c r="DN38" i="5"/>
  <c r="B39" i="5"/>
  <c r="DO39" i="5"/>
  <c r="DP39" i="5" s="1"/>
  <c r="K39" i="5"/>
  <c r="O39" i="5"/>
  <c r="CR39" i="5"/>
  <c r="CU39" i="5"/>
  <c r="DN39" i="5"/>
  <c r="DO25" i="5"/>
  <c r="DO24" i="5"/>
  <c r="DO23" i="5"/>
  <c r="DO22" i="5"/>
  <c r="DO21" i="5"/>
  <c r="DN25" i="5"/>
  <c r="DN24" i="5"/>
  <c r="DN23" i="5"/>
  <c r="DO20" i="5"/>
  <c r="BW27" i="5"/>
  <c r="AY33" i="5"/>
  <c r="BV35" i="5"/>
  <c r="CF34" i="5"/>
  <c r="BM38" i="5"/>
  <c r="BI36" i="5"/>
  <c r="BX33" i="5"/>
  <c r="BS26" i="5"/>
  <c r="CB24" i="5"/>
  <c r="BQ22" i="5"/>
  <c r="BV20" i="5"/>
  <c r="AZ31" i="5"/>
  <c r="BT36" i="5"/>
  <c r="BX38" i="5"/>
  <c r="BP29" i="5"/>
  <c r="AW28" i="5"/>
  <c r="BL33" i="5"/>
  <c r="BP31" i="5"/>
  <c r="CB39" i="5"/>
  <c r="CG33" i="5"/>
  <c r="BZ38" i="5"/>
  <c r="BX34" i="5"/>
  <c r="BI24" i="5"/>
  <c r="CF22" i="5"/>
  <c r="BS20" i="5"/>
  <c r="BH38" i="5"/>
  <c r="BX32" i="5"/>
  <c r="BF36" i="5"/>
  <c r="CK30" i="5"/>
  <c r="BW28" i="5"/>
  <c r="AY38" i="5"/>
  <c r="AY34" i="5"/>
  <c r="BV39" i="5"/>
  <c r="BO35" i="5"/>
  <c r="CG30" i="5"/>
  <c r="BS24" i="5"/>
  <c r="BW22" i="5"/>
  <c r="AX26" i="5"/>
  <c r="BO34" i="5"/>
  <c r="CI34" i="5"/>
  <c r="AY29" i="5"/>
  <c r="BW23" i="5"/>
  <c r="BB39" i="5"/>
  <c r="BI31" i="5"/>
  <c r="CD35" i="5"/>
  <c r="BB35" i="5"/>
  <c r="CK38" i="5"/>
  <c r="AX29" i="5"/>
  <c r="CI23" i="5"/>
  <c r="BF21" i="5"/>
  <c r="AX31" i="5"/>
  <c r="BI33" i="5"/>
  <c r="CB23" i="5"/>
  <c r="BY33" i="5"/>
  <c r="BN33" i="5"/>
  <c r="BH30" i="5"/>
  <c r="BM31" i="5"/>
  <c r="BX20" i="5"/>
  <c r="BF28" i="5"/>
  <c r="CK35" i="5"/>
  <c r="BK38" i="5"/>
  <c r="AZ33" i="5"/>
  <c r="BG29" i="5"/>
  <c r="CB25" i="5"/>
  <c r="BF23" i="5"/>
  <c r="CG20" i="5"/>
  <c r="BA36" i="5"/>
  <c r="BA39" i="5"/>
  <c r="BQ25" i="5"/>
  <c r="BO20" i="5"/>
  <c r="BY38" i="5"/>
  <c r="AY25" i="5"/>
  <c r="BC20" i="5"/>
  <c r="BK32" i="5"/>
  <c r="CJ25" i="5"/>
  <c r="BM32" i="5"/>
  <c r="BX36" i="5"/>
  <c r="CB20" i="5"/>
  <c r="AW30" i="5"/>
  <c r="BQ36" i="5"/>
  <c r="BA20" i="5"/>
  <c r="BX24" i="5"/>
  <c r="CG36" i="5"/>
  <c r="BM22" i="5"/>
  <c r="BX22" i="5"/>
  <c r="BY27" i="5"/>
  <c r="BY31" i="5"/>
  <c r="BE22" i="5"/>
  <c r="DI28" i="5"/>
  <c r="DF39" i="5"/>
  <c r="DD34" i="5"/>
  <c r="CZ36" i="5"/>
  <c r="DD36" i="5"/>
  <c r="CZ37" i="5"/>
  <c r="DB32" i="5"/>
  <c r="DK38" i="5"/>
  <c r="DL30" i="5"/>
  <c r="DL35" i="5"/>
  <c r="DK27" i="5"/>
  <c r="CZ32" i="5"/>
  <c r="DK31" i="5"/>
  <c r="DA33" i="5"/>
  <c r="DD32" i="5"/>
  <c r="CX37" i="5"/>
  <c r="D32" i="5"/>
  <c r="E37" i="5"/>
  <c r="DF36" i="5"/>
  <c r="DC38" i="5"/>
  <c r="F36" i="5"/>
  <c r="DL37" i="5"/>
  <c r="E27" i="5"/>
  <c r="DI38" i="5"/>
  <c r="E32" i="5"/>
  <c r="DB26" i="5"/>
  <c r="CY34" i="5"/>
  <c r="CZ38" i="5"/>
  <c r="C35" i="5"/>
  <c r="DK36" i="5"/>
  <c r="DH38" i="5"/>
  <c r="DD28" i="5"/>
  <c r="C34" i="5"/>
  <c r="D39" i="5"/>
  <c r="DH31" i="5"/>
  <c r="BB27" i="5"/>
  <c r="BB29" i="5"/>
  <c r="BV38" i="5"/>
  <c r="BO22" i="5"/>
  <c r="CD26" i="5"/>
  <c r="BM28" i="5"/>
  <c r="CB34" i="5"/>
  <c r="BZ27" i="5"/>
  <c r="BW37" i="5"/>
  <c r="CI31" i="5"/>
  <c r="BT26" i="5"/>
  <c r="CH30" i="5"/>
  <c r="BM24" i="5"/>
  <c r="AW22" i="5"/>
  <c r="BN20" i="5"/>
  <c r="BL30" i="5"/>
  <c r="AY32" i="5"/>
  <c r="AW38" i="5"/>
  <c r="BC35" i="5"/>
  <c r="BE29" i="5"/>
  <c r="BM30" i="5"/>
  <c r="BG27" i="5"/>
  <c r="BN35" i="5"/>
  <c r="BS32" i="5"/>
  <c r="BS33" i="5"/>
  <c r="BK29" i="5"/>
  <c r="BV24" i="5"/>
  <c r="CG22" i="5"/>
  <c r="BG20" i="5"/>
  <c r="BV37" i="5"/>
  <c r="BS37" i="5"/>
  <c r="BK34" i="5"/>
  <c r="BS35" i="5"/>
  <c r="AY26" i="5"/>
  <c r="AX27" i="5"/>
  <c r="BO32" i="5"/>
  <c r="BT29" i="5"/>
  <c r="CI36" i="5"/>
  <c r="BX30" i="5"/>
  <c r="BC24" i="5"/>
  <c r="BE21" i="5"/>
  <c r="AY31" i="5"/>
  <c r="BV33" i="5"/>
  <c r="CD29" i="5"/>
  <c r="CD30" i="5"/>
  <c r="BC22" i="5"/>
  <c r="BM33" i="5"/>
  <c r="AZ30" i="5"/>
  <c r="BA31" i="5"/>
  <c r="BL31" i="5"/>
  <c r="CF31" i="5"/>
  <c r="BZ25" i="5"/>
  <c r="CG23" i="5"/>
  <c r="BU20" i="5"/>
  <c r="BY28" i="5"/>
  <c r="BE27" i="5"/>
  <c r="BA22" i="5"/>
  <c r="BB38" i="5"/>
  <c r="BM27" i="5"/>
  <c r="BW30" i="5"/>
  <c r="BP35" i="5"/>
  <c r="CH36" i="5"/>
  <c r="CD33" i="5"/>
  <c r="BA29" i="5"/>
  <c r="BK37" i="5"/>
  <c r="BT30" i="5"/>
  <c r="CK37" i="5"/>
  <c r="BX25" i="5"/>
  <c r="BF22" i="5"/>
  <c r="AW20" i="5"/>
  <c r="CF30" i="5"/>
  <c r="BF39" i="5"/>
  <c r="BT24" i="5"/>
  <c r="BQ20" i="5"/>
  <c r="AW34" i="5"/>
  <c r="BM25" i="5"/>
  <c r="BO33" i="5"/>
  <c r="BE36" i="5"/>
  <c r="BF24" i="5"/>
  <c r="AZ34" i="5"/>
  <c r="CF29" i="5"/>
  <c r="BS31" i="5"/>
  <c r="AY36" i="5"/>
  <c r="BZ32" i="5"/>
  <c r="CH38" i="5"/>
  <c r="CJ23" i="5"/>
  <c r="BZ39" i="5"/>
  <c r="CD21" i="5"/>
  <c r="AX20" i="5"/>
  <c r="BQ38" i="5"/>
  <c r="BO26" i="5"/>
  <c r="BH20" i="5"/>
  <c r="D27" i="5"/>
  <c r="DA35" i="5"/>
  <c r="CY35" i="5"/>
  <c r="DE34" i="5"/>
  <c r="DC37" i="5"/>
  <c r="D26" i="5"/>
  <c r="CW32" i="5"/>
  <c r="DH34" i="5"/>
  <c r="DK33" i="5"/>
  <c r="DI34" i="5"/>
  <c r="C30" i="5"/>
  <c r="CY31" i="5"/>
  <c r="D31" i="5"/>
  <c r="DC29" i="5"/>
  <c r="CZ31" i="5"/>
  <c r="DA31" i="5"/>
  <c r="CX38" i="5"/>
  <c r="D29" i="5"/>
  <c r="DL34" i="5"/>
  <c r="DG39" i="5"/>
  <c r="DE30" i="5"/>
  <c r="CY36" i="5"/>
  <c r="DI30" i="5"/>
  <c r="DF26" i="5"/>
  <c r="CY26" i="5"/>
  <c r="CY37" i="5"/>
  <c r="DA34" i="5"/>
  <c r="DF31" i="5"/>
  <c r="C31" i="5"/>
  <c r="DG31" i="5"/>
  <c r="DC34" i="5"/>
  <c r="DJ32" i="5"/>
  <c r="DG29" i="5"/>
  <c r="DH28" i="5"/>
  <c r="DB33" i="5"/>
  <c r="BT35" i="5"/>
  <c r="BQ31" i="5"/>
  <c r="BC25" i="5"/>
  <c r="AY20" i="5"/>
  <c r="CH35" i="5"/>
  <c r="AZ38" i="5"/>
  <c r="BB32" i="5"/>
  <c r="BX31" i="5"/>
  <c r="BU29" i="5"/>
  <c r="CF39" i="5"/>
  <c r="BH35" i="5"/>
  <c r="BG25" i="5"/>
  <c r="BO24" i="5"/>
  <c r="BH22" i="5"/>
  <c r="BY20" i="5"/>
  <c r="CG27" i="5"/>
  <c r="BE28" i="5"/>
  <c r="BL35" i="5"/>
  <c r="BI34" i="5"/>
  <c r="CF33" i="5"/>
  <c r="CJ26" i="5"/>
  <c r="BA30" i="5"/>
  <c r="BB30" i="5"/>
  <c r="BN30" i="5"/>
  <c r="CD37" i="5"/>
  <c r="AX39" i="5"/>
  <c r="BK24" i="5"/>
  <c r="BG22" i="5"/>
  <c r="BZ20" i="5"/>
  <c r="CJ34" i="5"/>
  <c r="CF27" i="5"/>
  <c r="CH27" i="5"/>
  <c r="BQ39" i="5"/>
  <c r="CI28" i="5"/>
  <c r="BL27" i="5"/>
  <c r="AY37" i="5"/>
  <c r="AX28" i="5"/>
  <c r="CB32" i="5"/>
  <c r="CF38" i="5"/>
  <c r="AY23" i="5"/>
  <c r="BO21" i="5"/>
  <c r="BI35" i="5"/>
  <c r="BB25" i="5"/>
  <c r="CG32" i="5"/>
  <c r="BX35" i="5"/>
  <c r="BL20" i="5"/>
  <c r="BF35" i="5"/>
  <c r="BZ29" i="5"/>
  <c r="BP36" i="5"/>
  <c r="CI26" i="5"/>
  <c r="BW38" i="5"/>
  <c r="BW25" i="5"/>
  <c r="CI22" i="5"/>
  <c r="CF20" i="5"/>
  <c r="BW33" i="5"/>
  <c r="BH37" i="5"/>
  <c r="BL21" i="5"/>
  <c r="CH29" i="5"/>
  <c r="BT25" i="5"/>
  <c r="BC34" i="5"/>
  <c r="BC30" i="5"/>
  <c r="BG33" i="5"/>
  <c r="BP30" i="5"/>
  <c r="BL34" i="5"/>
  <c r="CD31" i="5"/>
  <c r="AW33" i="5"/>
  <c r="BW39" i="5"/>
  <c r="CK25" i="5"/>
  <c r="AY22" i="5"/>
  <c r="BP20" i="5"/>
  <c r="CJ32" i="5"/>
  <c r="BZ36" i="5"/>
  <c r="CI24" i="5"/>
  <c r="BK28" i="5"/>
  <c r="CG29" i="5"/>
  <c r="CH24" i="5"/>
  <c r="BI37" i="5"/>
  <c r="CK31" i="5"/>
  <c r="BA23" i="5"/>
  <c r="CF37" i="5"/>
  <c r="CD39" i="5"/>
  <c r="BL39" i="5"/>
  <c r="BU35" i="5"/>
  <c r="BQ35" i="5"/>
  <c r="BK33" i="5"/>
  <c r="BV21" i="5"/>
  <c r="CG39" i="5"/>
  <c r="BE20" i="5"/>
  <c r="AW39" i="5"/>
  <c r="BS30" i="5"/>
  <c r="BN26" i="5"/>
  <c r="BP22" i="5"/>
  <c r="DI26" i="5"/>
  <c r="DF37" i="5"/>
  <c r="DA26" i="5"/>
  <c r="DD26" i="5"/>
  <c r="DH39" i="5"/>
  <c r="DE26" i="5"/>
  <c r="CX28" i="5"/>
  <c r="DJ38" i="5"/>
  <c r="DF27" i="5"/>
  <c r="CX39" i="5"/>
  <c r="DJ28" i="5"/>
  <c r="DJ35" i="5"/>
  <c r="DE31" i="5"/>
  <c r="CX26" i="5"/>
  <c r="DA27" i="5"/>
  <c r="DA30" i="5"/>
  <c r="DK37" i="5"/>
  <c r="DE32" i="5"/>
  <c r="DL28" i="5"/>
  <c r="DB38" i="5"/>
  <c r="DI37" i="5"/>
  <c r="DF28" i="5"/>
  <c r="F29" i="5"/>
  <c r="F35" i="5"/>
  <c r="DG33" i="5"/>
  <c r="CX34" i="5"/>
  <c r="DB27" i="5"/>
  <c r="C29" i="5"/>
  <c r="DD33" i="5"/>
  <c r="CW33" i="5"/>
  <c r="DI35" i="5"/>
  <c r="D38" i="5"/>
  <c r="CX35" i="5"/>
  <c r="DA28" i="5"/>
  <c r="DI36" i="5"/>
  <c r="BT34" i="5"/>
  <c r="CK32" i="5"/>
  <c r="AZ23" i="5"/>
  <c r="BV30" i="5"/>
  <c r="BZ33" i="5"/>
  <c r="BV29" i="5"/>
  <c r="BX29" i="5"/>
  <c r="BL25" i="5"/>
  <c r="CG21" i="5"/>
  <c r="BC29" i="5"/>
  <c r="BW31" i="5"/>
  <c r="CH32" i="5"/>
  <c r="BO38" i="5"/>
  <c r="CG34" i="5"/>
  <c r="AZ28" i="5"/>
  <c r="CB29" i="5"/>
  <c r="BG23" i="5"/>
  <c r="BW20" i="5"/>
  <c r="BE35" i="5"/>
  <c r="CD28" i="5"/>
  <c r="BL29" i="5"/>
  <c r="BY30" i="5"/>
  <c r="BW29" i="5"/>
  <c r="BS34" i="5"/>
  <c r="BP23" i="5"/>
  <c r="BB21" i="5"/>
  <c r="BT22" i="5"/>
  <c r="BE32" i="5"/>
  <c r="CJ35" i="5"/>
  <c r="CG31" i="5"/>
  <c r="BP33" i="5"/>
  <c r="BU26" i="5"/>
  <c r="CH22" i="5"/>
  <c r="BG36" i="5"/>
  <c r="BA32" i="5"/>
  <c r="AZ37" i="5"/>
  <c r="BN22" i="5"/>
  <c r="BN25" i="5"/>
  <c r="BA33" i="5"/>
  <c r="BK27" i="5"/>
  <c r="BB26" i="5"/>
  <c r="CJ28" i="5"/>
  <c r="BS22" i="5"/>
  <c r="CJ37" i="5"/>
  <c r="BL37" i="5"/>
  <c r="CB21" i="5"/>
  <c r="BM39" i="5"/>
  <c r="CH37" i="5"/>
  <c r="BH31" i="5"/>
  <c r="BK31" i="5"/>
  <c r="BH21" i="5"/>
  <c r="CB33" i="5"/>
  <c r="BP26" i="5"/>
  <c r="BA26" i="5"/>
  <c r="BB34" i="5"/>
  <c r="CI37" i="5"/>
  <c r="BB31" i="5"/>
  <c r="BO39" i="5"/>
  <c r="CF25" i="5"/>
  <c r="BU21" i="5"/>
  <c r="BQ27" i="5"/>
  <c r="CG37" i="5"/>
  <c r="BF26" i="5"/>
  <c r="BZ26" i="5"/>
  <c r="BT33" i="5"/>
  <c r="BN38" i="5"/>
  <c r="BH25" i="5"/>
  <c r="BY23" i="5"/>
  <c r="I45" i="3"/>
  <c r="BA35" i="5"/>
  <c r="CH31" i="5"/>
  <c r="BA37" i="5"/>
  <c r="BH27" i="5"/>
  <c r="AW29" i="5"/>
  <c r="CB31" i="5"/>
  <c r="BL22" i="5"/>
  <c r="BL38" i="5"/>
  <c r="BW21" i="5"/>
  <c r="AY30" i="5"/>
  <c r="CH39" i="5"/>
  <c r="AW31" i="5"/>
  <c r="CI39" i="5"/>
  <c r="AZ26" i="5"/>
  <c r="AZ22" i="5"/>
  <c r="CB27" i="5"/>
  <c r="BK25" i="5"/>
  <c r="AZ36" i="5"/>
  <c r="BM21" i="5"/>
  <c r="BY24" i="5"/>
  <c r="BI30" i="5"/>
  <c r="BU27" i="5"/>
  <c r="BQ34" i="5"/>
  <c r="CK29" i="5"/>
  <c r="BS21" i="5"/>
  <c r="BP32" i="5"/>
  <c r="BE34" i="5"/>
  <c r="BH26" i="5"/>
  <c r="BT39" i="5"/>
  <c r="BT27" i="5"/>
  <c r="CH25" i="5"/>
  <c r="AW36" i="5"/>
  <c r="BX28" i="5"/>
  <c r="BY37" i="5"/>
  <c r="AW25" i="5"/>
  <c r="BG28" i="5"/>
  <c r="BC33" i="5"/>
  <c r="BQ29" i="5"/>
  <c r="CK24" i="5"/>
  <c r="DJ27" i="5"/>
  <c r="DK28" i="5"/>
  <c r="DB35" i="5"/>
  <c r="CW28" i="5"/>
  <c r="C39" i="5"/>
  <c r="DJ31" i="5"/>
  <c r="DC33" i="5"/>
  <c r="DJ30" i="5"/>
  <c r="DE36" i="5"/>
  <c r="D28" i="5"/>
  <c r="CY32" i="5"/>
  <c r="E35" i="5"/>
  <c r="D34" i="5"/>
  <c r="DL39" i="5"/>
  <c r="DF33" i="5"/>
  <c r="CY27" i="5"/>
  <c r="CX33" i="5"/>
  <c r="DE27" i="5"/>
  <c r="DL27" i="5"/>
  <c r="DL31" i="5"/>
  <c r="DG26" i="5"/>
  <c r="DG35" i="5"/>
  <c r="CZ26" i="5"/>
  <c r="D36" i="5"/>
  <c r="CZ34" i="5"/>
  <c r="DB28" i="5"/>
  <c r="BY35" i="5"/>
  <c r="BP39" i="5"/>
  <c r="BE26" i="5"/>
  <c r="BG26" i="5"/>
  <c r="BA24" i="5"/>
  <c r="BN21" i="5"/>
  <c r="BI32" i="5"/>
  <c r="BU34" i="5"/>
  <c r="CD27" i="5"/>
  <c r="BA38" i="5"/>
  <c r="BC38" i="5"/>
  <c r="AX36" i="5"/>
  <c r="CD25" i="5"/>
  <c r="BV22" i="5"/>
  <c r="BV26" i="5"/>
  <c r="BS38" i="5"/>
  <c r="BI38" i="5"/>
  <c r="CD38" i="5"/>
  <c r="BH36" i="5"/>
  <c r="BE37" i="5"/>
  <c r="BF25" i="5"/>
  <c r="BB22" i="5"/>
  <c r="BM37" i="5"/>
  <c r="BK20" i="5"/>
  <c r="BS25" i="5"/>
  <c r="BS28" i="5"/>
  <c r="BU30" i="5"/>
  <c r="AX38" i="5"/>
  <c r="CD34" i="5"/>
  <c r="AX21" i="5"/>
  <c r="CI32" i="5"/>
  <c r="AX25" i="5"/>
  <c r="BL28" i="5"/>
  <c r="BB20" i="5"/>
  <c r="BZ23" i="5"/>
  <c r="AY27" i="5"/>
  <c r="BY39" i="5"/>
  <c r="BM36" i="5"/>
  <c r="BX39" i="5"/>
  <c r="BG21" i="5"/>
  <c r="BV34" i="5"/>
  <c r="BE39" i="5"/>
  <c r="BC27" i="5"/>
  <c r="BI28" i="5"/>
  <c r="BI39" i="5"/>
  <c r="BI22" i="5"/>
  <c r="BE38" i="5"/>
  <c r="BU31" i="5"/>
  <c r="CD36" i="5"/>
  <c r="CK22" i="5"/>
  <c r="BW36" i="5"/>
  <c r="BN36" i="5"/>
  <c r="BU25" i="5"/>
  <c r="AW23" i="5"/>
  <c r="C8" i="1"/>
  <c r="C9" i="1" s="1"/>
  <c r="DH37" i="5"/>
  <c r="DI32" i="5"/>
  <c r="DK39" i="5"/>
  <c r="DD29" i="5"/>
  <c r="C26" i="5"/>
  <c r="C36" i="5"/>
  <c r="DF29" i="5"/>
  <c r="F28" i="5"/>
  <c r="DF38" i="5"/>
  <c r="DB36" i="5"/>
  <c r="CZ29" i="5"/>
  <c r="CW34" i="5"/>
  <c r="DC30" i="5"/>
  <c r="E33" i="5"/>
  <c r="DA36" i="5"/>
  <c r="CZ28" i="5"/>
  <c r="DG27" i="5"/>
  <c r="CJ36" i="5"/>
  <c r="BG31" i="5"/>
  <c r="CH34" i="5"/>
  <c r="CK26" i="5"/>
  <c r="BN23" i="5"/>
  <c r="BP37" i="5"/>
  <c r="CG26" i="5"/>
  <c r="BZ31" i="5"/>
  <c r="BT28" i="5"/>
  <c r="BY34" i="5"/>
  <c r="CG28" i="5"/>
  <c r="CH26" i="5"/>
  <c r="BL23" i="5"/>
  <c r="AY21" i="5"/>
  <c r="BK36" i="5"/>
  <c r="AZ35" i="5"/>
  <c r="BU36" i="5"/>
  <c r="BL36" i="5"/>
  <c r="BT38" i="5"/>
  <c r="BE31" i="5"/>
  <c r="CG24" i="5"/>
  <c r="CD20" i="5"/>
  <c r="CF24" i="5"/>
  <c r="CB37" i="5"/>
  <c r="AW32" i="5"/>
  <c r="BZ30" i="5"/>
  <c r="BV28" i="5"/>
  <c r="CB26" i="5"/>
  <c r="AZ24" i="5"/>
  <c r="BH29" i="5"/>
  <c r="BQ26" i="5"/>
  <c r="BU33" i="5"/>
  <c r="BZ24" i="5"/>
  <c r="CB30" i="5"/>
  <c r="AY28" i="5"/>
  <c r="CI38" i="5"/>
  <c r="BP38" i="5"/>
  <c r="BW26" i="5"/>
  <c r="BS23" i="5"/>
  <c r="BC31" i="5"/>
  <c r="CF36" i="5"/>
  <c r="BY22" i="5"/>
  <c r="BC39" i="5"/>
  <c r="BI21" i="5"/>
  <c r="BA27" i="5"/>
  <c r="BZ28" i="5"/>
  <c r="BE25" i="5"/>
  <c r="CJ24" i="5"/>
  <c r="BZ22" i="5"/>
  <c r="CF28" i="5"/>
  <c r="BQ23" i="5"/>
  <c r="I44" i="3"/>
  <c r="BU37" i="5"/>
  <c r="D35" i="5"/>
  <c r="DB39" i="5"/>
  <c r="F32" i="5"/>
  <c r="E34" i="5"/>
  <c r="CZ27" i="5"/>
  <c r="DK32" i="5"/>
  <c r="DC35" i="5"/>
  <c r="DL29" i="5"/>
  <c r="DG32" i="5"/>
  <c r="DH32" i="5"/>
  <c r="DB37" i="5"/>
  <c r="DL26" i="5"/>
  <c r="DE37" i="5"/>
  <c r="CZ35" i="5"/>
  <c r="C37" i="5"/>
  <c r="DL33" i="5"/>
  <c r="DI31" i="5"/>
  <c r="DJ36" i="5"/>
  <c r="DA32" i="5"/>
  <c r="E30" i="5"/>
  <c r="DG36" i="5"/>
  <c r="CW35" i="5"/>
  <c r="CB38" i="5"/>
  <c r="BH28" i="5"/>
  <c r="BI26" i="5"/>
  <c r="BN34" i="5"/>
  <c r="CB22" i="5"/>
  <c r="BS27" i="5"/>
  <c r="BO29" i="5"/>
  <c r="BA34" i="5"/>
  <c r="BY32" i="5"/>
  <c r="BH33" i="5"/>
  <c r="CD32" i="5"/>
  <c r="AZ27" i="5"/>
  <c r="BK23" i="5"/>
  <c r="BK21" i="5"/>
  <c r="CJ29" i="5"/>
  <c r="BE30" i="5"/>
  <c r="BX26" i="5"/>
  <c r="BS36" i="5"/>
  <c r="CK27" i="5"/>
  <c r="BG35" i="5"/>
  <c r="BM23" i="5"/>
  <c r="BI20" i="5"/>
  <c r="BB23" i="5"/>
  <c r="BT31" i="5"/>
  <c r="BT37" i="5"/>
  <c r="BW32" i="5"/>
  <c r="BT32" i="5"/>
  <c r="BY26" i="5"/>
  <c r="CK23" i="5"/>
  <c r="BU32" i="5"/>
  <c r="BH34" i="5"/>
  <c r="CK28" i="5"/>
  <c r="BH23" i="5"/>
  <c r="CK36" i="5"/>
  <c r="BQ28" i="5"/>
  <c r="AW26" i="5"/>
  <c r="BV36" i="5"/>
  <c r="BA28" i="5"/>
  <c r="CD23" i="5"/>
  <c r="BN28" i="5"/>
  <c r="BZ34" i="5"/>
  <c r="CD22" i="5"/>
  <c r="BU28" i="5"/>
  <c r="CH20" i="5"/>
  <c r="BF30" i="5"/>
  <c r="BG34" i="5"/>
  <c r="BX23" i="5"/>
  <c r="CH21" i="5"/>
  <c r="AZ21" i="5"/>
  <c r="BC23" i="5"/>
  <c r="CB36" i="5"/>
  <c r="BM29" i="5"/>
  <c r="BY29" i="5"/>
  <c r="AX37" i="5"/>
  <c r="BY36" i="5"/>
  <c r="BC28" i="5"/>
  <c r="CK39" i="5"/>
  <c r="BN31" i="5"/>
  <c r="CF26" i="5"/>
  <c r="BL32" i="5"/>
  <c r="BO37" i="5"/>
  <c r="BW34" i="5"/>
  <c r="CG35" i="5"/>
  <c r="BN39" i="5"/>
  <c r="BC37" i="5"/>
  <c r="BM34" i="5"/>
  <c r="AW24" i="5"/>
  <c r="BF33" i="5"/>
  <c r="AX22" i="5"/>
  <c r="BO36" i="5"/>
  <c r="CI20" i="5"/>
  <c r="CI33" i="5"/>
  <c r="F26" i="5"/>
  <c r="F33" i="5"/>
  <c r="DH36" i="5"/>
  <c r="DD39" i="5"/>
  <c r="DK34" i="5"/>
  <c r="DG30" i="5"/>
  <c r="CX30" i="5"/>
  <c r="CY28" i="5"/>
  <c r="CW38" i="5"/>
  <c r="CW29" i="5"/>
  <c r="CY33" i="5"/>
  <c r="CW27" i="5"/>
  <c r="DD38" i="5"/>
  <c r="DH26" i="5"/>
  <c r="BU23" i="5"/>
  <c r="BV32" i="5"/>
  <c r="BP25" i="5"/>
  <c r="BS29" i="5"/>
  <c r="AZ39" i="5"/>
  <c r="BW24" i="5"/>
  <c r="BN29" i="5"/>
  <c r="BB28" i="5"/>
  <c r="CJ38" i="5"/>
  <c r="BO31" i="5"/>
  <c r="DK30" i="5"/>
  <c r="DB31" i="5"/>
  <c r="CZ39" i="5"/>
  <c r="DK35" i="5"/>
  <c r="F39" i="5"/>
  <c r="DH35" i="5"/>
  <c r="DF34" i="5"/>
  <c r="DL32" i="5"/>
  <c r="F34" i="5"/>
  <c r="DG37" i="5"/>
  <c r="DE28" i="5"/>
  <c r="BM20" i="5"/>
  <c r="BA21" i="5"/>
  <c r="CK21" i="5"/>
  <c r="BP27" i="5"/>
  <c r="CJ33" i="5"/>
  <c r="AX34" i="5"/>
  <c r="BG30" i="5"/>
  <c r="E38" i="5"/>
  <c r="DC27" i="5"/>
  <c r="CY39" i="5"/>
  <c r="CX29" i="5"/>
  <c r="DE39" i="5"/>
  <c r="BH39" i="5"/>
  <c r="CJ31" i="5"/>
  <c r="BY21" i="5"/>
  <c r="AZ29" i="5"/>
  <c r="CH23" i="5"/>
  <c r="BI29" i="5"/>
  <c r="BP28" i="5"/>
  <c r="BV31" i="5"/>
  <c r="BT23" i="5"/>
  <c r="BA25" i="5"/>
  <c r="BB37" i="5"/>
  <c r="DG28" i="5"/>
  <c r="F30" i="5"/>
  <c r="E26" i="5"/>
  <c r="DA29" i="5"/>
  <c r="DF32" i="5"/>
  <c r="C27" i="5"/>
  <c r="DI33" i="5"/>
  <c r="CI30" i="5"/>
  <c r="BN37" i="5"/>
  <c r="AW35" i="5"/>
  <c r="CG38" i="5"/>
  <c r="CJ20" i="5"/>
  <c r="AZ32" i="5"/>
  <c r="BK26" i="5"/>
  <c r="BH24" i="5"/>
  <c r="CI27" i="5"/>
  <c r="AX30" i="5"/>
  <c r="BY25" i="5"/>
  <c r="DE29" i="5"/>
  <c r="CW26" i="5"/>
  <c r="CW31" i="5"/>
  <c r="DC31" i="5"/>
  <c r="E28" i="5"/>
  <c r="C33" i="5"/>
  <c r="CJ30" i="5"/>
  <c r="BQ24" i="5"/>
  <c r="BC26" i="5"/>
  <c r="BF31" i="5"/>
  <c r="CI25" i="5"/>
  <c r="BQ37" i="5"/>
  <c r="BG32" i="5"/>
  <c r="CG25" i="5"/>
  <c r="BP34" i="5"/>
  <c r="BK35" i="5"/>
  <c r="BL24" i="5"/>
  <c r="BQ32" i="5"/>
  <c r="BX27" i="5"/>
  <c r="CH28" i="5"/>
  <c r="BB24" i="5"/>
  <c r="CF23" i="5"/>
  <c r="CJ39" i="5"/>
  <c r="BI27" i="5"/>
  <c r="CH33" i="5"/>
  <c r="BV25" i="5"/>
  <c r="F27" i="5"/>
  <c r="E39" i="5"/>
  <c r="CX32" i="5"/>
  <c r="DB34" i="5"/>
  <c r="E36" i="5"/>
  <c r="DJ33" i="5"/>
  <c r="DK29" i="5"/>
  <c r="DB29" i="5"/>
  <c r="DC39" i="5"/>
  <c r="DE33" i="5"/>
  <c r="CZ30" i="5"/>
  <c r="DD35" i="5"/>
  <c r="DD37" i="5"/>
  <c r="DH29" i="5"/>
  <c r="BZ35" i="5"/>
  <c r="AX32" i="5"/>
  <c r="CB28" i="5"/>
  <c r="BI25" i="5"/>
  <c r="BN27" i="5"/>
  <c r="BG24" i="5"/>
  <c r="AY39" i="5"/>
  <c r="BP21" i="5"/>
  <c r="BV23" i="5"/>
  <c r="AX24" i="5"/>
  <c r="DI29" i="5"/>
  <c r="DC28" i="5"/>
  <c r="CW36" i="5"/>
  <c r="DI39" i="5"/>
  <c r="DD31" i="5"/>
  <c r="E29" i="5"/>
  <c r="DJ39" i="5"/>
  <c r="DH30" i="5"/>
  <c r="BI23" i="5"/>
  <c r="DJ34" i="5"/>
  <c r="DC26" i="5"/>
  <c r="CZ33" i="5"/>
  <c r="CW39" i="5"/>
  <c r="D33" i="5"/>
  <c r="AX35" i="5"/>
  <c r="BU38" i="5"/>
  <c r="BO28" i="5"/>
  <c r="BC21" i="5"/>
  <c r="BK39" i="5"/>
  <c r="CF35" i="5"/>
  <c r="BT21" i="5"/>
  <c r="CJ22" i="5"/>
  <c r="F31" i="5"/>
  <c r="DI27" i="5"/>
  <c r="DF30" i="5"/>
  <c r="DG38" i="5"/>
  <c r="BU39" i="5"/>
  <c r="CI35" i="5"/>
  <c r="BM26" i="5"/>
  <c r="BL26" i="5"/>
  <c r="BT20" i="5"/>
  <c r="BF20" i="5"/>
  <c r="CK34" i="5"/>
  <c r="BH32" i="5"/>
  <c r="AZ20" i="5"/>
  <c r="BF27" i="5"/>
  <c r="DJ37" i="5"/>
  <c r="E31" i="5"/>
  <c r="DA39" i="5"/>
  <c r="CY38" i="5"/>
  <c r="DC36" i="5"/>
  <c r="CW30" i="5"/>
  <c r="CI29" i="5"/>
  <c r="BM35" i="5"/>
  <c r="AW27" i="5"/>
  <c r="BF29" i="5"/>
  <c r="BF34" i="5"/>
  <c r="CJ27" i="5"/>
  <c r="BC32" i="5"/>
  <c r="BO23" i="5"/>
  <c r="AZ25" i="5"/>
  <c r="BG37" i="5"/>
  <c r="CW37" i="5"/>
  <c r="DH27" i="5"/>
  <c r="DB30" i="5"/>
  <c r="DG34" i="5"/>
  <c r="DJ29" i="5"/>
  <c r="C28" i="5"/>
  <c r="C38" i="5"/>
  <c r="CB35" i="5"/>
  <c r="BE23" i="5"/>
  <c r="BX37" i="5"/>
  <c r="BG38" i="5"/>
  <c r="BE24" i="5"/>
  <c r="BQ30" i="5"/>
  <c r="BO27" i="5"/>
  <c r="AY24" i="5"/>
  <c r="BE33" i="5"/>
  <c r="BB36" i="5"/>
  <c r="CD24" i="5"/>
  <c r="CK20" i="5"/>
  <c r="BU22" i="5"/>
  <c r="BK30" i="5"/>
  <c r="BZ21" i="5"/>
  <c r="BF32" i="5"/>
  <c r="BZ37" i="5"/>
  <c r="AX23" i="5"/>
  <c r="CF32" i="5"/>
  <c r="BP24" i="5"/>
  <c r="DL36" i="5"/>
  <c r="DF35" i="5"/>
  <c r="CX36" i="5"/>
  <c r="F37" i="5"/>
  <c r="F38" i="5"/>
  <c r="DE38" i="5"/>
  <c r="DD27" i="5"/>
  <c r="DH33" i="5"/>
  <c r="DK26" i="5"/>
  <c r="DL38" i="5"/>
  <c r="CX31" i="5"/>
  <c r="DD30" i="5"/>
  <c r="CY30" i="5"/>
  <c r="CY29" i="5"/>
  <c r="BQ33" i="5"/>
  <c r="CJ21" i="5"/>
  <c r="BG39" i="5"/>
  <c r="AW37" i="5"/>
  <c r="BX21" i="5"/>
  <c r="AY35" i="5"/>
  <c r="BS39" i="5"/>
  <c r="BK22" i="5"/>
  <c r="AX33" i="5"/>
  <c r="BV27" i="5"/>
  <c r="CI21" i="5"/>
  <c r="BB33" i="5"/>
  <c r="CF21" i="5"/>
  <c r="CK33" i="5"/>
  <c r="BN32" i="5"/>
  <c r="BO30" i="5"/>
  <c r="BQ21" i="5"/>
  <c r="AW21" i="5"/>
  <c r="BO25" i="5"/>
  <c r="DA38" i="5"/>
  <c r="C32" i="5"/>
  <c r="DE35" i="5"/>
  <c r="CX27" i="5"/>
  <c r="BC36" i="5"/>
  <c r="BW35" i="5"/>
  <c r="BF38" i="5"/>
  <c r="BN24" i="5"/>
  <c r="BF37" i="5"/>
  <c r="BU24" i="5"/>
  <c r="DC32" i="5"/>
  <c r="D37" i="5"/>
  <c r="DA37" i="5"/>
  <c r="DJ26" i="5"/>
  <c r="D30" i="5"/>
  <c r="CS39" i="5" l="1"/>
  <c r="CS37" i="5"/>
  <c r="CP32" i="5"/>
  <c r="CP21" i="5"/>
  <c r="CP24" i="5"/>
  <c r="CP39" i="5"/>
  <c r="CS27" i="5"/>
  <c r="CS20" i="5"/>
  <c r="CP35" i="5"/>
  <c r="CS30" i="5"/>
  <c r="CP37" i="5"/>
  <c r="CS35" i="5"/>
  <c r="CS28" i="5"/>
  <c r="CP27" i="5"/>
  <c r="CS22" i="5"/>
  <c r="CS33" i="5"/>
  <c r="CP30" i="5"/>
  <c r="CP29" i="5"/>
  <c r="CS25" i="5"/>
  <c r="CP22" i="5"/>
  <c r="CS38" i="5"/>
  <c r="CS36" i="5"/>
  <c r="CP33" i="5"/>
  <c r="CS31" i="5"/>
  <c r="CP25" i="5"/>
  <c r="CS23" i="5"/>
  <c r="CS34" i="5"/>
  <c r="CS26" i="5"/>
  <c r="CP20" i="5"/>
  <c r="CP28" i="5"/>
  <c r="CP38" i="5"/>
  <c r="CP36" i="5"/>
  <c r="CP31" i="5"/>
  <c r="CS29" i="5"/>
  <c r="CP23" i="5"/>
  <c r="CS21" i="5"/>
  <c r="CP34" i="5"/>
  <c r="CS32" i="5"/>
  <c r="CP26" i="5"/>
  <c r="CS24" i="5"/>
  <c r="C8" i="5"/>
  <c r="P20" i="1"/>
  <c r="S20" i="1"/>
  <c r="T20" i="1"/>
  <c r="CR20" i="1"/>
  <c r="CU20" i="1"/>
  <c r="CX20" i="1"/>
  <c r="DA20" i="1"/>
  <c r="DP20" i="1"/>
  <c r="DR20" i="1"/>
  <c r="DV20" i="1"/>
  <c r="DX20" i="1" s="1"/>
  <c r="DY20" i="1"/>
  <c r="EA20" i="1" s="1"/>
  <c r="P21" i="1"/>
  <c r="S21" i="1"/>
  <c r="T21" i="1"/>
  <c r="CR21" i="1"/>
  <c r="CU21" i="1"/>
  <c r="CX21" i="1"/>
  <c r="DA21" i="1"/>
  <c r="DP21" i="1"/>
  <c r="DR21" i="1"/>
  <c r="DV21" i="1"/>
  <c r="DX21" i="1" s="1"/>
  <c r="DY21" i="1"/>
  <c r="DZ21" i="1" s="1"/>
  <c r="P22" i="1"/>
  <c r="S22" i="1"/>
  <c r="T22" i="1"/>
  <c r="CR22" i="1"/>
  <c r="CU22" i="1"/>
  <c r="CX22" i="1"/>
  <c r="DA22" i="1"/>
  <c r="DP22" i="1"/>
  <c r="DR22" i="1"/>
  <c r="DV22" i="1"/>
  <c r="DW22" i="1" s="1"/>
  <c r="DY22" i="1"/>
  <c r="EA22" i="1" s="1"/>
  <c r="DP25" i="5"/>
  <c r="DP24" i="5"/>
  <c r="DP23" i="5"/>
  <c r="DP22" i="5"/>
  <c r="DP21" i="5"/>
  <c r="DP20" i="5"/>
  <c r="DD20" i="5"/>
  <c r="DJ23" i="5"/>
  <c r="DF23" i="5"/>
  <c r="E20" i="5"/>
  <c r="DD23" i="5"/>
  <c r="CY24" i="5"/>
  <c r="DG20" i="5"/>
  <c r="DK24" i="5"/>
  <c r="E24" i="5"/>
  <c r="C20" i="5"/>
  <c r="DL24" i="5"/>
  <c r="DL25" i="5"/>
  <c r="DA21" i="5"/>
  <c r="DD24" i="5"/>
  <c r="DA20" i="5"/>
  <c r="DF20" i="5"/>
  <c r="DH24" i="5"/>
  <c r="DH20" i="5"/>
  <c r="C21" i="5"/>
  <c r="F22" i="5"/>
  <c r="CW24" i="5"/>
  <c r="DB21" i="5"/>
  <c r="E21" i="5"/>
  <c r="DD25" i="5"/>
  <c r="DK21" i="5"/>
  <c r="DI24" i="5"/>
  <c r="DI21" i="5"/>
  <c r="D23" i="5"/>
  <c r="C22" i="5"/>
  <c r="F21" i="5"/>
  <c r="DC25" i="5"/>
  <c r="CZ22" i="5"/>
  <c r="DL21" i="5"/>
  <c r="DH22" i="5"/>
  <c r="DI25" i="5"/>
  <c r="DF22" i="5"/>
  <c r="DC23" i="5"/>
  <c r="CW25" i="5"/>
  <c r="DG23" i="5"/>
  <c r="C24" i="5"/>
  <c r="DJ20" i="5"/>
  <c r="CY23" i="5"/>
  <c r="DK25" i="5"/>
  <c r="DI20" i="5"/>
  <c r="DJ24" i="5"/>
  <c r="DK20" i="5"/>
  <c r="DC21" i="5"/>
  <c r="DC24" i="5"/>
  <c r="DF21" i="5"/>
  <c r="DJ21" i="5"/>
  <c r="F24" i="5"/>
  <c r="DA24" i="5"/>
  <c r="DH21" i="5"/>
  <c r="DJ25" i="5"/>
  <c r="DI22" i="5"/>
  <c r="CX24" i="5"/>
  <c r="DE21" i="5"/>
  <c r="DE25" i="5"/>
  <c r="D24" i="5"/>
  <c r="DC22" i="5"/>
  <c r="DH23" i="5"/>
  <c r="D21" i="5"/>
  <c r="DF24" i="5"/>
  <c r="D25" i="5"/>
  <c r="CY22" i="5"/>
  <c r="DE23" i="5"/>
  <c r="F25" i="5"/>
  <c r="DH25" i="5"/>
  <c r="CZ24" i="5"/>
  <c r="DG22" i="5"/>
  <c r="DB24" i="5"/>
  <c r="DG25" i="5"/>
  <c r="E22" i="5"/>
  <c r="E25" i="5"/>
  <c r="CX21" i="5"/>
  <c r="D20" i="5"/>
  <c r="CX25" i="5"/>
  <c r="CX22" i="5"/>
  <c r="C25" i="5"/>
  <c r="CX23" i="5"/>
  <c r="DE22" i="5"/>
  <c r="DF25" i="5"/>
  <c r="DA25" i="5"/>
  <c r="DA22" i="5"/>
  <c r="DE20" i="5"/>
  <c r="CY25" i="5"/>
  <c r="DK22" i="5"/>
  <c r="CW20" i="5"/>
  <c r="DL20" i="5"/>
  <c r="DL23" i="5"/>
  <c r="DB22" i="5"/>
  <c r="CW21" i="5"/>
  <c r="DJ22" i="5"/>
  <c r="CZ25" i="5"/>
  <c r="DB25" i="5"/>
  <c r="DD22" i="5"/>
  <c r="DG21" i="5"/>
  <c r="CX20" i="5"/>
  <c r="DI23" i="5"/>
  <c r="DD21" i="5"/>
  <c r="CY20" i="5"/>
  <c r="F23" i="5"/>
  <c r="D22" i="5"/>
  <c r="DC20" i="5"/>
  <c r="C23" i="5"/>
  <c r="DG24" i="5"/>
  <c r="DL22" i="5"/>
  <c r="CW22" i="5"/>
  <c r="CY21" i="5"/>
  <c r="DB20" i="5"/>
  <c r="DA23" i="5"/>
  <c r="CW23" i="5"/>
  <c r="CZ20" i="5"/>
  <c r="CZ23" i="5"/>
  <c r="DB23" i="5"/>
  <c r="F20" i="5"/>
  <c r="DK23" i="5"/>
  <c r="E23" i="5"/>
  <c r="CZ21" i="5"/>
  <c r="DE24" i="5"/>
  <c r="DJ21" i="1" l="1"/>
  <c r="DK21" i="1" s="1"/>
  <c r="DW20" i="1"/>
  <c r="C9" i="5"/>
  <c r="DZ20" i="1"/>
  <c r="DL20" i="1"/>
  <c r="DM20" i="1" s="1"/>
  <c r="EA21" i="1"/>
  <c r="DJ22" i="1"/>
  <c r="DK22" i="1" s="1"/>
  <c r="DJ20" i="1"/>
  <c r="DK20" i="1" s="1"/>
  <c r="DT22" i="1"/>
  <c r="DL21" i="1"/>
  <c r="DM21" i="1" s="1"/>
  <c r="DL22" i="1"/>
  <c r="DM22" i="1" s="1"/>
  <c r="DT20" i="1"/>
  <c r="DZ22" i="1"/>
  <c r="DT21" i="1"/>
  <c r="DW21" i="1"/>
  <c r="DX22" i="1"/>
  <c r="G23" i="1"/>
  <c r="P23" i="1"/>
  <c r="S23" i="1"/>
  <c r="T23" i="1"/>
  <c r="B25" i="5"/>
  <c r="B24" i="5"/>
  <c r="B23" i="5"/>
  <c r="B22" i="5"/>
  <c r="B21" i="5"/>
  <c r="B20" i="5"/>
  <c r="DN22" i="1" l="1"/>
  <c r="DQ22" i="1" s="1"/>
  <c r="DN21" i="1"/>
  <c r="DQ21" i="1" s="1"/>
  <c r="DN20" i="1"/>
  <c r="DQ20" i="1" s="1"/>
  <c r="CR23" i="1"/>
  <c r="CU23" i="1"/>
  <c r="CX23" i="1"/>
  <c r="DA23" i="1"/>
  <c r="DP23" i="1"/>
  <c r="DR23" i="1"/>
  <c r="DV23" i="1"/>
  <c r="DW23" i="1" s="1"/>
  <c r="DY23" i="1"/>
  <c r="EA23" i="1" s="1"/>
  <c r="DX23" i="1" l="1"/>
  <c r="DS22" i="1"/>
  <c r="DS21" i="1"/>
  <c r="DS20" i="1"/>
  <c r="DZ23" i="1"/>
  <c r="DT23" i="1"/>
  <c r="DJ23" i="1"/>
  <c r="DK23" i="1" s="1"/>
  <c r="DL23" i="1"/>
  <c r="DM23" i="1" s="1"/>
  <c r="G24" i="1"/>
  <c r="P24" i="1"/>
  <c r="S24" i="1"/>
  <c r="T24" i="1"/>
  <c r="L23" i="1" l="1"/>
  <c r="DN23" i="1"/>
  <c r="DS23" i="1" s="1"/>
  <c r="CR24" i="1"/>
  <c r="CU24" i="1"/>
  <c r="CX24" i="1"/>
  <c r="DA24" i="1"/>
  <c r="DQ23" i="1" l="1"/>
  <c r="DP24" i="1"/>
  <c r="DR24" i="1"/>
  <c r="DV24" i="1"/>
  <c r="DW24" i="1" s="1"/>
  <c r="DY24" i="1"/>
  <c r="DZ24" i="1" s="1"/>
  <c r="DD23" i="1"/>
  <c r="CF23" i="1"/>
  <c r="BI23" i="1"/>
  <c r="CH23" i="1"/>
  <c r="BA23" i="1"/>
  <c r="BG23" i="1"/>
  <c r="BJ23" i="1"/>
  <c r="BR23" i="1"/>
  <c r="BL23" i="1"/>
  <c r="CK23" i="1"/>
  <c r="BV23" i="1"/>
  <c r="BS23" i="1"/>
  <c r="CJ23" i="1"/>
  <c r="BH23" i="1"/>
  <c r="BX23" i="1"/>
  <c r="CD23" i="1"/>
  <c r="BT23" i="1"/>
  <c r="BO23" i="1"/>
  <c r="BZ23" i="1"/>
  <c r="BP23" i="1"/>
  <c r="CE23" i="1"/>
  <c r="BF23" i="1"/>
  <c r="BD23" i="1"/>
  <c r="BW23" i="1"/>
  <c r="BM23" i="1"/>
  <c r="CI23" i="1"/>
  <c r="BU23" i="1"/>
  <c r="BE23" i="1"/>
  <c r="BQ23" i="1"/>
  <c r="BK23" i="1"/>
  <c r="CB23" i="1"/>
  <c r="CG23" i="1"/>
  <c r="CP23" i="1" l="1"/>
  <c r="CY23" i="1"/>
  <c r="CV23" i="1"/>
  <c r="CS23" i="1"/>
  <c r="DX24" i="1"/>
  <c r="DJ24" i="1"/>
  <c r="DK24" i="1" s="1"/>
  <c r="EA24" i="1"/>
  <c r="DL24" i="1"/>
  <c r="DM24" i="1" s="1"/>
  <c r="DT24" i="1"/>
  <c r="G25" i="1"/>
  <c r="L25" i="1"/>
  <c r="P25" i="1"/>
  <c r="S25" i="1"/>
  <c r="T25" i="1"/>
  <c r="DE23" i="1"/>
  <c r="BB23" i="1"/>
  <c r="C23" i="1"/>
  <c r="D23" i="1"/>
  <c r="E23" i="1"/>
  <c r="DH23" i="1"/>
  <c r="DN24" i="1" l="1"/>
  <c r="DS24" i="1" s="1"/>
  <c r="L24" i="1"/>
  <c r="CR25" i="1"/>
  <c r="CU25" i="1"/>
  <c r="CX25" i="1"/>
  <c r="DA25" i="1"/>
  <c r="DP25" i="1"/>
  <c r="DR25" i="1"/>
  <c r="DV25" i="1"/>
  <c r="DX25" i="1" s="1"/>
  <c r="DY25" i="1"/>
  <c r="DZ25" i="1" s="1"/>
  <c r="B23" i="1"/>
  <c r="F23" i="1" l="1"/>
  <c r="DW25" i="1"/>
  <c r="DL25" i="1"/>
  <c r="DM25" i="1" s="1"/>
  <c r="EA25" i="1"/>
  <c r="DQ24" i="1"/>
  <c r="DJ25" i="1"/>
  <c r="DK25" i="1" s="1"/>
  <c r="DT25" i="1"/>
  <c r="G26" i="1"/>
  <c r="L26" i="1"/>
  <c r="P26" i="1"/>
  <c r="S26" i="1"/>
  <c r="T26" i="1"/>
  <c r="CR26" i="1"/>
  <c r="CU26" i="1"/>
  <c r="CX26" i="1"/>
  <c r="DA26" i="1"/>
  <c r="DP26" i="1"/>
  <c r="DR26" i="1"/>
  <c r="DJ26" i="1" s="1"/>
  <c r="DK26" i="1" s="1"/>
  <c r="DV26" i="1"/>
  <c r="DX26" i="1" s="1"/>
  <c r="DY26" i="1"/>
  <c r="DZ26" i="1" s="1"/>
  <c r="DD24" i="1"/>
  <c r="BQ24" i="1"/>
  <c r="BH24" i="1"/>
  <c r="CD24" i="1"/>
  <c r="BP24" i="1"/>
  <c r="BX24" i="1"/>
  <c r="BI24" i="1"/>
  <c r="BG24" i="1"/>
  <c r="BD24" i="1"/>
  <c r="BT24" i="1"/>
  <c r="BE24" i="1"/>
  <c r="BV24" i="1"/>
  <c r="BJ24" i="1"/>
  <c r="CF24" i="1"/>
  <c r="BL24" i="1"/>
  <c r="CK24" i="1"/>
  <c r="BS24" i="1"/>
  <c r="BR24" i="1"/>
  <c r="BK24" i="1"/>
  <c r="CJ24" i="1"/>
  <c r="CE24" i="1"/>
  <c r="BM24" i="1"/>
  <c r="CI24" i="1"/>
  <c r="BA24" i="1"/>
  <c r="BU24" i="1"/>
  <c r="CB24" i="1"/>
  <c r="BZ24" i="1"/>
  <c r="BW24" i="1"/>
  <c r="BO24" i="1"/>
  <c r="CH24" i="1"/>
  <c r="BF24" i="1"/>
  <c r="CG24" i="1"/>
  <c r="CV24" i="1" l="1"/>
  <c r="CY24" i="1"/>
  <c r="CS24" i="1"/>
  <c r="CP24" i="1"/>
  <c r="DN25" i="1"/>
  <c r="DS25" i="1" s="1"/>
  <c r="DT26" i="1"/>
  <c r="EA26" i="1"/>
  <c r="DW26" i="1"/>
  <c r="DL26" i="1"/>
  <c r="DM26" i="1" s="1"/>
  <c r="DN26" i="1" s="1"/>
  <c r="G27" i="1"/>
  <c r="L27" i="1"/>
  <c r="P27" i="1"/>
  <c r="S27" i="1"/>
  <c r="T27" i="1"/>
  <c r="DE24" i="1"/>
  <c r="BB24" i="1"/>
  <c r="D24" i="1"/>
  <c r="DH24" i="1"/>
  <c r="E24" i="1"/>
  <c r="C24" i="1"/>
  <c r="DQ25" i="1" l="1"/>
  <c r="DQ26" i="1"/>
  <c r="DS26" i="1"/>
  <c r="CR27" i="1"/>
  <c r="CU27" i="1"/>
  <c r="CX27" i="1"/>
  <c r="DA27" i="1"/>
  <c r="DP27" i="1"/>
  <c r="DR27" i="1"/>
  <c r="DV27" i="1"/>
  <c r="DW27" i="1" s="1"/>
  <c r="DY27" i="1"/>
  <c r="EA27" i="1" s="1"/>
  <c r="B24" i="1"/>
  <c r="DD25" i="1"/>
  <c r="DD26" i="1"/>
  <c r="BX25" i="1"/>
  <c r="CD25" i="1"/>
  <c r="BM25" i="1"/>
  <c r="BH25" i="1"/>
  <c r="BU25" i="1"/>
  <c r="CI25" i="1"/>
  <c r="BD25" i="1"/>
  <c r="BP25" i="1"/>
  <c r="BW25" i="1"/>
  <c r="BK25" i="1"/>
  <c r="BE25" i="1"/>
  <c r="BO25" i="1"/>
  <c r="BA25" i="1"/>
  <c r="BI25" i="1"/>
  <c r="BV25" i="1"/>
  <c r="BL25" i="1"/>
  <c r="CK25" i="1"/>
  <c r="CG25" i="1"/>
  <c r="BR25" i="1"/>
  <c r="CE25" i="1"/>
  <c r="BG25" i="1"/>
  <c r="CH25" i="1"/>
  <c r="CJ25" i="1"/>
  <c r="BQ25" i="1"/>
  <c r="CB25" i="1"/>
  <c r="CF25" i="1"/>
  <c r="BS25" i="1"/>
  <c r="BJ25" i="1"/>
  <c r="BF25" i="1"/>
  <c r="BT25" i="1"/>
  <c r="BZ25" i="1"/>
  <c r="BE26" i="1"/>
  <c r="BR26" i="1"/>
  <c r="BM26" i="1"/>
  <c r="CB26" i="1"/>
  <c r="CI26" i="1"/>
  <c r="CD26" i="1"/>
  <c r="BW26" i="1"/>
  <c r="BS26" i="1"/>
  <c r="BK26" i="1"/>
  <c r="CE26" i="1"/>
  <c r="BF26" i="1"/>
  <c r="BI26" i="1"/>
  <c r="BG26" i="1"/>
  <c r="BQ26" i="1"/>
  <c r="BL26" i="1"/>
  <c r="BJ26" i="1"/>
  <c r="BA26" i="1"/>
  <c r="BO26" i="1"/>
  <c r="CH26" i="1"/>
  <c r="CK26" i="1"/>
  <c r="BZ26" i="1"/>
  <c r="BH26" i="1"/>
  <c r="CG26" i="1"/>
  <c r="BP26" i="1"/>
  <c r="BT26" i="1"/>
  <c r="CJ26" i="1"/>
  <c r="BU26" i="1"/>
  <c r="CF26" i="1"/>
  <c r="BD26" i="1"/>
  <c r="BX26" i="1"/>
  <c r="BV26" i="1"/>
  <c r="F24" i="1" l="1"/>
  <c r="CS26" i="1"/>
  <c r="CY26" i="1"/>
  <c r="CV26" i="1"/>
  <c r="CP26" i="1"/>
  <c r="CS25" i="1"/>
  <c r="CY25" i="1"/>
  <c r="CV25" i="1"/>
  <c r="CP25" i="1"/>
  <c r="DT27" i="1"/>
  <c r="DJ27" i="1"/>
  <c r="DK27" i="1" s="1"/>
  <c r="DL27" i="1"/>
  <c r="DM27" i="1" s="1"/>
  <c r="DZ27" i="1"/>
  <c r="DX27" i="1"/>
  <c r="G28" i="1"/>
  <c r="L28" i="1"/>
  <c r="P28" i="1"/>
  <c r="S28" i="1"/>
  <c r="T28" i="1"/>
  <c r="CR28" i="1"/>
  <c r="CU28" i="1"/>
  <c r="CX28" i="1"/>
  <c r="DA28" i="1"/>
  <c r="DP28" i="1"/>
  <c r="DR28" i="1"/>
  <c r="DV28" i="1"/>
  <c r="DW28" i="1" s="1"/>
  <c r="DY28" i="1"/>
  <c r="EA28" i="1" s="1"/>
  <c r="BB26" i="1"/>
  <c r="DE26" i="1"/>
  <c r="BB25" i="1"/>
  <c r="DE25" i="1"/>
  <c r="DH26" i="1"/>
  <c r="E26" i="1"/>
  <c r="C26" i="1"/>
  <c r="D26" i="1"/>
  <c r="C25" i="1"/>
  <c r="D25" i="1"/>
  <c r="E25" i="1"/>
  <c r="DH25" i="1"/>
  <c r="DZ28" i="1" l="1"/>
  <c r="DJ28" i="1"/>
  <c r="DK28" i="1" s="1"/>
  <c r="DT28" i="1"/>
  <c r="DN27" i="1"/>
  <c r="DQ27" i="1" s="1"/>
  <c r="DX28" i="1"/>
  <c r="DL28" i="1"/>
  <c r="DM28" i="1" s="1"/>
  <c r="DN28" i="1" s="1"/>
  <c r="G29" i="1"/>
  <c r="L29" i="1"/>
  <c r="P29" i="1"/>
  <c r="S29" i="1"/>
  <c r="T29" i="1"/>
  <c r="CR29" i="1"/>
  <c r="CU29" i="1"/>
  <c r="CX29" i="1"/>
  <c r="DA29" i="1"/>
  <c r="DP29" i="1"/>
  <c r="DR29" i="1"/>
  <c r="DV29" i="1"/>
  <c r="DX29" i="1" s="1"/>
  <c r="DY29" i="1"/>
  <c r="EA29" i="1" s="1"/>
  <c r="B26" i="1"/>
  <c r="B25" i="1"/>
  <c r="F25" i="1" l="1"/>
  <c r="F26" i="1"/>
  <c r="DW29" i="1"/>
  <c r="DS27" i="1"/>
  <c r="DQ28" i="1"/>
  <c r="DS28" i="1"/>
  <c r="DZ29" i="1"/>
  <c r="DT29" i="1"/>
  <c r="DL29" i="1"/>
  <c r="DM29" i="1" s="1"/>
  <c r="DJ29" i="1"/>
  <c r="DK29" i="1" s="1"/>
  <c r="G30" i="1"/>
  <c r="L30" i="1"/>
  <c r="P30" i="1"/>
  <c r="S30" i="1"/>
  <c r="T30" i="1"/>
  <c r="DD27" i="1"/>
  <c r="DD28" i="1"/>
  <c r="BV27" i="1"/>
  <c r="CG27" i="1"/>
  <c r="BS27" i="1"/>
  <c r="BP27" i="1"/>
  <c r="BO27" i="1"/>
  <c r="BU27" i="1"/>
  <c r="BW27" i="1"/>
  <c r="CJ27" i="1"/>
  <c r="BM27" i="1"/>
  <c r="BI27" i="1"/>
  <c r="CI27" i="1"/>
  <c r="BT27" i="1"/>
  <c r="CB27" i="1"/>
  <c r="BD27" i="1"/>
  <c r="BK27" i="1"/>
  <c r="CH27" i="1"/>
  <c r="BZ27" i="1"/>
  <c r="CF27" i="1"/>
  <c r="CK27" i="1"/>
  <c r="BJ27" i="1"/>
  <c r="BF27" i="1"/>
  <c r="BA27" i="1"/>
  <c r="CD27" i="1"/>
  <c r="BX27" i="1"/>
  <c r="CE27" i="1"/>
  <c r="BQ27" i="1"/>
  <c r="BH27" i="1"/>
  <c r="BL27" i="1"/>
  <c r="BR27" i="1"/>
  <c r="BE27" i="1"/>
  <c r="BG27" i="1"/>
  <c r="BE28" i="1"/>
  <c r="BO28" i="1"/>
  <c r="BD28" i="1"/>
  <c r="BB28" i="1"/>
  <c r="BU28" i="1"/>
  <c r="BK28" i="1"/>
  <c r="CJ28" i="1"/>
  <c r="BV28" i="1"/>
  <c r="CE28" i="1"/>
  <c r="CG28" i="1"/>
  <c r="BJ28" i="1"/>
  <c r="BS28" i="1"/>
  <c r="CD28" i="1"/>
  <c r="BA28" i="1"/>
  <c r="CK28" i="1"/>
  <c r="BX28" i="1"/>
  <c r="BF28" i="1"/>
  <c r="BT28" i="1"/>
  <c r="CI28" i="1"/>
  <c r="BW28" i="1"/>
  <c r="BI28" i="1"/>
  <c r="BM28" i="1"/>
  <c r="BH28" i="1"/>
  <c r="BG28" i="1"/>
  <c r="CH28" i="1"/>
  <c r="BL28" i="1"/>
  <c r="BP28" i="1"/>
  <c r="CB28" i="1"/>
  <c r="BR28" i="1"/>
  <c r="BZ28" i="1"/>
  <c r="BQ28" i="1"/>
  <c r="CF28" i="1"/>
  <c r="CS28" i="1" l="1"/>
  <c r="CV28" i="1"/>
  <c r="CP28" i="1"/>
  <c r="CY28" i="1"/>
  <c r="CP27" i="1"/>
  <c r="CS27" i="1"/>
  <c r="CV27" i="1"/>
  <c r="CY27" i="1"/>
  <c r="DN29" i="1"/>
  <c r="DQ29" i="1" s="1"/>
  <c r="CR30" i="1"/>
  <c r="CU30" i="1"/>
  <c r="CX30" i="1"/>
  <c r="DA30" i="1"/>
  <c r="DP30" i="1"/>
  <c r="DR30" i="1"/>
  <c r="DV30" i="1"/>
  <c r="DW30" i="1" s="1"/>
  <c r="DY30" i="1"/>
  <c r="DZ30" i="1" s="1"/>
  <c r="DE28" i="1"/>
  <c r="DE27" i="1"/>
  <c r="BB27" i="1"/>
  <c r="E28" i="1"/>
  <c r="D28" i="1"/>
  <c r="DH28" i="1"/>
  <c r="C28" i="1"/>
  <c r="E27" i="1"/>
  <c r="C27" i="1"/>
  <c r="DH27" i="1"/>
  <c r="D27" i="1"/>
  <c r="EA30" i="1" l="1"/>
  <c r="DL30" i="1"/>
  <c r="DM30" i="1" s="1"/>
  <c r="DT30" i="1"/>
  <c r="DJ30" i="1"/>
  <c r="DK30" i="1" s="1"/>
  <c r="DS29" i="1"/>
  <c r="DX30" i="1"/>
  <c r="G31" i="1"/>
  <c r="L31" i="1"/>
  <c r="P31" i="1"/>
  <c r="S31" i="1"/>
  <c r="T31" i="1"/>
  <c r="CR31" i="1"/>
  <c r="CU31" i="1"/>
  <c r="CX31" i="1"/>
  <c r="DA31" i="1"/>
  <c r="DP31" i="1"/>
  <c r="DR31" i="1"/>
  <c r="DT31" i="1" s="1"/>
  <c r="DV31" i="1"/>
  <c r="DW31" i="1" s="1"/>
  <c r="DY31" i="1"/>
  <c r="EA31" i="1" s="1"/>
  <c r="B28" i="1"/>
  <c r="B27" i="1"/>
  <c r="DD29" i="1"/>
  <c r="BW29" i="1"/>
  <c r="BV29" i="1"/>
  <c r="BD29" i="1"/>
  <c r="CB29" i="1"/>
  <c r="CF29" i="1"/>
  <c r="CD29" i="1"/>
  <c r="CK29" i="1"/>
  <c r="CE29" i="1"/>
  <c r="BS29" i="1"/>
  <c r="BE29" i="1"/>
  <c r="CJ29" i="1"/>
  <c r="BK29" i="1"/>
  <c r="BO29" i="1"/>
  <c r="BT29" i="1"/>
  <c r="CH29" i="1"/>
  <c r="BM29" i="1"/>
  <c r="BR29" i="1"/>
  <c r="CG29" i="1"/>
  <c r="BP29" i="1"/>
  <c r="CI29" i="1"/>
  <c r="BX29" i="1"/>
  <c r="BI29" i="1"/>
  <c r="BA29" i="1"/>
  <c r="BG29" i="1"/>
  <c r="BQ29" i="1"/>
  <c r="BZ29" i="1"/>
  <c r="BJ29" i="1"/>
  <c r="BB29" i="1"/>
  <c r="BU29" i="1"/>
  <c r="BH29" i="1"/>
  <c r="BF29" i="1"/>
  <c r="BL29" i="1"/>
  <c r="F28" i="1" l="1"/>
  <c r="F27" i="1"/>
  <c r="CV29" i="1"/>
  <c r="CY29" i="1"/>
  <c r="CP29" i="1"/>
  <c r="CS29" i="1"/>
  <c r="DN30" i="1"/>
  <c r="DS30" i="1" s="1"/>
  <c r="DX31" i="1"/>
  <c r="DQ30" i="1"/>
  <c r="DZ31" i="1"/>
  <c r="DJ31" i="1"/>
  <c r="DK31" i="1" s="1"/>
  <c r="DL31" i="1"/>
  <c r="DM31" i="1" s="1"/>
  <c r="G32" i="1"/>
  <c r="L32" i="1"/>
  <c r="P32" i="1"/>
  <c r="S32" i="1"/>
  <c r="T32" i="1"/>
  <c r="DD30" i="1"/>
  <c r="DE29" i="1"/>
  <c r="BK30" i="1"/>
  <c r="BW30" i="1"/>
  <c r="BE30" i="1"/>
  <c r="BB30" i="1"/>
  <c r="BJ30" i="1"/>
  <c r="BG30" i="1"/>
  <c r="CF30" i="1"/>
  <c r="CK30" i="1"/>
  <c r="CD30" i="1"/>
  <c r="BS30" i="1"/>
  <c r="BQ30" i="1"/>
  <c r="BD30" i="1"/>
  <c r="CG30" i="1"/>
  <c r="CJ30" i="1"/>
  <c r="BU30" i="1"/>
  <c r="BL30" i="1"/>
  <c r="BM30" i="1"/>
  <c r="BP30" i="1"/>
  <c r="CI30" i="1"/>
  <c r="BF30" i="1"/>
  <c r="BR30" i="1"/>
  <c r="BT30" i="1"/>
  <c r="BX30" i="1"/>
  <c r="BI30" i="1"/>
  <c r="CB30" i="1"/>
  <c r="BO30" i="1"/>
  <c r="CE30" i="1"/>
  <c r="CH30" i="1"/>
  <c r="BZ30" i="1"/>
  <c r="BH30" i="1"/>
  <c r="BA30" i="1"/>
  <c r="BV30" i="1"/>
  <c r="C29" i="1"/>
  <c r="D29" i="1"/>
  <c r="DH29" i="1"/>
  <c r="E29" i="1"/>
  <c r="CV30" i="1" l="1"/>
  <c r="CY30" i="1"/>
  <c r="CP30" i="1"/>
  <c r="CS30" i="1"/>
  <c r="DN31" i="1"/>
  <c r="DQ31" i="1" s="1"/>
  <c r="CR32" i="1"/>
  <c r="CU32" i="1"/>
  <c r="CX32" i="1"/>
  <c r="DA32" i="1"/>
  <c r="DP32" i="1"/>
  <c r="DR32" i="1"/>
  <c r="DV32" i="1"/>
  <c r="DX32" i="1" s="1"/>
  <c r="DY32" i="1"/>
  <c r="EA32" i="1" s="1"/>
  <c r="B29" i="1"/>
  <c r="DE30" i="1"/>
  <c r="DH30" i="1"/>
  <c r="D30" i="1"/>
  <c r="C30" i="1"/>
  <c r="E30" i="1"/>
  <c r="F29" i="1" l="1"/>
  <c r="DZ32" i="1"/>
  <c r="DT32" i="1"/>
  <c r="DS31" i="1"/>
  <c r="DL32" i="1"/>
  <c r="DM32" i="1" s="1"/>
  <c r="DJ32" i="1"/>
  <c r="DK32" i="1" s="1"/>
  <c r="DW32" i="1"/>
  <c r="G33" i="1"/>
  <c r="L33" i="1"/>
  <c r="P33" i="1"/>
  <c r="S33" i="1"/>
  <c r="T33" i="1"/>
  <c r="B30" i="1"/>
  <c r="DD31" i="1"/>
  <c r="BF31" i="1"/>
  <c r="BG31" i="1"/>
  <c r="BV31" i="1"/>
  <c r="CG31" i="1"/>
  <c r="BB31" i="1"/>
  <c r="BJ31" i="1"/>
  <c r="CJ31" i="1"/>
  <c r="BT31" i="1"/>
  <c r="BE31" i="1"/>
  <c r="BH31" i="1"/>
  <c r="CH31" i="1"/>
  <c r="CF31" i="1"/>
  <c r="BL31" i="1"/>
  <c r="BR31" i="1"/>
  <c r="CK31" i="1"/>
  <c r="BI31" i="1"/>
  <c r="BW31" i="1"/>
  <c r="BA31" i="1"/>
  <c r="BO31" i="1"/>
  <c r="BD31" i="1"/>
  <c r="BU31" i="1"/>
  <c r="CD31" i="1"/>
  <c r="BQ31" i="1"/>
  <c r="CE31" i="1"/>
  <c r="BP31" i="1"/>
  <c r="BZ31" i="1"/>
  <c r="BX31" i="1"/>
  <c r="BK31" i="1"/>
  <c r="BM31" i="1"/>
  <c r="BS31" i="1"/>
  <c r="CI31" i="1"/>
  <c r="CB31" i="1"/>
  <c r="F30" i="1" l="1"/>
  <c r="CP31" i="1"/>
  <c r="CS31" i="1"/>
  <c r="CV31" i="1"/>
  <c r="CY31" i="1"/>
  <c r="DN32" i="1"/>
  <c r="DS32" i="1" s="1"/>
  <c r="CR33" i="1"/>
  <c r="CU33" i="1"/>
  <c r="CX33" i="1"/>
  <c r="DA33" i="1"/>
  <c r="DP33" i="1"/>
  <c r="DR33" i="1"/>
  <c r="DV33" i="1"/>
  <c r="DX33" i="1" s="1"/>
  <c r="DY33" i="1"/>
  <c r="EA33" i="1" s="1"/>
  <c r="DE31" i="1"/>
  <c r="E31" i="1"/>
  <c r="DH31" i="1"/>
  <c r="D31" i="1"/>
  <c r="C31" i="1"/>
  <c r="DQ32" i="1" l="1"/>
  <c r="DW33" i="1"/>
  <c r="DL33" i="1"/>
  <c r="DM33" i="1" s="1"/>
  <c r="DZ33" i="1"/>
  <c r="DT33" i="1"/>
  <c r="DJ33" i="1"/>
  <c r="DK33" i="1" s="1"/>
  <c r="G34" i="1"/>
  <c r="L34" i="1"/>
  <c r="P34" i="1"/>
  <c r="S34" i="1"/>
  <c r="T34" i="1"/>
  <c r="DD34" i="1"/>
  <c r="B31" i="1"/>
  <c r="CH34" i="1"/>
  <c r="BV34" i="1"/>
  <c r="BZ34" i="1"/>
  <c r="BL34" i="1"/>
  <c r="CI34" i="1"/>
  <c r="CE34" i="1"/>
  <c r="BJ34" i="1"/>
  <c r="BF34" i="1"/>
  <c r="CG34" i="1"/>
  <c r="BS34" i="1"/>
  <c r="CD34" i="1"/>
  <c r="BW34" i="1"/>
  <c r="CB34" i="1"/>
  <c r="BH34" i="1"/>
  <c r="BD34" i="1"/>
  <c r="DD32" i="1"/>
  <c r="CJ34" i="1"/>
  <c r="BA34" i="1"/>
  <c r="BI34" i="1"/>
  <c r="CF34" i="1"/>
  <c r="CK34" i="1"/>
  <c r="BB34" i="1"/>
  <c r="BG34" i="1"/>
  <c r="BU34" i="1"/>
  <c r="BM34" i="1"/>
  <c r="BR34" i="1"/>
  <c r="BE34" i="1"/>
  <c r="BX34" i="1"/>
  <c r="BK34" i="1"/>
  <c r="BO34" i="1"/>
  <c r="BP34" i="1"/>
  <c r="BT34" i="1"/>
  <c r="BQ34" i="1"/>
  <c r="BZ32" i="1"/>
  <c r="CE32" i="1"/>
  <c r="BB32" i="1"/>
  <c r="CI32" i="1"/>
  <c r="BK32" i="1"/>
  <c r="BO32" i="1"/>
  <c r="BH32" i="1"/>
  <c r="BE32" i="1"/>
  <c r="BF32" i="1"/>
  <c r="BL32" i="1"/>
  <c r="BW32" i="1"/>
  <c r="BP32" i="1"/>
  <c r="BS32" i="1"/>
  <c r="CG32" i="1"/>
  <c r="CD32" i="1"/>
  <c r="BJ32" i="1"/>
  <c r="CH32" i="1"/>
  <c r="BT32" i="1"/>
  <c r="CB32" i="1"/>
  <c r="CJ32" i="1"/>
  <c r="CF32" i="1"/>
  <c r="BV32" i="1"/>
  <c r="BG32" i="1"/>
  <c r="BA32" i="1"/>
  <c r="BI32" i="1"/>
  <c r="CK32" i="1"/>
  <c r="BD32" i="1"/>
  <c r="BM32" i="1"/>
  <c r="BX32" i="1"/>
  <c r="BU32" i="1"/>
  <c r="BQ32" i="1"/>
  <c r="BR32" i="1"/>
  <c r="F31" i="1" l="1"/>
  <c r="CS32" i="1"/>
  <c r="CY32" i="1"/>
  <c r="CV32" i="1"/>
  <c r="CP32" i="1"/>
  <c r="DN33" i="1"/>
  <c r="DS33" i="1" s="1"/>
  <c r="CP34" i="1"/>
  <c r="CR34" i="1"/>
  <c r="CS34" i="1"/>
  <c r="CU34" i="1"/>
  <c r="CV34" i="1"/>
  <c r="CX34" i="1"/>
  <c r="CY34" i="1"/>
  <c r="DA34" i="1"/>
  <c r="DP34" i="1"/>
  <c r="DR34" i="1"/>
  <c r="DV34" i="1"/>
  <c r="DW34" i="1" s="1"/>
  <c r="DY34" i="1"/>
  <c r="EA34" i="1" s="1"/>
  <c r="DE34" i="1"/>
  <c r="DE32" i="1"/>
  <c r="DH34" i="1"/>
  <c r="DH32" i="1"/>
  <c r="D32" i="1"/>
  <c r="C32" i="1"/>
  <c r="E32" i="1"/>
  <c r="E34" i="1"/>
  <c r="D34" i="1"/>
  <c r="C34" i="1"/>
  <c r="DQ33" i="1" l="1"/>
  <c r="DZ34" i="1"/>
  <c r="DT34" i="1"/>
  <c r="DJ34" i="1"/>
  <c r="DK34" i="1" s="1"/>
  <c r="DX34" i="1"/>
  <c r="DL34" i="1"/>
  <c r="DM34" i="1" s="1"/>
  <c r="G35" i="1"/>
  <c r="L35" i="1"/>
  <c r="P35" i="1"/>
  <c r="S35" i="1"/>
  <c r="T35" i="1"/>
  <c r="B34" i="1"/>
  <c r="DD35" i="1"/>
  <c r="B32" i="1"/>
  <c r="BV35" i="1"/>
  <c r="CG35" i="1"/>
  <c r="BB35" i="1"/>
  <c r="CK35" i="1"/>
  <c r="BF35" i="1"/>
  <c r="CE35" i="1"/>
  <c r="BJ35" i="1"/>
  <c r="BL35" i="1"/>
  <c r="BD35" i="1"/>
  <c r="DD33" i="1"/>
  <c r="BO35" i="1"/>
  <c r="BK35" i="1"/>
  <c r="CI35" i="1"/>
  <c r="CF35" i="1"/>
  <c r="BS35" i="1"/>
  <c r="BG35" i="1"/>
  <c r="BT35" i="1"/>
  <c r="CH35" i="1"/>
  <c r="BU35" i="1"/>
  <c r="BQ35" i="1"/>
  <c r="BA35" i="1"/>
  <c r="BW35" i="1"/>
  <c r="BP35" i="1"/>
  <c r="CD35" i="1"/>
  <c r="BH35" i="1"/>
  <c r="BX35" i="1"/>
  <c r="BM35" i="1"/>
  <c r="BE35" i="1"/>
  <c r="CB35" i="1"/>
  <c r="BR35" i="1"/>
  <c r="CJ35" i="1"/>
  <c r="BI35" i="1"/>
  <c r="BZ35" i="1"/>
  <c r="CB33" i="1"/>
  <c r="BA33" i="1"/>
  <c r="CH33" i="1"/>
  <c r="CK33" i="1"/>
  <c r="BZ33" i="1"/>
  <c r="BO33" i="1"/>
  <c r="BM33" i="1"/>
  <c r="BX33" i="1"/>
  <c r="BS33" i="1"/>
  <c r="BK33" i="1"/>
  <c r="BJ33" i="1"/>
  <c r="BU33" i="1"/>
  <c r="BR33" i="1"/>
  <c r="CD33" i="1"/>
  <c r="BE33" i="1"/>
  <c r="BP33" i="1"/>
  <c r="BI33" i="1"/>
  <c r="BH33" i="1"/>
  <c r="BQ33" i="1"/>
  <c r="CF33" i="1"/>
  <c r="BB33" i="1"/>
  <c r="BF33" i="1"/>
  <c r="BV33" i="1"/>
  <c r="BD33" i="1"/>
  <c r="BL33" i="1"/>
  <c r="BG33" i="1"/>
  <c r="CI33" i="1"/>
  <c r="CJ33" i="1"/>
  <c r="CE33" i="1"/>
  <c r="BW33" i="1"/>
  <c r="CG33" i="1"/>
  <c r="BT33" i="1"/>
  <c r="F34" i="1" l="1"/>
  <c r="F32" i="1"/>
  <c r="CY33" i="1"/>
  <c r="CS33" i="1"/>
  <c r="CP33" i="1"/>
  <c r="CV33" i="1"/>
  <c r="DN34" i="1"/>
  <c r="DS34" i="1" s="1"/>
  <c r="CP35" i="1"/>
  <c r="CR35" i="1"/>
  <c r="CS35" i="1"/>
  <c r="CU35" i="1"/>
  <c r="CV35" i="1"/>
  <c r="CX35" i="1"/>
  <c r="CY35" i="1"/>
  <c r="DA35" i="1"/>
  <c r="DP35" i="1"/>
  <c r="DR35" i="1"/>
  <c r="DV35" i="1"/>
  <c r="DW35" i="1" s="1"/>
  <c r="DY35" i="1"/>
  <c r="EA35" i="1" s="1"/>
  <c r="DE35" i="1"/>
  <c r="DH35" i="1"/>
  <c r="DE33" i="1"/>
  <c r="D33" i="1"/>
  <c r="DH33" i="1"/>
  <c r="C33" i="1"/>
  <c r="E33" i="1"/>
  <c r="E35" i="1"/>
  <c r="C35" i="1"/>
  <c r="D35" i="1"/>
  <c r="DT35" i="1" l="1"/>
  <c r="DQ34" i="1"/>
  <c r="DX35" i="1"/>
  <c r="DJ35" i="1"/>
  <c r="DK35" i="1" s="1"/>
  <c r="DZ35" i="1"/>
  <c r="DL35" i="1"/>
  <c r="DM35" i="1" s="1"/>
  <c r="G36" i="1"/>
  <c r="L36" i="1"/>
  <c r="P36" i="1"/>
  <c r="S36" i="1"/>
  <c r="T36" i="1"/>
  <c r="B35" i="1"/>
  <c r="DD36" i="1"/>
  <c r="B33" i="1"/>
  <c r="BD36" i="1"/>
  <c r="BF36" i="1"/>
  <c r="BE36" i="1"/>
  <c r="BA36" i="1"/>
  <c r="BQ36" i="1"/>
  <c r="BS36" i="1"/>
  <c r="BO36" i="1"/>
  <c r="CD36" i="1"/>
  <c r="BU36" i="1"/>
  <c r="CG36" i="1"/>
  <c r="CF36" i="1"/>
  <c r="BX36" i="1"/>
  <c r="CJ36" i="1"/>
  <c r="BK36" i="1"/>
  <c r="BV36" i="1"/>
  <c r="CI36" i="1"/>
  <c r="BI36" i="1"/>
  <c r="CK36" i="1"/>
  <c r="BT36" i="1"/>
  <c r="BP36" i="1"/>
  <c r="BR36" i="1"/>
  <c r="BJ36" i="1"/>
  <c r="BW36" i="1"/>
  <c r="CE36" i="1"/>
  <c r="BL36" i="1"/>
  <c r="CB36" i="1"/>
  <c r="BG36" i="1"/>
  <c r="BM36" i="1"/>
  <c r="BZ36" i="1"/>
  <c r="CH36" i="1"/>
  <c r="BB36" i="1"/>
  <c r="BH36" i="1"/>
  <c r="F35" i="1" l="1"/>
  <c r="F33" i="1"/>
  <c r="DN35" i="1"/>
  <c r="DS35" i="1" s="1"/>
  <c r="CP36" i="1"/>
  <c r="CR36" i="1"/>
  <c r="CS36" i="1"/>
  <c r="CU36" i="1"/>
  <c r="CV36" i="1"/>
  <c r="CX36" i="1"/>
  <c r="CY36" i="1"/>
  <c r="DA36" i="1"/>
  <c r="DP36" i="1"/>
  <c r="DR36" i="1"/>
  <c r="DV36" i="1"/>
  <c r="DW36" i="1" s="1"/>
  <c r="DY36" i="1"/>
  <c r="DZ36" i="1" s="1"/>
  <c r="DE36" i="1"/>
  <c r="DH36" i="1"/>
  <c r="C36" i="1"/>
  <c r="E36" i="1"/>
  <c r="D36" i="1"/>
  <c r="DJ36" i="1" l="1"/>
  <c r="DK36" i="1" s="1"/>
  <c r="DQ35" i="1"/>
  <c r="DT36" i="1"/>
  <c r="DX36" i="1"/>
  <c r="DL36" i="1"/>
  <c r="DM36" i="1" s="1"/>
  <c r="EA36" i="1"/>
  <c r="G37" i="1"/>
  <c r="L37" i="1"/>
  <c r="P37" i="1"/>
  <c r="S37" i="1"/>
  <c r="T37" i="1"/>
  <c r="B36" i="1"/>
  <c r="DD37" i="1"/>
  <c r="BX37" i="1"/>
  <c r="CB37" i="1"/>
  <c r="CF37" i="1"/>
  <c r="BH37" i="1"/>
  <c r="BP37" i="1"/>
  <c r="BW37" i="1"/>
  <c r="BE37" i="1"/>
  <c r="BT37" i="1"/>
  <c r="BD37" i="1"/>
  <c r="BS37" i="1"/>
  <c r="BM37" i="1"/>
  <c r="BF37" i="1"/>
  <c r="CI37" i="1"/>
  <c r="BK37" i="1"/>
  <c r="BI37" i="1"/>
  <c r="BA37" i="1"/>
  <c r="BV37" i="1"/>
  <c r="BO37" i="1"/>
  <c r="CD37" i="1"/>
  <c r="BB37" i="1"/>
  <c r="BR37" i="1"/>
  <c r="CK37" i="1"/>
  <c r="BL37" i="1"/>
  <c r="BU37" i="1"/>
  <c r="CH37" i="1"/>
  <c r="CG37" i="1"/>
  <c r="CJ37" i="1"/>
  <c r="BQ37" i="1"/>
  <c r="BZ37" i="1"/>
  <c r="BG37" i="1"/>
  <c r="CE37" i="1"/>
  <c r="BJ37" i="1"/>
  <c r="F36" i="1" l="1"/>
  <c r="DN36" i="1"/>
  <c r="DQ36" i="1" s="1"/>
  <c r="DS36" i="1"/>
  <c r="CP37" i="1"/>
  <c r="CR37" i="1"/>
  <c r="CS37" i="1"/>
  <c r="CU37" i="1"/>
  <c r="CV37" i="1"/>
  <c r="CX37" i="1"/>
  <c r="CY37" i="1"/>
  <c r="DA37" i="1"/>
  <c r="DP37" i="1"/>
  <c r="DR37" i="1"/>
  <c r="DV37" i="1"/>
  <c r="DX37" i="1" s="1"/>
  <c r="DY37" i="1"/>
  <c r="EA37" i="1" s="1"/>
  <c r="DE37" i="1"/>
  <c r="DH37" i="1"/>
  <c r="E37" i="1"/>
  <c r="D37" i="1"/>
  <c r="C37" i="1"/>
  <c r="DW37" i="1" l="1"/>
  <c r="DL37" i="1"/>
  <c r="DM37" i="1" s="1"/>
  <c r="DT37" i="1"/>
  <c r="DJ37" i="1"/>
  <c r="DK37" i="1" s="1"/>
  <c r="DN37" i="1" s="1"/>
  <c r="DS37" i="1" s="1"/>
  <c r="DZ37" i="1"/>
  <c r="G38" i="1"/>
  <c r="L38" i="1"/>
  <c r="P38" i="1"/>
  <c r="S38" i="1"/>
  <c r="T38" i="1"/>
  <c r="CR38" i="1"/>
  <c r="CU38" i="1"/>
  <c r="CX38" i="1"/>
  <c r="DA38" i="1"/>
  <c r="DP38" i="1"/>
  <c r="DR38" i="1"/>
  <c r="DV38" i="1"/>
  <c r="DX38" i="1" s="1"/>
  <c r="DY38" i="1"/>
  <c r="EA38" i="1" s="1"/>
  <c r="B37" i="1"/>
  <c r="DD38" i="1"/>
  <c r="BB38" i="1"/>
  <c r="BV38" i="1"/>
  <c r="CJ38" i="1"/>
  <c r="BK38" i="1"/>
  <c r="BJ38" i="1"/>
  <c r="BP38" i="1"/>
  <c r="BZ38" i="1"/>
  <c r="BT38" i="1"/>
  <c r="CE38" i="1"/>
  <c r="BM38" i="1"/>
  <c r="CK38" i="1"/>
  <c r="BI38" i="1"/>
  <c r="BA38" i="1"/>
  <c r="BR38" i="1"/>
  <c r="BS38" i="1"/>
  <c r="BO38" i="1"/>
  <c r="CG38" i="1"/>
  <c r="BH38" i="1"/>
  <c r="CD38" i="1"/>
  <c r="BD38" i="1"/>
  <c r="BL38" i="1"/>
  <c r="BU38" i="1"/>
  <c r="CH38" i="1"/>
  <c r="CF38" i="1"/>
  <c r="BF38" i="1"/>
  <c r="BQ38" i="1"/>
  <c r="CI38" i="1"/>
  <c r="BW38" i="1"/>
  <c r="BE38" i="1"/>
  <c r="BX38" i="1"/>
  <c r="BG38" i="1"/>
  <c r="CB38" i="1"/>
  <c r="F37" i="1" l="1"/>
  <c r="DZ38" i="1"/>
  <c r="DJ38" i="1"/>
  <c r="DK38" i="1" s="1"/>
  <c r="DT38" i="1"/>
  <c r="DQ37" i="1"/>
  <c r="DW38" i="1"/>
  <c r="CY38" i="1"/>
  <c r="CV38" i="1"/>
  <c r="CS38" i="1"/>
  <c r="CP38" i="1"/>
  <c r="DL38" i="1"/>
  <c r="DM38" i="1" s="1"/>
  <c r="DN38" i="1" s="1"/>
  <c r="DS38" i="1" s="1"/>
  <c r="G39" i="1"/>
  <c r="L39" i="1"/>
  <c r="P39" i="1"/>
  <c r="S39" i="1"/>
  <c r="T39" i="1"/>
  <c r="DE38" i="1"/>
  <c r="DD39" i="1"/>
  <c r="CF39" i="1"/>
  <c r="BT39" i="1"/>
  <c r="CK39" i="1"/>
  <c r="BP39" i="1"/>
  <c r="BI39" i="1"/>
  <c r="BW39" i="1"/>
  <c r="BZ39" i="1"/>
  <c r="BX39" i="1"/>
  <c r="BV39" i="1"/>
  <c r="BG39" i="1"/>
  <c r="CB39" i="1"/>
  <c r="BJ39" i="1"/>
  <c r="BO39" i="1"/>
  <c r="BL39" i="1"/>
  <c r="BK39" i="1"/>
  <c r="CE39" i="1"/>
  <c r="CI39" i="1"/>
  <c r="BU39" i="1"/>
  <c r="BF39" i="1"/>
  <c r="BM39" i="1"/>
  <c r="BA39" i="1"/>
  <c r="BE39" i="1"/>
  <c r="BR39" i="1"/>
  <c r="BS39" i="1"/>
  <c r="CJ39" i="1"/>
  <c r="BH39" i="1"/>
  <c r="BD39" i="1"/>
  <c r="CD39" i="1"/>
  <c r="CH39" i="1"/>
  <c r="BB39" i="1"/>
  <c r="CG39" i="1"/>
  <c r="BQ39" i="1"/>
  <c r="DH38" i="1"/>
  <c r="D38" i="1"/>
  <c r="C38" i="1"/>
  <c r="E38" i="1"/>
  <c r="DQ38" i="1" l="1"/>
  <c r="CP39" i="1"/>
  <c r="CR39" i="1"/>
  <c r="CS39" i="1"/>
  <c r="CU39" i="1"/>
  <c r="CV39" i="1"/>
  <c r="CX39" i="1"/>
  <c r="CY39" i="1"/>
  <c r="DA39" i="1"/>
  <c r="DP39" i="1"/>
  <c r="DR39" i="1"/>
  <c r="DV39" i="1"/>
  <c r="DW39" i="1" s="1"/>
  <c r="DY39" i="1"/>
  <c r="DZ39" i="1" s="1"/>
  <c r="B38" i="1"/>
  <c r="DE39" i="1"/>
  <c r="DD22" i="1"/>
  <c r="CJ22" i="1"/>
  <c r="DH39" i="1"/>
  <c r="C39" i="1"/>
  <c r="D39" i="1"/>
  <c r="E39" i="1"/>
  <c r="F38" i="1" l="1"/>
  <c r="DL39" i="1"/>
  <c r="DM39" i="1" s="1"/>
  <c r="DT39" i="1"/>
  <c r="DJ39" i="1"/>
  <c r="DK39" i="1" s="1"/>
  <c r="DN39" i="1" s="1"/>
  <c r="DQ39" i="1" s="1"/>
  <c r="EA39" i="1"/>
  <c r="DX39" i="1"/>
  <c r="L22" i="1"/>
  <c r="CY22" i="1"/>
  <c r="B39" i="1"/>
  <c r="DE22" i="1"/>
  <c r="CH22" i="1"/>
  <c r="E22" i="1"/>
  <c r="BB22" i="1"/>
  <c r="DH22" i="1"/>
  <c r="F39" i="1" l="1"/>
  <c r="DS39" i="1"/>
  <c r="CV22" i="1"/>
  <c r="G22" i="1"/>
  <c r="B22" i="1"/>
  <c r="BZ22" i="1"/>
  <c r="BV22" i="1"/>
  <c r="BL22" i="1"/>
  <c r="BG22" i="1"/>
  <c r="BJ22" i="1"/>
  <c r="BU22" i="1"/>
  <c r="BM22" i="1"/>
  <c r="CF22" i="1"/>
  <c r="BI22" i="1"/>
  <c r="D22" i="1"/>
  <c r="BO22" i="1"/>
  <c r="BK22" i="1"/>
  <c r="C22" i="1"/>
  <c r="CB22" i="1"/>
  <c r="BH22" i="1"/>
  <c r="BX22" i="1"/>
  <c r="CK22" i="1"/>
  <c r="BS22" i="1"/>
  <c r="BP22" i="1"/>
  <c r="BE22" i="1"/>
  <c r="CE22" i="1"/>
  <c r="BA22" i="1"/>
  <c r="CD22" i="1"/>
  <c r="BT22" i="1"/>
  <c r="CI22" i="1"/>
  <c r="BW22" i="1"/>
  <c r="BD22" i="1"/>
  <c r="CG22" i="1"/>
  <c r="BF22" i="1"/>
  <c r="BQ22" i="1"/>
  <c r="BR22" i="1"/>
  <c r="DD21" i="1"/>
  <c r="CJ21" i="1"/>
  <c r="F22" i="1" l="1"/>
  <c r="CP22" i="1"/>
  <c r="CS22" i="1"/>
  <c r="L21" i="1"/>
  <c r="CY21" i="1"/>
  <c r="BB21" i="1"/>
  <c r="CK21" i="1"/>
  <c r="BV21" i="1"/>
  <c r="BJ21" i="1"/>
  <c r="CD21" i="1"/>
  <c r="CF21" i="1"/>
  <c r="BD21" i="1"/>
  <c r="CB21" i="1"/>
  <c r="BO21" i="1"/>
  <c r="BF21" i="1"/>
  <c r="BA21" i="1"/>
  <c r="BQ21" i="1"/>
  <c r="BU21" i="1"/>
  <c r="BG21" i="1"/>
  <c r="BK21" i="1"/>
  <c r="CH21" i="1"/>
  <c r="BW21" i="1"/>
  <c r="BE21" i="1"/>
  <c r="BR21" i="1"/>
  <c r="BS21" i="1"/>
  <c r="CG21" i="1"/>
  <c r="BZ21" i="1"/>
  <c r="DE21" i="1"/>
  <c r="BM21" i="1"/>
  <c r="BH21" i="1"/>
  <c r="BT21" i="1"/>
  <c r="CE21" i="1"/>
  <c r="DD20" i="1"/>
  <c r="CI21" i="1"/>
  <c r="BX21" i="1"/>
  <c r="BI21" i="1"/>
  <c r="C21" i="1"/>
  <c r="BP21" i="1"/>
  <c r="BL21" i="1"/>
  <c r="DH21" i="1"/>
  <c r="D21" i="1"/>
  <c r="E21" i="1"/>
  <c r="CJ20" i="1"/>
  <c r="G21" i="1" l="1"/>
  <c r="CS21" i="1"/>
  <c r="CV21" i="1"/>
  <c r="CP21" i="1"/>
  <c r="CY20" i="1"/>
  <c r="B21" i="1"/>
  <c r="BB20" i="1"/>
  <c r="CI20" i="1"/>
  <c r="CH20" i="1"/>
  <c r="BH20" i="1"/>
  <c r="CE20" i="1"/>
  <c r="BM20" i="1"/>
  <c r="BW20" i="1"/>
  <c r="BE20" i="1"/>
  <c r="BQ20" i="1"/>
  <c r="CF20" i="1"/>
  <c r="BS20" i="1"/>
  <c r="BI20" i="1"/>
  <c r="CG20" i="1"/>
  <c r="BJ20" i="1"/>
  <c r="BA20" i="1"/>
  <c r="CD20" i="1"/>
  <c r="CK20" i="1"/>
  <c r="BO20" i="1"/>
  <c r="BG20" i="1"/>
  <c r="BK20" i="1"/>
  <c r="BF20" i="1"/>
  <c r="BL20" i="1"/>
  <c r="BR20" i="1"/>
  <c r="BP20" i="1"/>
  <c r="BV20" i="1"/>
  <c r="CB20" i="1"/>
  <c r="BX20" i="1"/>
  <c r="BD20" i="1"/>
  <c r="BZ20" i="1"/>
  <c r="BU20" i="1"/>
  <c r="BT20" i="1"/>
  <c r="DE20" i="1"/>
  <c r="DH20" i="1"/>
  <c r="D20" i="1"/>
  <c r="C20" i="1"/>
  <c r="E20" i="1"/>
  <c r="G20" i="1" l="1"/>
  <c r="F21" i="1"/>
  <c r="CP20" i="1"/>
  <c r="CS20" i="1"/>
  <c r="CV20" i="1"/>
  <c r="B20" i="1"/>
  <c r="F20" i="1" l="1"/>
</calcChain>
</file>

<file path=xl/sharedStrings.xml><?xml version="1.0" encoding="utf-8"?>
<sst xmlns="http://schemas.openxmlformats.org/spreadsheetml/2006/main" count="1094" uniqueCount="370">
  <si>
    <t>Valuation Date</t>
  </si>
  <si>
    <t>No</t>
  </si>
  <si>
    <t>Market Value</t>
  </si>
  <si>
    <t>DV01</t>
  </si>
  <si>
    <t>Par Coupon</t>
  </si>
  <si>
    <t>Description</t>
  </si>
  <si>
    <t>BStucture</t>
  </si>
  <si>
    <t>BPrice</t>
  </si>
  <si>
    <t>Saved ID</t>
  </si>
  <si>
    <t>Deal Type</t>
  </si>
  <si>
    <t>Dates</t>
  </si>
  <si>
    <t>Effective</t>
  </si>
  <si>
    <t>Maturity</t>
  </si>
  <si>
    <t>Leg 1</t>
  </si>
  <si>
    <t>Rec/Pay</t>
  </si>
  <si>
    <t>Currency</t>
  </si>
  <si>
    <t>Notional</t>
  </si>
  <si>
    <t>FloatingIndex</t>
  </si>
  <si>
    <t>PayFreq</t>
  </si>
  <si>
    <t>DayCount</t>
  </si>
  <si>
    <t>ResetFreq</t>
  </si>
  <si>
    <t>CalcBasis</t>
  </si>
  <si>
    <t>Solver: Optional Inputs</t>
  </si>
  <si>
    <t>Solve For</t>
  </si>
  <si>
    <t>By Setting</t>
  </si>
  <si>
    <t>To Value</t>
  </si>
  <si>
    <t>Target</t>
  </si>
  <si>
    <t>Result</t>
  </si>
  <si>
    <t>Solver</t>
  </si>
  <si>
    <t>PV</t>
  </si>
  <si>
    <t>ParCoupon</t>
  </si>
  <si>
    <t>FXFX</t>
  </si>
  <si>
    <t>Swap Deal Types</t>
  </si>
  <si>
    <t>FXFL</t>
  </si>
  <si>
    <t>FLFL</t>
  </si>
  <si>
    <t>DealType</t>
  </si>
  <si>
    <t>Leg 1 Coupon</t>
  </si>
  <si>
    <t>Leg[1].FixedCoupon</t>
  </si>
  <si>
    <t>Premium</t>
  </si>
  <si>
    <t>Leg 1 Spread</t>
  </si>
  <si>
    <t>Leg[1].Spread</t>
  </si>
  <si>
    <t>Leg 2 Coupon</t>
  </si>
  <si>
    <t>Leg[2].FixedCoupon</t>
  </si>
  <si>
    <t>Leg 2 Spread</t>
  </si>
  <si>
    <t>Leg[2].Spread</t>
  </si>
  <si>
    <t>Leg 1 Notional</t>
  </si>
  <si>
    <t>Leg[1].Notional</t>
  </si>
  <si>
    <t>Leg 2 Notional</t>
  </si>
  <si>
    <t>Leg[2].Notional</t>
  </si>
  <si>
    <t>Receive</t>
  </si>
  <si>
    <t>Pay</t>
  </si>
  <si>
    <t>Swap Validations</t>
  </si>
  <si>
    <t>CAD</t>
  </si>
  <si>
    <t>CHF</t>
  </si>
  <si>
    <t>EUR</t>
  </si>
  <si>
    <t>GBP</t>
  </si>
  <si>
    <t>JPY</t>
  </si>
  <si>
    <t>SEK</t>
  </si>
  <si>
    <t>USD</t>
  </si>
  <si>
    <t>AED</t>
  </si>
  <si>
    <t>ARS</t>
  </si>
  <si>
    <t>AUD</t>
  </si>
  <si>
    <t>BGN</t>
  </si>
  <si>
    <t>BHD</t>
  </si>
  <si>
    <t>BRL</t>
  </si>
  <si>
    <t>CLF</t>
  </si>
  <si>
    <t>CLP</t>
  </si>
  <si>
    <t>CNH</t>
  </si>
  <si>
    <t>CNY</t>
  </si>
  <si>
    <t>COP</t>
  </si>
  <si>
    <t>CRC</t>
  </si>
  <si>
    <t>CZK</t>
  </si>
  <si>
    <t>DKK</t>
  </si>
  <si>
    <t>DOP</t>
  </si>
  <si>
    <t>EGP</t>
  </si>
  <si>
    <t>GHS</t>
  </si>
  <si>
    <t>HKD</t>
  </si>
  <si>
    <t>HUF</t>
  </si>
  <si>
    <t>IDR</t>
  </si>
  <si>
    <t>ILS</t>
  </si>
  <si>
    <t>INR</t>
  </si>
  <si>
    <t>ISK</t>
  </si>
  <si>
    <t>KES</t>
  </si>
  <si>
    <t>KRW</t>
  </si>
  <si>
    <t>KWD</t>
  </si>
  <si>
    <t>KZT</t>
  </si>
  <si>
    <t>MUR</t>
  </si>
  <si>
    <t>MWK</t>
  </si>
  <si>
    <t>MXN</t>
  </si>
  <si>
    <t>MYR</t>
  </si>
  <si>
    <t>NGN</t>
  </si>
  <si>
    <t>NOK</t>
  </si>
  <si>
    <t>NZD</t>
  </si>
  <si>
    <t>PEN</t>
  </si>
  <si>
    <t>PHP</t>
  </si>
  <si>
    <t>PKR</t>
  </si>
  <si>
    <t>PLN</t>
  </si>
  <si>
    <t>QAR</t>
  </si>
  <si>
    <t>RON</t>
  </si>
  <si>
    <t>RUB</t>
  </si>
  <si>
    <t>SAR</t>
  </si>
  <si>
    <t>SGD</t>
  </si>
  <si>
    <t>THB</t>
  </si>
  <si>
    <t>TRY</t>
  </si>
  <si>
    <t>TWD</t>
  </si>
  <si>
    <t>TZS</t>
  </si>
  <si>
    <t>UAH</t>
  </si>
  <si>
    <t>UGX</t>
  </si>
  <si>
    <t>VND</t>
  </si>
  <si>
    <t>XAF</t>
  </si>
  <si>
    <t>ZAR</t>
  </si>
  <si>
    <t>Currencies</t>
  </si>
  <si>
    <t>Coupon (%)</t>
  </si>
  <si>
    <t>Spread (bp)</t>
  </si>
  <si>
    <t>Floating Index</t>
  </si>
  <si>
    <t>Pay Freq</t>
  </si>
  <si>
    <t>Day Count</t>
  </si>
  <si>
    <t>Reset Freq</t>
  </si>
  <si>
    <t>Calc Basis</t>
  </si>
  <si>
    <t>Annual</t>
  </si>
  <si>
    <t>SemiAnnual</t>
  </si>
  <si>
    <t>Quarterly</t>
  </si>
  <si>
    <t>Monthly</t>
  </si>
  <si>
    <t>Weekly</t>
  </si>
  <si>
    <t>28 Days</t>
  </si>
  <si>
    <t>ACT/ACT</t>
  </si>
  <si>
    <t>ACT/360</t>
  </si>
  <si>
    <t>ACT/365</t>
  </si>
  <si>
    <t>30/ACT</t>
  </si>
  <si>
    <t>30/360</t>
  </si>
  <si>
    <t>30/365</t>
  </si>
  <si>
    <t>NL/ACT</t>
  </si>
  <si>
    <t>NL/360</t>
  </si>
  <si>
    <t>NL/365</t>
  </si>
  <si>
    <t>30E/ACT</t>
  </si>
  <si>
    <t>30E/360</t>
  </si>
  <si>
    <t>30E/365</t>
  </si>
  <si>
    <t>30I/360</t>
  </si>
  <si>
    <t>30I/365</t>
  </si>
  <si>
    <t>30I/ACT</t>
  </si>
  <si>
    <t>30U/ACT</t>
  </si>
  <si>
    <t>30U/360</t>
  </si>
  <si>
    <t>30U/365</t>
  </si>
  <si>
    <t>28/ACT</t>
  </si>
  <si>
    <t>28/360</t>
  </si>
  <si>
    <t>28/365</t>
  </si>
  <si>
    <t>Bond Eqv</t>
  </si>
  <si>
    <t>Money Mkt</t>
  </si>
  <si>
    <t>PrincipalExchange</t>
  </si>
  <si>
    <t>Principal Exchange</t>
  </si>
  <si>
    <t>Never</t>
  </si>
  <si>
    <t>At Effective Date</t>
  </si>
  <si>
    <t>At Maturity Date</t>
  </si>
  <si>
    <t>Effect. &amp; Maturity</t>
  </si>
  <si>
    <t>All Pmnt Dates</t>
  </si>
  <si>
    <t>CsaCollateralCurrency</t>
  </si>
  <si>
    <t>N/A</t>
  </si>
  <si>
    <t>Leg[1].PayoffSide</t>
  </si>
  <si>
    <t>Leg[1].Currency</t>
  </si>
  <si>
    <t>Leg[1].PayFrequency</t>
  </si>
  <si>
    <t>Leg[1].DayCount</t>
  </si>
  <si>
    <t>Leg[1].ResetFrequency</t>
  </si>
  <si>
    <t>Leg[1].CalcBasis</t>
  </si>
  <si>
    <t>Leg[1].FloatingIndex</t>
  </si>
  <si>
    <t>Leg[2].PayoffSide</t>
  </si>
  <si>
    <t>Leg[2].Currency</t>
  </si>
  <si>
    <t>Leg[2].FloatingIndex</t>
  </si>
  <si>
    <t>Leg[2].PayFrequency</t>
  </si>
  <si>
    <t>Leg[2].DayCount</t>
  </si>
  <si>
    <t>Leg[2].ResetFrequency</t>
  </si>
  <si>
    <t>Leg[2].CalcBasis</t>
  </si>
  <si>
    <t>EffectiveDate</t>
  </si>
  <si>
    <t>MaturityDate</t>
  </si>
  <si>
    <t>Curve 1</t>
  </si>
  <si>
    <t>Name</t>
  </si>
  <si>
    <t>Curve 2</t>
  </si>
  <si>
    <t>Curve 3</t>
  </si>
  <si>
    <t>Curve 4</t>
  </si>
  <si>
    <t>Override Curves</t>
  </si>
  <si>
    <t>Yes/No</t>
  </si>
  <si>
    <t>Dual Curve Stripping</t>
  </si>
  <si>
    <t>Market Shift</t>
  </si>
  <si>
    <t>Curve Name</t>
  </si>
  <si>
    <t>Curve Object</t>
  </si>
  <si>
    <t>Leg 2</t>
  </si>
  <si>
    <t>Date Tail</t>
  </si>
  <si>
    <t>Override With</t>
  </si>
  <si>
    <t>Market Date</t>
  </si>
  <si>
    <t>Outputs</t>
  </si>
  <si>
    <t xml:space="preserve"> Enter ID to Load</t>
  </si>
  <si>
    <t>Select Deals</t>
  </si>
  <si>
    <t>Saved ID (Click to launch SWPM)</t>
  </si>
  <si>
    <t xml:space="preserve"> Load Favourite</t>
  </si>
  <si>
    <t>CSA Currency</t>
  </si>
  <si>
    <t>Load/Save/Clear Deals</t>
  </si>
  <si>
    <t>Leg 1 Inputs</t>
  </si>
  <si>
    <t>Leg 2 Inputs</t>
  </si>
  <si>
    <t>Dates Output</t>
  </si>
  <si>
    <t>Leg 1 Outputs</t>
  </si>
  <si>
    <t>Leg 2 Outputs</t>
  </si>
  <si>
    <t>Output</t>
  </si>
  <si>
    <t>Default Curve 1</t>
  </si>
  <si>
    <t>Default Curve 2</t>
  </si>
  <si>
    <t>Default Curve 3</t>
  </si>
  <si>
    <t>Default Curve 4</t>
  </si>
  <si>
    <t>Dates Inputs</t>
  </si>
  <si>
    <t>Fixed-to-Fixed</t>
  </si>
  <si>
    <t>Fixed-to-Float</t>
  </si>
  <si>
    <t>Float-to-Float</t>
  </si>
  <si>
    <t>ModelType</t>
  </si>
  <si>
    <t>ImpliedVol</t>
  </si>
  <si>
    <t xml:space="preserve"> OptionPosition </t>
  </si>
  <si>
    <t xml:space="preserve"> OptionStyle </t>
  </si>
  <si>
    <t>OptionDeliveryMethod</t>
  </si>
  <si>
    <t>IsPayAtExpiry</t>
  </si>
  <si>
    <t>OptionExpiryOrFirstCall</t>
  </si>
  <si>
    <t xml:space="preserve"> OptionDaysToNotify </t>
  </si>
  <si>
    <t>Model Type</t>
  </si>
  <si>
    <t>Black Implied Vol</t>
  </si>
  <si>
    <t>Notification Days</t>
  </si>
  <si>
    <t>Swap End Date</t>
  </si>
  <si>
    <t>Favourite Name</t>
  </si>
  <si>
    <t>7Y</t>
  </si>
  <si>
    <t xml:space="preserve"> Option Style </t>
  </si>
  <si>
    <t xml:space="preserve"> Option Position </t>
  </si>
  <si>
    <t>Delivery</t>
  </si>
  <si>
    <t>Premium at Expiry</t>
  </si>
  <si>
    <t>Option Expiration Date / First Call</t>
  </si>
  <si>
    <t>Call Frequency</t>
  </si>
  <si>
    <t>CallFreq</t>
  </si>
  <si>
    <t>Option Inputs</t>
  </si>
  <si>
    <t>Option Strike</t>
  </si>
  <si>
    <t>OptionStrike</t>
  </si>
  <si>
    <t>Implied Vol</t>
  </si>
  <si>
    <t>Valuation</t>
  </si>
  <si>
    <t>Swaption Valuations</t>
  </si>
  <si>
    <t>European</t>
  </si>
  <si>
    <t>European FSS</t>
  </si>
  <si>
    <t>Bermudan</t>
  </si>
  <si>
    <t>American</t>
  </si>
  <si>
    <t>Option Style</t>
  </si>
  <si>
    <t>Swaption Deal Type</t>
  </si>
  <si>
    <t>Swaption</t>
  </si>
  <si>
    <t>OV</t>
  </si>
  <si>
    <t>Long Payer</t>
  </si>
  <si>
    <t>Long Receiver</t>
  </si>
  <si>
    <t>Short Payer</t>
  </si>
  <si>
    <t>Short Receiver</t>
  </si>
  <si>
    <t>Option Position</t>
  </si>
  <si>
    <t>Price (Cash)</t>
  </si>
  <si>
    <t>Par Yield (Cash)</t>
  </si>
  <si>
    <t>Bilateral (Physical)</t>
  </si>
  <si>
    <t>Cleared (Physical)</t>
  </si>
  <si>
    <t>ZERO</t>
  </si>
  <si>
    <t>ANNUAL</t>
  </si>
  <si>
    <t>SEMIANNUAL</t>
  </si>
  <si>
    <t>QUARTERLY</t>
  </si>
  <si>
    <t>5 YEARS</t>
  </si>
  <si>
    <t>BI-MONTHLY</t>
  </si>
  <si>
    <t>7 DAYS</t>
  </si>
  <si>
    <t>MONTHLY</t>
  </si>
  <si>
    <t>28 DAYS</t>
  </si>
  <si>
    <t>35 DAYS</t>
  </si>
  <si>
    <t>49 DAYS</t>
  </si>
  <si>
    <t>WEEKLY</t>
  </si>
  <si>
    <t>CTUP</t>
  </si>
  <si>
    <t>DAILY</t>
  </si>
  <si>
    <t>NONE</t>
  </si>
  <si>
    <t>HW1F</t>
  </si>
  <si>
    <t>Black-Scholes</t>
  </si>
  <si>
    <t>Normal</t>
  </si>
  <si>
    <t>Option Outputs</t>
  </si>
  <si>
    <t>Dv01</t>
  </si>
  <si>
    <t>Gamma1bp</t>
  </si>
  <si>
    <t>Pv</t>
  </si>
  <si>
    <t>Underlying Premium</t>
  </si>
  <si>
    <t>UnderlyingPremium</t>
  </si>
  <si>
    <t>OptionPremium</t>
  </si>
  <si>
    <t>HedgingDelta</t>
  </si>
  <si>
    <t>IsVega1bp</t>
  </si>
  <si>
    <t>Vega</t>
  </si>
  <si>
    <t>Theta</t>
  </si>
  <si>
    <t>UndDv01</t>
  </si>
  <si>
    <t>YieldOfPremium</t>
  </si>
  <si>
    <t>Valuation Outputs</t>
  </si>
  <si>
    <t>Option Premium</t>
  </si>
  <si>
    <t>Hedging Delta</t>
  </si>
  <si>
    <t>Gamma 1bp</t>
  </si>
  <si>
    <t>Underlying DV01</t>
  </si>
  <si>
    <t>Yield Of Premium</t>
  </si>
  <si>
    <t>Swap Effective Date</t>
  </si>
  <si>
    <t>Swap Favourite Templates</t>
  </si>
  <si>
    <t>Swaption Favourite Templates</t>
  </si>
  <si>
    <t>7Y Swap USD</t>
  </si>
  <si>
    <t>5Y Swap USD</t>
  </si>
  <si>
    <t>10Y Swap USD</t>
  </si>
  <si>
    <t>5Y</t>
  </si>
  <si>
    <t>10Y</t>
  </si>
  <si>
    <t>The Single Line Pricer allows users to quickly structure and price different swaps and swaptions. These can then be saved and viewed in SWPM &lt;GO&gt;</t>
  </si>
  <si>
    <t>1Y</t>
  </si>
  <si>
    <t>1. Entering Mandatory Inputs</t>
  </si>
  <si>
    <t>2. Customising Swap Deals</t>
  </si>
  <si>
    <t>4. Solving To Set A Particular Variable To A Desired Amount.</t>
  </si>
  <si>
    <t>4. Saving And Viewing Deals In SWPM.</t>
  </si>
  <si>
    <t>3. Checking The Swap Structure</t>
  </si>
  <si>
    <t>Steepener 1YX5Y 1YX10Y 100K DV01 1/2</t>
  </si>
  <si>
    <t>Steepener 1YX5Y 1YX10Y 100K DV01 2/2</t>
  </si>
  <si>
    <t>USD EUR 5Y XCCY</t>
  </si>
  <si>
    <t>USD JPY 5Y XCCY</t>
  </si>
  <si>
    <t>EUR JPY 5Y XCCY</t>
  </si>
  <si>
    <t>5s10s curve: 1/2</t>
  </si>
  <si>
    <t>5s10s curve: 2/2</t>
  </si>
  <si>
    <t>2s5s curve: 1/2</t>
  </si>
  <si>
    <t>2s5s curve: 2/2</t>
  </si>
  <si>
    <t>1S3S 7Y USD</t>
  </si>
  <si>
    <t>2Y</t>
  </si>
  <si>
    <t>US0003M</t>
  </si>
  <si>
    <t>EUR003M</t>
  </si>
  <si>
    <t>JY0003M</t>
  </si>
  <si>
    <t>US0001M</t>
  </si>
  <si>
    <t>Long Payer 1Y 5Y USD 10MM</t>
  </si>
  <si>
    <t>5. Viewing And Overriding Curves</t>
  </si>
  <si>
    <t>6. Adding Deals to The Favourites Tab</t>
  </si>
  <si>
    <t>ImpliedNormalVol</t>
  </si>
  <si>
    <t>Implied Normal Vol</t>
  </si>
  <si>
    <t>Load/Save/Clear</t>
  </si>
  <si>
    <t>Solver Input</t>
  </si>
  <si>
    <t>Principal/CSA</t>
  </si>
  <si>
    <t>Curves</t>
  </si>
  <si>
    <t>BStructure/BPrice</t>
  </si>
  <si>
    <t>Valuation Inputs</t>
  </si>
  <si>
    <t>Date Outputs</t>
  </si>
  <si>
    <t>Underlying Outputs</t>
  </si>
  <si>
    <t>Select To Jump To</t>
  </si>
  <si>
    <t>Effective Date</t>
  </si>
  <si>
    <t>Risk Reversal 1YX5Y 50bp 1/2</t>
  </si>
  <si>
    <t>Risk Reversal 1YX5Y 50bp 2/2</t>
  </si>
  <si>
    <t>Short Straddle 1YX5Y 1/2</t>
  </si>
  <si>
    <t>Short Straddle 1YX5Y 2/2</t>
  </si>
  <si>
    <t>Fwdvol trade: 1 of 2</t>
  </si>
  <si>
    <t>Fwdvol trade: 2 of 2</t>
  </si>
  <si>
    <t>Long 1Y10Y USD</t>
  </si>
  <si>
    <t>OIS</t>
  </si>
  <si>
    <t>OIS swap</t>
  </si>
  <si>
    <t>Libor vs OIS</t>
  </si>
  <si>
    <t>LOIS</t>
  </si>
  <si>
    <t>Leg[1].currency</t>
  </si>
  <si>
    <t>Leg[1].notional</t>
  </si>
  <si>
    <t>Leg[2].currency</t>
  </si>
  <si>
    <t>Leg[2].notional</t>
  </si>
  <si>
    <t>Copy</t>
  </si>
  <si>
    <t>Convert</t>
  </si>
  <si>
    <t>Leg1</t>
  </si>
  <si>
    <t>Rate</t>
  </si>
  <si>
    <t>Use</t>
  </si>
  <si>
    <t>AccruedInterest</t>
  </si>
  <si>
    <t>Principal</t>
  </si>
  <si>
    <t>Pv01</t>
  </si>
  <si>
    <t>Accrued Interest</t>
  </si>
  <si>
    <t>PV01</t>
  </si>
  <si>
    <t>3Y</t>
  </si>
  <si>
    <t>4Y</t>
  </si>
  <si>
    <t>6Y</t>
  </si>
  <si>
    <t>8Y</t>
  </si>
  <si>
    <t>9Y</t>
  </si>
  <si>
    <t>15Y</t>
  </si>
  <si>
    <t>20Y</t>
  </si>
  <si>
    <t>25Y</t>
  </si>
  <si>
    <t>30Y</t>
  </si>
  <si>
    <t>MLIB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</si>
</sst>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0.000"/>
    <numFmt numFmtId="165" formatCode="#,##0.000"/>
    <numFmt numFmtId="166" formatCode="_(&quot;$&quot;* #,##0.00_);_(&quot;$&quot;* \(#,##0.00\);_(&quot;$&quot;* &quot;-&quot;??_);_(@_)"/>
    <numFmt numFmtId="167" formatCode="_-* #,##0_-;\-* #,##0_-;_-* &quot;-&quot;??_-;_-@_-"/>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i/>
      <sz val="10"/>
      <name val="Arial"/>
      <family val="2"/>
    </font>
    <font>
      <sz val="10"/>
      <name val="Arial"/>
      <family val="2"/>
    </font>
    <font>
      <b/>
      <sz val="11"/>
      <name val="Arial"/>
      <family val="2"/>
    </font>
    <font>
      <sz val="9"/>
      <name val="Arial"/>
      <family val="2"/>
    </font>
    <font>
      <b/>
      <sz val="11"/>
      <color indexed="9"/>
      <name val="Calibri"/>
      <family val="2"/>
    </font>
    <font>
      <u/>
      <sz val="11"/>
      <color rgb="FF7030A0"/>
      <name val="Calibri"/>
      <family val="2"/>
      <scheme val="minor"/>
    </font>
    <font>
      <b/>
      <sz val="14"/>
      <color theme="1"/>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u/>
      <sz val="11"/>
      <color rgb="FF000000"/>
      <name val="Calibri"/>
      <family val="2"/>
      <scheme val="minor"/>
    </font>
    <font>
      <sz val="10"/>
      <color theme="1"/>
      <name val="Calibri"/>
      <family val="2"/>
      <scheme val="minor"/>
    </font>
    <font>
      <b/>
      <sz val="11"/>
      <color theme="3" tint="-0.249977111117893"/>
      <name val="Calibri"/>
      <family val="2"/>
      <scheme val="minor"/>
    </font>
    <font>
      <sz val="11"/>
      <color rgb="FF000000"/>
      <name val="Calibri"/>
      <family val="2"/>
    </font>
    <font>
      <b/>
      <sz val="11"/>
      <color rgb="FF006600"/>
      <name val="Calibri"/>
      <family val="2"/>
      <scheme val="minor"/>
    </font>
  </fonts>
  <fills count="4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4F81BD"/>
        <bgColor indexed="64"/>
      </patternFill>
    </fill>
    <fill>
      <gradientFill>
        <stop position="0">
          <color rgb="FF1F497D"/>
        </stop>
        <stop position="0.5">
          <color rgb="FF4F81BD"/>
        </stop>
        <stop position="1">
          <color rgb="FF1F497D"/>
        </stop>
      </gradientFill>
    </fill>
    <fill>
      <gradientFill>
        <stop position="0">
          <color rgb="FFB8CCE4"/>
        </stop>
        <stop position="0.5">
          <color rgb="FFDCE6F1"/>
        </stop>
        <stop position="1">
          <color rgb="FFB8CCE4"/>
        </stop>
      </gradientFill>
    </fill>
    <fill>
      <gradientFill>
        <stop position="0">
          <color rgb="FFFCD5B4"/>
        </stop>
        <stop position="0.5">
          <color rgb="FFFDE9D9"/>
        </stop>
        <stop position="1">
          <color rgb="FFFCD5B4"/>
        </stop>
      </gradientFill>
    </fill>
    <fill>
      <gradientFill>
        <stop position="0">
          <color rgb="FFE26B0A"/>
        </stop>
        <stop position="0.5">
          <color rgb="FFFABF8F"/>
        </stop>
        <stop position="1">
          <color rgb="FFE26B0A"/>
        </stop>
      </gradientFill>
    </fill>
    <fill>
      <patternFill patternType="solid">
        <fgColor theme="4" tint="0.79998168889431442"/>
        <bgColor indexed="64"/>
      </pattern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patternFill patternType="solid">
        <fgColor theme="1"/>
        <bgColor indexed="64"/>
      </patternFill>
    </fill>
  </fills>
  <borders count="9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top style="thin">
        <color indexed="8"/>
      </top>
      <bottom style="thin">
        <color indexed="8"/>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indexed="9"/>
      </right>
      <top/>
      <bottom style="thin">
        <color indexed="9"/>
      </bottom>
      <diagonal/>
    </border>
    <border>
      <left/>
      <right style="thin">
        <color indexed="9"/>
      </right>
      <top/>
      <bottom style="thin">
        <color theme="0"/>
      </bottom>
      <diagonal/>
    </border>
    <border>
      <left/>
      <right/>
      <top/>
      <bottom style="thin">
        <color theme="0"/>
      </bottom>
      <diagonal/>
    </border>
    <border>
      <left style="thin">
        <color indexed="64"/>
      </left>
      <right style="thin">
        <color indexed="64"/>
      </right>
      <top/>
      <bottom style="thin">
        <color theme="0"/>
      </bottom>
      <diagonal/>
    </border>
    <border>
      <left style="thin">
        <color indexed="64"/>
      </left>
      <right/>
      <top/>
      <bottom style="thin">
        <color theme="0"/>
      </bottom>
      <diagonal/>
    </border>
    <border>
      <left style="thin">
        <color theme="0"/>
      </left>
      <right style="thin">
        <color theme="0"/>
      </right>
      <top/>
      <bottom/>
      <diagonal/>
    </border>
    <border>
      <left style="thin">
        <color indexed="9"/>
      </left>
      <right style="thin">
        <color indexed="9"/>
      </right>
      <top style="thin">
        <color indexed="64"/>
      </top>
      <bottom style="thin">
        <color theme="0"/>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theme="0"/>
      </bottom>
      <diagonal/>
    </border>
    <border>
      <left style="thin">
        <color indexed="8"/>
      </left>
      <right style="thin">
        <color indexed="64"/>
      </right>
      <top style="thin">
        <color indexed="64"/>
      </top>
      <bottom style="thin">
        <color indexed="8"/>
      </bottom>
      <diagonal/>
    </border>
    <border>
      <left style="thin">
        <color indexed="64"/>
      </left>
      <right/>
      <top/>
      <bottom style="thin">
        <color indexed="64"/>
      </bottom>
      <diagonal/>
    </border>
    <border>
      <left style="thin">
        <color indexed="8"/>
      </left>
      <right style="thin">
        <color indexed="64"/>
      </right>
      <top style="thin">
        <color indexed="8"/>
      </top>
      <bottom style="thin">
        <color indexed="64"/>
      </bottom>
      <diagonal/>
    </border>
    <border>
      <left/>
      <right/>
      <top/>
      <bottom style="thin">
        <color indexed="64"/>
      </bottom>
      <diagonal/>
    </border>
    <border>
      <left/>
      <right/>
      <top style="thin">
        <color indexed="64"/>
      </top>
      <bottom style="thin">
        <color indexed="9"/>
      </bottom>
      <diagonal/>
    </border>
    <border>
      <left/>
      <right/>
      <top style="thin">
        <color theme="0"/>
      </top>
      <bottom/>
      <diagonal/>
    </border>
    <border>
      <left style="thin">
        <color indexed="64"/>
      </left>
      <right style="thin">
        <color indexed="9"/>
      </right>
      <top style="thin">
        <color indexed="64"/>
      </top>
      <bottom style="thin">
        <color theme="0"/>
      </bottom>
      <diagonal/>
    </border>
    <border>
      <left style="thin">
        <color indexed="9"/>
      </left>
      <right style="thin">
        <color indexed="64"/>
      </right>
      <top style="thin">
        <color indexed="64"/>
      </top>
      <bottom style="thin">
        <color theme="0"/>
      </bottom>
      <diagonal/>
    </border>
    <border>
      <left style="thin">
        <color indexed="64"/>
      </left>
      <right style="thin">
        <color theme="0"/>
      </right>
      <top/>
      <bottom/>
      <diagonal/>
    </border>
    <border>
      <left style="thin">
        <color indexed="9"/>
      </left>
      <right style="thin">
        <color indexed="64"/>
      </right>
      <top/>
      <bottom style="thin">
        <color indexed="9"/>
      </bottom>
      <diagonal/>
    </border>
    <border>
      <left style="thin">
        <color indexed="64"/>
      </left>
      <right/>
      <top style="thin">
        <color indexed="64"/>
      </top>
      <bottom style="thin">
        <color indexed="9"/>
      </bottom>
      <diagonal/>
    </border>
    <border>
      <left/>
      <right style="thin">
        <color indexed="64"/>
      </right>
      <top style="thin">
        <color indexed="64"/>
      </top>
      <bottom style="thin">
        <color indexed="9"/>
      </bottom>
      <diagonal/>
    </border>
    <border>
      <left style="thin">
        <color theme="0"/>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9"/>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8"/>
      </left>
      <right style="thin">
        <color indexed="8"/>
      </right>
      <top style="thin">
        <color theme="0"/>
      </top>
      <bottom style="thin">
        <color indexed="8"/>
      </bottom>
      <diagonal/>
    </border>
    <border>
      <left/>
      <right style="thin">
        <color indexed="8"/>
      </right>
      <top style="thin">
        <color theme="0"/>
      </top>
      <bottom style="thin">
        <color indexed="8"/>
      </bottom>
      <diagonal/>
    </border>
    <border>
      <left style="thin">
        <color indexed="8"/>
      </left>
      <right/>
      <top style="thin">
        <color theme="0"/>
      </top>
      <bottom style="thin">
        <color indexed="8"/>
      </bottom>
      <diagonal/>
    </border>
    <border>
      <left/>
      <right/>
      <top style="thin">
        <color theme="0"/>
      </top>
      <bottom style="thin">
        <color indexed="8"/>
      </bottom>
      <diagonal/>
    </border>
    <border>
      <left style="thin">
        <color indexed="64"/>
      </left>
      <right style="thin">
        <color theme="0"/>
      </right>
      <top/>
      <bottom style="thin">
        <color theme="0"/>
      </bottom>
      <diagonal/>
    </border>
    <border>
      <left style="thin">
        <color indexed="9"/>
      </left>
      <right style="thin">
        <color indexed="64"/>
      </right>
      <top/>
      <bottom style="thin">
        <color theme="0"/>
      </bottom>
      <diagonal/>
    </border>
    <border>
      <left style="thin">
        <color theme="0"/>
      </left>
      <right style="thin">
        <color indexed="64"/>
      </right>
      <top/>
      <bottom style="thin">
        <color theme="0"/>
      </bottom>
      <diagonal/>
    </border>
    <border>
      <left/>
      <right style="thin">
        <color indexed="64"/>
      </right>
      <top style="thin">
        <color indexed="64"/>
      </top>
      <bottom/>
      <diagonal/>
    </border>
    <border>
      <left style="thin">
        <color theme="0"/>
      </left>
      <right style="thin">
        <color theme="0"/>
      </right>
      <top style="thin">
        <color indexed="9"/>
      </top>
      <bottom/>
      <diagonal/>
    </border>
    <border>
      <left style="thin">
        <color indexed="64"/>
      </left>
      <right style="thin">
        <color indexed="64"/>
      </right>
      <top style="thin">
        <color theme="0"/>
      </top>
      <bottom style="thin">
        <color indexed="64"/>
      </bottom>
      <diagonal/>
    </border>
    <border>
      <left style="thin">
        <color theme="0"/>
      </left>
      <right style="thin">
        <color indexed="64"/>
      </right>
      <top style="thin">
        <color theme="0"/>
      </top>
      <bottom/>
      <diagonal/>
    </border>
    <border>
      <left style="thin">
        <color indexed="64"/>
      </left>
      <right/>
      <top style="thin">
        <color indexed="64"/>
      </top>
      <bottom/>
      <diagonal/>
    </border>
    <border>
      <left/>
      <right style="thin">
        <color indexed="64"/>
      </right>
      <top/>
      <bottom style="thin">
        <color indexed="64"/>
      </bottom>
      <diagonal/>
    </border>
    <border>
      <left style="thin">
        <color theme="0" tint="-0.34998626667073579"/>
      </left>
      <right/>
      <top style="thin">
        <color theme="0" tint="-0.34998626667073579"/>
      </top>
      <bottom style="medium">
        <color theme="1" tint="0.499984740745262"/>
      </bottom>
      <diagonal/>
    </border>
    <border>
      <left/>
      <right/>
      <top style="thin">
        <color theme="0" tint="-0.34998626667073579"/>
      </top>
      <bottom style="medium">
        <color theme="1" tint="0.499984740745262"/>
      </bottom>
      <diagonal/>
    </border>
    <border>
      <left/>
      <right style="medium">
        <color theme="1" tint="0.499984740745262"/>
      </right>
      <top style="thin">
        <color theme="0" tint="-0.34998626667073579"/>
      </top>
      <bottom style="medium">
        <color theme="1" tint="0.499984740745262"/>
      </bottom>
      <diagonal/>
    </border>
    <border>
      <left style="thin">
        <color indexed="64"/>
      </left>
      <right style="thin">
        <color indexed="64"/>
      </right>
      <top/>
      <bottom/>
      <diagonal/>
    </border>
    <border>
      <left style="thin">
        <color theme="0"/>
      </left>
      <right/>
      <top style="thin">
        <color indexed="64"/>
      </top>
      <bottom style="thin">
        <color theme="0"/>
      </bottom>
      <diagonal/>
    </border>
    <border>
      <left/>
      <right/>
      <top style="thin">
        <color indexed="64"/>
      </top>
      <bottom style="thin">
        <color theme="0"/>
      </bottom>
      <diagonal/>
    </border>
    <border>
      <left/>
      <right style="thin">
        <color theme="0"/>
      </right>
      <top style="thin">
        <color indexed="64"/>
      </top>
      <bottom style="thin">
        <color theme="0"/>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theme="0"/>
      </left>
      <right/>
      <top style="thin">
        <color indexed="9"/>
      </top>
      <bottom/>
      <diagonal/>
    </border>
    <border>
      <left style="thin">
        <color theme="0"/>
      </left>
      <right/>
      <top/>
      <bottom/>
      <diagonal/>
    </border>
    <border>
      <left style="thin">
        <color theme="0"/>
      </left>
      <right/>
      <top/>
      <bottom style="thin">
        <color theme="0"/>
      </bottom>
      <diagonal/>
    </border>
  </borders>
  <cellStyleXfs count="7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33" borderId="0"/>
    <xf numFmtId="43" fontId="1"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9" fillId="0" borderId="0" applyFont="0" applyFill="0" applyBorder="0" applyAlignment="0" applyProtection="0"/>
    <xf numFmtId="0" fontId="23" fillId="0" borderId="0" applyNumberFormat="0" applyFill="0" applyBorder="0" applyAlignment="0" applyProtection="0"/>
    <xf numFmtId="0" fontId="1" fillId="0" borderId="0"/>
    <xf numFmtId="0" fontId="19" fillId="0" borderId="0" applyNumberFormat="0" applyFont="0" applyFill="0" applyBorder="0" applyAlignment="0" applyProtection="0"/>
    <xf numFmtId="0" fontId="19" fillId="0" borderId="0" applyNumberFormat="0" applyFont="0" applyFill="0" applyBorder="0" applyAlignment="0" applyProtection="0"/>
    <xf numFmtId="0" fontId="19" fillId="0" borderId="0" applyNumberFormat="0" applyFont="0" applyFill="0" applyBorder="0" applyAlignment="0" applyProtection="0"/>
    <xf numFmtId="0" fontId="1" fillId="0" borderId="0"/>
    <xf numFmtId="0" fontId="21" fillId="0" borderId="0"/>
    <xf numFmtId="0" fontId="19" fillId="0" borderId="0"/>
    <xf numFmtId="0" fontId="19" fillId="0" borderId="0"/>
    <xf numFmtId="0" fontId="19" fillId="0" borderId="0"/>
    <xf numFmtId="0" fontId="19" fillId="0" borderId="0"/>
    <xf numFmtId="0" fontId="19" fillId="0" borderId="0"/>
    <xf numFmtId="0" fontId="1" fillId="0" borderId="0"/>
    <xf numFmtId="0" fontId="19" fillId="0" borderId="0"/>
    <xf numFmtId="0" fontId="19" fillId="0" borderId="0"/>
    <xf numFmtId="0" fontId="19" fillId="0" borderId="0"/>
    <xf numFmtId="0" fontId="19" fillId="0" borderId="0"/>
    <xf numFmtId="0" fontId="20" fillId="0" borderId="0"/>
    <xf numFmtId="0" fontId="1" fillId="8" borderId="8" applyNumberFormat="0" applyFont="0" applyAlignment="0" applyProtection="0"/>
    <xf numFmtId="9" fontId="19" fillId="0" borderId="0" applyFont="0" applyFill="0" applyBorder="0" applyAlignment="0" applyProtection="0"/>
    <xf numFmtId="0" fontId="19" fillId="0" borderId="0"/>
    <xf numFmtId="0" fontId="19" fillId="0" borderId="0" applyNumberFormat="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43" fontId="1" fillId="0" borderId="0" applyFont="0" applyFill="0" applyBorder="0" applyAlignment="0" applyProtection="0"/>
  </cellStyleXfs>
  <cellXfs count="213">
    <xf numFmtId="0" fontId="0" fillId="0" borderId="0" xfId="0"/>
    <xf numFmtId="0" fontId="0" fillId="0" borderId="0" xfId="0"/>
    <xf numFmtId="0" fontId="0" fillId="0" borderId="0" xfId="0"/>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Fill="1" applyBorder="1"/>
    <xf numFmtId="0" fontId="24" fillId="0" borderId="0" xfId="0" applyFont="1"/>
    <xf numFmtId="0" fontId="0" fillId="0" borderId="18" xfId="0" applyBorder="1"/>
    <xf numFmtId="0" fontId="0" fillId="0" borderId="17" xfId="0" applyBorder="1"/>
    <xf numFmtId="0" fontId="0" fillId="0" borderId="16" xfId="0" applyBorder="1"/>
    <xf numFmtId="0" fontId="0" fillId="0" borderId="19" xfId="0" applyBorder="1"/>
    <xf numFmtId="0" fontId="0" fillId="0" borderId="0" xfId="0" applyBorder="1"/>
    <xf numFmtId="0" fontId="0" fillId="0" borderId="20" xfId="0" applyBorder="1"/>
    <xf numFmtId="0" fontId="0" fillId="0" borderId="0" xfId="0"/>
    <xf numFmtId="0" fontId="0" fillId="0" borderId="0" xfId="0"/>
    <xf numFmtId="0" fontId="0" fillId="0" borderId="0" xfId="0"/>
    <xf numFmtId="0" fontId="0" fillId="0" borderId="0" xfId="0" applyAlignment="1">
      <alignment horizontal="center"/>
    </xf>
    <xf numFmtId="14" fontId="0" fillId="0" borderId="0" xfId="0" applyNumberFormat="1" applyAlignment="1">
      <alignment horizontal="center"/>
    </xf>
    <xf numFmtId="3" fontId="0" fillId="0" borderId="0" xfId="0" applyNumberFormat="1" applyAlignment="1">
      <alignment horizontal="center"/>
    </xf>
    <xf numFmtId="0" fontId="0" fillId="0" borderId="0" xfId="0"/>
    <xf numFmtId="22" fontId="0" fillId="0" borderId="0" xfId="0" applyNumberFormat="1"/>
    <xf numFmtId="164" fontId="0" fillId="0" borderId="0" xfId="0" applyNumberFormat="1"/>
    <xf numFmtId="0" fontId="25" fillId="34" borderId="28" xfId="0" applyFont="1" applyFill="1" applyBorder="1" applyAlignment="1">
      <alignment horizontal="center" vertical="center"/>
    </xf>
    <xf numFmtId="3" fontId="26" fillId="35" borderId="35" xfId="0" applyNumberFormat="1" applyFont="1" applyFill="1" applyBorder="1" applyAlignment="1">
      <alignment horizontal="center" vertical="top"/>
    </xf>
    <xf numFmtId="0" fontId="26" fillId="35" borderId="35" xfId="0" applyFont="1" applyFill="1" applyBorder="1" applyAlignment="1">
      <alignment horizontal="center" vertical="top"/>
    </xf>
    <xf numFmtId="0" fontId="25" fillId="34" borderId="38" xfId="0" applyFont="1" applyFill="1" applyBorder="1" applyAlignment="1">
      <alignment horizontal="center" vertical="center"/>
    </xf>
    <xf numFmtId="14" fontId="27" fillId="36" borderId="39" xfId="0" applyNumberFormat="1" applyFont="1" applyFill="1" applyBorder="1" applyAlignment="1">
      <alignment vertical="top"/>
    </xf>
    <xf numFmtId="0" fontId="25" fillId="34" borderId="40" xfId="0" applyFont="1" applyFill="1" applyBorder="1" applyAlignment="1">
      <alignment horizontal="center" vertical="center"/>
    </xf>
    <xf numFmtId="14" fontId="27" fillId="36" borderId="41" xfId="0" applyNumberFormat="1" applyFont="1" applyFill="1" applyBorder="1" applyAlignment="1">
      <alignment vertical="top"/>
    </xf>
    <xf numFmtId="0" fontId="25" fillId="34" borderId="26" xfId="0" applyFont="1" applyFill="1" applyBorder="1" applyAlignment="1">
      <alignment horizontal="center" vertical="center" wrapText="1"/>
    </xf>
    <xf numFmtId="0" fontId="27" fillId="36" borderId="34" xfId="0" applyFont="1" applyFill="1" applyBorder="1" applyAlignment="1">
      <alignment vertical="top"/>
    </xf>
    <xf numFmtId="0" fontId="27" fillId="36" borderId="35" xfId="0" applyFont="1" applyFill="1" applyBorder="1" applyAlignment="1">
      <alignment vertical="top"/>
    </xf>
    <xf numFmtId="14" fontId="27" fillId="36" borderId="35" xfId="0" applyNumberFormat="1" applyFont="1" applyFill="1" applyBorder="1" applyAlignment="1">
      <alignment horizontal="center" vertical="top"/>
    </xf>
    <xf numFmtId="14" fontId="26" fillId="35" borderId="35" xfId="0" applyNumberFormat="1" applyFont="1" applyFill="1" applyBorder="1" applyAlignment="1">
      <alignment horizontal="center" vertical="top"/>
    </xf>
    <xf numFmtId="165" fontId="26" fillId="35" borderId="35" xfId="0" applyNumberFormat="1" applyFont="1" applyFill="1" applyBorder="1" applyAlignment="1">
      <alignment horizontal="center" vertical="top"/>
    </xf>
    <xf numFmtId="0" fontId="28" fillId="35" borderId="35" xfId="52" applyFont="1" applyFill="1" applyBorder="1" applyAlignment="1">
      <alignment vertical="top"/>
    </xf>
    <xf numFmtId="0" fontId="27" fillId="36" borderId="35" xfId="0" applyFont="1" applyFill="1" applyBorder="1" applyAlignment="1">
      <alignment horizontal="center" vertical="top"/>
    </xf>
    <xf numFmtId="0" fontId="25" fillId="34" borderId="53" xfId="0" applyFont="1" applyFill="1" applyBorder="1" applyAlignment="1">
      <alignment horizontal="left" vertical="center"/>
    </xf>
    <xf numFmtId="0" fontId="0" fillId="0" borderId="44" xfId="0" applyBorder="1"/>
    <xf numFmtId="0" fontId="27" fillId="36" borderId="59" xfId="0" applyFont="1" applyFill="1" applyBorder="1" applyAlignment="1">
      <alignment vertical="top"/>
    </xf>
    <xf numFmtId="0" fontId="27" fillId="36" borderId="59" xfId="0" applyFont="1" applyFill="1" applyBorder="1" applyAlignment="1">
      <alignment horizontal="center" vertical="top"/>
    </xf>
    <xf numFmtId="0" fontId="28" fillId="35" borderId="59" xfId="52" applyFont="1" applyFill="1" applyBorder="1" applyAlignment="1">
      <alignment vertical="top"/>
    </xf>
    <xf numFmtId="0" fontId="27" fillId="36" borderId="60" xfId="0" applyFont="1" applyFill="1" applyBorder="1" applyAlignment="1">
      <alignment vertical="top"/>
    </xf>
    <xf numFmtId="0" fontId="26" fillId="35" borderId="59" xfId="0" applyFont="1" applyFill="1" applyBorder="1" applyAlignment="1">
      <alignment vertical="top"/>
    </xf>
    <xf numFmtId="14" fontId="26" fillId="35" borderId="59" xfId="0" applyNumberFormat="1" applyFont="1" applyFill="1" applyBorder="1" applyAlignment="1">
      <alignment horizontal="center" vertical="top"/>
    </xf>
    <xf numFmtId="3" fontId="26" fillId="35" borderId="59" xfId="0" applyNumberFormat="1" applyFont="1" applyFill="1" applyBorder="1" applyAlignment="1">
      <alignment horizontal="center" vertical="top"/>
    </xf>
    <xf numFmtId="165" fontId="26" fillId="35" borderId="59" xfId="0" applyNumberFormat="1" applyFont="1" applyFill="1" applyBorder="1" applyAlignment="1">
      <alignment horizontal="center" vertical="top"/>
    </xf>
    <xf numFmtId="3" fontId="0" fillId="0" borderId="44" xfId="0" applyNumberFormat="1" applyBorder="1" applyAlignment="1">
      <alignment horizontal="center"/>
    </xf>
    <xf numFmtId="0" fontId="0" fillId="0" borderId="44" xfId="0" applyBorder="1" applyAlignment="1">
      <alignment horizontal="center"/>
    </xf>
    <xf numFmtId="0" fontId="25" fillId="34" borderId="64" xfId="0" applyFont="1" applyFill="1" applyBorder="1" applyAlignment="1">
      <alignment horizontal="center" vertical="center"/>
    </xf>
    <xf numFmtId="0" fontId="0" fillId="0" borderId="29" xfId="0" applyBorder="1"/>
    <xf numFmtId="0" fontId="26" fillId="35" borderId="59" xfId="0" applyFont="1" applyFill="1" applyBorder="1" applyAlignment="1">
      <alignment horizontal="center" vertical="top"/>
    </xf>
    <xf numFmtId="4" fontId="26" fillId="35" borderId="59" xfId="0" applyNumberFormat="1" applyFont="1" applyFill="1" applyBorder="1" applyAlignment="1">
      <alignment horizontal="center" vertical="top"/>
    </xf>
    <xf numFmtId="4" fontId="26" fillId="35" borderId="35" xfId="0" applyNumberFormat="1" applyFont="1" applyFill="1" applyBorder="1" applyAlignment="1">
      <alignment horizontal="center" vertical="top"/>
    </xf>
    <xf numFmtId="0" fontId="27" fillId="37" borderId="59" xfId="0" applyFont="1" applyFill="1" applyBorder="1" applyAlignment="1">
      <alignment horizontal="center" vertical="top"/>
    </xf>
    <xf numFmtId="0" fontId="27" fillId="37" borderId="35" xfId="0" applyFont="1" applyFill="1" applyBorder="1" applyAlignment="1">
      <alignment horizontal="center" vertical="top"/>
    </xf>
    <xf numFmtId="22" fontId="0" fillId="0" borderId="0" xfId="0" applyNumberFormat="1" applyBorder="1"/>
    <xf numFmtId="22" fontId="0" fillId="0" borderId="29" xfId="0" applyNumberFormat="1" applyBorder="1"/>
    <xf numFmtId="0" fontId="0" fillId="0" borderId="0" xfId="0" applyBorder="1" applyAlignment="1">
      <alignment horizontal="center"/>
    </xf>
    <xf numFmtId="0" fontId="0" fillId="0" borderId="0" xfId="0"/>
    <xf numFmtId="0" fontId="0" fillId="0" borderId="0" xfId="0"/>
    <xf numFmtId="0" fontId="25" fillId="34" borderId="65" xfId="0" applyFont="1" applyFill="1" applyBorder="1" applyAlignment="1">
      <alignment horizontal="center" vertical="center" wrapText="1"/>
    </xf>
    <xf numFmtId="0" fontId="25" fillId="34" borderId="51" xfId="0" applyFont="1" applyFill="1" applyBorder="1" applyAlignment="1">
      <alignment horizontal="center" vertical="center" wrapText="1"/>
    </xf>
    <xf numFmtId="0" fontId="25" fillId="34" borderId="32" xfId="0" applyFont="1" applyFill="1" applyBorder="1" applyAlignment="1">
      <alignment horizontal="center" vertical="center" wrapText="1"/>
    </xf>
    <xf numFmtId="0" fontId="25" fillId="34" borderId="63" xfId="0" applyFont="1" applyFill="1" applyBorder="1" applyAlignment="1">
      <alignment horizontal="center" vertical="center" wrapText="1"/>
    </xf>
    <xf numFmtId="0" fontId="25" fillId="34" borderId="47" xfId="0" applyFont="1" applyFill="1" applyBorder="1" applyAlignment="1">
      <alignment horizontal="center" vertical="center" wrapText="1"/>
    </xf>
    <xf numFmtId="0" fontId="25" fillId="34" borderId="50" xfId="0" applyFont="1" applyFill="1" applyBorder="1" applyAlignment="1">
      <alignment horizontal="left" vertical="center"/>
    </xf>
    <xf numFmtId="0" fontId="25" fillId="34" borderId="43" xfId="0" applyFont="1" applyFill="1" applyBorder="1" applyAlignment="1">
      <alignment horizontal="left" vertical="center"/>
    </xf>
    <xf numFmtId="0" fontId="25" fillId="34" borderId="49" xfId="0" applyFont="1" applyFill="1" applyBorder="1" applyAlignment="1">
      <alignment horizontal="left" vertical="center"/>
    </xf>
    <xf numFmtId="0" fontId="0" fillId="0" borderId="0" xfId="0"/>
    <xf numFmtId="0" fontId="0" fillId="0" borderId="0" xfId="0"/>
    <xf numFmtId="0" fontId="26" fillId="35" borderId="37" xfId="0" applyFont="1" applyFill="1" applyBorder="1" applyAlignment="1">
      <alignment vertical="top"/>
    </xf>
    <xf numFmtId="3" fontId="27" fillId="36" borderId="35" xfId="0" applyNumberFormat="1" applyFont="1" applyFill="1" applyBorder="1" applyAlignment="1">
      <alignment horizontal="center" vertical="top"/>
    </xf>
    <xf numFmtId="22" fontId="27" fillId="36" borderId="35" xfId="0" applyNumberFormat="1" applyFont="1" applyFill="1" applyBorder="1" applyAlignment="1">
      <alignment horizontal="center" vertical="top"/>
    </xf>
    <xf numFmtId="22" fontId="0" fillId="0" borderId="0" xfId="0" applyNumberFormat="1" applyAlignment="1">
      <alignment horizontal="center"/>
    </xf>
    <xf numFmtId="3" fontId="27" fillId="36" borderId="59" xfId="0" applyNumberFormat="1" applyFont="1" applyFill="1" applyBorder="1" applyAlignment="1">
      <alignment horizontal="center" vertical="top"/>
    </xf>
    <xf numFmtId="0" fontId="26" fillId="35" borderId="68" xfId="0" applyFont="1" applyFill="1" applyBorder="1" applyAlignment="1">
      <alignment vertical="top"/>
    </xf>
    <xf numFmtId="14" fontId="27" fillId="36" borderId="59" xfId="0" applyNumberFormat="1" applyFont="1" applyFill="1" applyBorder="1" applyAlignment="1">
      <alignment horizontal="center" vertical="top"/>
    </xf>
    <xf numFmtId="0" fontId="0" fillId="0" borderId="0" xfId="0"/>
    <xf numFmtId="0" fontId="29" fillId="0" borderId="0" xfId="0" applyFont="1" applyFill="1" applyAlignment="1" applyProtection="1">
      <alignment horizontal="left"/>
    </xf>
    <xf numFmtId="0" fontId="0" fillId="0" borderId="0" xfId="0"/>
    <xf numFmtId="0" fontId="29" fillId="0" borderId="0" xfId="0" applyFont="1" applyFill="1" applyAlignment="1" applyProtection="1">
      <alignment horizontal="left"/>
    </xf>
    <xf numFmtId="0" fontId="29" fillId="0" borderId="0" xfId="0" applyFont="1" applyAlignment="1" applyProtection="1">
      <alignment horizontal="left"/>
    </xf>
    <xf numFmtId="14" fontId="0" fillId="0" borderId="44" xfId="0" applyNumberFormat="1" applyBorder="1" applyAlignment="1">
      <alignment horizontal="center"/>
    </xf>
    <xf numFmtId="0" fontId="27" fillId="36" borderId="61" xfId="0" applyFont="1" applyFill="1" applyBorder="1" applyAlignment="1">
      <alignment horizontal="center" vertical="top"/>
    </xf>
    <xf numFmtId="0" fontId="27" fillId="36" borderId="62" xfId="0" applyFont="1" applyFill="1" applyBorder="1" applyAlignment="1">
      <alignment horizontal="center" vertical="top"/>
    </xf>
    <xf numFmtId="0" fontId="26" fillId="35" borderId="61" xfId="0" applyFont="1" applyFill="1" applyBorder="1" applyAlignment="1">
      <alignment horizontal="center" vertical="top"/>
    </xf>
    <xf numFmtId="0" fontId="27" fillId="36" borderId="36" xfId="0" applyFont="1" applyFill="1" applyBorder="1" applyAlignment="1">
      <alignment horizontal="center" vertical="top"/>
    </xf>
    <xf numFmtId="0" fontId="27" fillId="36" borderId="24" xfId="0" applyFont="1" applyFill="1" applyBorder="1" applyAlignment="1">
      <alignment horizontal="center" vertical="top"/>
    </xf>
    <xf numFmtId="0" fontId="26" fillId="35" borderId="36" xfId="0" applyFont="1" applyFill="1" applyBorder="1" applyAlignment="1">
      <alignment horizontal="center" vertical="top"/>
    </xf>
    <xf numFmtId="0" fontId="28" fillId="35" borderId="59" xfId="52" applyFont="1" applyFill="1" applyBorder="1" applyAlignment="1">
      <alignment horizontal="center" vertical="top"/>
    </xf>
    <xf numFmtId="22" fontId="0" fillId="0" borderId="44" xfId="0" applyNumberFormat="1" applyBorder="1" applyAlignment="1">
      <alignment horizontal="center"/>
    </xf>
    <xf numFmtId="0" fontId="28" fillId="35" borderId="35" xfId="52" applyFont="1" applyFill="1" applyBorder="1" applyAlignment="1">
      <alignment horizontal="center" vertical="top"/>
    </xf>
    <xf numFmtId="0" fontId="0" fillId="0" borderId="0" xfId="0"/>
    <xf numFmtId="0" fontId="16" fillId="38" borderId="72" xfId="0" applyFont="1" applyFill="1" applyBorder="1" applyAlignment="1">
      <alignment horizontal="left" indent="1"/>
    </xf>
    <xf numFmtId="0" fontId="0" fillId="38" borderId="73" xfId="0" applyFill="1" applyBorder="1"/>
    <xf numFmtId="0" fontId="0" fillId="38" borderId="74" xfId="0" applyFill="1" applyBorder="1"/>
    <xf numFmtId="4" fontId="27" fillId="36" borderId="60" xfId="0" applyNumberFormat="1" applyFont="1" applyFill="1" applyBorder="1" applyAlignment="1">
      <alignment horizontal="center" vertical="top"/>
    </xf>
    <xf numFmtId="4" fontId="27" fillId="36" borderId="34" xfId="0" applyNumberFormat="1" applyFont="1" applyFill="1" applyBorder="1" applyAlignment="1">
      <alignment horizontal="center" vertical="top"/>
    </xf>
    <xf numFmtId="0" fontId="0" fillId="0" borderId="0" xfId="0"/>
    <xf numFmtId="0" fontId="0" fillId="0" borderId="0" xfId="0"/>
    <xf numFmtId="2" fontId="27" fillId="36" borderId="59" xfId="0" applyNumberFormat="1" applyFont="1" applyFill="1" applyBorder="1" applyAlignment="1">
      <alignment horizontal="center" vertical="top"/>
    </xf>
    <xf numFmtId="2" fontId="27" fillId="36" borderId="35" xfId="0" applyNumberFormat="1" applyFont="1" applyFill="1" applyBorder="1" applyAlignment="1">
      <alignment horizontal="center" vertical="top"/>
    </xf>
    <xf numFmtId="0" fontId="0" fillId="0" borderId="0"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1" fontId="0" fillId="0" borderId="0" xfId="0" applyNumberFormat="1"/>
    <xf numFmtId="0" fontId="0" fillId="0" borderId="37" xfId="0" applyBorder="1"/>
    <xf numFmtId="0" fontId="0" fillId="0" borderId="37" xfId="0" applyFill="1" applyBorder="1"/>
    <xf numFmtId="14" fontId="0" fillId="0" borderId="37" xfId="0" applyNumberFormat="1" applyBorder="1"/>
    <xf numFmtId="164" fontId="0" fillId="0" borderId="37" xfId="0" applyNumberFormat="1" applyBorder="1"/>
    <xf numFmtId="167" fontId="0" fillId="0" borderId="37" xfId="76" applyNumberFormat="1" applyFont="1" applyBorder="1"/>
    <xf numFmtId="15" fontId="27" fillId="36" borderId="59" xfId="0" applyNumberFormat="1" applyFont="1" applyFill="1" applyBorder="1" applyAlignment="1">
      <alignment horizontal="center" vertical="top"/>
    </xf>
    <xf numFmtId="15" fontId="27" fillId="36" borderId="35" xfId="0" applyNumberFormat="1" applyFont="1" applyFill="1" applyBorder="1" applyAlignment="1">
      <alignment horizontal="center" vertical="top"/>
    </xf>
    <xf numFmtId="9" fontId="26" fillId="35" borderId="59" xfId="0" applyNumberFormat="1" applyFont="1" applyFill="1" applyBorder="1" applyAlignment="1">
      <alignment horizontal="center" vertical="top"/>
    </xf>
    <xf numFmtId="0" fontId="25" fillId="34" borderId="47" xfId="0" applyFont="1" applyFill="1" applyBorder="1" applyAlignment="1">
      <alignment horizontal="center" vertical="center" wrapText="1"/>
    </xf>
    <xf numFmtId="0" fontId="25" fillId="34" borderId="63" xfId="0" applyFont="1" applyFill="1" applyBorder="1" applyAlignment="1">
      <alignment horizontal="center" vertical="center" wrapText="1"/>
    </xf>
    <xf numFmtId="0" fontId="25" fillId="34" borderId="32" xfId="0" applyFont="1" applyFill="1" applyBorder="1" applyAlignment="1">
      <alignment horizontal="center" vertical="center" wrapText="1"/>
    </xf>
    <xf numFmtId="0" fontId="25" fillId="34" borderId="26" xfId="0" applyFont="1" applyFill="1" applyBorder="1" applyAlignment="1">
      <alignment horizontal="center" vertical="center" wrapText="1"/>
    </xf>
    <xf numFmtId="0" fontId="25" fillId="34" borderId="51" xfId="0" applyFont="1" applyFill="1" applyBorder="1" applyAlignment="1">
      <alignment horizontal="center" vertical="center" wrapText="1"/>
    </xf>
    <xf numFmtId="0" fontId="25" fillId="34" borderId="65" xfId="0" applyFont="1" applyFill="1" applyBorder="1" applyAlignment="1">
      <alignment horizontal="center" vertical="center" wrapText="1"/>
    </xf>
    <xf numFmtId="0" fontId="25" fillId="34" borderId="70" xfId="0" applyFont="1" applyFill="1" applyBorder="1" applyAlignment="1">
      <alignment horizontal="center" vertical="center"/>
    </xf>
    <xf numFmtId="0" fontId="25" fillId="34" borderId="66" xfId="0" applyFont="1" applyFill="1" applyBorder="1" applyAlignment="1">
      <alignment horizontal="center" vertical="center"/>
    </xf>
    <xf numFmtId="0" fontId="25" fillId="34" borderId="40" xfId="0" applyFont="1" applyFill="1" applyBorder="1" applyAlignment="1">
      <alignment horizontal="center" vertical="center"/>
    </xf>
    <xf numFmtId="0" fontId="25" fillId="34" borderId="71" xfId="0" applyFont="1" applyFill="1" applyBorder="1" applyAlignment="1">
      <alignment horizontal="center" vertical="center"/>
    </xf>
    <xf numFmtId="0" fontId="27" fillId="36" borderId="70" xfId="0" applyFont="1" applyFill="1" applyBorder="1" applyAlignment="1">
      <alignment horizontal="center" vertical="center"/>
    </xf>
    <xf numFmtId="0" fontId="27" fillId="36" borderId="23" xfId="0" applyFont="1" applyFill="1" applyBorder="1" applyAlignment="1">
      <alignment horizontal="center" vertical="center"/>
    </xf>
    <xf numFmtId="0" fontId="27" fillId="36" borderId="66" xfId="0" applyFont="1" applyFill="1" applyBorder="1" applyAlignment="1">
      <alignment horizontal="center" vertical="center"/>
    </xf>
    <xf numFmtId="0" fontId="27" fillId="36" borderId="40" xfId="0" applyFont="1" applyFill="1" applyBorder="1" applyAlignment="1">
      <alignment horizontal="center" vertical="center"/>
    </xf>
    <xf numFmtId="0" fontId="27" fillId="36" borderId="42" xfId="0" applyFont="1" applyFill="1" applyBorder="1" applyAlignment="1">
      <alignment horizontal="center" vertical="center"/>
    </xf>
    <xf numFmtId="0" fontId="27" fillId="36" borderId="71" xfId="0" applyFont="1" applyFill="1" applyBorder="1" applyAlignment="1">
      <alignment horizontal="center" vertical="center"/>
    </xf>
    <xf numFmtId="0" fontId="25" fillId="34" borderId="21" xfId="0" applyFont="1" applyFill="1" applyBorder="1" applyAlignment="1">
      <alignment horizontal="center" vertical="center" wrapText="1"/>
    </xf>
    <xf numFmtId="0" fontId="25" fillId="34" borderId="30" xfId="0" applyFont="1" applyFill="1" applyBorder="1" applyAlignment="1">
      <alignment horizontal="center" vertical="center" wrapText="1"/>
    </xf>
    <xf numFmtId="0" fontId="25" fillId="34" borderId="52" xfId="0" applyFont="1" applyFill="1" applyBorder="1" applyAlignment="1">
      <alignment horizontal="center" vertical="center" wrapText="1"/>
    </xf>
    <xf numFmtId="0" fontId="25" fillId="34" borderId="49" xfId="0" applyFont="1" applyFill="1" applyBorder="1" applyAlignment="1">
      <alignment horizontal="left" vertical="center"/>
    </xf>
    <xf numFmtId="0" fontId="25" fillId="34" borderId="43" xfId="0" applyFont="1" applyFill="1" applyBorder="1" applyAlignment="1">
      <alignment horizontal="left" vertical="center"/>
    </xf>
    <xf numFmtId="0" fontId="25" fillId="34" borderId="50" xfId="0" applyFont="1" applyFill="1" applyBorder="1" applyAlignment="1">
      <alignment horizontal="left" vertical="center"/>
    </xf>
    <xf numFmtId="0" fontId="25" fillId="34" borderId="56" xfId="0" applyFont="1" applyFill="1" applyBorder="1" applyAlignment="1">
      <alignment horizontal="center" vertical="center" wrapText="1"/>
    </xf>
    <xf numFmtId="0" fontId="25" fillId="34" borderId="58" xfId="0" applyFont="1" applyFill="1" applyBorder="1" applyAlignment="1">
      <alignment horizontal="center" vertical="center" wrapText="1"/>
    </xf>
    <xf numFmtId="0" fontId="25" fillId="34" borderId="54" xfId="0" applyFont="1" applyFill="1" applyBorder="1" applyAlignment="1">
      <alignment horizontal="left" vertical="center"/>
    </xf>
    <xf numFmtId="0" fontId="25" fillId="34" borderId="55" xfId="0" applyFont="1" applyFill="1" applyBorder="1" applyAlignment="1">
      <alignment horizontal="left" vertical="center"/>
    </xf>
    <xf numFmtId="0" fontId="25" fillId="34" borderId="56" xfId="0" applyFont="1" applyFill="1" applyBorder="1" applyAlignment="1">
      <alignment horizontal="left" vertical="center"/>
    </xf>
    <xf numFmtId="0" fontId="25" fillId="34" borderId="54" xfId="0" applyFont="1" applyFill="1" applyBorder="1" applyAlignment="1">
      <alignment horizontal="center" vertical="center" wrapText="1"/>
    </xf>
    <xf numFmtId="0" fontId="25" fillId="34" borderId="57" xfId="0" applyFont="1" applyFill="1" applyBorder="1" applyAlignment="1">
      <alignment horizontal="center" vertical="center" wrapText="1"/>
    </xf>
    <xf numFmtId="0" fontId="25" fillId="34" borderId="55" xfId="0" applyFont="1" applyFill="1" applyBorder="1" applyAlignment="1">
      <alignment horizontal="center" vertical="center" wrapText="1"/>
    </xf>
    <xf numFmtId="0" fontId="25" fillId="34" borderId="25" xfId="0" applyFont="1" applyFill="1" applyBorder="1" applyAlignment="1">
      <alignment horizontal="center" vertical="center" wrapText="1"/>
    </xf>
    <xf numFmtId="0" fontId="25" fillId="34" borderId="27" xfId="0" applyFont="1" applyFill="1" applyBorder="1" applyAlignment="1">
      <alignment vertical="center"/>
    </xf>
    <xf numFmtId="0" fontId="25" fillId="34" borderId="48" xfId="0" applyFont="1" applyFill="1" applyBorder="1" applyAlignment="1">
      <alignment vertical="center"/>
    </xf>
    <xf numFmtId="0" fontId="25" fillId="34" borderId="47" xfId="0" applyFont="1" applyFill="1" applyBorder="1" applyAlignment="1">
      <alignment horizontal="center" vertical="center"/>
    </xf>
    <xf numFmtId="0" fontId="25" fillId="34" borderId="63" xfId="0" applyFont="1" applyFill="1" applyBorder="1" applyAlignment="1">
      <alignment horizontal="center" vertical="center"/>
    </xf>
    <xf numFmtId="0" fontId="27" fillId="36" borderId="86" xfId="0" applyFont="1" applyFill="1" applyBorder="1" applyAlignment="1">
      <alignment horizontal="center" vertical="center" wrapText="1"/>
    </xf>
    <xf numFmtId="0" fontId="27" fillId="36" borderId="87" xfId="0" applyFont="1" applyFill="1" applyBorder="1" applyAlignment="1">
      <alignment horizontal="center" vertical="center" wrapText="1"/>
    </xf>
    <xf numFmtId="0" fontId="25" fillId="34" borderId="45" xfId="0" applyFont="1" applyFill="1" applyBorder="1" applyAlignment="1">
      <alignment vertical="center"/>
    </xf>
    <xf numFmtId="0" fontId="25" fillId="34" borderId="33" xfId="0" applyFont="1" applyFill="1" applyBorder="1" applyAlignment="1">
      <alignment vertical="center"/>
    </xf>
    <xf numFmtId="0" fontId="25" fillId="34" borderId="46" xfId="0" applyFont="1" applyFill="1" applyBorder="1" applyAlignment="1">
      <alignment vertical="center"/>
    </xf>
    <xf numFmtId="0" fontId="25" fillId="34" borderId="22" xfId="0" applyFont="1" applyFill="1" applyBorder="1" applyAlignment="1">
      <alignment horizontal="center" vertical="center" wrapText="1"/>
    </xf>
    <xf numFmtId="0" fontId="25" fillId="34" borderId="31" xfId="0" applyFont="1" applyFill="1" applyBorder="1" applyAlignment="1">
      <alignment horizontal="center" vertical="center" wrapText="1"/>
    </xf>
    <xf numFmtId="0" fontId="25" fillId="34" borderId="37" xfId="0" applyFont="1" applyFill="1" applyBorder="1" applyAlignment="1">
      <alignment horizontal="center" vertical="center"/>
    </xf>
    <xf numFmtId="0" fontId="27" fillId="36" borderId="37" xfId="0" applyFont="1" applyFill="1" applyBorder="1" applyAlignment="1">
      <alignment horizontal="center" vertical="center"/>
    </xf>
    <xf numFmtId="0" fontId="25" fillId="34" borderId="67" xfId="0" applyFont="1" applyFill="1" applyBorder="1" applyAlignment="1">
      <alignment horizontal="center" vertical="center" wrapText="1"/>
    </xf>
    <xf numFmtId="0" fontId="25" fillId="34" borderId="32" xfId="0" applyFont="1" applyFill="1" applyBorder="1" applyAlignment="1">
      <alignment horizontal="center" vertical="center"/>
    </xf>
    <xf numFmtId="0" fontId="25" fillId="34" borderId="26" xfId="0" applyFont="1" applyFill="1" applyBorder="1" applyAlignment="1">
      <alignment horizontal="center" vertical="center"/>
    </xf>
    <xf numFmtId="0" fontId="25" fillId="34" borderId="69" xfId="0" applyFont="1" applyFill="1" applyBorder="1" applyAlignment="1">
      <alignment horizontal="center" vertical="center" wrapText="1"/>
    </xf>
    <xf numFmtId="0" fontId="25" fillId="34" borderId="23" xfId="0" applyFont="1" applyFill="1" applyBorder="1" applyAlignment="1">
      <alignment horizontal="center" vertical="center" wrapText="1"/>
    </xf>
    <xf numFmtId="0" fontId="25" fillId="34" borderId="0" xfId="0" applyFont="1" applyFill="1" applyBorder="1" applyAlignment="1">
      <alignment horizontal="center" vertical="center" wrapText="1"/>
    </xf>
    <xf numFmtId="0" fontId="25" fillId="34" borderId="82" xfId="0" applyFont="1" applyFill="1" applyBorder="1" applyAlignment="1">
      <alignment horizontal="center" vertical="center" wrapText="1"/>
    </xf>
    <xf numFmtId="0" fontId="25" fillId="34" borderId="70" xfId="0" applyFont="1" applyFill="1" applyBorder="1" applyAlignment="1">
      <alignment horizontal="center" vertical="center" wrapText="1"/>
    </xf>
    <xf numFmtId="0" fontId="25" fillId="34" borderId="66" xfId="0" applyFont="1" applyFill="1" applyBorder="1" applyAlignment="1">
      <alignment horizontal="center" vertical="center" wrapText="1"/>
    </xf>
    <xf numFmtId="0" fontId="25" fillId="34" borderId="40" xfId="0" applyFont="1" applyFill="1" applyBorder="1" applyAlignment="1">
      <alignment horizontal="center" vertical="center" wrapText="1"/>
    </xf>
    <xf numFmtId="0" fontId="25" fillId="34" borderId="42" xfId="0" applyFont="1" applyFill="1" applyBorder="1" applyAlignment="1">
      <alignment horizontal="center" vertical="center" wrapText="1"/>
    </xf>
    <xf numFmtId="0" fontId="25" fillId="34" borderId="71" xfId="0" applyFont="1" applyFill="1" applyBorder="1" applyAlignment="1">
      <alignment horizontal="center" vertical="center" wrapText="1"/>
    </xf>
    <xf numFmtId="0" fontId="25" fillId="34" borderId="83" xfId="0" applyFont="1" applyFill="1" applyBorder="1" applyAlignment="1">
      <alignment horizontal="center" vertical="center" wrapText="1"/>
    </xf>
    <xf numFmtId="0" fontId="25" fillId="34" borderId="79" xfId="0" applyFont="1" applyFill="1" applyBorder="1" applyAlignment="1">
      <alignment horizontal="center" vertical="center" wrapText="1"/>
    </xf>
    <xf numFmtId="0" fontId="25" fillId="34" borderId="84" xfId="0" applyFont="1" applyFill="1" applyBorder="1" applyAlignment="1">
      <alignment horizontal="center" vertical="center" wrapText="1"/>
    </xf>
    <xf numFmtId="0" fontId="25" fillId="34" borderId="38" xfId="0" applyFont="1" applyFill="1" applyBorder="1" applyAlignment="1">
      <alignment horizontal="left" vertical="center"/>
    </xf>
    <xf numFmtId="0" fontId="25" fillId="34" borderId="77" xfId="0" applyFont="1" applyFill="1" applyBorder="1" applyAlignment="1">
      <alignment horizontal="left" vertical="center"/>
    </xf>
    <xf numFmtId="0" fontId="25" fillId="34" borderId="78" xfId="0" applyFont="1" applyFill="1" applyBorder="1" applyAlignment="1">
      <alignment horizontal="left" vertical="center"/>
    </xf>
    <xf numFmtId="0" fontId="25" fillId="34" borderId="81" xfId="0" applyFont="1" applyFill="1" applyBorder="1" applyAlignment="1">
      <alignment horizontal="center" vertical="center" wrapText="1"/>
    </xf>
    <xf numFmtId="0" fontId="25" fillId="34" borderId="75" xfId="0" applyFont="1" applyFill="1" applyBorder="1" applyAlignment="1">
      <alignment horizontal="center" vertical="center" wrapText="1"/>
    </xf>
    <xf numFmtId="0" fontId="25" fillId="34" borderId="49" xfId="0" applyFont="1" applyFill="1" applyBorder="1" applyAlignment="1">
      <alignment horizontal="center" vertical="center"/>
    </xf>
    <xf numFmtId="0" fontId="25" fillId="34" borderId="43" xfId="0" applyFont="1" applyFill="1" applyBorder="1" applyAlignment="1">
      <alignment horizontal="center" vertical="center"/>
    </xf>
    <xf numFmtId="0" fontId="25" fillId="34" borderId="85" xfId="0" applyFont="1" applyFill="1" applyBorder="1" applyAlignment="1">
      <alignment horizontal="center" vertical="center" wrapText="1"/>
    </xf>
    <xf numFmtId="0" fontId="25" fillId="34" borderId="80" xfId="0" applyFont="1" applyFill="1" applyBorder="1" applyAlignment="1">
      <alignment horizontal="center" vertical="center" wrapText="1"/>
    </xf>
    <xf numFmtId="0" fontId="25" fillId="34" borderId="76" xfId="0" applyFont="1" applyFill="1" applyBorder="1" applyAlignment="1">
      <alignment horizontal="left" vertical="center"/>
    </xf>
    <xf numFmtId="0" fontId="0" fillId="45" borderId="0" xfId="0" applyFill="1" applyAlignment="1"/>
    <xf numFmtId="0" fontId="0" fillId="0" borderId="0" xfId="0" applyAlignment="1"/>
    <xf numFmtId="0" fontId="0" fillId="46" borderId="0" xfId="0" applyFill="1" applyAlignment="1"/>
    <xf numFmtId="0" fontId="0" fillId="39" borderId="0" xfId="0" applyFill="1" applyAlignment="1"/>
    <xf numFmtId="0" fontId="0" fillId="47" borderId="0" xfId="0" applyFill="1" applyAlignment="1"/>
    <xf numFmtId="0" fontId="30" fillId="0" borderId="0" xfId="0" applyFont="1" applyAlignment="1">
      <alignment horizontal="center" vertical="center"/>
    </xf>
    <xf numFmtId="0" fontId="0" fillId="40" borderId="0" xfId="0" applyFill="1" applyAlignment="1"/>
    <xf numFmtId="0" fontId="0" fillId="41" borderId="0" xfId="0" applyFill="1" applyAlignment="1"/>
    <xf numFmtId="0" fontId="0" fillId="42" borderId="0" xfId="0" applyFill="1" applyAlignment="1"/>
    <xf numFmtId="0" fontId="0" fillId="43" borderId="0" xfId="0" applyFill="1" applyAlignment="1"/>
    <xf numFmtId="0" fontId="0" fillId="44" borderId="0" xfId="0" applyFill="1" applyAlignment="1"/>
    <xf numFmtId="0" fontId="0" fillId="0" borderId="0" xfId="0" applyAlignment="1">
      <alignment horizontal="center" vertical="center"/>
    </xf>
    <xf numFmtId="15" fontId="27" fillId="36" borderId="87" xfId="0" applyNumberFormat="1" applyFont="1" applyFill="1" applyBorder="1" applyAlignment="1">
      <alignment horizontal="center" vertical="top"/>
    </xf>
    <xf numFmtId="0" fontId="25" fillId="34" borderId="88" xfId="0" applyFont="1" applyFill="1" applyBorder="1" applyAlignment="1">
      <alignment horizontal="center" vertical="center" wrapText="1"/>
    </xf>
    <xf numFmtId="0" fontId="0" fillId="0" borderId="89" xfId="0" applyBorder="1" applyAlignment="1">
      <alignment horizontal="center" vertical="center" wrapText="1"/>
    </xf>
    <xf numFmtId="0" fontId="0" fillId="0" borderId="90" xfId="0" applyBorder="1" applyAlignment="1">
      <alignment horizontal="center" vertical="center" wrapText="1"/>
    </xf>
    <xf numFmtId="15" fontId="32" fillId="36" borderId="59" xfId="0" applyNumberFormat="1" applyFont="1" applyFill="1" applyBorder="1" applyAlignment="1">
      <alignment horizontal="center" vertical="top"/>
    </xf>
    <xf numFmtId="15" fontId="32" fillId="36" borderId="35" xfId="0" applyNumberFormat="1" applyFont="1" applyFill="1" applyBorder="1" applyAlignment="1">
      <alignment horizontal="center" vertical="top"/>
    </xf>
    <xf numFmtId="0" fontId="32" fillId="36" borderId="35" xfId="0" applyFont="1" applyFill="1" applyBorder="1" applyAlignment="1">
      <alignment horizontal="center" vertical="top"/>
    </xf>
    <xf numFmtId="0" fontId="25" fillId="48" borderId="51" xfId="0" applyFont="1" applyFill="1" applyBorder="1" applyAlignment="1">
      <alignment horizontal="center" vertical="center" wrapText="1"/>
    </xf>
    <xf numFmtId="0" fontId="25" fillId="48" borderId="65" xfId="0" applyFont="1" applyFill="1" applyBorder="1" applyAlignment="1">
      <alignment horizontal="center" vertical="center" wrapText="1"/>
    </xf>
    <xf numFmtId="4" fontId="27" fillId="36" borderId="59" xfId="0" applyNumberFormat="1" applyFont="1" applyFill="1" applyBorder="1" applyAlignment="1">
      <alignment horizontal="center" vertical="top"/>
    </xf>
    <xf numFmtId="4" fontId="27" fillId="36" borderId="35" xfId="0" applyNumberFormat="1" applyFont="1" applyFill="1" applyBorder="1" applyAlignment="1">
      <alignment horizontal="center" vertical="top"/>
    </xf>
  </cellXfs>
  <cellStyles count="7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lp_column_header" xfId="42"/>
    <cellStyle name="Calculation" xfId="11" builtinId="22" customBuiltin="1"/>
    <cellStyle name="Check Cell" xfId="13" builtinId="23" customBuiltin="1"/>
    <cellStyle name="Comma" xfId="76" builtinId="3"/>
    <cellStyle name="Comma 2" xfId="44"/>
    <cellStyle name="Comma 2 2" xfId="45"/>
    <cellStyle name="Comma 2 2 2" xfId="46"/>
    <cellStyle name="Comma 2 3" xfId="47"/>
    <cellStyle name="Comma 2 4" xfId="48"/>
    <cellStyle name="Comma 2 5" xfId="74"/>
    <cellStyle name="Comma 3" xfId="49"/>
    <cellStyle name="Comma 4" xfId="50"/>
    <cellStyle name="Comma 5" xfId="51"/>
    <cellStyle name="Comma 6" xfId="43"/>
    <cellStyle name="Currency 2" xfId="75"/>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52" builtinId="8" customBuiltin="1"/>
    <cellStyle name="Input" xfId="9" builtinId="20" customBuiltin="1"/>
    <cellStyle name="Linked Cell" xfId="12" builtinId="24" customBuiltin="1"/>
    <cellStyle name="Neutral" xfId="8" builtinId="28" customBuiltin="1"/>
    <cellStyle name="Normal" xfId="0" builtinId="0"/>
    <cellStyle name="Normal 2" xfId="53"/>
    <cellStyle name="Normal 2 2" xfId="54"/>
    <cellStyle name="Normal 2 2 2" xfId="55"/>
    <cellStyle name="Normal 2 2 2 2" xfId="56"/>
    <cellStyle name="Normal 2 2 3" xfId="57"/>
    <cellStyle name="Normal 2 2 4" xfId="73"/>
    <cellStyle name="Normal 2 3" xfId="58"/>
    <cellStyle name="Normal 3" xfId="59"/>
    <cellStyle name="Normal 3 2" xfId="60"/>
    <cellStyle name="Normal 3 2 2" xfId="61"/>
    <cellStyle name="Normal 3 3" xfId="62"/>
    <cellStyle name="Normal 3 3 2" xfId="63"/>
    <cellStyle name="Normal 3 3 3" xfId="64"/>
    <cellStyle name="Normal 3 4" xfId="72"/>
    <cellStyle name="Normal 4" xfId="65"/>
    <cellStyle name="Normal 4 2" xfId="66"/>
    <cellStyle name="Normal 5" xfId="67"/>
    <cellStyle name="Normal 5 2" xfId="68"/>
    <cellStyle name="Normal 6" xfId="69"/>
    <cellStyle name="Note" xfId="15" builtinId="10" customBuiltin="1"/>
    <cellStyle name="Note 2" xfId="70"/>
    <cellStyle name="Output" xfId="10" builtinId="21" customBuiltin="1"/>
    <cellStyle name="Percent 2" xfId="71"/>
    <cellStyle name="Title" xfId="1" builtinId="15" customBuiltin="1"/>
    <cellStyle name="Total" xfId="17" builtinId="25" customBuiltin="1"/>
    <cellStyle name="Warning Text" xfId="14" builtinId="11" customBuiltin="1"/>
  </cellStyles>
  <dxfs count="12">
    <dxf>
      <fill>
        <gradientFill>
          <stop position="0">
            <color rgb="FFD9D9D9"/>
          </stop>
          <stop position="1">
            <color rgb="FFF2F2F2"/>
          </stop>
        </gradientFill>
      </fill>
    </dxf>
    <dxf>
      <fill>
        <gradientFill>
          <stop position="0">
            <color rgb="FFD9D9D9"/>
          </stop>
          <stop position="1">
            <color rgb="FFFFFFFF"/>
          </stop>
        </gradientFill>
      </fill>
    </dxf>
    <dxf>
      <fill>
        <gradientFill>
          <stop position="0">
            <color rgb="FFD9D9D9"/>
          </stop>
          <stop position="1">
            <color rgb="FFFFFFFF"/>
          </stop>
        </gradientFill>
      </fill>
    </dxf>
    <dxf>
      <fill>
        <gradientFill>
          <stop position="0">
            <color rgb="FFD9D9D9"/>
          </stop>
          <stop position="1">
            <color rgb="FFF2F2F2"/>
          </stop>
        </gradientFill>
      </fill>
    </dxf>
    <dxf>
      <fill>
        <gradientFill>
          <stop position="0">
            <color rgb="FFD9D9D9"/>
          </stop>
          <stop position="1">
            <color rgb="FFF2F2F2"/>
          </stop>
        </gradientFill>
      </fill>
    </dxf>
    <dxf>
      <fill>
        <gradientFill>
          <stop position="0">
            <color rgb="FFD9D9D9"/>
          </stop>
          <stop position="1">
            <color theme="0"/>
          </stop>
        </gradientFill>
      </fill>
    </dxf>
    <dxf>
      <fill>
        <gradientFill>
          <stop position="0">
            <color rgb="FFD9D9D9"/>
          </stop>
          <stop position="1">
            <color rgb="FFFFFFFF"/>
          </stop>
        </gradientFill>
      </fill>
    </dxf>
    <dxf>
      <fill>
        <gradientFill>
          <stop position="0">
            <color rgb="FFD9D9D9"/>
          </stop>
          <stop position="1">
            <color rgb="FFF2F2F2"/>
          </stop>
        </gradientFill>
      </fill>
    </dxf>
    <dxf>
      <numFmt numFmtId="4" formatCode="#,##0.00"/>
    </dxf>
    <dxf>
      <fill>
        <gradientFill>
          <stop position="0">
            <color rgb="FFD9D9D9"/>
          </stop>
          <stop position="1">
            <color rgb="FFFFFFFF"/>
          </stop>
        </gradientFill>
      </fill>
    </dxf>
    <dxf>
      <fill>
        <gradientFill>
          <stop position="0">
            <color rgb="FFD9D9D9"/>
          </stop>
          <stop position="1">
            <color rgb="FFF2F2F2"/>
          </stop>
        </gradientFill>
      </fill>
    </dxf>
    <dxf>
      <fill>
        <gradientFill>
          <stop position="0">
            <color rgb="FFD9D9D9"/>
          </stop>
          <stop position="1">
            <color rgb="FFF2F2F2"/>
          </stop>
        </gradientFill>
      </fill>
    </dxf>
  </dxfs>
  <tableStyles count="0" defaultTableStyle="TableStyleMedium2" defaultPivotStyle="PivotStyleLight16"/>
  <colors>
    <mruColors>
      <color rgb="FF006600"/>
      <color rgb="FFD9D9D9"/>
      <color rgb="FFFFFFFF"/>
      <color rgb="FFF2F2F2"/>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bloomberg.rtd">
      <tp t="s">
        <v>Pay</v>
        <stp/>
        <stp>##V3_BVIEW</stp>
        <stp>[XSLP -Swap Line Pricer.xlsm]Swaps!R28C67</stp>
        <stp>FXFL 164852</stp>
        <stp>Leg[2].PayoffSide</stp>
        <stp>headers=false</stp>
        <tr r="BO28" s="1"/>
        <tr r="BO28" s="1"/>
      </tp>
      <tp t="s">
        <v>Pay</v>
        <stp/>
        <stp>##V3_BVIEW</stp>
        <stp>[XSLP -Swap Line Pricer.xlsm]Swaps!R29C67</stp>
        <stp>FXFL 431830</stp>
        <stp>Leg[2].PayoffSide</stp>
        <stp>headers=false</stp>
        <tr r="BO29" s="1"/>
        <tr r="BO29" s="1"/>
      </tp>
      <tp t="s">
        <v>Pay</v>
        <stp/>
        <stp>##V3_BVIEW</stp>
        <stp>[XSLP -Swap Line Pricer.xlsm]Swaps!R24C67</stp>
        <stp>FXFL 651808</stp>
        <stp>Leg[2].PayoffSide</stp>
        <stp>headers=false</stp>
        <tr r="BO24" s="1"/>
        <tr r="BO24" s="1"/>
      </tp>
      <tp t="s">
        <v>#N/A Invalid object ID</v>
        <stp/>
        <stp>##V3_BVIEW</stp>
        <stp>[XSLP -Swap Line Pricer.xlsm]Swaptions!R32C57</stp>
        <stp>Enter deal type or saved ID.</stp>
        <stp>OptionExpiryOrFirstCall</stp>
        <stp>headers=false</stp>
        <tr r="BE32" s="5"/>
      </tp>
      <tp t="s">
        <v>#N/A Invalid object ID</v>
        <stp/>
        <stp>##V3_BVIEW</stp>
        <stp>[XSLP -Swap Line Pricer.xlsm]Swaptions!R22C57</stp>
        <stp>Enter deal type or saved ID.</stp>
        <stp>OptionExpiryOrFirstCall</stp>
        <stp>headers=false</stp>
        <tr r="BE22" s="5"/>
      </tp>
    </main>
    <main first="bloomberg.rtd">
      <tp>
        <v>43019</v>
        <stp/>
        <stp>##V3_BVIEW</stp>
        <stp>[XSLP -Swap Line Pricer.xlsm]Swaps!R20C54</stp>
        <stp>FXFL 938373</stp>
        <stp>MaturityDate</stp>
        <stp>headers=false</stp>
        <tr r="BB20" s="1"/>
        <tr r="BB20" s="1"/>
      </tp>
      <tp>
        <v>46306</v>
        <stp/>
        <stp>##V3_BVIEW</stp>
        <stp>[XSLP -Swap Line Pricer.xlsm]Swaps!R29C54</stp>
        <stp>FXFL 431830</stp>
        <stp>MaturityDate</stp>
        <stp>headers=false</stp>
        <tr r="BB29" s="1"/>
        <tr r="BB29" s="1"/>
      </tp>
      <tp t="s">
        <v>Pay</v>
        <stp/>
        <stp>##V3_BVIEW</stp>
        <stp>[XSLP -Swap Line Pricer.xlsm]Swaps!R31C67</stp>
        <stp>FXFL 625950</stp>
        <stp>Leg[2].PayoffSide</stp>
        <stp>headers=false</stp>
        <tr r="BO31" s="1"/>
        <tr r="BO31" s="1"/>
      </tp>
      <tp t="s">
        <v>Pay</v>
        <stp/>
        <stp>##V3_BVIEW</stp>
        <stp>[XSLP -Swap Line Pricer.xlsm]Swaps!R30C67</stp>
        <stp>FXFL 631990</stp>
        <stp>Leg[2].PayoffSide</stp>
        <stp>headers=false</stp>
        <tr r="BO30" s="1"/>
        <tr r="BO30" s="1"/>
      </tp>
      <tp t="s">
        <v>#N/A Invalid object ID</v>
        <stp/>
        <stp>##V3_BVIEW</stp>
        <stp>[XSLP -Swap Line Pricer.xlsm]Swaptions!R33C57</stp>
        <stp>Enter deal type or saved ID.</stp>
        <stp>OptionExpiryOrFirstCall</stp>
        <stp>headers=false</stp>
        <tr r="BE33" s="5"/>
      </tp>
      <tp t="s">
        <v>#N/A Invalid object ID</v>
        <stp/>
        <stp>##V3_BVIEW</stp>
        <stp>[XSLP -Swap Line Pricer.xlsm]Swaptions!R23C57</stp>
        <stp>Enter deal type or saved ID.</stp>
        <stp>OptionExpiryOrFirstCall</stp>
        <stp>headers=false</stp>
        <tr r="BE23" s="5"/>
      </tp>
      <tp t="s">
        <v>Receive</v>
        <stp/>
        <stp>##V3_BVIEW</stp>
        <stp>[XSLP -Swap Line Pricer.xlsm]Swaps!R31C56</stp>
        <stp>FXFL 625950</stp>
        <stp>Leg[1].PayoffSide</stp>
        <stp>headers=false</stp>
        <tr r="BD31" s="1"/>
        <tr r="BD31" s="1"/>
      </tp>
      <tp t="s">
        <v>Receive</v>
        <stp/>
        <stp>##V3_BVIEW</stp>
        <stp>[XSLP -Swap Line Pricer.xlsm]Swaps!R30C56</stp>
        <stp>FXFL 631990</stp>
        <stp>Leg[1].PayoffSide</stp>
        <stp>headers=false</stp>
        <tr r="BD30" s="1"/>
        <tr r="BD30" s="1"/>
      </tp>
      <tp t="s">
        <v>#N/A Invalid object ID</v>
        <stp/>
        <stp>##V3_BVIEW</stp>
        <stp>[XSLP -Swap Line Pricer.xlsm]Swaptions!R30C57</stp>
        <stp>Enter deal type or saved ID.</stp>
        <stp>OptionExpiryOrFirstCall</stp>
        <stp>headers=false</stp>
        <tr r="BE30" s="5"/>
      </tp>
      <tp t="s">
        <v>#N/A Invalid object ID</v>
        <stp/>
        <stp>##V3_BVIEW</stp>
        <stp>[XSLP -Swap Line Pricer.xlsm]Swaptions!R20C57</stp>
        <stp>Enter deal type or saved ID.</stp>
        <stp>OptionExpiryOrFirstCall</stp>
        <stp>headers=false</stp>
        <tr r="BE20" s="5"/>
      </tp>
      <tp>
        <v>44115</v>
        <stp/>
        <stp>##V3_BVIEW</stp>
        <stp>[XSLP -Swap Line Pricer.xlsm]Swaps!R23C54</stp>
        <stp>FXFL 729164</stp>
        <stp>MaturityDate</stp>
        <stp>headers=false</stp>
        <tr r="BB23" s="1"/>
        <tr r="BB23" s="1"/>
      </tp>
      <tp t="s">
        <v>Receive</v>
        <stp/>
        <stp>##V3_BVIEW</stp>
        <stp>[XSLP -Swap Line Pricer.xlsm]Swaps!R24C56</stp>
        <stp>FXFL 651808</stp>
        <stp>Leg[1].PayoffSide</stp>
        <stp>headers=false</stp>
        <tr r="BD24" s="1"/>
        <tr r="BD24" s="1"/>
      </tp>
      <tp t="s">
        <v>Receive</v>
        <stp/>
        <stp>##V3_BVIEW</stp>
        <stp>[XSLP -Swap Line Pricer.xlsm]Swaps!R29C56</stp>
        <stp>FXFL 431830</stp>
        <stp>Leg[1].PayoffSide</stp>
        <stp>headers=false</stp>
        <tr r="BD29" s="1"/>
        <tr r="BD29" s="1"/>
      </tp>
      <tp t="s">
        <v>Receive</v>
        <stp/>
        <stp>##V3_BVIEW</stp>
        <stp>[XSLP -Swap Line Pricer.xlsm]Swaps!R28C56</stp>
        <stp>FXFL 164852</stp>
        <stp>Leg[1].PayoffSide</stp>
        <stp>headers=false</stp>
        <tr r="BD28" s="1"/>
        <tr r="BD28" s="1"/>
      </tp>
      <tp t="s">
        <v>#N/A Invalid object ID</v>
        <stp/>
        <stp>##V3_BVIEW</stp>
        <stp>[XSLP -Swap Line Pricer.xlsm]Swaptions!R31C57</stp>
        <stp>Enter deal type or saved ID.</stp>
        <stp>OptionExpiryOrFirstCall</stp>
        <stp>headers=false</stp>
        <tr r="BE31" s="5"/>
      </tp>
      <tp t="s">
        <v>#N/A Invalid object ID</v>
        <stp/>
        <stp>##V3_BVIEW</stp>
        <stp>[XSLP -Swap Line Pricer.xlsm]Swaptions!R21C57</stp>
        <stp>Enter deal type or saved ID.</stp>
        <stp>OptionExpiryOrFirstCall</stp>
        <stp>headers=false</stp>
        <tr r="BE21" s="5"/>
      </tp>
      <tp t="s">
        <v>#N/A No matches found [Parameter:OUTPUT]</v>
        <stp/>
        <stp>##V3_BVIEW</stp>
        <stp>[XSLP -Swap Line Pricer.xlsm]Swaps!R25C60</stp>
        <stp>FXFL 64474</stp>
        <stp>Leg[1].Spread</stp>
        <stp>headers=false</stp>
        <tr r="BH25" s="1"/>
      </tp>
      <tp t="s">
        <v>#N/A Invalid object ID</v>
        <stp/>
        <stp>##V3_BVIEW</stp>
        <stp>[XSLP -Swap Line Pricer.xlsm]Swaptions!R36C57</stp>
        <stp>Enter deal type or saved ID.</stp>
        <stp>OptionExpiryOrFirstCall</stp>
        <stp>headers=false</stp>
        <tr r="BE36" s="5"/>
      </tp>
      <tp t="s">
        <v>#N/A Invalid object ID</v>
        <stp/>
        <stp>##V3_BVIEW</stp>
        <stp>[XSLP -Swap Line Pricer.xlsm]Swaptions!R26C57</stp>
        <stp>Enter deal type or saved ID.</stp>
        <stp>OptionExpiryOrFirstCall</stp>
        <stp>headers=false</stp>
        <tr r="BE26" s="5"/>
      </tp>
      <tp>
        <v>45941</v>
        <stp/>
        <stp>##V3_BVIEW</stp>
        <stp>[XSLP -Swap Line Pricer.xlsm]Swaps!R28C54</stp>
        <stp>FXFL 164852</stp>
        <stp>MaturityDate</stp>
        <stp>headers=false</stp>
        <tr r="BB28" s="1"/>
        <tr r="BB28" s="1"/>
      </tp>
      <tp t="s">
        <v>#N/A Invalid object ID</v>
        <stp/>
        <stp>##V3_BVIEW</stp>
        <stp>[XSLP -Swap Line Pricer.xlsm]Swaptions!R37C57</stp>
        <stp>Enter deal type or saved ID.</stp>
        <stp>OptionExpiryOrFirstCall</stp>
        <stp>headers=false</stp>
        <tr r="BE37" s="5"/>
      </tp>
      <tp t="s">
        <v>#N/A Invalid object ID</v>
        <stp/>
        <stp>##V3_BVIEW</stp>
        <stp>[XSLP -Swap Line Pricer.xlsm]Swaptions!R27C57</stp>
        <stp>Enter deal type or saved ID.</stp>
        <stp>OptionExpiryOrFirstCall</stp>
        <stp>headers=false</stp>
        <tr r="BE27" s="5"/>
      </tp>
      <tp t="s">
        <v>#N/A Invalid object ID</v>
        <stp/>
        <stp>##V3_BVIEW</stp>
        <stp>[XSLP -Swap Line Pricer.xlsm]Swaptions!R34C57</stp>
        <stp>Enter deal type or saved ID.</stp>
        <stp>OptionExpiryOrFirstCall</stp>
        <stp>headers=false</stp>
        <tr r="BE34" s="5"/>
      </tp>
      <tp t="s">
        <v>#N/A Invalid object ID</v>
        <stp/>
        <stp>##V3_BVIEW</stp>
        <stp>[XSLP -Swap Line Pricer.xlsm]Swaptions!R24C57</stp>
        <stp>Enter deal type or saved ID.</stp>
        <stp>OptionExpiryOrFirstCall</stp>
        <stp>headers=false</stp>
        <tr r="BE24" s="5"/>
      </tp>
      <tp>
        <v>0</v>
        <stp/>
        <stp>##V3_BVIEW</stp>
        <stp>[XSLP -Swap Line Pricer.xlsm]Swaps!R25C71</stp>
        <stp>FXFL 64474</stp>
        <stp>Leg[2].Spread</stp>
        <stp>headers=false</stp>
        <tr r="BS25" s="1"/>
        <tr r="BS25" s="1"/>
      </tp>
      <tp t="s">
        <v>#N/A Invalid object ID</v>
        <stp/>
        <stp>##V3_BVIEW</stp>
        <stp>[XSLP -Swap Line Pricer.xlsm]Swaptions!R35C57</stp>
        <stp>Enter deal type or saved ID.</stp>
        <stp>OptionExpiryOrFirstCall</stp>
        <stp>headers=false</stp>
        <tr r="BE35" s="5"/>
      </tp>
      <tp t="s">
        <v>#N/A Invalid object ID</v>
        <stp/>
        <stp>##V3_BVIEW</stp>
        <stp>[XSLP -Swap Line Pricer.xlsm]Swaptions!R25C57</stp>
        <stp>Enter deal type or saved ID.</stp>
        <stp>OptionExpiryOrFirstCall</stp>
        <stp>headers=false</stp>
        <tr r="BE25" s="5"/>
      </tp>
      <tp t="s">
        <v>Receive</v>
        <stp/>
        <stp>##V3_BVIEW</stp>
        <stp>[XSLP -Swap Line Pricer.xlsm]Swaps!R27C56</stp>
        <stp>FXFL 451356</stp>
        <stp>Leg[1].PayoffSide</stp>
        <stp>headers=false</stp>
        <tr r="BD27" s="1"/>
        <tr r="BD27" s="1"/>
      </tp>
      <tp t="s">
        <v>Receive</v>
        <stp/>
        <stp>##V3_BVIEW</stp>
        <stp>[XSLP -Swap Line Pricer.xlsm]Swaps!R21C56</stp>
        <stp>FXFL 597317</stp>
        <stp>Leg[1].PayoffSide</stp>
        <stp>headers=false</stp>
        <tr r="BD21" s="1"/>
        <tr r="BD21" s="1"/>
      </tp>
      <tp t="s">
        <v>Receive</v>
        <stp/>
        <stp>##V3_BVIEW</stp>
        <stp>[XSLP -Swap Line Pricer.xlsm]Swaps!R20C56</stp>
        <stp>FXFL 938373</stp>
        <stp>Leg[1].PayoffSide</stp>
        <stp>headers=false</stp>
        <tr r="BD20" s="1"/>
        <tr r="BD20" s="1"/>
      </tp>
      <tp t="s">
        <v>Pay</v>
        <stp/>
        <stp>##V3_BVIEW</stp>
        <stp>[XSLP -Swap Line Pricer.xlsm]Swaps!R33C67</stp>
        <stp>FXFL 630096</stp>
        <stp>Leg[2].PayoffSide</stp>
        <stp>headers=false</stp>
        <tr r="BO33" s="1"/>
        <tr r="BO33" s="1"/>
      </tp>
      <tp t="s">
        <v>Receive</v>
        <stp/>
        <stp>##V3_BVIEW</stp>
        <stp>[XSLP -Swap Line Pricer.xlsm]Swaps!R26C56</stp>
        <stp>FXFL 927343</stp>
        <stp>Leg[1].PayoffSide</stp>
        <stp>headers=false</stp>
        <tr r="BD26" s="1"/>
        <tr r="BD26" s="1"/>
      </tp>
      <tp t="s">
        <v>#N/A Invalid object ID</v>
        <stp/>
        <stp>##V3_BVIEW</stp>
        <stp>[XSLP -Swap Line Pricer.xlsm]Swaptions!R32C109</stp>
        <stp/>
        <stp>Vega</stp>
        <stp>headers=false</stp>
        <tr r="DE32" s="5"/>
      </tp>
      <tp t="s">
        <v>#N/A Invalid object ID</v>
        <stp/>
        <stp>##V3_BVIEW</stp>
        <stp>[XSLP -Swap Line Pricer.xlsm]Swaptions!R33C109</stp>
        <stp/>
        <stp>Vega</stp>
        <stp>headers=false</stp>
        <tr r="DE33" s="5"/>
      </tp>
      <tp t="s">
        <v>#N/A Invalid object ID</v>
        <stp/>
        <stp>##V3_BVIEW</stp>
        <stp>[XSLP -Swap Line Pricer.xlsm]Swaptions!R30C109</stp>
        <stp/>
        <stp>Vega</stp>
        <stp>headers=false</stp>
        <tr r="DE30" s="5"/>
      </tp>
      <tp t="s">
        <v>#N/A Invalid object ID</v>
        <stp/>
        <stp>##V3_BVIEW</stp>
        <stp>[XSLP -Swap Line Pricer.xlsm]Swaptions!R31C109</stp>
        <stp/>
        <stp>Vega</stp>
        <stp>headers=false</stp>
        <tr r="DE31" s="5"/>
      </tp>
      <tp t="s">
        <v>#N/A Invalid object ID</v>
        <stp/>
        <stp>##V3_BVIEW</stp>
        <stp>[XSLP -Swap Line Pricer.xlsm]Swaptions!R36C109</stp>
        <stp/>
        <stp>Vega</stp>
        <stp>headers=false</stp>
        <tr r="DE36" s="5"/>
      </tp>
      <tp t="s">
        <v>#N/A Invalid object ID</v>
        <stp/>
        <stp>##V3_BVIEW</stp>
        <stp>[XSLP -Swap Line Pricer.xlsm]Swaptions!R37C109</stp>
        <stp/>
        <stp>Vega</stp>
        <stp>headers=false</stp>
        <tr r="DE37" s="5"/>
      </tp>
      <tp t="s">
        <v>#N/A Invalid object ID</v>
        <stp/>
        <stp>##V3_BVIEW</stp>
        <stp>[XSLP -Swap Line Pricer.xlsm]Swaptions!R34C109</stp>
        <stp/>
        <stp>Vega</stp>
        <stp>headers=false</stp>
        <tr r="DE34" s="5"/>
      </tp>
      <tp t="s">
        <v>#N/A Invalid object ID</v>
        <stp/>
        <stp>##V3_BVIEW</stp>
        <stp>[XSLP -Swap Line Pricer.xlsm]Swaptions!R35C109</stp>
        <stp/>
        <stp>Vega</stp>
        <stp>headers=false</stp>
        <tr r="DE35" s="5"/>
      </tp>
      <tp t="s">
        <v>#N/A Invalid object ID</v>
        <stp/>
        <stp>##V3_BVIEW</stp>
        <stp>[XSLP -Swap Line Pricer.xlsm]Swaptions!R38C109</stp>
        <stp/>
        <stp>Vega</stp>
        <stp>headers=false</stp>
        <tr r="DE38" s="5"/>
      </tp>
      <tp t="s">
        <v>#N/A Invalid object ID</v>
        <stp/>
        <stp>##V3_BVIEW</stp>
        <stp>[XSLP -Swap Line Pricer.xlsm]Swaptions!R39C109</stp>
        <stp/>
        <stp>Vega</stp>
        <stp>headers=false</stp>
        <tr r="DE39" s="5"/>
      </tp>
      <tp t="s">
        <v>#N/A Invalid object ID</v>
        <stp/>
        <stp>##V3_BVIEW</stp>
        <stp>[XSLP -Swap Line Pricer.xlsm]Swaptions!R22C109</stp>
        <stp/>
        <stp>Vega</stp>
        <stp>headers=false</stp>
        <tr r="DE22" s="5"/>
      </tp>
      <tp t="s">
        <v>#N/A Invalid object ID</v>
        <stp/>
        <stp>##V3_BVIEW</stp>
        <stp>[XSLP -Swap Line Pricer.xlsm]Swaptions!R23C109</stp>
        <stp/>
        <stp>Vega</stp>
        <stp>headers=false</stp>
        <tr r="DE23" s="5"/>
      </tp>
      <tp t="s">
        <v>#N/A Invalid object ID</v>
        <stp/>
        <stp>##V3_BVIEW</stp>
        <stp>[XSLP -Swap Line Pricer.xlsm]Swaptions!R20C109</stp>
        <stp/>
        <stp>Vega</stp>
        <stp>headers=false</stp>
        <tr r="DE20" s="5"/>
      </tp>
      <tp t="s">
        <v>#N/A Invalid object ID</v>
        <stp/>
        <stp>##V3_BVIEW</stp>
        <stp>[XSLP -Swap Line Pricer.xlsm]Swaptions!R21C109</stp>
        <stp/>
        <stp>Vega</stp>
        <stp>headers=false</stp>
        <tr r="DE21" s="5"/>
      </tp>
      <tp t="s">
        <v>#N/A Invalid object ID</v>
        <stp/>
        <stp>##V3_BVIEW</stp>
        <stp>[XSLP -Swap Line Pricer.xlsm]Swaptions!R26C109</stp>
        <stp/>
        <stp>Vega</stp>
        <stp>headers=false</stp>
        <tr r="DE26" s="5"/>
      </tp>
      <tp t="s">
        <v>#N/A Invalid object ID</v>
        <stp/>
        <stp>##V3_BVIEW</stp>
        <stp>[XSLP -Swap Line Pricer.xlsm]Swaptions!R27C109</stp>
        <stp/>
        <stp>Vega</stp>
        <stp>headers=false</stp>
        <tr r="DE27" s="5"/>
      </tp>
      <tp t="s">
        <v>#N/A Invalid object ID</v>
        <stp/>
        <stp>##V3_BVIEW</stp>
        <stp>[XSLP -Swap Line Pricer.xlsm]Swaptions!R24C109</stp>
        <stp/>
        <stp>Vega</stp>
        <stp>headers=false</stp>
        <tr r="DE24" s="5"/>
      </tp>
      <tp t="s">
        <v>#N/A Invalid object ID</v>
        <stp/>
        <stp>##V3_BVIEW</stp>
        <stp>[XSLP -Swap Line Pricer.xlsm]Swaptions!R25C109</stp>
        <stp/>
        <stp>Vega</stp>
        <stp>headers=false</stp>
        <tr r="DE25" s="5"/>
      </tp>
      <tp t="s">
        <v>#N/A Invalid object ID</v>
        <stp/>
        <stp>##V3_BVIEW</stp>
        <stp>[XSLP -Swap Line Pricer.xlsm]Swaptions!R28C109</stp>
        <stp/>
        <stp>Vega</stp>
        <stp>headers=false</stp>
        <tr r="DE28" s="5"/>
      </tp>
      <tp t="s">
        <v>#N/A Invalid object ID</v>
        <stp/>
        <stp>##V3_BVIEW</stp>
        <stp>[XSLP -Swap Line Pricer.xlsm]Swaptions!R29C109</stp>
        <stp/>
        <stp>Vega</stp>
        <stp>headers=false</stp>
        <tr r="DE29" s="5"/>
      </tp>
      <tp>
        <v>43749</v>
        <stp/>
        <stp>##V3_BVIEW</stp>
        <stp>[XSLP -Swap Line Pricer.xlsm]Swaps!R22C54</stp>
        <stp>FXFL 582191</stp>
        <stp>MaturityDate</stp>
        <stp>headers=false</stp>
        <tr r="BB22" s="1"/>
        <tr r="BB22" s="1"/>
      </tp>
      <tp t="s">
        <v>#N/A Invalid object ID</v>
        <stp/>
        <stp>##V3_BVIEW</stp>
        <stp>[XSLP -Swap Line Pricer.xlsm]Swaptions!R29C110</stp>
        <stp/>
        <stp>Theta</stp>
        <stp>headers=false</stp>
        <tr r="DF29" s="5"/>
      </tp>
      <tp t="s">
        <v>#N/A Invalid object ID</v>
        <stp/>
        <stp>##V3_BVIEW</stp>
        <stp>[XSLP -Swap Line Pricer.xlsm]Swaptions!R28C110</stp>
        <stp/>
        <stp>Theta</stp>
        <stp>headers=false</stp>
        <tr r="DF28" s="5"/>
      </tp>
      <tp t="s">
        <v>#N/A Invalid object ID</v>
        <stp/>
        <stp>##V3_BVIEW</stp>
        <stp>[XSLP -Swap Line Pricer.xlsm]Swaptions!R27C110</stp>
        <stp/>
        <stp>Theta</stp>
        <stp>headers=false</stp>
        <tr r="DF27" s="5"/>
      </tp>
      <tp t="s">
        <v>#N/A Invalid object ID</v>
        <stp/>
        <stp>##V3_BVIEW</stp>
        <stp>[XSLP -Swap Line Pricer.xlsm]Swaptions!R26C110</stp>
        <stp/>
        <stp>Theta</stp>
        <stp>headers=false</stp>
        <tr r="DF26" s="5"/>
      </tp>
      <tp t="s">
        <v>#N/A Invalid object ID</v>
        <stp/>
        <stp>##V3_BVIEW</stp>
        <stp>[XSLP -Swap Line Pricer.xlsm]Swaptions!R25C110</stp>
        <stp/>
        <stp>Theta</stp>
        <stp>headers=false</stp>
        <tr r="DF25" s="5"/>
      </tp>
      <tp t="s">
        <v>#N/A Invalid object ID</v>
        <stp/>
        <stp>##V3_BVIEW</stp>
        <stp>[XSLP -Swap Line Pricer.xlsm]Swaptions!R24C110</stp>
        <stp/>
        <stp>Theta</stp>
        <stp>headers=false</stp>
        <tr r="DF24" s="5"/>
      </tp>
      <tp t="s">
        <v>#N/A Invalid object ID</v>
        <stp/>
        <stp>##V3_BVIEW</stp>
        <stp>[XSLP -Swap Line Pricer.xlsm]Swaptions!R23C110</stp>
        <stp/>
        <stp>Theta</stp>
        <stp>headers=false</stp>
        <tr r="DF23" s="5"/>
      </tp>
      <tp t="s">
        <v>#N/A Invalid object ID</v>
        <stp/>
        <stp>##V3_BVIEW</stp>
        <stp>[XSLP -Swap Line Pricer.xlsm]Swaptions!R22C110</stp>
        <stp/>
        <stp>Theta</stp>
        <stp>headers=false</stp>
        <tr r="DF22" s="5"/>
      </tp>
      <tp t="s">
        <v>#N/A Invalid object ID</v>
        <stp/>
        <stp>##V3_BVIEW</stp>
        <stp>[XSLP -Swap Line Pricer.xlsm]Swaptions!R21C110</stp>
        <stp/>
        <stp>Theta</stp>
        <stp>headers=false</stp>
        <tr r="DF21" s="5"/>
      </tp>
      <tp t="s">
        <v>#N/A Invalid object ID</v>
        <stp/>
        <stp>##V3_BVIEW</stp>
        <stp>[XSLP -Swap Line Pricer.xlsm]Swaptions!R20C110</stp>
        <stp/>
        <stp>Theta</stp>
        <stp>headers=false</stp>
        <tr r="DF20" s="5"/>
      </tp>
      <tp t="s">
        <v>Pay</v>
        <stp/>
        <stp>##V3_BVIEW</stp>
        <stp>[XSLP -Swap Line Pricer.xlsm]Swaps!R23C67</stp>
        <stp>FXFL 729164</stp>
        <stp>Leg[2].PayoffSide</stp>
        <stp>headers=false</stp>
        <tr r="BO23" s="1"/>
        <tr r="BO23" s="1"/>
      </tp>
      <tp t="s">
        <v>Pay</v>
        <stp/>
        <stp>##V3_BVIEW</stp>
        <stp>[XSLP -Swap Line Pricer.xlsm]Swaps!R22C67</stp>
        <stp>FXFL 582191</stp>
        <stp>Leg[2].PayoffSide</stp>
        <stp>headers=false</stp>
        <tr r="BO22" s="1"/>
        <tr r="BO22" s="1"/>
      </tp>
      <tp t="s">
        <v>Pay</v>
        <stp/>
        <stp>##V3_BVIEW</stp>
        <stp>[XSLP -Swap Line Pricer.xlsm]Swaps!R32C67</stp>
        <stp>FXFL 877169</stp>
        <stp>Leg[2].PayoffSide</stp>
        <stp>headers=false</stp>
        <tr r="BO32" s="1"/>
        <tr r="BO32" s="1"/>
      </tp>
      <tp>
        <v>45210</v>
        <stp/>
        <stp>##V3_BVIEW</stp>
        <stp>[XSLP -Swap Line Pricer.xlsm]Swaps!R26C54</stp>
        <stp>FXFL 927343</stp>
        <stp>MaturityDate</stp>
        <stp>headers=false</stp>
        <tr r="BB26" s="1"/>
        <tr r="BB26" s="1"/>
      </tp>
      <tp>
        <v>48132</v>
        <stp/>
        <stp>##V3_BVIEW</stp>
        <stp>[XSLP -Swap Line Pricer.xlsm]Swaps!R30C54</stp>
        <stp>FXFL 631990</stp>
        <stp>MaturityDate</stp>
        <stp>headers=false</stp>
        <tr r="BB30" s="1"/>
        <tr r="BB30" s="1"/>
      </tp>
      <tp t="s">
        <v>#N/A Invalid object ID</v>
        <stp/>
        <stp>##V3_BVIEW</stp>
        <stp>[XSLP -Swap Line Pricer.xlsm]Swaptions!R38C3</stp>
        <stp/>
        <stp>ImpliedVol</stp>
        <stp>headers=false</stp>
        <tr r="C38" s="5"/>
      </tp>
      <tp t="s">
        <v>#N/A Invalid object ID</v>
        <stp/>
        <stp>##V3_BVIEW</stp>
        <stp>[XSLP -Swap Line Pricer.xlsm]Swaptions!R39C3</stp>
        <stp/>
        <stp>ImpliedVol</stp>
        <stp>headers=false</stp>
        <tr r="C39" s="5"/>
      </tp>
      <tp t="s">
        <v>#N/A Invalid object ID</v>
        <stp/>
        <stp>##V3_BVIEW</stp>
        <stp>[XSLP -Swap Line Pricer.xlsm]Swaptions!R36C3</stp>
        <stp/>
        <stp>ImpliedVol</stp>
        <stp>headers=false</stp>
        <tr r="C36" s="5"/>
      </tp>
      <tp t="s">
        <v>#N/A Invalid object ID</v>
        <stp/>
        <stp>##V3_BVIEW</stp>
        <stp>[XSLP -Swap Line Pricer.xlsm]Swaptions!R37C3</stp>
        <stp/>
        <stp>ImpliedVol</stp>
        <stp>headers=false</stp>
        <tr r="C37" s="5"/>
      </tp>
      <tp t="s">
        <v>#N/A Invalid object ID</v>
        <stp/>
        <stp>##V3_BVIEW</stp>
        <stp>[XSLP -Swap Line Pricer.xlsm]Swaptions!R34C3</stp>
        <stp/>
        <stp>ImpliedVol</stp>
        <stp>headers=false</stp>
        <tr r="C34" s="5"/>
      </tp>
      <tp t="s">
        <v>#N/A Invalid object ID</v>
        <stp/>
        <stp>##V3_BVIEW</stp>
        <stp>[XSLP -Swap Line Pricer.xlsm]Swaptions!R35C3</stp>
        <stp/>
        <stp>ImpliedVol</stp>
        <stp>headers=false</stp>
        <tr r="C35" s="5"/>
      </tp>
      <tp t="s">
        <v>#N/A Invalid object ID</v>
        <stp/>
        <stp>##V3_BVIEW</stp>
        <stp>[XSLP -Swap Line Pricer.xlsm]Swaptions!R32C3</stp>
        <stp/>
        <stp>ImpliedVol</stp>
        <stp>headers=false</stp>
        <tr r="C32" s="5"/>
      </tp>
      <tp t="s">
        <v>#N/A Invalid object ID</v>
        <stp/>
        <stp>##V3_BVIEW</stp>
        <stp>[XSLP -Swap Line Pricer.xlsm]Swaptions!R33C3</stp>
        <stp/>
        <stp>ImpliedVol</stp>
        <stp>headers=false</stp>
        <tr r="C33" s="5"/>
      </tp>
      <tp t="s">
        <v>#N/A Invalid object ID</v>
        <stp/>
        <stp>##V3_BVIEW</stp>
        <stp>[XSLP -Swap Line Pricer.xlsm]Swaptions!R30C3</stp>
        <stp/>
        <stp>ImpliedVol</stp>
        <stp>headers=false</stp>
        <tr r="C30" s="5"/>
      </tp>
      <tp t="s">
        <v>#N/A Invalid object ID</v>
        <stp/>
        <stp>##V3_BVIEW</stp>
        <stp>[XSLP -Swap Line Pricer.xlsm]Swaptions!R31C3</stp>
        <stp/>
        <stp>ImpliedVol</stp>
        <stp>headers=false</stp>
        <tr r="C31" s="5"/>
      </tp>
      <tp t="s">
        <v>#N/A Invalid object ID</v>
        <stp/>
        <stp>##V3_BVIEW</stp>
        <stp>[XSLP -Swap Line Pricer.xlsm]Swaptions!R28C3</stp>
        <stp/>
        <stp>ImpliedVol</stp>
        <stp>headers=false</stp>
        <tr r="C28" s="5"/>
      </tp>
      <tp t="s">
        <v>#N/A Invalid object ID</v>
        <stp/>
        <stp>##V3_BVIEW</stp>
        <stp>[XSLP -Swap Line Pricer.xlsm]Swaptions!R29C3</stp>
        <stp/>
        <stp>ImpliedVol</stp>
        <stp>headers=false</stp>
        <tr r="C29" s="5"/>
      </tp>
      <tp t="s">
        <v>#N/A Invalid object ID</v>
        <stp/>
        <stp>##V3_BVIEW</stp>
        <stp>[XSLP -Swap Line Pricer.xlsm]Swaptions!R26C3</stp>
        <stp/>
        <stp>ImpliedVol</stp>
        <stp>headers=false</stp>
        <tr r="C26" s="5"/>
      </tp>
      <tp t="s">
        <v>#N/A Invalid object ID</v>
        <stp/>
        <stp>##V3_BVIEW</stp>
        <stp>[XSLP -Swap Line Pricer.xlsm]Swaptions!R27C3</stp>
        <stp/>
        <stp>ImpliedVol</stp>
        <stp>headers=false</stp>
        <tr r="C27" s="5"/>
      </tp>
      <tp t="s">
        <v>#N/A Invalid object ID</v>
        <stp/>
        <stp>##V3_BVIEW</stp>
        <stp>[XSLP -Swap Line Pricer.xlsm]Swaptions!R24C3</stp>
        <stp/>
        <stp>ImpliedVol</stp>
        <stp>headers=false</stp>
        <tr r="C24" s="5"/>
      </tp>
      <tp t="s">
        <v>#N/A Invalid object ID</v>
        <stp/>
        <stp>##V3_BVIEW</stp>
        <stp>[XSLP -Swap Line Pricer.xlsm]Swaptions!R25C3</stp>
        <stp/>
        <stp>ImpliedVol</stp>
        <stp>headers=false</stp>
        <tr r="C25" s="5"/>
      </tp>
      <tp t="s">
        <v>#N/A Invalid object ID</v>
        <stp/>
        <stp>##V3_BVIEW</stp>
        <stp>[XSLP -Swap Line Pricer.xlsm]Swaptions!R22C3</stp>
        <stp/>
        <stp>ImpliedVol</stp>
        <stp>headers=false</stp>
        <tr r="C22" s="5"/>
      </tp>
      <tp t="s">
        <v>#N/A Invalid object ID</v>
        <stp/>
        <stp>##V3_BVIEW</stp>
        <stp>[XSLP -Swap Line Pricer.xlsm]Swaptions!R23C3</stp>
        <stp/>
        <stp>ImpliedVol</stp>
        <stp>headers=false</stp>
        <tr r="C23" s="5"/>
      </tp>
      <tp t="s">
        <v>#N/A Invalid object ID</v>
        <stp/>
        <stp>##V3_BVIEW</stp>
        <stp>[XSLP -Swap Line Pricer.xlsm]Swaptions!R20C3</stp>
        <stp/>
        <stp>ImpliedVol</stp>
        <stp>headers=false</stp>
        <tr r="C20" s="5"/>
      </tp>
      <tp t="s">
        <v>#N/A Invalid object ID</v>
        <stp/>
        <stp>##V3_BVIEW</stp>
        <stp>[XSLP -Swap Line Pricer.xlsm]Swaptions!R21C3</stp>
        <stp/>
        <stp>ImpliedVol</stp>
        <stp>headers=false</stp>
        <tr r="C21" s="5"/>
      </tp>
      <tp t="s">
        <v>#N/A Invalid object ID</v>
        <stp/>
        <stp>##V3_BVIEW</stp>
        <stp>[XSLP -Swap Line Pricer.xlsm]Swaptions!R39C110</stp>
        <stp/>
        <stp>Theta</stp>
        <stp>headers=false</stp>
        <tr r="DF39" s="5"/>
      </tp>
      <tp t="s">
        <v>#N/A Invalid object ID</v>
        <stp/>
        <stp>##V3_BVIEW</stp>
        <stp>[XSLP -Swap Line Pricer.xlsm]Swaptions!R38C110</stp>
        <stp/>
        <stp>Theta</stp>
        <stp>headers=false</stp>
        <tr r="DF38" s="5"/>
      </tp>
      <tp t="s">
        <v>#N/A Invalid object ID</v>
        <stp/>
        <stp>##V3_BVIEW</stp>
        <stp>[XSLP -Swap Line Pricer.xlsm]Swaptions!R37C110</stp>
        <stp/>
        <stp>Theta</stp>
        <stp>headers=false</stp>
        <tr r="DF37" s="5"/>
      </tp>
      <tp t="s">
        <v>#N/A Invalid object ID</v>
        <stp/>
        <stp>##V3_BVIEW</stp>
        <stp>[XSLP -Swap Line Pricer.xlsm]Swaptions!R36C110</stp>
        <stp/>
        <stp>Theta</stp>
        <stp>headers=false</stp>
        <tr r="DF36" s="5"/>
      </tp>
      <tp t="s">
        <v>#N/A Invalid object ID</v>
        <stp/>
        <stp>##V3_BVIEW</stp>
        <stp>[XSLP -Swap Line Pricer.xlsm]Swaptions!R35C110</stp>
        <stp/>
        <stp>Theta</stp>
        <stp>headers=false</stp>
        <tr r="DF35" s="5"/>
      </tp>
      <tp t="s">
        <v>#N/A Invalid object ID</v>
        <stp/>
        <stp>##V3_BVIEW</stp>
        <stp>[XSLP -Swap Line Pricer.xlsm]Swaptions!R34C110</stp>
        <stp/>
        <stp>Theta</stp>
        <stp>headers=false</stp>
        <tr r="DF34" s="5"/>
      </tp>
      <tp t="s">
        <v>#N/A Invalid object ID</v>
        <stp/>
        <stp>##V3_BVIEW</stp>
        <stp>[XSLP -Swap Line Pricer.xlsm]Swaptions!R33C110</stp>
        <stp/>
        <stp>Theta</stp>
        <stp>headers=false</stp>
        <tr r="DF33" s="5"/>
      </tp>
      <tp t="s">
        <v>#N/A Invalid object ID</v>
        <stp/>
        <stp>##V3_BVIEW</stp>
        <stp>[XSLP -Swap Line Pricer.xlsm]Swaptions!R32C110</stp>
        <stp/>
        <stp>Theta</stp>
        <stp>headers=false</stp>
        <tr r="DF32" s="5"/>
      </tp>
      <tp t="s">
        <v>#N/A Invalid object ID</v>
        <stp/>
        <stp>##V3_BVIEW</stp>
        <stp>[XSLP -Swap Line Pricer.xlsm]Swaptions!R31C110</stp>
        <stp/>
        <stp>Theta</stp>
        <stp>headers=false</stp>
        <tr r="DF31" s="5"/>
      </tp>
      <tp t="s">
        <v>#N/A Invalid object ID</v>
        <stp/>
        <stp>##V3_BVIEW</stp>
        <stp>[XSLP -Swap Line Pricer.xlsm]Swaptions!R30C110</stp>
        <stp/>
        <stp>Theta</stp>
        <stp>headers=false</stp>
        <tr r="DF30" s="5"/>
      </tp>
      <tp t="s">
        <v>Receive</v>
        <stp/>
        <stp>##V3_BVIEW</stp>
        <stp>[XSLP -Swap Line Pricer.xlsm]Swaps!R23C56</stp>
        <stp>FXFL 729164</stp>
        <stp>Leg[1].PayoffSide</stp>
        <stp>headers=false</stp>
        <tr r="BD23" s="1"/>
        <tr r="BD23" s="1"/>
      </tp>
      <tp t="s">
        <v>Receive</v>
        <stp/>
        <stp>##V3_BVIEW</stp>
        <stp>[XSLP -Swap Line Pricer.xlsm]Swaps!R32C56</stp>
        <stp>FXFL 877169</stp>
        <stp>Leg[1].PayoffSide</stp>
        <stp>headers=false</stp>
        <tr r="BD32" s="1"/>
        <tr r="BD32" s="1"/>
      </tp>
      <tp t="s">
        <v>Receive</v>
        <stp/>
        <stp>##V3_BVIEW</stp>
        <stp>[XSLP -Swap Line Pricer.xlsm]Swaps!R22C56</stp>
        <stp>FXFL 582191</stp>
        <stp>Leg[1].PayoffSide</stp>
        <stp>headers=false</stp>
        <tr r="BD22" s="1"/>
        <tr r="BD22" s="1"/>
      </tp>
      <tp t="s">
        <v>#N/A Invalid object ID</v>
        <stp/>
        <stp>##V3_BVIEW</stp>
        <stp>[XSLP -Swap Line Pricer.xlsm]Swaptions!R38C57</stp>
        <stp>Enter deal type or saved ID.</stp>
        <stp>OptionExpiryOrFirstCall</stp>
        <stp>headers=false</stp>
        <tr r="BE38" s="5"/>
      </tp>
      <tp t="s">
        <v>#N/A Invalid object ID</v>
        <stp/>
        <stp>##V3_BVIEW</stp>
        <stp>[XSLP -Swap Line Pricer.xlsm]Swaptions!R28C57</stp>
        <stp>Enter deal type or saved ID.</stp>
        <stp>OptionExpiryOrFirstCall</stp>
        <stp>headers=false</stp>
        <tr r="BE28" s="5"/>
      </tp>
      <tp>
        <v>42656</v>
        <stp/>
        <stp>##V3_BADDPERIODS</stp>
        <stp>11/10/2016</stp>
        <stp>[XSLP -Swap Line Pricer.xlsm]Swaps!R9C3</stp>
        <stp>per=wd</stp>
        <stp>numberofperiods=2</stp>
        <tr r="C9" s="1"/>
      </tp>
      <tp t="s">
        <v>Pay</v>
        <stp/>
        <stp>##V3_BVIEW</stp>
        <stp>[XSLP -Swap Line Pricer.xlsm]Swaps!R27C67</stp>
        <stp>FXFL 451356</stp>
        <stp>Leg[2].PayoffSide</stp>
        <stp>headers=false</stp>
        <tr r="BO27" s="1"/>
        <tr r="BO27" s="1"/>
      </tp>
      <tp t="s">
        <v>Pay</v>
        <stp/>
        <stp>##V3_BVIEW</stp>
        <stp>[XSLP -Swap Line Pricer.xlsm]Swaps!R21C67</stp>
        <stp>FXFL 597317</stp>
        <stp>Leg[2].PayoffSide</stp>
        <stp>headers=false</stp>
        <tr r="BO21" s="1"/>
        <tr r="BO21" s="1"/>
      </tp>
      <tp t="s">
        <v>Pay</v>
        <stp/>
        <stp>##V3_BVIEW</stp>
        <stp>[XSLP -Swap Line Pricer.xlsm]Swaps!R26C67</stp>
        <stp>FXFL 927343</stp>
        <stp>Leg[2].PayoffSide</stp>
        <stp>headers=false</stp>
        <tr r="BO26" s="1"/>
        <tr r="BO26" s="1"/>
      </tp>
      <tp t="s">
        <v>Receive</v>
        <stp/>
        <stp>##V3_BVIEW</stp>
        <stp>[XSLP -Swap Line Pricer.xlsm]Swaps!R33C56</stp>
        <stp>FXFL 630096</stp>
        <stp>Leg[1].PayoffSide</stp>
        <stp>headers=false</stp>
        <tr r="BD33" s="1"/>
        <tr r="BD33" s="1"/>
      </tp>
      <tp t="s">
        <v>Pay</v>
        <stp/>
        <stp>##V3_BVIEW</stp>
        <stp>[XSLP -Swap Line Pricer.xlsm]Swaps!R20C67</stp>
        <stp>FXFL 938373</stp>
        <stp>Leg[2].PayoffSide</stp>
        <stp>headers=false</stp>
        <tr r="BO20" s="1"/>
        <tr r="BO20" s="1"/>
      </tp>
      <tp t="s">
        <v>#N/A Invalid object ID</v>
        <stp/>
        <stp>##V3_BVIEW</stp>
        <stp>[XSLP -Swap Line Pricer.xlsm]Swaptions!R39C57</stp>
        <stp>Enter deal type or saved ID.</stp>
        <stp>OptionExpiryOrFirstCall</stp>
        <stp>headers=false</stp>
        <tr r="BE39" s="5"/>
      </tp>
      <tp t="s">
        <v>#N/A Invalid object ID</v>
        <stp/>
        <stp>##V3_BVIEW</stp>
        <stp>[XSLP -Swap Line Pricer.xlsm]Swaptions!R29C57</stp>
        <stp>Enter deal type or saved ID.</stp>
        <stp>OptionExpiryOrFirstCall</stp>
        <stp>headers=false</stp>
        <tr r="BE29" s="5"/>
      </tp>
      <tp>
        <v>53611</v>
        <stp/>
        <stp>##V3_BVIEW</stp>
        <stp>[XSLP -Swap Line Pricer.xlsm]Swaps!R33C54</stp>
        <stp>FXFL 630096</stp>
        <stp>MaturityDate</stp>
        <stp>headers=false</stp>
        <tr r="BB33" s="1"/>
        <tr r="BB33" s="1"/>
      </tp>
      <tp t="s">
        <v>PRICE FXFL 995195</v>
        <stp/>
        <stp>##V3_BPRICEV12</stp>
        <stp>[XSLP -Swap Line Pricer.xlsm]Favourites!R44C9</stp>
        <stp>FXFL 697142</stp>
        <tr r="I44" s="3"/>
      </tp>
      <tp>
        <v>49959</v>
        <stp/>
        <stp>##V3_BVIEW</stp>
        <stp>[XSLP -Swap Line Pricer.xlsm]Swaps!R31C54</stp>
        <stp>FXFL 625950</stp>
        <stp>MaturityDate</stp>
        <stp>headers=false</stp>
        <tr r="BB31" s="1"/>
        <tr r="BB31" s="1"/>
      </tp>
      <tp t="s">
        <v>Effect. &amp; Maturity</v>
        <stp/>
        <stp>##V3_BVIEW</stp>
        <stp>[XSLP -Swap Line Pricer.xlsm]Swaps!R35C78</stp>
        <stp>FXFL 1033483</stp>
        <stp>PrincipalExchange</stp>
        <stp>headers=false</stp>
        <tr r="BZ35" s="1"/>
        <tr r="BZ35" s="1"/>
      </tp>
      <tp t="s">
        <v>Effect. &amp; Maturity</v>
        <stp/>
        <stp>##V3_BVIEW</stp>
        <stp>[XSLP -Swap Line Pricer.xlsm]Swaps!R34C78</stp>
        <stp>FXFL 1033483</stp>
        <stp>PrincipalExchange</stp>
        <stp>headers=false</stp>
        <tr r="BZ34" s="1"/>
        <tr r="BZ34" s="1"/>
      </tp>
      <tp t="s">
        <v>Effect. &amp; Maturity</v>
        <stp/>
        <stp>##V3_BVIEW</stp>
        <stp>[XSLP -Swap Line Pricer.xlsm]Swaps!R37C78</stp>
        <stp>FXFL 1033483</stp>
        <stp>PrincipalExchange</stp>
        <stp>headers=false</stp>
        <tr r="BZ37" s="1"/>
        <tr r="BZ37" s="1"/>
      </tp>
      <tp t="s">
        <v>Effect. &amp; Maturity</v>
        <stp/>
        <stp>##V3_BVIEW</stp>
        <stp>[XSLP -Swap Line Pricer.xlsm]Swaps!R36C78</stp>
        <stp>FXFL 1033483</stp>
        <stp>PrincipalExchange</stp>
        <stp>headers=false</stp>
        <tr r="BZ36" s="1"/>
        <tr r="BZ36" s="1"/>
      </tp>
      <tp t="s">
        <v>Effect. &amp; Maturity</v>
        <stp/>
        <stp>##V3_BVIEW</stp>
        <stp>[XSLP -Swap Line Pricer.xlsm]Swaps!R39C78</stp>
        <stp>FXFL 1033483</stp>
        <stp>PrincipalExchange</stp>
        <stp>headers=false</stp>
        <tr r="BZ39" s="1"/>
        <tr r="BZ39" s="1"/>
      </tp>
      <tp t="s">
        <v>Effect. &amp; Maturity</v>
        <stp/>
        <stp>##V3_BVIEW</stp>
        <stp>[XSLP -Swap Line Pricer.xlsm]Swaps!R38C78</stp>
        <stp>FXFL 1033483</stp>
        <stp>PrincipalExchange</stp>
        <stp>headers=false</stp>
        <tr r="BZ38" s="1"/>
        <tr r="BZ38" s="1"/>
      </tp>
      <tp t="s">
        <v>PRICE FXFL 995195</v>
        <stp/>
        <stp>##V3_BPRICEV12</stp>
        <stp>[XSLP -Swap Line Pricer.xlsm]Favourites!R45C9</stp>
        <stp>FXFL 697142</stp>
        <tr r="I45" s="3"/>
      </tp>
      <tp t="s">
        <v>#N/A No matches found [Parameter:OUTPUT]</v>
        <stp/>
        <stp>##V3_BVIEW</stp>
        <stp>[XSLP -Swap Line Pricer.xlsm]Swaps!R39C64</stp>
        <stp>FXFL 1033483</stp>
        <stp>Leg[1].ResetFrequency</stp>
        <stp>headers=false</stp>
        <tr r="BL39" s="1"/>
      </tp>
      <tp t="s">
        <v>#N/A No matches found [Parameter:OUTPUT]</v>
        <stp/>
        <stp>##V3_BVIEW</stp>
        <stp>[XSLP -Swap Line Pricer.xlsm]Swaps!R38C64</stp>
        <stp>FXFL 1033483</stp>
        <stp>Leg[1].ResetFrequency</stp>
        <stp>headers=false</stp>
        <tr r="BL38" s="1"/>
      </tp>
      <tp t="s">
        <v>#N/A No matches found [Parameter:OUTPUT]</v>
        <stp/>
        <stp>##V3_BVIEW</stp>
        <stp>[XSLP -Swap Line Pricer.xlsm]Swaps!R35C64</stp>
        <stp>FXFL 1033483</stp>
        <stp>Leg[1].ResetFrequency</stp>
        <stp>headers=false</stp>
        <tr r="BL35" s="1"/>
      </tp>
      <tp t="s">
        <v>#N/A No matches found [Parameter:OUTPUT]</v>
        <stp/>
        <stp>##V3_BVIEW</stp>
        <stp>[XSLP -Swap Line Pricer.xlsm]Swaps!R34C64</stp>
        <stp>FXFL 1033483</stp>
        <stp>Leg[1].ResetFrequency</stp>
        <stp>headers=false</stp>
        <tr r="BL34" s="1"/>
      </tp>
      <tp t="s">
        <v>#N/A No matches found [Parameter:OUTPUT]</v>
        <stp/>
        <stp>##V3_BVIEW</stp>
        <stp>[XSLP -Swap Line Pricer.xlsm]Swaps!R37C64</stp>
        <stp>FXFL 1033483</stp>
        <stp>Leg[1].ResetFrequency</stp>
        <stp>headers=false</stp>
        <tr r="BL37" s="1"/>
      </tp>
      <tp t="s">
        <v>#N/A No matches found [Parameter:OUTPUT]</v>
        <stp/>
        <stp>##V3_BVIEW</stp>
        <stp>[XSLP -Swap Line Pricer.xlsm]Swaps!R36C64</stp>
        <stp>FXFL 1033483</stp>
        <stp>Leg[1].ResetFrequency</stp>
        <stp>headers=false</stp>
        <tr r="BL36" s="1"/>
      </tp>
      <tp>
        <v>51785</v>
        <stp/>
        <stp>##V3_BVIEW</stp>
        <stp>[XSLP -Swap Line Pricer.xlsm]Swaps!R32C54</stp>
        <stp>FXFL 877169</stp>
        <stp>MaturityDate</stp>
        <stp>headers=false</stp>
        <tr r="BB32" s="1"/>
        <tr r="BB32" s="1"/>
      </tp>
      <tp>
        <v>44480</v>
        <stp/>
        <stp>##V3_BVIEW</stp>
        <stp>[XSLP -Swap Line Pricer.xlsm]Swaps!R24C54</stp>
        <stp>FXFL 651808</stp>
        <stp>MaturityDate</stp>
        <stp>headers=false</stp>
        <tr r="BB24" s="1"/>
        <tr r="BB24" s="1"/>
      </tp>
      <tp t="s">
        <v>#N/A Invalid object ID</v>
        <stp/>
        <stp>##V3_BVIEW</stp>
        <stp>[XSLP -Swap Line Pricer.xlsm]Swaptions!R28C61</stp>
        <stp>Enter deal type or saved ID.</stp>
        <stp xml:space="preserve"> OptionDaysToNotify </stp>
        <stp>headers=false</stp>
        <tr r="BI28" s="5"/>
      </tp>
      <tp t="s">
        <v>#N/A Invalid object ID</v>
        <stp/>
        <stp>##V3_BVIEW</stp>
        <stp>[XSLP -Swap Line Pricer.xlsm]Swaptions!R29C61</stp>
        <stp>Enter deal type or saved ID.</stp>
        <stp xml:space="preserve"> OptionDaysToNotify </stp>
        <stp>headers=false</stp>
        <tr r="BI29" s="5"/>
      </tp>
      <tp t="s">
        <v>#N/A Invalid object ID</v>
        <stp/>
        <stp>##V3_BVIEW</stp>
        <stp>[XSLP -Swap Line Pricer.xlsm]Swaptions!R24C61</stp>
        <stp>Enter deal type or saved ID.</stp>
        <stp xml:space="preserve"> OptionDaysToNotify </stp>
        <stp>headers=false</stp>
        <tr r="BI24" s="5"/>
      </tp>
      <tp t="s">
        <v>#N/A Invalid object ID</v>
        <stp/>
        <stp>##V3_BVIEW</stp>
        <stp>[XSLP -Swap Line Pricer.xlsm]Swaptions!R25C61</stp>
        <stp>Enter deal type or saved ID.</stp>
        <stp xml:space="preserve"> OptionDaysToNotify </stp>
        <stp>headers=false</stp>
        <tr r="BI25" s="5"/>
      </tp>
      <tp t="s">
        <v>#N/A Invalid object ID</v>
        <stp/>
        <stp>##V3_BVIEW</stp>
        <stp>[XSLP -Swap Line Pricer.xlsm]Swaptions!R26C61</stp>
        <stp>Enter deal type or saved ID.</stp>
        <stp xml:space="preserve"> OptionDaysToNotify </stp>
        <stp>headers=false</stp>
        <tr r="BI26" s="5"/>
      </tp>
      <tp t="s">
        <v>#N/A Invalid object ID</v>
        <stp/>
        <stp>##V3_BVIEW</stp>
        <stp>[XSLP -Swap Line Pricer.xlsm]Swaptions!R27C61</stp>
        <stp>Enter deal type or saved ID.</stp>
        <stp xml:space="preserve"> OptionDaysToNotify </stp>
        <stp>headers=false</stp>
        <tr r="BI27" s="5"/>
      </tp>
      <tp t="s">
        <v>#N/A Invalid object ID</v>
        <stp/>
        <stp>##V3_BVIEW</stp>
        <stp>[XSLP -Swap Line Pricer.xlsm]Swaptions!R20C61</stp>
        <stp>Enter deal type or saved ID.</stp>
        <stp xml:space="preserve"> OptionDaysToNotify </stp>
        <stp>headers=false</stp>
        <tr r="BI20" s="5"/>
      </tp>
      <tp t="s">
        <v>#N/A Invalid object ID</v>
        <stp/>
        <stp>##V3_BVIEW</stp>
        <stp>[XSLP -Swap Line Pricer.xlsm]Swaptions!R21C61</stp>
        <stp>Enter deal type or saved ID.</stp>
        <stp xml:space="preserve"> OptionDaysToNotify </stp>
        <stp>headers=false</stp>
        <tr r="BI21" s="5"/>
      </tp>
      <tp t="s">
        <v>#N/A Invalid object ID</v>
        <stp/>
        <stp>##V3_BVIEW</stp>
        <stp>[XSLP -Swap Line Pricer.xlsm]Swaptions!R22C61</stp>
        <stp>Enter deal type or saved ID.</stp>
        <stp xml:space="preserve"> OptionDaysToNotify </stp>
        <stp>headers=false</stp>
        <tr r="BI22" s="5"/>
      </tp>
      <tp t="s">
        <v>#N/A Invalid object ID</v>
        <stp/>
        <stp>##V3_BVIEW</stp>
        <stp>[XSLP -Swap Line Pricer.xlsm]Swaptions!R23C61</stp>
        <stp>Enter deal type or saved ID.</stp>
        <stp xml:space="preserve"> OptionDaysToNotify </stp>
        <stp>headers=false</stp>
        <tr r="BI23" s="5"/>
      </tp>
      <tp t="s">
        <v>#N/A Invalid object ID</v>
        <stp/>
        <stp>##V3_BVIEW</stp>
        <stp>[XSLP -Swap Line Pricer.xlsm]Swaptions!R38C61</stp>
        <stp>Enter deal type or saved ID.</stp>
        <stp xml:space="preserve"> OptionDaysToNotify </stp>
        <stp>headers=false</stp>
        <tr r="BI38" s="5"/>
      </tp>
      <tp t="s">
        <v>#N/A Invalid object ID</v>
        <stp/>
        <stp>##V3_BVIEW</stp>
        <stp>[XSLP -Swap Line Pricer.xlsm]Swaptions!R39C61</stp>
        <stp>Enter deal type or saved ID.</stp>
        <stp xml:space="preserve"> OptionDaysToNotify </stp>
        <stp>headers=false</stp>
        <tr r="BI39" s="5"/>
      </tp>
      <tp t="s">
        <v>#N/A Invalid object ID</v>
        <stp/>
        <stp>##V3_BVIEW</stp>
        <stp>[XSLP -Swap Line Pricer.xlsm]Swaptions!R34C61</stp>
        <stp>Enter deal type or saved ID.</stp>
        <stp xml:space="preserve"> OptionDaysToNotify </stp>
        <stp>headers=false</stp>
        <tr r="BI34" s="5"/>
      </tp>
      <tp t="s">
        <v>#N/A Invalid object ID</v>
        <stp/>
        <stp>##V3_BVIEW</stp>
        <stp>[XSLP -Swap Line Pricer.xlsm]Swaptions!R35C61</stp>
        <stp>Enter deal type or saved ID.</stp>
        <stp xml:space="preserve"> OptionDaysToNotify </stp>
        <stp>headers=false</stp>
        <tr r="BI35" s="5"/>
      </tp>
      <tp t="s">
        <v>#N/A Invalid object ID</v>
        <stp/>
        <stp>##V3_BVIEW</stp>
        <stp>[XSLP -Swap Line Pricer.xlsm]Swaptions!R36C61</stp>
        <stp>Enter deal type or saved ID.</stp>
        <stp xml:space="preserve"> OptionDaysToNotify </stp>
        <stp>headers=false</stp>
        <tr r="BI36" s="5"/>
      </tp>
      <tp t="s">
        <v>#N/A Invalid object ID</v>
        <stp/>
        <stp>##V3_BVIEW</stp>
        <stp>[XSLP -Swap Line Pricer.xlsm]Swaptions!R37C61</stp>
        <stp>Enter deal type or saved ID.</stp>
        <stp xml:space="preserve"> OptionDaysToNotify </stp>
        <stp>headers=false</stp>
        <tr r="BI37" s="5"/>
      </tp>
      <tp t="s">
        <v>#N/A Invalid object ID</v>
        <stp/>
        <stp>##V3_BVIEW</stp>
        <stp>[XSLP -Swap Line Pricer.xlsm]Swaptions!R30C61</stp>
        <stp>Enter deal type or saved ID.</stp>
        <stp xml:space="preserve"> OptionDaysToNotify </stp>
        <stp>headers=false</stp>
        <tr r="BI30" s="5"/>
      </tp>
      <tp t="s">
        <v>#N/A Invalid object ID</v>
        <stp/>
        <stp>##V3_BVIEW</stp>
        <stp>[XSLP -Swap Line Pricer.xlsm]Swaptions!R31C61</stp>
        <stp>Enter deal type or saved ID.</stp>
        <stp xml:space="preserve"> OptionDaysToNotify </stp>
        <stp>headers=false</stp>
        <tr r="BI31" s="5"/>
      </tp>
      <tp t="s">
        <v>#N/A Invalid object ID</v>
        <stp/>
        <stp>##V3_BVIEW</stp>
        <stp>[XSLP -Swap Line Pricer.xlsm]Swaptions!R32C61</stp>
        <stp>Enter deal type or saved ID.</stp>
        <stp xml:space="preserve"> OptionDaysToNotify </stp>
        <stp>headers=false</stp>
        <tr r="BI32" s="5"/>
      </tp>
      <tp t="s">
        <v>#N/A Invalid object ID</v>
        <stp/>
        <stp>##V3_BVIEW</stp>
        <stp>[XSLP -Swap Line Pricer.xlsm]Swaptions!R33C61</stp>
        <stp>Enter deal type or saved ID.</stp>
        <stp xml:space="preserve"> OptionDaysToNotify </stp>
        <stp>headers=false</stp>
        <tr r="BI33" s="5"/>
      </tp>
      <tp>
        <v>45576</v>
        <stp/>
        <stp>##V3_BVIEW</stp>
        <stp>[XSLP -Swap Line Pricer.xlsm]Swaps!R27C54</stp>
        <stp>FXFL 451356</stp>
        <stp>MaturityDate</stp>
        <stp>headers=false</stp>
        <tr r="BB27" s="1"/>
        <tr r="BB27" s="1"/>
      </tp>
      <tp>
        <v>43384</v>
        <stp/>
        <stp>##V3_BVIEW</stp>
        <stp>[XSLP -Swap Line Pricer.xlsm]Swaps!R21C54</stp>
        <stp>FXFL 597317</stp>
        <stp>MaturityDate</stp>
        <stp>headers=false</stp>
        <tr r="BB21" s="1"/>
        <tr r="BB21" s="1"/>
      </tp>
      <tp t="s">
        <v>SemiAnnual</v>
        <stp/>
        <stp>##V3_BVIEW</stp>
        <stp>[XSLP -Swap Line Pricer.xlsm]Swaps!R39C75</stp>
        <stp>FXFL 1033483</stp>
        <stp>Leg[2].ResetFrequency</stp>
        <stp>headers=false</stp>
        <tr r="BW39" s="1"/>
        <tr r="BW39" s="1"/>
      </tp>
      <tp t="s">
        <v>SemiAnnual</v>
        <stp/>
        <stp>##V3_BVIEW</stp>
        <stp>[XSLP -Swap Line Pricer.xlsm]Swaps!R38C75</stp>
        <stp>FXFL 1033483</stp>
        <stp>Leg[2].ResetFrequency</stp>
        <stp>headers=false</stp>
        <tr r="BW38" s="1"/>
        <tr r="BW38" s="1"/>
      </tp>
      <tp t="s">
        <v>SemiAnnual</v>
        <stp/>
        <stp>##V3_BVIEW</stp>
        <stp>[XSLP -Swap Line Pricer.xlsm]Swaps!R35C75</stp>
        <stp>FXFL 1033483</stp>
        <stp>Leg[2].ResetFrequency</stp>
        <stp>headers=false</stp>
        <tr r="BW35" s="1"/>
        <tr r="BW35" s="1"/>
      </tp>
      <tp t="s">
        <v>SemiAnnual</v>
        <stp/>
        <stp>##V3_BVIEW</stp>
        <stp>[XSLP -Swap Line Pricer.xlsm]Swaps!R34C75</stp>
        <stp>FXFL 1033483</stp>
        <stp>Leg[2].ResetFrequency</stp>
        <stp>headers=false</stp>
        <tr r="BW34" s="1"/>
        <tr r="BW34" s="1"/>
      </tp>
      <tp t="s">
        <v>SemiAnnual</v>
        <stp/>
        <stp>##V3_BVIEW</stp>
        <stp>[XSLP -Swap Line Pricer.xlsm]Swaps!R37C75</stp>
        <stp>FXFL 1033483</stp>
        <stp>Leg[2].ResetFrequency</stp>
        <stp>headers=false</stp>
        <tr r="BW37" s="1"/>
        <tr r="BW37" s="1"/>
      </tp>
      <tp t="s">
        <v>SemiAnnual</v>
        <stp/>
        <stp>##V3_BVIEW</stp>
        <stp>[XSLP -Swap Line Pricer.xlsm]Swaps!R36C75</stp>
        <stp>FXFL 1033483</stp>
        <stp>Leg[2].ResetFrequency</stp>
        <stp>headers=false</stp>
        <tr r="BW36" s="1"/>
        <tr r="BW36" s="1"/>
      </tp>
      <tp t="s">
        <v>SemiAnnual</v>
        <stp/>
        <stp>##V3_BVIEW</stp>
        <stp>[XSLP -Swap Line Pricer.xlsm]Swaps!R28C73</stp>
        <stp>FXFL 164852</stp>
        <stp>Leg[2].PayFrequency</stp>
        <stp>headers=false</stp>
        <tr r="BU28" s="1"/>
        <tr r="BU28" s="1"/>
      </tp>
      <tp t="s">
        <v>SemiAnnual</v>
        <stp/>
        <stp>##V3_BVIEW</stp>
        <stp>[XSLP -Swap Line Pricer.xlsm]Swaps!R33C73</stp>
        <stp>FXFL 630096</stp>
        <stp>Leg[2].PayFrequency</stp>
        <stp>headers=false</stp>
        <tr r="BU33" s="1"/>
        <tr r="BU33" s="1"/>
      </tp>
      <tp>
        <v>10000000</v>
        <stp/>
        <stp>##V3_BVIEW</stp>
        <stp>[XSLP -Swap Line Pricer.xlsm]Swaps!R36C58</stp>
        <stp>FXFL 1033483</stp>
        <stp>Leg[1].Notional</stp>
        <stp>headers=false</stp>
        <tr r="BF36" s="1"/>
        <tr r="BF36" s="1"/>
      </tp>
      <tp>
        <v>10000000</v>
        <stp/>
        <stp>##V3_BVIEW</stp>
        <stp>[XSLP -Swap Line Pricer.xlsm]Swaps!R36C69</stp>
        <stp>FXFL 1033483</stp>
        <stp>Leg[2].Notional</stp>
        <stp>headers=false</stp>
        <tr r="BQ36" s="1"/>
        <tr r="BQ36" s="1"/>
      </tp>
      <tp t="s">
        <v>EUR</v>
        <stp/>
        <stp>##V3_BVIEW</stp>
        <stp>[XSLP -Swap Line Pricer.xlsm]Swaps!R38C68</stp>
        <stp>FXFL 1033483</stp>
        <stp>Leg[2].Currency</stp>
        <stp>headers=false</stp>
        <tr r="BP38" s="1"/>
        <tr r="BP38" s="1"/>
      </tp>
      <tp t="s">
        <v>EUR</v>
        <stp/>
        <stp>##V3_BVIEW</stp>
        <stp>[XSLP -Swap Line Pricer.xlsm]Swaps!R38C57</stp>
        <stp>FXFL 1033483</stp>
        <stp>Leg[1].Currency</stp>
        <stp>headers=false</stp>
        <tr r="BE38" s="1"/>
        <tr r="BE38" s="1"/>
      </tp>
      <tp t="s">
        <v>#N/A Field Not Applicable [Parameter:OUTPUT]</v>
        <stp/>
        <stp>##V3_BVIEW</stp>
        <stp>[XSLP -Swap Line Pricer.xlsm]Swaps!R32C112</stp>
        <stp>PRICE FXFL 604099</stp>
        <stp>Leg[1].notional</stp>
        <stp>headers=false</stp>
        <tr r="DH32" s="1"/>
      </tp>
      <tp t="s">
        <v>Annual</v>
        <stp/>
        <stp>##V3_BVIEW</stp>
        <stp>[XSLP -Swap Line Pricer.xlsm]Swaps!R28C62</stp>
        <stp>FXFL 164852</stp>
        <stp>Leg[1].PayFrequency</stp>
        <stp>headers=false</stp>
        <tr r="BJ28" s="1"/>
        <tr r="BJ28" s="1"/>
      </tp>
      <tp t="s">
        <v>Annual</v>
        <stp/>
        <stp>##V3_BVIEW</stp>
        <stp>[XSLP -Swap Line Pricer.xlsm]Swaps!R33C62</stp>
        <stp>FXFL 630096</stp>
        <stp>Leg[1].PayFrequency</stp>
        <stp>headers=false</stp>
        <tr r="BJ33" s="1"/>
        <tr r="BJ33" s="1"/>
      </tp>
      <tp>
        <v>10000000</v>
        <stp/>
        <stp>##V3_BVIEW</stp>
        <stp>[XSLP -Swap Line Pricer.xlsm]Swaps!R37C58</stp>
        <stp>FXFL 1033483</stp>
        <stp>Leg[1].Notional</stp>
        <stp>headers=false</stp>
        <tr r="BF37" s="1"/>
        <tr r="BF37" s="1"/>
      </tp>
      <tp>
        <v>10000000</v>
        <stp/>
        <stp>##V3_BVIEW</stp>
        <stp>[XSLP -Swap Line Pricer.xlsm]Swaps!R37C69</stp>
        <stp>FXFL 1033483</stp>
        <stp>Leg[2].Notional</stp>
        <stp>headers=false</stp>
        <tr r="BQ37" s="1"/>
        <tr r="BQ37" s="1"/>
      </tp>
      <tp t="s">
        <v>EUR</v>
        <stp/>
        <stp>##V3_BVIEW</stp>
        <stp>[XSLP -Swap Line Pricer.xlsm]Swaps!R39C68</stp>
        <stp>FXFL 1033483</stp>
        <stp>Leg[2].Currency</stp>
        <stp>headers=false</stp>
        <tr r="BP39" s="1"/>
        <tr r="BP39" s="1"/>
      </tp>
      <tp t="s">
        <v>EUR</v>
        <stp/>
        <stp>##V3_BVIEW</stp>
        <stp>[XSLP -Swap Line Pricer.xlsm]Swaps!R39C57</stp>
        <stp>FXFL 1033483</stp>
        <stp>Leg[1].Currency</stp>
        <stp>headers=false</stp>
        <tr r="BE39" s="1"/>
        <tr r="BE39" s="1"/>
      </tp>
      <tp t="s">
        <v>FXFL 625950</v>
        <stp/>
        <stp>##V3_BSTRUCTUREV12</stp>
        <stp>[XSLP -Swap Line Pricer.xlsm]Swaps!R31C108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49959</stp>
        <stp>CsaCollateralCurrency</stp>
        <stp>EUR</stp>
        <stp>ignoreinvalidparams=true</stp>
        <tr r="DD31" s="1"/>
      </tp>
      <tp t="s">
        <v>SemiAnnual</v>
        <stp/>
        <stp>##V3_BVIEW</stp>
        <stp>[XSLP -Swap Line Pricer.xlsm]Swaps!R23C73</stp>
        <stp>FXFL 729164</stp>
        <stp>Leg[2].PayFrequency</stp>
        <stp>headers=false</stp>
        <tr r="BU23" s="1"/>
        <tr r="BU23" s="1"/>
      </tp>
      <tp>
        <v>10000000</v>
        <stp/>
        <stp>##V3_BVIEW</stp>
        <stp>[XSLP -Swap Line Pricer.xlsm]Swaps!R34C58</stp>
        <stp>FXFL 1033483</stp>
        <stp>Leg[1].Notional</stp>
        <stp>headers=false</stp>
        <tr r="BF34" s="1"/>
        <tr r="BF34" s="1"/>
      </tp>
      <tp>
        <v>10000000</v>
        <stp/>
        <stp>##V3_BVIEW</stp>
        <stp>[XSLP -Swap Line Pricer.xlsm]Swaps!R34C69</stp>
        <stp>FXFL 1033483</stp>
        <stp>Leg[2].Notional</stp>
        <stp>headers=false</stp>
        <tr r="BQ34" s="1"/>
        <tr r="BQ34" s="1"/>
      </tp>
      <tp t="s">
        <v>#N/A Field Not Applicable [Parameter:OUTPUT]</v>
        <stp/>
        <stp>##V3_BVIEW</stp>
        <stp>[XSLP -Swap Line Pricer.xlsm]Swaps!R29C112</stp>
        <stp>PRICE FXFL 933208</stp>
        <stp>Leg[1].notional</stp>
        <stp>headers=false</stp>
        <tr r="DH29" s="1"/>
      </tp>
      <tp t="s">
        <v>#N/A Field Not Applicable [Parameter:OUTPUT]</v>
        <stp/>
        <stp>##V3_BVIEW</stp>
        <stp>[XSLP -Swap Line Pricer.xlsm]Swaps!R25C112</stp>
        <stp>PRICE FXFL 132498</stp>
        <stp>Leg[1].notional</stp>
        <stp>headers=false</stp>
        <tr r="DH25" s="1"/>
      </tp>
      <tp t="s">
        <v>FXFL 631990</v>
        <stp/>
        <stp>##V3_BSTRUCTUREV12</stp>
        <stp>[XSLP -Swap Line Pricer.xlsm]Swaps!R30C108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48132</stp>
        <stp>CsaCollateralCurrency</stp>
        <stp>EUR</stp>
        <stp>ignoreinvalidparams=true</stp>
        <tr r="DD30" s="1"/>
      </tp>
      <tp t="s">
        <v>Annual</v>
        <stp/>
        <stp>##V3_BVIEW</stp>
        <stp>[XSLP -Swap Line Pricer.xlsm]Swaps!R23C62</stp>
        <stp>FXFL 729164</stp>
        <stp>Leg[1].PayFrequency</stp>
        <stp>headers=false</stp>
        <tr r="BJ23" s="1"/>
        <tr r="BJ23" s="1"/>
      </tp>
      <tp>
        <v>10000000</v>
        <stp/>
        <stp>##V3_BVIEW</stp>
        <stp>[XSLP -Swap Line Pricer.xlsm]Swaps!R35C58</stp>
        <stp>FXFL 1033483</stp>
        <stp>Leg[1].Notional</stp>
        <stp>headers=false</stp>
        <tr r="BF35" s="1"/>
        <tr r="BF35" s="1"/>
      </tp>
      <tp>
        <v>10000000</v>
        <stp/>
        <stp>##V3_BVIEW</stp>
        <stp>[XSLP -Swap Line Pricer.xlsm]Swaps!R35C69</stp>
        <stp>FXFL 1033483</stp>
        <stp>Leg[2].Notional</stp>
        <stp>headers=false</stp>
        <tr r="BQ35" s="1"/>
        <tr r="BQ35" s="1"/>
      </tp>
      <tp t="s">
        <v>#N/A Field Not Applicable [Parameter:OUTPUT]</v>
        <stp/>
        <stp>##V3_BVIEW</stp>
        <stp>[XSLP -Swap Line Pricer.xlsm]Swaps!R20C112</stp>
        <stp>PRICE FXFL 781382</stp>
        <stp>Leg[1].notional</stp>
        <stp>headers=false</stp>
        <tr r="DH20" s="1"/>
      </tp>
      <tp t="s">
        <v>#N/A Invalid object ID</v>
        <stp/>
        <stp>##V3_BVIEW</stp>
        <stp>[XSLP -Swap Line Pricer.xlsm]Swaptions!R24C69</stp>
        <stp>Enter deal type or saved ID.</stp>
        <stp>Leg[1].CalcBasis</stp>
        <stp>headers=false</stp>
        <tr r="BQ24" s="5"/>
      </tp>
      <tp t="s">
        <v>#N/A Invalid object ID</v>
        <stp/>
        <stp>##V3_BVIEW</stp>
        <stp>[XSLP -Swap Line Pricer.xlsm]Swaptions!R25C69</stp>
        <stp>Enter deal type or saved ID.</stp>
        <stp>Leg[1].CalcBasis</stp>
        <stp>headers=false</stp>
        <tr r="BQ25" s="5"/>
      </tp>
      <tp t="s">
        <v>#N/A Invalid object ID</v>
        <stp/>
        <stp>##V3_BVIEW</stp>
        <stp>[XSLP -Swap Line Pricer.xlsm]Swaptions!R26C69</stp>
        <stp>Enter deal type or saved ID.</stp>
        <stp>Leg[1].CalcBasis</stp>
        <stp>headers=false</stp>
        <tr r="BQ26" s="5"/>
      </tp>
      <tp t="s">
        <v>#N/A Invalid object ID</v>
        <stp/>
        <stp>##V3_BVIEW</stp>
        <stp>[XSLP -Swap Line Pricer.xlsm]Swaptions!R27C69</stp>
        <stp>Enter deal type or saved ID.</stp>
        <stp>Leg[1].CalcBasis</stp>
        <stp>headers=false</stp>
        <tr r="BQ27" s="5"/>
      </tp>
      <tp t="s">
        <v>#N/A Invalid object ID</v>
        <stp/>
        <stp>##V3_BVIEW</stp>
        <stp>[XSLP -Swap Line Pricer.xlsm]Swaptions!R20C69</stp>
        <stp>Enter deal type or saved ID.</stp>
        <stp>Leg[1].CalcBasis</stp>
        <stp>headers=false</stp>
        <tr r="BQ20" s="5"/>
      </tp>
      <tp t="s">
        <v>#N/A Invalid object ID</v>
        <stp/>
        <stp>##V3_BVIEW</stp>
        <stp>[XSLP -Swap Line Pricer.xlsm]Swaptions!R21C69</stp>
        <stp>Enter deal type or saved ID.</stp>
        <stp>Leg[1].CalcBasis</stp>
        <stp>headers=false</stp>
        <tr r="BQ21" s="5"/>
      </tp>
      <tp t="s">
        <v>#N/A Invalid object ID</v>
        <stp/>
        <stp>##V3_BVIEW</stp>
        <stp>[XSLP -Swap Line Pricer.xlsm]Swaptions!R22C69</stp>
        <stp>Enter deal type or saved ID.</stp>
        <stp>Leg[1].CalcBasis</stp>
        <stp>headers=false</stp>
        <tr r="BQ22" s="5"/>
      </tp>
      <tp t="s">
        <v>#N/A Invalid object ID</v>
        <stp/>
        <stp>##V3_BVIEW</stp>
        <stp>[XSLP -Swap Line Pricer.xlsm]Swaptions!R23C69</stp>
        <stp>Enter deal type or saved ID.</stp>
        <stp>Leg[1].CalcBasis</stp>
        <stp>headers=false</stp>
        <tr r="BQ23" s="5"/>
      </tp>
      <tp t="s">
        <v>#N/A Invalid object ID</v>
        <stp/>
        <stp>##V3_BVIEW</stp>
        <stp>[XSLP -Swap Line Pricer.xlsm]Swaptions!R28C69</stp>
        <stp>Enter deal type or saved ID.</stp>
        <stp>Leg[1].CalcBasis</stp>
        <stp>headers=false</stp>
        <tr r="BQ28" s="5"/>
      </tp>
      <tp t="s">
        <v>#N/A Invalid object ID</v>
        <stp/>
        <stp>##V3_BVIEW</stp>
        <stp>[XSLP -Swap Line Pricer.xlsm]Swaptions!R29C69</stp>
        <stp>Enter deal type or saved ID.</stp>
        <stp>Leg[1].CalcBasis</stp>
        <stp>headers=false</stp>
        <tr r="BQ29" s="5"/>
      </tp>
      <tp t="s">
        <v>#N/A Invalid object ID</v>
        <stp/>
        <stp>##V3_BVIEW</stp>
        <stp>[XSLP -Swap Line Pricer.xlsm]Swaptions!R34C69</stp>
        <stp>Enter deal type or saved ID.</stp>
        <stp>Leg[1].CalcBasis</stp>
        <stp>headers=false</stp>
        <tr r="BQ34" s="5"/>
      </tp>
      <tp t="s">
        <v>#N/A Invalid object ID</v>
        <stp/>
        <stp>##V3_BVIEW</stp>
        <stp>[XSLP -Swap Line Pricer.xlsm]Swaptions!R35C69</stp>
        <stp>Enter deal type or saved ID.</stp>
        <stp>Leg[1].CalcBasis</stp>
        <stp>headers=false</stp>
        <tr r="BQ35" s="5"/>
      </tp>
      <tp t="s">
        <v>#N/A Invalid object ID</v>
        <stp/>
        <stp>##V3_BVIEW</stp>
        <stp>[XSLP -Swap Line Pricer.xlsm]Swaptions!R36C69</stp>
        <stp>Enter deal type or saved ID.</stp>
        <stp>Leg[1].CalcBasis</stp>
        <stp>headers=false</stp>
        <tr r="BQ36" s="5"/>
      </tp>
      <tp t="s">
        <v>#N/A Invalid object ID</v>
        <stp/>
        <stp>##V3_BVIEW</stp>
        <stp>[XSLP -Swap Line Pricer.xlsm]Swaptions!R37C69</stp>
        <stp>Enter deal type or saved ID.</stp>
        <stp>Leg[1].CalcBasis</stp>
        <stp>headers=false</stp>
        <tr r="BQ37" s="5"/>
      </tp>
      <tp t="s">
        <v>#N/A Invalid object ID</v>
        <stp/>
        <stp>##V3_BVIEW</stp>
        <stp>[XSLP -Swap Line Pricer.xlsm]Swaptions!R30C69</stp>
        <stp>Enter deal type or saved ID.</stp>
        <stp>Leg[1].CalcBasis</stp>
        <stp>headers=false</stp>
        <tr r="BQ30" s="5"/>
      </tp>
      <tp t="s">
        <v>#N/A Invalid object ID</v>
        <stp/>
        <stp>##V3_BVIEW</stp>
        <stp>[XSLP -Swap Line Pricer.xlsm]Swaptions!R31C69</stp>
        <stp>Enter deal type or saved ID.</stp>
        <stp>Leg[1].CalcBasis</stp>
        <stp>headers=false</stp>
        <tr r="BQ31" s="5"/>
      </tp>
      <tp t="s">
        <v>#N/A Invalid object ID</v>
        <stp/>
        <stp>##V3_BVIEW</stp>
        <stp>[XSLP -Swap Line Pricer.xlsm]Swaptions!R32C69</stp>
        <stp>Enter deal type or saved ID.</stp>
        <stp>Leg[1].CalcBasis</stp>
        <stp>headers=false</stp>
        <tr r="BQ32" s="5"/>
      </tp>
      <tp t="s">
        <v>#N/A Invalid object ID</v>
        <stp/>
        <stp>##V3_BVIEW</stp>
        <stp>[XSLP -Swap Line Pricer.xlsm]Swaptions!R33C69</stp>
        <stp>Enter deal type or saved ID.</stp>
        <stp>Leg[1].CalcBasis</stp>
        <stp>headers=false</stp>
        <tr r="BQ33" s="5"/>
      </tp>
      <tp t="s">
        <v>#N/A Invalid object ID</v>
        <stp/>
        <stp>##V3_BVIEW</stp>
        <stp>[XSLP -Swap Line Pricer.xlsm]Swaptions!R38C69</stp>
        <stp>Enter deal type or saved ID.</stp>
        <stp>Leg[1].CalcBasis</stp>
        <stp>headers=false</stp>
        <tr r="BQ38" s="5"/>
      </tp>
      <tp t="s">
        <v>#N/A Invalid object ID</v>
        <stp/>
        <stp>##V3_BVIEW</stp>
        <stp>[XSLP -Swap Line Pricer.xlsm]Swaptions!R39C69</stp>
        <stp>Enter deal type or saved ID.</stp>
        <stp>Leg[1].CalcBasis</stp>
        <stp>headers=false</stp>
        <tr r="BQ39" s="5"/>
      </tp>
      <tp>
        <v>1000000</v>
        <stp/>
        <stp>##V3_BVIEW</stp>
        <stp>[XSLP -Swap Line Pricer.xlsm]Swaps!R25C69</stp>
        <stp>FXFL 64474</stp>
        <stp>Leg[2].Notional</stp>
        <stp>headers=false</stp>
        <tr r="BQ25" s="1"/>
        <tr r="BQ25" s="1"/>
      </tp>
      <tp>
        <v>1</v>
        <stp/>
        <stp>##V3_BVIEW</stp>
        <stp>[XSLP -Swap Line Pricer.xlsm]Swaps!R22C59</stp>
        <stp>FXFL 582191</stp>
        <stp>Leg[1].FixedCoupon</stp>
        <stp>headers=false</stp>
        <tr r="BG22" s="1"/>
        <tr r="BG22" s="1"/>
      </tp>
      <tp t="s">
        <v>#N/A No matches found [Parameter:OUTPUT]</v>
        <stp/>
        <stp>##V3_BVIEW</stp>
        <stp>[XSLP -Swap Line Pricer.xlsm]Swaps!R20C70</stp>
        <stp>FXFL 938373</stp>
        <stp>Leg[2].FixedCoupon</stp>
        <stp>headers=false</stp>
        <tr r="BR20" s="1"/>
      </tp>
      <tp t="s">
        <v>#N/A No matches found [Parameter:OUTPUT]</v>
        <stp/>
        <stp>##V3_BVIEW</stp>
        <stp>[XSLP -Swap Line Pricer.xlsm]Swaps!R32C70</stp>
        <stp>FXFL 877169</stp>
        <stp>Leg[2].FixedCoupon</stp>
        <stp>headers=false</stp>
        <tr r="BR32" s="1"/>
      </tp>
      <tp t="s">
        <v>SemiAnnual</v>
        <stp/>
        <stp>##V3_BVIEW</stp>
        <stp>[XSLP -Swap Line Pricer.xlsm]Swaps!R20C73</stp>
        <stp>FXFL 938373</stp>
        <stp>Leg[2].PayFrequency</stp>
        <stp>headers=false</stp>
        <tr r="BU20" s="1"/>
        <tr r="BU20" s="1"/>
      </tp>
      <tp t="s">
        <v>Annual</v>
        <stp/>
        <stp>##V3_BVIEW</stp>
        <stp>[XSLP -Swap Line Pricer.xlsm]Swaps!R26C62</stp>
        <stp>FXFL 927343</stp>
        <stp>Leg[1].PayFrequency</stp>
        <stp>headers=false</stp>
        <tr r="BJ26" s="1"/>
        <tr r="BJ26" s="1"/>
      </tp>
      <tp t="s">
        <v>#N/A Field Not Applicable [Parameter:OUTPUT]</v>
        <stp/>
        <stp>##V3_BVIEW</stp>
        <stp>[XSLP -Swap Line Pricer.xlsm]Swaps!R39C112</stp>
        <stp>PRICE FXFL 284275</stp>
        <stp>Leg[1].notional</stp>
        <stp>headers=false</stp>
        <tr r="DH39" s="1"/>
      </tp>
      <tp t="s">
        <v>#N/A Field Not Applicable [Parameter:OUTPUT]</v>
        <stp/>
        <stp>##V3_BVIEW</stp>
        <stp>[XSLP -Swap Line Pricer.xlsm]Swaps!R38C112</stp>
        <stp>PRICE FXFL 284275</stp>
        <stp>Leg[1].notional</stp>
        <stp>headers=false</stp>
        <tr r="DH38" s="1"/>
      </tp>
      <tp t="s">
        <v>#N/A Field Not Applicable [Parameter:OUTPUT]</v>
        <stp/>
        <stp>##V3_BVIEW</stp>
        <stp>[XSLP -Swap Line Pricer.xlsm]Swaps!R35C112</stp>
        <stp>PRICE FXFL 284275</stp>
        <stp>Leg[1].notional</stp>
        <stp>headers=false</stp>
        <tr r="DH35" s="1"/>
      </tp>
      <tp t="s">
        <v>#N/A Field Not Applicable [Parameter:OUTPUT]</v>
        <stp/>
        <stp>##V3_BVIEW</stp>
        <stp>[XSLP -Swap Line Pricer.xlsm]Swaps!R34C112</stp>
        <stp>PRICE FXFL 284275</stp>
        <stp>Leg[1].notional</stp>
        <stp>headers=false</stp>
        <tr r="DH34" s="1"/>
      </tp>
      <tp t="s">
        <v>#N/A Field Not Applicable [Parameter:OUTPUT]</v>
        <stp/>
        <stp>##V3_BVIEW</stp>
        <stp>[XSLP -Swap Line Pricer.xlsm]Swaps!R37C112</stp>
        <stp>PRICE FXFL 284275</stp>
        <stp>Leg[1].notional</stp>
        <stp>headers=false</stp>
        <tr r="DH37" s="1"/>
      </tp>
      <tp t="s">
        <v>#N/A Field Not Applicable [Parameter:OUTPUT]</v>
        <stp/>
        <stp>##V3_BVIEW</stp>
        <stp>[XSLP -Swap Line Pricer.xlsm]Swaps!R36C112</stp>
        <stp>PRICE FXFL 284275</stp>
        <stp>Leg[1].notional</stp>
        <stp>headers=false</stp>
        <tr r="DH36" s="1"/>
      </tp>
      <tp t="s">
        <v>#N/A Field Not Applicable [Parameter:OUTPUT]</v>
        <stp/>
        <stp>##V3_BVIEW</stp>
        <stp>[XSLP -Swap Line Pricer.xlsm]Swaps!R22C112</stp>
        <stp>PRICE FXFL 989515</stp>
        <stp>Leg[1].notional</stp>
        <stp>headers=false</stp>
        <tr r="DH22" s="1"/>
      </tp>
      <tp t="s">
        <v>#N/A Invalid object ID</v>
        <stp/>
        <stp>##V3_BVIEW</stp>
        <stp>[XSLP -Swap Line Pricer.xlsm]Swaptions!R26C102</stp>
        <stp/>
        <stp>OptionPremium</stp>
        <stp>headers=false</stp>
        <tr r="CX26" s="5"/>
      </tp>
      <tp t="s">
        <v>#N/A Invalid object ID</v>
        <stp/>
        <stp>##V3_BVIEW</stp>
        <stp>[XSLP -Swap Line Pricer.xlsm]Swaptions!R27C102</stp>
        <stp/>
        <stp>OptionPremium</stp>
        <stp>headers=false</stp>
        <tr r="CX27" s="5"/>
      </tp>
      <tp t="s">
        <v>#N/A Invalid object ID</v>
        <stp/>
        <stp>##V3_BVIEW</stp>
        <stp>[XSLP -Swap Line Pricer.xlsm]Swaptions!R24C102</stp>
        <stp/>
        <stp>OptionPremium</stp>
        <stp>headers=false</stp>
        <tr r="CX24" s="5"/>
      </tp>
      <tp t="s">
        <v>#N/A Invalid object ID</v>
        <stp/>
        <stp>##V3_BVIEW</stp>
        <stp>[XSLP -Swap Line Pricer.xlsm]Swaptions!R25C102</stp>
        <stp/>
        <stp>OptionPremium</stp>
        <stp>headers=false</stp>
        <tr r="CX25" s="5"/>
      </tp>
      <tp t="s">
        <v>#N/A Invalid object ID</v>
        <stp/>
        <stp>##V3_BVIEW</stp>
        <stp>[XSLP -Swap Line Pricer.xlsm]Swaptions!R22C102</stp>
        <stp/>
        <stp>OptionPremium</stp>
        <stp>headers=false</stp>
        <tr r="CX22" s="5"/>
      </tp>
      <tp t="s">
        <v>#N/A Invalid object ID</v>
        <stp/>
        <stp>##V3_BVIEW</stp>
        <stp>[XSLP -Swap Line Pricer.xlsm]Swaptions!R23C102</stp>
        <stp/>
        <stp>OptionPremium</stp>
        <stp>headers=false</stp>
        <tr r="CX23" s="5"/>
      </tp>
      <tp t="s">
        <v>#N/A Invalid object ID</v>
        <stp/>
        <stp>##V3_BVIEW</stp>
        <stp>[XSLP -Swap Line Pricer.xlsm]Swaptions!R20C102</stp>
        <stp/>
        <stp>OptionPremium</stp>
        <stp>headers=false</stp>
        <tr r="CX20" s="5"/>
      </tp>
      <tp t="s">
        <v>#N/A Invalid object ID</v>
        <stp/>
        <stp>##V3_BVIEW</stp>
        <stp>[XSLP -Swap Line Pricer.xlsm]Swaptions!R21C102</stp>
        <stp/>
        <stp>OptionPremium</stp>
        <stp>headers=false</stp>
        <tr r="CX21" s="5"/>
      </tp>
      <tp t="s">
        <v>#N/A Invalid object ID</v>
        <stp/>
        <stp>##V3_BVIEW</stp>
        <stp>[XSLP -Swap Line Pricer.xlsm]Swaptions!R28C67</stp>
        <stp>Enter deal type or saved ID.</stp>
        <stp>Leg[1].PayFrequency</stp>
        <stp>headers=false</stp>
        <tr r="BO28" s="5"/>
      </tp>
      <tp t="s">
        <v>#N/A Invalid object ID</v>
        <stp/>
        <stp>##V3_BVIEW</stp>
        <stp>[XSLP -Swap Line Pricer.xlsm]Swaptions!R38C67</stp>
        <stp>Enter deal type or saved ID.</stp>
        <stp>Leg[1].PayFrequency</stp>
        <stp>headers=false</stp>
        <tr r="BO38" s="5"/>
      </tp>
      <tp t="s">
        <v>#N/A Invalid object ID</v>
        <stp/>
        <stp>##V3_BVIEW</stp>
        <stp>[XSLP -Swap Line Pricer.xlsm]Swaptions!R38C76</stp>
        <stp>Enter deal type or saved ID.</stp>
        <stp>Leg[2].PayFrequency</stp>
        <stp>headers=false</stp>
        <tr r="BX38" s="5"/>
      </tp>
      <tp t="s">
        <v>#N/A Invalid object ID</v>
        <stp/>
        <stp>##V3_BVIEW</stp>
        <stp>[XSLP -Swap Line Pricer.xlsm]Swaptions!R28C76</stp>
        <stp>Enter deal type or saved ID.</stp>
        <stp>Leg[2].PayFrequency</stp>
        <stp>headers=false</stp>
        <tr r="BX28" s="5"/>
      </tp>
      <tp t="s">
        <v>#N/A Invalid object ID</v>
        <stp/>
        <stp>##V3_BVIEW</stp>
        <stp>[XSLP -Swap Line Pricer.xlsm]Swaptions!R28C102</stp>
        <stp/>
        <stp>OptionPremium</stp>
        <stp>headers=false</stp>
        <tr r="CX28" s="5"/>
      </tp>
      <tp t="s">
        <v>#N/A Invalid object ID</v>
        <stp/>
        <stp>##V3_BVIEW</stp>
        <stp>[XSLP -Swap Line Pricer.xlsm]Swaptions!R29C102</stp>
        <stp/>
        <stp>OptionPremium</stp>
        <stp>headers=false</stp>
        <tr r="CX29" s="5"/>
      </tp>
      <tp t="s">
        <v>#N/A No matches found [Parameter:OUTPUT]</v>
        <stp/>
        <stp>##V3_BVIEW</stp>
        <stp>[XSLP -Swap Line Pricer.xlsm]Swaps!R33C70</stp>
        <stp>FXFL 630096</stp>
        <stp>Leg[2].FixedCoupon</stp>
        <stp>headers=false</stp>
        <tr r="BR33" s="1"/>
      </tp>
      <tp t="s">
        <v>#N/A No matches found [Parameter:OUTPUT]</v>
        <stp/>
        <stp>##V3_BVIEW</stp>
        <stp>[XSLP -Swap Line Pricer.xlsm]Swaps!R30C70</stp>
        <stp>FXFL 631990</stp>
        <stp>Leg[2].FixedCoupon</stp>
        <stp>headers=false</stp>
        <tr r="BR30" s="1"/>
      </tp>
      <tp>
        <v>1</v>
        <stp/>
        <stp>##V3_BVIEW</stp>
        <stp>[XSLP -Swap Line Pricer.xlsm]Swaps!R26C59</stp>
        <stp>FXFL 927343</stp>
        <stp>Leg[1].FixedCoupon</stp>
        <stp>headers=false</stp>
        <tr r="BG26" s="1"/>
        <tr r="BG26" s="1"/>
      </tp>
      <tp t="s">
        <v>Annual</v>
        <stp/>
        <stp>##V3_BVIEW</stp>
        <stp>[XSLP -Swap Line Pricer.xlsm]Swaps!R20C62</stp>
        <stp>FXFL 938373</stp>
        <stp>Leg[1].PayFrequency</stp>
        <stp>headers=false</stp>
        <tr r="BJ20" s="1"/>
        <tr r="BJ20" s="1"/>
      </tp>
      <tp t="s">
        <v>SemiAnnual</v>
        <stp/>
        <stp>##V3_BVIEW</stp>
        <stp>[XSLP -Swap Line Pricer.xlsm]Swaps!R26C73</stp>
        <stp>FXFL 927343</stp>
        <stp>Leg[2].PayFrequency</stp>
        <stp>headers=false</stp>
        <tr r="BU26" s="1"/>
        <tr r="BU26" s="1"/>
      </tp>
      <tp t="s">
        <v>#N/A Invalid object ID</v>
        <stp/>
        <stp>##V3_BVIEW</stp>
        <stp>[XSLP -Swap Line Pricer.xlsm]Swaptions!R36C102</stp>
        <stp/>
        <stp>OptionPremium</stp>
        <stp>headers=false</stp>
        <tr r="CX36" s="5"/>
      </tp>
      <tp t="s">
        <v>#N/A Invalid object ID</v>
        <stp/>
        <stp>##V3_BVIEW</stp>
        <stp>[XSLP -Swap Line Pricer.xlsm]Swaptions!R37C102</stp>
        <stp/>
        <stp>OptionPremium</stp>
        <stp>headers=false</stp>
        <tr r="CX37" s="5"/>
      </tp>
      <tp t="s">
        <v>#N/A Invalid object ID</v>
        <stp/>
        <stp>##V3_BVIEW</stp>
        <stp>[XSLP -Swap Line Pricer.xlsm]Swaptions!R34C102</stp>
        <stp/>
        <stp>OptionPremium</stp>
        <stp>headers=false</stp>
        <tr r="CX34" s="5"/>
      </tp>
      <tp t="s">
        <v>#N/A Invalid object ID</v>
        <stp/>
        <stp>##V3_BVIEW</stp>
        <stp>[XSLP -Swap Line Pricer.xlsm]Swaptions!R35C102</stp>
        <stp/>
        <stp>OptionPremium</stp>
        <stp>headers=false</stp>
        <tr r="CX35" s="5"/>
      </tp>
      <tp t="s">
        <v>#N/A Invalid object ID</v>
        <stp/>
        <stp>##V3_BVIEW</stp>
        <stp>[XSLP -Swap Line Pricer.xlsm]Swaptions!R32C102</stp>
        <stp/>
        <stp>OptionPremium</stp>
        <stp>headers=false</stp>
        <tr r="CX32" s="5"/>
      </tp>
      <tp t="s">
        <v>#N/A Invalid object ID</v>
        <stp/>
        <stp>##V3_BVIEW</stp>
        <stp>[XSLP -Swap Line Pricer.xlsm]Swaptions!R33C102</stp>
        <stp/>
        <stp>OptionPremium</stp>
        <stp>headers=false</stp>
        <tr r="CX33" s="5"/>
      </tp>
      <tp t="s">
        <v>#N/A Invalid object ID</v>
        <stp/>
        <stp>##V3_BVIEW</stp>
        <stp>[XSLP -Swap Line Pricer.xlsm]Swaptions!R30C102</stp>
        <stp/>
        <stp>OptionPremium</stp>
        <stp>headers=false</stp>
        <tr r="CX30" s="5"/>
      </tp>
      <tp t="s">
        <v>#N/A Invalid object ID</v>
        <stp/>
        <stp>##V3_BVIEW</stp>
        <stp>[XSLP -Swap Line Pricer.xlsm]Swaptions!R31C102</stp>
        <stp/>
        <stp>OptionPremium</stp>
        <stp>headers=false</stp>
        <tr r="CX31" s="5"/>
      </tp>
      <tp t="s">
        <v>#N/A Invalid object ID</v>
        <stp/>
        <stp>##V3_BVIEW</stp>
        <stp>[XSLP -Swap Line Pricer.xlsm]Swaptions!R29C67</stp>
        <stp>Enter deal type or saved ID.</stp>
        <stp>Leg[1].PayFrequency</stp>
        <stp>headers=false</stp>
        <tr r="BO29" s="5"/>
      </tp>
      <tp t="s">
        <v>#N/A Invalid object ID</v>
        <stp/>
        <stp>##V3_BVIEW</stp>
        <stp>[XSLP -Swap Line Pricer.xlsm]Swaptions!R39C67</stp>
        <stp>Enter deal type or saved ID.</stp>
        <stp>Leg[1].PayFrequency</stp>
        <stp>headers=false</stp>
        <tr r="BO39" s="5"/>
      </tp>
      <tp t="s">
        <v>#N/A Invalid object ID</v>
        <stp/>
        <stp>##V3_BVIEW</stp>
        <stp>[XSLP -Swap Line Pricer.xlsm]Swaptions!R39C76</stp>
        <stp>Enter deal type or saved ID.</stp>
        <stp>Leg[2].PayFrequency</stp>
        <stp>headers=false</stp>
        <tr r="BX39" s="5"/>
      </tp>
      <tp t="s">
        <v>#N/A Invalid object ID</v>
        <stp/>
        <stp>##V3_BVIEW</stp>
        <stp>[XSLP -Swap Line Pricer.xlsm]Swaptions!R29C76</stp>
        <stp>Enter deal type or saved ID.</stp>
        <stp>Leg[2].PayFrequency</stp>
        <stp>headers=false</stp>
        <tr r="BX29" s="5"/>
      </tp>
      <tp t="s">
        <v>#N/A Invalid object ID</v>
        <stp/>
        <stp>##V3_BVIEW</stp>
        <stp>[XSLP -Swap Line Pricer.xlsm]Swaptions!R38C102</stp>
        <stp/>
        <stp>OptionPremium</stp>
        <stp>headers=false</stp>
        <tr r="CX38" s="5"/>
      </tp>
      <tp t="s">
        <v>#N/A Invalid object ID</v>
        <stp/>
        <stp>##V3_BVIEW</stp>
        <stp>[XSLP -Swap Line Pricer.xlsm]Swaptions!R39C102</stp>
        <stp/>
        <stp>OptionPremium</stp>
        <stp>headers=false</stp>
        <tr r="CX39" s="5"/>
      </tp>
      <tp>
        <v>1</v>
        <stp/>
        <stp>##V3_BVIEW</stp>
        <stp>[XSLP -Swap Line Pricer.xlsm]Swaps!R32C59</stp>
        <stp>FXFL 877169</stp>
        <stp>Leg[1].FixedCoupon</stp>
        <stp>headers=false</stp>
        <tr r="BG32" s="1"/>
        <tr r="BG32" s="1"/>
      </tp>
      <tp t="s">
        <v>#N/A No matches found [Parameter:OUTPUT]</v>
        <stp/>
        <stp>##V3_BVIEW</stp>
        <stp>[XSLP -Swap Line Pricer.xlsm]Swaps!R22C70</stp>
        <stp>FXFL 582191</stp>
        <stp>Leg[2].FixedCoupon</stp>
        <stp>headers=false</stp>
        <tr r="BR22" s="1"/>
      </tp>
      <tp>
        <v>1</v>
        <stp/>
        <stp>##V3_BVIEW</stp>
        <stp>[XSLP -Swap Line Pricer.xlsm]Swaps!R20C59</stp>
        <stp>FXFL 938373</stp>
        <stp>Leg[1].FixedCoupon</stp>
        <stp>headers=false</stp>
        <tr r="BG20" s="1"/>
        <tr r="BG20" s="1"/>
      </tp>
      <tp t="s">
        <v>Annual</v>
        <stp/>
        <stp>##V3_BVIEW</stp>
        <stp>[XSLP -Swap Line Pricer.xlsm]Swaps!R29C62</stp>
        <stp>FXFL 431830</stp>
        <stp>Leg[1].PayFrequency</stp>
        <stp>headers=false</stp>
        <tr r="BJ29" s="1"/>
        <tr r="BJ29" s="1"/>
      </tp>
      <tp t="s">
        <v>SemiAnnual</v>
        <stp/>
        <stp>##V3_BVIEW</stp>
        <stp>[XSLP -Swap Line Pricer.xlsm]Swaps!R30C73</stp>
        <stp>FXFL 631990</stp>
        <stp>Leg[2].PayFrequency</stp>
        <stp>headers=false</stp>
        <tr r="BU30" s="1"/>
        <tr r="BU30" s="1"/>
      </tp>
      <tp t="s">
        <v>Annual</v>
        <stp/>
        <stp>##V3_BVIEW</stp>
        <stp>[XSLP -Swap Line Pricer.xlsm]Swaps!R27C62</stp>
        <stp>FXFL 451356</stp>
        <stp>Leg[1].PayFrequency</stp>
        <stp>headers=false</stp>
        <tr r="BJ27" s="1"/>
        <tr r="BJ27" s="1"/>
      </tp>
      <tp t="s">
        <v>Annual</v>
        <stp/>
        <stp>##V3_BVIEW</stp>
        <stp>[XSLP -Swap Line Pricer.xlsm]Swaps!R31C62</stp>
        <stp>FXFL 625950</stp>
        <stp>Leg[1].PayFrequency</stp>
        <stp>headers=false</stp>
        <tr r="BJ31" s="1"/>
        <tr r="BJ31" s="1"/>
      </tp>
      <tp>
        <v>1000000</v>
        <stp/>
        <stp>##V3_BVIEW</stp>
        <stp>[XSLP -Swap Line Pricer.xlsm]Swaps!R25C58</stp>
        <stp>FXFL 64474</stp>
        <stp>Leg[1].Notional</stp>
        <stp>headers=false</stp>
        <tr r="BF25" s="1"/>
        <tr r="BF25" s="1"/>
      </tp>
      <tp t="s">
        <v>#N/A No matches found [Parameter:OUTPUT]</v>
        <stp/>
        <stp>##V3_BVIEW</stp>
        <stp>[XSLP -Swap Line Pricer.xlsm]Swaps!R26C70</stp>
        <stp>FXFL 927343</stp>
        <stp>Leg[2].FixedCoupon</stp>
        <stp>headers=false</stp>
        <tr r="BR26" s="1"/>
      </tp>
      <tp>
        <v>1</v>
        <stp/>
        <stp>##V3_BVIEW</stp>
        <stp>[XSLP -Swap Line Pricer.xlsm]Swaps!R33C59</stp>
        <stp>FXFL 630096</stp>
        <stp>Leg[1].FixedCoupon</stp>
        <stp>headers=false</stp>
        <tr r="BG33" s="1"/>
        <tr r="BG33" s="1"/>
      </tp>
      <tp>
        <v>1</v>
        <stp/>
        <stp>##V3_BVIEW</stp>
        <stp>[XSLP -Swap Line Pricer.xlsm]Swaps!R30C59</stp>
        <stp>FXFL 631990</stp>
        <stp>Leg[1].FixedCoupon</stp>
        <stp>headers=false</stp>
        <tr r="BG30" s="1"/>
        <tr r="BG30" s="1"/>
      </tp>
      <tp t="s">
        <v>SemiAnnual</v>
        <stp/>
        <stp>##V3_BVIEW</stp>
        <stp>[XSLP -Swap Line Pricer.xlsm]Swaps!R29C73</stp>
        <stp>FXFL 431830</stp>
        <stp>Leg[2].PayFrequency</stp>
        <stp>headers=false</stp>
        <tr r="BU29" s="1"/>
        <tr r="BU29" s="1"/>
      </tp>
      <tp t="s">
        <v>Annual</v>
        <stp/>
        <stp>##V3_BVIEW</stp>
        <stp>[XSLP -Swap Line Pricer.xlsm]Swaps!R30C62</stp>
        <stp>FXFL 631990</stp>
        <stp>Leg[1].PayFrequency</stp>
        <stp>headers=false</stp>
        <tr r="BJ30" s="1"/>
        <tr r="BJ30" s="1"/>
      </tp>
      <tp t="s">
        <v>SemiAnnual</v>
        <stp/>
        <stp>##V3_BVIEW</stp>
        <stp>[XSLP -Swap Line Pricer.xlsm]Swaps!R27C73</stp>
        <stp>FXFL 451356</stp>
        <stp>Leg[2].PayFrequency</stp>
        <stp>headers=false</stp>
        <tr r="BU27" s="1"/>
        <tr r="BU27" s="1"/>
      </tp>
      <tp t="s">
        <v>SemiAnnual</v>
        <stp/>
        <stp>##V3_BVIEW</stp>
        <stp>[XSLP -Swap Line Pricer.xlsm]Swaps!R31C73</stp>
        <stp>FXFL 625950</stp>
        <stp>Leg[2].PayFrequency</stp>
        <stp>headers=false</stp>
        <tr r="BU31" s="1"/>
        <tr r="BU31" s="1"/>
      </tp>
      <tp t="s">
        <v>FXFL 630096</v>
        <stp/>
        <stp>##V3_BSTRUCTUREV12</stp>
        <stp>[XSLP -Swap Line Pricer.xlsm]Swaps!R33C108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53611</stp>
        <stp>CsaCollateralCurrency</stp>
        <stp>EUR</stp>
        <stp>ignoreinvalidparams=true</stp>
        <tr r="DD33" s="1"/>
      </tp>
      <tp t="s">
        <v>FXFL 582191</v>
        <stp/>
        <stp>##V3_BSTRUCTUREV12</stp>
        <stp>[XSLP -Swap Line Pricer.xlsm]Swaps!R22C108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43749</stp>
        <stp>CsaCollateralCurrency</stp>
        <stp>EUR</stp>
        <stp>ignoreinvalidparams=true</stp>
        <tr r="DD22" s="1"/>
      </tp>
      <tp t="s">
        <v>FXFL 938373</v>
        <stp/>
        <stp>##V3_BSTRUCTUREV12</stp>
        <stp>[XSLP -Swap Line Pricer.xlsm]Swaps!R20C108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43019</stp>
        <stp>CsaCollateralCurrency</stp>
        <stp>EUR</stp>
        <stp>ignoreinvalidparams=true</stp>
        <tr r="DD20" s="1"/>
      </tp>
      <tp t="s">
        <v>FXFL 597317</v>
        <stp/>
        <stp>##V3_BSTRUCTUREV12</stp>
        <stp>[XSLP -Swap Line Pricer.xlsm]Swaps!R21C108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43384</stp>
        <stp>CsaCollateralCurrency</stp>
        <stp>EUR</stp>
        <stp>ignoreinvalidparams=true</stp>
        <tr r="DD21" s="1"/>
      </tp>
      <tp t="s">
        <v>Annual</v>
        <stp/>
        <stp>##V3_BVIEW</stp>
        <stp>[XSLP -Swap Line Pricer.xlsm]Swaps!R24C62</stp>
        <stp>FXFL 651808</stp>
        <stp>Leg[1].PayFrequency</stp>
        <stp>headers=false</stp>
        <tr r="BJ24" s="1"/>
        <tr r="BJ24" s="1"/>
      </tp>
      <tp t="s">
        <v>#N/A Field Not Applicable [Parameter:OUTPUT]</v>
        <stp/>
        <stp>##V3_BVIEW</stp>
        <stp>[XSLP -Swap Line Pricer.xlsm]Swaps!R23C112</stp>
        <stp>PRICE FXFL 782879</stp>
        <stp>Leg[1].notional</stp>
        <stp>headers=false</stp>
        <tr r="DH23" s="1"/>
      </tp>
      <tp t="s">
        <v>#N/A Invalid object ID</v>
        <stp/>
        <stp>##V3_BVIEW</stp>
        <stp>[XSLP -Swap Line Pricer.xlsm]Swaptions!R24C67</stp>
        <stp>Enter deal type or saved ID.</stp>
        <stp>Leg[1].PayFrequency</stp>
        <stp>headers=false</stp>
        <tr r="BO24" s="5"/>
      </tp>
      <tp t="s">
        <v>#N/A Invalid object ID</v>
        <stp/>
        <stp>##V3_BVIEW</stp>
        <stp>[XSLP -Swap Line Pricer.xlsm]Swaptions!R34C67</stp>
        <stp>Enter deal type or saved ID.</stp>
        <stp>Leg[1].PayFrequency</stp>
        <stp>headers=false</stp>
        <tr r="BO34" s="5"/>
      </tp>
      <tp t="s">
        <v>#N/A Invalid object ID</v>
        <stp/>
        <stp>##V3_BVIEW</stp>
        <stp>[XSLP -Swap Line Pricer.xlsm]Swaptions!R34C76</stp>
        <stp>Enter deal type or saved ID.</stp>
        <stp>Leg[2].PayFrequency</stp>
        <stp>headers=false</stp>
        <tr r="BX34" s="5"/>
      </tp>
      <tp t="s">
        <v>#N/A Invalid object ID</v>
        <stp/>
        <stp>##V3_BVIEW</stp>
        <stp>[XSLP -Swap Line Pricer.xlsm]Swaptions!R24C76</stp>
        <stp>Enter deal type or saved ID.</stp>
        <stp>Leg[2].PayFrequency</stp>
        <stp>headers=false</stp>
        <tr r="BX24" s="5"/>
      </tp>
      <tp t="s">
        <v>EUR</v>
        <stp/>
        <stp>##V3_BVIEW</stp>
        <stp>[XSLP -Swap Line Pricer.xlsm]Swaps!R25C57</stp>
        <stp>FXFL 64474</stp>
        <stp>Leg[1].Currency</stp>
        <stp>headers=false</stp>
        <tr r="BE25" s="1"/>
        <tr r="BE25" s="1"/>
      </tp>
      <tp t="s">
        <v>#N/A No matches found [Parameter:OUTPUT]</v>
        <stp/>
        <stp>##V3_BVIEW</stp>
        <stp>[XSLP -Swap Line Pricer.xlsm]Swaps!R31C70</stp>
        <stp>FXFL 625950</stp>
        <stp>Leg[2].FixedCoupon</stp>
        <stp>headers=false</stp>
        <tr r="BR31" s="1"/>
      </tp>
      <tp>
        <v>1</v>
        <stp/>
        <stp>##V3_BVIEW</stp>
        <stp>[XSLP -Swap Line Pricer.xlsm]Swaps!R23C59</stp>
        <stp>FXFL 729164</stp>
        <stp>Leg[1].FixedCoupon</stp>
        <stp>headers=false</stp>
        <tr r="BG23" s="1"/>
        <tr r="BG23" s="1"/>
      </tp>
      <tp>
        <v>1</v>
        <stp/>
        <stp>##V3_BVIEW</stp>
        <stp>[XSLP -Swap Line Pricer.xlsm]Swaps!R27C59</stp>
        <stp>FXFL 451356</stp>
        <stp>Leg[1].FixedCoupon</stp>
        <stp>headers=false</stp>
        <tr r="BG27" s="1"/>
        <tr r="BG27" s="1"/>
      </tp>
      <tp t="s">
        <v>SemiAnnual</v>
        <stp/>
        <stp>##V3_BVIEW</stp>
        <stp>[XSLP -Swap Line Pricer.xlsm]Swaps!R24C73</stp>
        <stp>FXFL 651808</stp>
        <stp>Leg[2].PayFrequency</stp>
        <stp>headers=false</stp>
        <tr r="BU24" s="1"/>
        <tr r="BU24" s="1"/>
      </tp>
      <tp t="s">
        <v>#N/A Field Not Applicable [Parameter:OUTPUT]</v>
        <stp/>
        <stp>##V3_BVIEW</stp>
        <stp>[XSLP -Swap Line Pricer.xlsm]Swaps!R30C112</stp>
        <stp>PRICE FXFL 193619</stp>
        <stp>Leg[1].notional</stp>
        <stp>headers=false</stp>
        <tr r="DH30" s="1"/>
      </tp>
      <tp t="s">
        <v>#N/A Invalid object ID</v>
        <stp/>
        <stp>##V3_BVIEW</stp>
        <stp>[XSLP -Swap Line Pricer.xlsm]Swaptions!R25C67</stp>
        <stp>Enter deal type or saved ID.</stp>
        <stp>Leg[1].PayFrequency</stp>
        <stp>headers=false</stp>
        <tr r="BO25" s="5"/>
      </tp>
      <tp t="s">
        <v>#N/A Invalid object ID</v>
        <stp/>
        <stp>##V3_BVIEW</stp>
        <stp>[XSLP -Swap Line Pricer.xlsm]Swaptions!R35C67</stp>
        <stp>Enter deal type or saved ID.</stp>
        <stp>Leg[1].PayFrequency</stp>
        <stp>headers=false</stp>
        <tr r="BO35" s="5"/>
      </tp>
      <tp t="s">
        <v>#N/A Invalid object ID</v>
        <stp/>
        <stp>##V3_BVIEW</stp>
        <stp>[XSLP -Swap Line Pricer.xlsm]Swaptions!R35C76</stp>
        <stp>Enter deal type or saved ID.</stp>
        <stp>Leg[2].PayFrequency</stp>
        <stp>headers=false</stp>
        <tr r="BX35" s="5"/>
      </tp>
      <tp t="s">
        <v>#N/A Invalid object ID</v>
        <stp/>
        <stp>##V3_BVIEW</stp>
        <stp>[XSLP -Swap Line Pricer.xlsm]Swaptions!R25C76</stp>
        <stp>Enter deal type or saved ID.</stp>
        <stp>Leg[2].PayFrequency</stp>
        <stp>headers=false</stp>
        <tr r="BX25" s="5"/>
      </tp>
      <tp t="s">
        <v>EUR</v>
        <stp/>
        <stp>##V3_BVIEW</stp>
        <stp>[XSLP -Swap Line Pricer.xlsm]Swaps!R25C68</stp>
        <stp>FXFL 64474</stp>
        <stp>Leg[2].Currency</stp>
        <stp>headers=false</stp>
        <tr r="BP25" s="1"/>
        <tr r="BP25" s="1"/>
      </tp>
      <tp t="s">
        <v>FXFL 877169</v>
        <stp/>
        <stp>##V3_BSTRUCTUREV12</stp>
        <stp>[XSLP -Swap Line Pricer.xlsm]Swaps!R32C108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51785</stp>
        <stp>CsaCollateralCurrency</stp>
        <stp>EUR</stp>
        <stp>ignoreinvalidparams=true</stp>
        <tr r="DD32" s="1"/>
      </tp>
      <tp t="s">
        <v>SemiAnnual</v>
        <stp/>
        <stp>##V3_BVIEW</stp>
        <stp>[XSLP -Swap Line Pricer.xlsm]Swaps!R21C73</stp>
        <stp>FXFL 597317</stp>
        <stp>Leg[2].PayFrequency</stp>
        <stp>headers=false</stp>
        <tr r="BU21" s="1"/>
        <tr r="BU21" s="1"/>
      </tp>
      <tp t="s">
        <v>Annual</v>
        <stp/>
        <stp>##V3_BVIEW</stp>
        <stp>[XSLP -Swap Line Pricer.xlsm]Swaps!R32C62</stp>
        <stp>FXFL 877169</stp>
        <stp>Leg[1].PayFrequency</stp>
        <stp>headers=false</stp>
        <tr r="BJ32" s="1"/>
        <tr r="BJ32" s="1"/>
      </tp>
      <tp t="s">
        <v>#N/A Field Not Applicable [Parameter:OUTPUT]</v>
        <stp/>
        <stp>##V3_BVIEW</stp>
        <stp>[XSLP -Swap Line Pricer.xlsm]Swaps!R24C112</stp>
        <stp>PRICE FXFL 326341</stp>
        <stp>Leg[1].notional</stp>
        <stp>headers=false</stp>
        <tr r="DH24" s="1"/>
      </tp>
      <tp t="s">
        <v>#N/A Invalid object ID</v>
        <stp/>
        <stp>##V3_BVIEW</stp>
        <stp>[XSLP -Swap Line Pricer.xlsm]Swaptions!R26C67</stp>
        <stp>Enter deal type or saved ID.</stp>
        <stp>Leg[1].PayFrequency</stp>
        <stp>headers=false</stp>
        <tr r="BO26" s="5"/>
      </tp>
      <tp t="s">
        <v>#N/A Invalid object ID</v>
        <stp/>
        <stp>##V3_BVIEW</stp>
        <stp>[XSLP -Swap Line Pricer.xlsm]Swaptions!R36C67</stp>
        <stp>Enter deal type or saved ID.</stp>
        <stp>Leg[1].PayFrequency</stp>
        <stp>headers=false</stp>
        <tr r="BO36" s="5"/>
      </tp>
      <tp t="s">
        <v>#N/A Invalid object ID</v>
        <stp/>
        <stp>##V3_BVIEW</stp>
        <stp>[XSLP -Swap Line Pricer.xlsm]Swaptions!R36C76</stp>
        <stp>Enter deal type or saved ID.</stp>
        <stp>Leg[2].PayFrequency</stp>
        <stp>headers=false</stp>
        <tr r="BX36" s="5"/>
      </tp>
      <tp t="s">
        <v>#N/A Invalid object ID</v>
        <stp/>
        <stp>##V3_BVIEW</stp>
        <stp>[XSLP -Swap Line Pricer.xlsm]Swaptions!R26C76</stp>
        <stp>Enter deal type or saved ID.</stp>
        <stp>Leg[2].PayFrequency</stp>
        <stp>headers=false</stp>
        <tr r="BX26" s="5"/>
      </tp>
      <tp t="s">
        <v>#N/A No matches found [Parameter:OUTPUT]</v>
        <stp/>
        <stp>##V3_BVIEW</stp>
        <stp>[XSLP -Swap Line Pricer.xlsm]Swaps!R23C70</stp>
        <stp>FXFL 729164</stp>
        <stp>Leg[2].FixedCoupon</stp>
        <stp>headers=false</stp>
        <tr r="BR23" s="1"/>
      </tp>
      <tp t="s">
        <v>#N/A No matches found [Parameter:OUTPUT]</v>
        <stp/>
        <stp>##V3_BVIEW</stp>
        <stp>[XSLP -Swap Line Pricer.xlsm]Swaps!R27C70</stp>
        <stp>FXFL 451356</stp>
        <stp>Leg[2].FixedCoupon</stp>
        <stp>headers=false</stp>
        <tr r="BR27" s="1"/>
      </tp>
      <tp>
        <v>1</v>
        <stp/>
        <stp>##V3_BVIEW</stp>
        <stp>[XSLP -Swap Line Pricer.xlsm]Swaps!R31C59</stp>
        <stp>FXFL 625950</stp>
        <stp>Leg[1].FixedCoupon</stp>
        <stp>headers=false</stp>
        <tr r="BG31" s="1"/>
        <tr r="BG31" s="1"/>
      </tp>
      <tp t="s">
        <v>Annual</v>
        <stp/>
        <stp>##V3_BVIEW</stp>
        <stp>[XSLP -Swap Line Pricer.xlsm]Swaps!R21C62</stp>
        <stp>FXFL 597317</stp>
        <stp>Leg[1].PayFrequency</stp>
        <stp>headers=false</stp>
        <tr r="BJ21" s="1"/>
        <tr r="BJ21" s="1"/>
      </tp>
      <tp t="s">
        <v>SemiAnnual</v>
        <stp/>
        <stp>##V3_BVIEW</stp>
        <stp>[XSLP -Swap Line Pricer.xlsm]Swaps!R32C73</stp>
        <stp>FXFL 877169</stp>
        <stp>Leg[2].PayFrequency</stp>
        <stp>headers=false</stp>
        <tr r="BU32" s="1"/>
        <tr r="BU32" s="1"/>
      </tp>
      <tp t="s">
        <v>#N/A Field Not Applicable [Parameter:OUTPUT]</v>
        <stp/>
        <stp>##V3_BVIEW</stp>
        <stp>[XSLP -Swap Line Pricer.xlsm]Swaps!R26C112</stp>
        <stp>PRICE FXFL 618953</stp>
        <stp>Leg[1].notional</stp>
        <stp>headers=false</stp>
        <tr r="DH26" s="1"/>
      </tp>
      <tp t="s">
        <v>#N/A Invalid object ID</v>
        <stp/>
        <stp>##V3_BVIEW</stp>
        <stp>[XSLP -Swap Line Pricer.xlsm]Swaptions!R27C67</stp>
        <stp>Enter deal type or saved ID.</stp>
        <stp>Leg[1].PayFrequency</stp>
        <stp>headers=false</stp>
        <tr r="BO27" s="5"/>
      </tp>
      <tp t="s">
        <v>#N/A Invalid object ID</v>
        <stp/>
        <stp>##V3_BVIEW</stp>
        <stp>[XSLP -Swap Line Pricer.xlsm]Swaptions!R37C67</stp>
        <stp>Enter deal type or saved ID.</stp>
        <stp>Leg[1].PayFrequency</stp>
        <stp>headers=false</stp>
        <tr r="BO37" s="5"/>
      </tp>
      <tp t="s">
        <v>#N/A Invalid object ID</v>
        <stp/>
        <stp>##V3_BVIEW</stp>
        <stp>[XSLP -Swap Line Pricer.xlsm]Swaptions!R37C76</stp>
        <stp>Enter deal type or saved ID.</stp>
        <stp>Leg[2].PayFrequency</stp>
        <stp>headers=false</stp>
        <tr r="BX37" s="5"/>
      </tp>
      <tp t="s">
        <v>#N/A Invalid object ID</v>
        <stp/>
        <stp>##V3_BVIEW</stp>
        <stp>[XSLP -Swap Line Pricer.xlsm]Swaptions!R27C76</stp>
        <stp>Enter deal type or saved ID.</stp>
        <stp>Leg[2].PayFrequency</stp>
        <stp>headers=false</stp>
        <tr r="BX27" s="5"/>
      </tp>
      <tp>
        <v>1</v>
        <stp/>
        <stp>##V3_BVIEW</stp>
        <stp>[XSLP -Swap Line Pricer.xlsm]Swaps!R21C59</stp>
        <stp>FXFL 597317</stp>
        <stp>Leg[1].FixedCoupon</stp>
        <stp>headers=false</stp>
        <tr r="BG21" s="1"/>
        <tr r="BG21" s="1"/>
      </tp>
      <tp t="s">
        <v>#N/A No matches found [Parameter:OUTPUT]</v>
        <stp/>
        <stp>##V3_BVIEW</stp>
        <stp>[XSLP -Swap Line Pricer.xlsm]Swaps!R24C70</stp>
        <stp>FXFL 651808</stp>
        <stp>Leg[2].FixedCoupon</stp>
        <stp>headers=false</stp>
        <tr r="BR24" s="1"/>
      </tp>
      <tp>
        <v>1</v>
        <stp/>
        <stp>##V3_BVIEW</stp>
        <stp>[XSLP -Swap Line Pricer.xlsm]Swaps!R28C59</stp>
        <stp>FXFL 164852</stp>
        <stp>Leg[1].FixedCoupon</stp>
        <stp>headers=false</stp>
        <tr r="BG28" s="1"/>
        <tr r="BG28" s="1"/>
      </tp>
      <tp t="s">
        <v>Annual</v>
        <stp/>
        <stp>##V3_BVIEW</stp>
        <stp>[XSLP -Swap Line Pricer.xlsm]Swaps!R22C62</stp>
        <stp>FXFL 582191</stp>
        <stp>Leg[1].PayFrequency</stp>
        <stp>headers=false</stp>
        <tr r="BJ22" s="1"/>
        <tr r="BJ22" s="1"/>
      </tp>
      <tp t="s">
        <v>EUR</v>
        <stp/>
        <stp>##V3_BVIEW</stp>
        <stp>[XSLP -Swap Line Pricer.xlsm]Swaps!R34C68</stp>
        <stp>FXFL 1033483</stp>
        <stp>Leg[2].Currency</stp>
        <stp>headers=false</stp>
        <tr r="BP34" s="1"/>
        <tr r="BP34" s="1"/>
      </tp>
      <tp t="s">
        <v>EUR</v>
        <stp/>
        <stp>##V3_BVIEW</stp>
        <stp>[XSLP -Swap Line Pricer.xlsm]Swaps!R34C57</stp>
        <stp>FXFL 1033483</stp>
        <stp>Leg[1].Currency</stp>
        <stp>headers=false</stp>
        <tr r="BE34" s="1"/>
        <tr r="BE34" s="1"/>
      </tp>
      <tp t="s">
        <v>Money Mkt</v>
        <stp/>
        <stp>##V3_BVIEW</stp>
        <stp>[XSLP -Swap Line Pricer.xlsm]Swaps!R25C65</stp>
        <stp>FXFL 64474</stp>
        <stp>Leg[1].CalcBasis</stp>
        <stp>headers=false</stp>
        <tr r="BM25" s="1"/>
        <tr r="BM25" s="1"/>
      </tp>
      <tp t="s">
        <v>#N/A Field Not Applicable [Parameter:OUTPUT]</v>
        <stp/>
        <stp>##V3_BVIEW</stp>
        <stp>[XSLP -Swap Line Pricer.xlsm]Swaps!R33C112</stp>
        <stp>PRICE FXFL 453040</stp>
        <stp>Leg[1].notional</stp>
        <stp>headers=false</stp>
        <tr r="DH33" s="1"/>
      </tp>
      <tp t="s">
        <v>#N/A Field Not Applicable [Parameter:OUTPUT]</v>
        <stp/>
        <stp>##V3_BVIEW</stp>
        <stp>[XSLP -Swap Line Pricer.xlsm]Swaps!R21C112</stp>
        <stp>PRICE FXFL 309575</stp>
        <stp>Leg[1].notional</stp>
        <stp>headers=false</stp>
        <tr r="DH21" s="1"/>
      </tp>
      <tp t="s">
        <v>#N/A Invalid object ID</v>
        <stp/>
        <stp>##V3_BVIEW</stp>
        <stp>[XSLP -Swap Line Pricer.xlsm]Swaptions!R20C67</stp>
        <stp>Enter deal type or saved ID.</stp>
        <stp>Leg[1].PayFrequency</stp>
        <stp>headers=false</stp>
        <tr r="BO20" s="5"/>
      </tp>
      <tp t="s">
        <v>#N/A Invalid object ID</v>
        <stp/>
        <stp>##V3_BVIEW</stp>
        <stp>[XSLP -Swap Line Pricer.xlsm]Swaptions!R30C67</stp>
        <stp>Enter deal type or saved ID.</stp>
        <stp>Leg[1].PayFrequency</stp>
        <stp>headers=false</stp>
        <tr r="BO30" s="5"/>
      </tp>
      <tp t="s">
        <v>#N/A Invalid object ID</v>
        <stp/>
        <stp>##V3_BVIEW</stp>
        <stp>[XSLP -Swap Line Pricer.xlsm]Swaptions!R30C76</stp>
        <stp>Enter deal type or saved ID.</stp>
        <stp>Leg[2].PayFrequency</stp>
        <stp>headers=false</stp>
        <tr r="BX30" s="5"/>
      </tp>
      <tp t="s">
        <v>#N/A Invalid object ID</v>
        <stp/>
        <stp>##V3_BVIEW</stp>
        <stp>[XSLP -Swap Line Pricer.xlsm]Swaptions!R20C76</stp>
        <stp>Enter deal type or saved ID.</stp>
        <stp>Leg[2].PayFrequency</stp>
        <stp>headers=false</stp>
        <tr r="BX20" s="5"/>
      </tp>
      <tp t="s">
        <v>FXFL 431830</v>
        <stp/>
        <stp>##V3_BSTRUCTUREV12</stp>
        <stp>[XSLP -Swap Line Pricer.xlsm]Swaps!R29C108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46306</stp>
        <stp>CsaCollateralCurrency</stp>
        <stp>EUR</stp>
        <stp>ignoreinvalidparams=true</stp>
        <tr r="DD29" s="1"/>
      </tp>
      <tp t="s">
        <v>#N/A No matches found [Parameter:OUTPUT]</v>
        <stp/>
        <stp>##V3_BVIEW</stp>
        <stp>[XSLP -Swap Line Pricer.xlsm]Swaps!R29C70</stp>
        <stp>FXFL 431830</stp>
        <stp>Leg[2].FixedCoupon</stp>
        <stp>headers=false</stp>
        <tr r="BR29" s="1"/>
      </tp>
      <tp t="s">
        <v>SemiAnnual</v>
        <stp/>
        <stp>##V3_BVIEW</stp>
        <stp>[XSLP -Swap Line Pricer.xlsm]Swaps!R22C73</stp>
        <stp>FXFL 582191</stp>
        <stp>Leg[2].PayFrequency</stp>
        <stp>headers=false</stp>
        <tr r="BU22" s="1"/>
        <tr r="BU22" s="1"/>
      </tp>
      <tp t="s">
        <v>EUR</v>
        <stp/>
        <stp>##V3_BVIEW</stp>
        <stp>[XSLP -Swap Line Pricer.xlsm]Swaps!R35C68</stp>
        <stp>FXFL 1033483</stp>
        <stp>Leg[2].Currency</stp>
        <stp>headers=false</stp>
        <tr r="BP35" s="1"/>
        <tr r="BP35" s="1"/>
      </tp>
      <tp t="s">
        <v>EUR</v>
        <stp/>
        <stp>##V3_BVIEW</stp>
        <stp>[XSLP -Swap Line Pricer.xlsm]Swaps!R35C57</stp>
        <stp>FXFL 1033483</stp>
        <stp>Leg[1].Currency</stp>
        <stp>headers=false</stp>
        <tr r="BE35" s="1"/>
        <tr r="BE35" s="1"/>
      </tp>
      <tp t="s">
        <v>#N/A Field Not Applicable [Parameter:OUTPUT]</v>
        <stp/>
        <stp>##V3_BVIEW</stp>
        <stp>[XSLP -Swap Line Pricer.xlsm]Swaps!R27C112</stp>
        <stp>PRICE FXFL 304254</stp>
        <stp>Leg[1].notional</stp>
        <stp>headers=false</stp>
        <tr r="DH27" s="1"/>
      </tp>
      <tp t="s">
        <v>#N/A Field Not Applicable [Parameter:OUTPUT]</v>
        <stp/>
        <stp>##V3_BVIEW</stp>
        <stp>[XSLP -Swap Line Pricer.xlsm]Swaps!R31C112</stp>
        <stp>PRICE FXFL 328876</stp>
        <stp>Leg[1].notional</stp>
        <stp>headers=false</stp>
        <tr r="DH31" s="1"/>
      </tp>
      <tp t="s">
        <v>#N/A Invalid object ID</v>
        <stp/>
        <stp>##V3_BVIEW</stp>
        <stp>[XSLP -Swap Line Pricer.xlsm]Swaptions!R21C67</stp>
        <stp>Enter deal type or saved ID.</stp>
        <stp>Leg[1].PayFrequency</stp>
        <stp>headers=false</stp>
        <tr r="BO21" s="5"/>
      </tp>
      <tp t="s">
        <v>#N/A Invalid object ID</v>
        <stp/>
        <stp>##V3_BVIEW</stp>
        <stp>[XSLP -Swap Line Pricer.xlsm]Swaptions!R31C67</stp>
        <stp>Enter deal type or saved ID.</stp>
        <stp>Leg[1].PayFrequency</stp>
        <stp>headers=false</stp>
        <tr r="BO31" s="5"/>
      </tp>
      <tp t="s">
        <v>#N/A Invalid object ID</v>
        <stp/>
        <stp>##V3_BVIEW</stp>
        <stp>[XSLP -Swap Line Pricer.xlsm]Swaptions!R31C76</stp>
        <stp>Enter deal type or saved ID.</stp>
        <stp>Leg[2].PayFrequency</stp>
        <stp>headers=false</stp>
        <tr r="BX31" s="5"/>
      </tp>
      <tp t="s">
        <v>#N/A Invalid object ID</v>
        <stp/>
        <stp>##V3_BVIEW</stp>
        <stp>[XSLP -Swap Line Pricer.xlsm]Swaptions!R21C76</stp>
        <stp>Enter deal type or saved ID.</stp>
        <stp>Leg[2].PayFrequency</stp>
        <stp>headers=false</stp>
        <tr r="BX21" s="5"/>
      </tp>
      <tp t="s">
        <v>#N/A Invalid object ID</v>
        <stp/>
        <stp>##V3_BVIEW</stp>
        <stp>[XSLP -Swap Line Pricer.xlsm]Swaptions!R33C74</stp>
        <stp>Enter deal type or saved ID.</stp>
        <stp>Leg[2].Spread</stp>
        <stp>headers=false</stp>
        <tr r="BV33" s="5"/>
      </tp>
      <tp t="s">
        <v>#N/A Invalid object ID</v>
        <stp/>
        <stp>##V3_BVIEW</stp>
        <stp>[XSLP -Swap Line Pricer.xlsm]Swaptions!R32C74</stp>
        <stp>Enter deal type or saved ID.</stp>
        <stp>Leg[2].Spread</stp>
        <stp>headers=false</stp>
        <tr r="BV32" s="5"/>
      </tp>
      <tp t="s">
        <v>#N/A Invalid object ID</v>
        <stp/>
        <stp>##V3_BVIEW</stp>
        <stp>[XSLP -Swap Line Pricer.xlsm]Swaptions!R31C74</stp>
        <stp>Enter deal type or saved ID.</stp>
        <stp>Leg[2].Spread</stp>
        <stp>headers=false</stp>
        <tr r="BV31" s="5"/>
      </tp>
      <tp t="s">
        <v>#N/A Invalid object ID</v>
        <stp/>
        <stp>##V3_BVIEW</stp>
        <stp>[XSLP -Swap Line Pricer.xlsm]Swaptions!R30C74</stp>
        <stp>Enter deal type or saved ID.</stp>
        <stp>Leg[2].Spread</stp>
        <stp>headers=false</stp>
        <tr r="BV30" s="5"/>
      </tp>
      <tp t="s">
        <v>#N/A Invalid object ID</v>
        <stp/>
        <stp>##V3_BVIEW</stp>
        <stp>[XSLP -Swap Line Pricer.xlsm]Swaptions!R37C74</stp>
        <stp>Enter deal type or saved ID.</stp>
        <stp>Leg[2].Spread</stp>
        <stp>headers=false</stp>
        <tr r="BV37" s="5"/>
      </tp>
      <tp t="s">
        <v>#N/A Invalid object ID</v>
        <stp/>
        <stp>##V3_BVIEW</stp>
        <stp>[XSLP -Swap Line Pricer.xlsm]Swaptions!R36C74</stp>
        <stp>Enter deal type or saved ID.</stp>
        <stp>Leg[2].Spread</stp>
        <stp>headers=false</stp>
        <tr r="BV36" s="5"/>
      </tp>
      <tp t="s">
        <v>#N/A Invalid object ID</v>
        <stp/>
        <stp>##V3_BVIEW</stp>
        <stp>[XSLP -Swap Line Pricer.xlsm]Swaptions!R35C74</stp>
        <stp>Enter deal type or saved ID.</stp>
        <stp>Leg[2].Spread</stp>
        <stp>headers=false</stp>
        <tr r="BV35" s="5"/>
      </tp>
      <tp t="s">
        <v>#N/A Invalid object ID</v>
        <stp/>
        <stp>##V3_BVIEW</stp>
        <stp>[XSLP -Swap Line Pricer.xlsm]Swaptions!R34C74</stp>
        <stp>Enter deal type or saved ID.</stp>
        <stp>Leg[2].Spread</stp>
        <stp>headers=false</stp>
        <tr r="BV34" s="5"/>
      </tp>
      <tp t="s">
        <v>#N/A Invalid object ID</v>
        <stp/>
        <stp>##V3_BVIEW</stp>
        <stp>[XSLP -Swap Line Pricer.xlsm]Swaptions!R39C74</stp>
        <stp>Enter deal type or saved ID.</stp>
        <stp>Leg[2].Spread</stp>
        <stp>headers=false</stp>
        <tr r="BV39" s="5"/>
      </tp>
      <tp t="s">
        <v>#N/A Invalid object ID</v>
        <stp/>
        <stp>##V3_BVIEW</stp>
        <stp>[XSLP -Swap Line Pricer.xlsm]Swaptions!R38C74</stp>
        <stp>Enter deal type or saved ID.</stp>
        <stp>Leg[2].Spread</stp>
        <stp>headers=false</stp>
        <tr r="BV38" s="5"/>
      </tp>
      <tp t="s">
        <v>#N/A Invalid object ID</v>
        <stp/>
        <stp>##V3_BVIEW</stp>
        <stp>[XSLP -Swap Line Pricer.xlsm]Swaptions!R23C74</stp>
        <stp>Enter deal type or saved ID.</stp>
        <stp>Leg[2].Spread</stp>
        <stp>headers=false</stp>
        <tr r="BV23" s="5"/>
      </tp>
      <tp t="s">
        <v>#N/A Invalid object ID</v>
        <stp/>
        <stp>##V3_BVIEW</stp>
        <stp>[XSLP -Swap Line Pricer.xlsm]Swaptions!R22C74</stp>
        <stp>Enter deal type or saved ID.</stp>
        <stp>Leg[2].Spread</stp>
        <stp>headers=false</stp>
        <tr r="BV22" s="5"/>
      </tp>
      <tp t="s">
        <v>#N/A Invalid object ID</v>
        <stp/>
        <stp>##V3_BVIEW</stp>
        <stp>[XSLP -Swap Line Pricer.xlsm]Swaptions!R21C74</stp>
        <stp>Enter deal type or saved ID.</stp>
        <stp>Leg[2].Spread</stp>
        <stp>headers=false</stp>
        <tr r="BV21" s="5"/>
      </tp>
      <tp t="s">
        <v>#N/A Invalid object ID</v>
        <stp/>
        <stp>##V3_BVIEW</stp>
        <stp>[XSLP -Swap Line Pricer.xlsm]Swaptions!R20C74</stp>
        <stp>Enter deal type or saved ID.</stp>
        <stp>Leg[2].Spread</stp>
        <stp>headers=false</stp>
        <tr r="BV20" s="5"/>
      </tp>
      <tp t="s">
        <v>#N/A Invalid object ID</v>
        <stp/>
        <stp>##V3_BVIEW</stp>
        <stp>[XSLP -Swap Line Pricer.xlsm]Swaptions!R27C74</stp>
        <stp>Enter deal type or saved ID.</stp>
        <stp>Leg[2].Spread</stp>
        <stp>headers=false</stp>
        <tr r="BV27" s="5"/>
      </tp>
      <tp t="s">
        <v>#N/A Invalid object ID</v>
        <stp/>
        <stp>##V3_BVIEW</stp>
        <stp>[XSLP -Swap Line Pricer.xlsm]Swaptions!R26C74</stp>
        <stp>Enter deal type or saved ID.</stp>
        <stp>Leg[2].Spread</stp>
        <stp>headers=false</stp>
        <tr r="BV26" s="5"/>
      </tp>
      <tp t="s">
        <v>#N/A Invalid object ID</v>
        <stp/>
        <stp>##V3_BVIEW</stp>
        <stp>[XSLP -Swap Line Pricer.xlsm]Swaptions!R25C74</stp>
        <stp>Enter deal type or saved ID.</stp>
        <stp>Leg[2].Spread</stp>
        <stp>headers=false</stp>
        <tr r="BV25" s="5"/>
      </tp>
      <tp t="s">
        <v>#N/A Invalid object ID</v>
        <stp/>
        <stp>##V3_BVIEW</stp>
        <stp>[XSLP -Swap Line Pricer.xlsm]Swaptions!R24C74</stp>
        <stp>Enter deal type or saved ID.</stp>
        <stp>Leg[2].Spread</stp>
        <stp>headers=false</stp>
        <tr r="BV24" s="5"/>
      </tp>
      <tp t="s">
        <v>#N/A Invalid object ID</v>
        <stp/>
        <stp>##V3_BVIEW</stp>
        <stp>[XSLP -Swap Line Pricer.xlsm]Swaptions!R29C74</stp>
        <stp>Enter deal type or saved ID.</stp>
        <stp>Leg[2].Spread</stp>
        <stp>headers=false</stp>
        <tr r="BV29" s="5"/>
      </tp>
      <tp t="s">
        <v>#N/A Invalid object ID</v>
        <stp/>
        <stp>##V3_BVIEW</stp>
        <stp>[XSLP -Swap Line Pricer.xlsm]Swaptions!R28C74</stp>
        <stp>Enter deal type or saved ID.</stp>
        <stp>Leg[2].Spread</stp>
        <stp>headers=false</stp>
        <tr r="BV28" s="5"/>
      </tp>
      <tp t="s">
        <v>FXFL 164852</v>
        <stp/>
        <stp>##V3_BSTRUCTUREV12</stp>
        <stp>[XSLP -Swap Line Pricer.xlsm]Swaps!R28C108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45941</stp>
        <stp>CsaCollateralCurrency</stp>
        <stp>EUR</stp>
        <stp>ignoreinvalidparams=true</stp>
        <tr r="DD28" s="1"/>
      </tp>
      <tp t="s">
        <v>FXFL 451356</v>
        <stp/>
        <stp>##V3_BSTRUCTUREV12</stp>
        <stp>[XSLP -Swap Line Pricer.xlsm]Swaps!R27C108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45576</stp>
        <stp>CsaCollateralCurrency</stp>
        <stp>EUR</stp>
        <stp>ignoreinvalidparams=true</stp>
        <tr r="DD27" s="1"/>
      </tp>
      <tp t="s">
        <v>FXFL 927343</v>
        <stp/>
        <stp>##V3_BSTRUCTUREV12</stp>
        <stp>[XSLP -Swap Line Pricer.xlsm]Swaps!R26C108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45210</stp>
        <stp>CsaCollateralCurrency</stp>
        <stp>EUR</stp>
        <stp>ignoreinvalidparams=true</stp>
        <tr r="DD26" s="1"/>
      </tp>
      <tp>
        <v>1</v>
        <stp/>
        <stp>##V3_BVIEW</stp>
        <stp>[XSLP -Swap Line Pricer.xlsm]Swaps!R24C59</stp>
        <stp>FXFL 651808</stp>
        <stp>Leg[1].FixedCoupon</stp>
        <stp>headers=false</stp>
        <tr r="BG24" s="1"/>
        <tr r="BG24" s="1"/>
      </tp>
      <tp t="s">
        <v>#N/A No matches found [Parameter:OUTPUT]</v>
        <stp/>
        <stp>##V3_BVIEW</stp>
        <stp>[XSLP -Swap Line Pricer.xlsm]Swaps!R28C70</stp>
        <stp>FXFL 164852</stp>
        <stp>Leg[2].FixedCoupon</stp>
        <stp>headers=false</stp>
        <tr r="BR28" s="1"/>
      </tp>
      <tp t="s">
        <v>#N/A No matches found [Parameter:OUTPUT]</v>
        <stp/>
        <stp>##V3_BVIEW</stp>
        <stp>[XSLP -Swap Line Pricer.xlsm]Swaps!R21C70</stp>
        <stp>FXFL 597317</stp>
        <stp>Leg[2].FixedCoupon</stp>
        <stp>headers=false</stp>
        <tr r="BR21" s="1"/>
      </tp>
      <tp>
        <v>10000000</v>
        <stp/>
        <stp>##V3_BVIEW</stp>
        <stp>[XSLP -Swap Line Pricer.xlsm]Swaps!R38C58</stp>
        <stp>FXFL 1033483</stp>
        <stp>Leg[1].Notional</stp>
        <stp>headers=false</stp>
        <tr r="BF38" s="1"/>
        <tr r="BF38" s="1"/>
      </tp>
      <tp>
        <v>10000000</v>
        <stp/>
        <stp>##V3_BVIEW</stp>
        <stp>[XSLP -Swap Line Pricer.xlsm]Swaps!R38C69</stp>
        <stp>FXFL 1033483</stp>
        <stp>Leg[2].Notional</stp>
        <stp>headers=false</stp>
        <tr r="BQ38" s="1"/>
        <tr r="BQ38" s="1"/>
      </tp>
      <tp t="s">
        <v>EUR</v>
        <stp/>
        <stp>##V3_BVIEW</stp>
        <stp>[XSLP -Swap Line Pricer.xlsm]Swaps!R36C68</stp>
        <stp>FXFL 1033483</stp>
        <stp>Leg[2].Currency</stp>
        <stp>headers=false</stp>
        <tr r="BP36" s="1"/>
        <tr r="BP36" s="1"/>
      </tp>
      <tp t="s">
        <v>EUR</v>
        <stp/>
        <stp>##V3_BVIEW</stp>
        <stp>[XSLP -Swap Line Pricer.xlsm]Swaps!R36C57</stp>
        <stp>FXFL 1033483</stp>
        <stp>Leg[1].Currency</stp>
        <stp>headers=false</stp>
        <tr r="BE36" s="1"/>
        <tr r="BE36" s="1"/>
      </tp>
      <tp t="s">
        <v>#N/A Invalid object ID</v>
        <stp/>
        <stp>##V3_BVIEW</stp>
        <stp>[XSLP -Swap Line Pricer.xlsm]Swaptions!R22C67</stp>
        <stp>Enter deal type or saved ID.</stp>
        <stp>Leg[1].PayFrequency</stp>
        <stp>headers=false</stp>
        <tr r="BO22" s="5"/>
      </tp>
      <tp t="s">
        <v>#N/A Invalid object ID</v>
        <stp/>
        <stp>##V3_BVIEW</stp>
        <stp>[XSLP -Swap Line Pricer.xlsm]Swaptions!R32C67</stp>
        <stp>Enter deal type or saved ID.</stp>
        <stp>Leg[1].PayFrequency</stp>
        <stp>headers=false</stp>
        <tr r="BO32" s="5"/>
      </tp>
      <tp t="s">
        <v>#N/A Invalid object ID</v>
        <stp/>
        <stp>##V3_BVIEW</stp>
        <stp>[XSLP -Swap Line Pricer.xlsm]Swaptions!R32C76</stp>
        <stp>Enter deal type or saved ID.</stp>
        <stp>Leg[2].PayFrequency</stp>
        <stp>headers=false</stp>
        <tr r="BX32" s="5"/>
      </tp>
      <tp t="s">
        <v>#N/A Invalid object ID</v>
        <stp/>
        <stp>##V3_BVIEW</stp>
        <stp>[XSLP -Swap Line Pricer.xlsm]Swaptions!R22C76</stp>
        <stp>Enter deal type or saved ID.</stp>
        <stp>Leg[2].PayFrequency</stp>
        <stp>headers=false</stp>
        <tr r="BX22" s="5"/>
      </tp>
      <tp t="s">
        <v>FXFL 64474</v>
        <stp/>
        <stp>##V3_BSTRUCTUREV12</stp>
        <stp>[XSLP -Swap Line Pricer.xlsm]Swaps!R25C108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44845</stp>
        <stp>CsaCollateralCurrency</stp>
        <stp>EUR</stp>
        <stp>ignoreinvalidparams=true</stp>
        <tr r="DD25" s="1"/>
      </tp>
      <tp t="s">
        <v>FXFL 651808</v>
        <stp/>
        <stp>##V3_BSTRUCTUREV12</stp>
        <stp>[XSLP -Swap Line Pricer.xlsm]Swaps!R24C108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44480</stp>
        <stp>CsaCollateralCurrency</stp>
        <stp>EUR</stp>
        <stp>ignoreinvalidparams=true</stp>
        <tr r="DD24" s="1"/>
      </tp>
      <tp t="s">
        <v>FXFL 729164</v>
        <stp/>
        <stp>##V3_BSTRUCTUREV12</stp>
        <stp>[XSLP -Swap Line Pricer.xlsm]Swaps!R23C108</stp>
        <stp xml:space="preserve">FXFL EUR </stp>
        <stp>Leg[1].PayoffSide</stp>
        <stp>Receive</stp>
        <stp>Leg[1].FixedCoupon_x0002_Leg[1].Spread_x0002_Leg[1].FloatingIndex_x0002_Leg[1].PayFrequency_x0002_Leg[1].DayCount_x0002_Leg[1].ResetFrequency_x0002_Leg[1].CalcBasis</stp>
        <stp>1_x0002__x0002__x0002__x0002__x0002__x0002_</stp>
        <stp>Leg[2].PayoffSide</stp>
        <stp/>
        <stp>Leg[2].FixedCoupon_x0002_Leg[2].Spread_x0002_Leg[2].FloatingIndex_x0002_Leg[2].PayFrequency_x0002_Leg[2].DayCount_x0002_Leg[2].ResetFrequency_x0002_Leg[2].CalcBasis</stp>
        <stp>_x0002__x0002__x0002__x0002__x0002_SemiAnnual_x0002_</stp>
        <stp>PrincipalExchange</stp>
        <stp/>
        <stp>Leg[1].currency_x0002_Leg[1].notional_x0002_Leg[2].currency_x0002_Leg[2].notional</stp>
        <stp>EUR_x0002_1000000_x0002_EUR_x0002_1000000</stp>
        <stp>EffectiveDate</stp>
        <stp>42654</stp>
        <stp>MaturityDate</stp>
        <stp>44115</stp>
        <stp>CsaCollateralCurrency</stp>
        <stp>EUR</stp>
        <stp>ignoreinvalidparams=true</stp>
        <tr r="DD23" s="1"/>
      </tp>
      <tp>
        <v>1</v>
        <stp/>
        <stp>##V3_BVIEW</stp>
        <stp>[XSLP -Swap Line Pricer.xlsm]Swaps!R29C59</stp>
        <stp>FXFL 431830</stp>
        <stp>Leg[1].FixedCoupon</stp>
        <stp>headers=false</stp>
        <tr r="BG29" s="1"/>
        <tr r="BG29" s="1"/>
      </tp>
      <tp>
        <v>60345.484412577476</v>
        <stp/>
        <stp>##V3_BVIEW</stp>
        <stp>[XSLP -Swap Line Pricer.xlsm]Swaps!R28C2</stp>
        <stp>PRICE FXFL 1009788</stp>
        <stp>PV</stp>
        <stp>headers=false</stp>
        <tr r="B28" s="1"/>
      </tp>
      <tp>
        <v>1.4706649438919888</v>
        <stp/>
        <stp>##V3_BVIEW</stp>
        <stp>[XSLP -Swap Line Pricer.xlsm]Favourites!R44C9</stp>
        <stp>PRICE FXFL 995195</stp>
        <stp>Parcoupon</stp>
        <stp>headers=false</stp>
        <tr r="I44" s="3"/>
      </tp>
      <tp>
        <v>1.4706649438919888</v>
        <stp/>
        <stp>##V3_BVIEW</stp>
        <stp>[XSLP -Swap Line Pricer.xlsm]Favourites!R45C9</stp>
        <stp>PRICE FXFL 995195</stp>
        <stp>Parcoupon</stp>
        <stp>headers=false</stp>
        <tr r="I45" s="3"/>
      </tp>
      <tp>
        <v>10000000</v>
        <stp/>
        <stp>##V3_BVIEW</stp>
        <stp>[XSLP -Swap Line Pricer.xlsm]Swaps!R39C58</stp>
        <stp>FXFL 1033483</stp>
        <stp>Leg[1].Notional</stp>
        <stp>headers=false</stp>
        <tr r="BF39" s="1"/>
        <tr r="BF39" s="1"/>
      </tp>
      <tp>
        <v>10000000</v>
        <stp/>
        <stp>##V3_BVIEW</stp>
        <stp>[XSLP -Swap Line Pricer.xlsm]Swaps!R39C69</stp>
        <stp>FXFL 1033483</stp>
        <stp>Leg[2].Notional</stp>
        <stp>headers=false</stp>
        <tr r="BQ39" s="1"/>
        <tr r="BQ39" s="1"/>
      </tp>
      <tp t="s">
        <v>EUR</v>
        <stp/>
        <stp>##V3_BVIEW</stp>
        <stp>[XSLP -Swap Line Pricer.xlsm]Swaps!R37C68</stp>
        <stp>FXFL 1033483</stp>
        <stp>Leg[2].Currency</stp>
        <stp>headers=false</stp>
        <tr r="BP37" s="1"/>
        <tr r="BP37" s="1"/>
      </tp>
      <tp t="s">
        <v>EUR</v>
        <stp/>
        <stp>##V3_BVIEW</stp>
        <stp>[XSLP -Swap Line Pricer.xlsm]Swaps!R37C57</stp>
        <stp>FXFL 1033483</stp>
        <stp>Leg[1].Currency</stp>
        <stp>headers=false</stp>
        <tr r="BE37" s="1"/>
        <tr r="BE37" s="1"/>
      </tp>
      <tp t="s">
        <v>#N/A No matches found [Parameter:OUTPUT]</v>
        <stp/>
        <stp>##V3_BVIEW</stp>
        <stp>[XSLP -Swap Line Pricer.xlsm]Swaps!R25C76</stp>
        <stp>FXFL 64474</stp>
        <stp>Leg[2].CalcBasis</stp>
        <stp>headers=false</stp>
        <tr r="BX25" s="1"/>
      </tp>
      <tp t="s">
        <v>#N/A Invalid object ID</v>
        <stp/>
        <stp>##V3_BVIEW</stp>
        <stp>[XSLP -Swap Line Pricer.xlsm]Swaptions!R23C67</stp>
        <stp>Enter deal type or saved ID.</stp>
        <stp>Leg[1].PayFrequency</stp>
        <stp>headers=false</stp>
        <tr r="BO23" s="5"/>
      </tp>
      <tp t="s">
        <v>#N/A Invalid object ID</v>
        <stp/>
        <stp>##V3_BVIEW</stp>
        <stp>[XSLP -Swap Line Pricer.xlsm]Swaptions!R33C67</stp>
        <stp>Enter deal type or saved ID.</stp>
        <stp>Leg[1].PayFrequency</stp>
        <stp>headers=false</stp>
        <tr r="BO33" s="5"/>
      </tp>
      <tp t="s">
        <v>#N/A Invalid object ID</v>
        <stp/>
        <stp>##V3_BVIEW</stp>
        <stp>[XSLP -Swap Line Pricer.xlsm]Swaptions!R33C76</stp>
        <stp>Enter deal type or saved ID.</stp>
        <stp>Leg[2].PayFrequency</stp>
        <stp>headers=false</stp>
        <tr r="BX33" s="5"/>
      </tp>
      <tp t="s">
        <v>#N/A Invalid object ID</v>
        <stp/>
        <stp>##V3_BVIEW</stp>
        <stp>[XSLP -Swap Line Pricer.xlsm]Swaptions!R23C76</stp>
        <stp>Enter deal type or saved ID.</stp>
        <stp>Leg[2].PayFrequency</stp>
        <stp>headers=false</stp>
        <tr r="BX23" s="5"/>
      </tp>
    </main>
    <main first="bloomberg.rtd">
      <tp t="s">
        <v>PRICE FXFL 284275</v>
        <stp/>
        <stp>##V3_BPRICEV12</stp>
        <stp>[XSLP -Swap Line Pricer.xlsm]Swaps!R38C109</stp>
        <stp>FXFL 1033483</stp>
        <stp/>
        <stp/>
        <stp>MarketDate</stp>
        <stp>42654</stp>
        <stp>ValuationDate</stp>
        <stp>42656</stp>
        <stp>alwaysrefresh</stp>
        <tr r="DE38" s="1"/>
      </tp>
      <tp t="s">
        <v>ACT/360</v>
        <stp/>
        <stp>##V3_BVIEW</stp>
        <stp>[XSLP -Swap Line Pricer.xlsm]Swaps!R34C74</stp>
        <stp>FXFL 1033483</stp>
        <stp>Leg[2].DayCount</stp>
        <stp>headers=false</stp>
        <tr r="BV34" s="1"/>
        <tr r="BV34" s="1"/>
      </tp>
      <tp t="s">
        <v>30U/360</v>
        <stp/>
        <stp>##V3_BVIEW</stp>
        <stp>[XSLP -Swap Line Pricer.xlsm]Swaps!R34C63</stp>
        <stp>FXFL 1033483</stp>
        <stp>Leg[1].DayCount</stp>
        <stp>headers=false</stp>
        <tr r="BK34" s="1"/>
        <tr r="BK34" s="1"/>
      </tp>
      <tp t="s">
        <v>EUR006M</v>
        <stp/>
        <stp>##V3_BVIEW</stp>
        <stp>[XSLP -Swap Line Pricer.xlsm]Swaps!R30C72</stp>
        <stp>FXFL 631990</stp>
        <stp>Leg[2].FloatingIndex</stp>
        <stp>headers=false</stp>
        <tr r="BT30" s="1"/>
        <tr r="BT30" s="1"/>
      </tp>
      <tp t="s">
        <v>#N/A No matches found [Parameter:OUTPUT]</v>
        <stp/>
        <stp>##V3_BVIEW</stp>
        <stp>[XSLP -Swap Line Pricer.xlsm]Swaps!R30C61</stp>
        <stp>FXFL 631990</stp>
        <stp>Leg[1].FloatingIndex</stp>
        <stp>headers=false</stp>
        <tr r="BI30" s="1"/>
      </tp>
      <tp t="s">
        <v>#N/A No matches found [Parameter:OUTPUT]</v>
        <stp/>
        <stp>##V3_BVIEW</stp>
        <stp>[XSLP -Swap Line Pricer.xlsm]Swaps!R26C61</stp>
        <stp>FXFL 927343</stp>
        <stp>Leg[1].FloatingIndex</stp>
        <stp>headers=false</stp>
        <tr r="BI26" s="1"/>
      </tp>
      <tp t="s">
        <v>EUR006M</v>
        <stp/>
        <stp>##V3_BVIEW</stp>
        <stp>[XSLP -Swap Line Pricer.xlsm]Swaps!R26C72</stp>
        <stp>FXFL 927343</stp>
        <stp>Leg[2].FloatingIndex</stp>
        <stp>headers=false</stp>
        <tr r="BT26" s="1"/>
        <tr r="BT26" s="1"/>
      </tp>
      <tp t="s">
        <v>PRICE FXFL 284275</v>
        <stp/>
        <stp>##V3_BPRICEV12</stp>
        <stp>[XSLP -Swap Line Pricer.xlsm]Swaps!R39C109</stp>
        <stp>FXFL 1033483</stp>
        <stp/>
        <stp/>
        <stp>MarketDate</stp>
        <stp>42654</stp>
        <stp>ValuationDate</stp>
        <stp>42656</stp>
        <stp>alwaysrefresh</stp>
        <tr r="DE39" s="1"/>
      </tp>
      <tp t="s">
        <v>ACT/360</v>
        <stp/>
        <stp>##V3_BVIEW</stp>
        <stp>[XSLP -Swap Line Pricer.xlsm]Swaps!R35C74</stp>
        <stp>FXFL 1033483</stp>
        <stp>Leg[2].DayCount</stp>
        <stp>headers=false</stp>
        <tr r="BV35" s="1"/>
        <tr r="BV35" s="1"/>
      </tp>
      <tp t="s">
        <v>30U/360</v>
        <stp/>
        <stp>##V3_BVIEW</stp>
        <stp>[XSLP -Swap Line Pricer.xlsm]Swaps!R35C63</stp>
        <stp>FXFL 1033483</stp>
        <stp>Leg[1].DayCount</stp>
        <stp>headers=false</stp>
        <tr r="BK35" s="1"/>
        <tr r="BK35" s="1"/>
      </tp>
      <tp t="s">
        <v>EUR006M</v>
        <stp/>
        <stp>##V3_BVIEW</stp>
        <stp>[XSLP -Swap Line Pricer.xlsm]Swaps!R22C72</stp>
        <stp>FXFL 582191</stp>
        <stp>Leg[2].FloatingIndex</stp>
        <stp>headers=false</stp>
        <tr r="BT22" s="1"/>
        <tr r="BT22" s="1"/>
      </tp>
      <tp t="s">
        <v>#N/A No matches found [Parameter:OUTPUT]</v>
        <stp/>
        <stp>##V3_BVIEW</stp>
        <stp>[XSLP -Swap Line Pricer.xlsm]Swaps!R22C61</stp>
        <stp>FXFL 582191</stp>
        <stp>Leg[1].FloatingIndex</stp>
        <stp>headers=false</stp>
        <tr r="BI22" s="1"/>
      </tp>
      <tp t="s">
        <v>ACT/360</v>
        <stp/>
        <stp>##V3_BVIEW</stp>
        <stp>[XSLP -Swap Line Pricer.xlsm]Swaps!R36C74</stp>
        <stp>FXFL 1033483</stp>
        <stp>Leg[2].DayCount</stp>
        <stp>headers=false</stp>
        <tr r="BV36" s="1"/>
        <tr r="BV36" s="1"/>
      </tp>
      <tp t="s">
        <v>30U/360</v>
        <stp/>
        <stp>##V3_BVIEW</stp>
        <stp>[XSLP -Swap Line Pricer.xlsm]Swaps!R36C63</stp>
        <stp>FXFL 1033483</stp>
        <stp>Leg[1].DayCount</stp>
        <stp>headers=false</stp>
        <tr r="BK36" s="1"/>
        <tr r="BK36" s="1"/>
      </tp>
      <tp t="s">
        <v>EUR</v>
        <stp/>
        <stp>##V3_BVIEW</stp>
        <stp>[XSLP -Swap Line Pricer.xlsm]Swaps!R31C80</stp>
        <stp>FXFL 625950</stp>
        <stp>CsaCollateralCurrency</stp>
        <stp>headers=false</stp>
        <tr r="CB31" s="1"/>
        <tr r="CB31" s="1"/>
      </tp>
      <tp t="s">
        <v>EUR006M</v>
        <stp/>
        <stp>##V3_BVIEW</stp>
        <stp>[XSLP -Swap Line Pricer.xlsm]Swaps!R33C72</stp>
        <stp>FXFL 630096</stp>
        <stp>Leg[2].FloatingIndex</stp>
        <stp>headers=false</stp>
        <tr r="BT33" s="1"/>
        <tr r="BT33" s="1"/>
      </tp>
      <tp t="s">
        <v>#N/A No matches found [Parameter:OUTPUT]</v>
        <stp/>
        <stp>##V3_BVIEW</stp>
        <stp>[XSLP -Swap Line Pricer.xlsm]Swaps!R33C61</stp>
        <stp>FXFL 630096</stp>
        <stp>Leg[1].FloatingIndex</stp>
        <stp>headers=false</stp>
        <tr r="BI33" s="1"/>
      </tp>
      <tp t="s">
        <v>EUR</v>
        <stp/>
        <stp>##V3_BVIEW</stp>
        <stp>[XSLP -Swap Line Pricer.xlsm]Swaps!R30C80</stp>
        <stp>FXFL 631990</stp>
        <stp>CsaCollateralCurrency</stp>
        <stp>headers=false</stp>
        <tr r="CB30" s="1"/>
        <tr r="CB30" s="1"/>
      </tp>
      <tp>
        <v>907.69251449364674</v>
        <stp/>
        <stp>##V3_BVIEW</stp>
        <stp>[XSLP -Swap Line Pricer.xlsm]Swaps!R28C4</stp>
        <stp>PRICE FXFL 1009788</stp>
        <stp>Pv01</stp>
        <stp>headers=false</stp>
        <tr r="D28" s="1"/>
      </tp>
      <tp t="s">
        <v>#N/A Invalid object ID</v>
        <stp/>
        <stp>##V3_BVIEW</stp>
        <stp>[XSLP -Swap Line Pricer.xlsm]Swaptions!R38C112</stp>
        <stp/>
        <stp>Pv</stp>
        <stp>headers=false</stp>
        <tr r="DH38" s="5"/>
      </tp>
      <tp t="s">
        <v>#N/A Invalid object ID</v>
        <stp/>
        <stp>##V3_BVIEW</stp>
        <stp>[XSLP -Swap Line Pricer.xlsm]Swaptions!R28C112</stp>
        <stp/>
        <stp>Pv</stp>
        <stp>headers=false</stp>
        <tr r="DH28" s="5"/>
      </tp>
      <tp t="s">
        <v>#N/A Invalid object ID</v>
        <stp/>
        <stp>##V3_BVIEW</stp>
        <stp>[XSLP -Swap Line Pricer.xlsm]Swaptions!R39C106</stp>
        <stp/>
        <stp>HedgingDelta</stp>
        <stp>headers=false</stp>
        <tr r="DB39" s="5"/>
      </tp>
      <tp t="s">
        <v>#N/A Invalid object ID</v>
        <stp/>
        <stp>##V3_BVIEW</stp>
        <stp>[XSLP -Swap Line Pricer.xlsm]Swaptions!R38C106</stp>
        <stp/>
        <stp>HedgingDelta</stp>
        <stp>headers=false</stp>
        <tr r="DB38" s="5"/>
      </tp>
      <tp t="s">
        <v>#N/A Invalid object ID</v>
        <stp/>
        <stp>##V3_BVIEW</stp>
        <stp>[XSLP -Swap Line Pricer.xlsm]Swaptions!R37C106</stp>
        <stp/>
        <stp>HedgingDelta</stp>
        <stp>headers=false</stp>
        <tr r="DB37" s="5"/>
      </tp>
      <tp t="s">
        <v>#N/A Invalid object ID</v>
        <stp/>
        <stp>##V3_BVIEW</stp>
        <stp>[XSLP -Swap Line Pricer.xlsm]Swaptions!R36C106</stp>
        <stp/>
        <stp>HedgingDelta</stp>
        <stp>headers=false</stp>
        <tr r="DB36" s="5"/>
      </tp>
      <tp t="s">
        <v>#N/A Invalid object ID</v>
        <stp/>
        <stp>##V3_BVIEW</stp>
        <stp>[XSLP -Swap Line Pricer.xlsm]Swaptions!R35C106</stp>
        <stp/>
        <stp>HedgingDelta</stp>
        <stp>headers=false</stp>
        <tr r="DB35" s="5"/>
      </tp>
      <tp t="s">
        <v>#N/A Invalid object ID</v>
        <stp/>
        <stp>##V3_BVIEW</stp>
        <stp>[XSLP -Swap Line Pricer.xlsm]Swaptions!R34C106</stp>
        <stp/>
        <stp>HedgingDelta</stp>
        <stp>headers=false</stp>
        <tr r="DB34" s="5"/>
      </tp>
      <tp t="s">
        <v>#N/A Invalid object ID</v>
        <stp/>
        <stp>##V3_BVIEW</stp>
        <stp>[XSLP -Swap Line Pricer.xlsm]Swaptions!R33C106</stp>
        <stp/>
        <stp>HedgingDelta</stp>
        <stp>headers=false</stp>
        <tr r="DB33" s="5"/>
      </tp>
      <tp t="s">
        <v>#N/A Invalid object ID</v>
        <stp/>
        <stp>##V3_BVIEW</stp>
        <stp>[XSLP -Swap Line Pricer.xlsm]Swaptions!R32C106</stp>
        <stp/>
        <stp>HedgingDelta</stp>
        <stp>headers=false</stp>
        <tr r="DB32" s="5"/>
      </tp>
      <tp t="s">
        <v>#N/A Invalid object ID</v>
        <stp/>
        <stp>##V3_BVIEW</stp>
        <stp>[XSLP -Swap Line Pricer.xlsm]Swaptions!R31C106</stp>
        <stp/>
        <stp>HedgingDelta</stp>
        <stp>headers=false</stp>
        <tr r="DB31" s="5"/>
      </tp>
      <tp t="s">
        <v>#N/A Invalid object ID</v>
        <stp/>
        <stp>##V3_BVIEW</stp>
        <stp>[XSLP -Swap Line Pricer.xlsm]Swaptions!R30C106</stp>
        <stp/>
        <stp>HedgingDelta</stp>
        <stp>headers=false</stp>
        <tr r="DB30" s="5"/>
      </tp>
      <tp t="s">
        <v>#N/A Invalid object ID</v>
        <stp/>
        <stp>##V3_BVIEW</stp>
        <stp>[XSLP -Swap Line Pricer.xlsm]Swaptions!R29C106</stp>
        <stp/>
        <stp>HedgingDelta</stp>
        <stp>headers=false</stp>
        <tr r="DB29" s="5"/>
      </tp>
      <tp t="s">
        <v>#N/A Invalid object ID</v>
        <stp/>
        <stp>##V3_BVIEW</stp>
        <stp>[XSLP -Swap Line Pricer.xlsm]Swaptions!R28C106</stp>
        <stp/>
        <stp>HedgingDelta</stp>
        <stp>headers=false</stp>
        <tr r="DB28" s="5"/>
      </tp>
      <tp t="s">
        <v>#N/A Invalid object ID</v>
        <stp/>
        <stp>##V3_BVIEW</stp>
        <stp>[XSLP -Swap Line Pricer.xlsm]Swaptions!R27C106</stp>
        <stp/>
        <stp>HedgingDelta</stp>
        <stp>headers=false</stp>
        <tr r="DB27" s="5"/>
      </tp>
      <tp t="s">
        <v>#N/A Invalid object ID</v>
        <stp/>
        <stp>##V3_BVIEW</stp>
        <stp>[XSLP -Swap Line Pricer.xlsm]Swaptions!R26C106</stp>
        <stp/>
        <stp>HedgingDelta</stp>
        <stp>headers=false</stp>
        <tr r="DB26" s="5"/>
      </tp>
      <tp t="s">
        <v>#N/A Invalid object ID</v>
        <stp/>
        <stp>##V3_BVIEW</stp>
        <stp>[XSLP -Swap Line Pricer.xlsm]Swaptions!R25C106</stp>
        <stp/>
        <stp>HedgingDelta</stp>
        <stp>headers=false</stp>
        <tr r="DB25" s="5"/>
      </tp>
      <tp t="s">
        <v>#N/A Invalid object ID</v>
        <stp/>
        <stp>##V3_BVIEW</stp>
        <stp>[XSLP -Swap Line Pricer.xlsm]Swaptions!R24C106</stp>
        <stp/>
        <stp>HedgingDelta</stp>
        <stp>headers=false</stp>
        <tr r="DB24" s="5"/>
      </tp>
      <tp t="s">
        <v>#N/A Invalid object ID</v>
        <stp/>
        <stp>##V3_BVIEW</stp>
        <stp>[XSLP -Swap Line Pricer.xlsm]Swaptions!R23C106</stp>
        <stp/>
        <stp>HedgingDelta</stp>
        <stp>headers=false</stp>
        <tr r="DB23" s="5"/>
      </tp>
      <tp t="s">
        <v>#N/A Invalid object ID</v>
        <stp/>
        <stp>##V3_BVIEW</stp>
        <stp>[XSLP -Swap Line Pricer.xlsm]Swaptions!R22C106</stp>
        <stp/>
        <stp>HedgingDelta</stp>
        <stp>headers=false</stp>
        <tr r="DB22" s="5"/>
      </tp>
      <tp t="s">
        <v>#N/A Invalid object ID</v>
        <stp/>
        <stp>##V3_BVIEW</stp>
        <stp>[XSLP -Swap Line Pricer.xlsm]Swaptions!R21C106</stp>
        <stp/>
        <stp>HedgingDelta</stp>
        <stp>headers=false</stp>
        <tr r="DB21" s="5"/>
      </tp>
      <tp t="s">
        <v>#N/A Invalid object ID</v>
        <stp/>
        <stp>##V3_BVIEW</stp>
        <stp>[XSLP -Swap Line Pricer.xlsm]Swaptions!R20C106</stp>
        <stp/>
        <stp>HedgingDelta</stp>
        <stp>headers=false</stp>
        <tr r="DB20" s="5"/>
      </tp>
      <tp t="s">
        <v>ACT/360</v>
        <stp/>
        <stp>##V3_BVIEW</stp>
        <stp>[XSLP -Swap Line Pricer.xlsm]Swaps!R37C74</stp>
        <stp>FXFL 1033483</stp>
        <stp>Leg[2].DayCount</stp>
        <stp>headers=false</stp>
        <tr r="BV37" s="1"/>
        <tr r="BV37" s="1"/>
      </tp>
      <tp t="s">
        <v>30U/360</v>
        <stp/>
        <stp>##V3_BVIEW</stp>
        <stp>[XSLP -Swap Line Pricer.xlsm]Swaps!R37C63</stp>
        <stp>FXFL 1033483</stp>
        <stp>Leg[1].DayCount</stp>
        <stp>headers=false</stp>
        <tr r="BK37" s="1"/>
        <tr r="BK37" s="1"/>
      </tp>
      <tp t="s">
        <v>EUR</v>
        <stp/>
        <stp>##V3_BVIEW</stp>
        <stp>[XSLP -Swap Line Pricer.xlsm]Swaps!R28C80</stp>
        <stp>FXFL 164852</stp>
        <stp>CsaCollateralCurrency</stp>
        <stp>headers=false</stp>
        <tr r="CB28" s="1"/>
        <tr r="CB28" s="1"/>
      </tp>
      <tp t="s">
        <v>EUR</v>
        <stp/>
        <stp>##V3_BVIEW</stp>
        <stp>[XSLP -Swap Line Pricer.xlsm]Swaps!R29C80</stp>
        <stp>FXFL 431830</stp>
        <stp>CsaCollateralCurrency</stp>
        <stp>headers=false</stp>
        <tr r="CB29" s="1"/>
        <tr r="CB29" s="1"/>
      </tp>
      <tp t="s">
        <v>EUR</v>
        <stp/>
        <stp>##V3_BVIEW</stp>
        <stp>[XSLP -Swap Line Pricer.xlsm]Swaps!R24C80</stp>
        <stp>FXFL 651808</stp>
        <stp>CsaCollateralCurrency</stp>
        <stp>headers=false</stp>
        <tr r="CB24" s="1"/>
        <tr r="CB24" s="1"/>
      </tp>
      <tp t="s">
        <v>#N/A Invalid object ID</v>
        <stp/>
        <stp>##V3_BVIEW</stp>
        <stp>[XSLP -Swap Line Pricer.xlsm]Swaptions!R20C111</stp>
        <stp/>
        <stp>Premium</stp>
        <stp>headers=false</stp>
        <tr r="DG20" s="5"/>
      </tp>
      <tp t="s">
        <v>#N/A Invalid object ID</v>
        <stp/>
        <stp>##V3_BVIEW</stp>
        <stp>[XSLP -Swap Line Pricer.xlsm]Swaptions!R21C111</stp>
        <stp/>
        <stp>Premium</stp>
        <stp>headers=false</stp>
        <tr r="DG21" s="5"/>
      </tp>
      <tp t="s">
        <v>#N/A Invalid object ID</v>
        <stp/>
        <stp>##V3_BVIEW</stp>
        <stp>[XSLP -Swap Line Pricer.xlsm]Swaptions!R22C111</stp>
        <stp/>
        <stp>Premium</stp>
        <stp>headers=false</stp>
        <tr r="DG22" s="5"/>
      </tp>
      <tp t="s">
        <v>#N/A Invalid object ID</v>
        <stp/>
        <stp>##V3_BVIEW</stp>
        <stp>[XSLP -Swap Line Pricer.xlsm]Swaptions!R23C111</stp>
        <stp/>
        <stp>Premium</stp>
        <stp>headers=false</stp>
        <tr r="DG23" s="5"/>
      </tp>
      <tp t="s">
        <v>#N/A Invalid object ID</v>
        <stp/>
        <stp>##V3_BVIEW</stp>
        <stp>[XSLP -Swap Line Pricer.xlsm]Swaptions!R24C111</stp>
        <stp/>
        <stp>Premium</stp>
        <stp>headers=false</stp>
        <tr r="DG24" s="5"/>
      </tp>
      <tp t="s">
        <v>#N/A Invalid object ID</v>
        <stp/>
        <stp>##V3_BVIEW</stp>
        <stp>[XSLP -Swap Line Pricer.xlsm]Swaptions!R25C111</stp>
        <stp/>
        <stp>Premium</stp>
        <stp>headers=false</stp>
        <tr r="DG25" s="5"/>
      </tp>
      <tp t="s">
        <v>#N/A Invalid object ID</v>
        <stp/>
        <stp>##V3_BVIEW</stp>
        <stp>[XSLP -Swap Line Pricer.xlsm]Swaptions!R26C111</stp>
        <stp/>
        <stp>Premium</stp>
        <stp>headers=false</stp>
        <tr r="DG26" s="5"/>
      </tp>
      <tp t="s">
        <v>#N/A Invalid object ID</v>
        <stp/>
        <stp>##V3_BVIEW</stp>
        <stp>[XSLP -Swap Line Pricer.xlsm]Swaptions!R27C111</stp>
        <stp/>
        <stp>Premium</stp>
        <stp>headers=false</stp>
        <tr r="DG27" s="5"/>
      </tp>
      <tp t="s">
        <v>#N/A Invalid object ID</v>
        <stp/>
        <stp>##V3_BVIEW</stp>
        <stp>[XSLP -Swap Line Pricer.xlsm]Swaptions!R28C111</stp>
        <stp/>
        <stp>Premium</stp>
        <stp>headers=false</stp>
        <tr r="DG28" s="5"/>
      </tp>
      <tp t="s">
        <v>#N/A Invalid object ID</v>
        <stp/>
        <stp>##V3_BVIEW</stp>
        <stp>[XSLP -Swap Line Pricer.xlsm]Swaptions!R29C111</stp>
        <stp/>
        <stp>Premium</stp>
        <stp>headers=false</stp>
        <tr r="DG29" s="5"/>
      </tp>
      <tp t="s">
        <v>#N/A Invalid object ID</v>
        <stp/>
        <stp>##V3_BVIEW</stp>
        <stp>[XSLP -Swap Line Pricer.xlsm]Swaptions!R30C111</stp>
        <stp/>
        <stp>Premium</stp>
        <stp>headers=false</stp>
        <tr r="DG30" s="5"/>
      </tp>
      <tp t="s">
        <v>#N/A Invalid object ID</v>
        <stp/>
        <stp>##V3_BVIEW</stp>
        <stp>[XSLP -Swap Line Pricer.xlsm]Swaptions!R31C111</stp>
        <stp/>
        <stp>Premium</stp>
        <stp>headers=false</stp>
        <tr r="DG31" s="5"/>
      </tp>
      <tp t="s">
        <v>#N/A Invalid object ID</v>
        <stp/>
        <stp>##V3_BVIEW</stp>
        <stp>[XSLP -Swap Line Pricer.xlsm]Swaptions!R32C111</stp>
        <stp/>
        <stp>Premium</stp>
        <stp>headers=false</stp>
        <tr r="DG32" s="5"/>
      </tp>
      <tp t="s">
        <v>#N/A Invalid object ID</v>
        <stp/>
        <stp>##V3_BVIEW</stp>
        <stp>[XSLP -Swap Line Pricer.xlsm]Swaptions!R33C111</stp>
        <stp/>
        <stp>Premium</stp>
        <stp>headers=false</stp>
        <tr r="DG33" s="5"/>
      </tp>
      <tp t="s">
        <v>#N/A Invalid object ID</v>
        <stp/>
        <stp>##V3_BVIEW</stp>
        <stp>[XSLP -Swap Line Pricer.xlsm]Swaptions!R34C111</stp>
        <stp/>
        <stp>Premium</stp>
        <stp>headers=false</stp>
        <tr r="DG34" s="5"/>
      </tp>
      <tp t="s">
        <v>#N/A Invalid object ID</v>
        <stp/>
        <stp>##V3_BVIEW</stp>
        <stp>[XSLP -Swap Line Pricer.xlsm]Swaptions!R35C111</stp>
        <stp/>
        <stp>Premium</stp>
        <stp>headers=false</stp>
        <tr r="DG35" s="5"/>
      </tp>
      <tp t="s">
        <v>#N/A Invalid object ID</v>
        <stp/>
        <stp>##V3_BVIEW</stp>
        <stp>[XSLP -Swap Line Pricer.xlsm]Swaptions!R36C111</stp>
        <stp/>
        <stp>Premium</stp>
        <stp>headers=false</stp>
        <tr r="DG36" s="5"/>
      </tp>
      <tp t="s">
        <v>#N/A Invalid object ID</v>
        <stp/>
        <stp>##V3_BVIEW</stp>
        <stp>[XSLP -Swap Line Pricer.xlsm]Swaptions!R37C111</stp>
        <stp/>
        <stp>Premium</stp>
        <stp>headers=false</stp>
        <tr r="DG37" s="5"/>
      </tp>
      <tp t="s">
        <v>#N/A Invalid object ID</v>
        <stp/>
        <stp>##V3_BVIEW</stp>
        <stp>[XSLP -Swap Line Pricer.xlsm]Swaptions!R38C111</stp>
        <stp/>
        <stp>Premium</stp>
        <stp>headers=false</stp>
        <tr r="DG38" s="5"/>
      </tp>
      <tp t="s">
        <v>#N/A Invalid object ID</v>
        <stp/>
        <stp>##V3_BVIEW</stp>
        <stp>[XSLP -Swap Line Pricer.xlsm]Swaptions!R39C111</stp>
        <stp/>
        <stp>Premium</stp>
        <stp>headers=false</stp>
        <tr r="DG39" s="5"/>
      </tp>
      <tp t="s">
        <v>#N/A Invalid object ID</v>
        <stp/>
        <stp>##V3_BVIEW</stp>
        <stp>[XSLP -Swap Line Pricer.xlsm]Swaptions!R39C112</stp>
        <stp/>
        <stp>Pv</stp>
        <stp>headers=false</stp>
        <tr r="DH39" s="5"/>
      </tp>
      <tp t="s">
        <v>#N/A Invalid object ID</v>
        <stp/>
        <stp>##V3_BVIEW</stp>
        <stp>[XSLP -Swap Line Pricer.xlsm]Swaptions!R29C112</stp>
        <stp/>
        <stp>Pv</stp>
        <stp>headers=false</stp>
        <tr r="DH29" s="5"/>
      </tp>
      <tp t="s">
        <v>EUR006M</v>
        <stp/>
        <stp>##V3_BVIEW</stp>
        <stp>[XSLP -Swap Line Pricer.xlsm]Swaps!R24C72</stp>
        <stp>FXFL 651808</stp>
        <stp>Leg[2].FloatingIndex</stp>
        <stp>headers=false</stp>
        <tr r="BT24" s="1"/>
        <tr r="BT24" s="1"/>
      </tp>
      <tp t="s">
        <v>#N/A No matches found [Parameter:OUTPUT]</v>
        <stp/>
        <stp>##V3_BVIEW</stp>
        <stp>[XSLP -Swap Line Pricer.xlsm]Swaps!R24C61</stp>
        <stp>FXFL 651808</stp>
        <stp>Leg[1].FloatingIndex</stp>
        <stp>headers=false</stp>
        <tr r="BI24" s="1"/>
      </tp>
      <tp t="s">
        <v>EUR006M</v>
        <stp/>
        <stp>##V3_BVIEW</stp>
        <stp>[XSLP -Swap Line Pricer.xlsm]Swaps!R32C72</stp>
        <stp>FXFL 877169</stp>
        <stp>Leg[2].FloatingIndex</stp>
        <stp>headers=false</stp>
        <tr r="BT32" s="1"/>
        <tr r="BT32" s="1"/>
      </tp>
      <tp t="s">
        <v>#N/A No matches found [Parameter:OUTPUT]</v>
        <stp/>
        <stp>##V3_BVIEW</stp>
        <stp>[XSLP -Swap Line Pricer.xlsm]Swaps!R32C61</stp>
        <stp>FXFL 877169</stp>
        <stp>Leg[1].FloatingIndex</stp>
        <stp>headers=false</stp>
        <tr r="BI32" s="1"/>
      </tp>
      <tp t="s">
        <v>EUR006M</v>
        <stp/>
        <stp>##V3_BVIEW</stp>
        <stp>[XSLP -Swap Line Pricer.xlsm]Swaps!R31C72</stp>
        <stp>FXFL 625950</stp>
        <stp>Leg[2].FloatingIndex</stp>
        <stp>headers=false</stp>
        <tr r="BT31" s="1"/>
        <tr r="BT31" s="1"/>
      </tp>
      <tp t="s">
        <v>#N/A No matches found [Parameter:OUTPUT]</v>
        <stp/>
        <stp>##V3_BVIEW</stp>
        <stp>[XSLP -Swap Line Pricer.xlsm]Swaps!R31C61</stp>
        <stp>FXFL 625950</stp>
        <stp>Leg[1].FloatingIndex</stp>
        <stp>headers=false</stp>
        <tr r="BI31" s="1"/>
      </tp>
      <tp>
        <v>938.47551621271418</v>
        <stp/>
        <stp>##V3_BVIEW</stp>
        <stp>[XSLP -Swap Line Pricer.xlsm]Swaps!R28C3</stp>
        <stp>PRICE FXFL 1009788</stp>
        <stp>Dv01</stp>
        <stp>headers=false</stp>
        <tr r="C28" s="1"/>
      </tp>
      <tp t="s">
        <v>30U/360</v>
        <stp/>
        <stp>##V3_BVIEW</stp>
        <stp>[XSLP -Swap Line Pricer.xlsm]Swaps!R25C63</stp>
        <stp>FXFL 64474</stp>
        <stp>Leg[1].DayCount</stp>
        <stp>headers=false</stp>
        <tr r="BK25" s="1"/>
        <tr r="BK25" s="1"/>
      </tp>
      <tp t="s">
        <v>#N/A Invalid object ID</v>
        <stp/>
        <stp>##V3_BVIEW</stp>
        <stp>[XSLP -Swap Line Pricer.xlsm]Swaptions!R38C78</stp>
        <stp>Enter deal type or saved ID.</stp>
        <stp>Leg[2].ResetFrequency</stp>
        <stp>headers=false</stp>
        <tr r="BZ38" s="5"/>
      </tp>
      <tp t="s">
        <v>#N/A Invalid object ID</v>
        <stp/>
        <stp>##V3_BVIEW</stp>
        <stp>[XSLP -Swap Line Pricer.xlsm]Swaptions!R39C78</stp>
        <stp>Enter deal type or saved ID.</stp>
        <stp>Leg[2].ResetFrequency</stp>
        <stp>headers=false</stp>
        <tr r="BZ39" s="5"/>
      </tp>
      <tp t="s">
        <v>#N/A Invalid object ID</v>
        <stp/>
        <stp>##V3_BVIEW</stp>
        <stp>[XSLP -Swap Line Pricer.xlsm]Swaptions!R30C78</stp>
        <stp>Enter deal type or saved ID.</stp>
        <stp>Leg[2].ResetFrequency</stp>
        <stp>headers=false</stp>
        <tr r="BZ30" s="5"/>
      </tp>
      <tp t="s">
        <v>#N/A Invalid object ID</v>
        <stp/>
        <stp>##V3_BVIEW</stp>
        <stp>[XSLP -Swap Line Pricer.xlsm]Swaptions!R31C78</stp>
        <stp>Enter deal type or saved ID.</stp>
        <stp>Leg[2].ResetFrequency</stp>
        <stp>headers=false</stp>
        <tr r="BZ31" s="5"/>
      </tp>
      <tp t="s">
        <v>#N/A Invalid object ID</v>
        <stp/>
        <stp>##V3_BVIEW</stp>
        <stp>[XSLP -Swap Line Pricer.xlsm]Swaptions!R32C78</stp>
        <stp>Enter deal type or saved ID.</stp>
        <stp>Leg[2].ResetFrequency</stp>
        <stp>headers=false</stp>
        <tr r="BZ32" s="5"/>
      </tp>
      <tp t="s">
        <v>#N/A Invalid object ID</v>
        <stp/>
        <stp>##V3_BVIEW</stp>
        <stp>[XSLP -Swap Line Pricer.xlsm]Swaptions!R33C78</stp>
        <stp>Enter deal type or saved ID.</stp>
        <stp>Leg[2].ResetFrequency</stp>
        <stp>headers=false</stp>
        <tr r="BZ33" s="5"/>
      </tp>
      <tp t="s">
        <v>#N/A Invalid object ID</v>
        <stp/>
        <stp>##V3_BVIEW</stp>
        <stp>[XSLP -Swap Line Pricer.xlsm]Swaptions!R34C78</stp>
        <stp>Enter deal type or saved ID.</stp>
        <stp>Leg[2].ResetFrequency</stp>
        <stp>headers=false</stp>
        <tr r="BZ34" s="5"/>
      </tp>
      <tp t="s">
        <v>#N/A Invalid object ID</v>
        <stp/>
        <stp>##V3_BVIEW</stp>
        <stp>[XSLP -Swap Line Pricer.xlsm]Swaptions!R35C78</stp>
        <stp>Enter deal type or saved ID.</stp>
        <stp>Leg[2].ResetFrequency</stp>
        <stp>headers=false</stp>
        <tr r="BZ35" s="5"/>
      </tp>
      <tp t="s">
        <v>#N/A Invalid object ID</v>
        <stp/>
        <stp>##V3_BVIEW</stp>
        <stp>[XSLP -Swap Line Pricer.xlsm]Swaptions!R36C78</stp>
        <stp>Enter deal type or saved ID.</stp>
        <stp>Leg[2].ResetFrequency</stp>
        <stp>headers=false</stp>
        <tr r="BZ36" s="5"/>
      </tp>
      <tp t="s">
        <v>#N/A Invalid object ID</v>
        <stp/>
        <stp>##V3_BVIEW</stp>
        <stp>[XSLP -Swap Line Pricer.xlsm]Swaptions!R37C78</stp>
        <stp>Enter deal type or saved ID.</stp>
        <stp>Leg[2].ResetFrequency</stp>
        <stp>headers=false</stp>
        <tr r="BZ37" s="5"/>
      </tp>
      <tp t="s">
        <v>#N/A Invalid object ID</v>
        <stp/>
        <stp>##V3_BVIEW</stp>
        <stp>[XSLP -Swap Line Pricer.xlsm]Swaptions!R28C78</stp>
        <stp>Enter deal type or saved ID.</stp>
        <stp>Leg[2].ResetFrequency</stp>
        <stp>headers=false</stp>
        <tr r="BZ28" s="5"/>
      </tp>
      <tp t="s">
        <v>#N/A Invalid object ID</v>
        <stp/>
        <stp>##V3_BVIEW</stp>
        <stp>[XSLP -Swap Line Pricer.xlsm]Swaptions!R29C78</stp>
        <stp>Enter deal type or saved ID.</stp>
        <stp>Leg[2].ResetFrequency</stp>
        <stp>headers=false</stp>
        <tr r="BZ29" s="5"/>
      </tp>
      <tp t="s">
        <v>#N/A Invalid object ID</v>
        <stp/>
        <stp>##V3_BVIEW</stp>
        <stp>[XSLP -Swap Line Pricer.xlsm]Swaptions!R20C78</stp>
        <stp>Enter deal type or saved ID.</stp>
        <stp>Leg[2].ResetFrequency</stp>
        <stp>headers=false</stp>
        <tr r="BZ20" s="5"/>
      </tp>
      <tp t="s">
        <v>#N/A Invalid object ID</v>
        <stp/>
        <stp>##V3_BVIEW</stp>
        <stp>[XSLP -Swap Line Pricer.xlsm]Swaptions!R21C78</stp>
        <stp>Enter deal type or saved ID.</stp>
        <stp>Leg[2].ResetFrequency</stp>
        <stp>headers=false</stp>
        <tr r="BZ21" s="5"/>
      </tp>
      <tp t="s">
        <v>#N/A Invalid object ID</v>
        <stp/>
        <stp>##V3_BVIEW</stp>
        <stp>[XSLP -Swap Line Pricer.xlsm]Swaptions!R22C78</stp>
        <stp>Enter deal type or saved ID.</stp>
        <stp>Leg[2].ResetFrequency</stp>
        <stp>headers=false</stp>
        <tr r="BZ22" s="5"/>
      </tp>
      <tp t="s">
        <v>#N/A Invalid object ID</v>
        <stp/>
        <stp>##V3_BVIEW</stp>
        <stp>[XSLP -Swap Line Pricer.xlsm]Swaptions!R23C78</stp>
        <stp>Enter deal type or saved ID.</stp>
        <stp>Leg[2].ResetFrequency</stp>
        <stp>headers=false</stp>
        <tr r="BZ23" s="5"/>
      </tp>
      <tp t="s">
        <v>#N/A Invalid object ID</v>
        <stp/>
        <stp>##V3_BVIEW</stp>
        <stp>[XSLP -Swap Line Pricer.xlsm]Swaptions!R24C78</stp>
        <stp>Enter deal type or saved ID.</stp>
        <stp>Leg[2].ResetFrequency</stp>
        <stp>headers=false</stp>
        <tr r="BZ24" s="5"/>
      </tp>
      <tp t="s">
        <v>#N/A Invalid object ID</v>
        <stp/>
        <stp>##V3_BVIEW</stp>
        <stp>[XSLP -Swap Line Pricer.xlsm]Swaptions!R25C78</stp>
        <stp>Enter deal type or saved ID.</stp>
        <stp>Leg[2].ResetFrequency</stp>
        <stp>headers=false</stp>
        <tr r="BZ25" s="5"/>
      </tp>
      <tp t="s">
        <v>#N/A Invalid object ID</v>
        <stp/>
        <stp>##V3_BVIEW</stp>
        <stp>[XSLP -Swap Line Pricer.xlsm]Swaptions!R26C78</stp>
        <stp>Enter deal type or saved ID.</stp>
        <stp>Leg[2].ResetFrequency</stp>
        <stp>headers=false</stp>
        <tr r="BZ26" s="5"/>
      </tp>
      <tp t="s">
        <v>#N/A Invalid object ID</v>
        <stp/>
        <stp>##V3_BVIEW</stp>
        <stp>[XSLP -Swap Line Pricer.xlsm]Swaptions!R27C78</stp>
        <stp>Enter deal type or saved ID.</stp>
        <stp>Leg[2].ResetFrequency</stp>
        <stp>headers=false</stp>
        <tr r="BZ27" s="5"/>
      </tp>
      <tp t="s">
        <v>ACT/360</v>
        <stp/>
        <stp>##V3_BVIEW</stp>
        <stp>[XSLP -Swap Line Pricer.xlsm]Swaps!R25C74</stp>
        <stp>FXFL 64474</stp>
        <stp>Leg[2].DayCount</stp>
        <stp>headers=false</stp>
        <tr r="BV25" s="1"/>
        <tr r="BV25" s="1"/>
      </tp>
      <tp t="s">
        <v>#N/A Invalid object ID</v>
        <stp/>
        <stp>##V3_BVIEW</stp>
        <stp>[XSLP -Swap Line Pricer.xlsm]Swaptions!R32C52</stp>
        <stp>Enter deal type or saved ID.</stp>
        <stp>Notional</stp>
        <stp>headers=false</stp>
        <tr r="AZ32" s="5"/>
      </tp>
      <tp t="s">
        <v>#N/A Invalid object ID</v>
        <stp/>
        <stp>##V3_BVIEW</stp>
        <stp>[XSLP -Swap Line Pricer.xlsm]Swaptions!R33C52</stp>
        <stp>Enter deal type or saved ID.</stp>
        <stp>Notional</stp>
        <stp>headers=false</stp>
        <tr r="AZ33" s="5"/>
      </tp>
      <tp t="s">
        <v>#N/A Invalid object ID</v>
        <stp/>
        <stp>##V3_BVIEW</stp>
        <stp>[XSLP -Swap Line Pricer.xlsm]Swaptions!R30C52</stp>
        <stp>Enter deal type or saved ID.</stp>
        <stp>Notional</stp>
        <stp>headers=false</stp>
        <tr r="AZ30" s="5"/>
      </tp>
      <tp t="s">
        <v>#N/A Invalid object ID</v>
        <stp/>
        <stp>##V3_BVIEW</stp>
        <stp>[XSLP -Swap Line Pricer.xlsm]Swaptions!R31C52</stp>
        <stp>Enter deal type or saved ID.</stp>
        <stp>Notional</stp>
        <stp>headers=false</stp>
        <tr r="AZ31" s="5"/>
      </tp>
      <tp t="s">
        <v>#N/A Invalid object ID</v>
        <stp/>
        <stp>##V3_BVIEW</stp>
        <stp>[XSLP -Swap Line Pricer.xlsm]Swaptions!R36C52</stp>
        <stp>Enter deal type or saved ID.</stp>
        <stp>Notional</stp>
        <stp>headers=false</stp>
        <tr r="AZ36" s="5"/>
      </tp>
      <tp t="s">
        <v>#N/A Invalid object ID</v>
        <stp/>
        <stp>##V3_BVIEW</stp>
        <stp>[XSLP -Swap Line Pricer.xlsm]Swaptions!R37C52</stp>
        <stp>Enter deal type or saved ID.</stp>
        <stp>Notional</stp>
        <stp>headers=false</stp>
        <tr r="AZ37" s="5"/>
      </tp>
      <tp t="s">
        <v>#N/A Invalid object ID</v>
        <stp/>
        <stp>##V3_BVIEW</stp>
        <stp>[XSLP -Swap Line Pricer.xlsm]Swaptions!R34C52</stp>
        <stp>Enter deal type or saved ID.</stp>
        <stp>Notional</stp>
        <stp>headers=false</stp>
        <tr r="AZ34" s="5"/>
      </tp>
      <tp t="s">
        <v>#N/A Invalid object ID</v>
        <stp/>
        <stp>##V3_BVIEW</stp>
        <stp>[XSLP -Swap Line Pricer.xlsm]Swaptions!R35C52</stp>
        <stp>Enter deal type or saved ID.</stp>
        <stp>Notional</stp>
        <stp>headers=false</stp>
        <tr r="AZ35" s="5"/>
      </tp>
      <tp t="s">
        <v>#N/A Invalid object ID</v>
        <stp/>
        <stp>##V3_BVIEW</stp>
        <stp>[XSLP -Swap Line Pricer.xlsm]Swaptions!R38C52</stp>
        <stp>Enter deal type or saved ID.</stp>
        <stp>Notional</stp>
        <stp>headers=false</stp>
        <tr r="AZ38" s="5"/>
      </tp>
      <tp t="s">
        <v>#N/A Invalid object ID</v>
        <stp/>
        <stp>##V3_BVIEW</stp>
        <stp>[XSLP -Swap Line Pricer.xlsm]Swaptions!R39C52</stp>
        <stp>Enter deal type or saved ID.</stp>
        <stp>Notional</stp>
        <stp>headers=false</stp>
        <tr r="AZ39" s="5"/>
      </tp>
      <tp t="s">
        <v>#N/A Invalid object ID</v>
        <stp/>
        <stp>##V3_BVIEW</stp>
        <stp>[XSLP -Swap Line Pricer.xlsm]Swaptions!R22C52</stp>
        <stp>Enter deal type or saved ID.</stp>
        <stp>Notional</stp>
        <stp>headers=false</stp>
        <tr r="AZ22" s="5"/>
      </tp>
      <tp t="s">
        <v>#N/A Invalid object ID</v>
        <stp/>
        <stp>##V3_BVIEW</stp>
        <stp>[XSLP -Swap Line Pricer.xlsm]Swaptions!R23C52</stp>
        <stp>Enter deal type or saved ID.</stp>
        <stp>Notional</stp>
        <stp>headers=false</stp>
        <tr r="AZ23" s="5"/>
      </tp>
      <tp t="s">
        <v>#N/A Invalid object ID</v>
        <stp/>
        <stp>##V3_BVIEW</stp>
        <stp>[XSLP -Swap Line Pricer.xlsm]Swaptions!R20C52</stp>
        <stp>Enter deal type or saved ID.</stp>
        <stp>Notional</stp>
        <stp>headers=false</stp>
        <tr r="AZ20" s="5"/>
      </tp>
      <tp t="s">
        <v>#N/A Invalid object ID</v>
        <stp/>
        <stp>##V3_BVIEW</stp>
        <stp>[XSLP -Swap Line Pricer.xlsm]Swaptions!R21C52</stp>
        <stp>Enter deal type or saved ID.</stp>
        <stp>Notional</stp>
        <stp>headers=false</stp>
        <tr r="AZ21" s="5"/>
      </tp>
      <tp t="s">
        <v>#N/A Invalid object ID</v>
        <stp/>
        <stp>##V3_BVIEW</stp>
        <stp>[XSLP -Swap Line Pricer.xlsm]Swaptions!R26C52</stp>
        <stp>Enter deal type or saved ID.</stp>
        <stp>Notional</stp>
        <stp>headers=false</stp>
        <tr r="AZ26" s="5"/>
      </tp>
      <tp t="s">
        <v>#N/A Invalid object ID</v>
        <stp/>
        <stp>##V3_BVIEW</stp>
        <stp>[XSLP -Swap Line Pricer.xlsm]Swaptions!R27C52</stp>
        <stp>Enter deal type or saved ID.</stp>
        <stp>Notional</stp>
        <stp>headers=false</stp>
        <tr r="AZ27" s="5"/>
      </tp>
      <tp t="s">
        <v>#N/A Invalid object ID</v>
        <stp/>
        <stp>##V3_BVIEW</stp>
        <stp>[XSLP -Swap Line Pricer.xlsm]Swaptions!R24C52</stp>
        <stp>Enter deal type or saved ID.</stp>
        <stp>Notional</stp>
        <stp>headers=false</stp>
        <tr r="AZ24" s="5"/>
      </tp>
      <tp t="s">
        <v>#N/A Invalid object ID</v>
        <stp/>
        <stp>##V3_BVIEW</stp>
        <stp>[XSLP -Swap Line Pricer.xlsm]Swaptions!R25C52</stp>
        <stp>Enter deal type or saved ID.</stp>
        <stp>Notional</stp>
        <stp>headers=false</stp>
        <tr r="AZ25" s="5"/>
      </tp>
      <tp t="s">
        <v>#N/A Invalid object ID</v>
        <stp/>
        <stp>##V3_BVIEW</stp>
        <stp>[XSLP -Swap Line Pricer.xlsm]Swaptions!R28C52</stp>
        <stp>Enter deal type or saved ID.</stp>
        <stp>Notional</stp>
        <stp>headers=false</stp>
        <tr r="AZ28" s="5"/>
      </tp>
      <tp t="s">
        <v>#N/A Invalid object ID</v>
        <stp/>
        <stp>##V3_BVIEW</stp>
        <stp>[XSLP -Swap Line Pricer.xlsm]Swaptions!R29C52</stp>
        <stp>Enter deal type or saved ID.</stp>
        <stp>Notional</stp>
        <stp>headers=false</stp>
        <tr r="AZ29" s="5"/>
      </tp>
      <tp t="s">
        <v>#N/A No matches found [Parameter:OUTPUT]</v>
        <stp/>
        <stp>##V3_BVIEW</stp>
        <stp>[XSLP -Swap Line Pricer.xlsm]Swaps!R21C61</stp>
        <stp>FXFL 597317</stp>
        <stp>Leg[1].FloatingIndex</stp>
        <stp>headers=false</stp>
        <tr r="BI21" s="1"/>
      </tp>
      <tp t="s">
        <v>#N/A No matches found [Parameter:OUTPUT]</v>
        <stp/>
        <stp>##V3_BVIEW</stp>
        <stp>[XSLP -Swap Line Pricer.xlsm]Swaps!R27C61</stp>
        <stp>FXFL 451356</stp>
        <stp>Leg[1].FloatingIndex</stp>
        <stp>headers=false</stp>
        <tr r="BI27" s="1"/>
      </tp>
      <tp t="s">
        <v>EUR006M</v>
        <stp/>
        <stp>##V3_BVIEW</stp>
        <stp>[XSLP -Swap Line Pricer.xlsm]Swaps!R21C72</stp>
        <stp>FXFL 597317</stp>
        <stp>Leg[2].FloatingIndex</stp>
        <stp>headers=false</stp>
        <tr r="BT21" s="1"/>
        <tr r="BT21" s="1"/>
      </tp>
      <tp t="s">
        <v>EUR006M</v>
        <stp/>
        <stp>##V3_BVIEW</stp>
        <stp>[XSLP -Swap Line Pricer.xlsm]Swaps!R27C72</stp>
        <stp>FXFL 451356</stp>
        <stp>Leg[2].FloatingIndex</stp>
        <stp>headers=false</stp>
        <tr r="BT27" s="1"/>
        <tr r="BT27" s="1"/>
      </tp>
      <tp t="s">
        <v>EUR</v>
        <stp/>
        <stp>##V3_BVIEW</stp>
        <stp>[XSLP -Swap Line Pricer.xlsm]Swaps!R27C80</stp>
        <stp>FXFL 451356</stp>
        <stp>CsaCollateralCurrency</stp>
        <stp>headers=false</stp>
        <tr r="CB27" s="1"/>
        <tr r="CB27" s="1"/>
      </tp>
      <tp t="s">
        <v>EUR</v>
        <stp/>
        <stp>##V3_BVIEW</stp>
        <stp>[XSLP -Swap Line Pricer.xlsm]Swaps!R21C80</stp>
        <stp>FXFL 597317</stp>
        <stp>CsaCollateralCurrency</stp>
        <stp>headers=false</stp>
        <tr r="CB21" s="1"/>
        <tr r="CB21" s="1"/>
      </tp>
      <tp t="s">
        <v>EUR</v>
        <stp/>
        <stp>##V3_BVIEW</stp>
        <stp>[XSLP -Swap Line Pricer.xlsm]Swaps!R26C80</stp>
        <stp>FXFL 927343</stp>
        <stp>CsaCollateralCurrency</stp>
        <stp>headers=false</stp>
        <tr r="CB26" s="1"/>
        <tr r="CB26" s="1"/>
      </tp>
      <tp t="s">
        <v>EUR</v>
        <stp/>
        <stp>##V3_BVIEW</stp>
        <stp>[XSLP -Swap Line Pricer.xlsm]Swaps!R20C80</stp>
        <stp>FXFL 938373</stp>
        <stp>CsaCollateralCurrency</stp>
        <stp>headers=false</stp>
        <tr r="CB20" s="1"/>
        <tr r="CB20" s="1"/>
      </tp>
      <tp t="s">
        <v>#N/A Invalid object ID</v>
        <stp/>
        <stp>##V3_BVIEW</stp>
        <stp>[XSLP -Swap Line Pricer.xlsm]Swaptions!R32C112</stp>
        <stp/>
        <stp>Pv</stp>
        <stp>headers=false</stp>
        <tr r="DH32" s="5"/>
      </tp>
      <tp t="s">
        <v>#N/A Invalid object ID</v>
        <stp/>
        <stp>##V3_BVIEW</stp>
        <stp>[XSLP -Swap Line Pricer.xlsm]Swaptions!R22C112</stp>
        <stp/>
        <stp>Pv</stp>
        <stp>headers=false</stp>
        <tr r="DH22" s="5"/>
      </tp>
      <tp t="s">
        <v>#N/A Invalid object ID</v>
        <stp/>
        <stp>##V3_BVIEW</stp>
        <stp>[XSLP -Swap Line Pricer.xlsm]Swaptions!R26C53</stp>
        <stp>Enter deal type or saved ID.</stp>
        <stp>Currency</stp>
        <stp>headers=false</stp>
        <tr r="BA26" s="5"/>
      </tp>
      <tp t="s">
        <v>#N/A Invalid object ID</v>
        <stp/>
        <stp>##V3_BVIEW</stp>
        <stp>[XSLP -Swap Line Pricer.xlsm]Swaptions!R27C53</stp>
        <stp>Enter deal type or saved ID.</stp>
        <stp>Currency</stp>
        <stp>headers=false</stp>
        <tr r="BA27" s="5"/>
      </tp>
      <tp t="s">
        <v>#N/A Invalid object ID</v>
        <stp/>
        <stp>##V3_BVIEW</stp>
        <stp>[XSLP -Swap Line Pricer.xlsm]Swaptions!R24C53</stp>
        <stp>Enter deal type or saved ID.</stp>
        <stp>Currency</stp>
        <stp>headers=false</stp>
        <tr r="BA24" s="5"/>
      </tp>
      <tp t="s">
        <v>#N/A Invalid object ID</v>
        <stp/>
        <stp>##V3_BVIEW</stp>
        <stp>[XSLP -Swap Line Pricer.xlsm]Swaptions!R25C53</stp>
        <stp>Enter deal type or saved ID.</stp>
        <stp>Currency</stp>
        <stp>headers=false</stp>
        <tr r="BA25" s="5"/>
      </tp>
      <tp t="s">
        <v>#N/A Invalid object ID</v>
        <stp/>
        <stp>##V3_BVIEW</stp>
        <stp>[XSLP -Swap Line Pricer.xlsm]Swaptions!R22C53</stp>
        <stp>Enter deal type or saved ID.</stp>
        <stp>Currency</stp>
        <stp>headers=false</stp>
        <tr r="BA22" s="5"/>
      </tp>
      <tp t="s">
        <v>#N/A Invalid object ID</v>
        <stp/>
        <stp>##V3_BVIEW</stp>
        <stp>[XSLP -Swap Line Pricer.xlsm]Swaptions!R23C53</stp>
        <stp>Enter deal type or saved ID.</stp>
        <stp>Currency</stp>
        <stp>headers=false</stp>
        <tr r="BA23" s="5"/>
      </tp>
      <tp t="s">
        <v>#N/A Invalid object ID</v>
        <stp/>
        <stp>##V3_BVIEW</stp>
        <stp>[XSLP -Swap Line Pricer.xlsm]Swaptions!R20C53</stp>
        <stp>Enter deal type or saved ID.</stp>
        <stp>Currency</stp>
        <stp>headers=false</stp>
        <tr r="BA20" s="5"/>
      </tp>
      <tp t="s">
        <v>#N/A Invalid object ID</v>
        <stp/>
        <stp>##V3_BVIEW</stp>
        <stp>[XSLP -Swap Line Pricer.xlsm]Swaptions!R21C53</stp>
        <stp>Enter deal type or saved ID.</stp>
        <stp>Currency</stp>
        <stp>headers=false</stp>
        <tr r="BA21" s="5"/>
      </tp>
      <tp t="s">
        <v>#N/A Invalid object ID</v>
        <stp/>
        <stp>##V3_BVIEW</stp>
        <stp>[XSLP -Swap Line Pricer.xlsm]Swaptions!R28C53</stp>
        <stp>Enter deal type or saved ID.</stp>
        <stp>Currency</stp>
        <stp>headers=false</stp>
        <tr r="BA28" s="5"/>
      </tp>
      <tp t="s">
        <v>#N/A Invalid object ID</v>
        <stp/>
        <stp>##V3_BVIEW</stp>
        <stp>[XSLP -Swap Line Pricer.xlsm]Swaptions!R29C53</stp>
        <stp>Enter deal type or saved ID.</stp>
        <stp>Currency</stp>
        <stp>headers=false</stp>
        <tr r="BA29" s="5"/>
      </tp>
      <tp t="s">
        <v>#N/A Invalid object ID</v>
        <stp/>
        <stp>##V3_BVIEW</stp>
        <stp>[XSLP -Swap Line Pricer.xlsm]Swaptions!R36C53</stp>
        <stp>Enter deal type or saved ID.</stp>
        <stp>Currency</stp>
        <stp>headers=false</stp>
        <tr r="BA36" s="5"/>
      </tp>
      <tp t="s">
        <v>#N/A Invalid object ID</v>
        <stp/>
        <stp>##V3_BVIEW</stp>
        <stp>[XSLP -Swap Line Pricer.xlsm]Swaptions!R37C53</stp>
        <stp>Enter deal type or saved ID.</stp>
        <stp>Currency</stp>
        <stp>headers=false</stp>
        <tr r="BA37" s="5"/>
      </tp>
      <tp t="s">
        <v>#N/A Invalid object ID</v>
        <stp/>
        <stp>##V3_BVIEW</stp>
        <stp>[XSLP -Swap Line Pricer.xlsm]Swaptions!R34C53</stp>
        <stp>Enter deal type or saved ID.</stp>
        <stp>Currency</stp>
        <stp>headers=false</stp>
        <tr r="BA34" s="5"/>
      </tp>
      <tp t="s">
        <v>#N/A Invalid object ID</v>
        <stp/>
        <stp>##V3_BVIEW</stp>
        <stp>[XSLP -Swap Line Pricer.xlsm]Swaptions!R35C53</stp>
        <stp>Enter deal type or saved ID.</stp>
        <stp>Currency</stp>
        <stp>headers=false</stp>
        <tr r="BA35" s="5"/>
      </tp>
      <tp t="s">
        <v>#N/A Invalid object ID</v>
        <stp/>
        <stp>##V3_BVIEW</stp>
        <stp>[XSLP -Swap Line Pricer.xlsm]Swaptions!R32C53</stp>
        <stp>Enter deal type or saved ID.</stp>
        <stp>Currency</stp>
        <stp>headers=false</stp>
        <tr r="BA32" s="5"/>
      </tp>
      <tp t="s">
        <v>#N/A Invalid object ID</v>
        <stp/>
        <stp>##V3_BVIEW</stp>
        <stp>[XSLP -Swap Line Pricer.xlsm]Swaptions!R33C53</stp>
        <stp>Enter deal type or saved ID.</stp>
        <stp>Currency</stp>
        <stp>headers=false</stp>
        <tr r="BA33" s="5"/>
      </tp>
      <tp t="s">
        <v>#N/A Invalid object ID</v>
        <stp/>
        <stp>##V3_BVIEW</stp>
        <stp>[XSLP -Swap Line Pricer.xlsm]Swaptions!R30C53</stp>
        <stp>Enter deal type or saved ID.</stp>
        <stp>Currency</stp>
        <stp>headers=false</stp>
        <tr r="BA30" s="5"/>
      </tp>
      <tp t="s">
        <v>#N/A Invalid object ID</v>
        <stp/>
        <stp>##V3_BVIEW</stp>
        <stp>[XSLP -Swap Line Pricer.xlsm]Swaptions!R31C53</stp>
        <stp>Enter deal type or saved ID.</stp>
        <stp>Currency</stp>
        <stp>headers=false</stp>
        <tr r="BA31" s="5"/>
      </tp>
      <tp t="s">
        <v>#N/A Invalid object ID</v>
        <stp/>
        <stp>##V3_BVIEW</stp>
        <stp>[XSLP -Swap Line Pricer.xlsm]Swaptions!R38C53</stp>
        <stp>Enter deal type or saved ID.</stp>
        <stp>Currency</stp>
        <stp>headers=false</stp>
        <tr r="BA38" s="5"/>
      </tp>
      <tp t="s">
        <v>#N/A Invalid object ID</v>
        <stp/>
        <stp>##V3_BVIEW</stp>
        <stp>[XSLP -Swap Line Pricer.xlsm]Swaptions!R39C53</stp>
        <stp>Enter deal type or saved ID.</stp>
        <stp>Currency</stp>
        <stp>headers=false</stp>
        <tr r="BA39" s="5"/>
      </tp>
      <tp t="s">
        <v>#N/A Field Not Applicable [Parameter:OUTPUT]</v>
        <stp/>
        <stp>##V3_BVIEW</stp>
        <stp>[XSLP -Swap Line Pricer.xlsm]Swaps!R28C112</stp>
        <stp>PRICE FXFL 1009788</stp>
        <stp>Leg[1].notional</stp>
        <stp>headers=false</stp>
        <tr r="DH28" s="1"/>
      </tp>
      <tp t="s">
        <v>EUR006M</v>
        <stp/>
        <stp>##V3_BVIEW</stp>
        <stp>[XSLP -Swap Line Pricer.xlsm]Swaps!R29C72</stp>
        <stp>FXFL 431830</stp>
        <stp>Leg[2].FloatingIndex</stp>
        <stp>headers=false</stp>
        <tr r="BT29" s="1"/>
        <tr r="BT29" s="1"/>
      </tp>
      <tp t="s">
        <v>#N/A No matches found [Parameter:OUTPUT]</v>
        <stp/>
        <stp>##V3_BVIEW</stp>
        <stp>[XSLP -Swap Line Pricer.xlsm]Swaps!R29C61</stp>
        <stp>FXFL 431830</stp>
        <stp>Leg[1].FloatingIndex</stp>
        <stp>headers=false</stp>
        <tr r="BI29" s="1"/>
      </tp>
      <tp t="s">
        <v>#N/A No matches found [Parameter:OUTPUT]</v>
        <stp/>
        <stp>##V3_BVIEW</stp>
        <stp>[XSLP -Swap Line Pricer.xlsm]Swaps!R20C61</stp>
        <stp>FXFL 938373</stp>
        <stp>Leg[1].FloatingIndex</stp>
        <stp>headers=false</stp>
        <tr r="BI20" s="1"/>
      </tp>
      <tp t="s">
        <v>EUR006M</v>
        <stp/>
        <stp>##V3_BVIEW</stp>
        <stp>[XSLP -Swap Line Pricer.xlsm]Swaps!R20C72</stp>
        <stp>FXFL 938373</stp>
        <stp>Leg[2].FloatingIndex</stp>
        <stp>headers=false</stp>
        <tr r="BT20" s="1"/>
        <tr r="BT20" s="1"/>
      </tp>
      <tp t="s">
        <v>#N/A Invalid object ID</v>
        <stp/>
        <stp>##V3_BVIEW</stp>
        <stp>[XSLP -Swap Line Pricer.xlsm]Swaptions!R33C112</stp>
        <stp/>
        <stp>Pv</stp>
        <stp>headers=false</stp>
        <tr r="DH33" s="5"/>
      </tp>
      <tp t="s">
        <v>#N/A Invalid object ID</v>
        <stp/>
        <stp>##V3_BVIEW</stp>
        <stp>[XSLP -Swap Line Pricer.xlsm]Swaptions!R23C112</stp>
        <stp/>
        <stp>Pv</stp>
        <stp>headers=false</stp>
        <tr r="DH23" s="5"/>
      </tp>
      <tp t="s">
        <v>#N/A Invalid object ID</v>
        <stp/>
        <stp>##V3_BVIEW</stp>
        <stp>[XSLP -Swap Line Pricer.xlsm]Swaptions!R20C80</stp>
        <stp>Enter deal type or saved ID.</stp>
        <stp>PrincipalExchange</stp>
        <stp>headers=false</stp>
        <tr r="CB20" s="5"/>
      </tp>
      <tp t="s">
        <v>#N/A Invalid object ID</v>
        <stp/>
        <stp>##V3_BVIEW</stp>
        <stp>[XSLP -Swap Line Pricer.xlsm]Swaptions!R21C80</stp>
        <stp>Enter deal type or saved ID.</stp>
        <stp>PrincipalExchange</stp>
        <stp>headers=false</stp>
        <tr r="CB21" s="5"/>
      </tp>
      <tp t="s">
        <v>#N/A Invalid object ID</v>
        <stp/>
        <stp>##V3_BVIEW</stp>
        <stp>[XSLP -Swap Line Pricer.xlsm]Swaptions!R22C80</stp>
        <stp>Enter deal type or saved ID.</stp>
        <stp>PrincipalExchange</stp>
        <stp>headers=false</stp>
        <tr r="CB22" s="5"/>
      </tp>
      <tp t="s">
        <v>#N/A Invalid object ID</v>
        <stp/>
        <stp>##V3_BVIEW</stp>
        <stp>[XSLP -Swap Line Pricer.xlsm]Swaptions!R23C80</stp>
        <stp>Enter deal type or saved ID.</stp>
        <stp>PrincipalExchange</stp>
        <stp>headers=false</stp>
        <tr r="CB23" s="5"/>
      </tp>
      <tp t="s">
        <v>#N/A Invalid object ID</v>
        <stp/>
        <stp>##V3_BVIEW</stp>
        <stp>[XSLP -Swap Line Pricer.xlsm]Swaptions!R24C80</stp>
        <stp>Enter deal type or saved ID.</stp>
        <stp>PrincipalExchange</stp>
        <stp>headers=false</stp>
        <tr r="CB24" s="5"/>
      </tp>
      <tp t="s">
        <v>#N/A Invalid object ID</v>
        <stp/>
        <stp>##V3_BVIEW</stp>
        <stp>[XSLP -Swap Line Pricer.xlsm]Swaptions!R25C80</stp>
        <stp>Enter deal type or saved ID.</stp>
        <stp>PrincipalExchange</stp>
        <stp>headers=false</stp>
        <tr r="CB25" s="5"/>
      </tp>
      <tp t="s">
        <v>#N/A Invalid object ID</v>
        <stp/>
        <stp>##V3_BVIEW</stp>
        <stp>[XSLP -Swap Line Pricer.xlsm]Swaptions!R26C80</stp>
        <stp>Enter deal type or saved ID.</stp>
        <stp>PrincipalExchange</stp>
        <stp>headers=false</stp>
        <tr r="CB26" s="5"/>
      </tp>
      <tp t="s">
        <v>#N/A Invalid object ID</v>
        <stp/>
        <stp>##V3_BVIEW</stp>
        <stp>[XSLP -Swap Line Pricer.xlsm]Swaptions!R27C80</stp>
        <stp>Enter deal type or saved ID.</stp>
        <stp>PrincipalExchange</stp>
        <stp>headers=false</stp>
        <tr r="CB27" s="5"/>
      </tp>
      <tp t="s">
        <v>#N/A Invalid object ID</v>
        <stp/>
        <stp>##V3_BVIEW</stp>
        <stp>[XSLP -Swap Line Pricer.xlsm]Swaptions!R28C80</stp>
        <stp>Enter deal type or saved ID.</stp>
        <stp>PrincipalExchange</stp>
        <stp>headers=false</stp>
        <tr r="CB28" s="5"/>
      </tp>
      <tp t="s">
        <v>#N/A Invalid object ID</v>
        <stp/>
        <stp>##V3_BVIEW</stp>
        <stp>[XSLP -Swap Line Pricer.xlsm]Swaptions!R29C80</stp>
        <stp>Enter deal type or saved ID.</stp>
        <stp>PrincipalExchange</stp>
        <stp>headers=false</stp>
        <tr r="CB29" s="5"/>
      </tp>
      <tp t="s">
        <v>#N/A Invalid object ID</v>
        <stp/>
        <stp>##V3_BVIEW</stp>
        <stp>[XSLP -Swap Line Pricer.xlsm]Swaptions!R30C80</stp>
        <stp>Enter deal type or saved ID.</stp>
        <stp>PrincipalExchange</stp>
        <stp>headers=false</stp>
        <tr r="CB30" s="5"/>
      </tp>
      <tp t="s">
        <v>#N/A Invalid object ID</v>
        <stp/>
        <stp>##V3_BVIEW</stp>
        <stp>[XSLP -Swap Line Pricer.xlsm]Swaptions!R31C80</stp>
        <stp>Enter deal type or saved ID.</stp>
        <stp>PrincipalExchange</stp>
        <stp>headers=false</stp>
        <tr r="CB31" s="5"/>
      </tp>
      <tp t="s">
        <v>#N/A Invalid object ID</v>
        <stp/>
        <stp>##V3_BVIEW</stp>
        <stp>[XSLP -Swap Line Pricer.xlsm]Swaptions!R32C80</stp>
        <stp>Enter deal type or saved ID.</stp>
        <stp>PrincipalExchange</stp>
        <stp>headers=false</stp>
        <tr r="CB32" s="5"/>
      </tp>
      <tp t="s">
        <v>#N/A Invalid object ID</v>
        <stp/>
        <stp>##V3_BVIEW</stp>
        <stp>[XSLP -Swap Line Pricer.xlsm]Swaptions!R33C80</stp>
        <stp>Enter deal type or saved ID.</stp>
        <stp>PrincipalExchange</stp>
        <stp>headers=false</stp>
        <tr r="CB33" s="5"/>
      </tp>
      <tp t="s">
        <v>#N/A Invalid object ID</v>
        <stp/>
        <stp>##V3_BVIEW</stp>
        <stp>[XSLP -Swap Line Pricer.xlsm]Swaptions!R34C80</stp>
        <stp>Enter deal type or saved ID.</stp>
        <stp>PrincipalExchange</stp>
        <stp>headers=false</stp>
        <tr r="CB34" s="5"/>
      </tp>
      <tp t="s">
        <v>#N/A Invalid object ID</v>
        <stp/>
        <stp>##V3_BVIEW</stp>
        <stp>[XSLP -Swap Line Pricer.xlsm]Swaptions!R35C80</stp>
        <stp>Enter deal type or saved ID.</stp>
        <stp>PrincipalExchange</stp>
        <stp>headers=false</stp>
        <tr r="CB35" s="5"/>
      </tp>
      <tp t="s">
        <v>#N/A Invalid object ID</v>
        <stp/>
        <stp>##V3_BVIEW</stp>
        <stp>[XSLP -Swap Line Pricer.xlsm]Swaptions!R36C80</stp>
        <stp>Enter deal type or saved ID.</stp>
        <stp>PrincipalExchange</stp>
        <stp>headers=false</stp>
        <tr r="CB36" s="5"/>
      </tp>
      <tp t="s">
        <v>#N/A Invalid object ID</v>
        <stp/>
        <stp>##V3_BVIEW</stp>
        <stp>[XSLP -Swap Line Pricer.xlsm]Swaptions!R37C80</stp>
        <stp>Enter deal type or saved ID.</stp>
        <stp>PrincipalExchange</stp>
        <stp>headers=false</stp>
        <tr r="CB37" s="5"/>
      </tp>
      <tp t="s">
        <v>#N/A Invalid object ID</v>
        <stp/>
        <stp>##V3_BVIEW</stp>
        <stp>[XSLP -Swap Line Pricer.xlsm]Swaptions!R38C80</stp>
        <stp>Enter deal type or saved ID.</stp>
        <stp>PrincipalExchange</stp>
        <stp>headers=false</stp>
        <tr r="CB38" s="5"/>
      </tp>
      <tp t="s">
        <v>#N/A Invalid object ID</v>
        <stp/>
        <stp>##V3_BVIEW</stp>
        <stp>[XSLP -Swap Line Pricer.xlsm]Swaptions!R39C80</stp>
        <stp>Enter deal type or saved ID.</stp>
        <stp>PrincipalExchange</stp>
        <stp>headers=false</stp>
        <tr r="CB39" s="5"/>
      </tp>
      <tp t="s">
        <v>EUR</v>
        <stp/>
        <stp>##V3_BVIEW</stp>
        <stp>[XSLP -Swap Line Pricer.xlsm]Swaps!R23C80</stp>
        <stp>FXFL 729164</stp>
        <stp>CsaCollateralCurrency</stp>
        <stp>headers=false</stp>
        <tr r="CB23" s="1"/>
        <tr r="CB23" s="1"/>
      </tp>
      <tp t="s">
        <v>EUR</v>
        <stp/>
        <stp>##V3_BVIEW</stp>
        <stp>[XSLP -Swap Line Pricer.xlsm]Swaps!R22C80</stp>
        <stp>FXFL 582191</stp>
        <stp>CsaCollateralCurrency</stp>
        <stp>headers=false</stp>
        <tr r="CB22" s="1"/>
        <tr r="CB22" s="1"/>
      </tp>
      <tp t="s">
        <v>EUR</v>
        <stp/>
        <stp>##V3_BVIEW</stp>
        <stp>[XSLP -Swap Line Pricer.xlsm]Swaps!R32C80</stp>
        <stp>FXFL 877169</stp>
        <stp>CsaCollateralCurrency</stp>
        <stp>headers=false</stp>
        <tr r="CB32" s="1"/>
        <tr r="CB32" s="1"/>
      </tp>
      <tp t="s">
        <v>#N/A Invalid object ID</v>
        <stp/>
        <stp>##V3_BVIEW</stp>
        <stp>[XSLP -Swap Line Pricer.xlsm]Swaptions!R30C112</stp>
        <stp/>
        <stp>Pv</stp>
        <stp>headers=false</stp>
        <tr r="DH30" s="5"/>
      </tp>
      <tp t="s">
        <v>#N/A Invalid object ID</v>
        <stp/>
        <stp>##V3_BVIEW</stp>
        <stp>[XSLP -Swap Line Pricer.xlsm]Swaptions!R20C112</stp>
        <stp/>
        <stp>Pv</stp>
        <stp>headers=false</stp>
        <tr r="DH20" s="5"/>
      </tp>
      <tp t="s">
        <v>EUR006M</v>
        <stp/>
        <stp>##V3_BVIEW</stp>
        <stp>[XSLP -Swap Line Pricer.xlsm]Swaps!R23C72</stp>
        <stp>FXFL 729164</stp>
        <stp>Leg[2].FloatingIndex</stp>
        <stp>headers=false</stp>
        <tr r="BT23" s="1"/>
        <tr r="BT23" s="1"/>
      </tp>
      <tp t="s">
        <v>#N/A No matches found [Parameter:OUTPUT]</v>
        <stp/>
        <stp>##V3_BVIEW</stp>
        <stp>[XSLP -Swap Line Pricer.xlsm]Swaps!R23C61</stp>
        <stp>FXFL 729164</stp>
        <stp>Leg[1].FloatingIndex</stp>
        <stp>headers=false</stp>
        <tr r="BI23" s="1"/>
      </tp>
      <tp t="s">
        <v>EUR</v>
        <stp/>
        <stp>##V3_BVIEW</stp>
        <stp>[XSLP -Swap Line Pricer.xlsm]Swaps!R33C80</stp>
        <stp>FXFL 630096</stp>
        <stp>CsaCollateralCurrency</stp>
        <stp>headers=false</stp>
        <tr r="CB33" s="1"/>
        <tr r="CB33" s="1"/>
      </tp>
      <tp t="s">
        <v>#N/A Invalid object ID</v>
        <stp/>
        <stp>##V3_BVIEW</stp>
        <stp>[XSLP -Swap Line Pricer.xlsm]Swaptions!R31C112</stp>
        <stp/>
        <stp>Pv</stp>
        <stp>headers=false</stp>
        <tr r="DH31" s="5"/>
      </tp>
      <tp t="s">
        <v>#N/A Invalid object ID</v>
        <stp/>
        <stp>##V3_BVIEW</stp>
        <stp>[XSLP -Swap Line Pricer.xlsm]Swaptions!R21C112</stp>
        <stp/>
        <stp>Pv</stp>
        <stp>headers=false</stp>
        <tr r="DH21" s="5"/>
      </tp>
      <tp t="s">
        <v>PRICE FXFL 284275</v>
        <stp/>
        <stp>##V3_BPRICEV12</stp>
        <stp>[XSLP -Swap Line Pricer.xlsm]Swaps!R34C109</stp>
        <stp>FXFL 1033483</stp>
        <stp/>
        <stp/>
        <stp>MarketDate</stp>
        <stp>42654</stp>
        <stp>ValuationDate</stp>
        <stp>42656</stp>
        <stp>alwaysrefresh</stp>
        <tr r="DE34" s="1"/>
      </tp>
      <tp t="s">
        <v>ACT/360</v>
        <stp/>
        <stp>##V3_BVIEW</stp>
        <stp>[XSLP -Swap Line Pricer.xlsm]Swaps!R38C74</stp>
        <stp>FXFL 1033483</stp>
        <stp>Leg[2].DayCount</stp>
        <stp>headers=false</stp>
        <tr r="BV38" s="1"/>
        <tr r="BV38" s="1"/>
      </tp>
      <tp t="s">
        <v>30U/360</v>
        <stp/>
        <stp>##V3_BVIEW</stp>
        <stp>[XSLP -Swap Line Pricer.xlsm]Swaps!R38C63</stp>
        <stp>FXFL 1033483</stp>
        <stp>Leg[1].DayCount</stp>
        <stp>headers=false</stp>
        <tr r="BK38" s="1"/>
        <tr r="BK38" s="1"/>
      </tp>
      <tp t="s">
        <v>#N/A Invalid object ID</v>
        <stp/>
        <stp>##V3_BVIEW</stp>
        <stp>[XSLP -Swap Line Pricer.xlsm]Swaptions!R36C112</stp>
        <stp/>
        <stp>Pv</stp>
        <stp>headers=false</stp>
        <tr r="DH36" s="5"/>
      </tp>
      <tp t="s">
        <v>#N/A Invalid object ID</v>
        <stp/>
        <stp>##V3_BVIEW</stp>
        <stp>[XSLP -Swap Line Pricer.xlsm]Swaptions!R26C112</stp>
        <stp/>
        <stp>Pv</stp>
        <stp>headers=false</stp>
        <tr r="DH26" s="5"/>
      </tp>
      <tp t="s">
        <v>PRICE FXFL 284275</v>
        <stp/>
        <stp>##V3_BPRICEV12</stp>
        <stp>[XSLP -Swap Line Pricer.xlsm]Swaps!R35C109</stp>
        <stp>FXFL 1033483</stp>
        <stp/>
        <stp/>
        <stp>MarketDate</stp>
        <stp>42654</stp>
        <stp>ValuationDate</stp>
        <stp>42656</stp>
        <stp>alwaysrefresh</stp>
        <tr r="DE35" s="1"/>
      </tp>
      <tp t="s">
        <v>ACT/360</v>
        <stp/>
        <stp>##V3_BVIEW</stp>
        <stp>[XSLP -Swap Line Pricer.xlsm]Swaps!R39C74</stp>
        <stp>FXFL 1033483</stp>
        <stp>Leg[2].DayCount</stp>
        <stp>headers=false</stp>
        <tr r="BV39" s="1"/>
        <tr r="BV39" s="1"/>
      </tp>
      <tp t="s">
        <v>30U/360</v>
        <stp/>
        <stp>##V3_BVIEW</stp>
        <stp>[XSLP -Swap Line Pricer.xlsm]Swaps!R39C63</stp>
        <stp>FXFL 1033483</stp>
        <stp>Leg[1].DayCount</stp>
        <stp>headers=false</stp>
        <tr r="BK39" s="1"/>
        <tr r="BK39" s="1"/>
      </tp>
      <tp t="s">
        <v>EUR006M</v>
        <stp/>
        <stp>##V3_BVIEW</stp>
        <stp>[XSLP -Swap Line Pricer.xlsm]Swaps!R28C72</stp>
        <stp>FXFL 164852</stp>
        <stp>Leg[2].FloatingIndex</stp>
        <stp>headers=false</stp>
        <tr r="BT28" s="1"/>
        <tr r="BT28" s="1"/>
      </tp>
      <tp t="s">
        <v>#N/A No matches found [Parameter:OUTPUT]</v>
        <stp/>
        <stp>##V3_BVIEW</stp>
        <stp>[XSLP -Swap Line Pricer.xlsm]Swaps!R28C61</stp>
        <stp>FXFL 164852</stp>
        <stp>Leg[1].FloatingIndex</stp>
        <stp>headers=false</stp>
        <tr r="BI28" s="1"/>
      </tp>
      <tp t="s">
        <v>#N/A Invalid object ID</v>
        <stp/>
        <stp>##V3_BVIEW</stp>
        <stp>[XSLP -Swap Line Pricer.xlsm]Swaptions!R37C112</stp>
        <stp/>
        <stp>Pv</stp>
        <stp>headers=false</stp>
        <tr r="DH37" s="5"/>
      </tp>
      <tp t="s">
        <v>#N/A Invalid object ID</v>
        <stp/>
        <stp>##V3_BVIEW</stp>
        <stp>[XSLP -Swap Line Pricer.xlsm]Swaptions!R27C112</stp>
        <stp/>
        <stp>Pv</stp>
        <stp>headers=false</stp>
        <tr r="DH27" s="5"/>
      </tp>
      <tp t="s">
        <v>#N/A Invalid object ID</v>
        <stp/>
        <stp>##V3_BVIEW</stp>
        <stp>[XSLP -Swap Line Pricer.xlsm]Swaptions!R39C66</stp>
        <stp>Enter deal type or saved ID.</stp>
        <stp>Leg[1].FixedCoupon</stp>
        <stp>headers=false</stp>
        <tr r="BN39" s="5"/>
      </tp>
      <tp t="s">
        <v>#N/A Invalid object ID</v>
        <stp/>
        <stp>##V3_BVIEW</stp>
        <stp>[XSLP -Swap Line Pricer.xlsm]Swaptions!R38C66</stp>
        <stp>Enter deal type or saved ID.</stp>
        <stp>Leg[1].FixedCoupon</stp>
        <stp>headers=false</stp>
        <tr r="BN38" s="5"/>
      </tp>
      <tp t="s">
        <v>#N/A Invalid object ID</v>
        <stp/>
        <stp>##V3_BVIEW</stp>
        <stp>[XSLP -Swap Line Pricer.xlsm]Swaptions!R37C66</stp>
        <stp>Enter deal type or saved ID.</stp>
        <stp>Leg[1].FixedCoupon</stp>
        <stp>headers=false</stp>
        <tr r="BN37" s="5"/>
      </tp>
      <tp t="s">
        <v>#N/A Invalid object ID</v>
        <stp/>
        <stp>##V3_BVIEW</stp>
        <stp>[XSLP -Swap Line Pricer.xlsm]Swaptions!R36C66</stp>
        <stp>Enter deal type or saved ID.</stp>
        <stp>Leg[1].FixedCoupon</stp>
        <stp>headers=false</stp>
        <tr r="BN36" s="5"/>
      </tp>
      <tp t="s">
        <v>#N/A Invalid object ID</v>
        <stp/>
        <stp>##V3_BVIEW</stp>
        <stp>[XSLP -Swap Line Pricer.xlsm]Swaptions!R35C66</stp>
        <stp>Enter deal type or saved ID.</stp>
        <stp>Leg[1].FixedCoupon</stp>
        <stp>headers=false</stp>
        <tr r="BN35" s="5"/>
      </tp>
      <tp t="s">
        <v>#N/A Invalid object ID</v>
        <stp/>
        <stp>##V3_BVIEW</stp>
        <stp>[XSLP -Swap Line Pricer.xlsm]Swaptions!R34C66</stp>
        <stp>Enter deal type or saved ID.</stp>
        <stp>Leg[1].FixedCoupon</stp>
        <stp>headers=false</stp>
        <tr r="BN34" s="5"/>
      </tp>
      <tp t="s">
        <v>#N/A Invalid object ID</v>
        <stp/>
        <stp>##V3_BVIEW</stp>
        <stp>[XSLP -Swap Line Pricer.xlsm]Swaptions!R33C66</stp>
        <stp>Enter deal type or saved ID.</stp>
        <stp>Leg[1].FixedCoupon</stp>
        <stp>headers=false</stp>
        <tr r="BN33" s="5"/>
      </tp>
      <tp t="s">
        <v>#N/A Invalid object ID</v>
        <stp/>
        <stp>##V3_BVIEW</stp>
        <stp>[XSLP -Swap Line Pricer.xlsm]Swaptions!R32C66</stp>
        <stp>Enter deal type or saved ID.</stp>
        <stp>Leg[1].FixedCoupon</stp>
        <stp>headers=false</stp>
        <tr r="BN32" s="5"/>
      </tp>
      <tp t="s">
        <v>#N/A Invalid object ID</v>
        <stp/>
        <stp>##V3_BVIEW</stp>
        <stp>[XSLP -Swap Line Pricer.xlsm]Swaptions!R31C66</stp>
        <stp>Enter deal type or saved ID.</stp>
        <stp>Leg[1].FixedCoupon</stp>
        <stp>headers=false</stp>
        <tr r="BN31" s="5"/>
      </tp>
      <tp t="s">
        <v>PRICE FXFL 284275</v>
        <stp/>
        <stp>##V3_BPRICEV12</stp>
        <stp>[XSLP -Swap Line Pricer.xlsm]Swaps!R36C109</stp>
        <stp>FXFL 1033483</stp>
        <stp/>
        <stp/>
        <stp>MarketDate</stp>
        <stp>42654</stp>
        <stp>ValuationDate</stp>
        <stp>42656</stp>
        <stp>alwaysrefresh</stp>
        <tr r="DE36" s="1"/>
      </tp>
      <tp t="s">
        <v>#N/A Invalid object ID</v>
        <stp/>
        <stp>##V3_BVIEW</stp>
        <stp>[XSLP -Swap Line Pricer.xlsm]Swaptions!R30C66</stp>
        <stp>Enter deal type or saved ID.</stp>
        <stp>Leg[1].FixedCoupon</stp>
        <stp>headers=false</stp>
        <tr r="BN30" s="5"/>
      </tp>
      <tp t="s">
        <v>#N/A Invalid object ID</v>
        <stp/>
        <stp>##V3_BVIEW</stp>
        <stp>[XSLP -Swap Line Pricer.xlsm]Swaptions!R34C112</stp>
        <stp/>
        <stp>Pv</stp>
        <stp>headers=false</stp>
        <tr r="DH34" s="5"/>
      </tp>
      <tp t="s">
        <v>#N/A Invalid object ID</v>
        <stp/>
        <stp>##V3_BVIEW</stp>
        <stp>[XSLP -Swap Line Pricer.xlsm]Swaptions!R24C112</stp>
        <stp/>
        <stp>Pv</stp>
        <stp>headers=false</stp>
        <tr r="DH24" s="5"/>
      </tp>
      <tp t="s">
        <v>#N/A No matches found [Parameter:OUTPUT]</v>
        <stp/>
        <stp>##V3_BVIEW</stp>
        <stp>[XSLP -Swap Line Pricer.xlsm]Swaps!R35C76</stp>
        <stp>FXFL 1033483</stp>
        <stp>Leg[2].CalcBasis</stp>
        <stp>headers=false</stp>
        <tr r="BX35" s="1"/>
      </tp>
      <tp t="s">
        <v>#N/A No matches found [Parameter:OUTPUT]</v>
        <stp/>
        <stp>##V3_BVIEW</stp>
        <stp>[XSLP -Swap Line Pricer.xlsm]Swaps!R34C76</stp>
        <stp>FXFL 1033483</stp>
        <stp>Leg[2].CalcBasis</stp>
        <stp>headers=false</stp>
        <tr r="BX34" s="1"/>
      </tp>
      <tp t="s">
        <v>#N/A No matches found [Parameter:OUTPUT]</v>
        <stp/>
        <stp>##V3_BVIEW</stp>
        <stp>[XSLP -Swap Line Pricer.xlsm]Swaps!R37C76</stp>
        <stp>FXFL 1033483</stp>
        <stp>Leg[2].CalcBasis</stp>
        <stp>headers=false</stp>
        <tr r="BX37" s="1"/>
      </tp>
      <tp t="s">
        <v>#N/A No matches found [Parameter:OUTPUT]</v>
        <stp/>
        <stp>##V3_BVIEW</stp>
        <stp>[XSLP -Swap Line Pricer.xlsm]Swaps!R36C76</stp>
        <stp>FXFL 1033483</stp>
        <stp>Leg[2].CalcBasis</stp>
        <stp>headers=false</stp>
        <tr r="BX36" s="1"/>
      </tp>
      <tp t="s">
        <v>#N/A No matches found [Parameter:OUTPUT]</v>
        <stp/>
        <stp>##V3_BVIEW</stp>
        <stp>[XSLP -Swap Line Pricer.xlsm]Swaps!R39C76</stp>
        <stp>FXFL 1033483</stp>
        <stp>Leg[2].CalcBasis</stp>
        <stp>headers=false</stp>
        <tr r="BX39" s="1"/>
      </tp>
      <tp t="s">
        <v>#N/A No matches found [Parameter:OUTPUT]</v>
        <stp/>
        <stp>##V3_BVIEW</stp>
        <stp>[XSLP -Swap Line Pricer.xlsm]Swaps!R38C76</stp>
        <stp>FXFL 1033483</stp>
        <stp>Leg[2].CalcBasis</stp>
        <stp>headers=false</stp>
        <tr r="BX38" s="1"/>
      </tp>
      <tp t="s">
        <v>Money Mkt</v>
        <stp/>
        <stp>##V3_BVIEW</stp>
        <stp>[XSLP -Swap Line Pricer.xlsm]Swaps!R35C65</stp>
        <stp>FXFL 1033483</stp>
        <stp>Leg[1].CalcBasis</stp>
        <stp>headers=false</stp>
        <tr r="BM35" s="1"/>
        <tr r="BM35" s="1"/>
      </tp>
      <tp t="s">
        <v>Money Mkt</v>
        <stp/>
        <stp>##V3_BVIEW</stp>
        <stp>[XSLP -Swap Line Pricer.xlsm]Swaps!R34C65</stp>
        <stp>FXFL 1033483</stp>
        <stp>Leg[1].CalcBasis</stp>
        <stp>headers=false</stp>
        <tr r="BM34" s="1"/>
        <tr r="BM34" s="1"/>
      </tp>
      <tp t="s">
        <v>Money Mkt</v>
        <stp/>
        <stp>##V3_BVIEW</stp>
        <stp>[XSLP -Swap Line Pricer.xlsm]Swaps!R37C65</stp>
        <stp>FXFL 1033483</stp>
        <stp>Leg[1].CalcBasis</stp>
        <stp>headers=false</stp>
        <tr r="BM37" s="1"/>
        <tr r="BM37" s="1"/>
      </tp>
      <tp t="s">
        <v>Money Mkt</v>
        <stp/>
        <stp>##V3_BVIEW</stp>
        <stp>[XSLP -Swap Line Pricer.xlsm]Swaps!R36C65</stp>
        <stp>FXFL 1033483</stp>
        <stp>Leg[1].CalcBasis</stp>
        <stp>headers=false</stp>
        <tr r="BM36" s="1"/>
        <tr r="BM36" s="1"/>
      </tp>
      <tp t="s">
        <v>Money Mkt</v>
        <stp/>
        <stp>##V3_BVIEW</stp>
        <stp>[XSLP -Swap Line Pricer.xlsm]Swaps!R39C65</stp>
        <stp>FXFL 1033483</stp>
        <stp>Leg[1].CalcBasis</stp>
        <stp>headers=false</stp>
        <tr r="BM39" s="1"/>
        <tr r="BM39" s="1"/>
      </tp>
      <tp t="s">
        <v>Money Mkt</v>
        <stp/>
        <stp>##V3_BVIEW</stp>
        <stp>[XSLP -Swap Line Pricer.xlsm]Swaps!R38C65</stp>
        <stp>FXFL 1033483</stp>
        <stp>Leg[1].CalcBasis</stp>
        <stp>headers=false</stp>
        <tr r="BM38" s="1"/>
        <tr r="BM38" s="1"/>
      </tp>
      <tp t="s">
        <v>#N/A Invalid object ID</v>
        <stp/>
        <stp>##V3_BVIEW</stp>
        <stp>[XSLP -Swap Line Pricer.xlsm]Swaptions!R29C66</stp>
        <stp>Enter deal type or saved ID.</stp>
        <stp>Leg[1].FixedCoupon</stp>
        <stp>headers=false</stp>
        <tr r="BN29" s="5"/>
      </tp>
      <tp t="s">
        <v>#N/A Invalid object ID</v>
        <stp/>
        <stp>##V3_BVIEW</stp>
        <stp>[XSLP -Swap Line Pricer.xlsm]Swaptions!R28C66</stp>
        <stp>Enter deal type or saved ID.</stp>
        <stp>Leg[1].FixedCoupon</stp>
        <stp>headers=false</stp>
        <tr r="BN28" s="5"/>
      </tp>
      <tp t="s">
        <v>#N/A Invalid object ID</v>
        <stp/>
        <stp>##V3_BVIEW</stp>
        <stp>[XSLP -Swap Line Pricer.xlsm]Swaptions!R27C66</stp>
        <stp>Enter deal type or saved ID.</stp>
        <stp>Leg[1].FixedCoupon</stp>
        <stp>headers=false</stp>
        <tr r="BN27" s="5"/>
      </tp>
      <tp t="s">
        <v>#N/A Invalid object ID</v>
        <stp/>
        <stp>##V3_BVIEW</stp>
        <stp>[XSLP -Swap Line Pricer.xlsm]Swaptions!R26C66</stp>
        <stp>Enter deal type or saved ID.</stp>
        <stp>Leg[1].FixedCoupon</stp>
        <stp>headers=false</stp>
        <tr r="BN26" s="5"/>
      </tp>
      <tp t="s">
        <v>#N/A Invalid object ID</v>
        <stp/>
        <stp>##V3_BVIEW</stp>
        <stp>[XSLP -Swap Line Pricer.xlsm]Swaptions!R25C66</stp>
        <stp>Enter deal type or saved ID.</stp>
        <stp>Leg[1].FixedCoupon</stp>
        <stp>headers=false</stp>
        <tr r="BN25" s="5"/>
      </tp>
      <tp t="s">
        <v>#N/A Invalid object ID</v>
        <stp/>
        <stp>##V3_BVIEW</stp>
        <stp>[XSLP -Swap Line Pricer.xlsm]Swaptions!R24C66</stp>
        <stp>Enter deal type or saved ID.</stp>
        <stp>Leg[1].FixedCoupon</stp>
        <stp>headers=false</stp>
        <tr r="BN24" s="5"/>
      </tp>
      <tp t="s">
        <v>#N/A Invalid object ID</v>
        <stp/>
        <stp>##V3_BVIEW</stp>
        <stp>[XSLP -Swap Line Pricer.xlsm]Swaptions!R23C66</stp>
        <stp>Enter deal type or saved ID.</stp>
        <stp>Leg[1].FixedCoupon</stp>
        <stp>headers=false</stp>
        <tr r="BN23" s="5"/>
      </tp>
      <tp t="s">
        <v>#N/A Invalid object ID</v>
        <stp/>
        <stp>##V3_BVIEW</stp>
        <stp>[XSLP -Swap Line Pricer.xlsm]Swaptions!R22C66</stp>
        <stp>Enter deal type or saved ID.</stp>
        <stp>Leg[1].FixedCoupon</stp>
        <stp>headers=false</stp>
        <tr r="BN22" s="5"/>
      </tp>
      <tp t="s">
        <v>#N/A Invalid object ID</v>
        <stp/>
        <stp>##V3_BVIEW</stp>
        <stp>[XSLP -Swap Line Pricer.xlsm]Swaptions!R21C66</stp>
        <stp>Enter deal type or saved ID.</stp>
        <stp>Leg[1].FixedCoupon</stp>
        <stp>headers=false</stp>
        <tr r="BN21" s="5"/>
      </tp>
      <tp t="s">
        <v>PRICE FXFL 284275</v>
        <stp/>
        <stp>##V3_BPRICEV12</stp>
        <stp>[XSLP -Swap Line Pricer.xlsm]Swaps!R37C109</stp>
        <stp>FXFL 1033483</stp>
        <stp/>
        <stp/>
        <stp>MarketDate</stp>
        <stp>42654</stp>
        <stp>ValuationDate</stp>
        <stp>42656</stp>
        <stp>alwaysrefresh</stp>
        <tr r="DE37" s="1"/>
      </tp>
      <tp t="s">
        <v>#N/A Invalid object ID</v>
        <stp/>
        <stp>##V3_BVIEW</stp>
        <stp>[XSLP -Swap Line Pricer.xlsm]Swaptions!R20C66</stp>
        <stp>Enter deal type or saved ID.</stp>
        <stp>Leg[1].FixedCoupon</stp>
        <stp>headers=false</stp>
        <tr r="BN20" s="5"/>
      </tp>
      <tp t="s">
        <v>#N/A Invalid object ID</v>
        <stp/>
        <stp>##V3_BVIEW</stp>
        <stp>[XSLP -Swap Line Pricer.xlsm]Swaptions!R35C112</stp>
        <stp/>
        <stp>Pv</stp>
        <stp>headers=false</stp>
        <tr r="DH35" s="5"/>
      </tp>
      <tp t="s">
        <v>#N/A Invalid object ID</v>
        <stp/>
        <stp>##V3_BVIEW</stp>
        <stp>[XSLP -Swap Line Pricer.xlsm]Swaptions!R25C112</stp>
        <stp/>
        <stp>Pv</stp>
        <stp>headers=false</stp>
        <tr r="DH25" s="5"/>
      </tp>
      <tp>
        <v>9030.1992196264328</v>
        <stp/>
        <stp>##V3_BVIEW</stp>
        <stp>[XSLP -Swap Line Pricer.xlsm]Swaps!R32C2</stp>
        <stp>PRICE FXFL 604099</stp>
        <stp>PV</stp>
        <stp>headers=false</stp>
        <tr r="B32" s="1"/>
      </tp>
      <tp>
        <v>12035.303551889439</v>
        <stp/>
        <stp>##V3_BVIEW</stp>
        <stp>[XSLP -Swap Line Pricer.xlsm]Swaps!R20C2</stp>
        <stp>PRICE FXFL 781382</stp>
        <stp>PV</stp>
        <stp>headers=false</stp>
        <tr r="B20" s="1"/>
      </tp>
      <tp>
        <v>42654</v>
        <stp/>
        <stp>##V3_BVIEW</stp>
        <stp>[XSLP -Swap Line Pricer.xlsm]Swaps!R21C53</stp>
        <stp>FXFL 597317</stp>
        <stp>EffectiveDate</stp>
        <stp>headers=false</stp>
        <tr r="BA21" s="1"/>
        <tr r="BA21" s="1"/>
      </tp>
      <tp>
        <v>42654</v>
        <stp/>
        <stp>##V3_BVIEW</stp>
        <stp>[XSLP -Swap Line Pricer.xlsm]Swaps!R27C53</stp>
        <stp>FXFL 451356</stp>
        <stp>EffectiveDate</stp>
        <stp>headers=false</stp>
        <tr r="BA27" s="1"/>
        <tr r="BA27" s="1"/>
      </tp>
      <tp>
        <v>42654</v>
        <stp/>
        <stp>##V3_BVIEW</stp>
        <stp>[XSLP -Swap Line Pricer.xlsm]Swaps!R20C53</stp>
        <stp>FXFL 938373</stp>
        <stp>EffectiveDate</stp>
        <stp>headers=false</stp>
        <tr r="BA20" s="1"/>
        <tr r="BA20" s="1"/>
      </tp>
      <tp>
        <v>42654</v>
        <stp/>
        <stp>##V3_BVIEW</stp>
        <stp>[XSLP -Swap Line Pricer.xlsm]Swaps!R26C53</stp>
        <stp>FXFL 927343</stp>
        <stp>EffectiveDate</stp>
        <stp>headers=false</stp>
        <tr r="BA26" s="1"/>
        <tr r="BA26" s="1"/>
      </tp>
      <tp>
        <v>42654</v>
        <stp/>
        <stp>##V3_BVIEW</stp>
        <stp>[XSLP -Swap Line Pricer.xlsm]Swaps!R33C53</stp>
        <stp>FXFL 630096</stp>
        <stp>EffectiveDate</stp>
        <stp>headers=false</stp>
        <tr r="BA33" s="1"/>
        <tr r="BA33" s="1"/>
      </tp>
      <tp>
        <v>42654</v>
        <stp/>
        <stp>##V3_BVIEW</stp>
        <stp>[XSLP -Swap Line Pricer.xlsm]Swaps!R23C53</stp>
        <stp>FXFL 729164</stp>
        <stp>EffectiveDate</stp>
        <stp>headers=false</stp>
        <tr r="BA23" s="1"/>
        <tr r="BA23" s="1"/>
      </tp>
      <tp>
        <v>42654</v>
        <stp/>
        <stp>##V3_BVIEW</stp>
        <stp>[XSLP -Swap Line Pricer.xlsm]Swaps!R32C53</stp>
        <stp>FXFL 877169</stp>
        <stp>EffectiveDate</stp>
        <stp>headers=false</stp>
        <tr r="BA32" s="1"/>
        <tr r="BA32" s="1"/>
      </tp>
      <tp>
        <v>42654</v>
        <stp/>
        <stp>##V3_BVIEW</stp>
        <stp>[XSLP -Swap Line Pricer.xlsm]Swaps!R22C53</stp>
        <stp>FXFL 582191</stp>
        <stp>EffectiveDate</stp>
        <stp>headers=false</stp>
        <tr r="BA22" s="1"/>
        <tr r="BA22" s="1"/>
      </tp>
      <tp>
        <v>0</v>
        <stp/>
        <stp>##V3_BVIEW</stp>
        <stp>[XSLP -Swap Line Pricer.xlsm]Swaps!R36C71</stp>
        <stp>FXFL 1033483</stp>
        <stp>Leg[2].Spread</stp>
        <stp>headers=false</stp>
        <tr r="BS36" s="1"/>
        <tr r="BS36" s="1"/>
      </tp>
      <tp>
        <v>0</v>
        <stp/>
        <stp>##V3_BVIEW</stp>
        <stp>[XSLP -Swap Line Pricer.xlsm]Swaps!R37C71</stp>
        <stp>FXFL 1033483</stp>
        <stp>Leg[2].Spread</stp>
        <stp>headers=false</stp>
        <tr r="BS37" s="1"/>
        <tr r="BS37" s="1"/>
      </tp>
      <tp>
        <v>0</v>
        <stp/>
        <stp>##V3_BVIEW</stp>
        <stp>[XSLP -Swap Line Pricer.xlsm]Swaps!R34C71</stp>
        <stp>FXFL 1033483</stp>
        <stp>Leg[2].Spread</stp>
        <stp>headers=false</stp>
        <tr r="BS34" s="1"/>
        <tr r="BS34" s="1"/>
      </tp>
      <tp>
        <v>0</v>
        <stp/>
        <stp>##V3_BVIEW</stp>
        <stp>[XSLP -Swap Line Pricer.xlsm]Swaps!R35C71</stp>
        <stp>FXFL 1033483</stp>
        <stp>Leg[2].Spread</stp>
        <stp>headers=false</stp>
        <tr r="BS35" s="1"/>
        <tr r="BS35" s="1"/>
      </tp>
      <tp>
        <v>0</v>
        <stp/>
        <stp>##V3_BVIEW</stp>
        <stp>[XSLP -Swap Line Pricer.xlsm]Swaps!R38C71</stp>
        <stp>FXFL 1033483</stp>
        <stp>Leg[2].Spread</stp>
        <stp>headers=false</stp>
        <tr r="BS38" s="1"/>
        <tr r="BS38" s="1"/>
      </tp>
      <tp>
        <v>0</v>
        <stp/>
        <stp>##V3_BVIEW</stp>
        <stp>[XSLP -Swap Line Pricer.xlsm]Swaps!R39C71</stp>
        <stp>FXFL 1033483</stp>
        <stp>Leg[2].Spread</stp>
        <stp>headers=false</stp>
        <tr r="BS39" s="1"/>
        <tr r="BS39" s="1"/>
      </tp>
      <tp>
        <v>42654</v>
        <stp/>
        <stp>##V3_BTODAY</stp>
        <stp>[XSLP -Swap Line Pricer.xlsm]Swaps!R8C3</stp>
        <stp>TRUE</stp>
        <tr r="C8" s="1"/>
      </tp>
      <tp t="s">
        <v>PRICE FXFL 604099</v>
        <stp/>
        <stp>##V3_BPRICEV12</stp>
        <stp>[XSLP -Swap Line Pricer.xlsm]Swaps!R32C109</stp>
        <stp>FXFL 877169</stp>
        <stp/>
        <stp/>
        <stp>MarketDate</stp>
        <stp>42654</stp>
        <stp>ValuationDate</stp>
        <stp>42656</stp>
        <stp>alwaysrefresh</stp>
        <tr r="DE32" s="1"/>
      </tp>
      <tp t="s">
        <v>PRICE FXFL 193619</v>
        <stp/>
        <stp>##V3_BPRICEV12</stp>
        <stp>[XSLP -Swap Line Pricer.xlsm]Swaps!R30C109</stp>
        <stp>FXFL 631990</stp>
        <stp/>
        <stp/>
        <stp>MarketDate</stp>
        <stp>42654</stp>
        <stp>ValuationDate</stp>
        <stp>42656</stp>
        <stp>alwaysrefresh</stp>
        <tr r="DE30" s="1"/>
      </tp>
      <tp t="s">
        <v>PRICE FXFL 781382</v>
        <stp/>
        <stp>##V3_BPRICEV12</stp>
        <stp>[XSLP -Swap Line Pricer.xlsm]Swaps!R20C109</stp>
        <stp>FXFL 938373</stp>
        <stp/>
        <stp/>
        <stp>MarketDate</stp>
        <stp>42654</stp>
        <stp>ValuationDate</stp>
        <stp>42656</stp>
        <stp>alwaysrefresh</stp>
        <tr r="DE20" s="1"/>
      </tp>
      <tp t="s">
        <v>PRICE FXFL 453040</v>
        <stp/>
        <stp>##V3_BPRICEV12</stp>
        <stp>[XSLP -Swap Line Pricer.xlsm]Swaps!R33C109</stp>
        <stp>FXFL 630096</stp>
        <stp/>
        <stp/>
        <stp>MarketDate</stp>
        <stp>42654</stp>
        <stp>ValuationDate</stp>
        <stp>42656</stp>
        <stp>alwaysrefresh</stp>
        <tr r="DE33" s="1"/>
      </tp>
      <tp t="s">
        <v>#N/A No matches found [Parameter:OUTPUT]</v>
        <stp/>
        <stp>##V3_BVIEW</stp>
        <stp>[XSLP -Swap Line Pricer.xlsm]Swaps!R36C60</stp>
        <stp>FXFL 1033483</stp>
        <stp>Leg[1].Spread</stp>
        <stp>headers=false</stp>
        <tr r="BH36" s="1"/>
      </tp>
      <tp t="s">
        <v>#N/A No matches found [Parameter:OUTPUT]</v>
        <stp/>
        <stp>##V3_BVIEW</stp>
        <stp>[XSLP -Swap Line Pricer.xlsm]Swaps!R37C60</stp>
        <stp>FXFL 1033483</stp>
        <stp>Leg[1].Spread</stp>
        <stp>headers=false</stp>
        <tr r="BH37" s="1"/>
      </tp>
      <tp t="s">
        <v>#N/A No matches found [Parameter:OUTPUT]</v>
        <stp/>
        <stp>##V3_BVIEW</stp>
        <stp>[XSLP -Swap Line Pricer.xlsm]Swaps!R34C60</stp>
        <stp>FXFL 1033483</stp>
        <stp>Leg[1].Spread</stp>
        <stp>headers=false</stp>
        <tr r="BH34" s="1"/>
      </tp>
      <tp t="s">
        <v>#N/A No matches found [Parameter:OUTPUT]</v>
        <stp/>
        <stp>##V3_BVIEW</stp>
        <stp>[XSLP -Swap Line Pricer.xlsm]Swaps!R35C60</stp>
        <stp>FXFL 1033483</stp>
        <stp>Leg[1].Spread</stp>
        <stp>headers=false</stp>
        <tr r="BH35" s="1"/>
      </tp>
      <tp t="s">
        <v>#N/A No matches found [Parameter:OUTPUT]</v>
        <stp/>
        <stp>##V3_BVIEW</stp>
        <stp>[XSLP -Swap Line Pricer.xlsm]Swaps!R38C60</stp>
        <stp>FXFL 1033483</stp>
        <stp>Leg[1].Spread</stp>
        <stp>headers=false</stp>
        <tr r="BH38" s="1"/>
      </tp>
      <tp t="s">
        <v>#N/A No matches found [Parameter:OUTPUT]</v>
        <stp/>
        <stp>##V3_BVIEW</stp>
        <stp>[XSLP -Swap Line Pricer.xlsm]Swaps!R39C60</stp>
        <stp>FXFL 1033483</stp>
        <stp>Leg[1].Spread</stp>
        <stp>headers=false</stp>
        <tr r="BH39" s="1"/>
      </tp>
      <tp>
        <v>59333.920196980245</v>
        <stp/>
        <stp>##V3_BVIEW</stp>
        <stp>[XSLP -Swap Line Pricer.xlsm]Swaps!R25C2</stp>
        <stp>PRICE FXFL 132498</stp>
        <stp>PV</stp>
        <stp>headers=false</stp>
        <tr r="B25" s="1"/>
      </tp>
      <tp>
        <v>35571.49667797218</v>
        <stp/>
        <stp>##V3_BVIEW</stp>
        <stp>[XSLP -Swap Line Pricer.xlsm]Swaps!R22C2</stp>
        <stp>PRICE FXFL 989515</stp>
        <stp>PV</stp>
        <stp>headers=false</stp>
        <tr r="B22" s="1"/>
      </tp>
      <tp t="s">
        <v>PRICE FXFL 618953</v>
        <stp/>
        <stp>##V3_BPRICEV12</stp>
        <stp>[XSLP -Swap Line Pricer.xlsm]Swaps!R26C109</stp>
        <stp>FXFL 927343</stp>
        <stp/>
        <stp/>
        <stp>MarketDate</stp>
        <stp>42654</stp>
        <stp>ValuationDate</stp>
        <stp>42656</stp>
        <stp>alwaysrefresh</stp>
        <tr r="DE26" s="1"/>
      </tp>
      <tp t="s">
        <v>#N/A Invalid object ID</v>
        <stp/>
        <stp>##V3_BVIEW</stp>
        <stp>[XSLP -Swap Line Pricer.xlsm]Swaptions!R38C104</stp>
        <stp/>
        <stp>ImpliedVol</stp>
        <stp>headers=false</stp>
        <tr r="CZ38" s="5"/>
      </tp>
      <tp t="s">
        <v>#N/A Invalid object ID</v>
        <stp/>
        <stp>##V3_BVIEW</stp>
        <stp>[XSLP -Swap Line Pricer.xlsm]Swaptions!R28C104</stp>
        <stp/>
        <stp>ImpliedVol</stp>
        <stp>headers=false</stp>
        <tr r="CZ28" s="5"/>
      </tp>
      <tp>
        <v>56918.313251819884</v>
        <stp/>
        <stp>##V3_BVIEW</stp>
        <stp>[XSLP -Swap Line Pricer.xlsm]Swaps!R29C2</stp>
        <stp>PRICE FXFL 933208</stp>
        <stp>PV</stp>
        <stp>headers=false</stp>
        <tr r="B29" s="1"/>
      </tp>
      <tp t="s">
        <v>#N/A Invalid object ID</v>
        <stp/>
        <stp>##V3_BVIEW</stp>
        <stp>[XSLP -Swap Line Pricer.xlsm]Swaptions!R39C104</stp>
        <stp/>
        <stp>ImpliedVol</stp>
        <stp>headers=false</stp>
        <tr r="CZ39" s="5"/>
      </tp>
      <tp t="s">
        <v>#N/A Invalid object ID</v>
        <stp/>
        <stp>##V3_BVIEW</stp>
        <stp>[XSLP -Swap Line Pricer.xlsm]Swaptions!R29C104</stp>
        <stp/>
        <stp>ImpliedVol</stp>
        <stp>headers=false</stp>
        <tr r="CZ29" s="5"/>
      </tp>
      <tp t="s">
        <v>PRICE FXFL 989515</v>
        <stp/>
        <stp>##V3_BPRICEV12</stp>
        <stp>[XSLP -Swap Line Pricer.xlsm]Swaps!R22C109</stp>
        <stp>FXFL 582191</stp>
        <stp/>
        <stp/>
        <stp>MarketDate</stp>
        <stp>42654</stp>
        <stp>ValuationDate</stp>
        <stp>42656</stp>
        <stp>alwaysrefresh</stp>
        <tr r="DE22" s="1"/>
      </tp>
      <tp>
        <v>62307.964859876738</v>
        <stp/>
        <stp>##V3_BVIEW</stp>
        <stp>[XSLP -Swap Line Pricer.xlsm]Swaps!R27C2</stp>
        <stp>PRICE FXFL 304254</stp>
        <stp>PV</stp>
        <stp>headers=false</stp>
        <tr r="B27" s="1"/>
      </tp>
      <tp t="s">
        <v>#N/A Invalid object ID</v>
        <stp/>
        <stp>##V3_BVIEW</stp>
        <stp>[XSLP -Swap Line Pricer.xlsm]Swaptions!R36C104</stp>
        <stp/>
        <stp>ImpliedVol</stp>
        <stp>headers=false</stp>
        <tr r="CZ36" s="5"/>
      </tp>
      <tp t="s">
        <v>#N/A Invalid object ID</v>
        <stp/>
        <stp>##V3_BVIEW</stp>
        <stp>[XSLP -Swap Line Pricer.xlsm]Swaptions!R26C104</stp>
        <stp/>
        <stp>ImpliedVol</stp>
        <stp>headers=false</stp>
        <tr r="CZ26" s="5"/>
      </tp>
      <tp>
        <v>53760.027395912446</v>
        <stp/>
        <stp>##V3_BVIEW</stp>
        <stp>[XSLP -Swap Line Pricer.xlsm]Swaps!R24C2</stp>
        <stp>PRICE FXFL 326341</stp>
        <stp>PV</stp>
        <stp>headers=false</stp>
        <tr r="B24" s="1"/>
      </tp>
      <tp t="s">
        <v>PRICE FXFL 328876</v>
        <stp/>
        <stp>##V3_BPRICEV12</stp>
        <stp>[XSLP -Swap Line Pricer.xlsm]Swaps!R31C109</stp>
        <stp>FXFL 625950</stp>
        <stp/>
        <stp/>
        <stp>MarketDate</stp>
        <stp>42654</stp>
        <stp>ValuationDate</stp>
        <stp>42656</stp>
        <stp>alwaysrefresh</stp>
        <tr r="DE31" s="1"/>
      </tp>
      <tp t="s">
        <v>#N/A Invalid object ID</v>
        <stp/>
        <stp>##V3_BVIEW</stp>
        <stp>[XSLP -Swap Line Pricer.xlsm]Swaptions!R37C104</stp>
        <stp/>
        <stp>ImpliedVol</stp>
        <stp>headers=false</stp>
        <tr r="CZ37" s="5"/>
      </tp>
      <tp t="s">
        <v>#N/A Invalid object ID</v>
        <stp/>
        <stp>##V3_BVIEW</stp>
        <stp>[XSLP -Swap Line Pricer.xlsm]Swaptions!R27C104</stp>
        <stp/>
        <stp>ImpliedVol</stp>
        <stp>headers=false</stp>
        <tr r="CZ27" s="5"/>
      </tp>
      <tp>
        <v>24104.299075919756</v>
        <stp/>
        <stp>##V3_BVIEW</stp>
        <stp>[XSLP -Swap Line Pricer.xlsm]Swaps!R21C2</stp>
        <stp>PRICE FXFL 309575</stp>
        <stp>PV</stp>
        <stp>headers=false</stp>
        <tr r="B21" s="1"/>
      </tp>
      <tp>
        <v>0</v>
        <stp/>
        <stp>##V3_BVIEW</stp>
        <stp>[XSLP -Swap Line Pricer.xlsm]Swaps!R39C2</stp>
        <stp>PRICE FXFL 284275</stp>
        <stp>PV</stp>
        <stp>headers=false</stp>
        <tr r="B39" s="1"/>
      </tp>
      <tp>
        <v>0</v>
        <stp/>
        <stp>##V3_BVIEW</stp>
        <stp>[XSLP -Swap Line Pricer.xlsm]Swaps!R38C2</stp>
        <stp>PRICE FXFL 284275</stp>
        <stp>PV</stp>
        <stp>headers=false</stp>
        <tr r="B38" s="1"/>
      </tp>
      <tp>
        <v>0</v>
        <stp/>
        <stp>##V3_BVIEW</stp>
        <stp>[XSLP -Swap Line Pricer.xlsm]Swaps!R35C2</stp>
        <stp>PRICE FXFL 284275</stp>
        <stp>PV</stp>
        <stp>headers=false</stp>
        <tr r="B35" s="1"/>
      </tp>
      <tp>
        <v>0</v>
        <stp/>
        <stp>##V3_BVIEW</stp>
        <stp>[XSLP -Swap Line Pricer.xlsm]Swaps!R34C2</stp>
        <stp>PRICE FXFL 284275</stp>
        <stp>PV</stp>
        <stp>headers=false</stp>
        <tr r="B34" s="1"/>
      </tp>
      <tp>
        <v>0</v>
        <stp/>
        <stp>##V3_BVIEW</stp>
        <stp>[XSLP -Swap Line Pricer.xlsm]Swaps!R37C2</stp>
        <stp>PRICE FXFL 284275</stp>
        <stp>PV</stp>
        <stp>headers=false</stp>
        <tr r="B37" s="1"/>
      </tp>
      <tp>
        <v>0</v>
        <stp/>
        <stp>##V3_BVIEW</stp>
        <stp>[XSLP -Swap Line Pricer.xlsm]Swaps!R36C2</stp>
        <stp>PRICE FXFL 284275</stp>
        <stp>PV</stp>
        <stp>headers=false</stp>
        <tr r="B36" s="1"/>
      </tp>
      <tp>
        <v>42654</v>
        <stp/>
        <stp>##V3_BVIEW</stp>
        <stp>[XSLP -Swap Line Pricer.xlsm]Swaps!R24C53</stp>
        <stp>FXFL 651808</stp>
        <stp>EffectiveDate</stp>
        <stp>headers=false</stp>
        <tr r="BA24" s="1"/>
        <tr r="BA24" s="1"/>
      </tp>
      <tp>
        <v>42654</v>
        <stp/>
        <stp>##V3_BVIEW</stp>
        <stp>[XSLP -Swap Line Pricer.xlsm]Swaps!R29C53</stp>
        <stp>FXFL 431830</stp>
        <stp>EffectiveDate</stp>
        <stp>headers=false</stp>
        <tr r="BA29" s="1"/>
        <tr r="BA29" s="1"/>
      </tp>
      <tp>
        <v>42654</v>
        <stp/>
        <stp>##V3_BVIEW</stp>
        <stp>[XSLP -Swap Line Pricer.xlsm]Swaps!R28C53</stp>
        <stp>FXFL 164852</stp>
        <stp>EffectiveDate</stp>
        <stp>headers=false</stp>
        <tr r="BA28" s="1"/>
        <tr r="BA28" s="1"/>
      </tp>
      <tp t="s">
        <v>#N/A Invalid object ID</v>
        <stp/>
        <stp>##V3_BVIEW</stp>
        <stp>[XSLP -Swap Line Pricer.xlsm]Swaptions!R34C104</stp>
        <stp/>
        <stp>ImpliedVol</stp>
        <stp>headers=false</stp>
        <tr r="CZ34" s="5"/>
      </tp>
      <tp t="s">
        <v>#N/A Invalid object ID</v>
        <stp/>
        <stp>##V3_BVIEW</stp>
        <stp>[XSLP -Swap Line Pricer.xlsm]Swaptions!R24C104</stp>
        <stp/>
        <stp>ImpliedVol</stp>
        <stp>headers=false</stp>
        <tr r="CZ24" s="5"/>
      </tp>
      <tp t="s">
        <v>PRICE FXFL 782879</v>
        <stp/>
        <stp>##V3_BPRICEV12</stp>
        <stp>[XSLP -Swap Line Pricer.xlsm]Swaps!R23C109</stp>
        <stp>FXFL 729164</stp>
        <stp/>
        <stp/>
        <stp>MarketDate</stp>
        <stp>42654</stp>
        <stp>ValuationDate</stp>
        <stp>42656</stp>
        <stp>alwaysrefresh</stp>
        <tr r="DE23" s="1"/>
      </tp>
      <tp t="s">
        <v>PRICE FXFL 304254</v>
        <stp/>
        <stp>##V3_BPRICEV12</stp>
        <stp>[XSLP -Swap Line Pricer.xlsm]Swaps!R27C109</stp>
        <stp>FXFL 451356</stp>
        <stp/>
        <stp/>
        <stp>MarketDate</stp>
        <stp>42654</stp>
        <stp>ValuationDate</stp>
        <stp>42656</stp>
        <stp>alwaysrefresh</stp>
        <tr r="DE27" s="1"/>
      </tp>
      <tp>
        <v>14917.205274310287</v>
        <stp/>
        <stp>##V3_BVIEW</stp>
        <stp>[XSLP -Swap Line Pricer.xlsm]Swaps!R31C2</stp>
        <stp>PRICE FXFL 328876</stp>
        <stp>PV</stp>
        <stp>headers=false</stp>
        <tr r="B31" s="1"/>
      </tp>
      <tp>
        <v>42654</v>
        <stp/>
        <stp>##V3_BVIEW</stp>
        <stp>[XSLP -Swap Line Pricer.xlsm]Swaps!R31C53</stp>
        <stp>FXFL 625950</stp>
        <stp>EffectiveDate</stp>
        <stp>headers=false</stp>
        <tr r="BA31" s="1"/>
        <tr r="BA31" s="1"/>
      </tp>
      <tp>
        <v>42654</v>
        <stp/>
        <stp>##V3_BVIEW</stp>
        <stp>[XSLP -Swap Line Pricer.xlsm]Swaps!R30C53</stp>
        <stp>FXFL 631990</stp>
        <stp>EffectiveDate</stp>
        <stp>headers=false</stp>
        <tr r="BA30" s="1"/>
        <tr r="BA30" s="1"/>
      </tp>
      <tp t="s">
        <v>#N/A Invalid object ID</v>
        <stp/>
        <stp>##V3_BVIEW</stp>
        <stp>[XSLP -Swap Line Pricer.xlsm]Swaptions!R35C104</stp>
        <stp/>
        <stp>ImpliedVol</stp>
        <stp>headers=false</stp>
        <tr r="CZ35" s="5"/>
      </tp>
      <tp t="s">
        <v>#N/A Invalid object ID</v>
        <stp/>
        <stp>##V3_BVIEW</stp>
        <stp>[XSLP -Swap Line Pricer.xlsm]Swaptions!R25C104</stp>
        <stp/>
        <stp>ImpliedVol</stp>
        <stp>headers=false</stp>
        <tr r="CZ25" s="5"/>
      </tp>
      <tp t="s">
        <v>FXFL 697142</v>
        <stp/>
        <stp>##V3_BSTRUCTUREV12</stp>
        <stp>[XSLP -Swap Line Pricer.xlsm]Favourites!R44C9</stp>
        <stp>FXFL USD 1YX5Y</stp>
        <tr r="I44" s="3"/>
      </tp>
      <tp t="s">
        <v>FXFL 697142</v>
        <stp/>
        <stp>##V3_BSTRUCTUREV12</stp>
        <stp>[XSLP -Swap Line Pricer.xlsm]Favourites!R45C9</stp>
        <stp>FXFL USD 1YX5Y</stp>
        <tr r="I45" s="3"/>
      </tp>
      <tp>
        <v>0.33550661247660696</v>
        <stp/>
        <stp>##V3_BVIEW</stp>
        <stp>[XSLP -Swap Line Pricer.xlsm]Swaps!R28C5</stp>
        <stp>PRICE FXFL 1009788</stp>
        <stp>ParCoupon</stp>
        <stp>headers=false</stp>
        <tr r="E28" s="1"/>
      </tp>
      <tp t="s">
        <v>SemiAnnual</v>
        <stp/>
        <stp>##V3_BVIEW</stp>
        <stp>[XSLP -Swap Line Pricer.xlsm]Swaps!R25C75</stp>
        <stp>FXFL 64474</stp>
        <stp>Leg[2].ResetFrequency</stp>
        <stp>headers=false</stp>
        <tr r="BW25" s="1"/>
        <tr r="BW25" s="1"/>
      </tp>
      <tp t="s">
        <v>#N/A Invalid object ID</v>
        <stp/>
        <stp>##V3_BVIEW</stp>
        <stp>[XSLP -Swap Line Pricer.xlsm]Swaptions!R32C104</stp>
        <stp/>
        <stp>ImpliedVol</stp>
        <stp>headers=false</stp>
        <tr r="CZ32" s="5"/>
      </tp>
      <tp t="s">
        <v>#N/A Invalid object ID</v>
        <stp/>
        <stp>##V3_BVIEW</stp>
        <stp>[XSLP -Swap Line Pricer.xlsm]Swaptions!R22C104</stp>
        <stp/>
        <stp>ImpliedVol</stp>
        <stp>headers=false</stp>
        <tr r="CZ22" s="5"/>
      </tp>
      <tp t="s">
        <v>PRICE FXFL 933208</v>
        <stp/>
        <stp>##V3_BPRICEV12</stp>
        <stp>[XSLP -Swap Line Pricer.xlsm]Swaps!R29C109</stp>
        <stp>FXFL 431830</stp>
        <stp/>
        <stp/>
        <stp>MarketDate</stp>
        <stp>42654</stp>
        <stp>ValuationDate</stp>
        <stp>42656</stp>
        <stp>alwaysrefresh</stp>
        <tr r="DE29" s="1"/>
      </tp>
      <tp>
        <v>62131.640508649929</v>
        <stp/>
        <stp>##V3_BVIEW</stp>
        <stp>[XSLP -Swap Line Pricer.xlsm]Swaps!R26C2</stp>
        <stp>PRICE FXFL 618953</stp>
        <stp>PV</stp>
        <stp>headers=false</stp>
        <tr r="B26" s="1"/>
      </tp>
      <tp t="s">
        <v>#N/A Invalid object ID</v>
        <stp/>
        <stp>##V3_BVIEW</stp>
        <stp>[XSLP -Swap Line Pricer.xlsm]Swaptions!R33C104</stp>
        <stp/>
        <stp>ImpliedVol</stp>
        <stp>headers=false</stp>
        <tr r="CZ33" s="5"/>
      </tp>
      <tp t="s">
        <v>#N/A Invalid object ID</v>
        <stp/>
        <stp>##V3_BVIEW</stp>
        <stp>[XSLP -Swap Line Pricer.xlsm]Swaptions!R23C104</stp>
        <stp/>
        <stp>ImpliedVol</stp>
        <stp>headers=false</stp>
        <tr r="CZ23" s="5"/>
      </tp>
      <tp t="s">
        <v>PRICE FXFL 326341</v>
        <stp/>
        <stp>##V3_BPRICEV12</stp>
        <stp>[XSLP -Swap Line Pricer.xlsm]Swaps!R24C109</stp>
        <stp>FXFL 651808</stp>
        <stp/>
        <stp/>
        <stp>MarketDate</stp>
        <stp>42654</stp>
        <stp>ValuationDate</stp>
        <stp>42656</stp>
        <stp>alwaysrefresh</stp>
        <tr r="DE24" s="1"/>
      </tp>
      <tp>
        <v>45742.066211172641</v>
        <stp/>
        <stp>##V3_BVIEW</stp>
        <stp>[XSLP -Swap Line Pricer.xlsm]Swaps!R23C2</stp>
        <stp>PRICE FXFL 782879</stp>
        <stp>PV</stp>
        <stp>headers=false</stp>
        <tr r="B23" s="1"/>
      </tp>
      <tp t="s">
        <v>#N/A Invalid object ID</v>
        <stp/>
        <stp>##V3_BVIEW</stp>
        <stp>[XSLP -Swap Line Pricer.xlsm]Swaptions!R30C104</stp>
        <stp/>
        <stp>ImpliedVol</stp>
        <stp>headers=false</stp>
        <tr r="CZ30" s="5"/>
      </tp>
      <tp t="s">
        <v>#N/A Invalid object ID</v>
        <stp/>
        <stp>##V3_BVIEW</stp>
        <stp>[XSLP -Swap Line Pricer.xlsm]Swaptions!R20C104</stp>
        <stp/>
        <stp>ImpliedVol</stp>
        <stp>headers=false</stp>
        <tr r="CZ20" s="5"/>
      </tp>
      <tp>
        <v>32245.17910755505</v>
        <stp/>
        <stp>##V3_BVIEW</stp>
        <stp>[XSLP -Swap Line Pricer.xlsm]Swaps!R30C2</stp>
        <stp>PRICE FXFL 193619</stp>
        <stp>PV</stp>
        <stp>headers=false</stp>
        <tr r="B30" s="1"/>
      </tp>
      <tp t="s">
        <v>#N/A No matches found [Parameter:OUTPUT]</v>
        <stp/>
        <stp>##V3_BVIEW</stp>
        <stp>[XSLP -Swap Line Pricer.xlsm]Swaps!R25C64</stp>
        <stp>FXFL 64474</stp>
        <stp>Leg[1].ResetFrequency</stp>
        <stp>headers=false</stp>
        <tr r="BL25" s="1"/>
      </tp>
      <tp>
        <v>8138.7645356290886</v>
        <stp/>
        <stp>##V3_BVIEW</stp>
        <stp>[XSLP -Swap Line Pricer.xlsm]Swaps!R33C2</stp>
        <stp>PRICE FXFL 453040</stp>
        <stp>PV</stp>
        <stp>headers=false</stp>
        <tr r="B33" s="1"/>
      </tp>
      <tp t="s">
        <v>#N/A Invalid object ID</v>
        <stp/>
        <stp>##V3_BVIEW</stp>
        <stp>[XSLP -Swap Line Pricer.xlsm]Swaptions!R38C60</stp>
        <stp>Enter deal type or saved ID.</stp>
        <stp>CallFreq</stp>
        <stp>headers=false</stp>
        <tr r="BH38" s="5"/>
      </tp>
      <tp t="s">
        <v>#N/A Invalid object ID</v>
        <stp/>
        <stp>##V3_BVIEW</stp>
        <stp>[XSLP -Swap Line Pricer.xlsm]Swaptions!R39C60</stp>
        <stp>Enter deal type or saved ID.</stp>
        <stp>CallFreq</stp>
        <stp>headers=false</stp>
        <tr r="BH39" s="5"/>
      </tp>
      <tp t="s">
        <v>#N/A Invalid object ID</v>
        <stp/>
        <stp>##V3_BVIEW</stp>
        <stp>[XSLP -Swap Line Pricer.xlsm]Swaptions!R36C60</stp>
        <stp>Enter deal type or saved ID.</stp>
        <stp>CallFreq</stp>
        <stp>headers=false</stp>
        <tr r="BH36" s="5"/>
      </tp>
      <tp t="s">
        <v>#N/A Invalid object ID</v>
        <stp/>
        <stp>##V3_BVIEW</stp>
        <stp>[XSLP -Swap Line Pricer.xlsm]Swaptions!R37C60</stp>
        <stp>Enter deal type or saved ID.</stp>
        <stp>CallFreq</stp>
        <stp>headers=false</stp>
        <tr r="BH37" s="5"/>
      </tp>
      <tp t="s">
        <v>#N/A Invalid object ID</v>
        <stp/>
        <stp>##V3_BVIEW</stp>
        <stp>[XSLP -Swap Line Pricer.xlsm]Swaptions!R34C60</stp>
        <stp>Enter deal type or saved ID.</stp>
        <stp>CallFreq</stp>
        <stp>headers=false</stp>
        <tr r="BH34" s="5"/>
      </tp>
      <tp t="s">
        <v>#N/A Invalid object ID</v>
        <stp/>
        <stp>##V3_BVIEW</stp>
        <stp>[XSLP -Swap Line Pricer.xlsm]Swaptions!R35C60</stp>
        <stp>Enter deal type or saved ID.</stp>
        <stp>CallFreq</stp>
        <stp>headers=false</stp>
        <tr r="BH35" s="5"/>
      </tp>
      <tp t="s">
        <v>#N/A Invalid object ID</v>
        <stp/>
        <stp>##V3_BVIEW</stp>
        <stp>[XSLP -Swap Line Pricer.xlsm]Swaptions!R32C60</stp>
        <stp>Enter deal type or saved ID.</stp>
        <stp>CallFreq</stp>
        <stp>headers=false</stp>
        <tr r="BH32" s="5"/>
      </tp>
      <tp t="s">
        <v>#N/A Invalid object ID</v>
        <stp/>
        <stp>##V3_BVIEW</stp>
        <stp>[XSLP -Swap Line Pricer.xlsm]Swaptions!R33C60</stp>
        <stp>Enter deal type or saved ID.</stp>
        <stp>CallFreq</stp>
        <stp>headers=false</stp>
        <tr r="BH33" s="5"/>
      </tp>
      <tp t="s">
        <v>#N/A Invalid object ID</v>
        <stp/>
        <stp>##V3_BVIEW</stp>
        <stp>[XSLP -Swap Line Pricer.xlsm]Swaptions!R30C60</stp>
        <stp>Enter deal type or saved ID.</stp>
        <stp>CallFreq</stp>
        <stp>headers=false</stp>
        <tr r="BH30" s="5"/>
      </tp>
      <tp t="s">
        <v>#N/A Invalid object ID</v>
        <stp/>
        <stp>##V3_BVIEW</stp>
        <stp>[XSLP -Swap Line Pricer.xlsm]Swaptions!R31C60</stp>
        <stp>Enter deal type or saved ID.</stp>
        <stp>CallFreq</stp>
        <stp>headers=false</stp>
        <tr r="BH31" s="5"/>
      </tp>
      <tp t="s">
        <v>#N/A Invalid object ID</v>
        <stp/>
        <stp>##V3_BVIEW</stp>
        <stp>[XSLP -Swap Line Pricer.xlsm]Swaptions!R28C60</stp>
        <stp>Enter deal type or saved ID.</stp>
        <stp>CallFreq</stp>
        <stp>headers=false</stp>
        <tr r="BH28" s="5"/>
      </tp>
      <tp t="s">
        <v>#N/A Invalid object ID</v>
        <stp/>
        <stp>##V3_BVIEW</stp>
        <stp>[XSLP -Swap Line Pricer.xlsm]Swaptions!R29C60</stp>
        <stp>Enter deal type or saved ID.</stp>
        <stp>CallFreq</stp>
        <stp>headers=false</stp>
        <tr r="BH29" s="5"/>
      </tp>
      <tp t="s">
        <v>#N/A Invalid object ID</v>
        <stp/>
        <stp>##V3_BVIEW</stp>
        <stp>[XSLP -Swap Line Pricer.xlsm]Swaptions!R26C60</stp>
        <stp>Enter deal type or saved ID.</stp>
        <stp>CallFreq</stp>
        <stp>headers=false</stp>
        <tr r="BH26" s="5"/>
      </tp>
      <tp t="s">
        <v>#N/A Invalid object ID</v>
        <stp/>
        <stp>##V3_BVIEW</stp>
        <stp>[XSLP -Swap Line Pricer.xlsm]Swaptions!R27C60</stp>
        <stp>Enter deal type or saved ID.</stp>
        <stp>CallFreq</stp>
        <stp>headers=false</stp>
        <tr r="BH27" s="5"/>
      </tp>
      <tp t="s">
        <v>#N/A Invalid object ID</v>
        <stp/>
        <stp>##V3_BVIEW</stp>
        <stp>[XSLP -Swap Line Pricer.xlsm]Swaptions!R24C60</stp>
        <stp>Enter deal type or saved ID.</stp>
        <stp>CallFreq</stp>
        <stp>headers=false</stp>
        <tr r="BH24" s="5"/>
      </tp>
      <tp t="s">
        <v>#N/A Invalid object ID</v>
        <stp/>
        <stp>##V3_BVIEW</stp>
        <stp>[XSLP -Swap Line Pricer.xlsm]Swaptions!R25C60</stp>
        <stp>Enter deal type or saved ID.</stp>
        <stp>CallFreq</stp>
        <stp>headers=false</stp>
        <tr r="BH25" s="5"/>
      </tp>
      <tp t="s">
        <v>#N/A Invalid object ID</v>
        <stp/>
        <stp>##V3_BVIEW</stp>
        <stp>[XSLP -Swap Line Pricer.xlsm]Swaptions!R22C60</stp>
        <stp>Enter deal type or saved ID.</stp>
        <stp>CallFreq</stp>
        <stp>headers=false</stp>
        <tr r="BH22" s="5"/>
      </tp>
      <tp t="s">
        <v>#N/A Invalid object ID</v>
        <stp/>
        <stp>##V3_BVIEW</stp>
        <stp>[XSLP -Swap Line Pricer.xlsm]Swaptions!R23C60</stp>
        <stp>Enter deal type or saved ID.</stp>
        <stp>CallFreq</stp>
        <stp>headers=false</stp>
        <tr r="BH23" s="5"/>
      </tp>
      <tp t="s">
        <v>#N/A Invalid object ID</v>
        <stp/>
        <stp>##V3_BVIEW</stp>
        <stp>[XSLP -Swap Line Pricer.xlsm]Swaptions!R20C60</stp>
        <stp>Enter deal type or saved ID.</stp>
        <stp>CallFreq</stp>
        <stp>headers=false</stp>
        <tr r="BH20" s="5"/>
      </tp>
      <tp t="s">
        <v>#N/A Invalid object ID</v>
        <stp/>
        <stp>##V3_BVIEW</stp>
        <stp>[XSLP -Swap Line Pricer.xlsm]Swaptions!R21C60</stp>
        <stp>Enter deal type or saved ID.</stp>
        <stp>CallFreq</stp>
        <stp>headers=false</stp>
        <tr r="BH21" s="5"/>
      </tp>
      <tp t="s">
        <v>#N/A Invalid object ID</v>
        <stp/>
        <stp>##V3_BVIEW</stp>
        <stp>[XSLP -Swap Line Pricer.xlsm]Swaptions!R31C104</stp>
        <stp/>
        <stp>ImpliedVol</stp>
        <stp>headers=false</stp>
        <tr r="CZ31" s="5"/>
      </tp>
      <tp t="s">
        <v>#N/A Invalid object ID</v>
        <stp/>
        <stp>##V3_BVIEW</stp>
        <stp>[XSLP -Swap Line Pricer.xlsm]Swaptions!R21C104</stp>
        <stp/>
        <stp>ImpliedVol</stp>
        <stp>headers=false</stp>
        <tr r="CZ21" s="5"/>
      </tp>
      <tp t="s">
        <v>PRICE FXFL 309575</v>
        <stp/>
        <stp>##V3_BPRICEV12</stp>
        <stp>[XSLP -Swap Line Pricer.xlsm]Swaps!R21C109</stp>
        <stp>FXFL 597317</stp>
        <stp/>
        <stp/>
        <stp>MarketDate</stp>
        <stp>42654</stp>
        <stp>ValuationDate</stp>
        <stp>42656</stp>
        <stp>alwaysrefresh</stp>
        <tr r="DE21" s="1"/>
      </tp>
      <tp t="s">
        <v>PRICE FXFL 1009788</v>
        <stp/>
        <stp>##V3_BPRICEV12</stp>
        <stp>[XSLP -Swap Line Pricer.xlsm]Swaps!R28C109</stp>
        <stp>FXFL 164852</stp>
        <stp/>
        <stp/>
        <stp>MarketDate</stp>
        <stp>42654</stp>
        <stp>ValuationDate</stp>
        <stp>42656</stp>
        <stp>alwaysrefresh</stp>
        <tr r="DE28" s="1"/>
      </tp>
      <tp t="s">
        <v>Effect. &amp; Maturity</v>
        <stp/>
        <stp>##V3_BVIEW</stp>
        <stp>[XSLP -Swap Line Pricer.xlsm]Swaps!R25C78</stp>
        <stp>FXFL 64474</stp>
        <stp>PrincipalExchange</stp>
        <stp>headers=false</stp>
        <tr r="BZ25" s="1"/>
        <tr r="BZ25" s="1"/>
      </tp>
      <tp t="s">
        <v>Name{%s},SolveTarget{%s},Default Setting{%s},Description{%s};DiscountCurve[EUR]{%s},FALSE{%s},S133:Mid:DFLT:EUR OIS{%s},{%s};ForwardCurve[EUR006M]{%s},FALSE{%s},S45:Mid:DFLT:EUR (vs. 6M EURIBOR){%s},{%s}##BCURVE_RS##</v>
        <stp/>
        <stp>##V3_BMARKETPARAMV12</stp>
        <stp>[XSLP -Swap Line Pricer.xlsm]Swaps!R23C83</stp>
        <stp>FXFL 729164</stp>
        <stp>array=true</stp>
        <tr r="CE23" s="1"/>
      </tp>
      <tp t="s">
        <v>Name{%s},SolveTarget{%s},Default Setting{%s},Description{%s};DiscountCurve[EUR]{%s},FALSE{%s},S133:Mid:DFLT:EUR OIS{%s},{%s};ForwardCurve[EUR006M]{%s},FALSE{%s},S45:Mid:DFLT:EUR (vs. 6M EURIBOR){%s},{%s}##BCURVE_RS##</v>
        <stp/>
        <stp>##V3_BMARKETPARAMV12</stp>
        <stp>[XSLP -Swap Line Pricer.xlsm]Swaps!R23C82</stp>
        <stp>FXFL 729164</stp>
        <stp>array=true</stp>
        <tr r="CD23" s="1"/>
      </tp>
      <tp t="s">
        <v>Name{%s},SolveTarget{%s},Default Setting{%s},Description{%s};DiscountCurve[EUR]{%s},FALSE{%s},S133:Mid:DFLT:EUR OIS{%s},{%s};ForwardCurve[EUR006M]{%s},FALSE{%s},S45:Mid:DFLT:EUR (vs. 6M EURIBOR){%s},{%s}##BCURVE_RS##</v>
        <stp/>
        <stp>##V3_BMARKETPARAMV12</stp>
        <stp>[XSLP -Swap Line Pricer.xlsm]Swaps!R23C87</stp>
        <stp>FXFL 729164</stp>
        <stp>array=true</stp>
        <tr r="CI23" s="1"/>
      </tp>
      <tp t="s">
        <v>Name{%s},SolveTarget{%s},Default Setting{%s},Description{%s};DiscountCurve[EUR]{%s},FALSE{%s},S133:Mid:DFLT:EUR OIS{%s},{%s};ForwardCurve[EUR006M]{%s},FALSE{%s},S45:Mid:DFLT:EUR (vs. 6M EURIBOR){%s},{%s}##BCURVE_RS##</v>
        <stp/>
        <stp>##V3_BMARKETPARAMV12</stp>
        <stp>[XSLP -Swap Line Pricer.xlsm]Swaps!R23C86</stp>
        <stp>FXFL 729164</stp>
        <stp>array=true</stp>
        <tr r="CH23" s="1"/>
      </tp>
      <tp t="s">
        <v>Name{%s},SolveTarget{%s},Default Setting{%s},Description{%s};DiscountCurve[EUR]{%s},FALSE{%s},S133:Mid:DFLT:EUR OIS{%s},{%s};ForwardCurve[EUR006M]{%s},FALSE{%s},S45:Mid:DFLT:EUR (vs. 6M EURIBOR){%s},{%s}##BCURVE_RS##</v>
        <stp/>
        <stp>##V3_BMARKETPARAMV12</stp>
        <stp>[XSLP -Swap Line Pricer.xlsm]Swaps!R23C85</stp>
        <stp>FXFL 729164</stp>
        <stp>array=true</stp>
        <tr r="CG23" s="1"/>
      </tp>
      <tp t="s">
        <v>Name{%s},SolveTarget{%s},Default Setting{%s},Description{%s};DiscountCurve[EUR]{%s},FALSE{%s},S133:Mid:DFLT:EUR OIS{%s},{%s};ForwardCurve[EUR006M]{%s},FALSE{%s},S45:Mid:DFLT:EUR (vs. 6M EURIBOR){%s},{%s}##BCURVE_RS##</v>
        <stp/>
        <stp>##V3_BMARKETPARAMV12</stp>
        <stp>[XSLP -Swap Line Pricer.xlsm]Swaps!R23C84</stp>
        <stp>FXFL 729164</stp>
        <stp>array=true</stp>
        <tr r="CF23" s="1"/>
      </tp>
      <tp t="s">
        <v>Name{%s},SolveTarget{%s},Default Setting{%s},Description{%s};DiscountCurve[EUR]{%s},FALSE{%s},S133:Mid:DFLT:EUR OIS{%s},{%s};ForwardCurve[EUR006M]{%s},FALSE{%s},S45:Mid:DFLT:EUR (vs. 6M EURIBOR){%s},{%s}##BCURVE_RS##</v>
        <stp/>
        <stp>##V3_BMARKETPARAMV12</stp>
        <stp>[XSLP -Swap Line Pricer.xlsm]Swaps!R23C89</stp>
        <stp>FXFL 729164</stp>
        <stp>array=true</stp>
        <tr r="CK23" s="1"/>
      </tp>
      <tp t="s">
        <v>Name{%s},SolveTarget{%s},Default Setting{%s},Description{%s};DiscountCurve[EUR]{%s},FALSE{%s},S133:Mid:DFLT:EUR OIS{%s},{%s};ForwardCurve[EUR006M]{%s},FALSE{%s},S45:Mid:DFLT:EUR (vs. 6M EURIBOR){%s},{%s}##BCURVE_RS##</v>
        <stp/>
        <stp>##V3_BMARKETPARAMV12</stp>
        <stp>[XSLP -Swap Line Pricer.xlsm]Swaps!R23C88</stp>
        <stp>FXFL 729164</stp>
        <stp>array=true</stp>
        <tr r="CJ23" s="1"/>
      </tp>
      <tp>
        <v>44845</v>
        <stp/>
        <stp>##V3_BVIEW</stp>
        <stp>[XSLP -Swap Line Pricer.xlsm]Swaps!R25C54</stp>
        <stp>FXFL 64474</stp>
        <stp>MaturityDate</stp>
        <stp>headers=false</stp>
        <tr r="BB25" s="1"/>
        <tr r="BB25" s="1"/>
      </tp>
      <tp t="s">
        <v>Name{%s},SolveTarget{%s},Default Setting{%s},Description{%s};DiscountCurve[EUR]{%s},FALSE{%s},S133:Mid:DFLT:EUR OIS{%s},{%s};ForwardCurve[EUR006M]{%s},FALSE{%s},S45:Mid:DFLT:EUR (vs. 6M EURIBOR){%s},{%s}##BCURVE_RS##</v>
        <stp/>
        <stp>##V3_BMARKETPARAMV12</stp>
        <stp>[XSLP -Swap Line Pricer.xlsm]Swaps!R20C85</stp>
        <stp>FXFL 938373</stp>
        <stp>array=true</stp>
        <tr r="CG20" s="1"/>
      </tp>
      <tp t="s">
        <v>Name{%s},SolveTarget{%s},Default Setting{%s},Description{%s};DiscountCurve[EUR]{%s},FALSE{%s},S133:Mid:DFLT:EUR OIS{%s},{%s};ForwardCurve[EUR006M]{%s},FALSE{%s},S45:Mid:DFLT:EUR (vs. 6M EURIBOR){%s},{%s}##BCURVE_RS##</v>
        <stp/>
        <stp>##V3_BMARKETPARAMV12</stp>
        <stp>[XSLP -Swap Line Pricer.xlsm]Swaps!R20C84</stp>
        <stp>FXFL 938373</stp>
        <stp>array=true</stp>
        <tr r="CF20" s="1"/>
      </tp>
      <tp t="s">
        <v>Name{%s},SolveTarget{%s},Default Setting{%s},Description{%s};DiscountCurve[EUR]{%s},FALSE{%s},S133:Mid:DFLT:EUR OIS{%s},{%s};ForwardCurve[EUR006M]{%s},FALSE{%s},S45:Mid:DFLT:EUR (vs. 6M EURIBOR){%s},{%s}##BCURVE_RS##</v>
        <stp/>
        <stp>##V3_BMARKETPARAMV12</stp>
        <stp>[XSLP -Swap Line Pricer.xlsm]Swaps!R20C87</stp>
        <stp>FXFL 938373</stp>
        <stp>array=true</stp>
        <tr r="CI20" s="1"/>
      </tp>
      <tp t="s">
        <v>Name{%s},SolveTarget{%s},Default Setting{%s},Description{%s};DiscountCurve[EUR]{%s},FALSE{%s},S133:Mid:DFLT:EUR OIS{%s},{%s};ForwardCurve[EUR006M]{%s},FALSE{%s},S45:Mid:DFLT:EUR (vs. 6M EURIBOR){%s},{%s}##BCURVE_RS##</v>
        <stp/>
        <stp>##V3_BMARKETPARAMV12</stp>
        <stp>[XSLP -Swap Line Pricer.xlsm]Swaps!R20C86</stp>
        <stp>FXFL 938373</stp>
        <stp>array=true</stp>
        <tr r="CH20" s="1"/>
      </tp>
      <tp t="s">
        <v>Name{%s},SolveTarget{%s},Default Setting{%s},Description{%s};DiscountCurve[EUR]{%s},FALSE{%s},S133:Mid:DFLT:EUR OIS{%s},{%s};ForwardCurve[EUR006M]{%s},FALSE{%s},S45:Mid:DFLT:EUR (vs. 6M EURIBOR){%s},{%s}##BCURVE_RS##</v>
        <stp/>
        <stp>##V3_BMARKETPARAMV12</stp>
        <stp>[XSLP -Swap Line Pricer.xlsm]Swaps!R20C83</stp>
        <stp>FXFL 938373</stp>
        <stp>array=true</stp>
        <tr r="CE20" s="1"/>
      </tp>
      <tp t="s">
        <v>Name{%s},SolveTarget{%s},Default Setting{%s},Description{%s};DiscountCurve[EUR]{%s},FALSE{%s},S133:Mid:DFLT:EUR OIS{%s},{%s};ForwardCurve[EUR006M]{%s},FALSE{%s},S45:Mid:DFLT:EUR (vs. 6M EURIBOR){%s},{%s}##BCURVE_RS##</v>
        <stp/>
        <stp>##V3_BMARKETPARAMV12</stp>
        <stp>[XSLP -Swap Line Pricer.xlsm]Swaps!R20C82</stp>
        <stp>FXFL 938373</stp>
        <stp>array=true</stp>
        <tr r="CD20" s="1"/>
      </tp>
      <tp t="s">
        <v>Name{%s},SolveTarget{%s},Default Setting{%s},Description{%s};DiscountCurve[EUR]{%s},FALSE{%s},S133:Mid:DFLT:EUR OIS{%s},{%s};ForwardCurve[EUR006M]{%s},FALSE{%s},S45:Mid:DFLT:EUR (vs. 6M EURIBOR){%s},{%s}##BCURVE_RS##</v>
        <stp/>
        <stp>##V3_BMARKETPARAMV12</stp>
        <stp>[XSLP -Swap Line Pricer.xlsm]Swaps!R20C89</stp>
        <stp>FXFL 938373</stp>
        <stp>array=true</stp>
        <tr r="CK20" s="1"/>
      </tp>
      <tp t="s">
        <v>Name{%s},SolveTarget{%s},Default Setting{%s},Description{%s};DiscountCurve[EUR]{%s},FALSE{%s},S133:Mid:DFLT:EUR OIS{%s},{%s};ForwardCurve[EUR006M]{%s},FALSE{%s},S45:Mid:DFLT:EUR (vs. 6M EURIBOR){%s},{%s}##BCURVE_RS##</v>
        <stp/>
        <stp>##V3_BMARKETPARAMV12</stp>
        <stp>[XSLP -Swap Line Pricer.xlsm]Swaps!R20C88</stp>
        <stp>FXFL 938373</stp>
        <stp>array=true</stp>
        <tr r="CJ20" s="1"/>
      </tp>
      <tp t="s">
        <v>Name{%s},SolveTarget{%s},Default Setting{%s},Description{%s};DiscountCurve[EUR]{%s},FALSE{%s},S133:Mid:DFLT:EUR OIS{%s},{%s};ForwardCurve[EUR006M]{%s},FALSE{%s},S45:Mid:DFLT:EUR (vs. 6M EURIBOR){%s},{%s}##BCURVE_RS##</v>
        <stp/>
        <stp>##V3_BMARKETPARAMV12</stp>
        <stp>[XSLP -Swap Line Pricer.xlsm]Swaps!R29C86</stp>
        <stp>FXFL 431830</stp>
        <stp>array=true</stp>
        <tr r="CH29" s="1"/>
      </tp>
      <tp t="s">
        <v>Name{%s},SolveTarget{%s},Default Setting{%s},Description{%s};DiscountCurve[EUR]{%s},FALSE{%s},S133:Mid:DFLT:EUR OIS{%s},{%s};ForwardCurve[EUR006M]{%s},FALSE{%s},S45:Mid:DFLT:EUR (vs. 6M EURIBOR){%s},{%s}##BCURVE_RS##</v>
        <stp/>
        <stp>##V3_BMARKETPARAMV12</stp>
        <stp>[XSLP -Swap Line Pricer.xlsm]Swaps!R29C87</stp>
        <stp>FXFL 431830</stp>
        <stp>array=true</stp>
        <tr r="CI29" s="1"/>
      </tp>
      <tp t="s">
        <v>Name{%s},SolveTarget{%s},Default Setting{%s},Description{%s};DiscountCurve[EUR]{%s},FALSE{%s},S133:Mid:DFLT:EUR OIS{%s},{%s};ForwardCurve[EUR006M]{%s},FALSE{%s},S45:Mid:DFLT:EUR (vs. 6M EURIBOR){%s},{%s}##BCURVE_RS##</v>
        <stp/>
        <stp>##V3_BMARKETPARAMV12</stp>
        <stp>[XSLP -Swap Line Pricer.xlsm]Swaps!R29C84</stp>
        <stp>FXFL 431830</stp>
        <stp>array=true</stp>
        <tr r="CF29" s="1"/>
      </tp>
      <tp t="s">
        <v>Name{%s},SolveTarget{%s},Default Setting{%s},Description{%s};DiscountCurve[EUR]{%s},FALSE{%s},S133:Mid:DFLT:EUR OIS{%s},{%s};ForwardCurve[EUR006M]{%s},FALSE{%s},S45:Mid:DFLT:EUR (vs. 6M EURIBOR){%s},{%s}##BCURVE_RS##</v>
        <stp/>
        <stp>##V3_BMARKETPARAMV12</stp>
        <stp>[XSLP -Swap Line Pricer.xlsm]Swaps!R29C85</stp>
        <stp>FXFL 431830</stp>
        <stp>array=true</stp>
        <tr r="CG29" s="1"/>
      </tp>
      <tp t="s">
        <v>Name{%s},SolveTarget{%s},Default Setting{%s},Description{%s};DiscountCurve[EUR]{%s},FALSE{%s},S133:Mid:DFLT:EUR OIS{%s},{%s};ForwardCurve[EUR006M]{%s},FALSE{%s},S45:Mid:DFLT:EUR (vs. 6M EURIBOR){%s},{%s}##BCURVE_RS##</v>
        <stp/>
        <stp>##V3_BMARKETPARAMV12</stp>
        <stp>[XSLP -Swap Line Pricer.xlsm]Swaps!R29C82</stp>
        <stp>FXFL 431830</stp>
        <stp>array=true</stp>
        <tr r="CD29" s="1"/>
      </tp>
      <tp t="s">
        <v>Name{%s},SolveTarget{%s},Default Setting{%s},Description{%s};DiscountCurve[EUR]{%s},FALSE{%s},S133:Mid:DFLT:EUR OIS{%s},{%s};ForwardCurve[EUR006M]{%s},FALSE{%s},S45:Mid:DFLT:EUR (vs. 6M EURIBOR){%s},{%s}##BCURVE_RS##</v>
        <stp/>
        <stp>##V3_BMARKETPARAMV12</stp>
        <stp>[XSLP -Swap Line Pricer.xlsm]Swaps!R29C83</stp>
        <stp>FXFL 431830</stp>
        <stp>array=true</stp>
        <tr r="CE29" s="1"/>
      </tp>
      <tp t="s">
        <v>Name{%s},SolveTarget{%s},Default Setting{%s},Description{%s};DiscountCurve[EUR]{%s},FALSE{%s},S133:Mid:DFLT:EUR OIS{%s},{%s};ForwardCurve[EUR006M]{%s},FALSE{%s},S45:Mid:DFLT:EUR (vs. 6M EURIBOR){%s},{%s}##BCURVE_RS##</v>
        <stp/>
        <stp>##V3_BMARKETPARAMV12</stp>
        <stp>[XSLP -Swap Line Pricer.xlsm]Swaps!R29C88</stp>
        <stp>FXFL 431830</stp>
        <stp>array=true</stp>
        <tr r="CJ29" s="1"/>
      </tp>
      <tp t="s">
        <v>Name{%s},SolveTarget{%s},Default Setting{%s},Description{%s};DiscountCurve[EUR]{%s},FALSE{%s},S133:Mid:DFLT:EUR OIS{%s},{%s};ForwardCurve[EUR006M]{%s},FALSE{%s},S45:Mid:DFLT:EUR (vs. 6M EURIBOR){%s},{%s}##BCURVE_RS##</v>
        <stp/>
        <stp>##V3_BMARKETPARAMV12</stp>
        <stp>[XSLP -Swap Line Pricer.xlsm]Swaps!R29C89</stp>
        <stp>FXFL 431830</stp>
        <stp>array=true</stp>
        <tr r="CK29" s="1"/>
      </tp>
      <tp t="s">
        <v>Receive</v>
        <stp/>
        <stp>##V3_BVIEW</stp>
        <stp>[XSLP -Swap Line Pricer.xlsm]Swaps!R35C56</stp>
        <stp>FXFL 1033483</stp>
        <stp>Leg[1].PayoffSide</stp>
        <stp>headers=false</stp>
        <tr r="BD35" s="1"/>
        <tr r="BD35" s="1"/>
      </tp>
      <tp t="s">
        <v>Receive</v>
        <stp/>
        <stp>##V3_BVIEW</stp>
        <stp>[XSLP -Swap Line Pricer.xlsm]Swaps!R34C56</stp>
        <stp>FXFL 1033483</stp>
        <stp>Leg[1].PayoffSide</stp>
        <stp>headers=false</stp>
        <tr r="BD34" s="1"/>
        <tr r="BD34" s="1"/>
      </tp>
      <tp t="s">
        <v>Receive</v>
        <stp/>
        <stp>##V3_BVIEW</stp>
        <stp>[XSLP -Swap Line Pricer.xlsm]Swaps!R37C56</stp>
        <stp>FXFL 1033483</stp>
        <stp>Leg[1].PayoffSide</stp>
        <stp>headers=false</stp>
        <tr r="BD37" s="1"/>
        <tr r="BD37" s="1"/>
      </tp>
      <tp t="s">
        <v>Receive</v>
        <stp/>
        <stp>##V3_BVIEW</stp>
        <stp>[XSLP -Swap Line Pricer.xlsm]Swaps!R36C56</stp>
        <stp>FXFL 1033483</stp>
        <stp>Leg[1].PayoffSide</stp>
        <stp>headers=false</stp>
        <tr r="BD36" s="1"/>
        <tr r="BD36" s="1"/>
      </tp>
      <tp t="s">
        <v>Receive</v>
        <stp/>
        <stp>##V3_BVIEW</stp>
        <stp>[XSLP -Swap Line Pricer.xlsm]Swaps!R39C56</stp>
        <stp>FXFL 1033483</stp>
        <stp>Leg[1].PayoffSide</stp>
        <stp>headers=false</stp>
        <tr r="BD39" s="1"/>
        <tr r="BD39" s="1"/>
      </tp>
      <tp t="s">
        <v>Receive</v>
        <stp/>
        <stp>##V3_BVIEW</stp>
        <stp>[XSLP -Swap Line Pricer.xlsm]Swaps!R38C56</stp>
        <stp>FXFL 1033483</stp>
        <stp>Leg[1].PayoffSide</stp>
        <stp>headers=false</stp>
        <tr r="BD38" s="1"/>
        <tr r="BD38" s="1"/>
      </tp>
      <tp t="s">
        <v>Pay</v>
        <stp/>
        <stp>##V3_BVIEW</stp>
        <stp>[XSLP -Swap Line Pricer.xlsm]Swaps!R35C67</stp>
        <stp>FXFL 1033483</stp>
        <stp>Leg[2].PayoffSide</stp>
        <stp>headers=false</stp>
        <tr r="BO35" s="1"/>
        <tr r="BO35" s="1"/>
      </tp>
      <tp t="s">
        <v>Pay</v>
        <stp/>
        <stp>##V3_BVIEW</stp>
        <stp>[XSLP -Swap Line Pricer.xlsm]Swaps!R34C67</stp>
        <stp>FXFL 1033483</stp>
        <stp>Leg[2].PayoffSide</stp>
        <stp>headers=false</stp>
        <tr r="BO34" s="1"/>
        <tr r="BO34" s="1"/>
      </tp>
      <tp t="s">
        <v>Pay</v>
        <stp/>
        <stp>##V3_BVIEW</stp>
        <stp>[XSLP -Swap Line Pricer.xlsm]Swaps!R37C67</stp>
        <stp>FXFL 1033483</stp>
        <stp>Leg[2].PayoffSide</stp>
        <stp>headers=false</stp>
        <tr r="BO37" s="1"/>
        <tr r="BO37" s="1"/>
      </tp>
      <tp t="s">
        <v>Pay</v>
        <stp/>
        <stp>##V3_BVIEW</stp>
        <stp>[XSLP -Swap Line Pricer.xlsm]Swaps!R36C67</stp>
        <stp>FXFL 1033483</stp>
        <stp>Leg[2].PayoffSide</stp>
        <stp>headers=false</stp>
        <tr r="BO36" s="1"/>
        <tr r="BO36" s="1"/>
      </tp>
      <tp t="s">
        <v>Pay</v>
        <stp/>
        <stp>##V3_BVIEW</stp>
        <stp>[XSLP -Swap Line Pricer.xlsm]Swaps!R39C67</stp>
        <stp>FXFL 1033483</stp>
        <stp>Leg[2].PayoffSide</stp>
        <stp>headers=false</stp>
        <tr r="BO39" s="1"/>
        <tr r="BO39" s="1"/>
      </tp>
      <tp t="s">
        <v>Pay</v>
        <stp/>
        <stp>##V3_BVIEW</stp>
        <stp>[XSLP -Swap Line Pricer.xlsm]Swaps!R38C67</stp>
        <stp>FXFL 1033483</stp>
        <stp>Leg[2].PayoffSide</stp>
        <stp>headers=false</stp>
        <tr r="BO38" s="1"/>
        <tr r="BO38" s="1"/>
      </tp>
      <tp t="s">
        <v>SemiAnnual</v>
        <stp/>
        <stp>##V3_BVIEW</stp>
        <stp>[XSLP -Swap Line Pricer.xlsm]Swaps!R32C75</stp>
        <stp>FXFL 877169</stp>
        <stp>Leg[2].ResetFrequency</stp>
        <stp>headers=false</stp>
        <tr r="BW32" s="1"/>
        <tr r="BW32" s="1"/>
      </tp>
      <tp t="s">
        <v>SemiAnnual</v>
        <stp/>
        <stp>##V3_BVIEW</stp>
        <stp>[XSLP -Swap Line Pricer.xlsm]Swaps!R22C75</stp>
        <stp>FXFL 582191</stp>
        <stp>Leg[2].ResetFrequency</stp>
        <stp>headers=false</stp>
        <tr r="BW22" s="1"/>
        <tr r="BW22" s="1"/>
      </tp>
      <tp t="s">
        <v>SemiAnnual</v>
        <stp/>
        <stp>##V3_BVIEW</stp>
        <stp>[XSLP -Swap Line Pricer.xlsm]Swaps!R23C75</stp>
        <stp>FXFL 729164</stp>
        <stp>Leg[2].ResetFrequency</stp>
        <stp>headers=false</stp>
        <tr r="BW23" s="1"/>
        <tr r="BW23" s="1"/>
      </tp>
      <tp t="s">
        <v>#N/A Invalid object ID</v>
        <stp/>
        <stp>##V3_BVIEW</stp>
        <stp>[XSLP -Swap Line Pricer.xlsm]Swaptions!R22C55</stp>
        <stp>Enter deal type or saved ID.</stp>
        <stp>IsPayAtExpiry</stp>
        <stp>headers=false</stp>
        <tr r="BC22" s="5"/>
      </tp>
      <tp t="s">
        <v>#N/A Invalid object ID</v>
        <stp/>
        <stp>##V3_BVIEW</stp>
        <stp>[XSLP -Swap Line Pricer.xlsm]Swaptions!R23C55</stp>
        <stp>Enter deal type or saved ID.</stp>
        <stp>IsPayAtExpiry</stp>
        <stp>headers=false</stp>
        <tr r="BC23" s="5"/>
      </tp>
      <tp t="s">
        <v>#N/A Invalid object ID</v>
        <stp/>
        <stp>##V3_BVIEW</stp>
        <stp>[XSLP -Swap Line Pricer.xlsm]Swaptions!R20C55</stp>
        <stp>Enter deal type or saved ID.</stp>
        <stp>IsPayAtExpiry</stp>
        <stp>headers=false</stp>
        <tr r="BC20" s="5"/>
      </tp>
      <tp t="s">
        <v>#N/A Invalid object ID</v>
        <stp/>
        <stp>##V3_BVIEW</stp>
        <stp>[XSLP -Swap Line Pricer.xlsm]Swaptions!R21C55</stp>
        <stp>Enter deal type or saved ID.</stp>
        <stp>IsPayAtExpiry</stp>
        <stp>headers=false</stp>
        <tr r="BC21" s="5"/>
      </tp>
      <tp t="s">
        <v>#N/A Invalid object ID</v>
        <stp/>
        <stp>##V3_BVIEW</stp>
        <stp>[XSLP -Swap Line Pricer.xlsm]Swaptions!R26C55</stp>
        <stp>Enter deal type or saved ID.</stp>
        <stp>IsPayAtExpiry</stp>
        <stp>headers=false</stp>
        <tr r="BC26" s="5"/>
      </tp>
      <tp t="s">
        <v>#N/A Invalid object ID</v>
        <stp/>
        <stp>##V3_BVIEW</stp>
        <stp>[XSLP -Swap Line Pricer.xlsm]Swaptions!R27C55</stp>
        <stp>Enter deal type or saved ID.</stp>
        <stp>IsPayAtExpiry</stp>
        <stp>headers=false</stp>
        <tr r="BC27" s="5"/>
      </tp>
      <tp t="s">
        <v>#N/A Invalid object ID</v>
        <stp/>
        <stp>##V3_BVIEW</stp>
        <stp>[XSLP -Swap Line Pricer.xlsm]Swaptions!R24C55</stp>
        <stp>Enter deal type or saved ID.</stp>
        <stp>IsPayAtExpiry</stp>
        <stp>headers=false</stp>
        <tr r="BC24" s="5"/>
      </tp>
      <tp t="s">
        <v>#N/A Invalid object ID</v>
        <stp/>
        <stp>##V3_BVIEW</stp>
        <stp>[XSLP -Swap Line Pricer.xlsm]Swaptions!R25C55</stp>
        <stp>Enter deal type or saved ID.</stp>
        <stp>IsPayAtExpiry</stp>
        <stp>headers=false</stp>
        <tr r="BC25" s="5"/>
      </tp>
      <tp t="s">
        <v>#N/A Invalid object ID</v>
        <stp/>
        <stp>##V3_BVIEW</stp>
        <stp>[XSLP -Swap Line Pricer.xlsm]Swaptions!R28C55</stp>
        <stp>Enter deal type or saved ID.</stp>
        <stp>IsPayAtExpiry</stp>
        <stp>headers=false</stp>
        <tr r="BC28" s="5"/>
      </tp>
      <tp t="s">
        <v>#N/A Invalid object ID</v>
        <stp/>
        <stp>##V3_BVIEW</stp>
        <stp>[XSLP -Swap Line Pricer.xlsm]Swaptions!R29C55</stp>
        <stp>Enter deal type or saved ID.</stp>
        <stp>IsPayAtExpiry</stp>
        <stp>headers=false</stp>
        <tr r="BC29" s="5"/>
      </tp>
      <tp t="s">
        <v>#N/A Invalid object ID</v>
        <stp/>
        <stp>##V3_BVIEW</stp>
        <stp>[XSLP -Swap Line Pricer.xlsm]Swaptions!R32C55</stp>
        <stp>Enter deal type or saved ID.</stp>
        <stp>IsPayAtExpiry</stp>
        <stp>headers=false</stp>
        <tr r="BC32" s="5"/>
      </tp>
      <tp t="s">
        <v>#N/A Invalid object ID</v>
        <stp/>
        <stp>##V3_BVIEW</stp>
        <stp>[XSLP -Swap Line Pricer.xlsm]Swaptions!R33C55</stp>
        <stp>Enter deal type or saved ID.</stp>
        <stp>IsPayAtExpiry</stp>
        <stp>headers=false</stp>
        <tr r="BC33" s="5"/>
      </tp>
      <tp t="s">
        <v>#N/A Invalid object ID</v>
        <stp/>
        <stp>##V3_BVIEW</stp>
        <stp>[XSLP -Swap Line Pricer.xlsm]Swaptions!R30C55</stp>
        <stp>Enter deal type or saved ID.</stp>
        <stp>IsPayAtExpiry</stp>
        <stp>headers=false</stp>
        <tr r="BC30" s="5"/>
      </tp>
      <tp t="s">
        <v>#N/A Invalid object ID</v>
        <stp/>
        <stp>##V3_BVIEW</stp>
        <stp>[XSLP -Swap Line Pricer.xlsm]Swaptions!R31C55</stp>
        <stp>Enter deal type or saved ID.</stp>
        <stp>IsPayAtExpiry</stp>
        <stp>headers=false</stp>
        <tr r="BC31" s="5"/>
      </tp>
      <tp t="s">
        <v>#N/A Invalid object ID</v>
        <stp/>
        <stp>##V3_BVIEW</stp>
        <stp>[XSLP -Swap Line Pricer.xlsm]Swaptions!R36C55</stp>
        <stp>Enter deal type or saved ID.</stp>
        <stp>IsPayAtExpiry</stp>
        <stp>headers=false</stp>
        <tr r="BC36" s="5"/>
      </tp>
      <tp t="s">
        <v>#N/A Invalid object ID</v>
        <stp/>
        <stp>##V3_BVIEW</stp>
        <stp>[XSLP -Swap Line Pricer.xlsm]Swaptions!R37C55</stp>
        <stp>Enter deal type or saved ID.</stp>
        <stp>IsPayAtExpiry</stp>
        <stp>headers=false</stp>
        <tr r="BC37" s="5"/>
      </tp>
      <tp t="s">
        <v>#N/A Invalid object ID</v>
        <stp/>
        <stp>##V3_BVIEW</stp>
        <stp>[XSLP -Swap Line Pricer.xlsm]Swaptions!R34C55</stp>
        <stp>Enter deal type or saved ID.</stp>
        <stp>IsPayAtExpiry</stp>
        <stp>headers=false</stp>
        <tr r="BC34" s="5"/>
      </tp>
      <tp t="s">
        <v>#N/A Invalid object ID</v>
        <stp/>
        <stp>##V3_BVIEW</stp>
        <stp>[XSLP -Swap Line Pricer.xlsm]Swaptions!R35C55</stp>
        <stp>Enter deal type or saved ID.</stp>
        <stp>IsPayAtExpiry</stp>
        <stp>headers=false</stp>
        <tr r="BC35" s="5"/>
      </tp>
      <tp t="s">
        <v>#N/A Invalid object ID</v>
        <stp/>
        <stp>##V3_BVIEW</stp>
        <stp>[XSLP -Swap Line Pricer.xlsm]Swaptions!R38C55</stp>
        <stp>Enter deal type or saved ID.</stp>
        <stp>IsPayAtExpiry</stp>
        <stp>headers=false</stp>
        <tr r="BC38" s="5"/>
      </tp>
      <tp t="s">
        <v>#N/A Invalid object ID</v>
        <stp/>
        <stp>##V3_BVIEW</stp>
        <stp>[XSLP -Swap Line Pricer.xlsm]Swaptions!R39C55</stp>
        <stp>Enter deal type or saved ID.</stp>
        <stp>IsPayAtExpiry</stp>
        <stp>headers=false</stp>
        <tr r="BC39" s="5"/>
      </tp>
      <tp t="s">
        <v>Effect. &amp; Maturity</v>
        <stp/>
        <stp>##V3_BVIEW</stp>
        <stp>[XSLP -Swap Line Pricer.xlsm]Swaps!R26C78</stp>
        <stp>FXFL 927343</stp>
        <stp>PrincipalExchange</stp>
        <stp>headers=false</stp>
        <tr r="BZ26" s="1"/>
        <tr r="BZ26" s="1"/>
      </tp>
      <tp t="s">
        <v>Effect. &amp; Maturity</v>
        <stp/>
        <stp>##V3_BVIEW</stp>
        <stp>[XSLP -Swap Line Pricer.xlsm]Swaps!R20C78</stp>
        <stp>FXFL 938373</stp>
        <stp>PrincipalExchange</stp>
        <stp>headers=false</stp>
        <tr r="BZ20" s="1"/>
        <tr r="BZ20" s="1"/>
      </tp>
      <tp t="s">
        <v>Effect. &amp; Maturity</v>
        <stp/>
        <stp>##V3_BVIEW</stp>
        <stp>[XSLP -Swap Line Pricer.xlsm]Swaps!R21C78</stp>
        <stp>FXFL 597317</stp>
        <stp>PrincipalExchange</stp>
        <stp>headers=false</stp>
        <tr r="BZ21" s="1"/>
        <tr r="BZ21" s="1"/>
      </tp>
      <tp t="s">
        <v>Effect. &amp; Maturity</v>
        <stp/>
        <stp>##V3_BVIEW</stp>
        <stp>[XSLP -Swap Line Pricer.xlsm]Swaps!R27C78</stp>
        <stp>FXFL 451356</stp>
        <stp>PrincipalExchange</stp>
        <stp>headers=false</stp>
        <tr r="BZ27" s="1"/>
        <tr r="BZ27" s="1"/>
      </tp>
      <tp t="s">
        <v>SemiAnnual</v>
        <stp/>
        <stp>##V3_BVIEW</stp>
        <stp>[XSLP -Swap Line Pricer.xlsm]Swaps!R33C75</stp>
        <stp>FXFL 630096</stp>
        <stp>Leg[2].ResetFrequency</stp>
        <stp>headers=false</stp>
        <tr r="BW33" s="1"/>
        <tr r="BW33" s="1"/>
      </tp>
      <tp t="s">
        <v>#N/A No matches found [Parameter:OUTPUT]</v>
        <stp/>
        <stp>##V3_BVIEW</stp>
        <stp>[XSLP -Swap Line Pricer.xlsm]Swaps!R20C64</stp>
        <stp>FXFL 938373</stp>
        <stp>Leg[1].ResetFrequency</stp>
        <stp>headers=false</stp>
        <tr r="BL20" s="1"/>
      </tp>
      <tp t="s">
        <v>#N/A No matches found [Parameter:OUTPUT]</v>
        <stp/>
        <stp>##V3_BVIEW</stp>
        <stp>[XSLP -Swap Line Pricer.xlsm]Swaps!R26C64</stp>
        <stp>FXFL 927343</stp>
        <stp>Leg[1].ResetFrequency</stp>
        <stp>headers=false</stp>
        <tr r="BL26" s="1"/>
      </tp>
      <tp t="s">
        <v>#N/A No matches found [Parameter:OUTPUT]</v>
        <stp/>
        <stp>##V3_BVIEW</stp>
        <stp>[XSLP -Swap Line Pricer.xlsm]Swaps!R21C64</stp>
        <stp>FXFL 597317</stp>
        <stp>Leg[1].ResetFrequency</stp>
        <stp>headers=false</stp>
        <tr r="BL21" s="1"/>
      </tp>
      <tp t="s">
        <v>#N/A No matches found [Parameter:OUTPUT]</v>
        <stp/>
        <stp>##V3_BVIEW</stp>
        <stp>[XSLP -Swap Line Pricer.xlsm]Swaps!R27C64</stp>
        <stp>FXFL 451356</stp>
        <stp>Leg[1].ResetFrequency</stp>
        <stp>headers=false</stp>
        <tr r="BL27" s="1"/>
      </tp>
      <tp t="s">
        <v>Name{%s},SolveTarget{%s},Default Setting{%s},Description{%s};DiscountCurve[EUR]{%s},FALSE{%s},S133:Mid:DFLT:EUR OIS{%s},{%s};ForwardCurve[EUR006M]{%s},FALSE{%s},S45:Mid:DFLT:EUR (vs. 6M EURIBOR){%s},{%s}##BCURVE_RS##</v>
        <stp/>
        <stp>##V3_BMARKETPARAMV12</stp>
        <stp>[XSLP -Swap Line Pricer.xlsm]Swaps!R28C83</stp>
        <stp>FXFL 164852</stp>
        <stp>array=true</stp>
        <tr r="CE28" s="1"/>
      </tp>
      <tp t="s">
        <v>Name{%s},SolveTarget{%s},Default Setting{%s},Description{%s};DiscountCurve[EUR]{%s},FALSE{%s},S133:Mid:DFLT:EUR OIS{%s},{%s};ForwardCurve[EUR006M]{%s},FALSE{%s},S45:Mid:DFLT:EUR (vs. 6M EURIBOR){%s},{%s}##BCURVE_RS##</v>
        <stp/>
        <stp>##V3_BMARKETPARAMV12</stp>
        <stp>[XSLP -Swap Line Pricer.xlsm]Swaps!R28C82</stp>
        <stp>FXFL 164852</stp>
        <stp>array=true</stp>
        <tr r="CD28" s="1"/>
      </tp>
      <tp t="s">
        <v>Name{%s},SolveTarget{%s},Default Setting{%s},Description{%s};DiscountCurve[EUR]{%s},FALSE{%s},S133:Mid:DFLT:EUR OIS{%s},{%s};ForwardCurve[EUR006M]{%s},FALSE{%s},S45:Mid:DFLT:EUR (vs. 6M EURIBOR){%s},{%s}##BCURVE_RS##</v>
        <stp/>
        <stp>##V3_BMARKETPARAMV12</stp>
        <stp>[XSLP -Swap Line Pricer.xlsm]Swaps!R28C85</stp>
        <stp>FXFL 164852</stp>
        <stp>array=true</stp>
        <tr r="CG28" s="1"/>
      </tp>
      <tp t="s">
        <v>Name{%s},SolveTarget{%s},Default Setting{%s},Description{%s};DiscountCurve[EUR]{%s},FALSE{%s},S133:Mid:DFLT:EUR OIS{%s},{%s};ForwardCurve[EUR006M]{%s},FALSE{%s},S45:Mid:DFLT:EUR (vs. 6M EURIBOR){%s},{%s}##BCURVE_RS##</v>
        <stp/>
        <stp>##V3_BMARKETPARAMV12</stp>
        <stp>[XSLP -Swap Line Pricer.xlsm]Swaps!R28C84</stp>
        <stp>FXFL 164852</stp>
        <stp>array=true</stp>
        <tr r="CF28" s="1"/>
      </tp>
      <tp t="s">
        <v>Name{%s},SolveTarget{%s},Default Setting{%s},Description{%s};DiscountCurve[EUR]{%s},FALSE{%s},S133:Mid:DFLT:EUR OIS{%s},{%s};ForwardCurve[EUR006M]{%s},FALSE{%s},S45:Mid:DFLT:EUR (vs. 6M EURIBOR){%s},{%s}##BCURVE_RS##</v>
        <stp/>
        <stp>##V3_BMARKETPARAMV12</stp>
        <stp>[XSLP -Swap Line Pricer.xlsm]Swaps!R28C87</stp>
        <stp>FXFL 164852</stp>
        <stp>array=true</stp>
        <tr r="CI28" s="1"/>
      </tp>
      <tp t="s">
        <v>Name{%s},SolveTarget{%s},Default Setting{%s},Description{%s};DiscountCurve[EUR]{%s},FALSE{%s},S133:Mid:DFLT:EUR OIS{%s},{%s};ForwardCurve[EUR006M]{%s},FALSE{%s},S45:Mid:DFLT:EUR (vs. 6M EURIBOR){%s},{%s}##BCURVE_RS##</v>
        <stp/>
        <stp>##V3_BMARKETPARAMV12</stp>
        <stp>[XSLP -Swap Line Pricer.xlsm]Swaps!R28C86</stp>
        <stp>FXFL 164852</stp>
        <stp>array=true</stp>
        <tr r="CH28" s="1"/>
      </tp>
      <tp t="s">
        <v>Name{%s},SolveTarget{%s},Default Setting{%s},Description{%s};DiscountCurve[EUR]{%s},FALSE{%s},S133:Mid:DFLT:EUR OIS{%s},{%s};ForwardCurve[EUR006M]{%s},FALSE{%s},S45:Mid:DFLT:EUR (vs. 6M EURIBOR){%s},{%s}##BCURVE_RS##</v>
        <stp/>
        <stp>##V3_BMARKETPARAMV12</stp>
        <stp>[XSLP -Swap Line Pricer.xlsm]Swaps!R28C89</stp>
        <stp>FXFL 164852</stp>
        <stp>array=true</stp>
        <tr r="CK28" s="1"/>
      </tp>
      <tp t="s">
        <v>Name{%s},SolveTarget{%s},Default Setting{%s},Description{%s};DiscountCurve[EUR]{%s},FALSE{%s},S133:Mid:DFLT:EUR OIS{%s},{%s};ForwardCurve[EUR006M]{%s},FALSE{%s},S45:Mid:DFLT:EUR (vs. 6M EURIBOR){%s},{%s}##BCURVE_RS##</v>
        <stp/>
        <stp>##V3_BMARKETPARAMV12</stp>
        <stp>[XSLP -Swap Line Pricer.xlsm]Swaps!R28C88</stp>
        <stp>FXFL 164852</stp>
        <stp>array=true</stp>
        <tr r="CJ28" s="1"/>
      </tp>
      <tp>
        <v>0.92240390486429891</v>
        <stp/>
        <stp>##V3_BVIEW</stp>
        <stp>[XSLP -Swap Line Pricer.xlsm]Swaps!R31C5</stp>
        <stp>PRICE FXFL 328876</stp>
        <stp>ParCoupon</stp>
        <stp>headers=false</stp>
        <tr r="E31" s="1"/>
      </tp>
      <tp>
        <v>-0.1316451232281369</v>
        <stp/>
        <stp>##V3_BVIEW</stp>
        <stp>[XSLP -Swap Line Pricer.xlsm]Swaps!R23C5</stp>
        <stp>PRICE FXFL 782879</stp>
        <stp>ParCoupon</stp>
        <stp>headers=false</stp>
        <tr r="E23" s="1"/>
      </tp>
      <tp t="s">
        <v>Effect. &amp; Maturity</v>
        <stp/>
        <stp>##V3_BVIEW</stp>
        <stp>[XSLP -Swap Line Pricer.xlsm]Swaps!R33C78</stp>
        <stp>FXFL 630096</stp>
        <stp>PrincipalExchange</stp>
        <stp>headers=false</stp>
        <tr r="BZ33" s="1"/>
        <tr r="BZ33" s="1"/>
      </tp>
      <tp t="s">
        <v>#N/A No matches found [Parameter:OUTPUT]</v>
        <stp/>
        <stp>##V3_BVIEW</stp>
        <stp>[XSLP -Swap Line Pricer.xlsm]Swaps!R33C64</stp>
        <stp>FXFL 630096</stp>
        <stp>Leg[1].ResetFrequency</stp>
        <stp>headers=false</stp>
        <tr r="BL33" s="1"/>
      </tp>
      <tp t="s">
        <v>SemiAnnual</v>
        <stp/>
        <stp>##V3_BVIEW</stp>
        <stp>[XSLP -Swap Line Pricer.xlsm]Swaps!R20C75</stp>
        <stp>FXFL 938373</stp>
        <stp>Leg[2].ResetFrequency</stp>
        <stp>headers=false</stp>
        <tr r="BW20" s="1"/>
        <tr r="BW20" s="1"/>
      </tp>
      <tp t="s">
        <v>SemiAnnual</v>
        <stp/>
        <stp>##V3_BVIEW</stp>
        <stp>[XSLP -Swap Line Pricer.xlsm]Swaps!R26C75</stp>
        <stp>FXFL 927343</stp>
        <stp>Leg[2].ResetFrequency</stp>
        <stp>headers=false</stp>
        <tr r="BW26" s="1"/>
        <tr r="BW26" s="1"/>
      </tp>
      <tp t="s">
        <v>SemiAnnual</v>
        <stp/>
        <stp>##V3_BVIEW</stp>
        <stp>[XSLP -Swap Line Pricer.xlsm]Swaps!R21C75</stp>
        <stp>FXFL 597317</stp>
        <stp>Leg[2].ResetFrequency</stp>
        <stp>headers=false</stp>
        <tr r="BW21" s="1"/>
        <tr r="BW21" s="1"/>
      </tp>
      <tp t="s">
        <v>SemiAnnual</v>
        <stp/>
        <stp>##V3_BVIEW</stp>
        <stp>[XSLP -Swap Line Pricer.xlsm]Swaps!R27C75</stp>
        <stp>FXFL 451356</stp>
        <stp>Leg[2].ResetFrequency</stp>
        <stp>headers=false</stp>
        <tr r="BW27" s="1"/>
        <tr r="BW27" s="1"/>
      </tp>
      <tp>
        <v>0.12243591891018886</v>
        <stp/>
        <stp>##V3_BVIEW</stp>
        <stp>[XSLP -Swap Line Pricer.xlsm]Swaps!R26C5</stp>
        <stp>PRICE FXFL 618953</stp>
        <stp>ParCoupon</stp>
        <stp>headers=false</stp>
        <tr r="E26" s="1"/>
      </tp>
      <tp t="s">
        <v>Effect. &amp; Maturity</v>
        <stp/>
        <stp>##V3_BVIEW</stp>
        <stp>[XSLP -Swap Line Pricer.xlsm]Swaps!R22C78</stp>
        <stp>FXFL 582191</stp>
        <stp>PrincipalExchange</stp>
        <stp>headers=false</stp>
        <tr r="BZ22" s="1"/>
        <tr r="BZ22" s="1"/>
      </tp>
      <tp t="s">
        <v>Effect. &amp; Maturity</v>
        <stp/>
        <stp>##V3_BVIEW</stp>
        <stp>[XSLP -Swap Line Pricer.xlsm]Swaps!R32C78</stp>
        <stp>FXFL 877169</stp>
        <stp>PrincipalExchange</stp>
        <stp>headers=false</stp>
        <tr r="BZ32" s="1"/>
        <tr r="BZ32" s="1"/>
      </tp>
      <tp t="s">
        <v>Effect. &amp; Maturity</v>
        <stp/>
        <stp>##V3_BVIEW</stp>
        <stp>[XSLP -Swap Line Pricer.xlsm]Swaps!R23C78</stp>
        <stp>FXFL 729164</stp>
        <stp>PrincipalExchange</stp>
        <stp>headers=false</stp>
        <tr r="BZ23" s="1"/>
        <tr r="BZ23" s="1"/>
      </tp>
      <tp t="s">
        <v>#N/A No matches found [Parameter:OUTPUT]</v>
        <stp/>
        <stp>##V3_BVIEW</stp>
        <stp>[XSLP -Swap Line Pricer.xlsm]Swaps!R32C64</stp>
        <stp>FXFL 877169</stp>
        <stp>Leg[1].ResetFrequency</stp>
        <stp>headers=false</stp>
        <tr r="BL32" s="1"/>
      </tp>
      <tp t="s">
        <v>#N/A No matches found [Parameter:OUTPUT]</v>
        <stp/>
        <stp>##V3_BVIEW</stp>
        <stp>[XSLP -Swap Line Pricer.xlsm]Swaps!R22C64</stp>
        <stp>FXFL 582191</stp>
        <stp>Leg[1].ResetFrequency</stp>
        <stp>headers=false</stp>
        <tr r="BL22" s="1"/>
      </tp>
      <tp t="s">
        <v>#N/A No matches found [Parameter:OUTPUT]</v>
        <stp/>
        <stp>##V3_BVIEW</stp>
        <stp>[XSLP -Swap Line Pricer.xlsm]Swaps!R23C64</stp>
        <stp>FXFL 729164</stp>
        <stp>Leg[1].ResetFrequency</stp>
        <stp>headers=false</stp>
        <tr r="BL23" s="1"/>
      </tp>
      <tp t="s">
        <v>#N/A Invalid object ID</v>
        <stp/>
        <stp>##V3_BVIEW</stp>
        <stp>[XSLP -Swap Line Pricer.xlsm]Swaptions!R39C82</stp>
        <stp>Enter deal type or saved ID.</stp>
        <stp>CsaCollateralCurrency</stp>
        <stp>headers=false</stp>
        <tr r="CD39" s="5"/>
      </tp>
      <tp t="s">
        <v>#N/A Invalid object ID</v>
        <stp/>
        <stp>##V3_BVIEW</stp>
        <stp>[XSLP -Swap Line Pricer.xlsm]Swaptions!R38C82</stp>
        <stp>Enter deal type or saved ID.</stp>
        <stp>CsaCollateralCurrency</stp>
        <stp>headers=false</stp>
        <tr r="CD38" s="5"/>
      </tp>
      <tp t="s">
        <v>#N/A Invalid object ID</v>
        <stp/>
        <stp>##V3_BVIEW</stp>
        <stp>[XSLP -Swap Line Pricer.xlsm]Swaptions!R33C82</stp>
        <stp>Enter deal type or saved ID.</stp>
        <stp>CsaCollateralCurrency</stp>
        <stp>headers=false</stp>
        <tr r="CD33" s="5"/>
      </tp>
      <tp t="s">
        <v>#N/A Invalid object ID</v>
        <stp/>
        <stp>##V3_BVIEW</stp>
        <stp>[XSLP -Swap Line Pricer.xlsm]Swaptions!R32C82</stp>
        <stp>Enter deal type or saved ID.</stp>
        <stp>CsaCollateralCurrency</stp>
        <stp>headers=false</stp>
        <tr r="CD32" s="5"/>
      </tp>
      <tp t="s">
        <v>#N/A Invalid object ID</v>
        <stp/>
        <stp>##V3_BVIEW</stp>
        <stp>[XSLP -Swap Line Pricer.xlsm]Swaptions!R31C82</stp>
        <stp>Enter deal type or saved ID.</stp>
        <stp>CsaCollateralCurrency</stp>
        <stp>headers=false</stp>
        <tr r="CD31" s="5"/>
      </tp>
      <tp t="s">
        <v>#N/A Invalid object ID</v>
        <stp/>
        <stp>##V3_BVIEW</stp>
        <stp>[XSLP -Swap Line Pricer.xlsm]Swaptions!R30C82</stp>
        <stp>Enter deal type or saved ID.</stp>
        <stp>CsaCollateralCurrency</stp>
        <stp>headers=false</stp>
        <tr r="CD30" s="5"/>
      </tp>
      <tp t="s">
        <v>#N/A Invalid object ID</v>
        <stp/>
        <stp>##V3_BVIEW</stp>
        <stp>[XSLP -Swap Line Pricer.xlsm]Swaptions!R37C82</stp>
        <stp>Enter deal type or saved ID.</stp>
        <stp>CsaCollateralCurrency</stp>
        <stp>headers=false</stp>
        <tr r="CD37" s="5"/>
      </tp>
      <tp t="s">
        <v>#N/A Invalid object ID</v>
        <stp/>
        <stp>##V3_BVIEW</stp>
        <stp>[XSLP -Swap Line Pricer.xlsm]Swaptions!R36C82</stp>
        <stp>Enter deal type or saved ID.</stp>
        <stp>CsaCollateralCurrency</stp>
        <stp>headers=false</stp>
        <tr r="CD36" s="5"/>
      </tp>
      <tp t="s">
        <v>#N/A Invalid object ID</v>
        <stp/>
        <stp>##V3_BVIEW</stp>
        <stp>[XSLP -Swap Line Pricer.xlsm]Swaptions!R35C82</stp>
        <stp>Enter deal type or saved ID.</stp>
        <stp>CsaCollateralCurrency</stp>
        <stp>headers=false</stp>
        <tr r="CD35" s="5"/>
      </tp>
      <tp t="s">
        <v>#N/A Invalid object ID</v>
        <stp/>
        <stp>##V3_BVIEW</stp>
        <stp>[XSLP -Swap Line Pricer.xlsm]Swaptions!R34C82</stp>
        <stp>Enter deal type or saved ID.</stp>
        <stp>CsaCollateralCurrency</stp>
        <stp>headers=false</stp>
        <tr r="CD34" s="5"/>
      </tp>
      <tp t="s">
        <v>#N/A Invalid object ID</v>
        <stp/>
        <stp>##V3_BVIEW</stp>
        <stp>[XSLP -Swap Line Pricer.xlsm]Swaptions!R29C82</stp>
        <stp>Enter deal type or saved ID.</stp>
        <stp>CsaCollateralCurrency</stp>
        <stp>headers=false</stp>
        <tr r="CD29" s="5"/>
      </tp>
      <tp t="s">
        <v>#N/A Invalid object ID</v>
        <stp/>
        <stp>##V3_BVIEW</stp>
        <stp>[XSLP -Swap Line Pricer.xlsm]Swaptions!R28C82</stp>
        <stp>Enter deal type or saved ID.</stp>
        <stp>CsaCollateralCurrency</stp>
        <stp>headers=false</stp>
        <tr r="CD28" s="5"/>
      </tp>
      <tp t="s">
        <v>#N/A Invalid object ID</v>
        <stp/>
        <stp>##V3_BVIEW</stp>
        <stp>[XSLP -Swap Line Pricer.xlsm]Swaptions!R23C82</stp>
        <stp>Enter deal type or saved ID.</stp>
        <stp>CsaCollateralCurrency</stp>
        <stp>headers=false</stp>
        <tr r="CD23" s="5"/>
      </tp>
      <tp t="s">
        <v>#N/A Invalid object ID</v>
        <stp/>
        <stp>##V3_BVIEW</stp>
        <stp>[XSLP -Swap Line Pricer.xlsm]Swaptions!R22C82</stp>
        <stp>Enter deal type or saved ID.</stp>
        <stp>CsaCollateralCurrency</stp>
        <stp>headers=false</stp>
        <tr r="CD22" s="5"/>
      </tp>
      <tp t="s">
        <v>#N/A Invalid object ID</v>
        <stp/>
        <stp>##V3_BVIEW</stp>
        <stp>[XSLP -Swap Line Pricer.xlsm]Swaptions!R21C82</stp>
        <stp>Enter deal type or saved ID.</stp>
        <stp>CsaCollateralCurrency</stp>
        <stp>headers=false</stp>
        <tr r="CD21" s="5"/>
      </tp>
      <tp t="s">
        <v>#N/A Invalid object ID</v>
        <stp/>
        <stp>##V3_BVIEW</stp>
        <stp>[XSLP -Swap Line Pricer.xlsm]Swaptions!R20C82</stp>
        <stp>Enter deal type or saved ID.</stp>
        <stp>CsaCollateralCurrency</stp>
        <stp>headers=false</stp>
        <tr r="CD20" s="5"/>
      </tp>
      <tp t="s">
        <v>#N/A Invalid object ID</v>
        <stp/>
        <stp>##V3_BVIEW</stp>
        <stp>[XSLP -Swap Line Pricer.xlsm]Swaptions!R27C82</stp>
        <stp>Enter deal type or saved ID.</stp>
        <stp>CsaCollateralCurrency</stp>
        <stp>headers=false</stp>
        <tr r="CD27" s="5"/>
      </tp>
      <tp t="s">
        <v>#N/A Invalid object ID</v>
        <stp/>
        <stp>##V3_BVIEW</stp>
        <stp>[XSLP -Swap Line Pricer.xlsm]Swaptions!R26C82</stp>
        <stp>Enter deal type or saved ID.</stp>
        <stp>CsaCollateralCurrency</stp>
        <stp>headers=false</stp>
        <tr r="CD26" s="5"/>
      </tp>
      <tp t="s">
        <v>#N/A Invalid object ID</v>
        <stp/>
        <stp>##V3_BVIEW</stp>
        <stp>[XSLP -Swap Line Pricer.xlsm]Swaptions!R25C82</stp>
        <stp>Enter deal type or saved ID.</stp>
        <stp>CsaCollateralCurrency</stp>
        <stp>headers=false</stp>
        <tr r="CD25" s="5"/>
      </tp>
      <tp t="s">
        <v>#N/A Invalid object ID</v>
        <stp/>
        <stp>##V3_BVIEW</stp>
        <stp>[XSLP -Swap Line Pricer.xlsm]Swaptions!R24C82</stp>
        <stp>Enter deal type or saved ID.</stp>
        <stp>CsaCollateralCurrency</stp>
        <stp>headers=false</stp>
        <tr r="CD24" s="5"/>
      </tp>
      <tp>
        <v>0.78190507398062081</v>
        <stp/>
        <stp>##V3_BVIEW</stp>
        <stp>[XSLP -Swap Line Pricer.xlsm]Swaps!R30C5</stp>
        <stp>PRICE FXFL 193619</stp>
        <stp>ParCoupon</stp>
        <stp>headers=false</stp>
        <tr r="E30" s="1"/>
      </tp>
      <tp t="s">
        <v>Name{%s},SolveTarget{%s},Default Setting{%s},Description{%s};DiscountCurve[EUR]{%s},FALSE{%s},S133:Mid:DFLT:EUR OIS{%s},{%s};ForwardCurve[EUR006M]{%s},FALSE{%s},S45:Mid:DFLT:EUR (vs. 6M EURIBOR){%s},{%s}##BCURVE_RS##</v>
        <stp/>
        <stp>##V3_BMARKETPARAMV12</stp>
        <stp>[XSLP -Swap Line Pricer.xlsm]Swaps!R33C83</stp>
        <stp>FXFL 630096</stp>
        <stp>array=true</stp>
        <tr r="CE33" s="1"/>
      </tp>
      <tp t="s">
        <v>Name{%s},SolveTarget{%s},Default Setting{%s},Description{%s};DiscountCurve[EUR]{%s},FALSE{%s},S133:Mid:DFLT:EUR OIS{%s},{%s};ForwardCurve[EUR006M]{%s},FALSE{%s},S45:Mid:DFLT:EUR (vs. 6M EURIBOR){%s},{%s}##BCURVE_RS##</v>
        <stp/>
        <stp>##V3_BMARKETPARAMV12</stp>
        <stp>[XSLP -Swap Line Pricer.xlsm]Swaps!R33C82</stp>
        <stp>FXFL 630096</stp>
        <stp>array=true</stp>
        <tr r="CD33" s="1"/>
      </tp>
      <tp t="s">
        <v>Name{%s},SolveTarget{%s},Default Setting{%s},Description{%s};DiscountCurve[EUR]{%s},FALSE{%s},S133:Mid:DFLT:EUR OIS{%s},{%s};ForwardCurve[EUR006M]{%s},FALSE{%s},S45:Mid:DFLT:EUR (vs. 6M EURIBOR){%s},{%s}##BCURVE_RS##</v>
        <stp/>
        <stp>##V3_BMARKETPARAMV12</stp>
        <stp>[XSLP -Swap Line Pricer.xlsm]Swaps!R33C85</stp>
        <stp>FXFL 630096</stp>
        <stp>array=true</stp>
        <tr r="CG33" s="1"/>
      </tp>
      <tp t="s">
        <v>Name{%s},SolveTarget{%s},Default Setting{%s},Description{%s};DiscountCurve[EUR]{%s},FALSE{%s},S133:Mid:DFLT:EUR OIS{%s},{%s};ForwardCurve[EUR006M]{%s},FALSE{%s},S45:Mid:DFLT:EUR (vs. 6M EURIBOR){%s},{%s}##BCURVE_RS##</v>
        <stp/>
        <stp>##V3_BMARKETPARAMV12</stp>
        <stp>[XSLP -Swap Line Pricer.xlsm]Swaps!R33C84</stp>
        <stp>FXFL 630096</stp>
        <stp>array=true</stp>
        <tr r="CF33" s="1"/>
      </tp>
      <tp t="s">
        <v>Name{%s},SolveTarget{%s},Default Setting{%s},Description{%s};DiscountCurve[EUR]{%s},FALSE{%s},S133:Mid:DFLT:EUR OIS{%s},{%s};ForwardCurve[EUR006M]{%s},FALSE{%s},S45:Mid:DFLT:EUR (vs. 6M EURIBOR){%s},{%s}##BCURVE_RS##</v>
        <stp/>
        <stp>##V3_BMARKETPARAMV12</stp>
        <stp>[XSLP -Swap Line Pricer.xlsm]Swaps!R33C87</stp>
        <stp>FXFL 630096</stp>
        <stp>array=true</stp>
        <tr r="CI33" s="1"/>
      </tp>
      <tp t="s">
        <v>Name{%s},SolveTarget{%s},Default Setting{%s},Description{%s};DiscountCurve[EUR]{%s},FALSE{%s},S133:Mid:DFLT:EUR OIS{%s},{%s};ForwardCurve[EUR006M]{%s},FALSE{%s},S45:Mid:DFLT:EUR (vs. 6M EURIBOR){%s},{%s}##BCURVE_RS##</v>
        <stp/>
        <stp>##V3_BMARKETPARAMV12</stp>
        <stp>[XSLP -Swap Line Pricer.xlsm]Swaps!R33C86</stp>
        <stp>FXFL 630096</stp>
        <stp>array=true</stp>
        <tr r="CH33" s="1"/>
      </tp>
      <tp t="s">
        <v>Name{%s},SolveTarget{%s},Default Setting{%s},Description{%s};DiscountCurve[EUR]{%s},FALSE{%s},S133:Mid:DFLT:EUR OIS{%s},{%s};ForwardCurve[EUR006M]{%s},FALSE{%s},S45:Mid:DFLT:EUR (vs. 6M EURIBOR){%s},{%s}##BCURVE_RS##</v>
        <stp/>
        <stp>##V3_BMARKETPARAMV12</stp>
        <stp>[XSLP -Swap Line Pricer.xlsm]Swaps!R33C89</stp>
        <stp>FXFL 630096</stp>
        <stp>array=true</stp>
        <tr r="CK33" s="1"/>
      </tp>
      <tp t="s">
        <v>Name{%s},SolveTarget{%s},Default Setting{%s},Description{%s};DiscountCurve[EUR]{%s},FALSE{%s},S133:Mid:DFLT:EUR OIS{%s},{%s};ForwardCurve[EUR006M]{%s},FALSE{%s},S45:Mid:DFLT:EUR (vs. 6M EURIBOR){%s},{%s}##BCURVE_RS##</v>
        <stp/>
        <stp>##V3_BMARKETPARAMV12</stp>
        <stp>[XSLP -Swap Line Pricer.xlsm]Swaps!R33C88</stp>
        <stp>FXFL 630096</stp>
        <stp>array=true</stp>
        <tr r="CJ33" s="1"/>
      </tp>
      <tp t="s">
        <v>Name{%s},SolveTarget{%s},Default Setting{%s},Description{%s};DiscountCurve[EUR]{%s},FALSE{%s},S133:Mid:DFLT:EUR OIS{%s},{%s};ForwardCurve[EUR006M]{%s},FALSE{%s},S45:Mid:DFLT:EUR (vs. 6M EURIBOR){%s},{%s}##BCURVE_RS##</v>
        <stp/>
        <stp>##V3_BMARKETPARAMV12</stp>
        <stp>[XSLP -Swap Line Pricer.xlsm]Swaps!R22C88</stp>
        <stp>FXFL 582191</stp>
        <stp>array=true</stp>
        <tr r="CJ22" s="1"/>
      </tp>
      <tp t="s">
        <v>Name{%s},SolveTarget{%s},Default Setting{%s},Description{%s};DiscountCurve[EUR]{%s},FALSE{%s},S133:Mid:DFLT:EUR OIS{%s},{%s};ForwardCurve[EUR006M]{%s},FALSE{%s},S45:Mid:DFLT:EUR (vs. 6M EURIBOR){%s},{%s}##BCURVE_RS##</v>
        <stp/>
        <stp>##V3_BMARKETPARAMV12</stp>
        <stp>[XSLP -Swap Line Pricer.xlsm]Swaps!R22C89</stp>
        <stp>FXFL 582191</stp>
        <stp>array=true</stp>
        <tr r="CK22" s="1"/>
      </tp>
      <tp t="s">
        <v>Name{%s},SolveTarget{%s},Default Setting{%s},Description{%s};DiscountCurve[EUR]{%s},FALSE{%s},S133:Mid:DFLT:EUR OIS{%s},{%s};ForwardCurve[EUR006M]{%s},FALSE{%s},S45:Mid:DFLT:EUR (vs. 6M EURIBOR){%s},{%s}##BCURVE_RS##</v>
        <stp/>
        <stp>##V3_BMARKETPARAMV12</stp>
        <stp>[XSLP -Swap Line Pricer.xlsm]Swaps!R22C84</stp>
        <stp>FXFL 582191</stp>
        <stp>array=true</stp>
        <tr r="CF22" s="1"/>
      </tp>
      <tp t="s">
        <v>Name{%s},SolveTarget{%s},Default Setting{%s},Description{%s};DiscountCurve[EUR]{%s},FALSE{%s},S133:Mid:DFLT:EUR OIS{%s},{%s};ForwardCurve[EUR006M]{%s},FALSE{%s},S45:Mid:DFLT:EUR (vs. 6M EURIBOR){%s},{%s}##BCURVE_RS##</v>
        <stp/>
        <stp>##V3_BMARKETPARAMV12</stp>
        <stp>[XSLP -Swap Line Pricer.xlsm]Swaps!R22C85</stp>
        <stp>FXFL 582191</stp>
        <stp>array=true</stp>
        <tr r="CG22" s="1"/>
      </tp>
      <tp t="s">
        <v>Name{%s},SolveTarget{%s},Default Setting{%s},Description{%s};DiscountCurve[EUR]{%s},FALSE{%s},S133:Mid:DFLT:EUR OIS{%s},{%s};ForwardCurve[EUR006M]{%s},FALSE{%s},S45:Mid:DFLT:EUR (vs. 6M EURIBOR){%s},{%s}##BCURVE_RS##</v>
        <stp/>
        <stp>##V3_BMARKETPARAMV12</stp>
        <stp>[XSLP -Swap Line Pricer.xlsm]Swaps!R22C86</stp>
        <stp>FXFL 582191</stp>
        <stp>array=true</stp>
        <tr r="CH22" s="1"/>
      </tp>
      <tp t="s">
        <v>Name{%s},SolveTarget{%s},Default Setting{%s},Description{%s};DiscountCurve[EUR]{%s},FALSE{%s},S133:Mid:DFLT:EUR OIS{%s},{%s};ForwardCurve[EUR006M]{%s},FALSE{%s},S45:Mid:DFLT:EUR (vs. 6M EURIBOR){%s},{%s}##BCURVE_RS##</v>
        <stp/>
        <stp>##V3_BMARKETPARAMV12</stp>
        <stp>[XSLP -Swap Line Pricer.xlsm]Swaps!R22C87</stp>
        <stp>FXFL 582191</stp>
        <stp>array=true</stp>
        <tr r="CI22" s="1"/>
      </tp>
      <tp t="s">
        <v>Name{%s},SolveTarget{%s},Default Setting{%s},Description{%s};DiscountCurve[EUR]{%s},FALSE{%s},S133:Mid:DFLT:EUR OIS{%s},{%s};ForwardCurve[EUR006M]{%s},FALSE{%s},S45:Mid:DFLT:EUR (vs. 6M EURIBOR){%s},{%s}##BCURVE_RS##</v>
        <stp/>
        <stp>##V3_BMARKETPARAMV12</stp>
        <stp>[XSLP -Swap Line Pricer.xlsm]Swaps!R22C82</stp>
        <stp>FXFL 582191</stp>
        <stp>array=true</stp>
        <tr r="CD22" s="1"/>
      </tp>
      <tp t="s">
        <v>Name{%s},SolveTarget{%s},Default Setting{%s},Description{%s};DiscountCurve[EUR]{%s},FALSE{%s},S133:Mid:DFLT:EUR OIS{%s},{%s};ForwardCurve[EUR006M]{%s},FALSE{%s},S45:Mid:DFLT:EUR (vs. 6M EURIBOR){%s},{%s}##BCURVE_RS##</v>
        <stp/>
        <stp>##V3_BMARKETPARAMV12</stp>
        <stp>[XSLP -Swap Line Pricer.xlsm]Swaps!R22C83</stp>
        <stp>FXFL 582191</stp>
        <stp>array=true</stp>
        <tr r="CE22" s="1"/>
      </tp>
      <tp>
        <v>2.2493658463877235E-2</v>
        <stp/>
        <stp>##V3_BVIEW</stp>
        <stp>[XSLP -Swap Line Pricer.xlsm]Swaps!R25C5</stp>
        <stp>PRICE FXFL 132498</stp>
        <stp>ParCoupon</stp>
        <stp>headers=false</stp>
        <tr r="E25" s="1"/>
      </tp>
      <tp t="s">
        <v>#N/A Invalid object ID</v>
        <stp/>
        <stp>##V3_BVIEW</stp>
        <stp>[XSLP -Swap Line Pricer.xlsm]Swaptions!R28C50</stp>
        <stp>Enter deal type or saved ID.</stp>
        <stp xml:space="preserve"> OptionPosition </stp>
        <stp>headers=false</stp>
        <tr r="AX28" s="5"/>
      </tp>
      <tp t="s">
        <v>#N/A Invalid object ID</v>
        <stp/>
        <stp>##V3_BVIEW</stp>
        <stp>[XSLP -Swap Line Pricer.xlsm]Swaptions!R29C50</stp>
        <stp>Enter deal type or saved ID.</stp>
        <stp xml:space="preserve"> OptionPosition </stp>
        <stp>headers=false</stp>
        <tr r="AX29" s="5"/>
      </tp>
      <tp t="s">
        <v>#N/A Invalid object ID</v>
        <stp/>
        <stp>##V3_BVIEW</stp>
        <stp>[XSLP -Swap Line Pricer.xlsm]Swaptions!R26C50</stp>
        <stp>Enter deal type or saved ID.</stp>
        <stp xml:space="preserve"> OptionPosition </stp>
        <stp>headers=false</stp>
        <tr r="AX26" s="5"/>
      </tp>
      <tp t="s">
        <v>#N/A Invalid object ID</v>
        <stp/>
        <stp>##V3_BVIEW</stp>
        <stp>[XSLP -Swap Line Pricer.xlsm]Swaptions!R27C50</stp>
        <stp>Enter deal type or saved ID.</stp>
        <stp xml:space="preserve"> OptionPosition </stp>
        <stp>headers=false</stp>
        <tr r="AX27" s="5"/>
      </tp>
      <tp t="s">
        <v>#N/A Invalid object ID</v>
        <stp/>
        <stp>##V3_BVIEW</stp>
        <stp>[XSLP -Swap Line Pricer.xlsm]Swaptions!R24C50</stp>
        <stp>Enter deal type or saved ID.</stp>
        <stp xml:space="preserve"> OptionPosition </stp>
        <stp>headers=false</stp>
        <tr r="AX24" s="5"/>
      </tp>
      <tp t="s">
        <v>#N/A Invalid object ID</v>
        <stp/>
        <stp>##V3_BVIEW</stp>
        <stp>[XSLP -Swap Line Pricer.xlsm]Swaptions!R25C50</stp>
        <stp>Enter deal type or saved ID.</stp>
        <stp xml:space="preserve"> OptionPosition </stp>
        <stp>headers=false</stp>
        <tr r="AX25" s="5"/>
      </tp>
      <tp t="s">
        <v>#N/A Invalid object ID</v>
        <stp/>
        <stp>##V3_BVIEW</stp>
        <stp>[XSLP -Swap Line Pricer.xlsm]Swaptions!R22C50</stp>
        <stp>Enter deal type or saved ID.</stp>
        <stp xml:space="preserve"> OptionPosition </stp>
        <stp>headers=false</stp>
        <tr r="AX22" s="5"/>
      </tp>
      <tp t="s">
        <v>#N/A Invalid object ID</v>
        <stp/>
        <stp>##V3_BVIEW</stp>
        <stp>[XSLP -Swap Line Pricer.xlsm]Swaptions!R23C50</stp>
        <stp>Enter deal type or saved ID.</stp>
        <stp xml:space="preserve"> OptionPosition </stp>
        <stp>headers=false</stp>
        <tr r="AX23" s="5"/>
      </tp>
      <tp t="s">
        <v>#N/A Invalid object ID</v>
        <stp/>
        <stp>##V3_BVIEW</stp>
        <stp>[XSLP -Swap Line Pricer.xlsm]Swaptions!R20C50</stp>
        <stp>Enter deal type or saved ID.</stp>
        <stp xml:space="preserve"> OptionPosition </stp>
        <stp>headers=false</stp>
        <tr r="AX20" s="5"/>
      </tp>
      <tp t="s">
        <v>#N/A Invalid object ID</v>
        <stp/>
        <stp>##V3_BVIEW</stp>
        <stp>[XSLP -Swap Line Pricer.xlsm]Swaptions!R21C50</stp>
        <stp>Enter deal type or saved ID.</stp>
        <stp xml:space="preserve"> OptionPosition </stp>
        <stp>headers=false</stp>
        <tr r="AX21" s="5"/>
      </tp>
      <tp t="s">
        <v>#N/A Invalid object ID</v>
        <stp/>
        <stp>##V3_BVIEW</stp>
        <stp>[XSLP -Swap Line Pricer.xlsm]Swaptions!R38C50</stp>
        <stp>Enter deal type or saved ID.</stp>
        <stp xml:space="preserve"> OptionPosition </stp>
        <stp>headers=false</stp>
        <tr r="AX38" s="5"/>
      </tp>
      <tp t="s">
        <v>#N/A Invalid object ID</v>
        <stp/>
        <stp>##V3_BVIEW</stp>
        <stp>[XSLP -Swap Line Pricer.xlsm]Swaptions!R39C50</stp>
        <stp>Enter deal type or saved ID.</stp>
        <stp xml:space="preserve"> OptionPosition </stp>
        <stp>headers=false</stp>
        <tr r="AX39" s="5"/>
      </tp>
      <tp t="s">
        <v>#N/A Invalid object ID</v>
        <stp/>
        <stp>##V3_BVIEW</stp>
        <stp>[XSLP -Swap Line Pricer.xlsm]Swaptions!R36C50</stp>
        <stp>Enter deal type or saved ID.</stp>
        <stp xml:space="preserve"> OptionPosition </stp>
        <stp>headers=false</stp>
        <tr r="AX36" s="5"/>
      </tp>
      <tp t="s">
        <v>#N/A Invalid object ID</v>
        <stp/>
        <stp>##V3_BVIEW</stp>
        <stp>[XSLP -Swap Line Pricer.xlsm]Swaptions!R37C50</stp>
        <stp>Enter deal type or saved ID.</stp>
        <stp xml:space="preserve"> OptionPosition </stp>
        <stp>headers=false</stp>
        <tr r="AX37" s="5"/>
      </tp>
      <tp t="s">
        <v>#N/A Invalid object ID</v>
        <stp/>
        <stp>##V3_BVIEW</stp>
        <stp>[XSLP -Swap Line Pricer.xlsm]Swaptions!R34C50</stp>
        <stp>Enter deal type or saved ID.</stp>
        <stp xml:space="preserve"> OptionPosition </stp>
        <stp>headers=false</stp>
        <tr r="AX34" s="5"/>
      </tp>
      <tp t="s">
        <v>#N/A Invalid object ID</v>
        <stp/>
        <stp>##V3_BVIEW</stp>
        <stp>[XSLP -Swap Line Pricer.xlsm]Swaptions!R35C50</stp>
        <stp>Enter deal type or saved ID.</stp>
        <stp xml:space="preserve"> OptionPosition </stp>
        <stp>headers=false</stp>
        <tr r="AX35" s="5"/>
      </tp>
      <tp t="s">
        <v>#N/A Invalid object ID</v>
        <stp/>
        <stp>##V3_BVIEW</stp>
        <stp>[XSLP -Swap Line Pricer.xlsm]Swaptions!R32C50</stp>
        <stp>Enter deal type or saved ID.</stp>
        <stp xml:space="preserve"> OptionPosition </stp>
        <stp>headers=false</stp>
        <tr r="AX32" s="5"/>
      </tp>
      <tp t="s">
        <v>#N/A Invalid object ID</v>
        <stp/>
        <stp>##V3_BVIEW</stp>
        <stp>[XSLP -Swap Line Pricer.xlsm]Swaptions!R33C50</stp>
        <stp>Enter deal type or saved ID.</stp>
        <stp xml:space="preserve"> OptionPosition </stp>
        <stp>headers=false</stp>
        <tr r="AX33" s="5"/>
      </tp>
      <tp t="s">
        <v>#N/A Invalid object ID</v>
        <stp/>
        <stp>##V3_BVIEW</stp>
        <stp>[XSLP -Swap Line Pricer.xlsm]Swaptions!R30C50</stp>
        <stp>Enter deal type or saved ID.</stp>
        <stp xml:space="preserve"> OptionPosition </stp>
        <stp>headers=false</stp>
        <tr r="AX30" s="5"/>
      </tp>
      <tp t="s">
        <v>#N/A Invalid object ID</v>
        <stp/>
        <stp>##V3_BVIEW</stp>
        <stp>[XSLP -Swap Line Pricer.xlsm]Swaptions!R31C50</stp>
        <stp>Enter deal type or saved ID.</stp>
        <stp xml:space="preserve"> OptionPosition </stp>
        <stp>headers=false</stp>
        <tr r="AX31" s="5"/>
      </tp>
      <tp t="s">
        <v>Name{%s},SolveTarget{%s},Default Setting{%s},Description{%s};DiscountCurve[EUR]{%s},FALSE{%s},S133:Mid:DFLT:EUR OIS{%s},{%s};ForwardCurve[EUR006M]{%s},FALSE{%s},S45:Mid:DFLT:EUR (vs. 6M EURIBOR){%s},{%s}##BCURVE_RS##</v>
        <stp/>
        <stp>##V3_BMARKETPARAMV12</stp>
        <stp>[XSLP -Swap Line Pricer.xlsm]Swaps!R26C84</stp>
        <stp>FXFL 927343</stp>
        <stp>array=true</stp>
        <tr r="CF26" s="1"/>
      </tp>
      <tp t="s">
        <v>Name{%s},SolveTarget{%s},Default Setting{%s},Description{%s};DiscountCurve[EUR]{%s},FALSE{%s},S133:Mid:DFLT:EUR OIS{%s},{%s};ForwardCurve[EUR006M]{%s},FALSE{%s},S45:Mid:DFLT:EUR (vs. 6M EURIBOR){%s},{%s}##BCURVE_RS##</v>
        <stp/>
        <stp>##V3_BMARKETPARAMV12</stp>
        <stp>[XSLP -Swap Line Pricer.xlsm]Swaps!R26C85</stp>
        <stp>FXFL 927343</stp>
        <stp>array=true</stp>
        <tr r="CG26" s="1"/>
      </tp>
      <tp t="s">
        <v>Name{%s},SolveTarget{%s},Default Setting{%s},Description{%s};DiscountCurve[EUR]{%s},FALSE{%s},S133:Mid:DFLT:EUR OIS{%s},{%s};ForwardCurve[EUR006M]{%s},FALSE{%s},S45:Mid:DFLT:EUR (vs. 6M EURIBOR){%s},{%s}##BCURVE_RS##</v>
        <stp/>
        <stp>##V3_BMARKETPARAMV12</stp>
        <stp>[XSLP -Swap Line Pricer.xlsm]Swaps!R26C86</stp>
        <stp>FXFL 927343</stp>
        <stp>array=true</stp>
        <tr r="CH26" s="1"/>
      </tp>
      <tp t="s">
        <v>Name{%s},SolveTarget{%s},Default Setting{%s},Description{%s};DiscountCurve[EUR]{%s},FALSE{%s},S133:Mid:DFLT:EUR OIS{%s},{%s};ForwardCurve[EUR006M]{%s},FALSE{%s},S45:Mid:DFLT:EUR (vs. 6M EURIBOR){%s},{%s}##BCURVE_RS##</v>
        <stp/>
        <stp>##V3_BMARKETPARAMV12</stp>
        <stp>[XSLP -Swap Line Pricer.xlsm]Swaps!R26C87</stp>
        <stp>FXFL 927343</stp>
        <stp>array=true</stp>
        <tr r="CI26" s="1"/>
      </tp>
      <tp t="s">
        <v>Name{%s},SolveTarget{%s},Default Setting{%s},Description{%s};DiscountCurve[EUR]{%s},FALSE{%s},S133:Mid:DFLT:EUR OIS{%s},{%s};ForwardCurve[EUR006M]{%s},FALSE{%s},S45:Mid:DFLT:EUR (vs. 6M EURIBOR){%s},{%s}##BCURVE_RS##</v>
        <stp/>
        <stp>##V3_BMARKETPARAMV12</stp>
        <stp>[XSLP -Swap Line Pricer.xlsm]Swaps!R26C82</stp>
        <stp>FXFL 927343</stp>
        <stp>array=true</stp>
        <tr r="CD26" s="1"/>
      </tp>
      <tp t="s">
        <v>Name{%s},SolveTarget{%s},Default Setting{%s},Description{%s};DiscountCurve[EUR]{%s},FALSE{%s},S133:Mid:DFLT:EUR OIS{%s},{%s};ForwardCurve[EUR006M]{%s},FALSE{%s},S45:Mid:DFLT:EUR (vs. 6M EURIBOR){%s},{%s}##BCURVE_RS##</v>
        <stp/>
        <stp>##V3_BMARKETPARAMV12</stp>
        <stp>[XSLP -Swap Line Pricer.xlsm]Swaps!R26C83</stp>
        <stp>FXFL 927343</stp>
        <stp>array=true</stp>
        <tr r="CE26" s="1"/>
      </tp>
      <tp t="s">
        <v>Name{%s},SolveTarget{%s},Default Setting{%s},Description{%s};DiscountCurve[EUR]{%s},FALSE{%s},S133:Mid:DFLT:EUR OIS{%s},{%s};ForwardCurve[EUR006M]{%s},FALSE{%s},S45:Mid:DFLT:EUR (vs. 6M EURIBOR){%s},{%s}##BCURVE_RS##</v>
        <stp/>
        <stp>##V3_BMARKETPARAMV12</stp>
        <stp>[XSLP -Swap Line Pricer.xlsm]Swaps!R26C88</stp>
        <stp>FXFL 927343</stp>
        <stp>array=true</stp>
        <tr r="CJ26" s="1"/>
      </tp>
      <tp t="s">
        <v>Name{%s},SolveTarget{%s},Default Setting{%s},Description{%s};DiscountCurve[EUR]{%s},FALSE{%s},S133:Mid:DFLT:EUR OIS{%s},{%s};ForwardCurve[EUR006M]{%s},FALSE{%s},S45:Mid:DFLT:EUR (vs. 6M EURIBOR){%s},{%s}##BCURVE_RS##</v>
        <stp/>
        <stp>##V3_BMARKETPARAMV12</stp>
        <stp>[XSLP -Swap Line Pricer.xlsm]Swaps!R26C89</stp>
        <stp>FXFL 927343</stp>
        <stp>array=true</stp>
        <tr r="CK26" s="1"/>
      </tp>
      <tp t="s">
        <v>Name{%s},SolveTarget{%s},Default Setting{%s},Description{%s};DiscountCurve[EUR]{%s},FALSE{%s},S133:Mid:DFLT:EUR OIS{%s},{%s};ForwardCurve[EUR006M]{%s},FALSE{%s},S45:Mid:DFLT:EUR (vs. 6M EURIBOR){%s},{%s}##BCURVE_RS##</v>
        <stp/>
        <stp>##V3_BMARKETPARAMV12</stp>
        <stp>[XSLP -Swap Line Pricer.xlsm]Swaps!R30C87</stp>
        <stp>FXFL 631990</stp>
        <stp>array=true</stp>
        <tr r="CI30" s="1"/>
      </tp>
      <tp t="s">
        <v>Name{%s},SolveTarget{%s},Default Setting{%s},Description{%s};DiscountCurve[EUR]{%s},FALSE{%s},S133:Mid:DFLT:EUR OIS{%s},{%s};ForwardCurve[EUR006M]{%s},FALSE{%s},S45:Mid:DFLT:EUR (vs. 6M EURIBOR){%s},{%s}##BCURVE_RS##</v>
        <stp/>
        <stp>##V3_BMARKETPARAMV12</stp>
        <stp>[XSLP -Swap Line Pricer.xlsm]Swaps!R30C86</stp>
        <stp>FXFL 631990</stp>
        <stp>array=true</stp>
        <tr r="CH30" s="1"/>
      </tp>
      <tp t="s">
        <v>Name{%s},SolveTarget{%s},Default Setting{%s},Description{%s};DiscountCurve[EUR]{%s},FALSE{%s},S133:Mid:DFLT:EUR OIS{%s},{%s};ForwardCurve[EUR006M]{%s},FALSE{%s},S45:Mid:DFLT:EUR (vs. 6M EURIBOR){%s},{%s}##BCURVE_RS##</v>
        <stp/>
        <stp>##V3_BMARKETPARAMV12</stp>
        <stp>[XSLP -Swap Line Pricer.xlsm]Swaps!R30C85</stp>
        <stp>FXFL 631990</stp>
        <stp>array=true</stp>
        <tr r="CG30" s="1"/>
      </tp>
      <tp t="s">
        <v>Name{%s},SolveTarget{%s},Default Setting{%s},Description{%s};DiscountCurve[EUR]{%s},FALSE{%s},S133:Mid:DFLT:EUR OIS{%s},{%s};ForwardCurve[EUR006M]{%s},FALSE{%s},S45:Mid:DFLT:EUR (vs. 6M EURIBOR){%s},{%s}##BCURVE_RS##</v>
        <stp/>
        <stp>##V3_BMARKETPARAMV12</stp>
        <stp>[XSLP -Swap Line Pricer.xlsm]Swaps!R30C84</stp>
        <stp>FXFL 631990</stp>
        <stp>array=true</stp>
        <tr r="CF30" s="1"/>
      </tp>
      <tp t="s">
        <v>Name{%s},SolveTarget{%s},Default Setting{%s},Description{%s};DiscountCurve[EUR]{%s},FALSE{%s},S133:Mid:DFLT:EUR OIS{%s},{%s};ForwardCurve[EUR006M]{%s},FALSE{%s},S45:Mid:DFLT:EUR (vs. 6M EURIBOR){%s},{%s}##BCURVE_RS##</v>
        <stp/>
        <stp>##V3_BMARKETPARAMV12</stp>
        <stp>[XSLP -Swap Line Pricer.xlsm]Swaps!R30C83</stp>
        <stp>FXFL 631990</stp>
        <stp>array=true</stp>
        <tr r="CE30" s="1"/>
      </tp>
      <tp t="s">
        <v>Name{%s},SolveTarget{%s},Default Setting{%s},Description{%s};DiscountCurve[EUR]{%s},FALSE{%s},S133:Mid:DFLT:EUR OIS{%s},{%s};ForwardCurve[EUR006M]{%s},FALSE{%s},S45:Mid:DFLT:EUR (vs. 6M EURIBOR){%s},{%s}##BCURVE_RS##</v>
        <stp/>
        <stp>##V3_BMARKETPARAMV12</stp>
        <stp>[XSLP -Swap Line Pricer.xlsm]Swaps!R30C82</stp>
        <stp>FXFL 631990</stp>
        <stp>array=true</stp>
        <tr r="CD30" s="1"/>
      </tp>
      <tp t="s">
        <v>Name{%s},SolveTarget{%s},Default Setting{%s},Description{%s};DiscountCurve[EUR]{%s},FALSE{%s},S133:Mid:DFLT:EUR OIS{%s},{%s};ForwardCurve[EUR006M]{%s},FALSE{%s},S45:Mid:DFLT:EUR (vs. 6M EURIBOR){%s},{%s}##BCURVE_RS##</v>
        <stp/>
        <stp>##V3_BMARKETPARAMV12</stp>
        <stp>[XSLP -Swap Line Pricer.xlsm]Swaps!R30C89</stp>
        <stp>FXFL 631990</stp>
        <stp>array=true</stp>
        <tr r="CK30" s="1"/>
      </tp>
      <tp t="s">
        <v>Name{%s},SolveTarget{%s},Default Setting{%s},Description{%s};DiscountCurve[EUR]{%s},FALSE{%s},S133:Mid:DFLT:EUR OIS{%s},{%s};ForwardCurve[EUR006M]{%s},FALSE{%s},S45:Mid:DFLT:EUR (vs. 6M EURIBOR){%s},{%s}##BCURVE_RS##</v>
        <stp/>
        <stp>##V3_BMARKETPARAMV12</stp>
        <stp>[XSLP -Swap Line Pricer.xlsm]Swaps!R30C88</stp>
        <stp>FXFL 631990</stp>
        <stp>array=true</stp>
        <tr r="CJ30" s="1"/>
      </tp>
      <tp>
        <v>42654</v>
        <stp/>
        <stp>##V3_BVIEW</stp>
        <stp>[XSLP -Swap Line Pricer.xlsm]Swaps!R25C53</stp>
        <stp>FXFL 64474</stp>
        <stp>EffectiveDate</stp>
        <stp>headers=false</stp>
        <tr r="BA25" s="1"/>
        <tr r="BA25" s="1"/>
      </tp>
      <tp>
        <v>-0.19807808485703796</v>
        <stp/>
        <stp>##V3_BVIEW</stp>
        <stp>[XSLP -Swap Line Pricer.xlsm]Swaps!R21C5</stp>
        <stp>PRICE FXFL 309575</stp>
        <stp>ParCoupon</stp>
        <stp>headers=false</stp>
        <tr r="E21" s="1"/>
      </tp>
      <tp>
        <v>-0.17626463675865309</v>
        <stp/>
        <stp>##V3_BVIEW</stp>
        <stp>[XSLP -Swap Line Pricer.xlsm]Swaps!R22C5</stp>
        <stp>PRICE FXFL 989515</stp>
        <stp>ParCoupon</stp>
        <stp>headers=false</stp>
        <tr r="E22" s="1"/>
      </tp>
      <tp t="s">
        <v>Name{%s},SolveTarget{%s},Default Setting{%s},Description{%s};DiscountCurve[EUR]{%s},FALSE{%s},S133:Mid:DFLT:EUR OIS{%s},{%s};ForwardCurve[EUR006M]{%s},FALSE{%s},S45:Mid:DFLT:EUR (vs. 6M EURIBOR){%s},{%s}##BCURVE_RS##</v>
        <stp/>
        <stp>##V3_BMARKETPARAMV12</stp>
        <stp>[XSLP -Swap Line Pricer.xlsm]Swaps!R21C89</stp>
        <stp>FXFL 597317</stp>
        <stp>array=true</stp>
        <tr r="CK21" s="1"/>
      </tp>
      <tp t="s">
        <v>Name{%s},SolveTarget{%s},Default Setting{%s},Description{%s};DiscountCurve[EUR]{%s},FALSE{%s},S133:Mid:DFLT:EUR OIS{%s},{%s};ForwardCurve[EUR006M]{%s},FALSE{%s},S45:Mid:DFLT:EUR (vs. 6M EURIBOR){%s},{%s}##BCURVE_RS##</v>
        <stp/>
        <stp>##V3_BMARKETPARAMV12</stp>
        <stp>[XSLP -Swap Line Pricer.xlsm]Swaps!R21C88</stp>
        <stp>FXFL 597317</stp>
        <stp>array=true</stp>
        <tr r="CJ21" s="1"/>
      </tp>
      <tp t="s">
        <v>Name{%s},SolveTarget{%s},Default Setting{%s},Description{%s};DiscountCurve[EUR]{%s},FALSE{%s},S133:Mid:DFLT:EUR OIS{%s},{%s};ForwardCurve[EUR006M]{%s},FALSE{%s},S45:Mid:DFLT:EUR (vs. 6M EURIBOR){%s},{%s}##BCURVE_RS##</v>
        <stp/>
        <stp>##V3_BMARKETPARAMV12</stp>
        <stp>[XSLP -Swap Line Pricer.xlsm]Swaps!R21C83</stp>
        <stp>FXFL 597317</stp>
        <stp>array=true</stp>
        <tr r="CE21" s="1"/>
      </tp>
      <tp t="s">
        <v>Name{%s},SolveTarget{%s},Default Setting{%s},Description{%s};DiscountCurve[EUR]{%s},FALSE{%s},S133:Mid:DFLT:EUR OIS{%s},{%s};ForwardCurve[EUR006M]{%s},FALSE{%s},S45:Mid:DFLT:EUR (vs. 6M EURIBOR){%s},{%s}##BCURVE_RS##</v>
        <stp/>
        <stp>##V3_BMARKETPARAMV12</stp>
        <stp>[XSLP -Swap Line Pricer.xlsm]Swaps!R21C82</stp>
        <stp>FXFL 597317</stp>
        <stp>array=true</stp>
        <tr r="CD21" s="1"/>
      </tp>
      <tp t="s">
        <v>Name{%s},SolveTarget{%s},Default Setting{%s},Description{%s};DiscountCurve[EUR]{%s},FALSE{%s},S133:Mid:DFLT:EUR OIS{%s},{%s};ForwardCurve[EUR006M]{%s},FALSE{%s},S45:Mid:DFLT:EUR (vs. 6M EURIBOR){%s},{%s}##BCURVE_RS##</v>
        <stp/>
        <stp>##V3_BMARKETPARAMV12</stp>
        <stp>[XSLP -Swap Line Pricer.xlsm]Swaps!R21C87</stp>
        <stp>FXFL 597317</stp>
        <stp>array=true</stp>
        <tr r="CI21" s="1"/>
      </tp>
      <tp t="s">
        <v>Name{%s},SolveTarget{%s},Default Setting{%s},Description{%s};DiscountCurve[EUR]{%s},FALSE{%s},S133:Mid:DFLT:EUR OIS{%s},{%s};ForwardCurve[EUR006M]{%s},FALSE{%s},S45:Mid:DFLT:EUR (vs. 6M EURIBOR){%s},{%s}##BCURVE_RS##</v>
        <stp/>
        <stp>##V3_BMARKETPARAMV12</stp>
        <stp>[XSLP -Swap Line Pricer.xlsm]Swaps!R21C86</stp>
        <stp>FXFL 597317</stp>
        <stp>array=true</stp>
        <tr r="CH21" s="1"/>
      </tp>
      <tp t="s">
        <v>Name{%s},SolveTarget{%s},Default Setting{%s},Description{%s};DiscountCurve[EUR]{%s},FALSE{%s},S133:Mid:DFLT:EUR OIS{%s},{%s};ForwardCurve[EUR006M]{%s},FALSE{%s},S45:Mid:DFLT:EUR (vs. 6M EURIBOR){%s},{%s}##BCURVE_RS##</v>
        <stp/>
        <stp>##V3_BMARKETPARAMV12</stp>
        <stp>[XSLP -Swap Line Pricer.xlsm]Swaps!R21C85</stp>
        <stp>FXFL 597317</stp>
        <stp>array=true</stp>
        <tr r="CG21" s="1"/>
      </tp>
      <tp t="s">
        <v>Name{%s},SolveTarget{%s},Default Setting{%s},Description{%s};DiscountCurve[EUR]{%s},FALSE{%s},S133:Mid:DFLT:EUR OIS{%s},{%s};ForwardCurve[EUR006M]{%s},FALSE{%s},S45:Mid:DFLT:EUR (vs. 6M EURIBOR){%s},{%s}##BCURVE_RS##</v>
        <stp/>
        <stp>##V3_BMARKETPARAMV12</stp>
        <stp>[XSLP -Swap Line Pricer.xlsm]Swaps!R21C84</stp>
        <stp>FXFL 597317</stp>
        <stp>array=true</stp>
        <tr r="CF21" s="1"/>
      </tp>
      <tp t="s">
        <v>Name{%s},SolveTarget{%s},Default Setting{%s},Description{%s};DiscountCurve[EUR]{%s},FALSE{%s},S133:Mid:DFLT:EUR OIS{%s},{%s};ForwardCurve[EUR006M]{%s},FALSE{%s},S45:Mid:DFLT:EUR (vs. 6M EURIBOR){%s},{%s}##BCURVE_RS##</v>
        <stp/>
        <stp>##V3_BMARKETPARAMV12</stp>
        <stp>[XSLP -Swap Line Pricer.xlsm]Swaps!R27C86</stp>
        <stp>FXFL 451356</stp>
        <stp>array=true</stp>
        <tr r="CH27" s="1"/>
      </tp>
      <tp t="s">
        <v>Name{%s},SolveTarget{%s},Default Setting{%s},Description{%s};DiscountCurve[EUR]{%s},FALSE{%s},S133:Mid:DFLT:EUR OIS{%s},{%s};ForwardCurve[EUR006M]{%s},FALSE{%s},S45:Mid:DFLT:EUR (vs. 6M EURIBOR){%s},{%s}##BCURVE_RS##</v>
        <stp/>
        <stp>##V3_BMARKETPARAMV12</stp>
        <stp>[XSLP -Swap Line Pricer.xlsm]Swaps!R27C87</stp>
        <stp>FXFL 451356</stp>
        <stp>array=true</stp>
        <tr r="CI27" s="1"/>
      </tp>
      <tp t="s">
        <v>Name{%s},SolveTarget{%s},Default Setting{%s},Description{%s};DiscountCurve[EUR]{%s},FALSE{%s},S133:Mid:DFLT:EUR OIS{%s},{%s};ForwardCurve[EUR006M]{%s},FALSE{%s},S45:Mid:DFLT:EUR (vs. 6M EURIBOR){%s},{%s}##BCURVE_RS##</v>
        <stp/>
        <stp>##V3_BMARKETPARAMV12</stp>
        <stp>[XSLP -Swap Line Pricer.xlsm]Swaps!R27C84</stp>
        <stp>FXFL 451356</stp>
        <stp>array=true</stp>
        <tr r="CF27" s="1"/>
      </tp>
      <tp t="s">
        <v>Name{%s},SolveTarget{%s},Default Setting{%s},Description{%s};DiscountCurve[EUR]{%s},FALSE{%s},S133:Mid:DFLT:EUR OIS{%s},{%s};ForwardCurve[EUR006M]{%s},FALSE{%s},S45:Mid:DFLT:EUR (vs. 6M EURIBOR){%s},{%s}##BCURVE_RS##</v>
        <stp/>
        <stp>##V3_BMARKETPARAMV12</stp>
        <stp>[XSLP -Swap Line Pricer.xlsm]Swaps!R27C85</stp>
        <stp>FXFL 451356</stp>
        <stp>array=true</stp>
        <tr r="CG27" s="1"/>
      </tp>
      <tp t="s">
        <v>Name{%s},SolveTarget{%s},Default Setting{%s},Description{%s};DiscountCurve[EUR]{%s},FALSE{%s},S133:Mid:DFLT:EUR OIS{%s},{%s};ForwardCurve[EUR006M]{%s},FALSE{%s},S45:Mid:DFLT:EUR (vs. 6M EURIBOR){%s},{%s}##BCURVE_RS##</v>
        <stp/>
        <stp>##V3_BMARKETPARAMV12</stp>
        <stp>[XSLP -Swap Line Pricer.xlsm]Swaps!R27C82</stp>
        <stp>FXFL 451356</stp>
        <stp>array=true</stp>
        <tr r="CD27" s="1"/>
      </tp>
      <tp t="s">
        <v>Name{%s},SolveTarget{%s},Default Setting{%s},Description{%s};DiscountCurve[EUR]{%s},FALSE{%s},S133:Mid:DFLT:EUR OIS{%s},{%s};ForwardCurve[EUR006M]{%s},FALSE{%s},S45:Mid:DFLT:EUR (vs. 6M EURIBOR){%s},{%s}##BCURVE_RS##</v>
        <stp/>
        <stp>##V3_BMARKETPARAMV12</stp>
        <stp>[XSLP -Swap Line Pricer.xlsm]Swaps!R27C83</stp>
        <stp>FXFL 451356</stp>
        <stp>array=true</stp>
        <tr r="CE27" s="1"/>
      </tp>
      <tp t="s">
        <v>Name{%s},SolveTarget{%s},Default Setting{%s},Description{%s};DiscountCurve[EUR]{%s},FALSE{%s},S133:Mid:DFLT:EUR OIS{%s},{%s};ForwardCurve[EUR006M]{%s},FALSE{%s},S45:Mid:DFLT:EUR (vs. 6M EURIBOR){%s},{%s}##BCURVE_RS##</v>
        <stp/>
        <stp>##V3_BMARKETPARAMV12</stp>
        <stp>[XSLP -Swap Line Pricer.xlsm]Swaps!R27C88</stp>
        <stp>FXFL 451356</stp>
        <stp>array=true</stp>
        <tr r="CJ27" s="1"/>
      </tp>
      <tp t="s">
        <v>Name{%s},SolveTarget{%s},Default Setting{%s},Description{%s};DiscountCurve[EUR]{%s},FALSE{%s},S133:Mid:DFLT:EUR OIS{%s},{%s};ForwardCurve[EUR006M]{%s},FALSE{%s},S45:Mid:DFLT:EUR (vs. 6M EURIBOR){%s},{%s}##BCURVE_RS##</v>
        <stp/>
        <stp>##V3_BMARKETPARAMV12</stp>
        <stp>[XSLP -Swap Line Pricer.xlsm]Swaps!R27C89</stp>
        <stp>FXFL 451356</stp>
        <stp>array=true</stp>
        <tr r="CK27" s="1"/>
      </tp>
      <tp>
        <v>-6.3000000428008698E-2</v>
        <stp/>
        <stp>##V3_BVIEW</stp>
        <stp>[XSLP -Swap Line Pricer.xlsm]Swaps!R36C5</stp>
        <stp>PRICE FXFL 284275</stp>
        <stp>ParCoupon</stp>
        <stp>headers=false</stp>
        <tr r="E36" s="1"/>
      </tp>
      <tp>
        <v>-6.3000000428008698E-2</v>
        <stp/>
        <stp>##V3_BVIEW</stp>
        <stp>[XSLP -Swap Line Pricer.xlsm]Swaps!R37C5</stp>
        <stp>PRICE FXFL 284275</stp>
        <stp>ParCoupon</stp>
        <stp>headers=false</stp>
        <tr r="E37" s="1"/>
      </tp>
      <tp>
        <v>-6.3000000428008698E-2</v>
        <stp/>
        <stp>##V3_BVIEW</stp>
        <stp>[XSLP -Swap Line Pricer.xlsm]Swaps!R34C5</stp>
        <stp>PRICE FXFL 284275</stp>
        <stp>ParCoupon</stp>
        <stp>headers=false</stp>
        <tr r="E34" s="1"/>
      </tp>
      <tp>
        <v>-6.3000000428008698E-2</v>
        <stp/>
        <stp>##V3_BVIEW</stp>
        <stp>[XSLP -Swap Line Pricer.xlsm]Swaps!R35C5</stp>
        <stp>PRICE FXFL 284275</stp>
        <stp>ParCoupon</stp>
        <stp>headers=false</stp>
        <tr r="E35" s="1"/>
      </tp>
      <tp>
        <v>-6.3000000428008698E-2</v>
        <stp/>
        <stp>##V3_BVIEW</stp>
        <stp>[XSLP -Swap Line Pricer.xlsm]Swaps!R38C5</stp>
        <stp>PRICE FXFL 284275</stp>
        <stp>ParCoupon</stp>
        <stp>headers=false</stp>
        <tr r="E38" s="1"/>
      </tp>
      <tp>
        <v>-6.3000000428008698E-2</v>
        <stp/>
        <stp>##V3_BVIEW</stp>
        <stp>[XSLP -Swap Line Pricer.xlsm]Swaps!R39C5</stp>
        <stp>PRICE FXFL 284275</stp>
        <stp>ParCoupon</stp>
        <stp>headers=false</stp>
        <tr r="E39" s="1"/>
      </tp>
      <tp>
        <v>0.22912729342746793</v>
        <stp/>
        <stp>##V3_BVIEW</stp>
        <stp>[XSLP -Swap Line Pricer.xlsm]Swaps!R27C5</stp>
        <stp>PRICE FXFL 304254</stp>
        <stp>ParCoupon</stp>
        <stp>headers=false</stp>
        <tr r="E27" s="1"/>
      </tp>
      <tp>
        <v>0.43424807467299897</v>
        <stp/>
        <stp>##V3_BVIEW</stp>
        <stp>[XSLP -Swap Line Pricer.xlsm]Swaps!R29C5</stp>
        <stp>PRICE FXFL 933208</stp>
        <stp>ParCoupon</stp>
        <stp>headers=false</stp>
        <tr r="E29" s="1"/>
      </tp>
      <tp t="s">
        <v>SemiAnnual</v>
        <stp/>
        <stp>##V3_BVIEW</stp>
        <stp>[XSLP -Swap Line Pricer.xlsm]Swaps!R30C75</stp>
        <stp>FXFL 631990</stp>
        <stp>Leg[2].ResetFrequency</stp>
        <stp>headers=false</stp>
        <tr r="BW30" s="1"/>
        <tr r="BW30" s="1"/>
      </tp>
      <tp t="s">
        <v>SemiAnnual</v>
        <stp/>
        <stp>##V3_BVIEW</stp>
        <stp>[XSLP -Swap Line Pricer.xlsm]Swaps!R31C75</stp>
        <stp>FXFL 625950</stp>
        <stp>Leg[2].ResetFrequency</stp>
        <stp>headers=false</stp>
        <tr r="BW31" s="1"/>
        <tr r="BW31" s="1"/>
      </tp>
      <tp>
        <v>-6.3417426634160362E-2</v>
        <stp/>
        <stp>##V3_BVIEW</stp>
        <stp>[XSLP -Swap Line Pricer.xlsm]Swaps!R24C5</stp>
        <stp>PRICE FXFL 326341</stp>
        <stp>ParCoupon</stp>
        <stp>headers=false</stp>
        <tr r="E24" s="1"/>
      </tp>
      <tp>
        <v>-0.19895997050250405</v>
        <stp/>
        <stp>##V3_BVIEW</stp>
        <stp>[XSLP -Swap Line Pricer.xlsm]Swaps!R20C5</stp>
        <stp>PRICE FXFL 781382</stp>
        <stp>ParCoupon</stp>
        <stp>headers=false</stp>
        <tr r="E20" s="1"/>
      </tp>
      <tp t="s">
        <v>SemiAnnual</v>
        <stp/>
        <stp>##V3_BVIEW</stp>
        <stp>[XSLP -Swap Line Pricer.xlsm]Swaps!R24C75</stp>
        <stp>FXFL 651808</stp>
        <stp>Leg[2].ResetFrequency</stp>
        <stp>headers=false</stp>
        <tr r="BW24" s="1"/>
        <tr r="BW24" s="1"/>
      </tp>
      <tp t="s">
        <v>SemiAnnual</v>
        <stp/>
        <stp>##V3_BVIEW</stp>
        <stp>[XSLP -Swap Line Pricer.xlsm]Swaps!R29C75</stp>
        <stp>FXFL 431830</stp>
        <stp>Leg[2].ResetFrequency</stp>
        <stp>headers=false</stp>
        <tr r="BW29" s="1"/>
        <tr r="BW29" s="1"/>
      </tp>
      <tp t="s">
        <v>SemiAnnual</v>
        <stp/>
        <stp>##V3_BVIEW</stp>
        <stp>[XSLP -Swap Line Pricer.xlsm]Swaps!R28C75</stp>
        <stp>FXFL 164852</stp>
        <stp>Leg[2].ResetFrequency</stp>
        <stp>headers=false</stp>
        <tr r="BW28" s="1"/>
        <tr r="BW28" s="1"/>
      </tp>
      <tp t="s">
        <v>Name{%s},SolveTarget{%s},Default Setting{%s},Description{%s};DiscountCurve[EUR]{%s},FALSE{%s},S133:Mid:DFLT:EUR OIS{%s},{%s};ForwardCurve[EUR006M]{%s},FALSE{%s},S45:Mid:DFLT:EUR (vs. 6M EURIBOR){%s},{%s}##BCURVE_RS##</v>
        <stp/>
        <stp>##V3_BMARKETPARAMV12</stp>
        <stp>[XSLP -Swap Line Pricer.xlsm]Swaps!R31C86</stp>
        <stp>FXFL 625950</stp>
        <stp>array=true</stp>
        <tr r="CH31" s="1"/>
      </tp>
      <tp t="s">
        <v>Name{%s},SolveTarget{%s},Default Setting{%s},Description{%s};DiscountCurve[EUR]{%s},FALSE{%s},S133:Mid:DFLT:EUR OIS{%s},{%s};ForwardCurve[EUR006M]{%s},FALSE{%s},S45:Mid:DFLT:EUR (vs. 6M EURIBOR){%s},{%s}##BCURVE_RS##</v>
        <stp/>
        <stp>##V3_BMARKETPARAMV12</stp>
        <stp>[XSLP -Swap Line Pricer.xlsm]Swaps!R31C87</stp>
        <stp>FXFL 625950</stp>
        <stp>array=true</stp>
        <tr r="CI31" s="1"/>
      </tp>
      <tp t="s">
        <v>Name{%s},SolveTarget{%s},Default Setting{%s},Description{%s};DiscountCurve[EUR]{%s},FALSE{%s},S133:Mid:DFLT:EUR OIS{%s},{%s};ForwardCurve[EUR006M]{%s},FALSE{%s},S45:Mid:DFLT:EUR (vs. 6M EURIBOR){%s},{%s}##BCURVE_RS##</v>
        <stp/>
        <stp>##V3_BMARKETPARAMV12</stp>
        <stp>[XSLP -Swap Line Pricer.xlsm]Swaps!R31C84</stp>
        <stp>FXFL 625950</stp>
        <stp>array=true</stp>
        <tr r="CF31" s="1"/>
      </tp>
      <tp t="s">
        <v>Name{%s},SolveTarget{%s},Default Setting{%s},Description{%s};DiscountCurve[EUR]{%s},FALSE{%s},S133:Mid:DFLT:EUR OIS{%s},{%s};ForwardCurve[EUR006M]{%s},FALSE{%s},S45:Mid:DFLT:EUR (vs. 6M EURIBOR){%s},{%s}##BCURVE_RS##</v>
        <stp/>
        <stp>##V3_BMARKETPARAMV12</stp>
        <stp>[XSLP -Swap Line Pricer.xlsm]Swaps!R31C85</stp>
        <stp>FXFL 625950</stp>
        <stp>array=true</stp>
        <tr r="CG31" s="1"/>
      </tp>
      <tp t="s">
        <v>Name{%s},SolveTarget{%s},Default Setting{%s},Description{%s};DiscountCurve[EUR]{%s},FALSE{%s},S133:Mid:DFLT:EUR OIS{%s},{%s};ForwardCurve[EUR006M]{%s},FALSE{%s},S45:Mid:DFLT:EUR (vs. 6M EURIBOR){%s},{%s}##BCURVE_RS##</v>
        <stp/>
        <stp>##V3_BMARKETPARAMV12</stp>
        <stp>[XSLP -Swap Line Pricer.xlsm]Swaps!R31C82</stp>
        <stp>FXFL 625950</stp>
        <stp>array=true</stp>
        <tr r="CD31" s="1"/>
      </tp>
      <tp t="s">
        <v>Name{%s},SolveTarget{%s},Default Setting{%s},Description{%s};DiscountCurve[EUR]{%s},FALSE{%s},S133:Mid:DFLT:EUR OIS{%s},{%s};ForwardCurve[EUR006M]{%s},FALSE{%s},S45:Mid:DFLT:EUR (vs. 6M EURIBOR){%s},{%s}##BCURVE_RS##</v>
        <stp/>
        <stp>##V3_BMARKETPARAMV12</stp>
        <stp>[XSLP -Swap Line Pricer.xlsm]Swaps!R31C83</stp>
        <stp>FXFL 625950</stp>
        <stp>array=true</stp>
        <tr r="CE31" s="1"/>
      </tp>
      <tp t="s">
        <v>Name{%s},SolveTarget{%s},Default Setting{%s},Description{%s};DiscountCurve[EUR]{%s},FALSE{%s},S133:Mid:DFLT:EUR OIS{%s},{%s};ForwardCurve[EUR006M]{%s},FALSE{%s},S45:Mid:DFLT:EUR (vs. 6M EURIBOR){%s},{%s}##BCURVE_RS##</v>
        <stp/>
        <stp>##V3_BMARKETPARAMV12</stp>
        <stp>[XSLP -Swap Line Pricer.xlsm]Swaps!R31C88</stp>
        <stp>FXFL 625950</stp>
        <stp>array=true</stp>
        <tr r="CJ31" s="1"/>
      </tp>
      <tp t="s">
        <v>Name{%s},SolveTarget{%s},Default Setting{%s},Description{%s};DiscountCurve[EUR]{%s},FALSE{%s},S133:Mid:DFLT:EUR OIS{%s},{%s};ForwardCurve[EUR006M]{%s},FALSE{%s},S45:Mid:DFLT:EUR (vs. 6M EURIBOR){%s},{%s}##BCURVE_RS##</v>
        <stp/>
        <stp>##V3_BMARKETPARAMV12</stp>
        <stp>[XSLP -Swap Line Pricer.xlsm]Swaps!R31C89</stp>
        <stp>FXFL 625950</stp>
        <stp>array=true</stp>
        <tr r="CK31" s="1"/>
      </tp>
      <tp t="s">
        <v>#N/A Invalid object ID</v>
        <stp/>
        <stp>##V3_BMARKETPARAMV12</stp>
        <stp>[XSLP -Swap Line Pricer.xlsm]Swaptions!R27C85</stp>
        <stp>Enter deal type or saved ID.</stp>
        <stp>array=true</stp>
        <tr r="CG27" s="5"/>
      </tp>
      <tp t="s">
        <v>#N/A Invalid object ID</v>
        <stp/>
        <stp>##V3_BMARKETPARAMV12</stp>
        <stp>[XSLP -Swap Line Pricer.xlsm]Swaptions!R37C84</stp>
        <stp>Enter deal type or saved ID.</stp>
        <stp>array=true</stp>
        <tr r="CF37" s="5"/>
      </tp>
      <tp t="s">
        <v>#N/A Invalid object ID</v>
        <stp/>
        <stp>##V3_BMARKETPARAMV12</stp>
        <stp>[XSLP -Swap Line Pricer.xlsm]Swaptions!R26C85</stp>
        <stp>Enter deal type or saved ID.</stp>
        <stp>array=true</stp>
        <tr r="CG26" s="5"/>
      </tp>
      <tp t="s">
        <v>#N/A Invalid object ID</v>
        <stp/>
        <stp>##V3_BMARKETPARAMV12</stp>
        <stp>[XSLP -Swap Line Pricer.xlsm]Swaptions!R36C84</stp>
        <stp>Enter deal type or saved ID.</stp>
        <stp>array=true</stp>
        <tr r="CF36" s="5"/>
      </tp>
      <tp t="s">
        <v>#N/A Invalid object ID</v>
        <stp/>
        <stp>##V3_BMARKETPARAMV12</stp>
        <stp>[XSLP -Swap Line Pricer.xlsm]Swaptions!R25C85</stp>
        <stp>Enter deal type or saved ID.</stp>
        <stp>array=true</stp>
        <tr r="CG25" s="5"/>
      </tp>
      <tp t="s">
        <v>#N/A Invalid object ID</v>
        <stp/>
        <stp>##V3_BMARKETPARAMV12</stp>
        <stp>[XSLP -Swap Line Pricer.xlsm]Swaptions!R35C84</stp>
        <stp>Enter deal type or saved ID.</stp>
        <stp>array=true</stp>
        <tr r="CF35" s="5"/>
      </tp>
      <tp t="s">
        <v>#N/A Invalid object ID</v>
        <stp/>
        <stp>##V3_BMARKETPARAMV12</stp>
        <stp>[XSLP -Swap Line Pricer.xlsm]Swaptions!R24C85</stp>
        <stp>Enter deal type or saved ID.</stp>
        <stp>array=true</stp>
        <tr r="CG24" s="5"/>
      </tp>
      <tp t="s">
        <v>#N/A Invalid object ID</v>
        <stp/>
        <stp>##V3_BMARKETPARAMV12</stp>
        <stp>[XSLP -Swap Line Pricer.xlsm]Swaptions!R34C84</stp>
        <stp>Enter deal type or saved ID.</stp>
        <stp>array=true</stp>
        <tr r="CF34" s="5"/>
      </tp>
      <tp t="s">
        <v>#N/A Invalid object ID</v>
        <stp/>
        <stp>##V3_BMARKETPARAMV12</stp>
        <stp>[XSLP -Swap Line Pricer.xlsm]Swaptions!R23C85</stp>
        <stp>Enter deal type or saved ID.</stp>
        <stp>array=true</stp>
        <tr r="CG23" s="5"/>
      </tp>
      <tp t="s">
        <v>#N/A Invalid object ID</v>
        <stp/>
        <stp>##V3_BMARKETPARAMV12</stp>
        <stp>[XSLP -Swap Line Pricer.xlsm]Swaptions!R33C84</stp>
        <stp>Enter deal type or saved ID.</stp>
        <stp>array=true</stp>
        <tr r="CF33" s="5"/>
      </tp>
      <tp t="s">
        <v>#N/A Invalid object ID</v>
        <stp/>
        <stp>##V3_BMARKETPARAMV12</stp>
        <stp>[XSLP -Swap Line Pricer.xlsm]Swaptions!R22C85</stp>
        <stp>Enter deal type or saved ID.</stp>
        <stp>array=true</stp>
        <tr r="CG22" s="5"/>
      </tp>
      <tp t="s">
        <v>#N/A Invalid object ID</v>
        <stp/>
        <stp>##V3_BMARKETPARAMV12</stp>
        <stp>[XSLP -Swap Line Pricer.xlsm]Swaptions!R32C84</stp>
        <stp>Enter deal type or saved ID.</stp>
        <stp>array=true</stp>
        <tr r="CF32" s="5"/>
      </tp>
      <tp t="s">
        <v>#N/A Invalid object ID</v>
        <stp/>
        <stp>##V3_BMARKETPARAMV12</stp>
        <stp>[XSLP -Swap Line Pricer.xlsm]Swaptions!R21C85</stp>
        <stp>Enter deal type or saved ID.</stp>
        <stp>array=true</stp>
        <tr r="CG21" s="5"/>
      </tp>
      <tp t="s">
        <v>#N/A Invalid object ID</v>
        <stp/>
        <stp>##V3_BMARKETPARAMV12</stp>
        <stp>[XSLP -Swap Line Pricer.xlsm]Swaptions!R31C84</stp>
        <stp>Enter deal type or saved ID.</stp>
        <stp>array=true</stp>
        <tr r="CF31" s="5"/>
      </tp>
      <tp t="s">
        <v>#N/A Invalid object ID</v>
        <stp/>
        <stp>##V3_BMARKETPARAMV12</stp>
        <stp>[XSLP -Swap Line Pricer.xlsm]Swaptions!R20C85</stp>
        <stp>Enter deal type or saved ID.</stp>
        <stp>array=true</stp>
        <tr r="CG20" s="5"/>
      </tp>
      <tp t="s">
        <v>#N/A Invalid object ID</v>
        <stp/>
        <stp>##V3_BMARKETPARAMV12</stp>
        <stp>[XSLP -Swap Line Pricer.xlsm]Swaptions!R30C84</stp>
        <stp>Enter deal type or saved ID.</stp>
        <stp>array=true</stp>
        <tr r="CF30" s="5"/>
      </tp>
      <tp t="s">
        <v>#N/A Invalid object ID</v>
        <stp/>
        <stp>##V3_BMARKETPARAMV12</stp>
        <stp>[XSLP -Swap Line Pricer.xlsm]Swaptions!R29C85</stp>
        <stp>Enter deal type or saved ID.</stp>
        <stp>array=true</stp>
        <tr r="CG29" s="5"/>
      </tp>
      <tp t="s">
        <v>#N/A Invalid object ID</v>
        <stp/>
        <stp>##V3_BMARKETPARAMV12</stp>
        <stp>[XSLP -Swap Line Pricer.xlsm]Swaptions!R39C84</stp>
        <stp>Enter deal type or saved ID.</stp>
        <stp>array=true</stp>
        <tr r="CF39" s="5"/>
      </tp>
      <tp t="s">
        <v>#N/A Invalid object ID</v>
        <stp/>
        <stp>##V3_BMARKETPARAMV12</stp>
        <stp>[XSLP -Swap Line Pricer.xlsm]Swaptions!R28C85</stp>
        <stp>Enter deal type or saved ID.</stp>
        <stp>array=true</stp>
        <tr r="CG28" s="5"/>
      </tp>
      <tp t="s">
        <v>#N/A Invalid object ID</v>
        <stp/>
        <stp>##V3_BMARKETPARAMV12</stp>
        <stp>[XSLP -Swap Line Pricer.xlsm]Swaptions!R38C84</stp>
        <stp>Enter deal type or saved ID.</stp>
        <stp>array=true</stp>
        <tr r="CF38" s="5"/>
      </tp>
      <tp t="s">
        <v>#N/A Invalid object ID</v>
        <stp/>
        <stp>##V3_BMARKETPARAMV12</stp>
        <stp>[XSLP -Swap Line Pricer.xlsm]Swaptions!R27C84</stp>
        <stp>Enter deal type or saved ID.</stp>
        <stp>array=true</stp>
        <tr r="CF27" s="5"/>
      </tp>
      <tp t="s">
        <v>#N/A Invalid object ID</v>
        <stp/>
        <stp>##V3_BMARKETPARAMV12</stp>
        <stp>[XSLP -Swap Line Pricer.xlsm]Swaptions!R37C85</stp>
        <stp>Enter deal type or saved ID.</stp>
        <stp>array=true</stp>
        <tr r="CG37" s="5"/>
      </tp>
      <tp t="s">
        <v>#N/A Invalid object ID</v>
        <stp/>
        <stp>##V3_BMARKETPARAMV12</stp>
        <stp>[XSLP -Swap Line Pricer.xlsm]Swaptions!R26C84</stp>
        <stp>Enter deal type or saved ID.</stp>
        <stp>array=true</stp>
        <tr r="CF26" s="5"/>
      </tp>
      <tp t="s">
        <v>#N/A Invalid object ID</v>
        <stp/>
        <stp>##V3_BMARKETPARAMV12</stp>
        <stp>[XSLP -Swap Line Pricer.xlsm]Swaptions!R36C85</stp>
        <stp>Enter deal type or saved ID.</stp>
        <stp>array=true</stp>
        <tr r="CG36" s="5"/>
      </tp>
      <tp t="s">
        <v>#N/A Invalid object ID</v>
        <stp/>
        <stp>##V3_BMARKETPARAMV12</stp>
        <stp>[XSLP -Swap Line Pricer.xlsm]Swaptions!R25C84</stp>
        <stp>Enter deal type or saved ID.</stp>
        <stp>array=true</stp>
        <tr r="CF25" s="5"/>
      </tp>
      <tp t="s">
        <v>#N/A Invalid object ID</v>
        <stp/>
        <stp>##V3_BMARKETPARAMV12</stp>
        <stp>[XSLP -Swap Line Pricer.xlsm]Swaptions!R35C85</stp>
        <stp>Enter deal type or saved ID.</stp>
        <stp>array=true</stp>
        <tr r="CG35" s="5"/>
      </tp>
      <tp t="s">
        <v>#N/A Invalid object ID</v>
        <stp/>
        <stp>##V3_BMARKETPARAMV12</stp>
        <stp>[XSLP -Swap Line Pricer.xlsm]Swaptions!R24C84</stp>
        <stp>Enter deal type or saved ID.</stp>
        <stp>array=true</stp>
        <tr r="CF24" s="5"/>
      </tp>
      <tp t="s">
        <v>#N/A Invalid object ID</v>
        <stp/>
        <stp>##V3_BMARKETPARAMV12</stp>
        <stp>[XSLP -Swap Line Pricer.xlsm]Swaptions!R34C85</stp>
        <stp>Enter deal type or saved ID.</stp>
        <stp>array=true</stp>
        <tr r="CG34" s="5"/>
      </tp>
      <tp t="s">
        <v>#N/A Invalid object ID</v>
        <stp/>
        <stp>##V3_BMARKETPARAMV12</stp>
        <stp>[XSLP -Swap Line Pricer.xlsm]Swaptions!R23C84</stp>
        <stp>Enter deal type or saved ID.</stp>
        <stp>array=true</stp>
        <tr r="CF23" s="5"/>
      </tp>
      <tp t="s">
        <v>#N/A Invalid object ID</v>
        <stp/>
        <stp>##V3_BMARKETPARAMV12</stp>
        <stp>[XSLP -Swap Line Pricer.xlsm]Swaptions!R33C85</stp>
        <stp>Enter deal type or saved ID.</stp>
        <stp>array=true</stp>
        <tr r="CG33" s="5"/>
      </tp>
      <tp t="s">
        <v>#N/A Invalid object ID</v>
        <stp/>
        <stp>##V3_BMARKETPARAMV12</stp>
        <stp>[XSLP -Swap Line Pricer.xlsm]Swaptions!R22C84</stp>
        <stp>Enter deal type or saved ID.</stp>
        <stp>array=true</stp>
        <tr r="CF22" s="5"/>
      </tp>
      <tp t="s">
        <v>#N/A Invalid object ID</v>
        <stp/>
        <stp>##V3_BMARKETPARAMV12</stp>
        <stp>[XSLP -Swap Line Pricer.xlsm]Swaptions!R32C85</stp>
        <stp>Enter deal type or saved ID.</stp>
        <stp>array=true</stp>
        <tr r="CG32" s="5"/>
      </tp>
      <tp t="s">
        <v>#N/A Invalid object ID</v>
        <stp/>
        <stp>##V3_BMARKETPARAMV12</stp>
        <stp>[XSLP -Swap Line Pricer.xlsm]Swaptions!R21C84</stp>
        <stp>Enter deal type or saved ID.</stp>
        <stp>array=true</stp>
        <tr r="CF21" s="5"/>
      </tp>
      <tp t="s">
        <v>#N/A Invalid object ID</v>
        <stp/>
        <stp>##V3_BMARKETPARAMV12</stp>
        <stp>[XSLP -Swap Line Pricer.xlsm]Swaptions!R31C85</stp>
        <stp>Enter deal type or saved ID.</stp>
        <stp>array=true</stp>
        <tr r="CG31" s="5"/>
      </tp>
      <tp t="s">
        <v>#N/A Invalid object ID</v>
        <stp/>
        <stp>##V3_BMARKETPARAMV12</stp>
        <stp>[XSLP -Swap Line Pricer.xlsm]Swaptions!R20C84</stp>
        <stp>Enter deal type or saved ID.</stp>
        <stp>array=true</stp>
        <tr r="CF20" s="5"/>
      </tp>
      <tp t="s">
        <v>#N/A Invalid object ID</v>
        <stp/>
        <stp>##V3_BMARKETPARAMV12</stp>
        <stp>[XSLP -Swap Line Pricer.xlsm]Swaptions!R30C85</stp>
        <stp>Enter deal type or saved ID.</stp>
        <stp>array=true</stp>
        <tr r="CG30" s="5"/>
      </tp>
      <tp t="s">
        <v>#N/A Invalid object ID</v>
        <stp/>
        <stp>##V3_BMARKETPARAMV12</stp>
        <stp>[XSLP -Swap Line Pricer.xlsm]Swaptions!R29C84</stp>
        <stp>Enter deal type or saved ID.</stp>
        <stp>array=true</stp>
        <tr r="CF29" s="5"/>
      </tp>
      <tp t="s">
        <v>#N/A Invalid object ID</v>
        <stp/>
        <stp>##V3_BMARKETPARAMV12</stp>
        <stp>[XSLP -Swap Line Pricer.xlsm]Swaptions!R39C85</stp>
        <stp>Enter deal type or saved ID.</stp>
        <stp>array=true</stp>
        <tr r="CG39" s="5"/>
      </tp>
      <tp t="s">
        <v>#N/A Invalid object ID</v>
        <stp/>
        <stp>##V3_BMARKETPARAMV12</stp>
        <stp>[XSLP -Swap Line Pricer.xlsm]Swaptions!R28C84</stp>
        <stp>Enter deal type or saved ID.</stp>
        <stp>array=true</stp>
        <tr r="CF28" s="5"/>
      </tp>
      <tp t="s">
        <v>#N/A Invalid object ID</v>
        <stp/>
        <stp>##V3_BMARKETPARAMV12</stp>
        <stp>[XSLP -Swap Line Pricer.xlsm]Swaptions!R38C85</stp>
        <stp>Enter deal type or saved ID.</stp>
        <stp>array=true</stp>
        <tr r="CG38" s="5"/>
      </tp>
      <tp t="s">
        <v>#N/A Invalid object ID</v>
        <stp/>
        <stp>##V3_BMARKETPARAMV12</stp>
        <stp>[XSLP -Swap Line Pricer.xlsm]Swaptions!R27C87</stp>
        <stp>Enter deal type or saved ID.</stp>
        <stp>array=true</stp>
        <tr r="CI27" s="5"/>
      </tp>
      <tp t="s">
        <v>#N/A Invalid object ID</v>
        <stp/>
        <stp>##V3_BMARKETPARAMV12</stp>
        <stp>[XSLP -Swap Line Pricer.xlsm]Swaptions!R37C86</stp>
        <stp>Enter deal type or saved ID.</stp>
        <stp>array=true</stp>
        <tr r="CH37" s="5"/>
      </tp>
      <tp t="s">
        <v>#N/A Invalid object ID</v>
        <stp/>
        <stp>##V3_BMARKETPARAMV12</stp>
        <stp>[XSLP -Swap Line Pricer.xlsm]Swaptions!R26C87</stp>
        <stp>Enter deal type or saved ID.</stp>
        <stp>array=true</stp>
        <tr r="CI26" s="5"/>
      </tp>
      <tp t="s">
        <v>#N/A Invalid object ID</v>
        <stp/>
        <stp>##V3_BMARKETPARAMV12</stp>
        <stp>[XSLP -Swap Line Pricer.xlsm]Swaptions!R36C86</stp>
        <stp>Enter deal type or saved ID.</stp>
        <stp>array=true</stp>
        <tr r="CH36" s="5"/>
      </tp>
      <tp t="s">
        <v>#N/A Invalid object ID</v>
        <stp/>
        <stp>##V3_BMARKETPARAMV12</stp>
        <stp>[XSLP -Swap Line Pricer.xlsm]Swaptions!R25C87</stp>
        <stp>Enter deal type or saved ID.</stp>
        <stp>array=true</stp>
        <tr r="CI25" s="5"/>
      </tp>
      <tp t="s">
        <v>#N/A Invalid object ID</v>
        <stp/>
        <stp>##V3_BMARKETPARAMV12</stp>
        <stp>[XSLP -Swap Line Pricer.xlsm]Swaptions!R35C86</stp>
        <stp>Enter deal type or saved ID.</stp>
        <stp>array=true</stp>
        <tr r="CH35" s="5"/>
      </tp>
      <tp t="s">
        <v>#N/A Invalid object ID</v>
        <stp/>
        <stp>##V3_BMARKETPARAMV12</stp>
        <stp>[XSLP -Swap Line Pricer.xlsm]Swaptions!R24C87</stp>
        <stp>Enter deal type or saved ID.</stp>
        <stp>array=true</stp>
        <tr r="CI24" s="5"/>
      </tp>
      <tp t="s">
        <v>#N/A Invalid object ID</v>
        <stp/>
        <stp>##V3_BMARKETPARAMV12</stp>
        <stp>[XSLP -Swap Line Pricer.xlsm]Swaptions!R34C86</stp>
        <stp>Enter deal type or saved ID.</stp>
        <stp>array=true</stp>
        <tr r="CH34" s="5"/>
      </tp>
      <tp t="s">
        <v>#N/A Invalid object ID</v>
        <stp/>
        <stp>##V3_BMARKETPARAMV12</stp>
        <stp>[XSLP -Swap Line Pricer.xlsm]Swaptions!R23C87</stp>
        <stp>Enter deal type or saved ID.</stp>
        <stp>array=true</stp>
        <tr r="CI23" s="5"/>
      </tp>
      <tp t="s">
        <v>#N/A Invalid object ID</v>
        <stp/>
        <stp>##V3_BMARKETPARAMV12</stp>
        <stp>[XSLP -Swap Line Pricer.xlsm]Swaptions!R33C86</stp>
        <stp>Enter deal type or saved ID.</stp>
        <stp>array=true</stp>
        <tr r="CH33" s="5"/>
      </tp>
      <tp t="s">
        <v>#N/A Invalid object ID</v>
        <stp/>
        <stp>##V3_BMARKETPARAMV12</stp>
        <stp>[XSLP -Swap Line Pricer.xlsm]Swaptions!R22C87</stp>
        <stp>Enter deal type or saved ID.</stp>
        <stp>array=true</stp>
        <tr r="CI22" s="5"/>
      </tp>
      <tp t="s">
        <v>#N/A Invalid object ID</v>
        <stp/>
        <stp>##V3_BMARKETPARAMV12</stp>
        <stp>[XSLP -Swap Line Pricer.xlsm]Swaptions!R32C86</stp>
        <stp>Enter deal type or saved ID.</stp>
        <stp>array=true</stp>
        <tr r="CH32" s="5"/>
      </tp>
      <tp t="s">
        <v>#N/A Invalid object ID</v>
        <stp/>
        <stp>##V3_BMARKETPARAMV12</stp>
        <stp>[XSLP -Swap Line Pricer.xlsm]Swaptions!R21C87</stp>
        <stp>Enter deal type or saved ID.</stp>
        <stp>array=true</stp>
        <tr r="CI21" s="5"/>
      </tp>
      <tp t="s">
        <v>#N/A Invalid object ID</v>
        <stp/>
        <stp>##V3_BMARKETPARAMV12</stp>
        <stp>[XSLP -Swap Line Pricer.xlsm]Swaptions!R31C86</stp>
        <stp>Enter deal type or saved ID.</stp>
        <stp>array=true</stp>
        <tr r="CH31" s="5"/>
      </tp>
      <tp t="s">
        <v>#N/A Invalid object ID</v>
        <stp/>
        <stp>##V3_BMARKETPARAMV12</stp>
        <stp>[XSLP -Swap Line Pricer.xlsm]Swaptions!R20C87</stp>
        <stp>Enter deal type or saved ID.</stp>
        <stp>array=true</stp>
        <tr r="CI20" s="5"/>
      </tp>
      <tp t="s">
        <v>#N/A Invalid object ID</v>
        <stp/>
        <stp>##V3_BMARKETPARAMV12</stp>
        <stp>[XSLP -Swap Line Pricer.xlsm]Swaptions!R30C86</stp>
        <stp>Enter deal type or saved ID.</stp>
        <stp>array=true</stp>
        <tr r="CH30" s="5"/>
      </tp>
      <tp t="s">
        <v>#N/A Invalid object ID</v>
        <stp/>
        <stp>##V3_BMARKETPARAMV12</stp>
        <stp>[XSLP -Swap Line Pricer.xlsm]Swaptions!R29C87</stp>
        <stp>Enter deal type or saved ID.</stp>
        <stp>array=true</stp>
        <tr r="CI29" s="5"/>
      </tp>
      <tp t="s">
        <v>#N/A Invalid object ID</v>
        <stp/>
        <stp>##V3_BMARKETPARAMV12</stp>
        <stp>[XSLP -Swap Line Pricer.xlsm]Swaptions!R39C86</stp>
        <stp>Enter deal type or saved ID.</stp>
        <stp>array=true</stp>
        <tr r="CH39" s="5"/>
      </tp>
      <tp t="s">
        <v>#N/A Invalid object ID</v>
        <stp/>
        <stp>##V3_BMARKETPARAMV12</stp>
        <stp>[XSLP -Swap Line Pricer.xlsm]Swaptions!R28C87</stp>
        <stp>Enter deal type or saved ID.</stp>
        <stp>array=true</stp>
        <tr r="CI28" s="5"/>
      </tp>
      <tp t="s">
        <v>#N/A Invalid object ID</v>
        <stp/>
        <stp>##V3_BMARKETPARAMV12</stp>
        <stp>[XSLP -Swap Line Pricer.xlsm]Swaptions!R38C86</stp>
        <stp>Enter deal type or saved ID.</stp>
        <stp>array=true</stp>
        <tr r="CH38" s="5"/>
      </tp>
      <tp t="s">
        <v>#N/A Invalid object ID</v>
        <stp/>
        <stp>##V3_BMARKETPARAMV12</stp>
        <stp>[XSLP -Swap Line Pricer.xlsm]Swaptions!R27C86</stp>
        <stp>Enter deal type or saved ID.</stp>
        <stp>array=true</stp>
        <tr r="CH27" s="5"/>
      </tp>
      <tp t="s">
        <v>#N/A Invalid object ID</v>
        <stp/>
        <stp>##V3_BMARKETPARAMV12</stp>
        <stp>[XSLP -Swap Line Pricer.xlsm]Swaptions!R37C87</stp>
        <stp>Enter deal type or saved ID.</stp>
        <stp>array=true</stp>
        <tr r="CI37" s="5"/>
      </tp>
      <tp t="s">
        <v>#N/A Invalid object ID</v>
        <stp/>
        <stp>##V3_BMARKETPARAMV12</stp>
        <stp>[XSLP -Swap Line Pricer.xlsm]Swaptions!R26C86</stp>
        <stp>Enter deal type or saved ID.</stp>
        <stp>array=true</stp>
        <tr r="CH26" s="5"/>
      </tp>
      <tp t="s">
        <v>#N/A Invalid object ID</v>
        <stp/>
        <stp>##V3_BMARKETPARAMV12</stp>
        <stp>[XSLP -Swap Line Pricer.xlsm]Swaptions!R36C87</stp>
        <stp>Enter deal type or saved ID.</stp>
        <stp>array=true</stp>
        <tr r="CI36" s="5"/>
      </tp>
      <tp t="s">
        <v>#N/A Invalid object ID</v>
        <stp/>
        <stp>##V3_BMARKETPARAMV12</stp>
        <stp>[XSLP -Swap Line Pricer.xlsm]Swaptions!R25C86</stp>
        <stp>Enter deal type or saved ID.</stp>
        <stp>array=true</stp>
        <tr r="CH25" s="5"/>
      </tp>
      <tp t="s">
        <v>#N/A Invalid object ID</v>
        <stp/>
        <stp>##V3_BMARKETPARAMV12</stp>
        <stp>[XSLP -Swap Line Pricer.xlsm]Swaptions!R35C87</stp>
        <stp>Enter deal type or saved ID.</stp>
        <stp>array=true</stp>
        <tr r="CI35" s="5"/>
      </tp>
      <tp t="s">
        <v>#N/A Invalid object ID</v>
        <stp/>
        <stp>##V3_BMARKETPARAMV12</stp>
        <stp>[XSLP -Swap Line Pricer.xlsm]Swaptions!R24C86</stp>
        <stp>Enter deal type or saved ID.</stp>
        <stp>array=true</stp>
        <tr r="CH24" s="5"/>
      </tp>
      <tp t="s">
        <v>#N/A Invalid object ID</v>
        <stp/>
        <stp>##V3_BMARKETPARAMV12</stp>
        <stp>[XSLP -Swap Line Pricer.xlsm]Swaptions!R34C87</stp>
        <stp>Enter deal type or saved ID.</stp>
        <stp>array=true</stp>
        <tr r="CI34" s="5"/>
      </tp>
      <tp t="s">
        <v>#N/A Invalid object ID</v>
        <stp/>
        <stp>##V3_BMARKETPARAMV12</stp>
        <stp>[XSLP -Swap Line Pricer.xlsm]Swaptions!R23C86</stp>
        <stp>Enter deal type or saved ID.</stp>
        <stp>array=true</stp>
        <tr r="CH23" s="5"/>
      </tp>
      <tp t="s">
        <v>#N/A Invalid object ID</v>
        <stp/>
        <stp>##V3_BMARKETPARAMV12</stp>
        <stp>[XSLP -Swap Line Pricer.xlsm]Swaptions!R33C87</stp>
        <stp>Enter deal type or saved ID.</stp>
        <stp>array=true</stp>
        <tr r="CI33" s="5"/>
      </tp>
      <tp t="s">
        <v>#N/A Invalid object ID</v>
        <stp/>
        <stp>##V3_BMARKETPARAMV12</stp>
        <stp>[XSLP -Swap Line Pricer.xlsm]Swaptions!R22C86</stp>
        <stp>Enter deal type or saved ID.</stp>
        <stp>array=true</stp>
        <tr r="CH22" s="5"/>
      </tp>
      <tp t="s">
        <v>#N/A Invalid object ID</v>
        <stp/>
        <stp>##V3_BMARKETPARAMV12</stp>
        <stp>[XSLP -Swap Line Pricer.xlsm]Swaptions!R32C87</stp>
        <stp>Enter deal type or saved ID.</stp>
        <stp>array=true</stp>
        <tr r="CI32" s="5"/>
      </tp>
      <tp t="s">
        <v>#N/A Invalid object ID</v>
        <stp/>
        <stp>##V3_BMARKETPARAMV12</stp>
        <stp>[XSLP -Swap Line Pricer.xlsm]Swaptions!R21C86</stp>
        <stp>Enter deal type or saved ID.</stp>
        <stp>array=true</stp>
        <tr r="CH21" s="5"/>
      </tp>
      <tp t="s">
        <v>#N/A Invalid object ID</v>
        <stp/>
        <stp>##V3_BMARKETPARAMV12</stp>
        <stp>[XSLP -Swap Line Pricer.xlsm]Swaptions!R31C87</stp>
        <stp>Enter deal type or saved ID.</stp>
        <stp>array=true</stp>
        <tr r="CI31" s="5"/>
      </tp>
      <tp t="s">
        <v>#N/A Invalid object ID</v>
        <stp/>
        <stp>##V3_BMARKETPARAMV12</stp>
        <stp>[XSLP -Swap Line Pricer.xlsm]Swaptions!R20C86</stp>
        <stp>Enter deal type or saved ID.</stp>
        <stp>array=true</stp>
        <tr r="CH20" s="5"/>
      </tp>
      <tp t="s">
        <v>#N/A Invalid object ID</v>
        <stp/>
        <stp>##V3_BMARKETPARAMV12</stp>
        <stp>[XSLP -Swap Line Pricer.xlsm]Swaptions!R30C87</stp>
        <stp>Enter deal type or saved ID.</stp>
        <stp>array=true</stp>
        <tr r="CI30" s="5"/>
      </tp>
      <tp t="s">
        <v>#N/A Invalid object ID</v>
        <stp/>
        <stp>##V3_BMARKETPARAMV12</stp>
        <stp>[XSLP -Swap Line Pricer.xlsm]Swaptions!R29C86</stp>
        <stp>Enter deal type or saved ID.</stp>
        <stp>array=true</stp>
        <tr r="CH29" s="5"/>
      </tp>
      <tp t="s">
        <v>#N/A Invalid object ID</v>
        <stp/>
        <stp>##V3_BMARKETPARAMV12</stp>
        <stp>[XSLP -Swap Line Pricer.xlsm]Swaptions!R39C87</stp>
        <stp>Enter deal type or saved ID.</stp>
        <stp>array=true</stp>
        <tr r="CI39" s="5"/>
      </tp>
      <tp t="s">
        <v>#N/A Invalid object ID</v>
        <stp/>
        <stp>##V3_BMARKETPARAMV12</stp>
        <stp>[XSLP -Swap Line Pricer.xlsm]Swaptions!R28C86</stp>
        <stp>Enter deal type or saved ID.</stp>
        <stp>array=true</stp>
        <tr r="CH28" s="5"/>
      </tp>
      <tp t="s">
        <v>#N/A Invalid object ID</v>
        <stp/>
        <stp>##V3_BMARKETPARAMV12</stp>
        <stp>[XSLP -Swap Line Pricer.xlsm]Swaptions!R38C87</stp>
        <stp>Enter deal type or saved ID.</stp>
        <stp>array=true</stp>
        <tr r="CI38" s="5"/>
      </tp>
      <tp t="s">
        <v>#N/A Invalid object ID</v>
        <stp/>
        <stp>##V3_BMARKETPARAMV12</stp>
        <stp>[XSLP -Swap Line Pricer.xlsm]Swaptions!R27C89</stp>
        <stp>Enter deal type or saved ID.</stp>
        <stp>array=true</stp>
        <tr r="CK27" s="5"/>
      </tp>
      <tp t="s">
        <v>#N/A Invalid object ID</v>
        <stp/>
        <stp>##V3_BMARKETPARAMV12</stp>
        <stp>[XSLP -Swap Line Pricer.xlsm]Swaptions!R37C88</stp>
        <stp>Enter deal type or saved ID.</stp>
        <stp>array=true</stp>
        <tr r="CJ37" s="5"/>
      </tp>
      <tp t="s">
        <v>#N/A Invalid object ID</v>
        <stp/>
        <stp>##V3_BMARKETPARAMV12</stp>
        <stp>[XSLP -Swap Line Pricer.xlsm]Swaptions!R26C89</stp>
        <stp>Enter deal type or saved ID.</stp>
        <stp>array=true</stp>
        <tr r="CK26" s="5"/>
      </tp>
      <tp t="s">
        <v>#N/A Invalid object ID</v>
        <stp/>
        <stp>##V3_BMARKETPARAMV12</stp>
        <stp>[XSLP -Swap Line Pricer.xlsm]Swaptions!R36C88</stp>
        <stp>Enter deal type or saved ID.</stp>
        <stp>array=true</stp>
        <tr r="CJ36" s="5"/>
      </tp>
      <tp t="s">
        <v>#N/A Invalid object ID</v>
        <stp/>
        <stp>##V3_BMARKETPARAMV12</stp>
        <stp>[XSLP -Swap Line Pricer.xlsm]Swaptions!R25C89</stp>
        <stp>Enter deal type or saved ID.</stp>
        <stp>array=true</stp>
        <tr r="CK25" s="5"/>
      </tp>
      <tp t="s">
        <v>#N/A Invalid object ID</v>
        <stp/>
        <stp>##V3_BMARKETPARAMV12</stp>
        <stp>[XSLP -Swap Line Pricer.xlsm]Swaptions!R35C88</stp>
        <stp>Enter deal type or saved ID.</stp>
        <stp>array=true</stp>
        <tr r="CJ35" s="5"/>
      </tp>
      <tp t="s">
        <v>#N/A Invalid object ID</v>
        <stp/>
        <stp>##V3_BMARKETPARAMV12</stp>
        <stp>[XSLP -Swap Line Pricer.xlsm]Swaptions!R24C89</stp>
        <stp>Enter deal type or saved ID.</stp>
        <stp>array=true</stp>
        <tr r="CK24" s="5"/>
      </tp>
      <tp t="s">
        <v>#N/A Invalid object ID</v>
        <stp/>
        <stp>##V3_BMARKETPARAMV12</stp>
        <stp>[XSLP -Swap Line Pricer.xlsm]Swaptions!R34C88</stp>
        <stp>Enter deal type or saved ID.</stp>
        <stp>array=true</stp>
        <tr r="CJ34" s="5"/>
      </tp>
      <tp t="s">
        <v>#N/A Invalid object ID</v>
        <stp/>
        <stp>##V3_BMARKETPARAMV12</stp>
        <stp>[XSLP -Swap Line Pricer.xlsm]Swaptions!R23C89</stp>
        <stp>Enter deal type or saved ID.</stp>
        <stp>array=true</stp>
        <tr r="CK23" s="5"/>
      </tp>
      <tp t="s">
        <v>#N/A Invalid object ID</v>
        <stp/>
        <stp>##V3_BMARKETPARAMV12</stp>
        <stp>[XSLP -Swap Line Pricer.xlsm]Swaptions!R33C88</stp>
        <stp>Enter deal type or saved ID.</stp>
        <stp>array=true</stp>
        <tr r="CJ33" s="5"/>
      </tp>
      <tp t="s">
        <v>#N/A Invalid object ID</v>
        <stp/>
        <stp>##V3_BMARKETPARAMV12</stp>
        <stp>[XSLP -Swap Line Pricer.xlsm]Swaptions!R22C89</stp>
        <stp>Enter deal type or saved ID.</stp>
        <stp>array=true</stp>
        <tr r="CK22" s="5"/>
      </tp>
      <tp t="s">
        <v>#N/A Invalid object ID</v>
        <stp/>
        <stp>##V3_BMARKETPARAMV12</stp>
        <stp>[XSLP -Swap Line Pricer.xlsm]Swaptions!R32C88</stp>
        <stp>Enter deal type or saved ID.</stp>
        <stp>array=true</stp>
        <tr r="CJ32" s="5"/>
      </tp>
      <tp t="s">
        <v>#N/A Invalid object ID</v>
        <stp/>
        <stp>##V3_BMARKETPARAMV12</stp>
        <stp>[XSLP -Swap Line Pricer.xlsm]Swaptions!R21C89</stp>
        <stp>Enter deal type or saved ID.</stp>
        <stp>array=true</stp>
        <tr r="CK21" s="5"/>
      </tp>
      <tp t="s">
        <v>#N/A Invalid object ID</v>
        <stp/>
        <stp>##V3_BMARKETPARAMV12</stp>
        <stp>[XSLP -Swap Line Pricer.xlsm]Swaptions!R31C88</stp>
        <stp>Enter deal type or saved ID.</stp>
        <stp>array=true</stp>
        <tr r="CJ31" s="5"/>
      </tp>
      <tp t="s">
        <v>#N/A Invalid object ID</v>
        <stp/>
        <stp>##V3_BMARKETPARAMV12</stp>
        <stp>[XSLP -Swap Line Pricer.xlsm]Swaptions!R20C89</stp>
        <stp>Enter deal type or saved ID.</stp>
        <stp>array=true</stp>
        <tr r="CK20" s="5"/>
      </tp>
      <tp t="s">
        <v>#N/A Invalid object ID</v>
        <stp/>
        <stp>##V3_BMARKETPARAMV12</stp>
        <stp>[XSLP -Swap Line Pricer.xlsm]Swaptions!R30C88</stp>
        <stp>Enter deal type or saved ID.</stp>
        <stp>array=true</stp>
        <tr r="CJ30" s="5"/>
      </tp>
      <tp t="s">
        <v>#N/A Invalid object ID</v>
        <stp/>
        <stp>##V3_BMARKETPARAMV12</stp>
        <stp>[XSLP -Swap Line Pricer.xlsm]Swaptions!R29C89</stp>
        <stp>Enter deal type or saved ID.</stp>
        <stp>array=true</stp>
        <tr r="CK29" s="5"/>
      </tp>
      <tp t="s">
        <v>#N/A Invalid object ID</v>
        <stp/>
        <stp>##V3_BMARKETPARAMV12</stp>
        <stp>[XSLP -Swap Line Pricer.xlsm]Swaptions!R39C88</stp>
        <stp>Enter deal type or saved ID.</stp>
        <stp>array=true</stp>
        <tr r="CJ39" s="5"/>
      </tp>
      <tp t="s">
        <v>#N/A Invalid object ID</v>
        <stp/>
        <stp>##V3_BMARKETPARAMV12</stp>
        <stp>[XSLP -Swap Line Pricer.xlsm]Swaptions!R28C89</stp>
        <stp>Enter deal type or saved ID.</stp>
        <stp>array=true</stp>
        <tr r="CK28" s="5"/>
      </tp>
      <tp t="s">
        <v>#N/A Invalid object ID</v>
        <stp/>
        <stp>##V3_BMARKETPARAMV12</stp>
        <stp>[XSLP -Swap Line Pricer.xlsm]Swaptions!R38C88</stp>
        <stp>Enter deal type or saved ID.</stp>
        <stp>array=true</stp>
        <tr r="CJ38" s="5"/>
      </tp>
      <tp t="s">
        <v>#N/A Invalid object ID</v>
        <stp/>
        <stp>##V3_BMARKETPARAMV12</stp>
        <stp>[XSLP -Swap Line Pricer.xlsm]Swaptions!R27C88</stp>
        <stp>Enter deal type or saved ID.</stp>
        <stp>array=true</stp>
        <tr r="CJ27" s="5"/>
      </tp>
      <tp t="s">
        <v>#N/A Invalid object ID</v>
        <stp/>
        <stp>##V3_BMARKETPARAMV12</stp>
        <stp>[XSLP -Swap Line Pricer.xlsm]Swaptions!R37C89</stp>
        <stp>Enter deal type or saved ID.</stp>
        <stp>array=true</stp>
        <tr r="CK37" s="5"/>
      </tp>
      <tp t="s">
        <v>#N/A Invalid object ID</v>
        <stp/>
        <stp>##V3_BMARKETPARAMV12</stp>
        <stp>[XSLP -Swap Line Pricer.xlsm]Swaptions!R26C88</stp>
        <stp>Enter deal type or saved ID.</stp>
        <stp>array=true</stp>
        <tr r="CJ26" s="5"/>
      </tp>
      <tp t="s">
        <v>#N/A Invalid object ID</v>
        <stp/>
        <stp>##V3_BMARKETPARAMV12</stp>
        <stp>[XSLP -Swap Line Pricer.xlsm]Swaptions!R36C89</stp>
        <stp>Enter deal type or saved ID.</stp>
        <stp>array=true</stp>
        <tr r="CK36" s="5"/>
      </tp>
      <tp t="s">
        <v>#N/A Invalid object ID</v>
        <stp/>
        <stp>##V3_BMARKETPARAMV12</stp>
        <stp>[XSLP -Swap Line Pricer.xlsm]Swaptions!R25C88</stp>
        <stp>Enter deal type or saved ID.</stp>
        <stp>array=true</stp>
        <tr r="CJ25" s="5"/>
      </tp>
      <tp t="s">
        <v>#N/A Invalid object ID</v>
        <stp/>
        <stp>##V3_BMARKETPARAMV12</stp>
        <stp>[XSLP -Swap Line Pricer.xlsm]Swaptions!R35C89</stp>
        <stp>Enter deal type or saved ID.</stp>
        <stp>array=true</stp>
        <tr r="CK35" s="5"/>
      </tp>
      <tp t="s">
        <v>#N/A Invalid object ID</v>
        <stp/>
        <stp>##V3_BMARKETPARAMV12</stp>
        <stp>[XSLP -Swap Line Pricer.xlsm]Swaptions!R24C88</stp>
        <stp>Enter deal type or saved ID.</stp>
        <stp>array=true</stp>
        <tr r="CJ24" s="5"/>
      </tp>
      <tp t="s">
        <v>#N/A Invalid object ID</v>
        <stp/>
        <stp>##V3_BMARKETPARAMV12</stp>
        <stp>[XSLP -Swap Line Pricer.xlsm]Swaptions!R34C89</stp>
        <stp>Enter deal type or saved ID.</stp>
        <stp>array=true</stp>
        <tr r="CK34" s="5"/>
      </tp>
      <tp t="s">
        <v>#N/A Invalid object ID</v>
        <stp/>
        <stp>##V3_BMARKETPARAMV12</stp>
        <stp>[XSLP -Swap Line Pricer.xlsm]Swaptions!R23C88</stp>
        <stp>Enter deal type or saved ID.</stp>
        <stp>array=true</stp>
        <tr r="CJ23" s="5"/>
      </tp>
      <tp t="s">
        <v>#N/A Invalid object ID</v>
        <stp/>
        <stp>##V3_BMARKETPARAMV12</stp>
        <stp>[XSLP -Swap Line Pricer.xlsm]Swaptions!R33C89</stp>
        <stp>Enter deal type or saved ID.</stp>
        <stp>array=true</stp>
        <tr r="CK33" s="5"/>
      </tp>
      <tp t="s">
        <v>#N/A Invalid object ID</v>
        <stp/>
        <stp>##V3_BMARKETPARAMV12</stp>
        <stp>[XSLP -Swap Line Pricer.xlsm]Swaptions!R22C88</stp>
        <stp>Enter deal type or saved ID.</stp>
        <stp>array=true</stp>
        <tr r="CJ22" s="5"/>
      </tp>
      <tp t="s">
        <v>#N/A Invalid object ID</v>
        <stp/>
        <stp>##V3_BMARKETPARAMV12</stp>
        <stp>[XSLP -Swap Line Pricer.xlsm]Swaptions!R32C89</stp>
        <stp>Enter deal type or saved ID.</stp>
        <stp>array=true</stp>
        <tr r="CK32" s="5"/>
      </tp>
      <tp t="s">
        <v>#N/A Invalid object ID</v>
        <stp/>
        <stp>##V3_BMARKETPARAMV12</stp>
        <stp>[XSLP -Swap Line Pricer.xlsm]Swaptions!R21C88</stp>
        <stp>Enter deal type or saved ID.</stp>
        <stp>array=true</stp>
        <tr r="CJ21" s="5"/>
      </tp>
      <tp t="s">
        <v>#N/A Invalid object ID</v>
        <stp/>
        <stp>##V3_BMARKETPARAMV12</stp>
        <stp>[XSLP -Swap Line Pricer.xlsm]Swaptions!R31C89</stp>
        <stp>Enter deal type or saved ID.</stp>
        <stp>array=true</stp>
        <tr r="CK31" s="5"/>
      </tp>
      <tp t="s">
        <v>#N/A Invalid object ID</v>
        <stp/>
        <stp>##V3_BMARKETPARAMV12</stp>
        <stp>[XSLP -Swap Line Pricer.xlsm]Swaptions!R20C88</stp>
        <stp>Enter deal type or saved ID.</stp>
        <stp>array=true</stp>
        <tr r="CJ20" s="5"/>
      </tp>
      <tp t="s">
        <v>#N/A Invalid object ID</v>
        <stp/>
        <stp>##V3_BMARKETPARAMV12</stp>
        <stp>[XSLP -Swap Line Pricer.xlsm]Swaptions!R30C89</stp>
        <stp>Enter deal type or saved ID.</stp>
        <stp>array=true</stp>
        <tr r="CK30" s="5"/>
      </tp>
      <tp t="s">
        <v>#N/A Invalid object ID</v>
        <stp/>
        <stp>##V3_BMARKETPARAMV12</stp>
        <stp>[XSLP -Swap Line Pricer.xlsm]Swaptions!R29C88</stp>
        <stp>Enter deal type or saved ID.</stp>
        <stp>array=true</stp>
        <tr r="CJ29" s="5"/>
      </tp>
      <tp t="s">
        <v>#N/A Invalid object ID</v>
        <stp/>
        <stp>##V3_BMARKETPARAMV12</stp>
        <stp>[XSLP -Swap Line Pricer.xlsm]Swaptions!R39C89</stp>
        <stp>Enter deal type or saved ID.</stp>
        <stp>array=true</stp>
        <tr r="CK39" s="5"/>
      </tp>
      <tp t="s">
        <v>#N/A Invalid object ID</v>
        <stp/>
        <stp>##V3_BMARKETPARAMV12</stp>
        <stp>[XSLP -Swap Line Pricer.xlsm]Swaptions!R28C88</stp>
        <stp>Enter deal type or saved ID.</stp>
        <stp>array=true</stp>
        <tr r="CJ28" s="5"/>
      </tp>
      <tp t="s">
        <v>#N/A Invalid object ID</v>
        <stp/>
        <stp>##V3_BMARKETPARAMV12</stp>
        <stp>[XSLP -Swap Line Pricer.xlsm]Swaptions!R38C89</stp>
        <stp>Enter deal type or saved ID.</stp>
        <stp>array=true</stp>
        <tr r="CK38" s="5"/>
      </tp>
      <tp>
        <v>0.97031004344051852</v>
        <stp/>
        <stp>##V3_BVIEW</stp>
        <stp>[XSLP -Swap Line Pricer.xlsm]Swaps!R33C5</stp>
        <stp>PRICE FXFL 453040</stp>
        <stp>ParCoupon</stp>
        <stp>headers=false</stp>
        <tr r="E33" s="1"/>
      </tp>
      <tp>
        <v>0.9614747776097825</v>
        <stp/>
        <stp>##V3_BVIEW</stp>
        <stp>[XSLP -Swap Line Pricer.xlsm]Swaps!R32C5</stp>
        <stp>PRICE FXFL 604099</stp>
        <stp>ParCoupon</stp>
        <stp>headers=false</stp>
        <tr r="E32" s="1"/>
      </tp>
      <tp t="s">
        <v>Effect. &amp; Maturity</v>
        <stp/>
        <stp>##V3_BVIEW</stp>
        <stp>[XSLP -Swap Line Pricer.xlsm]Swaps!R28C78</stp>
        <stp>FXFL 164852</stp>
        <stp>PrincipalExchange</stp>
        <stp>headers=false</stp>
        <tr r="BZ28" s="1"/>
        <tr r="BZ28" s="1"/>
      </tp>
      <tp t="s">
        <v>Effect. &amp; Maturity</v>
        <stp/>
        <stp>##V3_BVIEW</stp>
        <stp>[XSLP -Swap Line Pricer.xlsm]Swaps!R29C78</stp>
        <stp>FXFL 431830</stp>
        <stp>PrincipalExchange</stp>
        <stp>headers=false</stp>
        <tr r="BZ29" s="1"/>
        <tr r="BZ29" s="1"/>
      </tp>
      <tp t="s">
        <v>Effect. &amp; Maturity</v>
        <stp/>
        <stp>##V3_BVIEW</stp>
        <stp>[XSLP -Swap Line Pricer.xlsm]Swaps!R24C78</stp>
        <stp>FXFL 651808</stp>
        <stp>PrincipalExchange</stp>
        <stp>headers=false</stp>
        <tr r="BZ24" s="1"/>
        <tr r="BZ24" s="1"/>
      </tp>
      <tp t="s">
        <v>#N/A No matches found [Parameter:OUTPUT]</v>
        <stp/>
        <stp>##V3_BVIEW</stp>
        <stp>[XSLP -Swap Line Pricer.xlsm]Swaps!R29C64</stp>
        <stp>FXFL 431830</stp>
        <stp>Leg[1].ResetFrequency</stp>
        <stp>headers=false</stp>
        <tr r="BL29" s="1"/>
      </tp>
      <tp t="s">
        <v>#N/A No matches found [Parameter:OUTPUT]</v>
        <stp/>
        <stp>##V3_BVIEW</stp>
        <stp>[XSLP -Swap Line Pricer.xlsm]Swaps!R24C64</stp>
        <stp>FXFL 651808</stp>
        <stp>Leg[1].ResetFrequency</stp>
        <stp>headers=false</stp>
        <tr r="BL24" s="1"/>
      </tp>
      <tp t="s">
        <v>#N/A No matches found [Parameter:OUTPUT]</v>
        <stp/>
        <stp>##V3_BVIEW</stp>
        <stp>[XSLP -Swap Line Pricer.xlsm]Swaps!R28C64</stp>
        <stp>FXFL 164852</stp>
        <stp>Leg[1].ResetFrequency</stp>
        <stp>headers=false</stp>
        <tr r="BL28" s="1"/>
      </tp>
      <tp t="s">
        <v>Name{%s},SolveTarget{%s},Default Setting{%s},Description{%s};DiscountCurve[EUR]{%s},FALSE{%s},S133:Mid:DFLT:EUR OIS{%s},{%s};ForwardCurve[EUR006M]{%s},FALSE{%s},S45:Mid:DFLT:EUR (vs. 6M EURIBOR){%s},{%s}##BCURVE_RS##</v>
        <stp/>
        <stp>##V3_BMARKETPARAMV12</stp>
        <stp>[XSLP -Swap Line Pricer.xlsm]Swaps!R32C88</stp>
        <stp>FXFL 877169</stp>
        <stp>array=true</stp>
        <tr r="CJ32" s="1"/>
      </tp>
      <tp t="s">
        <v>Name{%s},SolveTarget{%s},Default Setting{%s},Description{%s};DiscountCurve[EUR]{%s},FALSE{%s},S133:Mid:DFLT:EUR OIS{%s},{%s};ForwardCurve[EUR006M]{%s},FALSE{%s},S45:Mid:DFLT:EUR (vs. 6M EURIBOR){%s},{%s}##BCURVE_RS##</v>
        <stp/>
        <stp>##V3_BMARKETPARAMV12</stp>
        <stp>[XSLP -Swap Line Pricer.xlsm]Swaps!R32C89</stp>
        <stp>FXFL 877169</stp>
        <stp>array=true</stp>
        <tr r="CK32" s="1"/>
      </tp>
      <tp t="s">
        <v>Name{%s},SolveTarget{%s},Default Setting{%s},Description{%s};DiscountCurve[EUR]{%s},FALSE{%s},S133:Mid:DFLT:EUR OIS{%s},{%s};ForwardCurve[EUR006M]{%s},FALSE{%s},S45:Mid:DFLT:EUR (vs. 6M EURIBOR){%s},{%s}##BCURVE_RS##</v>
        <stp/>
        <stp>##V3_BMARKETPARAMV12</stp>
        <stp>[XSLP -Swap Line Pricer.xlsm]Swaps!R32C82</stp>
        <stp>FXFL 877169</stp>
        <stp>array=true</stp>
        <tr r="CD32" s="1"/>
      </tp>
      <tp t="s">
        <v>Name{%s},SolveTarget{%s},Default Setting{%s},Description{%s};DiscountCurve[EUR]{%s},FALSE{%s},S133:Mid:DFLT:EUR OIS{%s},{%s};ForwardCurve[EUR006M]{%s},FALSE{%s},S45:Mid:DFLT:EUR (vs. 6M EURIBOR){%s},{%s}##BCURVE_RS##</v>
        <stp/>
        <stp>##V3_BMARKETPARAMV12</stp>
        <stp>[XSLP -Swap Line Pricer.xlsm]Swaps!R32C83</stp>
        <stp>FXFL 877169</stp>
        <stp>array=true</stp>
        <tr r="CE32" s="1"/>
      </tp>
      <tp t="s">
        <v>Name{%s},SolveTarget{%s},Default Setting{%s},Description{%s};DiscountCurve[EUR]{%s},FALSE{%s},S133:Mid:DFLT:EUR OIS{%s},{%s};ForwardCurve[EUR006M]{%s},FALSE{%s},S45:Mid:DFLT:EUR (vs. 6M EURIBOR){%s},{%s}##BCURVE_RS##</v>
        <stp/>
        <stp>##V3_BMARKETPARAMV12</stp>
        <stp>[XSLP -Swap Line Pricer.xlsm]Swaps!R32C86</stp>
        <stp>FXFL 877169</stp>
        <stp>array=true</stp>
        <tr r="CH32" s="1"/>
      </tp>
      <tp t="s">
        <v>Name{%s},SolveTarget{%s},Default Setting{%s},Description{%s};DiscountCurve[EUR]{%s},FALSE{%s},S133:Mid:DFLT:EUR OIS{%s},{%s};ForwardCurve[EUR006M]{%s},FALSE{%s},S45:Mid:DFLT:EUR (vs. 6M EURIBOR){%s},{%s}##BCURVE_RS##</v>
        <stp/>
        <stp>##V3_BMARKETPARAMV12</stp>
        <stp>[XSLP -Swap Line Pricer.xlsm]Swaps!R32C87</stp>
        <stp>FXFL 877169</stp>
        <stp>array=true</stp>
        <tr r="CI32" s="1"/>
      </tp>
      <tp t="s">
        <v>Name{%s},SolveTarget{%s},Default Setting{%s},Description{%s};DiscountCurve[EUR]{%s},FALSE{%s},S133:Mid:DFLT:EUR OIS{%s},{%s};ForwardCurve[EUR006M]{%s},FALSE{%s},S45:Mid:DFLT:EUR (vs. 6M EURIBOR){%s},{%s}##BCURVE_RS##</v>
        <stp/>
        <stp>##V3_BMARKETPARAMV12</stp>
        <stp>[XSLP -Swap Line Pricer.xlsm]Swaps!R32C84</stp>
        <stp>FXFL 877169</stp>
        <stp>array=true</stp>
        <tr r="CF32" s="1"/>
      </tp>
      <tp t="s">
        <v>Name{%s},SolveTarget{%s},Default Setting{%s},Description{%s};DiscountCurve[EUR]{%s},FALSE{%s},S133:Mid:DFLT:EUR OIS{%s},{%s};ForwardCurve[EUR006M]{%s},FALSE{%s},S45:Mid:DFLT:EUR (vs. 6M EURIBOR){%s},{%s}##BCURVE_RS##</v>
        <stp/>
        <stp>##V3_BMARKETPARAMV12</stp>
        <stp>[XSLP -Swap Line Pricer.xlsm]Swaps!R32C85</stp>
        <stp>FXFL 877169</stp>
        <stp>array=true</stp>
        <tr r="CG32" s="1"/>
      </tp>
      <tp t="s">
        <v>Name{%s},SolveTarget{%s},Default Setting{%s},Description{%s};DiscountCurve[EUR]{%s},FALSE{%s},S133:Mid:DFLT:EUR OIS{%s},{%s};ForwardCurve[EUR006M]{%s},FALSE{%s},S45:Mid:DFLT:EUR (vs. 6M EURIBOR){%s},{%s}##BCURVE_RS##</v>
        <stp/>
        <stp>##V3_BMARKETPARAMV12</stp>
        <stp>[XSLP -Swap Line Pricer.xlsm]Swaps!R24C88</stp>
        <stp>FXFL 651808</stp>
        <stp>array=true</stp>
        <tr r="CJ24" s="1"/>
      </tp>
      <tp t="s">
        <v>Name{%s},SolveTarget{%s},Default Setting{%s},Description{%s};DiscountCurve[EUR]{%s},FALSE{%s},S133:Mid:DFLT:EUR OIS{%s},{%s};ForwardCurve[EUR006M]{%s},FALSE{%s},S45:Mid:DFLT:EUR (vs. 6M EURIBOR){%s},{%s}##BCURVE_RS##</v>
        <stp/>
        <stp>##V3_BMARKETPARAMV12</stp>
        <stp>[XSLP -Swap Line Pricer.xlsm]Swaps!R24C89</stp>
        <stp>FXFL 651808</stp>
        <stp>array=true</stp>
        <tr r="CK24" s="1"/>
      </tp>
      <tp t="s">
        <v>Name{%s},SolveTarget{%s},Default Setting{%s},Description{%s};DiscountCurve[EUR]{%s},FALSE{%s},S133:Mid:DFLT:EUR OIS{%s},{%s};ForwardCurve[EUR006M]{%s},FALSE{%s},S45:Mid:DFLT:EUR (vs. 6M EURIBOR){%s},{%s}##BCURVE_RS##</v>
        <stp/>
        <stp>##V3_BMARKETPARAMV12</stp>
        <stp>[XSLP -Swap Line Pricer.xlsm]Swaps!R24C82</stp>
        <stp>FXFL 651808</stp>
        <stp>array=true</stp>
        <tr r="CD24" s="1"/>
      </tp>
      <tp t="s">
        <v>Name{%s},SolveTarget{%s},Default Setting{%s},Description{%s};DiscountCurve[EUR]{%s},FALSE{%s},S133:Mid:DFLT:EUR OIS{%s},{%s};ForwardCurve[EUR006M]{%s},FALSE{%s},S45:Mid:DFLT:EUR (vs. 6M EURIBOR){%s},{%s}##BCURVE_RS##</v>
        <stp/>
        <stp>##V3_BMARKETPARAMV12</stp>
        <stp>[XSLP -Swap Line Pricer.xlsm]Swaps!R24C83</stp>
        <stp>FXFL 651808</stp>
        <stp>array=true</stp>
        <tr r="CE24" s="1"/>
      </tp>
      <tp t="s">
        <v>Name{%s},SolveTarget{%s},Default Setting{%s},Description{%s};DiscountCurve[EUR]{%s},FALSE{%s},S133:Mid:DFLT:EUR OIS{%s},{%s};ForwardCurve[EUR006M]{%s},FALSE{%s},S45:Mid:DFLT:EUR (vs. 6M EURIBOR){%s},{%s}##BCURVE_RS##</v>
        <stp/>
        <stp>##V3_BMARKETPARAMV12</stp>
        <stp>[XSLP -Swap Line Pricer.xlsm]Swaps!R24C84</stp>
        <stp>FXFL 651808</stp>
        <stp>array=true</stp>
        <tr r="CF24" s="1"/>
      </tp>
      <tp t="s">
        <v>Name{%s},SolveTarget{%s},Default Setting{%s},Description{%s};DiscountCurve[EUR]{%s},FALSE{%s},S133:Mid:DFLT:EUR OIS{%s},{%s};ForwardCurve[EUR006M]{%s},FALSE{%s},S45:Mid:DFLT:EUR (vs. 6M EURIBOR){%s},{%s}##BCURVE_RS##</v>
        <stp/>
        <stp>##V3_BMARKETPARAMV12</stp>
        <stp>[XSLP -Swap Line Pricer.xlsm]Swaps!R24C85</stp>
        <stp>FXFL 651808</stp>
        <stp>array=true</stp>
        <tr r="CG24" s="1"/>
      </tp>
      <tp t="s">
        <v>Name{%s},SolveTarget{%s},Default Setting{%s},Description{%s};DiscountCurve[EUR]{%s},FALSE{%s},S133:Mid:DFLT:EUR OIS{%s},{%s};ForwardCurve[EUR006M]{%s},FALSE{%s},S45:Mid:DFLT:EUR (vs. 6M EURIBOR){%s},{%s}##BCURVE_RS##</v>
        <stp/>
        <stp>##V3_BMARKETPARAMV12</stp>
        <stp>[XSLP -Swap Line Pricer.xlsm]Swaps!R24C86</stp>
        <stp>FXFL 651808</stp>
        <stp>array=true</stp>
        <tr r="CH24" s="1"/>
      </tp>
      <tp t="s">
        <v>Name{%s},SolveTarget{%s},Default Setting{%s},Description{%s};DiscountCurve[EUR]{%s},FALSE{%s},S133:Mid:DFLT:EUR OIS{%s},{%s};ForwardCurve[EUR006M]{%s},FALSE{%s},S45:Mid:DFLT:EUR (vs. 6M EURIBOR){%s},{%s}##BCURVE_RS##</v>
        <stp/>
        <stp>##V3_BMARKETPARAMV12</stp>
        <stp>[XSLP -Swap Line Pricer.xlsm]Swaps!R24C87</stp>
        <stp>FXFL 651808</stp>
        <stp>array=true</stp>
        <tr r="CI24" s="1"/>
      </tp>
      <tp t="s">
        <v>Effect. &amp; Maturity</v>
        <stp/>
        <stp>##V3_BVIEW</stp>
        <stp>[XSLP -Swap Line Pricer.xlsm]Swaps!R30C78</stp>
        <stp>FXFL 631990</stp>
        <stp>PrincipalExchange</stp>
        <stp>headers=false</stp>
        <tr r="BZ30" s="1"/>
        <tr r="BZ30" s="1"/>
      </tp>
      <tp t="s">
        <v>Effect. &amp; Maturity</v>
        <stp/>
        <stp>##V3_BVIEW</stp>
        <stp>[XSLP -Swap Line Pricer.xlsm]Swaps!R31C78</stp>
        <stp>FXFL 625950</stp>
        <stp>PrincipalExchange</stp>
        <stp>headers=false</stp>
        <tr r="BZ31" s="1"/>
        <tr r="BZ31" s="1"/>
      </tp>
      <tp t="s">
        <v>#N/A No matches found [Parameter:OUTPUT]</v>
        <stp/>
        <stp>##V3_BVIEW</stp>
        <stp>[XSLP -Swap Line Pricer.xlsm]Swaps!R30C64</stp>
        <stp>FXFL 631990</stp>
        <stp>Leg[1].ResetFrequency</stp>
        <stp>headers=false</stp>
        <tr r="BL30" s="1"/>
      </tp>
      <tp t="s">
        <v>#N/A Invalid object ID</v>
        <stp/>
        <stp>##V3_BVIEW</stp>
        <stp>[XSLP -Swap Line Pricer.xlsm]Swaptions!R23C59</stp>
        <stp>Enter deal type or saved ID.</stp>
        <stp>MaturityDate</stp>
        <stp>headers=false</stp>
        <tr r="BG23" s="5"/>
      </tp>
      <tp t="s">
        <v>#N/A Invalid object ID</v>
        <stp/>
        <stp>##V3_BVIEW</stp>
        <stp>[XSLP -Swap Line Pricer.xlsm]Swaptions!R22C59</stp>
        <stp>Enter deal type or saved ID.</stp>
        <stp>MaturityDate</stp>
        <stp>headers=false</stp>
        <tr r="BG22" s="5"/>
      </tp>
      <tp t="s">
        <v>#N/A Invalid object ID</v>
        <stp/>
        <stp>##V3_BVIEW</stp>
        <stp>[XSLP -Swap Line Pricer.xlsm]Swaptions!R21C59</stp>
        <stp>Enter deal type or saved ID.</stp>
        <stp>MaturityDate</stp>
        <stp>headers=false</stp>
        <tr r="BG21" s="5"/>
      </tp>
      <tp t="s">
        <v>#N/A Invalid object ID</v>
        <stp/>
        <stp>##V3_BVIEW</stp>
        <stp>[XSLP -Swap Line Pricer.xlsm]Swaptions!R20C59</stp>
        <stp>Enter deal type or saved ID.</stp>
        <stp>MaturityDate</stp>
        <stp>headers=false</stp>
        <tr r="BG20" s="5"/>
      </tp>
      <tp t="s">
        <v>#N/A Invalid object ID</v>
        <stp/>
        <stp>##V3_BVIEW</stp>
        <stp>[XSLP -Swap Line Pricer.xlsm]Swaptions!R27C59</stp>
        <stp>Enter deal type or saved ID.</stp>
        <stp>MaturityDate</stp>
        <stp>headers=false</stp>
        <tr r="BG27" s="5"/>
      </tp>
      <tp t="s">
        <v>#N/A Invalid object ID</v>
        <stp/>
        <stp>##V3_BVIEW</stp>
        <stp>[XSLP -Swap Line Pricer.xlsm]Swaptions!R26C59</stp>
        <stp>Enter deal type or saved ID.</stp>
        <stp>MaturityDate</stp>
        <stp>headers=false</stp>
        <tr r="BG26" s="5"/>
      </tp>
      <tp t="s">
        <v>#N/A Invalid object ID</v>
        <stp/>
        <stp>##V3_BVIEW</stp>
        <stp>[XSLP -Swap Line Pricer.xlsm]Swaptions!R25C59</stp>
        <stp>Enter deal type or saved ID.</stp>
        <stp>MaturityDate</stp>
        <stp>headers=false</stp>
        <tr r="BG25" s="5"/>
      </tp>
      <tp t="s">
        <v>#N/A Invalid object ID</v>
        <stp/>
        <stp>##V3_BVIEW</stp>
        <stp>[XSLP -Swap Line Pricer.xlsm]Swaptions!R24C59</stp>
        <stp>Enter deal type or saved ID.</stp>
        <stp>MaturityDate</stp>
        <stp>headers=false</stp>
        <tr r="BG24" s="5"/>
      </tp>
      <tp t="s">
        <v>#N/A Invalid object ID</v>
        <stp/>
        <stp>##V3_BVIEW</stp>
        <stp>[XSLP -Swap Line Pricer.xlsm]Swaptions!R29C59</stp>
        <stp>Enter deal type or saved ID.</stp>
        <stp>MaturityDate</stp>
        <stp>headers=false</stp>
        <tr r="BG29" s="5"/>
      </tp>
      <tp t="s">
        <v>#N/A Invalid object ID</v>
        <stp/>
        <stp>##V3_BVIEW</stp>
        <stp>[XSLP -Swap Line Pricer.xlsm]Swaptions!R28C59</stp>
        <stp>Enter deal type or saved ID.</stp>
        <stp>MaturityDate</stp>
        <stp>headers=false</stp>
        <tr r="BG28" s="5"/>
      </tp>
      <tp t="s">
        <v>#N/A Invalid object ID</v>
        <stp/>
        <stp>##V3_BVIEW</stp>
        <stp>[XSLP -Swap Line Pricer.xlsm]Swaptions!R33C59</stp>
        <stp>Enter deal type or saved ID.</stp>
        <stp>MaturityDate</stp>
        <stp>headers=false</stp>
        <tr r="BG33" s="5"/>
      </tp>
      <tp t="s">
        <v>#N/A Invalid object ID</v>
        <stp/>
        <stp>##V3_BVIEW</stp>
        <stp>[XSLP -Swap Line Pricer.xlsm]Swaptions!R32C59</stp>
        <stp>Enter deal type or saved ID.</stp>
        <stp>MaturityDate</stp>
        <stp>headers=false</stp>
        <tr r="BG32" s="5"/>
      </tp>
      <tp t="s">
        <v>#N/A Invalid object ID</v>
        <stp/>
        <stp>##V3_BVIEW</stp>
        <stp>[XSLP -Swap Line Pricer.xlsm]Swaptions!R31C59</stp>
        <stp>Enter deal type or saved ID.</stp>
        <stp>MaturityDate</stp>
        <stp>headers=false</stp>
        <tr r="BG31" s="5"/>
      </tp>
      <tp t="s">
        <v>#N/A Invalid object ID</v>
        <stp/>
        <stp>##V3_BVIEW</stp>
        <stp>[XSLP -Swap Line Pricer.xlsm]Swaptions!R30C59</stp>
        <stp>Enter deal type or saved ID.</stp>
        <stp>MaturityDate</stp>
        <stp>headers=false</stp>
        <tr r="BG30" s="5"/>
      </tp>
      <tp t="s">
        <v>#N/A Invalid object ID</v>
        <stp/>
        <stp>##V3_BVIEW</stp>
        <stp>[XSLP -Swap Line Pricer.xlsm]Swaptions!R37C59</stp>
        <stp>Enter deal type or saved ID.</stp>
        <stp>MaturityDate</stp>
        <stp>headers=false</stp>
        <tr r="BG37" s="5"/>
      </tp>
      <tp t="s">
        <v>#N/A Invalid object ID</v>
        <stp/>
        <stp>##V3_BVIEW</stp>
        <stp>[XSLP -Swap Line Pricer.xlsm]Swaptions!R36C59</stp>
        <stp>Enter deal type or saved ID.</stp>
        <stp>MaturityDate</stp>
        <stp>headers=false</stp>
        <tr r="BG36" s="5"/>
      </tp>
      <tp t="s">
        <v>#N/A Invalid object ID</v>
        <stp/>
        <stp>##V3_BVIEW</stp>
        <stp>[XSLP -Swap Line Pricer.xlsm]Swaptions!R35C59</stp>
        <stp>Enter deal type or saved ID.</stp>
        <stp>MaturityDate</stp>
        <stp>headers=false</stp>
        <tr r="BG35" s="5"/>
      </tp>
      <tp t="s">
        <v>#N/A Invalid object ID</v>
        <stp/>
        <stp>##V3_BVIEW</stp>
        <stp>[XSLP -Swap Line Pricer.xlsm]Swaptions!R34C59</stp>
        <stp>Enter deal type or saved ID.</stp>
        <stp>MaturityDate</stp>
        <stp>headers=false</stp>
        <tr r="BG34" s="5"/>
      </tp>
      <tp t="s">
        <v>#N/A Invalid object ID</v>
        <stp/>
        <stp>##V3_BVIEW</stp>
        <stp>[XSLP -Swap Line Pricer.xlsm]Swaptions!R39C59</stp>
        <stp>Enter deal type or saved ID.</stp>
        <stp>MaturityDate</stp>
        <stp>headers=false</stp>
        <tr r="BG39" s="5"/>
      </tp>
      <tp t="s">
        <v>#N/A Invalid object ID</v>
        <stp/>
        <stp>##V3_BVIEW</stp>
        <stp>[XSLP -Swap Line Pricer.xlsm]Swaptions!R38C59</stp>
        <stp>Enter deal type or saved ID.</stp>
        <stp>MaturityDate</stp>
        <stp>headers=false</stp>
        <tr r="BG38" s="5"/>
      </tp>
      <tp t="s">
        <v>#N/A No matches found [Parameter:OUTPUT]</v>
        <stp/>
        <stp>##V3_BVIEW</stp>
        <stp>[XSLP -Swap Line Pricer.xlsm]Swaps!R31C64</stp>
        <stp>FXFL 625950</stp>
        <stp>Leg[1].ResetFrequency</stp>
        <stp>headers=false</stp>
        <tr r="BL31" s="1"/>
      </tp>
      <tp t="s">
        <v>#N/A Invalid object ID</v>
        <stp/>
        <stp>##V3_BVIEW</stp>
        <stp>[XSLP -Swap Line Pricer.xlsm]Swaptions!R23C73</stp>
        <stp>Enter deal type or saved ID.</stp>
        <stp>Leg[2].Notional</stp>
        <stp>headers=false</stp>
        <tr r="BU23" s="5"/>
      </tp>
      <tp t="s">
        <v>#N/A Invalid object ID</v>
        <stp/>
        <stp>##V3_BVIEW</stp>
        <stp>[XSLP -Swap Line Pricer.xlsm]Swaptions!R33C73</stp>
        <stp>Enter deal type or saved ID.</stp>
        <stp>Leg[2].Notional</stp>
        <stp>headers=false</stp>
        <tr r="BU33" s="5"/>
      </tp>
      <tp t="s">
        <v>#N/A Invalid object ID</v>
        <stp/>
        <stp>##V3_BVIEW</stp>
        <stp>[XSLP -Swap Line Pricer.xlsm]Swaptions!R23C65</stp>
        <stp>Enter deal type or saved ID.</stp>
        <stp>Leg[1].Notional</stp>
        <stp>headers=false</stp>
        <tr r="BM23" s="5"/>
      </tp>
      <tp t="s">
        <v>#N/A Invalid object ID</v>
        <stp/>
        <stp>##V3_BVIEW</stp>
        <stp>[XSLP -Swap Line Pricer.xlsm]Swaptions!R33C65</stp>
        <stp>Enter deal type or saved ID.</stp>
        <stp>Leg[1].Notional</stp>
        <stp>headers=false</stp>
        <tr r="BM33" s="5"/>
      </tp>
      <tp t="s">
        <v>Money Mkt</v>
        <stp/>
        <stp>##V3_BVIEW</stp>
        <stp>[XSLP -Swap Line Pricer.xlsm]Swaps!R31C65</stp>
        <stp>FXFL 625950</stp>
        <stp>Leg[1].CalcBasis</stp>
        <stp>headers=false</stp>
        <tr r="BM31" s="1"/>
        <tr r="BM31" s="1"/>
      </tp>
      <tp t="s">
        <v>#N/A No matches found [Parameter:OUTPUT]</v>
        <stp/>
        <stp>##V3_BVIEW</stp>
        <stp>[XSLP -Swap Line Pricer.xlsm]Swaps!R31C76</stp>
        <stp>FXFL 625950</stp>
        <stp>Leg[2].CalcBasis</stp>
        <stp>headers=false</stp>
        <tr r="BX31" s="1"/>
      </tp>
      <tp t="s">
        <v>EUR</v>
        <stp/>
        <stp>##V3_BVIEW</stp>
        <stp>[XSLP -Swap Line Pricer.xlsm]Swaps!R21C68</stp>
        <stp>FXFL 597317</stp>
        <stp>Leg[2].Currency</stp>
        <stp>headers=false</stp>
        <tr r="BP21" s="1"/>
        <tr r="BP21" s="1"/>
      </tp>
      <tp>
        <v>1000000</v>
        <stp/>
        <stp>##V3_BVIEW</stp>
        <stp>[XSLP -Swap Line Pricer.xlsm]Swaps!R26C69</stp>
        <stp>FXFL 927343</stp>
        <stp>Leg[2].Notional</stp>
        <stp>headers=false</stp>
        <tr r="BQ26" s="1"/>
        <tr r="BQ26" s="1"/>
      </tp>
      <tp t="s">
        <v>Annual</v>
        <stp/>
        <stp>##V3_BVIEW</stp>
        <stp>[XSLP -Swap Line Pricer.xlsm]Swaps!R39C62</stp>
        <stp>FXFL 1033483</stp>
        <stp>Leg[1].PayFrequency</stp>
        <stp>headers=false</stp>
        <tr r="BJ39" s="1"/>
        <tr r="BJ39" s="1"/>
      </tp>
      <tp t="s">
        <v>SemiAnnual</v>
        <stp/>
        <stp>##V3_BVIEW</stp>
        <stp>[XSLP -Swap Line Pricer.xlsm]Swaps!R39C73</stp>
        <stp>FXFL 1033483</stp>
        <stp>Leg[2].PayFrequency</stp>
        <stp>headers=false</stp>
        <tr r="BU39" s="1"/>
        <tr r="BU39" s="1"/>
      </tp>
      <tp t="s">
        <v>EUR</v>
        <stp/>
        <stp>##V3_BVIEW</stp>
        <stp>[XSLP -Swap Line Pricer.xlsm]Swaps!R26C57</stp>
        <stp>FXFL 927343</stp>
        <stp>Leg[1].Currency</stp>
        <stp>headers=false</stp>
        <tr r="BE26" s="1"/>
        <tr r="BE26" s="1"/>
      </tp>
      <tp>
        <v>1000000</v>
        <stp/>
        <stp>##V3_BVIEW</stp>
        <stp>[XSLP -Swap Line Pricer.xlsm]Swaps!R20C58</stp>
        <stp>FXFL 938373</stp>
        <stp>Leg[1].Notional</stp>
        <stp>headers=false</stp>
        <tr r="BF20" s="1"/>
        <tr r="BF20" s="1"/>
      </tp>
      <tp t="s">
        <v>#N/A Invalid object ID</v>
        <stp/>
        <stp>##V3_BVIEW</stp>
        <stp>[XSLP -Swap Line Pricer.xlsm]Swaptions!R22C73</stp>
        <stp>Enter deal type or saved ID.</stp>
        <stp>Leg[2].Notional</stp>
        <stp>headers=false</stp>
        <tr r="BU22" s="5"/>
      </tp>
      <tp t="s">
        <v>#N/A Invalid object ID</v>
        <stp/>
        <stp>##V3_BVIEW</stp>
        <stp>[XSLP -Swap Line Pricer.xlsm]Swaptions!R32C73</stp>
        <stp>Enter deal type or saved ID.</stp>
        <stp>Leg[2].Notional</stp>
        <stp>headers=false</stp>
        <tr r="BU32" s="5"/>
      </tp>
      <tp t="s">
        <v>#N/A Invalid object ID</v>
        <stp/>
        <stp>##V3_BVIEW</stp>
        <stp>[XSLP -Swap Line Pricer.xlsm]Swaptions!R22C65</stp>
        <stp>Enter deal type or saved ID.</stp>
        <stp>Leg[1].Notional</stp>
        <stp>headers=false</stp>
        <tr r="BM22" s="5"/>
      </tp>
      <tp t="s">
        <v>#N/A Invalid object ID</v>
        <stp/>
        <stp>##V3_BVIEW</stp>
        <stp>[XSLP -Swap Line Pricer.xlsm]Swaptions!R32C65</stp>
        <stp>Enter deal type or saved ID.</stp>
        <stp>Leg[1].Notional</stp>
        <stp>headers=false</stp>
        <tr r="BM32" s="5"/>
      </tp>
      <tp t="s">
        <v>Money Mkt</v>
        <stp/>
        <stp>##V3_BVIEW</stp>
        <stp>[XSLP -Swap Line Pricer.xlsm]Swaps!R32C65</stp>
        <stp>FXFL 877169</stp>
        <stp>Leg[1].CalcBasis</stp>
        <stp>headers=false</stp>
        <tr r="BM32" s="1"/>
        <tr r="BM32" s="1"/>
      </tp>
      <tp t="s">
        <v>#N/A No matches found [Parameter:OUTPUT]</v>
        <stp/>
        <stp>##V3_BVIEW</stp>
        <stp>[XSLP -Swap Line Pricer.xlsm]Swaps!R32C76</stp>
        <stp>FXFL 877169</stp>
        <stp>Leg[2].CalcBasis</stp>
        <stp>headers=false</stp>
        <tr r="BX32" s="1"/>
      </tp>
      <tp t="s">
        <v>Money Mkt</v>
        <stp/>
        <stp>##V3_BVIEW</stp>
        <stp>[XSLP -Swap Line Pricer.xlsm]Swaps!R24C65</stp>
        <stp>FXFL 651808</stp>
        <stp>Leg[1].CalcBasis</stp>
        <stp>headers=false</stp>
        <tr r="BM24" s="1"/>
        <tr r="BM24" s="1"/>
      </tp>
      <tp t="s">
        <v>#N/A No matches found [Parameter:OUTPUT]</v>
        <stp/>
        <stp>##V3_BVIEW</stp>
        <stp>[XSLP -Swap Line Pricer.xlsm]Swaps!R24C76</stp>
        <stp>FXFL 651808</stp>
        <stp>Leg[2].CalcBasis</stp>
        <stp>headers=false</stp>
        <tr r="BX24" s="1"/>
      </tp>
      <tp>
        <v>1000000</v>
        <stp/>
        <stp>##V3_BVIEW</stp>
        <stp>[XSLP -Swap Line Pricer.xlsm]Swaps!R26C58</stp>
        <stp>FXFL 927343</stp>
        <stp>Leg[1].Notional</stp>
        <stp>headers=false</stp>
        <tr r="BF26" s="1"/>
        <tr r="BF26" s="1"/>
      </tp>
      <tp t="s">
        <v>Annual</v>
        <stp/>
        <stp>##V3_BVIEW</stp>
        <stp>[XSLP -Swap Line Pricer.xlsm]Swaps!R38C62</stp>
        <stp>FXFL 1033483</stp>
        <stp>Leg[1].PayFrequency</stp>
        <stp>headers=false</stp>
        <tr r="BJ38" s="1"/>
        <tr r="BJ38" s="1"/>
      </tp>
      <tp t="s">
        <v>SemiAnnual</v>
        <stp/>
        <stp>##V3_BVIEW</stp>
        <stp>[XSLP -Swap Line Pricer.xlsm]Swaps!R38C73</stp>
        <stp>FXFL 1033483</stp>
        <stp>Leg[2].PayFrequency</stp>
        <stp>headers=false</stp>
        <tr r="BU38" s="1"/>
        <tr r="BU38" s="1"/>
      </tp>
      <tp t="s">
        <v>EUR</v>
        <stp/>
        <stp>##V3_BVIEW</stp>
        <stp>[XSLP -Swap Line Pricer.xlsm]Swaps!R32C68</stp>
        <stp>FXFL 877169</stp>
        <stp>Leg[2].Currency</stp>
        <stp>headers=false</stp>
        <tr r="BP32" s="1"/>
        <tr r="BP32" s="1"/>
      </tp>
      <tp>
        <v>1000000</v>
        <stp/>
        <stp>##V3_BVIEW</stp>
        <stp>[XSLP -Swap Line Pricer.xlsm]Swaps!R20C69</stp>
        <stp>FXFL 938373</stp>
        <stp>Leg[2].Notional</stp>
        <stp>headers=false</stp>
        <tr r="BQ20" s="1"/>
        <tr r="BQ20" s="1"/>
      </tp>
      <tp t="s">
        <v>EUR</v>
        <stp/>
        <stp>##V3_BVIEW</stp>
        <stp>[XSLP -Swap Line Pricer.xlsm]Swaps!R20C57</stp>
        <stp>FXFL 938373</stp>
        <stp>Leg[1].Currency</stp>
        <stp>headers=false</stp>
        <tr r="BE20" s="1"/>
        <tr r="BE20" s="1"/>
      </tp>
      <tp t="s">
        <v>#N/A Invalid object ID</v>
        <stp/>
        <stp>##V3_BVIEW</stp>
        <stp>[XSLP -Swap Line Pricer.xlsm]Swaptions!R21C73</stp>
        <stp>Enter deal type or saved ID.</stp>
        <stp>Leg[2].Notional</stp>
        <stp>headers=false</stp>
        <tr r="BU21" s="5"/>
      </tp>
      <tp t="s">
        <v>#N/A Invalid object ID</v>
        <stp/>
        <stp>##V3_BVIEW</stp>
        <stp>[XSLP -Swap Line Pricer.xlsm]Swaptions!R31C73</stp>
        <stp>Enter deal type or saved ID.</stp>
        <stp>Leg[2].Notional</stp>
        <stp>headers=false</stp>
        <tr r="BU31" s="5"/>
      </tp>
      <tp t="s">
        <v>#N/A Invalid object ID</v>
        <stp/>
        <stp>##V3_BVIEW</stp>
        <stp>[XSLP -Swap Line Pricer.xlsm]Swaptions!R21C65</stp>
        <stp>Enter deal type or saved ID.</stp>
        <stp>Leg[1].Notional</stp>
        <stp>headers=false</stp>
        <tr r="BM21" s="5"/>
      </tp>
      <tp t="s">
        <v>#N/A Invalid object ID</v>
        <stp/>
        <stp>##V3_BVIEW</stp>
        <stp>[XSLP -Swap Line Pricer.xlsm]Swaptions!R31C65</stp>
        <stp>Enter deal type or saved ID.</stp>
        <stp>Leg[1].Notional</stp>
        <stp>headers=false</stp>
        <tr r="BM31" s="5"/>
      </tp>
      <tp t="s">
        <v>EUR</v>
        <stp/>
        <stp>##V3_BVIEW</stp>
        <stp>[XSLP -Swap Line Pricer.xlsm]Swaps!R25C80</stp>
        <stp>FXFL 64474</stp>
        <stp>CsaCollateralCurrency</stp>
        <stp>headers=false</stp>
        <tr r="CB25" s="1"/>
        <tr r="CB25" s="1"/>
      </tp>
      <tp t="s">
        <v>#N/A No matches found [Parameter:OUTPUT]</v>
        <stp/>
        <stp>##V3_BVIEW</stp>
        <stp>[XSLP -Swap Line Pricer.xlsm]Swaps!R21C76</stp>
        <stp>FXFL 597317</stp>
        <stp>Leg[2].CalcBasis</stp>
        <stp>headers=false</stp>
        <tr r="BX21" s="1"/>
      </tp>
      <tp t="s">
        <v>#N/A No matches found [Parameter:OUTPUT]</v>
        <stp/>
        <stp>##V3_BVIEW</stp>
        <stp>[XSLP -Swap Line Pricer.xlsm]Swaps!R27C76</stp>
        <stp>FXFL 451356</stp>
        <stp>Leg[2].CalcBasis</stp>
        <stp>headers=false</stp>
        <tr r="BX27" s="1"/>
      </tp>
      <tp t="s">
        <v>Money Mkt</v>
        <stp/>
        <stp>##V3_BVIEW</stp>
        <stp>[XSLP -Swap Line Pricer.xlsm]Swaps!R21C65</stp>
        <stp>FXFL 597317</stp>
        <stp>Leg[1].CalcBasis</stp>
        <stp>headers=false</stp>
        <tr r="BM21" s="1"/>
        <tr r="BM21" s="1"/>
      </tp>
      <tp t="s">
        <v>Money Mkt</v>
        <stp/>
        <stp>##V3_BVIEW</stp>
        <stp>[XSLP -Swap Line Pricer.xlsm]Swaps!R27C65</stp>
        <stp>FXFL 451356</stp>
        <stp>Leg[1].CalcBasis</stp>
        <stp>headers=false</stp>
        <tr r="BM27" s="1"/>
        <tr r="BM27" s="1"/>
      </tp>
      <tp t="s">
        <v>#N/A Invalid object ID</v>
        <stp/>
        <stp>##V3_BVIEW</stp>
        <stp>[XSLP -Swap Line Pricer.xlsm]Swaptions!R29C5</stp>
        <stp/>
        <stp>DV01</stp>
        <stp>headers=false</stp>
        <tr r="E29" s="5"/>
      </tp>
      <tp t="s">
        <v>#N/A Invalid object ID</v>
        <stp/>
        <stp>##V3_BVIEW</stp>
        <stp>[XSLP -Swap Line Pricer.xlsm]Swaptions!R39C5</stp>
        <stp/>
        <stp>DV01</stp>
        <stp>headers=false</stp>
        <tr r="E39" s="5"/>
      </tp>
      <tp t="s">
        <v>EUR</v>
        <stp/>
        <stp>##V3_BVIEW</stp>
        <stp>[XSLP -Swap Line Pricer.xlsm]Swaps!R27C57</stp>
        <stp>FXFL 451356</stp>
        <stp>Leg[1].Currency</stp>
        <stp>headers=false</stp>
        <tr r="BE27" s="1"/>
        <tr r="BE27" s="1"/>
      </tp>
      <tp>
        <v>1000000</v>
        <stp/>
        <stp>##V3_BVIEW</stp>
        <stp>[XSLP -Swap Line Pricer.xlsm]Swaps!R30C58</stp>
        <stp>FXFL 631990</stp>
        <stp>Leg[1].Notional</stp>
        <stp>headers=false</stp>
        <tr r="BF30" s="1"/>
        <tr r="BF30" s="1"/>
      </tp>
      <tp t="s">
        <v>EUR</v>
        <stp/>
        <stp>##V3_BVIEW</stp>
        <stp>[XSLP -Swap Line Pricer.xlsm]Swaps!R31C57</stp>
        <stp>FXFL 625950</stp>
        <stp>Leg[1].Currency</stp>
        <stp>headers=false</stp>
        <tr r="BE31" s="1"/>
        <tr r="BE31" s="1"/>
      </tp>
      <tp>
        <v>1000000</v>
        <stp/>
        <stp>##V3_BVIEW</stp>
        <stp>[XSLP -Swap Line Pricer.xlsm]Swaps!R31C69</stp>
        <stp>FXFL 625950</stp>
        <stp>Leg[2].Notional</stp>
        <stp>headers=false</stp>
        <tr r="BQ31" s="1"/>
        <tr r="BQ31" s="1"/>
      </tp>
      <tp t="s">
        <v>#N/A Invalid object ID</v>
        <stp/>
        <stp>##V3_BVIEW</stp>
        <stp>[XSLP -Swap Line Pricer.xlsm]Swaptions!R27C105</stp>
        <stp/>
        <stp>ImpliedNormalVol</stp>
        <stp>headers=false</stp>
        <tr r="DA27" s="5"/>
      </tp>
      <tp t="s">
        <v>#N/A Invalid object ID</v>
        <stp/>
        <stp>##V3_BVIEW</stp>
        <stp>[XSLP -Swap Line Pricer.xlsm]Swaptions!R26C105</stp>
        <stp/>
        <stp>ImpliedNormalVol</stp>
        <stp>headers=false</stp>
        <tr r="DA26" s="5"/>
      </tp>
      <tp t="s">
        <v>#N/A Invalid object ID</v>
        <stp/>
        <stp>##V3_BVIEW</stp>
        <stp>[XSLP -Swap Line Pricer.xlsm]Swaptions!R25C105</stp>
        <stp/>
        <stp>ImpliedNormalVol</stp>
        <stp>headers=false</stp>
        <tr r="DA25" s="5"/>
      </tp>
      <tp t="s">
        <v>#N/A Invalid object ID</v>
        <stp/>
        <stp>##V3_BVIEW</stp>
        <stp>[XSLP -Swap Line Pricer.xlsm]Swaptions!R24C105</stp>
        <stp/>
        <stp>ImpliedNormalVol</stp>
        <stp>headers=false</stp>
        <tr r="DA24" s="5"/>
      </tp>
      <tp t="s">
        <v>#N/A Invalid object ID</v>
        <stp/>
        <stp>##V3_BVIEW</stp>
        <stp>[XSLP -Swap Line Pricer.xlsm]Swaptions!R23C105</stp>
        <stp/>
        <stp>ImpliedNormalVol</stp>
        <stp>headers=false</stp>
        <tr r="DA23" s="5"/>
      </tp>
      <tp t="s">
        <v>#N/A Invalid object ID</v>
        <stp/>
        <stp>##V3_BVIEW</stp>
        <stp>[XSLP -Swap Line Pricer.xlsm]Swaptions!R22C105</stp>
        <stp/>
        <stp>ImpliedNormalVol</stp>
        <stp>headers=false</stp>
        <tr r="DA22" s="5"/>
      </tp>
      <tp t="s">
        <v>#N/A Invalid object ID</v>
        <stp/>
        <stp>##V3_BVIEW</stp>
        <stp>[XSLP -Swap Line Pricer.xlsm]Swaptions!R21C105</stp>
        <stp/>
        <stp>ImpliedNormalVol</stp>
        <stp>headers=false</stp>
        <tr r="DA21" s="5"/>
      </tp>
      <tp t="s">
        <v>#N/A Invalid object ID</v>
        <stp/>
        <stp>##V3_BVIEW</stp>
        <stp>[XSLP -Swap Line Pricer.xlsm]Swaptions!R20C105</stp>
        <stp/>
        <stp>ImpliedNormalVol</stp>
        <stp>headers=false</stp>
        <tr r="DA20" s="5"/>
      </tp>
      <tp t="s">
        <v>#N/A Invalid object ID</v>
        <stp/>
        <stp>##V3_BVIEW</stp>
        <stp>[XSLP -Swap Line Pricer.xlsm]Swaptions!R29C105</stp>
        <stp/>
        <stp>ImpliedNormalVol</stp>
        <stp>headers=false</stp>
        <tr r="DA29" s="5"/>
      </tp>
      <tp t="s">
        <v>#N/A Invalid object ID</v>
        <stp/>
        <stp>##V3_BVIEW</stp>
        <stp>[XSLP -Swap Line Pricer.xlsm]Swaptions!R28C105</stp>
        <stp/>
        <stp>ImpliedNormalVol</stp>
        <stp>headers=false</stp>
        <tr r="DA28" s="5"/>
      </tp>
      <tp t="s">
        <v>#N/A Invalid object ID</v>
        <stp/>
        <stp>##V3_BVIEW</stp>
        <stp>[XSLP -Swap Line Pricer.xlsm]Swaptions!R37C105</stp>
        <stp/>
        <stp>ImpliedNormalVol</stp>
        <stp>headers=false</stp>
        <tr r="DA37" s="5"/>
      </tp>
      <tp t="s">
        <v>#N/A Invalid object ID</v>
        <stp/>
        <stp>##V3_BVIEW</stp>
        <stp>[XSLP -Swap Line Pricer.xlsm]Swaptions!R36C105</stp>
        <stp/>
        <stp>ImpliedNormalVol</stp>
        <stp>headers=false</stp>
        <tr r="DA36" s="5"/>
      </tp>
      <tp t="s">
        <v>#N/A Invalid object ID</v>
        <stp/>
        <stp>##V3_BVIEW</stp>
        <stp>[XSLP -Swap Line Pricer.xlsm]Swaptions!R35C105</stp>
        <stp/>
        <stp>ImpliedNormalVol</stp>
        <stp>headers=false</stp>
        <tr r="DA35" s="5"/>
      </tp>
      <tp t="s">
        <v>#N/A Invalid object ID</v>
        <stp/>
        <stp>##V3_BVIEW</stp>
        <stp>[XSLP -Swap Line Pricer.xlsm]Swaptions!R34C105</stp>
        <stp/>
        <stp>ImpliedNormalVol</stp>
        <stp>headers=false</stp>
        <tr r="DA34" s="5"/>
      </tp>
      <tp t="s">
        <v>#N/A Invalid object ID</v>
        <stp/>
        <stp>##V3_BVIEW</stp>
        <stp>[XSLP -Swap Line Pricer.xlsm]Swaptions!R33C105</stp>
        <stp/>
        <stp>ImpliedNormalVol</stp>
        <stp>headers=false</stp>
        <tr r="DA33" s="5"/>
      </tp>
      <tp t="s">
        <v>#N/A Invalid object ID</v>
        <stp/>
        <stp>##V3_BVIEW</stp>
        <stp>[XSLP -Swap Line Pricer.xlsm]Swaptions!R32C105</stp>
        <stp/>
        <stp>ImpliedNormalVol</stp>
        <stp>headers=false</stp>
        <tr r="DA32" s="5"/>
      </tp>
      <tp t="s">
        <v>#N/A Invalid object ID</v>
        <stp/>
        <stp>##V3_BVIEW</stp>
        <stp>[XSLP -Swap Line Pricer.xlsm]Swaptions!R31C105</stp>
        <stp/>
        <stp>ImpliedNormalVol</stp>
        <stp>headers=false</stp>
        <tr r="DA31" s="5"/>
      </tp>
      <tp t="s">
        <v>#N/A Invalid object ID</v>
        <stp/>
        <stp>##V3_BVIEW</stp>
        <stp>[XSLP -Swap Line Pricer.xlsm]Swaptions!R30C105</stp>
        <stp/>
        <stp>ImpliedNormalVol</stp>
        <stp>headers=false</stp>
        <tr r="DA30" s="5"/>
      </tp>
      <tp t="s">
        <v>#N/A Invalid object ID</v>
        <stp/>
        <stp>##V3_BVIEW</stp>
        <stp>[XSLP -Swap Line Pricer.xlsm]Swaptions!R39C105</stp>
        <stp/>
        <stp>ImpliedNormalVol</stp>
        <stp>headers=false</stp>
        <tr r="DA39" s="5"/>
      </tp>
      <tp t="s">
        <v>#N/A Invalid object ID</v>
        <stp/>
        <stp>##V3_BVIEW</stp>
        <stp>[XSLP -Swap Line Pricer.xlsm]Swaptions!R38C105</stp>
        <stp/>
        <stp>ImpliedNormalVol</stp>
        <stp>headers=false</stp>
        <tr r="DA38" s="5"/>
      </tp>
      <tp>
        <v>1000000</v>
        <stp/>
        <stp>##V3_BVIEW</stp>
        <stp>[XSLP -Swap Line Pricer.xlsm]Swaps!R27C69</stp>
        <stp>FXFL 451356</stp>
        <stp>Leg[2].Notional</stp>
        <stp>headers=false</stp>
        <tr r="BQ27" s="1"/>
        <tr r="BQ27" s="1"/>
      </tp>
      <tp>
        <v>1000000</v>
        <stp/>
        <stp>##V3_BVIEW</stp>
        <stp>[XSLP -Swap Line Pricer.xlsm]Swaps!R29C69</stp>
        <stp>FXFL 431830</stp>
        <stp>Leg[2].Notional</stp>
        <stp>headers=false</stp>
        <tr r="BQ29" s="1"/>
        <tr r="BQ29" s="1"/>
      </tp>
      <tp t="s">
        <v>EUR</v>
        <stp/>
        <stp>##V3_BVIEW</stp>
        <stp>[XSLP -Swap Line Pricer.xlsm]Swaps!R29C57</stp>
        <stp>FXFL 431830</stp>
        <stp>Leg[1].Currency</stp>
        <stp>headers=false</stp>
        <tr r="BE29" s="1"/>
        <tr r="BE29" s="1"/>
      </tp>
      <tp t="s">
        <v>#N/A No matches found [Parameter:OUTPUT]</v>
        <stp/>
        <stp>##V3_BVIEW</stp>
        <stp>[XSLP -Swap Line Pricer.xlsm]Swaps!R25C70</stp>
        <stp>FXFL 64474</stp>
        <stp>Leg[2].FixedCoupon</stp>
        <stp>headers=false</stp>
        <tr r="BR25" s="1"/>
      </tp>
      <tp>
        <v>1</v>
        <stp/>
        <stp>##V3_BVIEW</stp>
        <stp>[XSLP -Swap Line Pricer.xlsm]Swaps!R25C59</stp>
        <stp>FXFL 64474</stp>
        <stp>Leg[1].FixedCoupon</stp>
        <stp>headers=false</stp>
        <tr r="BG25" s="1"/>
        <tr r="BG25" s="1"/>
      </tp>
      <tp t="s">
        <v>#N/A Invalid object ID</v>
        <stp/>
        <stp>##V3_BVIEW</stp>
        <stp>[XSLP -Swap Line Pricer.xlsm]Swaptions!R20C73</stp>
        <stp>Enter deal type or saved ID.</stp>
        <stp>Leg[2].Notional</stp>
        <stp>headers=false</stp>
        <tr r="BU20" s="5"/>
      </tp>
      <tp t="s">
        <v>#N/A Invalid object ID</v>
        <stp/>
        <stp>##V3_BVIEW</stp>
        <stp>[XSLP -Swap Line Pricer.xlsm]Swaptions!R30C73</stp>
        <stp>Enter deal type or saved ID.</stp>
        <stp>Leg[2].Notional</stp>
        <stp>headers=false</stp>
        <tr r="BU30" s="5"/>
      </tp>
      <tp t="s">
        <v>#N/A Invalid object ID</v>
        <stp/>
        <stp>##V3_BVIEW</stp>
        <stp>[XSLP -Swap Line Pricer.xlsm]Swaptions!R20C65</stp>
        <stp>Enter deal type or saved ID.</stp>
        <stp>Leg[1].Notional</stp>
        <stp>headers=false</stp>
        <tr r="BM20" s="5"/>
      </tp>
      <tp t="s">
        <v>#N/A Invalid object ID</v>
        <stp/>
        <stp>##V3_BVIEW</stp>
        <stp>[XSLP -Swap Line Pricer.xlsm]Swaptions!R30C65</stp>
        <stp>Enter deal type or saved ID.</stp>
        <stp>Leg[1].Notional</stp>
        <stp>headers=false</stp>
        <tr r="BM30" s="5"/>
      </tp>
      <tp t="s">
        <v>#N/A Invalid object ID</v>
        <stp/>
        <stp>##V3_BVIEW</stp>
        <stp>[XSLP -Swap Line Pricer.xlsm]Swaptions!R28C5</stp>
        <stp/>
        <stp>DV01</stp>
        <stp>headers=false</stp>
        <tr r="E28" s="5"/>
      </tp>
      <tp t="s">
        <v>#N/A Invalid object ID</v>
        <stp/>
        <stp>##V3_BVIEW</stp>
        <stp>[XSLP -Swap Line Pricer.xlsm]Swaptions!R38C5</stp>
        <stp/>
        <stp>DV01</stp>
        <stp>headers=false</stp>
        <tr r="E38" s="5"/>
      </tp>
      <tp>
        <v>1000000</v>
        <stp/>
        <stp>##V3_BVIEW</stp>
        <stp>[XSLP -Swap Line Pricer.xlsm]Swaps!R30C69</stp>
        <stp>FXFL 631990</stp>
        <stp>Leg[2].Notional</stp>
        <stp>headers=false</stp>
        <tr r="BQ30" s="1"/>
        <tr r="BQ30" s="1"/>
      </tp>
      <tp t="s">
        <v>EUR</v>
        <stp/>
        <stp>##V3_BVIEW</stp>
        <stp>[XSLP -Swap Line Pricer.xlsm]Swaps!R24C68</stp>
        <stp>FXFL 651808</stp>
        <stp>Leg[2].Currency</stp>
        <stp>headers=false</stp>
        <tr r="BP24" s="1"/>
        <tr r="BP24" s="1"/>
      </tp>
      <tp>
        <v>1000000</v>
        <stp/>
        <stp>##V3_BVIEW</stp>
        <stp>[XSLP -Swap Line Pricer.xlsm]Swaps!R31C58</stp>
        <stp>FXFL 625950</stp>
        <stp>Leg[1].Notional</stp>
        <stp>headers=false</stp>
        <tr r="BF31" s="1"/>
        <tr r="BF31" s="1"/>
      </tp>
      <tp t="s">
        <v>EUR</v>
        <stp/>
        <stp>##V3_BVIEW</stp>
        <stp>[XSLP -Swap Line Pricer.xlsm]Swaps!R30C57</stp>
        <stp>FXFL 631990</stp>
        <stp>Leg[1].Currency</stp>
        <stp>headers=false</stp>
        <tr r="BE30" s="1"/>
        <tr r="BE30" s="1"/>
      </tp>
      <tp>
        <v>1000000</v>
        <stp/>
        <stp>##V3_BVIEW</stp>
        <stp>[XSLP -Swap Line Pricer.xlsm]Swaps!R27C58</stp>
        <stp>FXFL 451356</stp>
        <stp>Leg[1].Notional</stp>
        <stp>headers=false</stp>
        <tr r="BF27" s="1"/>
        <tr r="BF27" s="1"/>
      </tp>
      <tp>
        <v>1000000</v>
        <stp/>
        <stp>##V3_BVIEW</stp>
        <stp>[XSLP -Swap Line Pricer.xlsm]Swaps!R29C58</stp>
        <stp>FXFL 431830</stp>
        <stp>Leg[1].Notional</stp>
        <stp>headers=false</stp>
        <tr r="BF29" s="1"/>
        <tr r="BF29" s="1"/>
      </tp>
      <tp t="s">
        <v>#N/A Invalid object ID</v>
        <stp/>
        <stp>##V3_BVIEW</stp>
        <stp>[XSLP -Swap Line Pricer.xlsm]Swaptions!R31C58</stp>
        <stp>Enter deal type or saved ID.</stp>
        <stp>EffectiveDate</stp>
        <stp>headers=false</stp>
        <tr r="BF31" s="5"/>
      </tp>
      <tp t="s">
        <v>#N/A Invalid object ID</v>
        <stp/>
        <stp>##V3_BVIEW</stp>
        <stp>[XSLP -Swap Line Pricer.xlsm]Swaptions!R30C58</stp>
        <stp>Enter deal type or saved ID.</stp>
        <stp>EffectiveDate</stp>
        <stp>headers=false</stp>
        <tr r="BF30" s="5"/>
      </tp>
      <tp t="s">
        <v>#N/A Invalid object ID</v>
        <stp/>
        <stp>##V3_BVIEW</stp>
        <stp>[XSLP -Swap Line Pricer.xlsm]Swaptions!R33C58</stp>
        <stp>Enter deal type or saved ID.</stp>
        <stp>EffectiveDate</stp>
        <stp>headers=false</stp>
        <tr r="BF33" s="5"/>
      </tp>
      <tp t="s">
        <v>#N/A Invalid object ID</v>
        <stp/>
        <stp>##V3_BVIEW</stp>
        <stp>[XSLP -Swap Line Pricer.xlsm]Swaptions!R32C58</stp>
        <stp>Enter deal type or saved ID.</stp>
        <stp>EffectiveDate</stp>
        <stp>headers=false</stp>
        <tr r="BF32" s="5"/>
      </tp>
      <tp t="s">
        <v>#N/A Invalid object ID</v>
        <stp/>
        <stp>##V3_BVIEW</stp>
        <stp>[XSLP -Swap Line Pricer.xlsm]Swaptions!R35C58</stp>
        <stp>Enter deal type or saved ID.</stp>
        <stp>EffectiveDate</stp>
        <stp>headers=false</stp>
        <tr r="BF35" s="5"/>
      </tp>
      <tp t="s">
        <v>#N/A Invalid object ID</v>
        <stp/>
        <stp>##V3_BVIEW</stp>
        <stp>[XSLP -Swap Line Pricer.xlsm]Swaptions!R34C58</stp>
        <stp>Enter deal type or saved ID.</stp>
        <stp>EffectiveDate</stp>
        <stp>headers=false</stp>
        <tr r="BF34" s="5"/>
      </tp>
      <tp t="s">
        <v>#N/A Invalid object ID</v>
        <stp/>
        <stp>##V3_BVIEW</stp>
        <stp>[XSLP -Swap Line Pricer.xlsm]Swaptions!R37C58</stp>
        <stp>Enter deal type or saved ID.</stp>
        <stp>EffectiveDate</stp>
        <stp>headers=false</stp>
        <tr r="BF37" s="5"/>
      </tp>
      <tp t="s">
        <v>#N/A Invalid object ID</v>
        <stp/>
        <stp>##V3_BVIEW</stp>
        <stp>[XSLP -Swap Line Pricer.xlsm]Swaptions!R36C58</stp>
        <stp>Enter deal type or saved ID.</stp>
        <stp>EffectiveDate</stp>
        <stp>headers=false</stp>
        <tr r="BF36" s="5"/>
      </tp>
      <tp t="s">
        <v>#N/A Invalid object ID</v>
        <stp/>
        <stp>##V3_BVIEW</stp>
        <stp>[XSLP -Swap Line Pricer.xlsm]Swaptions!R39C58</stp>
        <stp>Enter deal type or saved ID.</stp>
        <stp>EffectiveDate</stp>
        <stp>headers=false</stp>
        <tr r="BF39" s="5"/>
      </tp>
      <tp t="s">
        <v>#N/A Invalid object ID</v>
        <stp/>
        <stp>##V3_BVIEW</stp>
        <stp>[XSLP -Swap Line Pricer.xlsm]Swaptions!R38C58</stp>
        <stp>Enter deal type or saved ID.</stp>
        <stp>EffectiveDate</stp>
        <stp>headers=false</stp>
        <tr r="BF38" s="5"/>
      </tp>
      <tp t="s">
        <v>#N/A Invalid object ID</v>
        <stp/>
        <stp>##V3_BVIEW</stp>
        <stp>[XSLP -Swap Line Pricer.xlsm]Swaptions!R21C58</stp>
        <stp>Enter deal type or saved ID.</stp>
        <stp>EffectiveDate</stp>
        <stp>headers=false</stp>
        <tr r="BF21" s="5"/>
      </tp>
      <tp t="s">
        <v>#N/A Invalid object ID</v>
        <stp/>
        <stp>##V3_BVIEW</stp>
        <stp>[XSLP -Swap Line Pricer.xlsm]Swaptions!R20C58</stp>
        <stp>Enter deal type or saved ID.</stp>
        <stp>EffectiveDate</stp>
        <stp>headers=false</stp>
        <tr r="BF20" s="5"/>
      </tp>
      <tp t="s">
        <v>#N/A Invalid object ID</v>
        <stp/>
        <stp>##V3_BVIEW</stp>
        <stp>[XSLP -Swap Line Pricer.xlsm]Swaptions!R23C58</stp>
        <stp>Enter deal type or saved ID.</stp>
        <stp>EffectiveDate</stp>
        <stp>headers=false</stp>
        <tr r="BF23" s="5"/>
      </tp>
      <tp t="s">
        <v>#N/A Invalid object ID</v>
        <stp/>
        <stp>##V3_BVIEW</stp>
        <stp>[XSLP -Swap Line Pricer.xlsm]Swaptions!R22C58</stp>
        <stp>Enter deal type or saved ID.</stp>
        <stp>EffectiveDate</stp>
        <stp>headers=false</stp>
        <tr r="BF22" s="5"/>
      </tp>
      <tp t="s">
        <v>#N/A Invalid object ID</v>
        <stp/>
        <stp>##V3_BVIEW</stp>
        <stp>[XSLP -Swap Line Pricer.xlsm]Swaptions!R25C58</stp>
        <stp>Enter deal type or saved ID.</stp>
        <stp>EffectiveDate</stp>
        <stp>headers=false</stp>
        <tr r="BF25" s="5"/>
      </tp>
      <tp t="s">
        <v>#N/A Invalid object ID</v>
        <stp/>
        <stp>##V3_BVIEW</stp>
        <stp>[XSLP -Swap Line Pricer.xlsm]Swaptions!R24C58</stp>
        <stp>Enter deal type or saved ID.</stp>
        <stp>EffectiveDate</stp>
        <stp>headers=false</stp>
        <tr r="BF24" s="5"/>
      </tp>
      <tp t="s">
        <v>#N/A Invalid object ID</v>
        <stp/>
        <stp>##V3_BVIEW</stp>
        <stp>[XSLP -Swap Line Pricer.xlsm]Swaptions!R27C58</stp>
        <stp>Enter deal type or saved ID.</stp>
        <stp>EffectiveDate</stp>
        <stp>headers=false</stp>
        <tr r="BF27" s="5"/>
      </tp>
      <tp t="s">
        <v>#N/A Invalid object ID</v>
        <stp/>
        <stp>##V3_BVIEW</stp>
        <stp>[XSLP -Swap Line Pricer.xlsm]Swaptions!R26C58</stp>
        <stp>Enter deal type or saved ID.</stp>
        <stp>EffectiveDate</stp>
        <stp>headers=false</stp>
        <tr r="BF26" s="5"/>
      </tp>
      <tp t="s">
        <v>#N/A Invalid object ID</v>
        <stp/>
        <stp>##V3_BVIEW</stp>
        <stp>[XSLP -Swap Line Pricer.xlsm]Swaptions!R29C58</stp>
        <stp>Enter deal type or saved ID.</stp>
        <stp>EffectiveDate</stp>
        <stp>headers=false</stp>
        <tr r="BF29" s="5"/>
      </tp>
      <tp t="s">
        <v>#N/A Invalid object ID</v>
        <stp/>
        <stp>##V3_BVIEW</stp>
        <stp>[XSLP -Swap Line Pricer.xlsm]Swaptions!R28C58</stp>
        <stp>Enter deal type or saved ID.</stp>
        <stp>EffectiveDate</stp>
        <stp>headers=false</stp>
        <tr r="BF28" s="5"/>
      </tp>
      <tp t="s">
        <v>#N/A Invalid object ID</v>
        <stp/>
        <stp>##V3_BVIEW</stp>
        <stp>[XSLP -Swap Line Pricer.xlsm]Swaptions!R39C64</stp>
        <stp>Enter deal type or saved ID.</stp>
        <stp>Leg[1].Currency</stp>
        <stp>headers=false</stp>
        <tr r="BL39" s="5"/>
      </tp>
      <tp t="s">
        <v>#N/A Invalid object ID</v>
        <stp/>
        <stp>##V3_BVIEW</stp>
        <stp>[XSLP -Swap Line Pricer.xlsm]Swaptions!R29C64</stp>
        <stp>Enter deal type or saved ID.</stp>
        <stp>Leg[1].Currency</stp>
        <stp>headers=false</stp>
        <tr r="BL29" s="5"/>
      </tp>
      <tp t="s">
        <v>#N/A Invalid object ID</v>
        <stp/>
        <stp>##V3_BVIEW</stp>
        <stp>[XSLP -Swap Line Pricer.xlsm]Swaptions!R39C72</stp>
        <stp>Enter deal type or saved ID.</stp>
        <stp>Leg[2].Currency</stp>
        <stp>headers=false</stp>
        <tr r="BT39" s="5"/>
      </tp>
      <tp t="s">
        <v>#N/A Invalid object ID</v>
        <stp/>
        <stp>##V3_BVIEW</stp>
        <stp>[XSLP -Swap Line Pricer.xlsm]Swaptions!R29C72</stp>
        <stp>Enter deal type or saved ID.</stp>
        <stp>Leg[2].Currency</stp>
        <stp>headers=false</stp>
        <tr r="BT29" s="5"/>
      </tp>
      <tp t="s">
        <v>#N/A Invalid object ID</v>
        <stp/>
        <stp>##V3_BVIEW</stp>
        <stp>[XSLP -Swap Line Pricer.xlsm]Swaptions!R27C73</stp>
        <stp>Enter deal type or saved ID.</stp>
        <stp>Leg[2].Notional</stp>
        <stp>headers=false</stp>
        <tr r="BU27" s="5"/>
      </tp>
      <tp t="s">
        <v>#N/A Invalid object ID</v>
        <stp/>
        <stp>##V3_BVIEW</stp>
        <stp>[XSLP -Swap Line Pricer.xlsm]Swaptions!R37C73</stp>
        <stp>Enter deal type or saved ID.</stp>
        <stp>Leg[2].Notional</stp>
        <stp>headers=false</stp>
        <tr r="BU37" s="5"/>
      </tp>
      <tp t="s">
        <v>#N/A Invalid object ID</v>
        <stp/>
        <stp>##V3_BVIEW</stp>
        <stp>[XSLP -Swap Line Pricer.xlsm]Swaptions!R27C65</stp>
        <stp>Enter deal type or saved ID.</stp>
        <stp>Leg[1].Notional</stp>
        <stp>headers=false</stp>
        <tr r="BM27" s="5"/>
      </tp>
      <tp t="s">
        <v>#N/A Invalid object ID</v>
        <stp/>
        <stp>##V3_BVIEW</stp>
        <stp>[XSLP -Swap Line Pricer.xlsm]Swaptions!R37C65</stp>
        <stp>Enter deal type or saved ID.</stp>
        <stp>Leg[1].Notional</stp>
        <stp>headers=false</stp>
        <tr r="BM37" s="5"/>
      </tp>
      <tp t="s">
        <v>Money Mkt</v>
        <stp/>
        <stp>##V3_BVIEW</stp>
        <stp>[XSLP -Swap Line Pricer.xlsm]Swaps!R22C65</stp>
        <stp>FXFL 582191</stp>
        <stp>Leg[1].CalcBasis</stp>
        <stp>headers=false</stp>
        <tr r="BM22" s="1"/>
        <tr r="BM22" s="1"/>
      </tp>
      <tp t="s">
        <v>#N/A No matches found [Parameter:OUTPUT]</v>
        <stp/>
        <stp>##V3_BVIEW</stp>
        <stp>[XSLP -Swap Line Pricer.xlsm]Swaps!R22C76</stp>
        <stp>FXFL 582191</stp>
        <stp>Leg[2].CalcBasis</stp>
        <stp>headers=false</stp>
        <tr r="BX22" s="1"/>
      </tp>
      <tp>
        <v>1000000</v>
        <stp/>
        <stp>##V3_BVIEW</stp>
        <stp>[XSLP -Swap Line Pricer.xlsm]Swaps!R33C58</stp>
        <stp>FXFL 630096</stp>
        <stp>Leg[1].Notional</stp>
        <stp>headers=false</stp>
        <tr r="BF33" s="1"/>
        <tr r="BF33" s="1"/>
      </tp>
      <tp>
        <v>1000000</v>
        <stp/>
        <stp>##V3_BVIEW</stp>
        <stp>[XSLP -Swap Line Pricer.xlsm]Swaps!R28C58</stp>
        <stp>FXFL 164852</stp>
        <stp>Leg[1].Notional</stp>
        <stp>headers=false</stp>
        <tr r="BF28" s="1"/>
        <tr r="BF28" s="1"/>
      </tp>
      <tp t="s">
        <v>#N/A Invalid object ID</v>
        <stp/>
        <stp>##V3_BVIEW</stp>
        <stp>[XSLP -Swap Line Pricer.xlsm]Swaptions!R38C64</stp>
        <stp>Enter deal type or saved ID.</stp>
        <stp>Leg[1].Currency</stp>
        <stp>headers=false</stp>
        <tr r="BL38" s="5"/>
      </tp>
      <tp t="s">
        <v>#N/A Invalid object ID</v>
        <stp/>
        <stp>##V3_BVIEW</stp>
        <stp>[XSLP -Swap Line Pricer.xlsm]Swaptions!R28C64</stp>
        <stp>Enter deal type or saved ID.</stp>
        <stp>Leg[1].Currency</stp>
        <stp>headers=false</stp>
        <tr r="BL28" s="5"/>
      </tp>
      <tp t="s">
        <v>#N/A Invalid object ID</v>
        <stp/>
        <stp>##V3_BVIEW</stp>
        <stp>[XSLP -Swap Line Pricer.xlsm]Swaptions!R38C72</stp>
        <stp>Enter deal type or saved ID.</stp>
        <stp>Leg[2].Currency</stp>
        <stp>headers=false</stp>
        <tr r="BT38" s="5"/>
      </tp>
      <tp t="s">
        <v>#N/A Invalid object ID</v>
        <stp/>
        <stp>##V3_BVIEW</stp>
        <stp>[XSLP -Swap Line Pricer.xlsm]Swaptions!R28C72</stp>
        <stp>Enter deal type or saved ID.</stp>
        <stp>Leg[2].Currency</stp>
        <stp>headers=false</stp>
        <tr r="BT28" s="5"/>
      </tp>
      <tp t="s">
        <v>#N/A Invalid object ID</v>
        <stp/>
        <stp>##V3_BVIEW</stp>
        <stp>[XSLP -Swap Line Pricer.xlsm]Swaptions!R26C73</stp>
        <stp>Enter deal type or saved ID.</stp>
        <stp>Leg[2].Notional</stp>
        <stp>headers=false</stp>
        <tr r="BU26" s="5"/>
      </tp>
      <tp t="s">
        <v>#N/A Invalid object ID</v>
        <stp/>
        <stp>##V3_BVIEW</stp>
        <stp>[XSLP -Swap Line Pricer.xlsm]Swaptions!R36C73</stp>
        <stp>Enter deal type or saved ID.</stp>
        <stp>Leg[2].Notional</stp>
        <stp>headers=false</stp>
        <tr r="BU36" s="5"/>
      </tp>
      <tp t="s">
        <v>#N/A Invalid object ID</v>
        <stp/>
        <stp>##V3_BVIEW</stp>
        <stp>[XSLP -Swap Line Pricer.xlsm]Swaptions!R26C65</stp>
        <stp>Enter deal type or saved ID.</stp>
        <stp>Leg[1].Notional</stp>
        <stp>headers=false</stp>
        <tr r="BM26" s="5"/>
      </tp>
      <tp t="s">
        <v>#N/A Invalid object ID</v>
        <stp/>
        <stp>##V3_BVIEW</stp>
        <stp>[XSLP -Swap Line Pricer.xlsm]Swaptions!R36C65</stp>
        <stp>Enter deal type or saved ID.</stp>
        <stp>Leg[1].Notional</stp>
        <stp>headers=false</stp>
        <tr r="BM36" s="5"/>
      </tp>
      <tp t="s">
        <v>#N/A No matches found [Parameter:OUTPUT]</v>
        <stp/>
        <stp>##V3_BVIEW</stp>
        <stp>[XSLP -Swap Line Pricer.xlsm]Swaps!R26C76</stp>
        <stp>FXFL 927343</stp>
        <stp>Leg[2].CalcBasis</stp>
        <stp>headers=false</stp>
        <tr r="BX26" s="1"/>
      </tp>
      <tp t="s">
        <v>Money Mkt</v>
        <stp/>
        <stp>##V3_BVIEW</stp>
        <stp>[XSLP -Swap Line Pricer.xlsm]Swaps!R26C65</stp>
        <stp>FXFL 927343</stp>
        <stp>Leg[1].CalcBasis</stp>
        <stp>headers=false</stp>
        <tr r="BM26" s="1"/>
        <tr r="BM26" s="1"/>
      </tp>
      <tp t="s">
        <v>Money Mkt</v>
        <stp/>
        <stp>##V3_BVIEW</stp>
        <stp>[XSLP -Swap Line Pricer.xlsm]Swaps!R30C65</stp>
        <stp>FXFL 631990</stp>
        <stp>Leg[1].CalcBasis</stp>
        <stp>headers=false</stp>
        <tr r="BM30" s="1"/>
        <tr r="BM30" s="1"/>
      </tp>
      <tp t="s">
        <v>#N/A No matches found [Parameter:OUTPUT]</v>
        <stp/>
        <stp>##V3_BVIEW</stp>
        <stp>[XSLP -Swap Line Pricer.xlsm]Swaps!R30C76</stp>
        <stp>FXFL 631990</stp>
        <stp>Leg[2].CalcBasis</stp>
        <stp>headers=false</stp>
        <tr r="BX30" s="1"/>
      </tp>
      <tp>
        <v>1000000</v>
        <stp/>
        <stp>##V3_BVIEW</stp>
        <stp>[XSLP -Swap Line Pricer.xlsm]Swaps!R33C69</stp>
        <stp>FXFL 630096</stp>
        <stp>Leg[2].Notional</stp>
        <stp>headers=false</stp>
        <tr r="BQ33" s="1"/>
        <tr r="BQ33" s="1"/>
      </tp>
      <tp t="s">
        <v>EUR</v>
        <stp/>
        <stp>##V3_BVIEW</stp>
        <stp>[XSLP -Swap Line Pricer.xlsm]Swaps!R33C57</stp>
        <stp>FXFL 630096</stp>
        <stp>Leg[1].Currency</stp>
        <stp>headers=false</stp>
        <tr r="BE33" s="1"/>
        <tr r="BE33" s="1"/>
      </tp>
      <tp t="s">
        <v>EUR</v>
        <stp/>
        <stp>##V3_BVIEW</stp>
        <stp>[XSLP -Swap Line Pricer.xlsm]Swaps!R28C57</stp>
        <stp>FXFL 164852</stp>
        <stp>Leg[1].Currency</stp>
        <stp>headers=false</stp>
        <tr r="BE28" s="1"/>
        <tr r="BE28" s="1"/>
      </tp>
      <tp>
        <v>1000000</v>
        <stp/>
        <stp>##V3_BVIEW</stp>
        <stp>[XSLP -Swap Line Pricer.xlsm]Swaps!R28C69</stp>
        <stp>FXFL 164852</stp>
        <stp>Leg[2].Notional</stp>
        <stp>headers=false</stp>
        <tr r="BQ28" s="1"/>
        <tr r="BQ28" s="1"/>
      </tp>
      <tp>
        <v>-6.3000000427995306E-2</v>
        <stp/>
        <stp>##V3_BVIEW</stp>
        <stp>[XSLP -Swap Line Pricer.xlsm]Swaps!R38C59</stp>
        <stp>FXFL 1033483</stp>
        <stp>Leg[1].FixedCoupon</stp>
        <stp>headers=false</stp>
        <tr r="BG38" s="1"/>
        <tr r="BG38" s="1"/>
      </tp>
      <tp>
        <v>-6.3000000427995306E-2</v>
        <stp/>
        <stp>##V3_BVIEW</stp>
        <stp>[XSLP -Swap Line Pricer.xlsm]Swaps!R39C59</stp>
        <stp>FXFL 1033483</stp>
        <stp>Leg[1].FixedCoupon</stp>
        <stp>headers=false</stp>
        <tr r="BG39" s="1"/>
        <tr r="BG39" s="1"/>
      </tp>
      <tp>
        <v>-6.3000000427995306E-2</v>
        <stp/>
        <stp>##V3_BVIEW</stp>
        <stp>[XSLP -Swap Line Pricer.xlsm]Swaps!R36C59</stp>
        <stp>FXFL 1033483</stp>
        <stp>Leg[1].FixedCoupon</stp>
        <stp>headers=false</stp>
        <tr r="BG36" s="1"/>
        <tr r="BG36" s="1"/>
      </tp>
      <tp>
        <v>-6.3000000427995306E-2</v>
        <stp/>
        <stp>##V3_BVIEW</stp>
        <stp>[XSLP -Swap Line Pricer.xlsm]Swaps!R37C59</stp>
        <stp>FXFL 1033483</stp>
        <stp>Leg[1].FixedCoupon</stp>
        <stp>headers=false</stp>
        <tr r="BG37" s="1"/>
        <tr r="BG37" s="1"/>
      </tp>
      <tp>
        <v>-6.3000000427995306E-2</v>
        <stp/>
        <stp>##V3_BVIEW</stp>
        <stp>[XSLP -Swap Line Pricer.xlsm]Swaps!R34C59</stp>
        <stp>FXFL 1033483</stp>
        <stp>Leg[1].FixedCoupon</stp>
        <stp>headers=false</stp>
        <tr r="BG34" s="1"/>
        <tr r="BG34" s="1"/>
      </tp>
      <tp>
        <v>-6.3000000427995306E-2</v>
        <stp/>
        <stp>##V3_BVIEW</stp>
        <stp>[XSLP -Swap Line Pricer.xlsm]Swaps!R35C59</stp>
        <stp>FXFL 1033483</stp>
        <stp>Leg[1].FixedCoupon</stp>
        <stp>headers=false</stp>
        <tr r="BG35" s="1"/>
        <tr r="BG35" s="1"/>
      </tp>
      <tp t="s">
        <v>#N/A Invalid object ID</v>
        <stp/>
        <stp>##V3_BVIEW</stp>
        <stp>[XSLP -Swap Line Pricer.xlsm]Swaptions!R25C73</stp>
        <stp>Enter deal type or saved ID.</stp>
        <stp>Leg[2].Notional</stp>
        <stp>headers=false</stp>
        <tr r="BU25" s="5"/>
      </tp>
      <tp t="s">
        <v>#N/A Invalid object ID</v>
        <stp/>
        <stp>##V3_BVIEW</stp>
        <stp>[XSLP -Swap Line Pricer.xlsm]Swaptions!R35C73</stp>
        <stp>Enter deal type or saved ID.</stp>
        <stp>Leg[2].Notional</stp>
        <stp>headers=false</stp>
        <tr r="BU35" s="5"/>
      </tp>
      <tp t="s">
        <v>#N/A Invalid object ID</v>
        <stp/>
        <stp>##V3_BVIEW</stp>
        <stp>[XSLP -Swap Line Pricer.xlsm]Swaptions!R25C65</stp>
        <stp>Enter deal type or saved ID.</stp>
        <stp>Leg[1].Notional</stp>
        <stp>headers=false</stp>
        <tr r="BM25" s="5"/>
      </tp>
      <tp t="s">
        <v>#N/A Invalid object ID</v>
        <stp/>
        <stp>##V3_BVIEW</stp>
        <stp>[XSLP -Swap Line Pricer.xlsm]Swaptions!R35C65</stp>
        <stp>Enter deal type or saved ID.</stp>
        <stp>Leg[1].Notional</stp>
        <stp>headers=false</stp>
        <tr r="BM35" s="5"/>
      </tp>
      <tp>
        <v>1000000</v>
        <stp/>
        <stp>##V3_BVIEW</stp>
        <stp>[XSLP -Swap Line Pricer.xlsm]Swaps!R23C58</stp>
        <stp>FXFL 729164</stp>
        <stp>Leg[1].Notional</stp>
        <stp>headers=false</stp>
        <tr r="BF23" s="1"/>
        <tr r="BF23" s="1"/>
      </tp>
      <tp t="s">
        <v>#N/A Invalid object ID</v>
        <stp/>
        <stp>##V3_BVIEW</stp>
        <stp>[XSLP -Swap Line Pricer.xlsm]Swaptions!R23C54</stp>
        <stp>Enter deal type or saved ID.</stp>
        <stp>OptionDeliveryMethod</stp>
        <stp>headers=false</stp>
        <tr r="BB23" s="5"/>
      </tp>
      <tp t="s">
        <v>#N/A Invalid object ID</v>
        <stp/>
        <stp>##V3_BVIEW</stp>
        <stp>[XSLP -Swap Line Pricer.xlsm]Swaptions!R22C54</stp>
        <stp>Enter deal type or saved ID.</stp>
        <stp>OptionDeliveryMethod</stp>
        <stp>headers=false</stp>
        <tr r="BB22" s="5"/>
      </tp>
      <tp t="s">
        <v>#N/A Invalid object ID</v>
        <stp/>
        <stp>##V3_BVIEW</stp>
        <stp>[XSLP -Swap Line Pricer.xlsm]Swaptions!R21C54</stp>
        <stp>Enter deal type or saved ID.</stp>
        <stp>OptionDeliveryMethod</stp>
        <stp>headers=false</stp>
        <tr r="BB21" s="5"/>
      </tp>
      <tp t="s">
        <v>#N/A Invalid object ID</v>
        <stp/>
        <stp>##V3_BVIEW</stp>
        <stp>[XSLP -Swap Line Pricer.xlsm]Swaptions!R20C54</stp>
        <stp>Enter deal type or saved ID.</stp>
        <stp>OptionDeliveryMethod</stp>
        <stp>headers=false</stp>
        <tr r="BB20" s="5"/>
      </tp>
      <tp t="s">
        <v>#N/A Invalid object ID</v>
        <stp/>
        <stp>##V3_BVIEW</stp>
        <stp>[XSLP -Swap Line Pricer.xlsm]Swaptions!R27C54</stp>
        <stp>Enter deal type or saved ID.</stp>
        <stp>OptionDeliveryMethod</stp>
        <stp>headers=false</stp>
        <tr r="BB27" s="5"/>
      </tp>
      <tp t="s">
        <v>#N/A Invalid object ID</v>
        <stp/>
        <stp>##V3_BVIEW</stp>
        <stp>[XSLP -Swap Line Pricer.xlsm]Swaptions!R26C54</stp>
        <stp>Enter deal type or saved ID.</stp>
        <stp>OptionDeliveryMethod</stp>
        <stp>headers=false</stp>
        <tr r="BB26" s="5"/>
      </tp>
      <tp t="s">
        <v>#N/A Invalid object ID</v>
        <stp/>
        <stp>##V3_BVIEW</stp>
        <stp>[XSLP -Swap Line Pricer.xlsm]Swaptions!R25C54</stp>
        <stp>Enter deal type or saved ID.</stp>
        <stp>OptionDeliveryMethod</stp>
        <stp>headers=false</stp>
        <tr r="BB25" s="5"/>
      </tp>
      <tp t="s">
        <v>#N/A Invalid object ID</v>
        <stp/>
        <stp>##V3_BVIEW</stp>
        <stp>[XSLP -Swap Line Pricer.xlsm]Swaptions!R24C54</stp>
        <stp>Enter deal type or saved ID.</stp>
        <stp>OptionDeliveryMethod</stp>
        <stp>headers=false</stp>
        <tr r="BB24" s="5"/>
      </tp>
      <tp t="s">
        <v>#N/A Invalid object ID</v>
        <stp/>
        <stp>##V3_BVIEW</stp>
        <stp>[XSLP -Swap Line Pricer.xlsm]Swaptions!R29C54</stp>
        <stp>Enter deal type or saved ID.</stp>
        <stp>OptionDeliveryMethod</stp>
        <stp>headers=false</stp>
        <tr r="BB29" s="5"/>
      </tp>
      <tp t="s">
        <v>#N/A Invalid object ID</v>
        <stp/>
        <stp>##V3_BVIEW</stp>
        <stp>[XSLP -Swap Line Pricer.xlsm]Swaptions!R28C54</stp>
        <stp>Enter deal type or saved ID.</stp>
        <stp>OptionDeliveryMethod</stp>
        <stp>headers=false</stp>
        <tr r="BB28" s="5"/>
      </tp>
      <tp t="s">
        <v>#N/A Invalid object ID</v>
        <stp/>
        <stp>##V3_BVIEW</stp>
        <stp>[XSLP -Swap Line Pricer.xlsm]Swaptions!R33C54</stp>
        <stp>Enter deal type or saved ID.</stp>
        <stp>OptionDeliveryMethod</stp>
        <stp>headers=false</stp>
        <tr r="BB33" s="5"/>
      </tp>
      <tp t="s">
        <v>#N/A Invalid object ID</v>
        <stp/>
        <stp>##V3_BVIEW</stp>
        <stp>[XSLP -Swap Line Pricer.xlsm]Swaptions!R32C54</stp>
        <stp>Enter deal type or saved ID.</stp>
        <stp>OptionDeliveryMethod</stp>
        <stp>headers=false</stp>
        <tr r="BB32" s="5"/>
      </tp>
      <tp t="s">
        <v>#N/A Invalid object ID</v>
        <stp/>
        <stp>##V3_BVIEW</stp>
        <stp>[XSLP -Swap Line Pricer.xlsm]Swaptions!R31C54</stp>
        <stp>Enter deal type or saved ID.</stp>
        <stp>OptionDeliveryMethod</stp>
        <stp>headers=false</stp>
        <tr r="BB31" s="5"/>
      </tp>
      <tp t="s">
        <v>#N/A Invalid object ID</v>
        <stp/>
        <stp>##V3_BVIEW</stp>
        <stp>[XSLP -Swap Line Pricer.xlsm]Swaptions!R30C54</stp>
        <stp>Enter deal type or saved ID.</stp>
        <stp>OptionDeliveryMethod</stp>
        <stp>headers=false</stp>
        <tr r="BB30" s="5"/>
      </tp>
      <tp t="s">
        <v>#N/A Invalid object ID</v>
        <stp/>
        <stp>##V3_BVIEW</stp>
        <stp>[XSLP -Swap Line Pricer.xlsm]Swaptions!R37C54</stp>
        <stp>Enter deal type or saved ID.</stp>
        <stp>OptionDeliveryMethod</stp>
        <stp>headers=false</stp>
        <tr r="BB37" s="5"/>
      </tp>
      <tp t="s">
        <v>#N/A Invalid object ID</v>
        <stp/>
        <stp>##V3_BVIEW</stp>
        <stp>[XSLP -Swap Line Pricer.xlsm]Swaptions!R36C54</stp>
        <stp>Enter deal type or saved ID.</stp>
        <stp>OptionDeliveryMethod</stp>
        <stp>headers=false</stp>
        <tr r="BB36" s="5"/>
      </tp>
      <tp t="s">
        <v>#N/A Invalid object ID</v>
        <stp/>
        <stp>##V3_BVIEW</stp>
        <stp>[XSLP -Swap Line Pricer.xlsm]Swaptions!R35C54</stp>
        <stp>Enter deal type or saved ID.</stp>
        <stp>OptionDeliveryMethod</stp>
        <stp>headers=false</stp>
        <tr r="BB35" s="5"/>
      </tp>
      <tp t="s">
        <v>#N/A Invalid object ID</v>
        <stp/>
        <stp>##V3_BVIEW</stp>
        <stp>[XSLP -Swap Line Pricer.xlsm]Swaptions!R34C54</stp>
        <stp>Enter deal type or saved ID.</stp>
        <stp>OptionDeliveryMethod</stp>
        <stp>headers=false</stp>
        <tr r="BB34" s="5"/>
      </tp>
      <tp t="s">
        <v>#N/A Invalid object ID</v>
        <stp/>
        <stp>##V3_BVIEW</stp>
        <stp>[XSLP -Swap Line Pricer.xlsm]Swaptions!R39C54</stp>
        <stp>Enter deal type or saved ID.</stp>
        <stp>OptionDeliveryMethod</stp>
        <stp>headers=false</stp>
        <tr r="BB39" s="5"/>
      </tp>
      <tp t="s">
        <v>#N/A Invalid object ID</v>
        <stp/>
        <stp>##V3_BVIEW</stp>
        <stp>[XSLP -Swap Line Pricer.xlsm]Swaptions!R38C54</stp>
        <stp>Enter deal type or saved ID.</stp>
        <stp>OptionDeliveryMethod</stp>
        <stp>headers=false</stp>
        <tr r="BB38" s="5"/>
      </tp>
      <tp t="s">
        <v>#N/A Invalid object ID</v>
        <stp/>
        <stp>##V3_BVIEW</stp>
        <stp>[XSLP -Swap Line Pricer.xlsm]Swaptions!R24C73</stp>
        <stp>Enter deal type or saved ID.</stp>
        <stp>Leg[2].Notional</stp>
        <stp>headers=false</stp>
        <tr r="BU24" s="5"/>
      </tp>
      <tp t="s">
        <v>#N/A Invalid object ID</v>
        <stp/>
        <stp>##V3_BVIEW</stp>
        <stp>[XSLP -Swap Line Pricer.xlsm]Swaptions!R34C73</stp>
        <stp>Enter deal type or saved ID.</stp>
        <stp>Leg[2].Notional</stp>
        <stp>headers=false</stp>
        <tr r="BU34" s="5"/>
      </tp>
      <tp t="s">
        <v>#N/A Invalid object ID</v>
        <stp/>
        <stp>##V3_BVIEW</stp>
        <stp>[XSLP -Swap Line Pricer.xlsm]Swaptions!R24C65</stp>
        <stp>Enter deal type or saved ID.</stp>
        <stp>Leg[1].Notional</stp>
        <stp>headers=false</stp>
        <tr r="BM24" s="5"/>
      </tp>
      <tp t="s">
        <v>#N/A Invalid object ID</v>
        <stp/>
        <stp>##V3_BVIEW</stp>
        <stp>[XSLP -Swap Line Pricer.xlsm]Swaptions!R34C65</stp>
        <stp>Enter deal type or saved ID.</stp>
        <stp>Leg[1].Notional</stp>
        <stp>headers=false</stp>
        <tr r="BM34" s="5"/>
      </tp>
      <tp t="s">
        <v>Money Mkt</v>
        <stp/>
        <stp>##V3_BVIEW</stp>
        <stp>[XSLP -Swap Line Pricer.xlsm]Swaps!R33C65</stp>
        <stp>FXFL 630096</stp>
        <stp>Leg[1].CalcBasis</stp>
        <stp>headers=false</stp>
        <tr r="BM33" s="1"/>
        <tr r="BM33" s="1"/>
      </tp>
      <tp t="s">
        <v>#N/A No matches found [Parameter:OUTPUT]</v>
        <stp/>
        <stp>##V3_BVIEW</stp>
        <stp>[XSLP -Swap Line Pricer.xlsm]Swaps!R33C76</stp>
        <stp>FXFL 630096</stp>
        <stp>Leg[2].CalcBasis</stp>
        <stp>headers=false</stp>
        <tr r="BX33" s="1"/>
      </tp>
      <tp t="s">
        <v>EUR</v>
        <stp/>
        <stp>##V3_BVIEW</stp>
        <stp>[XSLP -Swap Line Pricer.xlsm]Swaps!R22C68</stp>
        <stp>FXFL 582191</stp>
        <stp>Leg[2].Currency</stp>
        <stp>headers=false</stp>
        <tr r="BP22" s="1"/>
        <tr r="BP22" s="1"/>
      </tp>
      <tp>
        <v>1000000</v>
        <stp/>
        <stp>##V3_BVIEW</stp>
        <stp>[XSLP -Swap Line Pricer.xlsm]Swaps!R23C69</stp>
        <stp>FXFL 729164</stp>
        <stp>Leg[2].Notional</stp>
        <stp>headers=false</stp>
        <tr r="BQ23" s="1"/>
        <tr r="BQ23" s="1"/>
      </tp>
      <tp t="s">
        <v>EUR</v>
        <stp/>
        <stp>##V3_BVIEW</stp>
        <stp>[XSLP -Swap Line Pricer.xlsm]Swaps!R23C57</stp>
        <stp>FXFL 729164</stp>
        <stp>Leg[1].Currency</stp>
        <stp>headers=false</stp>
        <tr r="BE23" s="1"/>
        <tr r="BE23" s="1"/>
      </tp>
      <tp t="s">
        <v>#N/A Invalid object ID</v>
        <stp/>
        <stp>##V3_BVIEW</stp>
        <stp>[XSLP -Swap Line Pricer.xlsm]Swaptions!R35C64</stp>
        <stp>Enter deal type or saved ID.</stp>
        <stp>Leg[1].Currency</stp>
        <stp>headers=false</stp>
        <tr r="BL35" s="5"/>
      </tp>
      <tp t="s">
        <v>#N/A Invalid object ID</v>
        <stp/>
        <stp>##V3_BVIEW</stp>
        <stp>[XSLP -Swap Line Pricer.xlsm]Swaptions!R25C64</stp>
        <stp>Enter deal type or saved ID.</stp>
        <stp>Leg[1].Currency</stp>
        <stp>headers=false</stp>
        <tr r="BL25" s="5"/>
      </tp>
      <tp t="s">
        <v>#N/A Invalid object ID</v>
        <stp/>
        <stp>##V3_BVIEW</stp>
        <stp>[XSLP -Swap Line Pricer.xlsm]Swaptions!R35C72</stp>
        <stp>Enter deal type or saved ID.</stp>
        <stp>Leg[2].Currency</stp>
        <stp>headers=false</stp>
        <tr r="BT35" s="5"/>
      </tp>
      <tp t="s">
        <v>#N/A Invalid object ID</v>
        <stp/>
        <stp>##V3_BVIEW</stp>
        <stp>[XSLP -Swap Line Pricer.xlsm]Swaptions!R25C72</stp>
        <stp>Enter deal type or saved ID.</stp>
        <stp>Leg[2].Currency</stp>
        <stp>headers=false</stp>
        <tr r="BT25" s="5"/>
      </tp>
      <tp t="s">
        <v>#N/A Invalid object ID</v>
        <stp/>
        <stp>##V3_BVIEW</stp>
        <stp>[XSLP -Swap Line Pricer.xlsm]Swaptions!R29C113</stp>
        <stp/>
        <stp>Dv01</stp>
        <stp>headers=false</stp>
        <tr r="DI29" s="5"/>
      </tp>
      <tp t="s">
        <v>#N/A Invalid object ID</v>
        <stp/>
        <stp>##V3_BVIEW</stp>
        <stp>[XSLP -Swap Line Pricer.xlsm]Swaptions!R28C113</stp>
        <stp/>
        <stp>Dv01</stp>
        <stp>headers=false</stp>
        <tr r="DI28" s="5"/>
      </tp>
      <tp t="s">
        <v>#N/A Invalid object ID</v>
        <stp/>
        <stp>##V3_BVIEW</stp>
        <stp>[XSLP -Swap Line Pricer.xlsm]Swaptions!R23C113</stp>
        <stp/>
        <stp>Dv01</stp>
        <stp>headers=false</stp>
        <tr r="DI23" s="5"/>
      </tp>
      <tp t="s">
        <v>#N/A Invalid object ID</v>
        <stp/>
        <stp>##V3_BVIEW</stp>
        <stp>[XSLP -Swap Line Pricer.xlsm]Swaptions!R22C113</stp>
        <stp/>
        <stp>Dv01</stp>
        <stp>headers=false</stp>
        <tr r="DI22" s="5"/>
      </tp>
      <tp t="s">
        <v>#N/A Invalid object ID</v>
        <stp/>
        <stp>##V3_BVIEW</stp>
        <stp>[XSLP -Swap Line Pricer.xlsm]Swaptions!R21C113</stp>
        <stp/>
        <stp>Dv01</stp>
        <stp>headers=false</stp>
        <tr r="DI21" s="5"/>
      </tp>
      <tp t="s">
        <v>#N/A Invalid object ID</v>
        <stp/>
        <stp>##V3_BVIEW</stp>
        <stp>[XSLP -Swap Line Pricer.xlsm]Swaptions!R20C113</stp>
        <stp/>
        <stp>Dv01</stp>
        <stp>headers=false</stp>
        <tr r="DI20" s="5"/>
      </tp>
      <tp t="s">
        <v>#N/A Invalid object ID</v>
        <stp/>
        <stp>##V3_BVIEW</stp>
        <stp>[XSLP -Swap Line Pricer.xlsm]Swaptions!R27C113</stp>
        <stp/>
        <stp>Dv01</stp>
        <stp>headers=false</stp>
        <tr r="DI27" s="5"/>
      </tp>
      <tp t="s">
        <v>#N/A Invalid object ID</v>
        <stp/>
        <stp>##V3_BVIEW</stp>
        <stp>[XSLP -Swap Line Pricer.xlsm]Swaptions!R26C113</stp>
        <stp/>
        <stp>Dv01</stp>
        <stp>headers=false</stp>
        <tr r="DI26" s="5"/>
      </tp>
      <tp t="s">
        <v>#N/A Invalid object ID</v>
        <stp/>
        <stp>##V3_BVIEW</stp>
        <stp>[XSLP -Swap Line Pricer.xlsm]Swaptions!R25C113</stp>
        <stp/>
        <stp>Dv01</stp>
        <stp>headers=false</stp>
        <tr r="DI25" s="5"/>
      </tp>
      <tp t="s">
        <v>#N/A Invalid object ID</v>
        <stp/>
        <stp>##V3_BVIEW</stp>
        <stp>[XSLP -Swap Line Pricer.xlsm]Swaptions!R24C113</stp>
        <stp/>
        <stp>Dv01</stp>
        <stp>headers=false</stp>
        <tr r="DI24" s="5"/>
      </tp>
      <tp t="s">
        <v>#N/A Invalid object ID</v>
        <stp/>
        <stp>##V3_BVIEW</stp>
        <stp>[XSLP -Swap Line Pricer.xlsm]Swaptions!R39C113</stp>
        <stp/>
        <stp>Dv01</stp>
        <stp>headers=false</stp>
        <tr r="DI39" s="5"/>
      </tp>
      <tp t="s">
        <v>#N/A Invalid object ID</v>
        <stp/>
        <stp>##V3_BVIEW</stp>
        <stp>[XSLP -Swap Line Pricer.xlsm]Swaptions!R38C113</stp>
        <stp/>
        <stp>Dv01</stp>
        <stp>headers=false</stp>
        <tr r="DI38" s="5"/>
      </tp>
      <tp t="s">
        <v>#N/A Invalid object ID</v>
        <stp/>
        <stp>##V3_BVIEW</stp>
        <stp>[XSLP -Swap Line Pricer.xlsm]Swaptions!R33C113</stp>
        <stp/>
        <stp>Dv01</stp>
        <stp>headers=false</stp>
        <tr r="DI33" s="5"/>
      </tp>
      <tp t="s">
        <v>#N/A Invalid object ID</v>
        <stp/>
        <stp>##V3_BVIEW</stp>
        <stp>[XSLP -Swap Line Pricer.xlsm]Swaptions!R32C113</stp>
        <stp/>
        <stp>Dv01</stp>
        <stp>headers=false</stp>
        <tr r="DI32" s="5"/>
      </tp>
      <tp t="s">
        <v>#N/A Invalid object ID</v>
        <stp/>
        <stp>##V3_BVIEW</stp>
        <stp>[XSLP -Swap Line Pricer.xlsm]Swaptions!R31C113</stp>
        <stp/>
        <stp>Dv01</stp>
        <stp>headers=false</stp>
        <tr r="DI31" s="5"/>
      </tp>
      <tp t="s">
        <v>#N/A Invalid object ID</v>
        <stp/>
        <stp>##V3_BVIEW</stp>
        <stp>[XSLP -Swap Line Pricer.xlsm]Swaptions!R30C113</stp>
        <stp/>
        <stp>Dv01</stp>
        <stp>headers=false</stp>
        <tr r="DI30" s="5"/>
      </tp>
      <tp t="s">
        <v>#N/A Invalid object ID</v>
        <stp/>
        <stp>##V3_BVIEW</stp>
        <stp>[XSLP -Swap Line Pricer.xlsm]Swaptions!R37C113</stp>
        <stp/>
        <stp>Dv01</stp>
        <stp>headers=false</stp>
        <tr r="DI37" s="5"/>
      </tp>
      <tp t="s">
        <v>#N/A Invalid object ID</v>
        <stp/>
        <stp>##V3_BVIEW</stp>
        <stp>[XSLP -Swap Line Pricer.xlsm]Swaptions!R36C113</stp>
        <stp/>
        <stp>Dv01</stp>
        <stp>headers=false</stp>
        <tr r="DI36" s="5"/>
      </tp>
      <tp t="s">
        <v>#N/A Invalid object ID</v>
        <stp/>
        <stp>##V3_BVIEW</stp>
        <stp>[XSLP -Swap Line Pricer.xlsm]Swaptions!R35C113</stp>
        <stp/>
        <stp>Dv01</stp>
        <stp>headers=false</stp>
        <tr r="DI35" s="5"/>
      </tp>
      <tp t="s">
        <v>#N/A Invalid object ID</v>
        <stp/>
        <stp>##V3_BVIEW</stp>
        <stp>[XSLP -Swap Line Pricer.xlsm]Swaptions!R34C113</stp>
        <stp/>
        <stp>Dv01</stp>
        <stp>headers=false</stp>
        <tr r="DI34" s="5"/>
      </tp>
      <tp t="s">
        <v>#N/A Invalid object ID</v>
        <stp/>
        <stp>##V3_BVIEW</stp>
        <stp>[XSLP -Swap Line Pricer.xlsm]Swaptions!R23C5</stp>
        <stp/>
        <stp>DV01</stp>
        <stp>headers=false</stp>
        <tr r="E23" s="5"/>
      </tp>
      <tp t="s">
        <v>#N/A Invalid object ID</v>
        <stp/>
        <stp>##V3_BVIEW</stp>
        <stp>[XSLP -Swap Line Pricer.xlsm]Swaptions!R33C5</stp>
        <stp/>
        <stp>DV01</stp>
        <stp>headers=false</stp>
        <tr r="E33" s="5"/>
      </tp>
      <tp t="s">
        <v>Money Mkt</v>
        <stp/>
        <stp>##V3_BVIEW</stp>
        <stp>[XSLP -Swap Line Pricer.xlsm]Swaps!R28C65</stp>
        <stp>FXFL 164852</stp>
        <stp>Leg[1].CalcBasis</stp>
        <stp>headers=false</stp>
        <tr r="BM28" s="1"/>
        <tr r="BM28" s="1"/>
      </tp>
      <tp t="s">
        <v>#N/A No matches found [Parameter:OUTPUT]</v>
        <stp/>
        <stp>##V3_BVIEW</stp>
        <stp>[XSLP -Swap Line Pricer.xlsm]Swaps!R28C76</stp>
        <stp>FXFL 164852</stp>
        <stp>Leg[2].CalcBasis</stp>
        <stp>headers=false</stp>
        <tr r="BX28" s="1"/>
      </tp>
      <tp>
        <v>1000000</v>
        <stp/>
        <stp>##V3_BVIEW</stp>
        <stp>[XSLP -Swap Line Pricer.xlsm]Swaps!R22C69</stp>
        <stp>FXFL 582191</stp>
        <stp>Leg[2].Notional</stp>
        <stp>headers=false</stp>
        <tr r="BQ22" s="1"/>
        <tr r="BQ22" s="1"/>
      </tp>
      <tp t="s">
        <v>EUR</v>
        <stp/>
        <stp>##V3_BVIEW</stp>
        <stp>[XSLP -Swap Line Pricer.xlsm]Swaps!R22C57</stp>
        <stp>FXFL 582191</stp>
        <stp>Leg[1].Currency</stp>
        <stp>headers=false</stp>
        <tr r="BE22" s="1"/>
        <tr r="BE22" s="1"/>
      </tp>
      <tp t="s">
        <v>EUR</v>
        <stp/>
        <stp>##V3_BVIEW</stp>
        <stp>[XSLP -Swap Line Pricer.xlsm]Swaps!R23C68</stp>
        <stp>FXFL 729164</stp>
        <stp>Leg[2].Currency</stp>
        <stp>headers=false</stp>
        <tr r="BP23" s="1"/>
        <tr r="BP23" s="1"/>
      </tp>
      <tp t="s">
        <v>#N/A Invalid object ID</v>
        <stp/>
        <stp>##V3_BVIEW</stp>
        <stp>[XSLP -Swap Line Pricer.xlsm]Swaptions!R34C64</stp>
        <stp>Enter deal type or saved ID.</stp>
        <stp>Leg[1].Currency</stp>
        <stp>headers=false</stp>
        <tr r="BL34" s="5"/>
      </tp>
      <tp t="s">
        <v>#N/A Invalid object ID</v>
        <stp/>
        <stp>##V3_BVIEW</stp>
        <stp>[XSLP -Swap Line Pricer.xlsm]Swaptions!R24C64</stp>
        <stp>Enter deal type or saved ID.</stp>
        <stp>Leg[1].Currency</stp>
        <stp>headers=false</stp>
        <tr r="BL24" s="5"/>
      </tp>
      <tp t="s">
        <v>#N/A Invalid object ID</v>
        <stp/>
        <stp>##V3_BVIEW</stp>
        <stp>[XSLP -Swap Line Pricer.xlsm]Swaptions!R34C72</stp>
        <stp>Enter deal type or saved ID.</stp>
        <stp>Leg[2].Currency</stp>
        <stp>headers=false</stp>
        <tr r="BT34" s="5"/>
      </tp>
      <tp t="s">
        <v>#N/A Invalid object ID</v>
        <stp/>
        <stp>##V3_BVIEW</stp>
        <stp>[XSLP -Swap Line Pricer.xlsm]Swaptions!R24C72</stp>
        <stp>Enter deal type or saved ID.</stp>
        <stp>Leg[2].Currency</stp>
        <stp>headers=false</stp>
        <tr r="BT24" s="5"/>
      </tp>
      <tp t="s">
        <v>#N/A Invalid object ID</v>
        <stp/>
        <stp>##V3_BVIEW</stp>
        <stp>[XSLP -Swap Line Pricer.xlsm]Swaptions!R22C5</stp>
        <stp/>
        <stp>DV01</stp>
        <stp>headers=false</stp>
        <tr r="E22" s="5"/>
      </tp>
      <tp t="s">
        <v>#N/A Invalid object ID</v>
        <stp/>
        <stp>##V3_BVIEW</stp>
        <stp>[XSLP -Swap Line Pricer.xlsm]Swaptions!R32C5</stp>
        <stp/>
        <stp>DV01</stp>
        <stp>headers=false</stp>
        <tr r="E32" s="5"/>
      </tp>
      <tp>
        <v>1000000</v>
        <stp/>
        <stp>##V3_BVIEW</stp>
        <stp>[XSLP -Swap Line Pricer.xlsm]Swaps!R22C58</stp>
        <stp>FXFL 582191</stp>
        <stp>Leg[1].Notional</stp>
        <stp>headers=false</stp>
        <tr r="BF22" s="1"/>
        <tr r="BF22" s="1"/>
      </tp>
      <tp t="s">
        <v>#N/A Invalid object ID</v>
        <stp/>
        <stp>##V3_BVIEW</stp>
        <stp>[XSLP -Swap Line Pricer.xlsm]Swaptions!R37C64</stp>
        <stp>Enter deal type or saved ID.</stp>
        <stp>Leg[1].Currency</stp>
        <stp>headers=false</stp>
        <tr r="BL37" s="5"/>
      </tp>
      <tp t="s">
        <v>#N/A Invalid object ID</v>
        <stp/>
        <stp>##V3_BVIEW</stp>
        <stp>[XSLP -Swap Line Pricer.xlsm]Swaptions!R27C64</stp>
        <stp>Enter deal type or saved ID.</stp>
        <stp>Leg[1].Currency</stp>
        <stp>headers=false</stp>
        <tr r="BL27" s="5"/>
      </tp>
      <tp t="s">
        <v>#N/A Invalid object ID</v>
        <stp/>
        <stp>##V3_BVIEW</stp>
        <stp>[XSLP -Swap Line Pricer.xlsm]Swaptions!R37C72</stp>
        <stp>Enter deal type or saved ID.</stp>
        <stp>Leg[2].Currency</stp>
        <stp>headers=false</stp>
        <tr r="BT37" s="5"/>
      </tp>
      <tp t="s">
        <v>#N/A Invalid object ID</v>
        <stp/>
        <stp>##V3_BVIEW</stp>
        <stp>[XSLP -Swap Line Pricer.xlsm]Swaptions!R27C72</stp>
        <stp>Enter deal type or saved ID.</stp>
        <stp>Leg[2].Currency</stp>
        <stp>headers=false</stp>
        <tr r="BT27" s="5"/>
      </tp>
      <tp t="s">
        <v>#N/A Invalid object ID</v>
        <stp/>
        <stp>##V3_BVIEW</stp>
        <stp>[XSLP -Swap Line Pricer.xlsm]Swaptions!R29C73</stp>
        <stp>Enter deal type or saved ID.</stp>
        <stp>Leg[2].Notional</stp>
        <stp>headers=false</stp>
        <tr r="BU29" s="5"/>
      </tp>
      <tp t="s">
        <v>#N/A Invalid object ID</v>
        <stp/>
        <stp>##V3_BVIEW</stp>
        <stp>[XSLP -Swap Line Pricer.xlsm]Swaptions!R39C73</stp>
        <stp>Enter deal type or saved ID.</stp>
        <stp>Leg[2].Notional</stp>
        <stp>headers=false</stp>
        <tr r="BU39" s="5"/>
      </tp>
      <tp t="s">
        <v>#N/A Invalid object ID</v>
        <stp/>
        <stp>##V3_BVIEW</stp>
        <stp>[XSLP -Swap Line Pricer.xlsm]Swaptions!R29C65</stp>
        <stp>Enter deal type or saved ID.</stp>
        <stp>Leg[1].Notional</stp>
        <stp>headers=false</stp>
        <tr r="BM29" s="5"/>
      </tp>
      <tp t="s">
        <v>#N/A Invalid object ID</v>
        <stp/>
        <stp>##V3_BVIEW</stp>
        <stp>[XSLP -Swap Line Pricer.xlsm]Swaptions!R39C65</stp>
        <stp>Enter deal type or saved ID.</stp>
        <stp>Leg[1].Notional</stp>
        <stp>headers=false</stp>
        <tr r="BM39" s="5"/>
      </tp>
      <tp t="s">
        <v>#N/A Invalid object ID</v>
        <stp/>
        <stp>##V3_BVIEW</stp>
        <stp>[XSLP -Swap Line Pricer.xlsm]Swaptions!R21C5</stp>
        <stp/>
        <stp>DV01</stp>
        <stp>headers=false</stp>
        <tr r="E21" s="5"/>
      </tp>
      <tp t="s">
        <v>#N/A Invalid object ID</v>
        <stp/>
        <stp>##V3_BVIEW</stp>
        <stp>[XSLP -Swap Line Pricer.xlsm]Swaptions!R31C5</stp>
        <stp/>
        <stp>DV01</stp>
        <stp>headers=false</stp>
        <tr r="E31" s="5"/>
      </tp>
      <tp t="s">
        <v>EUR</v>
        <stp/>
        <stp>##V3_BVIEW</stp>
        <stp>[XSLP -Swap Line Pricer.xlsm]Swaps!R33C68</stp>
        <stp>FXFL 630096</stp>
        <stp>Leg[2].Currency</stp>
        <stp>headers=false</stp>
        <tr r="BP33" s="1"/>
        <tr r="BP33" s="1"/>
      </tp>
      <tp t="s">
        <v>EUR</v>
        <stp/>
        <stp>##V3_BVIEW</stp>
        <stp>[XSLP -Swap Line Pricer.xlsm]Swaps!R28C68</stp>
        <stp>FXFL 164852</stp>
        <stp>Leg[2].Currency</stp>
        <stp>headers=false</stp>
        <tr r="BP28" s="1"/>
        <tr r="BP28" s="1"/>
      </tp>
      <tp t="s">
        <v>SemiAnnual</v>
        <stp/>
        <stp>##V3_BVIEW</stp>
        <stp>[XSLP -Swap Line Pricer.xlsm]Swaps!R25C73</stp>
        <stp>FXFL 64474</stp>
        <stp>Leg[2].PayFrequency</stp>
        <stp>headers=false</stp>
        <tr r="BU25" s="1"/>
        <tr r="BU25" s="1"/>
      </tp>
      <tp t="s">
        <v>#N/A Invalid object ID</v>
        <stp/>
        <stp>##V3_BVIEW</stp>
        <stp>[XSLP -Swap Line Pricer.xlsm]Swaptions!R36C64</stp>
        <stp>Enter deal type or saved ID.</stp>
        <stp>Leg[1].Currency</stp>
        <stp>headers=false</stp>
        <tr r="BL36" s="5"/>
      </tp>
      <tp t="s">
        <v>#N/A Invalid object ID</v>
        <stp/>
        <stp>##V3_BVIEW</stp>
        <stp>[XSLP -Swap Line Pricer.xlsm]Swaptions!R26C64</stp>
        <stp>Enter deal type or saved ID.</stp>
        <stp>Leg[1].Currency</stp>
        <stp>headers=false</stp>
        <tr r="BL26" s="5"/>
      </tp>
      <tp t="s">
        <v>#N/A Invalid object ID</v>
        <stp/>
        <stp>##V3_BVIEW</stp>
        <stp>[XSLP -Swap Line Pricer.xlsm]Swaptions!R36C72</stp>
        <stp>Enter deal type or saved ID.</stp>
        <stp>Leg[2].Currency</stp>
        <stp>headers=false</stp>
        <tr r="BT36" s="5"/>
      </tp>
      <tp t="s">
        <v>#N/A Invalid object ID</v>
        <stp/>
        <stp>##V3_BVIEW</stp>
        <stp>[XSLP -Swap Line Pricer.xlsm]Swaptions!R26C72</stp>
        <stp>Enter deal type or saved ID.</stp>
        <stp>Leg[2].Currency</stp>
        <stp>headers=false</stp>
        <tr r="BT26" s="5"/>
      </tp>
      <tp t="s">
        <v>#N/A Invalid object ID</v>
        <stp/>
        <stp>##V3_BVIEW</stp>
        <stp>[XSLP -Swap Line Pricer.xlsm]Swaptions!R28C73</stp>
        <stp>Enter deal type or saved ID.</stp>
        <stp>Leg[2].Notional</stp>
        <stp>headers=false</stp>
        <tr r="BU28" s="5"/>
      </tp>
      <tp t="s">
        <v>#N/A Invalid object ID</v>
        <stp/>
        <stp>##V3_BVIEW</stp>
        <stp>[XSLP -Swap Line Pricer.xlsm]Swaptions!R38C73</stp>
        <stp>Enter deal type or saved ID.</stp>
        <stp>Leg[2].Notional</stp>
        <stp>headers=false</stp>
        <tr r="BU38" s="5"/>
      </tp>
      <tp t="s">
        <v>#N/A Invalid object ID</v>
        <stp/>
        <stp>##V3_BVIEW</stp>
        <stp>[XSLP -Swap Line Pricer.xlsm]Swaptions!R28C65</stp>
        <stp>Enter deal type or saved ID.</stp>
        <stp>Leg[1].Notional</stp>
        <stp>headers=false</stp>
        <tr r="BM28" s="5"/>
      </tp>
      <tp t="s">
        <v>#N/A Invalid object ID</v>
        <stp/>
        <stp>##V3_BVIEW</stp>
        <stp>[XSLP -Swap Line Pricer.xlsm]Swaptions!R38C65</stp>
        <stp>Enter deal type or saved ID.</stp>
        <stp>Leg[1].Notional</stp>
        <stp>headers=false</stp>
        <tr r="BM38" s="5"/>
      </tp>
      <tp t="s">
        <v>#N/A No matches found [Parameter:OUTPUT]</v>
        <stp/>
        <stp>##V3_BVIEW</stp>
        <stp>[XSLP -Swap Line Pricer.xlsm]Swaps!R38C61</stp>
        <stp>FXFL 1033483</stp>
        <stp>Leg[1].FloatingIndex</stp>
        <stp>headers=false</stp>
        <tr r="BI38" s="1"/>
      </tp>
      <tp t="s">
        <v>#N/A No matches found [Parameter:OUTPUT]</v>
        <stp/>
        <stp>##V3_BVIEW</stp>
        <stp>[XSLP -Swap Line Pricer.xlsm]Swaps!R39C61</stp>
        <stp>FXFL 1033483</stp>
        <stp>Leg[1].FloatingIndex</stp>
        <stp>headers=false</stp>
        <tr r="BI39" s="1"/>
      </tp>
      <tp t="s">
        <v>#N/A No matches found [Parameter:OUTPUT]</v>
        <stp/>
        <stp>##V3_BVIEW</stp>
        <stp>[XSLP -Swap Line Pricer.xlsm]Swaps!R34C61</stp>
        <stp>FXFL 1033483</stp>
        <stp>Leg[1].FloatingIndex</stp>
        <stp>headers=false</stp>
        <tr r="BI34" s="1"/>
      </tp>
      <tp t="s">
        <v>#N/A No matches found [Parameter:OUTPUT]</v>
        <stp/>
        <stp>##V3_BVIEW</stp>
        <stp>[XSLP -Swap Line Pricer.xlsm]Swaps!R35C61</stp>
        <stp>FXFL 1033483</stp>
        <stp>Leg[1].FloatingIndex</stp>
        <stp>headers=false</stp>
        <tr r="BI35" s="1"/>
      </tp>
      <tp t="s">
        <v>#N/A No matches found [Parameter:OUTPUT]</v>
        <stp/>
        <stp>##V3_BVIEW</stp>
        <stp>[XSLP -Swap Line Pricer.xlsm]Swaps!R36C61</stp>
        <stp>FXFL 1033483</stp>
        <stp>Leg[1].FloatingIndex</stp>
        <stp>headers=false</stp>
        <tr r="BI36" s="1"/>
      </tp>
      <tp t="s">
        <v>#N/A No matches found [Parameter:OUTPUT]</v>
        <stp/>
        <stp>##V3_BVIEW</stp>
        <stp>[XSLP -Swap Line Pricer.xlsm]Swaps!R37C61</stp>
        <stp>FXFL 1033483</stp>
        <stp>Leg[1].FloatingIndex</stp>
        <stp>headers=false</stp>
        <tr r="BI37" s="1"/>
      </tp>
      <tp t="s">
        <v>EUR006M</v>
        <stp/>
        <stp>##V3_BVIEW</stp>
        <stp>[XSLP -Swap Line Pricer.xlsm]Swaps!R38C72</stp>
        <stp>FXFL 1033483</stp>
        <stp>Leg[2].FloatingIndex</stp>
        <stp>headers=false</stp>
        <tr r="BT38" s="1"/>
        <tr r="BT38" s="1"/>
      </tp>
      <tp t="s">
        <v>EUR006M</v>
        <stp/>
        <stp>##V3_BVIEW</stp>
        <stp>[XSLP -Swap Line Pricer.xlsm]Swaps!R39C72</stp>
        <stp>FXFL 1033483</stp>
        <stp>Leg[2].FloatingIndex</stp>
        <stp>headers=false</stp>
        <tr r="BT39" s="1"/>
        <tr r="BT39" s="1"/>
      </tp>
      <tp t="s">
        <v>EUR006M</v>
        <stp/>
        <stp>##V3_BVIEW</stp>
        <stp>[XSLP -Swap Line Pricer.xlsm]Swaps!R34C72</stp>
        <stp>FXFL 1033483</stp>
        <stp>Leg[2].FloatingIndex</stp>
        <stp>headers=false</stp>
        <tr r="BT34" s="1"/>
        <tr r="BT34" s="1"/>
      </tp>
      <tp t="s">
        <v>EUR006M</v>
        <stp/>
        <stp>##V3_BVIEW</stp>
        <stp>[XSLP -Swap Line Pricer.xlsm]Swaps!R35C72</stp>
        <stp>FXFL 1033483</stp>
        <stp>Leg[2].FloatingIndex</stp>
        <stp>headers=false</stp>
        <tr r="BT35" s="1"/>
        <tr r="BT35" s="1"/>
      </tp>
      <tp t="s">
        <v>EUR006M</v>
        <stp/>
        <stp>##V3_BVIEW</stp>
        <stp>[XSLP -Swap Line Pricer.xlsm]Swaps!R36C72</stp>
        <stp>FXFL 1033483</stp>
        <stp>Leg[2].FloatingIndex</stp>
        <stp>headers=false</stp>
        <tr r="BT36" s="1"/>
        <tr r="BT36" s="1"/>
      </tp>
      <tp t="s">
        <v>EUR006M</v>
        <stp/>
        <stp>##V3_BVIEW</stp>
        <stp>[XSLP -Swap Line Pricer.xlsm]Swaps!R37C72</stp>
        <stp>FXFL 1033483</stp>
        <stp>Leg[2].FloatingIndex</stp>
        <stp>headers=false</stp>
        <tr r="BT37" s="1"/>
        <tr r="BT37" s="1"/>
      </tp>
      <tp t="s">
        <v>#N/A Invalid object ID</v>
        <stp/>
        <stp>##V3_BVIEW</stp>
        <stp>[XSLP -Swap Line Pricer.xlsm]Swaptions!R20C5</stp>
        <stp/>
        <stp>DV01</stp>
        <stp>headers=false</stp>
        <tr r="E20" s="5"/>
      </tp>
      <tp t="s">
        <v>#N/A Invalid object ID</v>
        <stp/>
        <stp>##V3_BVIEW</stp>
        <stp>[XSLP -Swap Line Pricer.xlsm]Swaptions!R30C5</stp>
        <stp/>
        <stp>DV01</stp>
        <stp>headers=false</stp>
        <tr r="E30" s="5"/>
      </tp>
      <tp t="s">
        <v>Annual</v>
        <stp/>
        <stp>##V3_BVIEW</stp>
        <stp>[XSLP -Swap Line Pricer.xlsm]Swaps!R25C62</stp>
        <stp>FXFL 64474</stp>
        <stp>Leg[1].PayFrequency</stp>
        <stp>headers=false</stp>
        <tr r="BJ25" s="1"/>
        <tr r="BJ25" s="1"/>
      </tp>
      <tp t="s">
        <v>#N/A Invalid object ID</v>
        <stp/>
        <stp>##V3_BVIEW</stp>
        <stp>[XSLP -Swap Line Pricer.xlsm]Swaptions!R31C64</stp>
        <stp>Enter deal type or saved ID.</stp>
        <stp>Leg[1].Currency</stp>
        <stp>headers=false</stp>
        <tr r="BL31" s="5"/>
      </tp>
      <tp t="s">
        <v>#N/A Invalid object ID</v>
        <stp/>
        <stp>##V3_BVIEW</stp>
        <stp>[XSLP -Swap Line Pricer.xlsm]Swaptions!R21C64</stp>
        <stp>Enter deal type or saved ID.</stp>
        <stp>Leg[1].Currency</stp>
        <stp>headers=false</stp>
        <tr r="BL21" s="5"/>
      </tp>
      <tp t="s">
        <v>#N/A Invalid object ID</v>
        <stp/>
        <stp>##V3_BVIEW</stp>
        <stp>[XSLP -Swap Line Pricer.xlsm]Swaptions!R31C72</stp>
        <stp>Enter deal type or saved ID.</stp>
        <stp>Leg[2].Currency</stp>
        <stp>headers=false</stp>
        <tr r="BT31" s="5"/>
      </tp>
      <tp t="s">
        <v>#N/A Invalid object ID</v>
        <stp/>
        <stp>##V3_BVIEW</stp>
        <stp>[XSLP -Swap Line Pricer.xlsm]Swaptions!R21C72</stp>
        <stp>Enter deal type or saved ID.</stp>
        <stp>Leg[2].Currency</stp>
        <stp>headers=false</stp>
        <tr r="BT21" s="5"/>
      </tp>
      <tp t="s">
        <v>#N/A No matches found [Parameter:OUTPUT]</v>
        <stp/>
        <stp>##V3_BVIEW</stp>
        <stp>[XSLP -Swap Line Pricer.xlsm]Swaps!R20C76</stp>
        <stp>FXFL 938373</stp>
        <stp>Leg[2].CalcBasis</stp>
        <stp>headers=false</stp>
        <tr r="BX20" s="1"/>
      </tp>
      <tp t="s">
        <v>Money Mkt</v>
        <stp/>
        <stp>##V3_BVIEW</stp>
        <stp>[XSLP -Swap Line Pricer.xlsm]Swaps!R20C65</stp>
        <stp>FXFL 938373</stp>
        <stp>Leg[1].CalcBasis</stp>
        <stp>headers=false</stp>
        <tr r="BM20" s="1"/>
        <tr r="BM20" s="1"/>
      </tp>
      <tp t="s">
        <v>#N/A Invalid object ID</v>
        <stp/>
        <stp>##V3_BVIEW</stp>
        <stp>[XSLP -Swap Line Pricer.xlsm]Swaptions!R27C5</stp>
        <stp/>
        <stp>DV01</stp>
        <stp>headers=false</stp>
        <tr r="E27" s="5"/>
      </tp>
      <tp t="s">
        <v>#N/A Invalid object ID</v>
        <stp/>
        <stp>##V3_BVIEW</stp>
        <stp>[XSLP -Swap Line Pricer.xlsm]Swaptions!R37C5</stp>
        <stp/>
        <stp>DV01</stp>
        <stp>headers=false</stp>
        <tr r="E37" s="5"/>
      </tp>
      <tp t="s">
        <v>Money Mkt</v>
        <stp/>
        <stp>##V3_BVIEW</stp>
        <stp>[XSLP -Swap Line Pricer.xlsm]Swaps!R29C65</stp>
        <stp>FXFL 431830</stp>
        <stp>Leg[1].CalcBasis</stp>
        <stp>headers=false</stp>
        <tr r="BM29" s="1"/>
        <tr r="BM29" s="1"/>
      </tp>
      <tp t="s">
        <v>#N/A No matches found [Parameter:OUTPUT]</v>
        <stp/>
        <stp>##V3_BVIEW</stp>
        <stp>[XSLP -Swap Line Pricer.xlsm]Swaps!R29C76</stp>
        <stp>FXFL 431830</stp>
        <stp>Leg[2].CalcBasis</stp>
        <stp>headers=false</stp>
        <tr r="BX29" s="1"/>
      </tp>
      <tp t="s">
        <v>Annual</v>
        <stp/>
        <stp>##V3_BVIEW</stp>
        <stp>[XSLP -Swap Line Pricer.xlsm]Swaps!R35C62</stp>
        <stp>FXFL 1033483</stp>
        <stp>Leg[1].PayFrequency</stp>
        <stp>headers=false</stp>
        <tr r="BJ35" s="1"/>
        <tr r="BJ35" s="1"/>
      </tp>
      <tp t="s">
        <v>SemiAnnual</v>
        <stp/>
        <stp>##V3_BVIEW</stp>
        <stp>[XSLP -Swap Line Pricer.xlsm]Swaps!R35C73</stp>
        <stp>FXFL 1033483</stp>
        <stp>Leg[2].PayFrequency</stp>
        <stp>headers=false</stp>
        <tr r="BU35" s="1"/>
        <tr r="BU35" s="1"/>
      </tp>
      <tp t="s">
        <v>EUR</v>
        <stp/>
        <stp>##V3_BVIEW</stp>
        <stp>[XSLP -Swap Line Pricer.xlsm]Swaps!R24C57</stp>
        <stp>FXFL 651808</stp>
        <stp>Leg[1].Currency</stp>
        <stp>headers=false</stp>
        <tr r="BE24" s="1"/>
        <tr r="BE24" s="1"/>
      </tp>
      <tp>
        <v>1000000</v>
        <stp/>
        <stp>##V3_BVIEW</stp>
        <stp>[XSLP -Swap Line Pricer.xlsm]Swaps!R24C69</stp>
        <stp>FXFL 651808</stp>
        <stp>Leg[2].Notional</stp>
        <stp>headers=false</stp>
        <tr r="BQ24" s="1"/>
        <tr r="BQ24" s="1"/>
      </tp>
      <tp t="s">
        <v>EUR</v>
        <stp/>
        <stp>##V3_BVIEW</stp>
        <stp>[XSLP -Swap Line Pricer.xlsm]Swaps!R30C68</stp>
        <stp>FXFL 631990</stp>
        <stp>Leg[2].Currency</stp>
        <stp>headers=false</stp>
        <tr r="BP30" s="1"/>
        <tr r="BP30" s="1"/>
      </tp>
      <tp t="s">
        <v>#N/A No matches found [Parameter:OUTPUT]</v>
        <stp/>
        <stp>##V3_BVIEW</stp>
        <stp>[XSLP -Swap Line Pricer.xlsm]Swaps!R38C70</stp>
        <stp>FXFL 1033483</stp>
        <stp>Leg[2].FixedCoupon</stp>
        <stp>headers=false</stp>
        <tr r="BR38" s="1"/>
      </tp>
      <tp t="s">
        <v>#N/A No matches found [Parameter:OUTPUT]</v>
        <stp/>
        <stp>##V3_BVIEW</stp>
        <stp>[XSLP -Swap Line Pricer.xlsm]Swaps!R39C70</stp>
        <stp>FXFL 1033483</stp>
        <stp>Leg[2].FixedCoupon</stp>
        <stp>headers=false</stp>
        <tr r="BR39" s="1"/>
      </tp>
      <tp t="s">
        <v>#N/A No matches found [Parameter:OUTPUT]</v>
        <stp/>
        <stp>##V3_BVIEW</stp>
        <stp>[XSLP -Swap Line Pricer.xlsm]Swaps!R36C70</stp>
        <stp>FXFL 1033483</stp>
        <stp>Leg[2].FixedCoupon</stp>
        <stp>headers=false</stp>
        <tr r="BR36" s="1"/>
      </tp>
      <tp t="s">
        <v>#N/A No matches found [Parameter:OUTPUT]</v>
        <stp/>
        <stp>##V3_BVIEW</stp>
        <stp>[XSLP -Swap Line Pricer.xlsm]Swaps!R37C70</stp>
        <stp>FXFL 1033483</stp>
        <stp>Leg[2].FixedCoupon</stp>
        <stp>headers=false</stp>
        <tr r="BR37" s="1"/>
      </tp>
      <tp t="s">
        <v>#N/A No matches found [Parameter:OUTPUT]</v>
        <stp/>
        <stp>##V3_BVIEW</stp>
        <stp>[XSLP -Swap Line Pricer.xlsm]Swaps!R34C70</stp>
        <stp>FXFL 1033483</stp>
        <stp>Leg[2].FixedCoupon</stp>
        <stp>headers=false</stp>
        <tr r="BR34" s="1"/>
      </tp>
      <tp t="s">
        <v>#N/A No matches found [Parameter:OUTPUT]</v>
        <stp/>
        <stp>##V3_BVIEW</stp>
        <stp>[XSLP -Swap Line Pricer.xlsm]Swaps!R35C70</stp>
        <stp>FXFL 1033483</stp>
        <stp>Leg[2].FixedCoupon</stp>
        <stp>headers=false</stp>
        <tr r="BR35" s="1"/>
      </tp>
      <tp t="s">
        <v>#N/A Invalid object ID</v>
        <stp/>
        <stp>##V3_BVIEW</stp>
        <stp>[XSLP -Swap Line Pricer.xlsm]Swaptions!R30C64</stp>
        <stp>Enter deal type or saved ID.</stp>
        <stp>Leg[1].Currency</stp>
        <stp>headers=false</stp>
        <tr r="BL30" s="5"/>
      </tp>
      <tp t="s">
        <v>#N/A Invalid object ID</v>
        <stp/>
        <stp>##V3_BVIEW</stp>
        <stp>[XSLP -Swap Line Pricer.xlsm]Swaptions!R20C64</stp>
        <stp>Enter deal type or saved ID.</stp>
        <stp>Leg[1].Currency</stp>
        <stp>headers=false</stp>
        <tr r="BL20" s="5"/>
      </tp>
      <tp t="s">
        <v>#N/A Invalid object ID</v>
        <stp/>
        <stp>##V3_BVIEW</stp>
        <stp>[XSLP -Swap Line Pricer.xlsm]Swaptions!R30C72</stp>
        <stp>Enter deal type or saved ID.</stp>
        <stp>Leg[2].Currency</stp>
        <stp>headers=false</stp>
        <tr r="BT30" s="5"/>
      </tp>
      <tp t="s">
        <v>#N/A Invalid object ID</v>
        <stp/>
        <stp>##V3_BVIEW</stp>
        <stp>[XSLP -Swap Line Pricer.xlsm]Swaptions!R20C72</stp>
        <stp>Enter deal type or saved ID.</stp>
        <stp>Leg[2].Currency</stp>
        <stp>headers=false</stp>
        <tr r="BT20" s="5"/>
      </tp>
      <tp t="s">
        <v>#N/A Invalid object ID</v>
        <stp/>
        <stp>##V3_BVIEW</stp>
        <stp>[XSLP -Swap Line Pricer.xlsm]Swaptions!R26C5</stp>
        <stp/>
        <stp>DV01</stp>
        <stp>headers=false</stp>
        <tr r="E26" s="5"/>
      </tp>
      <tp t="s">
        <v>#N/A Invalid object ID</v>
        <stp/>
        <stp>##V3_BVIEW</stp>
        <stp>[XSLP -Swap Line Pricer.xlsm]Swaptions!R36C5</stp>
        <stp/>
        <stp>DV01</stp>
        <stp>headers=false</stp>
        <tr r="E36" s="5"/>
      </tp>
      <tp t="s">
        <v>EUR</v>
        <stp/>
        <stp>##V3_BVIEW</stp>
        <stp>[XSLP -Swap Line Pricer.xlsm]Swaps!R27C68</stp>
        <stp>FXFL 451356</stp>
        <stp>Leg[2].Currency</stp>
        <stp>headers=false</stp>
        <tr r="BP27" s="1"/>
        <tr r="BP27" s="1"/>
      </tp>
      <tp t="s">
        <v>Annual</v>
        <stp/>
        <stp>##V3_BVIEW</stp>
        <stp>[XSLP -Swap Line Pricer.xlsm]Swaps!R34C62</stp>
        <stp>FXFL 1033483</stp>
        <stp>Leg[1].PayFrequency</stp>
        <stp>headers=false</stp>
        <tr r="BJ34" s="1"/>
        <tr r="BJ34" s="1"/>
      </tp>
      <tp t="s">
        <v>SemiAnnual</v>
        <stp/>
        <stp>##V3_BVIEW</stp>
        <stp>[XSLP -Swap Line Pricer.xlsm]Swaps!R34C73</stp>
        <stp>FXFL 1033483</stp>
        <stp>Leg[2].PayFrequency</stp>
        <stp>headers=false</stp>
        <tr r="BU34" s="1"/>
        <tr r="BU34" s="1"/>
      </tp>
      <tp t="s">
        <v>EUR</v>
        <stp/>
        <stp>##V3_BVIEW</stp>
        <stp>[XSLP -Swap Line Pricer.xlsm]Swaps!R31C68</stp>
        <stp>FXFL 625950</stp>
        <stp>Leg[2].Currency</stp>
        <stp>headers=false</stp>
        <tr r="BP31" s="1"/>
        <tr r="BP31" s="1"/>
      </tp>
      <tp>
        <v>1000000</v>
        <stp/>
        <stp>##V3_BVIEW</stp>
        <stp>[XSLP -Swap Line Pricer.xlsm]Swaps!R24C58</stp>
        <stp>FXFL 651808</stp>
        <stp>Leg[1].Notional</stp>
        <stp>headers=false</stp>
        <tr r="BF24" s="1"/>
        <tr r="BF24" s="1"/>
      </tp>
      <tp t="s">
        <v>EUR</v>
        <stp/>
        <stp>##V3_BVIEW</stp>
        <stp>[XSLP -Swap Line Pricer.xlsm]Swaps!R29C68</stp>
        <stp>FXFL 431830</stp>
        <stp>Leg[2].Currency</stp>
        <stp>headers=false</stp>
        <tr r="BP29" s="1"/>
        <tr r="BP29" s="1"/>
      </tp>
      <tp t="s">
        <v>#N/A Invalid object ID</v>
        <stp/>
        <stp>##V3_BVIEW</stp>
        <stp>[XSLP -Swap Line Pricer.xlsm]Swaptions!R33C64</stp>
        <stp>Enter deal type or saved ID.</stp>
        <stp>Leg[1].Currency</stp>
        <stp>headers=false</stp>
        <tr r="BL33" s="5"/>
      </tp>
      <tp t="s">
        <v>#N/A Invalid object ID</v>
        <stp/>
        <stp>##V3_BVIEW</stp>
        <stp>[XSLP -Swap Line Pricer.xlsm]Swaptions!R23C64</stp>
        <stp>Enter deal type or saved ID.</stp>
        <stp>Leg[1].Currency</stp>
        <stp>headers=false</stp>
        <tr r="BL23" s="5"/>
      </tp>
      <tp t="s">
        <v>#N/A Invalid object ID</v>
        <stp/>
        <stp>##V3_BVIEW</stp>
        <stp>[XSLP -Swap Line Pricer.xlsm]Swaptions!R33C72</stp>
        <stp>Enter deal type or saved ID.</stp>
        <stp>Leg[2].Currency</stp>
        <stp>headers=false</stp>
        <tr r="BT33" s="5"/>
      </tp>
      <tp t="s">
        <v>#N/A Invalid object ID</v>
        <stp/>
        <stp>##V3_BVIEW</stp>
        <stp>[XSLP -Swap Line Pricer.xlsm]Swaptions!R23C72</stp>
        <stp>Enter deal type or saved ID.</stp>
        <stp>Leg[2].Currency</stp>
        <stp>headers=false</stp>
        <tr r="BT23" s="5"/>
      </tp>
      <tp t="s">
        <v>Money Mkt</v>
        <stp/>
        <stp>##V3_BVIEW</stp>
        <stp>[XSLP -Swap Line Pricer.xlsm]Swaps!R23C65</stp>
        <stp>FXFL 729164</stp>
        <stp>Leg[1].CalcBasis</stp>
        <stp>headers=false</stp>
        <tr r="BM23" s="1"/>
        <tr r="BM23" s="1"/>
      </tp>
      <tp t="s">
        <v>#N/A No matches found [Parameter:OUTPUT]</v>
        <stp/>
        <stp>##V3_BVIEW</stp>
        <stp>[XSLP -Swap Line Pricer.xlsm]Swaps!R23C76</stp>
        <stp>FXFL 729164</stp>
        <stp>Leg[2].CalcBasis</stp>
        <stp>headers=false</stp>
        <tr r="BX23" s="1"/>
      </tp>
      <tp t="s">
        <v>#N/A Invalid object ID</v>
        <stp/>
        <stp>##V3_BVIEW</stp>
        <stp>[XSLP -Swap Line Pricer.xlsm]Swaptions!R25C5</stp>
        <stp/>
        <stp>DV01</stp>
        <stp>headers=false</stp>
        <tr r="E25" s="5"/>
      </tp>
      <tp t="s">
        <v>#N/A Invalid object ID</v>
        <stp/>
        <stp>##V3_BVIEW</stp>
        <stp>[XSLP -Swap Line Pricer.xlsm]Swaptions!R35C5</stp>
        <stp/>
        <stp>DV01</stp>
        <stp>headers=false</stp>
        <tr r="E35" s="5"/>
      </tp>
      <tp t="s">
        <v>Annual</v>
        <stp/>
        <stp>##V3_BVIEW</stp>
        <stp>[XSLP -Swap Line Pricer.xlsm]Swaps!R37C62</stp>
        <stp>FXFL 1033483</stp>
        <stp>Leg[1].PayFrequency</stp>
        <stp>headers=false</stp>
        <tr r="BJ37" s="1"/>
        <tr r="BJ37" s="1"/>
      </tp>
      <tp t="s">
        <v>SemiAnnual</v>
        <stp/>
        <stp>##V3_BVIEW</stp>
        <stp>[XSLP -Swap Line Pricer.xlsm]Swaps!R37C73</stp>
        <stp>FXFL 1033483</stp>
        <stp>Leg[2].PayFrequency</stp>
        <stp>headers=false</stp>
        <tr r="BU37" s="1"/>
        <tr r="BU37" s="1"/>
      </tp>
      <tp t="s">
        <v>EUR</v>
        <stp/>
        <stp>##V3_BVIEW</stp>
        <stp>[XSLP -Swap Line Pricer.xlsm]Swaps!R32C57</stp>
        <stp>FXFL 877169</stp>
        <stp>Leg[1].Currency</stp>
        <stp>headers=false</stp>
        <tr r="BE32" s="1"/>
        <tr r="BE32" s="1"/>
      </tp>
      <tp>
        <v>1000000</v>
        <stp/>
        <stp>##V3_BVIEW</stp>
        <stp>[XSLP -Swap Line Pricer.xlsm]Swaps!R32C69</stp>
        <stp>FXFL 877169</stp>
        <stp>Leg[2].Notional</stp>
        <stp>headers=false</stp>
        <tr r="BQ32" s="1"/>
        <tr r="BQ32" s="1"/>
      </tp>
      <tp>
        <v>1000000</v>
        <stp/>
        <stp>##V3_BVIEW</stp>
        <stp>[XSLP -Swap Line Pricer.xlsm]Swaps!R21C58</stp>
        <stp>FXFL 597317</stp>
        <stp>Leg[1].Notional</stp>
        <stp>headers=false</stp>
        <tr r="BF21" s="1"/>
        <tr r="BF21" s="1"/>
      </tp>
      <tp t="s">
        <v>EUR</v>
        <stp/>
        <stp>##V3_BVIEW</stp>
        <stp>[XSLP -Swap Line Pricer.xlsm]Swaps!R20C68</stp>
        <stp>FXFL 938373</stp>
        <stp>Leg[2].Currency</stp>
        <stp>headers=false</stp>
        <tr r="BP20" s="1"/>
        <tr r="BP20" s="1"/>
      </tp>
      <tp t="s">
        <v>#N/A Invalid object ID</v>
        <stp/>
        <stp>##V3_BVIEW</stp>
        <stp>[XSLP -Swap Line Pricer.xlsm]Swaptions!R29C51</stp>
        <stp>Enter deal type or saved ID.</stp>
        <stp>OptionStrike</stp>
        <stp>headers=false</stp>
        <tr r="AY29" s="5"/>
      </tp>
      <tp t="s">
        <v>#N/A Invalid object ID</v>
        <stp/>
        <stp>##V3_BVIEW</stp>
        <stp>[XSLP -Swap Line Pricer.xlsm]Swaptions!R28C51</stp>
        <stp>Enter deal type or saved ID.</stp>
        <stp>OptionStrike</stp>
        <stp>headers=false</stp>
        <tr r="AY28" s="5"/>
      </tp>
      <tp t="s">
        <v>#N/A Invalid object ID</v>
        <stp/>
        <stp>##V3_BVIEW</stp>
        <stp>[XSLP -Swap Line Pricer.xlsm]Swaptions!R23C51</stp>
        <stp>Enter deal type or saved ID.</stp>
        <stp>OptionStrike</stp>
        <stp>headers=false</stp>
        <tr r="AY23" s="5"/>
      </tp>
      <tp t="s">
        <v>#N/A Invalid object ID</v>
        <stp/>
        <stp>##V3_BVIEW</stp>
        <stp>[XSLP -Swap Line Pricer.xlsm]Swaptions!R22C51</stp>
        <stp>Enter deal type or saved ID.</stp>
        <stp>OptionStrike</stp>
        <stp>headers=false</stp>
        <tr r="AY22" s="5"/>
      </tp>
      <tp t="s">
        <v>#N/A Invalid object ID</v>
        <stp/>
        <stp>##V3_BVIEW</stp>
        <stp>[XSLP -Swap Line Pricer.xlsm]Swaptions!R21C51</stp>
        <stp>Enter deal type or saved ID.</stp>
        <stp>OptionStrike</stp>
        <stp>headers=false</stp>
        <tr r="AY21" s="5"/>
      </tp>
      <tp t="s">
        <v>#N/A Invalid object ID</v>
        <stp/>
        <stp>##V3_BVIEW</stp>
        <stp>[XSLP -Swap Line Pricer.xlsm]Swaptions!R20C51</stp>
        <stp>Enter deal type or saved ID.</stp>
        <stp>OptionStrike</stp>
        <stp>headers=false</stp>
        <tr r="AY20" s="5"/>
      </tp>
      <tp t="s">
        <v>#N/A Invalid object ID</v>
        <stp/>
        <stp>##V3_BVIEW</stp>
        <stp>[XSLP -Swap Line Pricer.xlsm]Swaptions!R27C51</stp>
        <stp>Enter deal type or saved ID.</stp>
        <stp>OptionStrike</stp>
        <stp>headers=false</stp>
        <tr r="AY27" s="5"/>
      </tp>
      <tp t="s">
        <v>#N/A Invalid object ID</v>
        <stp/>
        <stp>##V3_BVIEW</stp>
        <stp>[XSLP -Swap Line Pricer.xlsm]Swaptions!R26C51</stp>
        <stp>Enter deal type or saved ID.</stp>
        <stp>OptionStrike</stp>
        <stp>headers=false</stp>
        <tr r="AY26" s="5"/>
      </tp>
      <tp t="s">
        <v>#N/A Invalid object ID</v>
        <stp/>
        <stp>##V3_BVIEW</stp>
        <stp>[XSLP -Swap Line Pricer.xlsm]Swaptions!R25C51</stp>
        <stp>Enter deal type or saved ID.</stp>
        <stp>OptionStrike</stp>
        <stp>headers=false</stp>
        <tr r="AY25" s="5"/>
      </tp>
      <tp t="s">
        <v>#N/A Invalid object ID</v>
        <stp/>
        <stp>##V3_BVIEW</stp>
        <stp>[XSLP -Swap Line Pricer.xlsm]Swaptions!R24C51</stp>
        <stp>Enter deal type or saved ID.</stp>
        <stp>OptionStrike</stp>
        <stp>headers=false</stp>
        <tr r="AY24" s="5"/>
      </tp>
      <tp t="s">
        <v>#N/A Invalid object ID</v>
        <stp/>
        <stp>##V3_BVIEW</stp>
        <stp>[XSLP -Swap Line Pricer.xlsm]Swaptions!R39C51</stp>
        <stp>Enter deal type or saved ID.</stp>
        <stp>OptionStrike</stp>
        <stp>headers=false</stp>
        <tr r="AY39" s="5"/>
      </tp>
      <tp t="s">
        <v>#N/A Invalid object ID</v>
        <stp/>
        <stp>##V3_BVIEW</stp>
        <stp>[XSLP -Swap Line Pricer.xlsm]Swaptions!R38C51</stp>
        <stp>Enter deal type or saved ID.</stp>
        <stp>OptionStrike</stp>
        <stp>headers=false</stp>
        <tr r="AY38" s="5"/>
      </tp>
      <tp t="s">
        <v>#N/A Invalid object ID</v>
        <stp/>
        <stp>##V3_BVIEW</stp>
        <stp>[XSLP -Swap Line Pricer.xlsm]Swaptions!R33C51</stp>
        <stp>Enter deal type or saved ID.</stp>
        <stp>OptionStrike</stp>
        <stp>headers=false</stp>
        <tr r="AY33" s="5"/>
      </tp>
      <tp t="s">
        <v>#N/A Invalid object ID</v>
        <stp/>
        <stp>##V3_BVIEW</stp>
        <stp>[XSLP -Swap Line Pricer.xlsm]Swaptions!R32C51</stp>
        <stp>Enter deal type or saved ID.</stp>
        <stp>OptionStrike</stp>
        <stp>headers=false</stp>
        <tr r="AY32" s="5"/>
      </tp>
      <tp t="s">
        <v>#N/A Invalid object ID</v>
        <stp/>
        <stp>##V3_BVIEW</stp>
        <stp>[XSLP -Swap Line Pricer.xlsm]Swaptions!R31C51</stp>
        <stp>Enter deal type or saved ID.</stp>
        <stp>OptionStrike</stp>
        <stp>headers=false</stp>
        <tr r="AY31" s="5"/>
      </tp>
      <tp t="s">
        <v>#N/A Invalid object ID</v>
        <stp/>
        <stp>##V3_BVIEW</stp>
        <stp>[XSLP -Swap Line Pricer.xlsm]Swaptions!R30C51</stp>
        <stp>Enter deal type or saved ID.</stp>
        <stp>OptionStrike</stp>
        <stp>headers=false</stp>
        <tr r="AY30" s="5"/>
      </tp>
      <tp t="s">
        <v>#N/A Invalid object ID</v>
        <stp/>
        <stp>##V3_BVIEW</stp>
        <stp>[XSLP -Swap Line Pricer.xlsm]Swaptions!R37C51</stp>
        <stp>Enter deal type or saved ID.</stp>
        <stp>OptionStrike</stp>
        <stp>headers=false</stp>
        <tr r="AY37" s="5"/>
      </tp>
      <tp t="s">
        <v>#N/A Invalid object ID</v>
        <stp/>
        <stp>##V3_BVIEW</stp>
        <stp>[XSLP -Swap Line Pricer.xlsm]Swaptions!R36C51</stp>
        <stp>Enter deal type or saved ID.</stp>
        <stp>OptionStrike</stp>
        <stp>headers=false</stp>
        <tr r="AY36" s="5"/>
      </tp>
      <tp t="s">
        <v>#N/A Invalid object ID</v>
        <stp/>
        <stp>##V3_BVIEW</stp>
        <stp>[XSLP -Swap Line Pricer.xlsm]Swaptions!R35C51</stp>
        <stp>Enter deal type or saved ID.</stp>
        <stp>OptionStrike</stp>
        <stp>headers=false</stp>
        <tr r="AY35" s="5"/>
      </tp>
      <tp t="s">
        <v>#N/A Invalid object ID</v>
        <stp/>
        <stp>##V3_BVIEW</stp>
        <stp>[XSLP -Swap Line Pricer.xlsm]Swaptions!R34C51</stp>
        <stp>Enter deal type or saved ID.</stp>
        <stp>OptionStrike</stp>
        <stp>headers=false</stp>
        <tr r="AY34" s="5"/>
      </tp>
      <tp t="s">
        <v>#N/A Invalid object ID</v>
        <stp/>
        <stp>##V3_BVIEW</stp>
        <stp>[XSLP -Swap Line Pricer.xlsm]Swaptions!R32C64</stp>
        <stp>Enter deal type or saved ID.</stp>
        <stp>Leg[1].Currency</stp>
        <stp>headers=false</stp>
        <tr r="BL32" s="5"/>
      </tp>
      <tp t="s">
        <v>#N/A Invalid object ID</v>
        <stp/>
        <stp>##V3_BVIEW</stp>
        <stp>[XSLP -Swap Line Pricer.xlsm]Swaptions!R22C64</stp>
        <stp>Enter deal type or saved ID.</stp>
        <stp>Leg[1].Currency</stp>
        <stp>headers=false</stp>
        <tr r="BL22" s="5"/>
      </tp>
      <tp t="s">
        <v>#N/A Invalid object ID</v>
        <stp/>
        <stp>##V3_BVIEW</stp>
        <stp>[XSLP -Swap Line Pricer.xlsm]Swaptions!R32C72</stp>
        <stp>Enter deal type or saved ID.</stp>
        <stp>Leg[2].Currency</stp>
        <stp>headers=false</stp>
        <tr r="BT32" s="5"/>
      </tp>
      <tp t="s">
        <v>#N/A Invalid object ID</v>
        <stp/>
        <stp>##V3_BVIEW</stp>
        <stp>[XSLP -Swap Line Pricer.xlsm]Swaptions!R22C72</stp>
        <stp>Enter deal type or saved ID.</stp>
        <stp>Leg[2].Currency</stp>
        <stp>headers=false</stp>
        <tr r="BT22" s="5"/>
      </tp>
      <tp t="s">
        <v>#N/A Invalid object ID</v>
        <stp/>
        <stp>##V3_BVIEW</stp>
        <stp>[XSLP -Swap Line Pricer.xlsm]Swaptions!R24C5</stp>
        <stp/>
        <stp>DV01</stp>
        <stp>headers=false</stp>
        <tr r="E24" s="5"/>
      </tp>
      <tp t="s">
        <v>#N/A Invalid object ID</v>
        <stp/>
        <stp>##V3_BVIEW</stp>
        <stp>[XSLP -Swap Line Pricer.xlsm]Swaptions!R34C5</stp>
        <stp/>
        <stp>DV01</stp>
        <stp>headers=false</stp>
        <tr r="E34" s="5"/>
      </tp>
      <tp t="s">
        <v>EUR</v>
        <stp/>
        <stp>##V3_BVIEW</stp>
        <stp>[XSLP -Swap Line Pricer.xlsm]Swaps!R21C57</stp>
        <stp>FXFL 597317</stp>
        <stp>Leg[1].Currency</stp>
        <stp>headers=false</stp>
        <tr r="BE21" s="1"/>
        <tr r="BE21" s="1"/>
      </tp>
      <tp t="s">
        <v>Annual</v>
        <stp/>
        <stp>##V3_BVIEW</stp>
        <stp>[XSLP -Swap Line Pricer.xlsm]Swaps!R36C62</stp>
        <stp>FXFL 1033483</stp>
        <stp>Leg[1].PayFrequency</stp>
        <stp>headers=false</stp>
        <tr r="BJ36" s="1"/>
        <tr r="BJ36" s="1"/>
      </tp>
      <tp t="s">
        <v>SemiAnnual</v>
        <stp/>
        <stp>##V3_BVIEW</stp>
        <stp>[XSLP -Swap Line Pricer.xlsm]Swaps!R36C73</stp>
        <stp>FXFL 1033483</stp>
        <stp>Leg[2].PayFrequency</stp>
        <stp>headers=false</stp>
        <tr r="BU36" s="1"/>
        <tr r="BU36" s="1"/>
      </tp>
      <tp>
        <v>1000000</v>
        <stp/>
        <stp>##V3_BVIEW</stp>
        <stp>[XSLP -Swap Line Pricer.xlsm]Swaps!R32C58</stp>
        <stp>FXFL 877169</stp>
        <stp>Leg[1].Notional</stp>
        <stp>headers=false</stp>
        <tr r="BF32" s="1"/>
        <tr r="BF32" s="1"/>
      </tp>
      <tp t="s">
        <v>EUR</v>
        <stp/>
        <stp>##V3_BVIEW</stp>
        <stp>[XSLP -Swap Line Pricer.xlsm]Swaps!R26C68</stp>
        <stp>FXFL 927343</stp>
        <stp>Leg[2].Currency</stp>
        <stp>headers=false</stp>
        <tr r="BP26" s="1"/>
        <tr r="BP26" s="1"/>
      </tp>
      <tp>
        <v>1000000</v>
        <stp/>
        <stp>##V3_BVIEW</stp>
        <stp>[XSLP -Swap Line Pricer.xlsm]Swaps!R21C69</stp>
        <stp>FXFL 597317</stp>
        <stp>Leg[2].Notional</stp>
        <stp>headers=false</stp>
        <tr r="BQ21" s="1"/>
        <tr r="BQ21" s="1"/>
      </tp>
      <tp t="s">
        <v>#N/A Invalid object ID</v>
        <stp/>
        <stp>##V3_BVIEW</stp>
        <stp>[XSLP -Swap Line Pricer.xlsm]Swaptions!R21C77</stp>
        <stp>Enter deal type or saved ID.</stp>
        <stp>Leg[2].DayCount</stp>
        <stp>headers=false</stp>
        <tr r="BY21" s="5"/>
      </tp>
      <tp t="s">
        <v>#N/A Invalid object ID</v>
        <stp/>
        <stp>##V3_BVIEW</stp>
        <stp>[XSLP -Swap Line Pricer.xlsm]Swaptions!R31C77</stp>
        <stp>Enter deal type or saved ID.</stp>
        <stp>Leg[2].DayCount</stp>
        <stp>headers=false</stp>
        <tr r="BY31" s="5"/>
      </tp>
      <tp t="s">
        <v>#N/A Invalid object ID</v>
        <stp/>
        <stp>##V3_BVIEW</stp>
        <stp>[XSLP -Swap Line Pricer.xlsm]Swaptions!R31C68</stp>
        <stp>Enter deal type or saved ID.</stp>
        <stp>Leg[1].DayCount</stp>
        <stp>headers=false</stp>
        <tr r="BP31" s="5"/>
      </tp>
      <tp t="s">
        <v>#N/A Invalid object ID</v>
        <stp/>
        <stp>##V3_BVIEW</stp>
        <stp>[XSLP -Swap Line Pricer.xlsm]Swaptions!R21C68</stp>
        <stp>Enter deal type or saved ID.</stp>
        <stp>Leg[1].DayCount</stp>
        <stp>headers=false</stp>
        <tr r="BP21" s="5"/>
      </tp>
      <tp t="s">
        <v>30U/360</v>
        <stp/>
        <stp>##V3_BVIEW</stp>
        <stp>[XSLP -Swap Line Pricer.xlsm]Swaps!R22C63</stp>
        <stp>FXFL 582191</stp>
        <stp>Leg[1].DayCount</stp>
        <stp>headers=false</stp>
        <tr r="BK22" s="1"/>
        <tr r="BK22" s="1"/>
      </tp>
      <tp t="s">
        <v>ACT/360</v>
        <stp/>
        <stp>##V3_BVIEW</stp>
        <stp>[XSLP -Swap Line Pricer.xlsm]Swaps!R21C74</stp>
        <stp>FXFL 597317</stp>
        <stp>Leg[2].DayCount</stp>
        <stp>headers=false</stp>
        <tr r="BV21" s="1"/>
        <tr r="BV21" s="1"/>
      </tp>
      <tp t="s">
        <v>#N/A Invalid object ID</v>
        <stp/>
        <stp>##V3_BVIEW</stp>
        <stp>[XSLP -Swap Line Pricer.xlsm]Swaptions!R20C77</stp>
        <stp>Enter deal type or saved ID.</stp>
        <stp>Leg[2].DayCount</stp>
        <stp>headers=false</stp>
        <tr r="BY20" s="5"/>
      </tp>
      <tp t="s">
        <v>#N/A Invalid object ID</v>
        <stp/>
        <stp>##V3_BVIEW</stp>
        <stp>[XSLP -Swap Line Pricer.xlsm]Swaptions!R30C77</stp>
        <stp>Enter deal type or saved ID.</stp>
        <stp>Leg[2].DayCount</stp>
        <stp>headers=false</stp>
        <tr r="BY30" s="5"/>
      </tp>
      <tp t="s">
        <v>#N/A Invalid object ID</v>
        <stp/>
        <stp>##V3_BVIEW</stp>
        <stp>[XSLP -Swap Line Pricer.xlsm]Swaptions!R30C68</stp>
        <stp>Enter deal type or saved ID.</stp>
        <stp>Leg[1].DayCount</stp>
        <stp>headers=false</stp>
        <tr r="BP30" s="5"/>
      </tp>
      <tp t="s">
        <v>#N/A Invalid object ID</v>
        <stp/>
        <stp>##V3_BVIEW</stp>
        <stp>[XSLP -Swap Line Pricer.xlsm]Swaptions!R20C68</stp>
        <stp>Enter deal type or saved ID.</stp>
        <stp>Leg[1].DayCount</stp>
        <stp>headers=false</stp>
        <tr r="BP20" s="5"/>
      </tp>
      <tp t="s">
        <v>ACT/360</v>
        <stp/>
        <stp>##V3_BVIEW</stp>
        <stp>[XSLP -Swap Line Pricer.xlsm]Swaps!R32C74</stp>
        <stp>FXFL 877169</stp>
        <stp>Leg[2].DayCount</stp>
        <stp>headers=false</stp>
        <tr r="BV32" s="1"/>
        <tr r="BV32" s="1"/>
      </tp>
      <tp t="s">
        <v>#N/A Invalid object ID</v>
        <stp/>
        <stp>##V3_BVIEW</stp>
        <stp>[XSLP -Swap Line Pricer.xlsm]Swaptions!R23C77</stp>
        <stp>Enter deal type or saved ID.</stp>
        <stp>Leg[2].DayCount</stp>
        <stp>headers=false</stp>
        <tr r="BY23" s="5"/>
      </tp>
      <tp t="s">
        <v>#N/A Invalid object ID</v>
        <stp/>
        <stp>##V3_BVIEW</stp>
        <stp>[XSLP -Swap Line Pricer.xlsm]Swaptions!R33C77</stp>
        <stp>Enter deal type or saved ID.</stp>
        <stp>Leg[2].DayCount</stp>
        <stp>headers=false</stp>
        <tr r="BY33" s="5"/>
      </tp>
      <tp t="s">
        <v>#N/A Invalid object ID</v>
        <stp/>
        <stp>##V3_BVIEW</stp>
        <stp>[XSLP -Swap Line Pricer.xlsm]Swaptions!R33C68</stp>
        <stp>Enter deal type or saved ID.</stp>
        <stp>Leg[1].DayCount</stp>
        <stp>headers=false</stp>
        <tr r="BP33" s="5"/>
      </tp>
      <tp t="s">
        <v>#N/A Invalid object ID</v>
        <stp/>
        <stp>##V3_BVIEW</stp>
        <stp>[XSLP -Swap Line Pricer.xlsm]Swaptions!R23C68</stp>
        <stp>Enter deal type or saved ID.</stp>
        <stp>Leg[1].DayCount</stp>
        <stp>headers=false</stp>
        <tr r="BP23" s="5"/>
      </tp>
      <tp t="s">
        <v>#N/A Invalid object ID</v>
        <stp/>
        <stp>##V3_BVIEW</stp>
        <stp>[XSLP -Swap Line Pricer.xlsm]Swaptions!R29C108</stp>
        <stp/>
        <stp>IsVega1bp</stp>
        <stp>headers=false</stp>
        <tr r="DD29" s="5"/>
      </tp>
      <tp t="s">
        <v>#N/A Invalid object ID</v>
        <stp/>
        <stp>##V3_BVIEW</stp>
        <stp>[XSLP -Swap Line Pricer.xlsm]Swaptions!R28C108</stp>
        <stp/>
        <stp>IsVega1bp</stp>
        <stp>headers=false</stp>
        <tr r="DD28" s="5"/>
      </tp>
      <tp t="s">
        <v>#N/A Invalid object ID</v>
        <stp/>
        <stp>##V3_BVIEW</stp>
        <stp>[XSLP -Swap Line Pricer.xlsm]Swaptions!R25C108</stp>
        <stp/>
        <stp>IsVega1bp</stp>
        <stp>headers=false</stp>
        <tr r="DD25" s="5"/>
      </tp>
      <tp t="s">
        <v>#N/A Invalid object ID</v>
        <stp/>
        <stp>##V3_BVIEW</stp>
        <stp>[XSLP -Swap Line Pricer.xlsm]Swaptions!R24C108</stp>
        <stp/>
        <stp>IsVega1bp</stp>
        <stp>headers=false</stp>
        <tr r="DD24" s="5"/>
      </tp>
      <tp t="s">
        <v>#N/A Invalid object ID</v>
        <stp/>
        <stp>##V3_BVIEW</stp>
        <stp>[XSLP -Swap Line Pricer.xlsm]Swaptions!R27C108</stp>
        <stp/>
        <stp>IsVega1bp</stp>
        <stp>headers=false</stp>
        <tr r="DD27" s="5"/>
      </tp>
      <tp t="s">
        <v>#N/A Invalid object ID</v>
        <stp/>
        <stp>##V3_BVIEW</stp>
        <stp>[XSLP -Swap Line Pricer.xlsm]Swaptions!R26C108</stp>
        <stp/>
        <stp>IsVega1bp</stp>
        <stp>headers=false</stp>
        <tr r="DD26" s="5"/>
      </tp>
      <tp t="s">
        <v>#N/A Invalid object ID</v>
        <stp/>
        <stp>##V3_BVIEW</stp>
        <stp>[XSLP -Swap Line Pricer.xlsm]Swaptions!R21C108</stp>
        <stp/>
        <stp>IsVega1bp</stp>
        <stp>headers=false</stp>
        <tr r="DD21" s="5"/>
      </tp>
      <tp t="s">
        <v>#N/A Invalid object ID</v>
        <stp/>
        <stp>##V3_BVIEW</stp>
        <stp>[XSLP -Swap Line Pricer.xlsm]Swaptions!R20C108</stp>
        <stp/>
        <stp>IsVega1bp</stp>
        <stp>headers=false</stp>
        <tr r="DD20" s="5"/>
      </tp>
      <tp t="s">
        <v>#N/A Invalid object ID</v>
        <stp/>
        <stp>##V3_BVIEW</stp>
        <stp>[XSLP -Swap Line Pricer.xlsm]Swaptions!R23C108</stp>
        <stp/>
        <stp>IsVega1bp</stp>
        <stp>headers=false</stp>
        <tr r="DD23" s="5"/>
      </tp>
      <tp t="s">
        <v>#N/A Invalid object ID</v>
        <stp/>
        <stp>##V3_BVIEW</stp>
        <stp>[XSLP -Swap Line Pricer.xlsm]Swaptions!R22C108</stp>
        <stp/>
        <stp>IsVega1bp</stp>
        <stp>headers=false</stp>
        <tr r="DD22" s="5"/>
      </tp>
      <tp t="s">
        <v>#N/A Invalid object ID</v>
        <stp/>
        <stp>##V3_BVIEW</stp>
        <stp>[XSLP -Swap Line Pricer.xlsm]Swaptions!R22C77</stp>
        <stp>Enter deal type or saved ID.</stp>
        <stp>Leg[2].DayCount</stp>
        <stp>headers=false</stp>
        <tr r="BY22" s="5"/>
      </tp>
      <tp t="s">
        <v>#N/A Invalid object ID</v>
        <stp/>
        <stp>##V3_BVIEW</stp>
        <stp>[XSLP -Swap Line Pricer.xlsm]Swaptions!R32C77</stp>
        <stp>Enter deal type or saved ID.</stp>
        <stp>Leg[2].DayCount</stp>
        <stp>headers=false</stp>
        <tr r="BY32" s="5"/>
      </tp>
      <tp t="s">
        <v>#N/A Invalid object ID</v>
        <stp/>
        <stp>##V3_BVIEW</stp>
        <stp>[XSLP -Swap Line Pricer.xlsm]Swaptions!R32C68</stp>
        <stp>Enter deal type or saved ID.</stp>
        <stp>Leg[1].DayCount</stp>
        <stp>headers=false</stp>
        <tr r="BP32" s="5"/>
      </tp>
      <tp t="s">
        <v>#N/A Invalid object ID</v>
        <stp/>
        <stp>##V3_BVIEW</stp>
        <stp>[XSLP -Swap Line Pricer.xlsm]Swaptions!R22C68</stp>
        <stp>Enter deal type or saved ID.</stp>
        <stp>Leg[1].DayCount</stp>
        <stp>headers=false</stp>
        <tr r="BP22" s="5"/>
      </tp>
      <tp t="s">
        <v>#N/A Invalid object ID</v>
        <stp/>
        <stp>##V3_BVIEW</stp>
        <stp>[XSLP -Swap Line Pricer.xlsm]Swaptions!R39C108</stp>
        <stp/>
        <stp>IsVega1bp</stp>
        <stp>headers=false</stp>
        <tr r="DD39" s="5"/>
      </tp>
      <tp t="s">
        <v>#N/A Invalid object ID</v>
        <stp/>
        <stp>##V3_BVIEW</stp>
        <stp>[XSLP -Swap Line Pricer.xlsm]Swaptions!R38C108</stp>
        <stp/>
        <stp>IsVega1bp</stp>
        <stp>headers=false</stp>
        <tr r="DD38" s="5"/>
      </tp>
      <tp t="s">
        <v>#N/A Invalid object ID</v>
        <stp/>
        <stp>##V3_BVIEW</stp>
        <stp>[XSLP -Swap Line Pricer.xlsm]Swaptions!R35C108</stp>
        <stp/>
        <stp>IsVega1bp</stp>
        <stp>headers=false</stp>
        <tr r="DD35" s="5"/>
      </tp>
      <tp t="s">
        <v>#N/A Invalid object ID</v>
        <stp/>
        <stp>##V3_BVIEW</stp>
        <stp>[XSLP -Swap Line Pricer.xlsm]Swaptions!R34C108</stp>
        <stp/>
        <stp>IsVega1bp</stp>
        <stp>headers=false</stp>
        <tr r="DD34" s="5"/>
      </tp>
      <tp t="s">
        <v>#N/A Invalid object ID</v>
        <stp/>
        <stp>##V3_BVIEW</stp>
        <stp>[XSLP -Swap Line Pricer.xlsm]Swaptions!R37C108</stp>
        <stp/>
        <stp>IsVega1bp</stp>
        <stp>headers=false</stp>
        <tr r="DD37" s="5"/>
      </tp>
      <tp t="s">
        <v>#N/A Invalid object ID</v>
        <stp/>
        <stp>##V3_BVIEW</stp>
        <stp>[XSLP -Swap Line Pricer.xlsm]Swaptions!R36C108</stp>
        <stp/>
        <stp>IsVega1bp</stp>
        <stp>headers=false</stp>
        <tr r="DD36" s="5"/>
      </tp>
      <tp t="s">
        <v>#N/A Invalid object ID</v>
        <stp/>
        <stp>##V3_BVIEW</stp>
        <stp>[XSLP -Swap Line Pricer.xlsm]Swaptions!R31C108</stp>
        <stp/>
        <stp>IsVega1bp</stp>
        <stp>headers=false</stp>
        <tr r="DD31" s="5"/>
      </tp>
      <tp t="s">
        <v>#N/A Invalid object ID</v>
        <stp/>
        <stp>##V3_BVIEW</stp>
        <stp>[XSLP -Swap Line Pricer.xlsm]Swaptions!R30C108</stp>
        <stp/>
        <stp>IsVega1bp</stp>
        <stp>headers=false</stp>
        <tr r="DD30" s="5"/>
      </tp>
      <tp t="s">
        <v>#N/A Invalid object ID</v>
        <stp/>
        <stp>##V3_BVIEW</stp>
        <stp>[XSLP -Swap Line Pricer.xlsm]Swaptions!R33C108</stp>
        <stp/>
        <stp>IsVega1bp</stp>
        <stp>headers=false</stp>
        <tr r="DD33" s="5"/>
      </tp>
      <tp t="s">
        <v>#N/A Invalid object ID</v>
        <stp/>
        <stp>##V3_BVIEW</stp>
        <stp>[XSLP -Swap Line Pricer.xlsm]Swaptions!R32C108</stp>
        <stp/>
        <stp>IsVega1bp</stp>
        <stp>headers=false</stp>
        <tr r="DD32" s="5"/>
      </tp>
      <tp t="s">
        <v>ACT/360</v>
        <stp/>
        <stp>##V3_BVIEW</stp>
        <stp>[XSLP -Swap Line Pricer.xlsm]Swaps!R24C74</stp>
        <stp>FXFL 651808</stp>
        <stp>Leg[2].DayCount</stp>
        <stp>headers=false</stp>
        <tr r="BV24" s="1"/>
        <tr r="BV24" s="1"/>
      </tp>
      <tp t="s">
        <v>#N/A Invalid object ID</v>
        <stp/>
        <stp>##V3_BVIEW</stp>
        <stp>[XSLP -Swap Line Pricer.xlsm]Swaptions!R25C77</stp>
        <stp>Enter deal type or saved ID.</stp>
        <stp>Leg[2].DayCount</stp>
        <stp>headers=false</stp>
        <tr r="BY25" s="5"/>
      </tp>
      <tp t="s">
        <v>#N/A Invalid object ID</v>
        <stp/>
        <stp>##V3_BVIEW</stp>
        <stp>[XSLP -Swap Line Pricer.xlsm]Swaptions!R35C77</stp>
        <stp>Enter deal type or saved ID.</stp>
        <stp>Leg[2].DayCount</stp>
        <stp>headers=false</stp>
        <tr r="BY35" s="5"/>
      </tp>
      <tp t="s">
        <v>#N/A Invalid object ID</v>
        <stp/>
        <stp>##V3_BVIEW</stp>
        <stp>[XSLP -Swap Line Pricer.xlsm]Swaptions!R35C68</stp>
        <stp>Enter deal type or saved ID.</stp>
        <stp>Leg[1].DayCount</stp>
        <stp>headers=false</stp>
        <tr r="BP35" s="5"/>
      </tp>
      <tp t="s">
        <v>#N/A Invalid object ID</v>
        <stp/>
        <stp>##V3_BVIEW</stp>
        <stp>[XSLP -Swap Line Pricer.xlsm]Swaptions!R25C68</stp>
        <stp>Enter deal type or saved ID.</stp>
        <stp>Leg[1].DayCount</stp>
        <stp>headers=false</stp>
        <tr r="BP25" s="5"/>
      </tp>
      <tp t="s">
        <v>30U/360</v>
        <stp/>
        <stp>##V3_BVIEW</stp>
        <stp>[XSLP -Swap Line Pricer.xlsm]Swaps!R24C63</stp>
        <stp>FXFL 651808</stp>
        <stp>Leg[1].DayCount</stp>
        <stp>headers=false</stp>
        <tr r="BK24" s="1"/>
        <tr r="BK24" s="1"/>
      </tp>
      <tp t="s">
        <v>#N/A Invalid object ID</v>
        <stp/>
        <stp>##V3_BVIEW</stp>
        <stp>[XSLP -Swap Line Pricer.xlsm]Swaptions!R24C77</stp>
        <stp>Enter deal type or saved ID.</stp>
        <stp>Leg[2].DayCount</stp>
        <stp>headers=false</stp>
        <tr r="BY24" s="5"/>
      </tp>
      <tp t="s">
        <v>#N/A Invalid object ID</v>
        <stp/>
        <stp>##V3_BVIEW</stp>
        <stp>[XSLP -Swap Line Pricer.xlsm]Swaptions!R34C77</stp>
        <stp>Enter deal type or saved ID.</stp>
        <stp>Leg[2].DayCount</stp>
        <stp>headers=false</stp>
        <tr r="BY34" s="5"/>
      </tp>
      <tp t="s">
        <v>#N/A Invalid object ID</v>
        <stp/>
        <stp>##V3_BVIEW</stp>
        <stp>[XSLP -Swap Line Pricer.xlsm]Swaptions!R34C68</stp>
        <stp>Enter deal type or saved ID.</stp>
        <stp>Leg[1].DayCount</stp>
        <stp>headers=false</stp>
        <tr r="BP34" s="5"/>
      </tp>
      <tp t="s">
        <v>#N/A Invalid object ID</v>
        <stp/>
        <stp>##V3_BVIEW</stp>
        <stp>[XSLP -Swap Line Pricer.xlsm]Swaptions!R24C68</stp>
        <stp>Enter deal type or saved ID.</stp>
        <stp>Leg[1].DayCount</stp>
        <stp>headers=false</stp>
        <tr r="BP24" s="5"/>
      </tp>
      <tp t="s">
        <v>#N/A Invalid object ID</v>
        <stp/>
        <stp>##V3_BVIEW</stp>
        <stp>[XSLP -Swap Line Pricer.xlsm]Swaptions!R27C77</stp>
        <stp>Enter deal type or saved ID.</stp>
        <stp>Leg[2].DayCount</stp>
        <stp>headers=false</stp>
        <tr r="BY27" s="5"/>
      </tp>
      <tp t="s">
        <v>#N/A Invalid object ID</v>
        <stp/>
        <stp>##V3_BVIEW</stp>
        <stp>[XSLP -Swap Line Pricer.xlsm]Swaptions!R37C77</stp>
        <stp>Enter deal type or saved ID.</stp>
        <stp>Leg[2].DayCount</stp>
        <stp>headers=false</stp>
        <tr r="BY37" s="5"/>
      </tp>
      <tp t="s">
        <v>#N/A Invalid object ID</v>
        <stp/>
        <stp>##V3_BVIEW</stp>
        <stp>[XSLP -Swap Line Pricer.xlsm]Swaptions!R37C68</stp>
        <stp>Enter deal type or saved ID.</stp>
        <stp>Leg[1].DayCount</stp>
        <stp>headers=false</stp>
        <tr r="BP37" s="5"/>
      </tp>
      <tp t="s">
        <v>#N/A Invalid object ID</v>
        <stp/>
        <stp>##V3_BVIEW</stp>
        <stp>[XSLP -Swap Line Pricer.xlsm]Swaptions!R27C68</stp>
        <stp>Enter deal type or saved ID.</stp>
        <stp>Leg[1].DayCount</stp>
        <stp>headers=false</stp>
        <tr r="BP27" s="5"/>
      </tp>
      <tp t="s">
        <v>#N/A Invalid object ID</v>
        <stp/>
        <stp>##V3_BVIEW</stp>
        <stp>[XSLP -Swap Line Pricer.xlsm]Swaptions!R29C75</stp>
        <stp>Enter deal type or saved ID.</stp>
        <stp>Leg[2].FloatingIndex</stp>
        <stp>headers=false</stp>
        <tr r="BW29" s="5"/>
      </tp>
      <tp t="s">
        <v>#N/A Invalid object ID</v>
        <stp/>
        <stp>##V3_BVIEW</stp>
        <stp>[XSLP -Swap Line Pricer.xlsm]Swaptions!R28C75</stp>
        <stp>Enter deal type or saved ID.</stp>
        <stp>Leg[2].FloatingIndex</stp>
        <stp>headers=false</stp>
        <tr r="BW28" s="5"/>
      </tp>
      <tp t="s">
        <v>#N/A Invalid object ID</v>
        <stp/>
        <stp>##V3_BVIEW</stp>
        <stp>[XSLP -Swap Line Pricer.xlsm]Swaptions!R25C75</stp>
        <stp>Enter deal type or saved ID.</stp>
        <stp>Leg[2].FloatingIndex</stp>
        <stp>headers=false</stp>
        <tr r="BW25" s="5"/>
      </tp>
      <tp t="s">
        <v>#N/A Invalid object ID</v>
        <stp/>
        <stp>##V3_BVIEW</stp>
        <stp>[XSLP -Swap Line Pricer.xlsm]Swaptions!R24C75</stp>
        <stp>Enter deal type or saved ID.</stp>
        <stp>Leg[2].FloatingIndex</stp>
        <stp>headers=false</stp>
        <tr r="BW24" s="5"/>
      </tp>
      <tp t="s">
        <v>#N/A Invalid object ID</v>
        <stp/>
        <stp>##V3_BVIEW</stp>
        <stp>[XSLP -Swap Line Pricer.xlsm]Swaptions!R27C75</stp>
        <stp>Enter deal type or saved ID.</stp>
        <stp>Leg[2].FloatingIndex</stp>
        <stp>headers=false</stp>
        <tr r="BW27" s="5"/>
      </tp>
      <tp t="s">
        <v>#N/A Invalid object ID</v>
        <stp/>
        <stp>##V3_BVIEW</stp>
        <stp>[XSLP -Swap Line Pricer.xlsm]Swaptions!R26C75</stp>
        <stp>Enter deal type or saved ID.</stp>
        <stp>Leg[2].FloatingIndex</stp>
        <stp>headers=false</stp>
        <tr r="BW26" s="5"/>
      </tp>
      <tp t="s">
        <v>#N/A Invalid object ID</v>
        <stp/>
        <stp>##V3_BVIEW</stp>
        <stp>[XSLP -Swap Line Pricer.xlsm]Swaptions!R21C75</stp>
        <stp>Enter deal type or saved ID.</stp>
        <stp>Leg[2].FloatingIndex</stp>
        <stp>headers=false</stp>
        <tr r="BW21" s="5"/>
      </tp>
      <tp t="s">
        <v>#N/A Invalid object ID</v>
        <stp/>
        <stp>##V3_BVIEW</stp>
        <stp>[XSLP -Swap Line Pricer.xlsm]Swaptions!R20C75</stp>
        <stp>Enter deal type or saved ID.</stp>
        <stp>Leg[2].FloatingIndex</stp>
        <stp>headers=false</stp>
        <tr r="BW20" s="5"/>
      </tp>
      <tp t="s">
        <v>#N/A Invalid object ID</v>
        <stp/>
        <stp>##V3_BVIEW</stp>
        <stp>[XSLP -Swap Line Pricer.xlsm]Swaptions!R23C75</stp>
        <stp>Enter deal type or saved ID.</stp>
        <stp>Leg[2].FloatingIndex</stp>
        <stp>headers=false</stp>
        <tr r="BW23" s="5"/>
      </tp>
      <tp t="s">
        <v>#N/A Invalid object ID</v>
        <stp/>
        <stp>##V3_BVIEW</stp>
        <stp>[XSLP -Swap Line Pricer.xlsm]Swaptions!R22C75</stp>
        <stp>Enter deal type or saved ID.</stp>
        <stp>Leg[2].FloatingIndex</stp>
        <stp>headers=false</stp>
        <tr r="BW22" s="5"/>
      </tp>
      <tp t="s">
        <v>#N/A Invalid object ID</v>
        <stp/>
        <stp>##V3_BVIEW</stp>
        <stp>[XSLP -Swap Line Pricer.xlsm]Swaptions!R39C75</stp>
        <stp>Enter deal type or saved ID.</stp>
        <stp>Leg[2].FloatingIndex</stp>
        <stp>headers=false</stp>
        <tr r="BW39" s="5"/>
      </tp>
      <tp t="s">
        <v>#N/A Invalid object ID</v>
        <stp/>
        <stp>##V3_BVIEW</stp>
        <stp>[XSLP -Swap Line Pricer.xlsm]Swaptions!R38C75</stp>
        <stp>Enter deal type or saved ID.</stp>
        <stp>Leg[2].FloatingIndex</stp>
        <stp>headers=false</stp>
        <tr r="BW38" s="5"/>
      </tp>
      <tp t="s">
        <v>#N/A Invalid object ID</v>
        <stp/>
        <stp>##V3_BVIEW</stp>
        <stp>[XSLP -Swap Line Pricer.xlsm]Swaptions!R35C75</stp>
        <stp>Enter deal type or saved ID.</stp>
        <stp>Leg[2].FloatingIndex</stp>
        <stp>headers=false</stp>
        <tr r="BW35" s="5"/>
      </tp>
      <tp t="s">
        <v>#N/A Invalid object ID</v>
        <stp/>
        <stp>##V3_BVIEW</stp>
        <stp>[XSLP -Swap Line Pricer.xlsm]Swaptions!R34C75</stp>
        <stp>Enter deal type or saved ID.</stp>
        <stp>Leg[2].FloatingIndex</stp>
        <stp>headers=false</stp>
        <tr r="BW34" s="5"/>
      </tp>
      <tp t="s">
        <v>#N/A Invalid object ID</v>
        <stp/>
        <stp>##V3_BVIEW</stp>
        <stp>[XSLP -Swap Line Pricer.xlsm]Swaptions!R37C75</stp>
        <stp>Enter deal type or saved ID.</stp>
        <stp>Leg[2].FloatingIndex</stp>
        <stp>headers=false</stp>
        <tr r="BW37" s="5"/>
      </tp>
      <tp t="s">
        <v>#N/A Invalid object ID</v>
        <stp/>
        <stp>##V3_BVIEW</stp>
        <stp>[XSLP -Swap Line Pricer.xlsm]Swaptions!R36C75</stp>
        <stp>Enter deal type or saved ID.</stp>
        <stp>Leg[2].FloatingIndex</stp>
        <stp>headers=false</stp>
        <tr r="BW36" s="5"/>
      </tp>
      <tp t="s">
        <v>#N/A Invalid object ID</v>
        <stp/>
        <stp>##V3_BVIEW</stp>
        <stp>[XSLP -Swap Line Pricer.xlsm]Swaptions!R31C75</stp>
        <stp>Enter deal type or saved ID.</stp>
        <stp>Leg[2].FloatingIndex</stp>
        <stp>headers=false</stp>
        <tr r="BW31" s="5"/>
      </tp>
      <tp t="s">
        <v>#N/A Invalid object ID</v>
        <stp/>
        <stp>##V3_BVIEW</stp>
        <stp>[XSLP -Swap Line Pricer.xlsm]Swaptions!R30C75</stp>
        <stp>Enter deal type or saved ID.</stp>
        <stp>Leg[2].FloatingIndex</stp>
        <stp>headers=false</stp>
        <tr r="BW30" s="5"/>
      </tp>
      <tp t="s">
        <v>#N/A Invalid object ID</v>
        <stp/>
        <stp>##V3_BVIEW</stp>
        <stp>[XSLP -Swap Line Pricer.xlsm]Swaptions!R33C75</stp>
        <stp>Enter deal type or saved ID.</stp>
        <stp>Leg[2].FloatingIndex</stp>
        <stp>headers=false</stp>
        <tr r="BW33" s="5"/>
      </tp>
      <tp t="s">
        <v>#N/A Invalid object ID</v>
        <stp/>
        <stp>##V3_BVIEW</stp>
        <stp>[XSLP -Swap Line Pricer.xlsm]Swaptions!R32C75</stp>
        <stp>Enter deal type or saved ID.</stp>
        <stp>Leg[2].FloatingIndex</stp>
        <stp>headers=false</stp>
        <tr r="BW32" s="5"/>
      </tp>
      <tp t="s">
        <v>30U/360</v>
        <stp/>
        <stp>##V3_BVIEW</stp>
        <stp>[XSLP -Swap Line Pricer.xlsm]Swaps!R32C63</stp>
        <stp>FXFL 877169</stp>
        <stp>Leg[1].DayCount</stp>
        <stp>headers=false</stp>
        <tr r="BK32" s="1"/>
        <tr r="BK32" s="1"/>
      </tp>
      <tp t="s">
        <v>#N/A Invalid object ID</v>
        <stp/>
        <stp>##V3_BVIEW</stp>
        <stp>[XSLP -Swap Line Pricer.xlsm]Swaptions!R26C77</stp>
        <stp>Enter deal type or saved ID.</stp>
        <stp>Leg[2].DayCount</stp>
        <stp>headers=false</stp>
        <tr r="BY26" s="5"/>
      </tp>
      <tp t="s">
        <v>#N/A Invalid object ID</v>
        <stp/>
        <stp>##V3_BVIEW</stp>
        <stp>[XSLP -Swap Line Pricer.xlsm]Swaptions!R36C77</stp>
        <stp>Enter deal type or saved ID.</stp>
        <stp>Leg[2].DayCount</stp>
        <stp>headers=false</stp>
        <tr r="BY36" s="5"/>
      </tp>
      <tp t="s">
        <v>#N/A Invalid object ID</v>
        <stp/>
        <stp>##V3_BVIEW</stp>
        <stp>[XSLP -Swap Line Pricer.xlsm]Swaptions!R36C68</stp>
        <stp>Enter deal type or saved ID.</stp>
        <stp>Leg[1].DayCount</stp>
        <stp>headers=false</stp>
        <tr r="BP36" s="5"/>
      </tp>
      <tp t="s">
        <v>#N/A Invalid object ID</v>
        <stp/>
        <stp>##V3_BVIEW</stp>
        <stp>[XSLP -Swap Line Pricer.xlsm]Swaptions!R26C68</stp>
        <stp>Enter deal type or saved ID.</stp>
        <stp>Leg[1].DayCount</stp>
        <stp>headers=false</stp>
        <tr r="BP26" s="5"/>
      </tp>
      <tp t="s">
        <v>ACT/360</v>
        <stp/>
        <stp>##V3_BVIEW</stp>
        <stp>[XSLP -Swap Line Pricer.xlsm]Swaps!R22C74</stp>
        <stp>FXFL 582191</stp>
        <stp>Leg[2].DayCount</stp>
        <stp>headers=false</stp>
        <tr r="BV22" s="1"/>
        <tr r="BV22" s="1"/>
      </tp>
      <tp t="s">
        <v>30U/360</v>
        <stp/>
        <stp>##V3_BVIEW</stp>
        <stp>[XSLP -Swap Line Pricer.xlsm]Swaps!R21C63</stp>
        <stp>FXFL 597317</stp>
        <stp>Leg[1].DayCount</stp>
        <stp>headers=false</stp>
        <tr r="BK21" s="1"/>
        <tr r="BK21" s="1"/>
      </tp>
      <tp t="s">
        <v>#N/A Invalid object ID</v>
        <stp/>
        <stp>##V3_BVIEW</stp>
        <stp>[XSLP -Swap Line Pricer.xlsm]Swaptions!R29C77</stp>
        <stp>Enter deal type or saved ID.</stp>
        <stp>Leg[2].DayCount</stp>
        <stp>headers=false</stp>
        <tr r="BY29" s="5"/>
      </tp>
      <tp t="s">
        <v>#N/A Invalid object ID</v>
        <stp/>
        <stp>##V3_BVIEW</stp>
        <stp>[XSLP -Swap Line Pricer.xlsm]Swaptions!R39C77</stp>
        <stp>Enter deal type or saved ID.</stp>
        <stp>Leg[2].DayCount</stp>
        <stp>headers=false</stp>
        <tr r="BY39" s="5"/>
      </tp>
      <tp t="s">
        <v>#N/A Invalid object ID</v>
        <stp/>
        <stp>##V3_BVIEW</stp>
        <stp>[XSLP -Swap Line Pricer.xlsm]Swaptions!R39C68</stp>
        <stp>Enter deal type or saved ID.</stp>
        <stp>Leg[1].DayCount</stp>
        <stp>headers=false</stp>
        <tr r="BP39" s="5"/>
      </tp>
      <tp t="s">
        <v>#N/A Invalid object ID</v>
        <stp/>
        <stp>##V3_BVIEW</stp>
        <stp>[XSLP -Swap Line Pricer.xlsm]Swaptions!R29C68</stp>
        <stp>Enter deal type or saved ID.</stp>
        <stp>Leg[1].DayCount</stp>
        <stp>headers=false</stp>
        <tr r="BP29" s="5"/>
      </tp>
      <tp t="s">
        <v>ACT/360</v>
        <stp/>
        <stp>##V3_BVIEW</stp>
        <stp>[XSLP -Swap Line Pricer.xlsm]Swaps!R23C74</stp>
        <stp>FXFL 729164</stp>
        <stp>Leg[2].DayCount</stp>
        <stp>headers=false</stp>
        <tr r="BV23" s="1"/>
        <tr r="BV23" s="1"/>
      </tp>
      <tp t="s">
        <v>30U/360</v>
        <stp/>
        <stp>##V3_BVIEW</stp>
        <stp>[XSLP -Swap Line Pricer.xlsm]Swaps!R26C63</stp>
        <stp>FXFL 927343</stp>
        <stp>Leg[1].DayCount</stp>
        <stp>headers=false</stp>
        <tr r="BK26" s="1"/>
        <tr r="BK26" s="1"/>
      </tp>
      <tp t="s">
        <v>#N/A Invalid object ID</v>
        <stp/>
        <stp>##V3_BVIEW</stp>
        <stp>[XSLP -Swap Line Pricer.xlsm]Swaptions!R28C77</stp>
        <stp>Enter deal type or saved ID.</stp>
        <stp>Leg[2].DayCount</stp>
        <stp>headers=false</stp>
        <tr r="BY28" s="5"/>
      </tp>
      <tp t="s">
        <v>#N/A Invalid object ID</v>
        <stp/>
        <stp>##V3_BVIEW</stp>
        <stp>[XSLP -Swap Line Pricer.xlsm]Swaptions!R38C77</stp>
        <stp>Enter deal type or saved ID.</stp>
        <stp>Leg[2].DayCount</stp>
        <stp>headers=false</stp>
        <tr r="BY38" s="5"/>
      </tp>
      <tp t="s">
        <v>#N/A Invalid object ID</v>
        <stp/>
        <stp>##V3_BVIEW</stp>
        <stp>[XSLP -Swap Line Pricer.xlsm]Swaptions!R38C68</stp>
        <stp>Enter deal type or saved ID.</stp>
        <stp>Leg[1].DayCount</stp>
        <stp>headers=false</stp>
        <tr r="BP38" s="5"/>
      </tp>
      <tp t="s">
        <v>#N/A Invalid object ID</v>
        <stp/>
        <stp>##V3_BVIEW</stp>
        <stp>[XSLP -Swap Line Pricer.xlsm]Swaptions!R28C68</stp>
        <stp>Enter deal type or saved ID.</stp>
        <stp>Leg[1].DayCount</stp>
        <stp>headers=false</stp>
        <tr r="BP28" s="5"/>
      </tp>
      <tp t="s">
        <v>#N/A Invalid object ID</v>
        <stp/>
        <stp>##V3_BVIEW</stp>
        <stp>[XSLP -Swap Line Pricer.xlsm]Swaptions!R20C63</stp>
        <stp>Enter deal type or saved ID.</stp>
        <stp>Leg[1].PayoffSide</stp>
        <stp>headers=false</stp>
        <tr r="BK20" s="5"/>
      </tp>
      <tp t="s">
        <v>#N/A Invalid object ID</v>
        <stp/>
        <stp>##V3_BVIEW</stp>
        <stp>[XSLP -Swap Line Pricer.xlsm]Swaptions!R21C63</stp>
        <stp>Enter deal type or saved ID.</stp>
        <stp>Leg[1].PayoffSide</stp>
        <stp>headers=false</stp>
        <tr r="BK21" s="5"/>
      </tp>
      <tp t="s">
        <v>#N/A Invalid object ID</v>
        <stp/>
        <stp>##V3_BVIEW</stp>
        <stp>[XSLP -Swap Line Pricer.xlsm]Swaptions!R22C63</stp>
        <stp>Enter deal type or saved ID.</stp>
        <stp>Leg[1].PayoffSide</stp>
        <stp>headers=false</stp>
        <tr r="BK22" s="5"/>
      </tp>
      <tp t="s">
        <v>#N/A Invalid object ID</v>
        <stp/>
        <stp>##V3_BVIEW</stp>
        <stp>[XSLP -Swap Line Pricer.xlsm]Swaptions!R23C63</stp>
        <stp>Enter deal type or saved ID.</stp>
        <stp>Leg[1].PayoffSide</stp>
        <stp>headers=false</stp>
        <tr r="BK23" s="5"/>
      </tp>
      <tp t="s">
        <v>#N/A Invalid object ID</v>
        <stp/>
        <stp>##V3_BVIEW</stp>
        <stp>[XSLP -Swap Line Pricer.xlsm]Swaptions!R24C63</stp>
        <stp>Enter deal type or saved ID.</stp>
        <stp>Leg[1].PayoffSide</stp>
        <stp>headers=false</stp>
        <tr r="BK24" s="5"/>
      </tp>
      <tp t="s">
        <v>#N/A Invalid object ID</v>
        <stp/>
        <stp>##V3_BVIEW</stp>
        <stp>[XSLP -Swap Line Pricer.xlsm]Swaptions!R25C63</stp>
        <stp>Enter deal type or saved ID.</stp>
        <stp>Leg[1].PayoffSide</stp>
        <stp>headers=false</stp>
        <tr r="BK25" s="5"/>
      </tp>
      <tp t="s">
        <v>#N/A Invalid object ID</v>
        <stp/>
        <stp>##V3_BVIEW</stp>
        <stp>[XSLP -Swap Line Pricer.xlsm]Swaptions!R26C63</stp>
        <stp>Enter deal type or saved ID.</stp>
        <stp>Leg[1].PayoffSide</stp>
        <stp>headers=false</stp>
        <tr r="BK26" s="5"/>
      </tp>
      <tp t="s">
        <v>#N/A Invalid object ID</v>
        <stp/>
        <stp>##V3_BVIEW</stp>
        <stp>[XSLP -Swap Line Pricer.xlsm]Swaptions!R27C63</stp>
        <stp>Enter deal type or saved ID.</stp>
        <stp>Leg[1].PayoffSide</stp>
        <stp>headers=false</stp>
        <tr r="BK27" s="5"/>
      </tp>
      <tp t="s">
        <v>#N/A Invalid object ID</v>
        <stp/>
        <stp>##V3_BVIEW</stp>
        <stp>[XSLP -Swap Line Pricer.xlsm]Swaptions!R28C63</stp>
        <stp>Enter deal type or saved ID.</stp>
        <stp>Leg[1].PayoffSide</stp>
        <stp>headers=false</stp>
        <tr r="BK28" s="5"/>
      </tp>
      <tp t="s">
        <v>#N/A Invalid object ID</v>
        <stp/>
        <stp>##V3_BVIEW</stp>
        <stp>[XSLP -Swap Line Pricer.xlsm]Swaptions!R29C63</stp>
        <stp>Enter deal type or saved ID.</stp>
        <stp>Leg[1].PayoffSide</stp>
        <stp>headers=false</stp>
        <tr r="BK29" s="5"/>
      </tp>
      <tp t="s">
        <v>#N/A Invalid object ID</v>
        <stp/>
        <stp>##V3_BVIEW</stp>
        <stp>[XSLP -Swap Line Pricer.xlsm]Swaptions!R30C63</stp>
        <stp>Enter deal type or saved ID.</stp>
        <stp>Leg[1].PayoffSide</stp>
        <stp>headers=false</stp>
        <tr r="BK30" s="5"/>
      </tp>
      <tp t="s">
        <v>#N/A Invalid object ID</v>
        <stp/>
        <stp>##V3_BVIEW</stp>
        <stp>[XSLP -Swap Line Pricer.xlsm]Swaptions!R31C63</stp>
        <stp>Enter deal type or saved ID.</stp>
        <stp>Leg[1].PayoffSide</stp>
        <stp>headers=false</stp>
        <tr r="BK31" s="5"/>
      </tp>
      <tp t="s">
        <v>#N/A Invalid object ID</v>
        <stp/>
        <stp>##V3_BVIEW</stp>
        <stp>[XSLP -Swap Line Pricer.xlsm]Swaptions!R32C63</stp>
        <stp>Enter deal type or saved ID.</stp>
        <stp>Leg[1].PayoffSide</stp>
        <stp>headers=false</stp>
        <tr r="BK32" s="5"/>
      </tp>
      <tp t="s">
        <v>#N/A Invalid object ID</v>
        <stp/>
        <stp>##V3_BVIEW</stp>
        <stp>[XSLP -Swap Line Pricer.xlsm]Swaptions!R33C63</stp>
        <stp>Enter deal type or saved ID.</stp>
        <stp>Leg[1].PayoffSide</stp>
        <stp>headers=false</stp>
        <tr r="BK33" s="5"/>
      </tp>
      <tp t="s">
        <v>#N/A Invalid object ID</v>
        <stp/>
        <stp>##V3_BVIEW</stp>
        <stp>[XSLP -Swap Line Pricer.xlsm]Swaptions!R34C63</stp>
        <stp>Enter deal type or saved ID.</stp>
        <stp>Leg[1].PayoffSide</stp>
        <stp>headers=false</stp>
        <tr r="BK34" s="5"/>
      </tp>
      <tp t="s">
        <v>#N/A Invalid object ID</v>
        <stp/>
        <stp>##V3_BVIEW</stp>
        <stp>[XSLP -Swap Line Pricer.xlsm]Swaptions!R35C63</stp>
        <stp>Enter deal type or saved ID.</stp>
        <stp>Leg[1].PayoffSide</stp>
        <stp>headers=false</stp>
        <tr r="BK35" s="5"/>
      </tp>
      <tp t="s">
        <v>#N/A Invalid object ID</v>
        <stp/>
        <stp>##V3_BVIEW</stp>
        <stp>[XSLP -Swap Line Pricer.xlsm]Swaptions!R36C63</stp>
        <stp>Enter deal type or saved ID.</stp>
        <stp>Leg[1].PayoffSide</stp>
        <stp>headers=false</stp>
        <tr r="BK36" s="5"/>
      </tp>
      <tp t="s">
        <v>#N/A Invalid object ID</v>
        <stp/>
        <stp>##V3_BVIEW</stp>
        <stp>[XSLP -Swap Line Pricer.xlsm]Swaptions!R37C63</stp>
        <stp>Enter deal type or saved ID.</stp>
        <stp>Leg[1].PayoffSide</stp>
        <stp>headers=false</stp>
        <tr r="BK37" s="5"/>
      </tp>
      <tp t="s">
        <v>#N/A Invalid object ID</v>
        <stp/>
        <stp>##V3_BVIEW</stp>
        <stp>[XSLP -Swap Line Pricer.xlsm]Swaptions!R38C63</stp>
        <stp>Enter deal type or saved ID.</stp>
        <stp>Leg[1].PayoffSide</stp>
        <stp>headers=false</stp>
        <tr r="BK38" s="5"/>
      </tp>
      <tp t="s">
        <v>#N/A Invalid object ID</v>
        <stp/>
        <stp>##V3_BVIEW</stp>
        <stp>[XSLP -Swap Line Pricer.xlsm]Swaptions!R39C63</stp>
        <stp>Enter deal type or saved ID.</stp>
        <stp>Leg[1].PayoffSide</stp>
        <stp>headers=false</stp>
        <tr r="BK39" s="5"/>
      </tp>
      <tp t="s">
        <v>30U/360</v>
        <stp/>
        <stp>##V3_BVIEW</stp>
        <stp>[XSLP -Swap Line Pricer.xlsm]Swaps!R20C63</stp>
        <stp>FXFL 938373</stp>
        <stp>Leg[1].DayCount</stp>
        <stp>headers=false</stp>
        <tr r="BK20" s="1"/>
        <tr r="BK20" s="1"/>
      </tp>
      <tp t="s">
        <v>#N/A Invalid object ID</v>
        <stp/>
        <stp>##V3_BVIEW</stp>
        <stp>[XSLP -Swap Line Pricer.xlsm]Swaptions!R39C49</stp>
        <stp>Enter deal type or saved ID.</stp>
        <stp xml:space="preserve"> OptionStyle </stp>
        <stp>headers=false</stp>
        <tr r="AW39" s="5"/>
      </tp>
      <tp t="s">
        <v>#N/A Invalid object ID</v>
        <stp/>
        <stp>##V3_BVIEW</stp>
        <stp>[XSLP -Swap Line Pricer.xlsm]Swaptions!R38C49</stp>
        <stp>Enter deal type or saved ID.</stp>
        <stp xml:space="preserve"> OptionStyle </stp>
        <stp>headers=false</stp>
        <tr r="AW38" s="5"/>
      </tp>
      <tp t="s">
        <v>#N/A Invalid object ID</v>
        <stp/>
        <stp>##V3_BVIEW</stp>
        <stp>[XSLP -Swap Line Pricer.xlsm]Swaptions!R35C49</stp>
        <stp>Enter deal type or saved ID.</stp>
        <stp xml:space="preserve"> OptionStyle </stp>
        <stp>headers=false</stp>
        <tr r="AW35" s="5"/>
      </tp>
      <tp t="s">
        <v>#N/A Invalid object ID</v>
        <stp/>
        <stp>##V3_BVIEW</stp>
        <stp>[XSLP -Swap Line Pricer.xlsm]Swaptions!R34C49</stp>
        <stp>Enter deal type or saved ID.</stp>
        <stp xml:space="preserve"> OptionStyle </stp>
        <stp>headers=false</stp>
        <tr r="AW34" s="5"/>
      </tp>
      <tp t="s">
        <v>#N/A Invalid object ID</v>
        <stp/>
        <stp>##V3_BVIEW</stp>
        <stp>[XSLP -Swap Line Pricer.xlsm]Swaptions!R37C49</stp>
        <stp>Enter deal type or saved ID.</stp>
        <stp xml:space="preserve"> OptionStyle </stp>
        <stp>headers=false</stp>
        <tr r="AW37" s="5"/>
      </tp>
      <tp t="s">
        <v>#N/A Invalid object ID</v>
        <stp/>
        <stp>##V3_BVIEW</stp>
        <stp>[XSLP -Swap Line Pricer.xlsm]Swaptions!R36C49</stp>
        <stp>Enter deal type or saved ID.</stp>
        <stp xml:space="preserve"> OptionStyle </stp>
        <stp>headers=false</stp>
        <tr r="AW36" s="5"/>
      </tp>
      <tp t="s">
        <v>#N/A Invalid object ID</v>
        <stp/>
        <stp>##V3_BVIEW</stp>
        <stp>[XSLP -Swap Line Pricer.xlsm]Swaptions!R31C49</stp>
        <stp>Enter deal type or saved ID.</stp>
        <stp xml:space="preserve"> OptionStyle </stp>
        <stp>headers=false</stp>
        <tr r="AW31" s="5"/>
      </tp>
      <tp t="s">
        <v>#N/A Invalid object ID</v>
        <stp/>
        <stp>##V3_BVIEW</stp>
        <stp>[XSLP -Swap Line Pricer.xlsm]Swaptions!R30C49</stp>
        <stp>Enter deal type or saved ID.</stp>
        <stp xml:space="preserve"> OptionStyle </stp>
        <stp>headers=false</stp>
        <tr r="AW30" s="5"/>
      </tp>
      <tp t="s">
        <v>#N/A Invalid object ID</v>
        <stp/>
        <stp>##V3_BVIEW</stp>
        <stp>[XSLP -Swap Line Pricer.xlsm]Swaptions!R33C49</stp>
        <stp>Enter deal type or saved ID.</stp>
        <stp xml:space="preserve"> OptionStyle </stp>
        <stp>headers=false</stp>
        <tr r="AW33" s="5"/>
      </tp>
      <tp t="s">
        <v>#N/A Invalid object ID</v>
        <stp/>
        <stp>##V3_BVIEW</stp>
        <stp>[XSLP -Swap Line Pricer.xlsm]Swaptions!R32C49</stp>
        <stp>Enter deal type or saved ID.</stp>
        <stp xml:space="preserve"> OptionStyle </stp>
        <stp>headers=false</stp>
        <tr r="AW32" s="5"/>
      </tp>
      <tp t="s">
        <v>#N/A Invalid object ID</v>
        <stp/>
        <stp>##V3_BVIEW</stp>
        <stp>[XSLP -Swap Line Pricer.xlsm]Swaptions!R29C49</stp>
        <stp>Enter deal type or saved ID.</stp>
        <stp xml:space="preserve"> OptionStyle </stp>
        <stp>headers=false</stp>
        <tr r="AW29" s="5"/>
      </tp>
      <tp t="s">
        <v>#N/A Invalid object ID</v>
        <stp/>
        <stp>##V3_BVIEW</stp>
        <stp>[XSLP -Swap Line Pricer.xlsm]Swaptions!R28C49</stp>
        <stp>Enter deal type or saved ID.</stp>
        <stp xml:space="preserve"> OptionStyle </stp>
        <stp>headers=false</stp>
        <tr r="AW28" s="5"/>
      </tp>
      <tp t="s">
        <v>#N/A Invalid object ID</v>
        <stp/>
        <stp>##V3_BVIEW</stp>
        <stp>[XSLP -Swap Line Pricer.xlsm]Swaptions!R25C49</stp>
        <stp>Enter deal type or saved ID.</stp>
        <stp xml:space="preserve"> OptionStyle </stp>
        <stp>headers=false</stp>
        <tr r="AW25" s="5"/>
      </tp>
      <tp t="s">
        <v>#N/A Invalid object ID</v>
        <stp/>
        <stp>##V3_BVIEW</stp>
        <stp>[XSLP -Swap Line Pricer.xlsm]Swaptions!R24C49</stp>
        <stp>Enter deal type or saved ID.</stp>
        <stp xml:space="preserve"> OptionStyle </stp>
        <stp>headers=false</stp>
        <tr r="AW24" s="5"/>
      </tp>
      <tp t="s">
        <v>#N/A Invalid object ID</v>
        <stp/>
        <stp>##V3_BVIEW</stp>
        <stp>[XSLP -Swap Line Pricer.xlsm]Swaptions!R27C49</stp>
        <stp>Enter deal type or saved ID.</stp>
        <stp xml:space="preserve"> OptionStyle </stp>
        <stp>headers=false</stp>
        <tr r="AW27" s="5"/>
      </tp>
      <tp t="s">
        <v>#N/A Invalid object ID</v>
        <stp/>
        <stp>##V3_BVIEW</stp>
        <stp>[XSLP -Swap Line Pricer.xlsm]Swaptions!R26C49</stp>
        <stp>Enter deal type or saved ID.</stp>
        <stp xml:space="preserve"> OptionStyle </stp>
        <stp>headers=false</stp>
        <tr r="AW26" s="5"/>
      </tp>
      <tp t="s">
        <v>#N/A Invalid object ID</v>
        <stp/>
        <stp>##V3_BVIEW</stp>
        <stp>[XSLP -Swap Line Pricer.xlsm]Swaptions!R21C49</stp>
        <stp>Enter deal type or saved ID.</stp>
        <stp xml:space="preserve"> OptionStyle </stp>
        <stp>headers=false</stp>
        <tr r="AW21" s="5"/>
      </tp>
      <tp t="s">
        <v>#N/A Invalid object ID</v>
        <stp/>
        <stp>##V3_BVIEW</stp>
        <stp>[XSLP -Swap Line Pricer.xlsm]Swaptions!R20C49</stp>
        <stp>Enter deal type or saved ID.</stp>
        <stp xml:space="preserve"> OptionStyle </stp>
        <stp>headers=false</stp>
        <tr r="AW20" s="5"/>
      </tp>
      <tp t="s">
        <v>#N/A Invalid object ID</v>
        <stp/>
        <stp>##V3_BVIEW</stp>
        <stp>[XSLP -Swap Line Pricer.xlsm]Swaptions!R23C49</stp>
        <stp>Enter deal type or saved ID.</stp>
        <stp xml:space="preserve"> OptionStyle </stp>
        <stp>headers=false</stp>
        <tr r="AW23" s="5"/>
      </tp>
      <tp t="s">
        <v>#N/A Invalid object ID</v>
        <stp/>
        <stp>##V3_BVIEW</stp>
        <stp>[XSLP -Swap Line Pricer.xlsm]Swaptions!R22C49</stp>
        <stp>Enter deal type or saved ID.</stp>
        <stp xml:space="preserve"> OptionStyle </stp>
        <stp>headers=false</stp>
        <tr r="AW22" s="5"/>
      </tp>
      <tp t="s">
        <v>#N/A Invalid object ID</v>
        <stp/>
        <stp>##V3_BVIEW</stp>
        <stp>[XSLP -Swap Line Pricer.xlsm]Swaptions!R28C6</stp>
        <stp/>
        <stp>UnderlyingPremium</stp>
        <stp>headers=false</stp>
        <tr r="F28" s="5"/>
      </tp>
      <tp t="s">
        <v>#N/A Invalid object ID</v>
        <stp/>
        <stp>##V3_BVIEW</stp>
        <stp>[XSLP -Swap Line Pricer.xlsm]Swaptions!R29C6</stp>
        <stp/>
        <stp>UnderlyingPremium</stp>
        <stp>headers=false</stp>
        <tr r="F29" s="5"/>
      </tp>
      <tp t="s">
        <v>#N/A Invalid object ID</v>
        <stp/>
        <stp>##V3_BVIEW</stp>
        <stp>[XSLP -Swap Line Pricer.xlsm]Swaptions!R24C6</stp>
        <stp/>
        <stp>UnderlyingPremium</stp>
        <stp>headers=false</stp>
        <tr r="F24" s="5"/>
      </tp>
      <tp t="s">
        <v>#N/A Invalid object ID</v>
        <stp/>
        <stp>##V3_BVIEW</stp>
        <stp>[XSLP -Swap Line Pricer.xlsm]Swaptions!R25C6</stp>
        <stp/>
        <stp>UnderlyingPremium</stp>
        <stp>headers=false</stp>
        <tr r="F25" s="5"/>
      </tp>
      <tp t="s">
        <v>#N/A Invalid object ID</v>
        <stp/>
        <stp>##V3_BVIEW</stp>
        <stp>[XSLP -Swap Line Pricer.xlsm]Swaptions!R26C6</stp>
        <stp/>
        <stp>UnderlyingPremium</stp>
        <stp>headers=false</stp>
        <tr r="F26" s="5"/>
      </tp>
      <tp t="s">
        <v>#N/A Invalid object ID</v>
        <stp/>
        <stp>##V3_BVIEW</stp>
        <stp>[XSLP -Swap Line Pricer.xlsm]Swaptions!R27C6</stp>
        <stp/>
        <stp>UnderlyingPremium</stp>
        <stp>headers=false</stp>
        <tr r="F27" s="5"/>
      </tp>
      <tp t="s">
        <v>#N/A Invalid object ID</v>
        <stp/>
        <stp>##V3_BVIEW</stp>
        <stp>[XSLP -Swap Line Pricer.xlsm]Swaptions!R20C6</stp>
        <stp/>
        <stp>UnderlyingPremium</stp>
        <stp>headers=false</stp>
        <tr r="F20" s="5"/>
      </tp>
      <tp t="s">
        <v>#N/A Invalid object ID</v>
        <stp/>
        <stp>##V3_BVIEW</stp>
        <stp>[XSLP -Swap Line Pricer.xlsm]Swaptions!R21C6</stp>
        <stp/>
        <stp>UnderlyingPremium</stp>
        <stp>headers=false</stp>
        <tr r="F21" s="5"/>
      </tp>
      <tp t="s">
        <v>#N/A Invalid object ID</v>
        <stp/>
        <stp>##V3_BVIEW</stp>
        <stp>[XSLP -Swap Line Pricer.xlsm]Swaptions!R22C6</stp>
        <stp/>
        <stp>UnderlyingPremium</stp>
        <stp>headers=false</stp>
        <tr r="F22" s="5"/>
      </tp>
      <tp t="s">
        <v>#N/A Invalid object ID</v>
        <stp/>
        <stp>##V3_BVIEW</stp>
        <stp>[XSLP -Swap Line Pricer.xlsm]Swaptions!R23C6</stp>
        <stp/>
        <stp>UnderlyingPremium</stp>
        <stp>headers=false</stp>
        <tr r="F23" s="5"/>
      </tp>
      <tp t="s">
        <v>#N/A Invalid object ID</v>
        <stp/>
        <stp>##V3_BVIEW</stp>
        <stp>[XSLP -Swap Line Pricer.xlsm]Swaptions!R38C6</stp>
        <stp/>
        <stp>UnderlyingPremium</stp>
        <stp>headers=false</stp>
        <tr r="F38" s="5"/>
      </tp>
      <tp t="s">
        <v>#N/A Invalid object ID</v>
        <stp/>
        <stp>##V3_BVIEW</stp>
        <stp>[XSLP -Swap Line Pricer.xlsm]Swaptions!R39C6</stp>
        <stp/>
        <stp>UnderlyingPremium</stp>
        <stp>headers=false</stp>
        <tr r="F39" s="5"/>
      </tp>
      <tp t="s">
        <v>#N/A Invalid object ID</v>
        <stp/>
        <stp>##V3_BVIEW</stp>
        <stp>[XSLP -Swap Line Pricer.xlsm]Swaptions!R34C6</stp>
        <stp/>
        <stp>UnderlyingPremium</stp>
        <stp>headers=false</stp>
        <tr r="F34" s="5"/>
      </tp>
      <tp t="s">
        <v>#N/A Invalid object ID</v>
        <stp/>
        <stp>##V3_BVIEW</stp>
        <stp>[XSLP -Swap Line Pricer.xlsm]Swaptions!R35C6</stp>
        <stp/>
        <stp>UnderlyingPremium</stp>
        <stp>headers=false</stp>
        <tr r="F35" s="5"/>
      </tp>
      <tp t="s">
        <v>#N/A Invalid object ID</v>
        <stp/>
        <stp>##V3_BVIEW</stp>
        <stp>[XSLP -Swap Line Pricer.xlsm]Swaptions!R36C6</stp>
        <stp/>
        <stp>UnderlyingPremium</stp>
        <stp>headers=false</stp>
        <tr r="F36" s="5"/>
      </tp>
      <tp t="s">
        <v>#N/A Invalid object ID</v>
        <stp/>
        <stp>##V3_BVIEW</stp>
        <stp>[XSLP -Swap Line Pricer.xlsm]Swaptions!R37C6</stp>
        <stp/>
        <stp>UnderlyingPremium</stp>
        <stp>headers=false</stp>
        <tr r="F37" s="5"/>
      </tp>
      <tp t="s">
        <v>#N/A Invalid object ID</v>
        <stp/>
        <stp>##V3_BVIEW</stp>
        <stp>[XSLP -Swap Line Pricer.xlsm]Swaptions!R30C6</stp>
        <stp/>
        <stp>UnderlyingPremium</stp>
        <stp>headers=false</stp>
        <tr r="F30" s="5"/>
      </tp>
      <tp t="s">
        <v>#N/A Invalid object ID</v>
        <stp/>
        <stp>##V3_BVIEW</stp>
        <stp>[XSLP -Swap Line Pricer.xlsm]Swaptions!R31C6</stp>
        <stp/>
        <stp>UnderlyingPremium</stp>
        <stp>headers=false</stp>
        <tr r="F31" s="5"/>
      </tp>
      <tp t="s">
        <v>#N/A Invalid object ID</v>
        <stp/>
        <stp>##V3_BVIEW</stp>
        <stp>[XSLP -Swap Line Pricer.xlsm]Swaptions!R32C6</stp>
        <stp/>
        <stp>UnderlyingPremium</stp>
        <stp>headers=false</stp>
        <tr r="F32" s="5"/>
      </tp>
      <tp t="s">
        <v>#N/A Invalid object ID</v>
        <stp/>
        <stp>##V3_BVIEW</stp>
        <stp>[XSLP -Swap Line Pricer.xlsm]Swaptions!R33C6</stp>
        <stp/>
        <stp>UnderlyingPremium</stp>
        <stp>headers=false</stp>
        <tr r="F33" s="5"/>
      </tp>
      <tp t="s">
        <v>30U/360</v>
        <stp/>
        <stp>##V3_BVIEW</stp>
        <stp>[XSLP -Swap Line Pricer.xlsm]Swaps!R29C63</stp>
        <stp>FXFL 431830</stp>
        <stp>Leg[1].DayCount</stp>
        <stp>headers=false</stp>
        <tr r="BK29" s="1"/>
        <tr r="BK29" s="1"/>
      </tp>
      <tp t="s">
        <v>ACT/360</v>
        <stp/>
        <stp>##V3_BVIEW</stp>
        <stp>[XSLP -Swap Line Pricer.xlsm]Swaps!R28C74</stp>
        <stp>FXFL 164852</stp>
        <stp>Leg[2].DayCount</stp>
        <stp>headers=false</stp>
        <tr r="BV28" s="1"/>
        <tr r="BV28" s="1"/>
      </tp>
      <tp t="s">
        <v>ACT/360</v>
        <stp/>
        <stp>##V3_BVIEW</stp>
        <stp>[XSLP -Swap Line Pricer.xlsm]Swaps!R33C74</stp>
        <stp>FXFL 630096</stp>
        <stp>Leg[2].DayCount</stp>
        <stp>headers=false</stp>
        <tr r="BV33" s="1"/>
        <tr r="BV33" s="1"/>
      </tp>
      <tp t="s">
        <v>30U/360</v>
        <stp/>
        <stp>##V3_BVIEW</stp>
        <stp>[XSLP -Swap Line Pricer.xlsm]Swaps!R27C63</stp>
        <stp>FXFL 451356</stp>
        <stp>Leg[1].DayCount</stp>
        <stp>headers=false</stp>
        <tr r="BK27" s="1"/>
        <tr r="BK27" s="1"/>
      </tp>
      <tp t="s">
        <v>30U/360</v>
        <stp/>
        <stp>##V3_BVIEW</stp>
        <stp>[XSLP -Swap Line Pricer.xlsm]Swaps!R31C63</stp>
        <stp>FXFL 625950</stp>
        <stp>Leg[1].DayCount</stp>
        <stp>headers=false</stp>
        <tr r="BK31" s="1"/>
        <tr r="BK31" s="1"/>
      </tp>
      <tp t="s">
        <v>#N/A Invalid object ID</v>
        <stp/>
        <stp>##V3_BVIEW</stp>
        <stp>[XSLP -Swap Line Pricer.xlsm]Swaptions!R20C71</stp>
        <stp>Enter deal type or saved ID.</stp>
        <stp>Leg[2].PayoffSide</stp>
        <stp>headers=false</stp>
        <tr r="BS20" s="5"/>
      </tp>
      <tp t="s">
        <v>#N/A Invalid object ID</v>
        <stp/>
        <stp>##V3_BVIEW</stp>
        <stp>[XSLP -Swap Line Pricer.xlsm]Swaptions!R21C71</stp>
        <stp>Enter deal type or saved ID.</stp>
        <stp>Leg[2].PayoffSide</stp>
        <stp>headers=false</stp>
        <tr r="BS21" s="5"/>
      </tp>
      <tp t="s">
        <v>#N/A Invalid object ID</v>
        <stp/>
        <stp>##V3_BVIEW</stp>
        <stp>[XSLP -Swap Line Pricer.xlsm]Swaptions!R22C71</stp>
        <stp>Enter deal type or saved ID.</stp>
        <stp>Leg[2].PayoffSide</stp>
        <stp>headers=false</stp>
        <tr r="BS22" s="5"/>
      </tp>
      <tp t="s">
        <v>#N/A Invalid object ID</v>
        <stp/>
        <stp>##V3_BVIEW</stp>
        <stp>[XSLP -Swap Line Pricer.xlsm]Swaptions!R23C71</stp>
        <stp>Enter deal type or saved ID.</stp>
        <stp>Leg[2].PayoffSide</stp>
        <stp>headers=false</stp>
        <tr r="BS23" s="5"/>
      </tp>
      <tp t="s">
        <v>#N/A Invalid object ID</v>
        <stp/>
        <stp>##V3_BVIEW</stp>
        <stp>[XSLP -Swap Line Pricer.xlsm]Swaptions!R24C71</stp>
        <stp>Enter deal type or saved ID.</stp>
        <stp>Leg[2].PayoffSide</stp>
        <stp>headers=false</stp>
        <tr r="BS24" s="5"/>
      </tp>
      <tp t="s">
        <v>#N/A Invalid object ID</v>
        <stp/>
        <stp>##V3_BVIEW</stp>
        <stp>[XSLP -Swap Line Pricer.xlsm]Swaptions!R25C71</stp>
        <stp>Enter deal type or saved ID.</stp>
        <stp>Leg[2].PayoffSide</stp>
        <stp>headers=false</stp>
        <tr r="BS25" s="5"/>
      </tp>
      <tp t="s">
        <v>#N/A Invalid object ID</v>
        <stp/>
        <stp>##V3_BVIEW</stp>
        <stp>[XSLP -Swap Line Pricer.xlsm]Swaptions!R26C71</stp>
        <stp>Enter deal type or saved ID.</stp>
        <stp>Leg[2].PayoffSide</stp>
        <stp>headers=false</stp>
        <tr r="BS26" s="5"/>
      </tp>
      <tp t="s">
        <v>#N/A Invalid object ID</v>
        <stp/>
        <stp>##V3_BVIEW</stp>
        <stp>[XSLP -Swap Line Pricer.xlsm]Swaptions!R27C71</stp>
        <stp>Enter deal type or saved ID.</stp>
        <stp>Leg[2].PayoffSide</stp>
        <stp>headers=false</stp>
        <tr r="BS27" s="5"/>
      </tp>
      <tp t="s">
        <v>#N/A Invalid object ID</v>
        <stp/>
        <stp>##V3_BVIEW</stp>
        <stp>[XSLP -Swap Line Pricer.xlsm]Swaptions!R28C71</stp>
        <stp>Enter deal type or saved ID.</stp>
        <stp>Leg[2].PayoffSide</stp>
        <stp>headers=false</stp>
        <tr r="BS28" s="5"/>
      </tp>
      <tp t="s">
        <v>#N/A Invalid object ID</v>
        <stp/>
        <stp>##V3_BVIEW</stp>
        <stp>[XSLP -Swap Line Pricer.xlsm]Swaptions!R29C71</stp>
        <stp>Enter deal type or saved ID.</stp>
        <stp>Leg[2].PayoffSide</stp>
        <stp>headers=false</stp>
        <tr r="BS29" s="5"/>
      </tp>
      <tp t="s">
        <v>#N/A Invalid object ID</v>
        <stp/>
        <stp>##V3_BVIEW</stp>
        <stp>[XSLP -Swap Line Pricer.xlsm]Swaptions!R30C71</stp>
        <stp>Enter deal type or saved ID.</stp>
        <stp>Leg[2].PayoffSide</stp>
        <stp>headers=false</stp>
        <tr r="BS30" s="5"/>
      </tp>
      <tp t="s">
        <v>#N/A Invalid object ID</v>
        <stp/>
        <stp>##V3_BVIEW</stp>
        <stp>[XSLP -Swap Line Pricer.xlsm]Swaptions!R31C71</stp>
        <stp>Enter deal type or saved ID.</stp>
        <stp>Leg[2].PayoffSide</stp>
        <stp>headers=false</stp>
        <tr r="BS31" s="5"/>
      </tp>
      <tp t="s">
        <v>#N/A Invalid object ID</v>
        <stp/>
        <stp>##V3_BVIEW</stp>
        <stp>[XSLP -Swap Line Pricer.xlsm]Swaptions!R32C71</stp>
        <stp>Enter deal type or saved ID.</stp>
        <stp>Leg[2].PayoffSide</stp>
        <stp>headers=false</stp>
        <tr r="BS32" s="5"/>
      </tp>
      <tp t="s">
        <v>#N/A Invalid object ID</v>
        <stp/>
        <stp>##V3_BVIEW</stp>
        <stp>[XSLP -Swap Line Pricer.xlsm]Swaptions!R33C71</stp>
        <stp>Enter deal type or saved ID.</stp>
        <stp>Leg[2].PayoffSide</stp>
        <stp>headers=false</stp>
        <tr r="BS33" s="5"/>
      </tp>
      <tp t="s">
        <v>#N/A Invalid object ID</v>
        <stp/>
        <stp>##V3_BVIEW</stp>
        <stp>[XSLP -Swap Line Pricer.xlsm]Swaptions!R34C71</stp>
        <stp>Enter deal type or saved ID.</stp>
        <stp>Leg[2].PayoffSide</stp>
        <stp>headers=false</stp>
        <tr r="BS34" s="5"/>
      </tp>
      <tp t="s">
        <v>#N/A Invalid object ID</v>
        <stp/>
        <stp>##V3_BVIEW</stp>
        <stp>[XSLP -Swap Line Pricer.xlsm]Swaptions!R35C71</stp>
        <stp>Enter deal type or saved ID.</stp>
        <stp>Leg[2].PayoffSide</stp>
        <stp>headers=false</stp>
        <tr r="BS35" s="5"/>
      </tp>
      <tp t="s">
        <v>#N/A Invalid object ID</v>
        <stp/>
        <stp>##V3_BVIEW</stp>
        <stp>[XSLP -Swap Line Pricer.xlsm]Swaptions!R36C71</stp>
        <stp>Enter deal type or saved ID.</stp>
        <stp>Leg[2].PayoffSide</stp>
        <stp>headers=false</stp>
        <tr r="BS36" s="5"/>
      </tp>
      <tp t="s">
        <v>#N/A Invalid object ID</v>
        <stp/>
        <stp>##V3_BVIEW</stp>
        <stp>[XSLP -Swap Line Pricer.xlsm]Swaptions!R37C71</stp>
        <stp>Enter deal type or saved ID.</stp>
        <stp>Leg[2].PayoffSide</stp>
        <stp>headers=false</stp>
        <tr r="BS37" s="5"/>
      </tp>
      <tp t="s">
        <v>#N/A Invalid object ID</v>
        <stp/>
        <stp>##V3_BVIEW</stp>
        <stp>[XSLP -Swap Line Pricer.xlsm]Swaptions!R38C71</stp>
        <stp>Enter deal type or saved ID.</stp>
        <stp>Leg[2].PayoffSide</stp>
        <stp>headers=false</stp>
        <tr r="BS38" s="5"/>
      </tp>
      <tp t="s">
        <v>#N/A Invalid object ID</v>
        <stp/>
        <stp>##V3_BVIEW</stp>
        <stp>[XSLP -Swap Line Pricer.xlsm]Swaptions!R39C71</stp>
        <stp>Enter deal type or saved ID.</stp>
        <stp>Leg[2].PayoffSide</stp>
        <stp>headers=false</stp>
        <tr r="BS39" s="5"/>
      </tp>
      <tp t="s">
        <v>30U/360</v>
        <stp/>
        <stp>##V3_BVIEW</stp>
        <stp>[XSLP -Swap Line Pricer.xlsm]Swaps!R30C63</stp>
        <stp>FXFL 631990</stp>
        <stp>Leg[1].DayCount</stp>
        <stp>headers=false</stp>
        <tr r="BK30" s="1"/>
        <tr r="BK30" s="1"/>
      </tp>
      <tp t="s">
        <v>#N/A Invalid object ID</v>
        <stp/>
        <stp>##V3_BVIEW</stp>
        <stp>[XSLP -Swap Line Pricer.xlsm]Swaptions!R30C103</stp>
        <stp/>
        <stp>ParCoupon</stp>
        <stp>headers=false</stp>
        <tr r="CY30" s="5"/>
      </tp>
      <tp t="s">
        <v>#N/A Invalid object ID</v>
        <stp/>
        <stp>##V3_BVIEW</stp>
        <stp>[XSLP -Swap Line Pricer.xlsm]Swaptions!R31C103</stp>
        <stp/>
        <stp>ParCoupon</stp>
        <stp>headers=false</stp>
        <tr r="CY31" s="5"/>
      </tp>
      <tp t="s">
        <v>#N/A Invalid object ID</v>
        <stp/>
        <stp>##V3_BVIEW</stp>
        <stp>[XSLP -Swap Line Pricer.xlsm]Swaptions!R32C103</stp>
        <stp/>
        <stp>ParCoupon</stp>
        <stp>headers=false</stp>
        <tr r="CY32" s="5"/>
      </tp>
      <tp t="s">
        <v>#N/A Invalid object ID</v>
        <stp/>
        <stp>##V3_BVIEW</stp>
        <stp>[XSLP -Swap Line Pricer.xlsm]Swaptions!R33C103</stp>
        <stp/>
        <stp>ParCoupon</stp>
        <stp>headers=false</stp>
        <tr r="CY33" s="5"/>
      </tp>
      <tp t="s">
        <v>#N/A Invalid object ID</v>
        <stp/>
        <stp>##V3_BVIEW</stp>
        <stp>[XSLP -Swap Line Pricer.xlsm]Swaptions!R34C103</stp>
        <stp/>
        <stp>ParCoupon</stp>
        <stp>headers=false</stp>
        <tr r="CY34" s="5"/>
      </tp>
      <tp t="s">
        <v>#N/A Invalid object ID</v>
        <stp/>
        <stp>##V3_BVIEW</stp>
        <stp>[XSLP -Swap Line Pricer.xlsm]Swaptions!R35C103</stp>
        <stp/>
        <stp>ParCoupon</stp>
        <stp>headers=false</stp>
        <tr r="CY35" s="5"/>
      </tp>
      <tp t="s">
        <v>#N/A Invalid object ID</v>
        <stp/>
        <stp>##V3_BVIEW</stp>
        <stp>[XSLP -Swap Line Pricer.xlsm]Swaptions!R36C103</stp>
        <stp/>
        <stp>ParCoupon</stp>
        <stp>headers=false</stp>
        <tr r="CY36" s="5"/>
      </tp>
      <tp t="s">
        <v>#N/A Invalid object ID</v>
        <stp/>
        <stp>##V3_BVIEW</stp>
        <stp>[XSLP -Swap Line Pricer.xlsm]Swaptions!R37C103</stp>
        <stp/>
        <stp>ParCoupon</stp>
        <stp>headers=false</stp>
        <tr r="CY37" s="5"/>
      </tp>
      <tp t="s">
        <v>#N/A Invalid object ID</v>
        <stp/>
        <stp>##V3_BVIEW</stp>
        <stp>[XSLP -Swap Line Pricer.xlsm]Swaptions!R38C103</stp>
        <stp/>
        <stp>ParCoupon</stp>
        <stp>headers=false</stp>
        <tr r="CY38" s="5"/>
      </tp>
      <tp t="s">
        <v>#N/A Invalid object ID</v>
        <stp/>
        <stp>##V3_BVIEW</stp>
        <stp>[XSLP -Swap Line Pricer.xlsm]Swaptions!R39C103</stp>
        <stp/>
        <stp>ParCoupon</stp>
        <stp>headers=false</stp>
        <tr r="CY39" s="5"/>
      </tp>
      <tp t="s">
        <v>ACT/360</v>
        <stp/>
        <stp>##V3_BVIEW</stp>
        <stp>[XSLP -Swap Line Pricer.xlsm]Swaps!R30C74</stp>
        <stp>FXFL 631990</stp>
        <stp>Leg[2].DayCount</stp>
        <stp>headers=false</stp>
        <tr r="BV30" s="1"/>
        <tr r="BV30" s="1"/>
      </tp>
      <tp t="s">
        <v>PRICE FXFL 132498</v>
        <stp/>
        <stp>##V3_BPRICEV12</stp>
        <stp>[XSLP -Swap Line Pricer.xlsm]Swaps!R25C109</stp>
        <stp>FXFL 64474</stp>
        <stp/>
        <stp/>
        <stp>MarketDate</stp>
        <stp>42654</stp>
        <stp>ValuationDate</stp>
        <stp>42656</stp>
        <stp>alwaysrefresh</stp>
        <tr r="DE25" s="1"/>
      </tp>
      <tp t="s">
        <v>#N/A Invalid object ID</v>
        <stp/>
        <stp>##V3_BVIEW</stp>
        <stp>[XSLP -Swap Line Pricer.xlsm]Swaptions!R20C103</stp>
        <stp/>
        <stp>ParCoupon</stp>
        <stp>headers=false</stp>
        <tr r="CY20" s="5"/>
      </tp>
      <tp t="s">
        <v>#N/A Invalid object ID</v>
        <stp/>
        <stp>##V3_BVIEW</stp>
        <stp>[XSLP -Swap Line Pricer.xlsm]Swaptions!R21C103</stp>
        <stp/>
        <stp>ParCoupon</stp>
        <stp>headers=false</stp>
        <tr r="CY21" s="5"/>
      </tp>
      <tp t="s">
        <v>#N/A Invalid object ID</v>
        <stp/>
        <stp>##V3_BVIEW</stp>
        <stp>[XSLP -Swap Line Pricer.xlsm]Swaptions!R22C103</stp>
        <stp/>
        <stp>ParCoupon</stp>
        <stp>headers=false</stp>
        <tr r="CY22" s="5"/>
      </tp>
      <tp t="s">
        <v>#N/A Invalid object ID</v>
        <stp/>
        <stp>##V3_BVIEW</stp>
        <stp>[XSLP -Swap Line Pricer.xlsm]Swaptions!R23C103</stp>
        <stp/>
        <stp>ParCoupon</stp>
        <stp>headers=false</stp>
        <tr r="CY23" s="5"/>
      </tp>
      <tp t="s">
        <v>#N/A Invalid object ID</v>
        <stp/>
        <stp>##V3_BVIEW</stp>
        <stp>[XSLP -Swap Line Pricer.xlsm]Swaptions!R24C103</stp>
        <stp/>
        <stp>ParCoupon</stp>
        <stp>headers=false</stp>
        <tr r="CY24" s="5"/>
      </tp>
      <tp t="s">
        <v>#N/A Invalid object ID</v>
        <stp/>
        <stp>##V3_BVIEW</stp>
        <stp>[XSLP -Swap Line Pricer.xlsm]Swaptions!R25C103</stp>
        <stp/>
        <stp>ParCoupon</stp>
        <stp>headers=false</stp>
        <tr r="CY25" s="5"/>
      </tp>
      <tp t="s">
        <v>#N/A Invalid object ID</v>
        <stp/>
        <stp>##V3_BVIEW</stp>
        <stp>[XSLP -Swap Line Pricer.xlsm]Swaptions!R26C103</stp>
        <stp/>
        <stp>ParCoupon</stp>
        <stp>headers=false</stp>
        <tr r="CY26" s="5"/>
      </tp>
      <tp t="s">
        <v>#N/A Invalid object ID</v>
        <stp/>
        <stp>##V3_BVIEW</stp>
        <stp>[XSLP -Swap Line Pricer.xlsm]Swaptions!R27C103</stp>
        <stp/>
        <stp>ParCoupon</stp>
        <stp>headers=false</stp>
        <tr r="CY27" s="5"/>
      </tp>
      <tp t="s">
        <v>#N/A Invalid object ID</v>
        <stp/>
        <stp>##V3_BVIEW</stp>
        <stp>[XSLP -Swap Line Pricer.xlsm]Swaptions!R28C103</stp>
        <stp/>
        <stp>ParCoupon</stp>
        <stp>headers=false</stp>
        <tr r="CY28" s="5"/>
      </tp>
      <tp t="s">
        <v>#N/A Invalid object ID</v>
        <stp/>
        <stp>##V3_BVIEW</stp>
        <stp>[XSLP -Swap Line Pricer.xlsm]Swaptions!R29C103</stp>
        <stp/>
        <stp>ParCoupon</stp>
        <stp>headers=false</stp>
        <tr r="CY29" s="5"/>
      </tp>
      <tp t="s">
        <v>#N/A No matches found [Parameter:OUTPUT]</v>
        <stp/>
        <stp>##V3_BVIEW</stp>
        <stp>[XSLP -Swap Line Pricer.xlsm]Swaps!R25C61</stp>
        <stp>FXFL 64474</stp>
        <stp>Leg[1].FloatingIndex</stp>
        <stp>headers=false</stp>
        <tr r="BI25" s="1"/>
      </tp>
      <tp t="s">
        <v>ACT/360</v>
        <stp/>
        <stp>##V3_BVIEW</stp>
        <stp>[XSLP -Swap Line Pricer.xlsm]Swaps!R29C74</stp>
        <stp>FXFL 431830</stp>
        <stp>Leg[2].DayCount</stp>
        <stp>headers=false</stp>
        <tr r="BV29" s="1"/>
        <tr r="BV29" s="1"/>
      </tp>
      <tp t="s">
        <v>30U/360</v>
        <stp/>
        <stp>##V3_BVIEW</stp>
        <stp>[XSLP -Swap Line Pricer.xlsm]Swaps!R28C63</stp>
        <stp>FXFL 164852</stp>
        <stp>Leg[1].DayCount</stp>
        <stp>headers=false</stp>
        <tr r="BK28" s="1"/>
        <tr r="BK28" s="1"/>
      </tp>
      <tp t="s">
        <v>30U/360</v>
        <stp/>
        <stp>##V3_BVIEW</stp>
        <stp>[XSLP -Swap Line Pricer.xlsm]Swaps!R33C63</stp>
        <stp>FXFL 630096</stp>
        <stp>Leg[1].DayCount</stp>
        <stp>headers=false</stp>
        <tr r="BK33" s="1"/>
        <tr r="BK33" s="1"/>
      </tp>
      <tp t="s">
        <v>ACT/360</v>
        <stp/>
        <stp>##V3_BVIEW</stp>
        <stp>[XSLP -Swap Line Pricer.xlsm]Swaps!R27C74</stp>
        <stp>FXFL 451356</stp>
        <stp>Leg[2].DayCount</stp>
        <stp>headers=false</stp>
        <tr r="BV27" s="1"/>
        <tr r="BV27" s="1"/>
      </tp>
      <tp t="s">
        <v>ACT/360</v>
        <stp/>
        <stp>##V3_BVIEW</stp>
        <stp>[XSLP -Swap Line Pricer.xlsm]Swaps!R31C74</stp>
        <stp>FXFL 625950</stp>
        <stp>Leg[2].DayCount</stp>
        <stp>headers=false</stp>
        <tr r="BV31" s="1"/>
        <tr r="BV31" s="1"/>
      </tp>
      <tp t="s">
        <v>EUR</v>
        <stp/>
        <stp>##V3_BVIEW</stp>
        <stp>[XSLP -Swap Line Pricer.xlsm]Swaps!R38C80</stp>
        <stp>FXFL 1033483</stp>
        <stp>CsaCollateralCurrency</stp>
        <stp>headers=false</stp>
        <tr r="CB38" s="1"/>
        <tr r="CB38" s="1"/>
      </tp>
      <tp t="s">
        <v>EUR</v>
        <stp/>
        <stp>##V3_BVIEW</stp>
        <stp>[XSLP -Swap Line Pricer.xlsm]Swaps!R39C80</stp>
        <stp>FXFL 1033483</stp>
        <stp>CsaCollateralCurrency</stp>
        <stp>headers=false</stp>
        <tr r="CB39" s="1"/>
        <tr r="CB39" s="1"/>
      </tp>
      <tp t="s">
        <v>EUR</v>
        <stp/>
        <stp>##V3_BVIEW</stp>
        <stp>[XSLP -Swap Line Pricer.xlsm]Swaps!R36C80</stp>
        <stp>FXFL 1033483</stp>
        <stp>CsaCollateralCurrency</stp>
        <stp>headers=false</stp>
        <tr r="CB36" s="1"/>
        <tr r="CB36" s="1"/>
      </tp>
      <tp t="s">
        <v>EUR</v>
        <stp/>
        <stp>##V3_BVIEW</stp>
        <stp>[XSLP -Swap Line Pricer.xlsm]Swaps!R37C80</stp>
        <stp>FXFL 1033483</stp>
        <stp>CsaCollateralCurrency</stp>
        <stp>headers=false</stp>
        <tr r="CB37" s="1"/>
        <tr r="CB37" s="1"/>
      </tp>
      <tp t="s">
        <v>EUR</v>
        <stp/>
        <stp>##V3_BVIEW</stp>
        <stp>[XSLP -Swap Line Pricer.xlsm]Swaps!R34C80</stp>
        <stp>FXFL 1033483</stp>
        <stp>CsaCollateralCurrency</stp>
        <stp>headers=false</stp>
        <tr r="CB34" s="1"/>
        <tr r="CB34" s="1"/>
      </tp>
      <tp t="s">
        <v>EUR</v>
        <stp/>
        <stp>##V3_BVIEW</stp>
        <stp>[XSLP -Swap Line Pricer.xlsm]Swaps!R35C80</stp>
        <stp>FXFL 1033483</stp>
        <stp>CsaCollateralCurrency</stp>
        <stp>headers=false</stp>
        <tr r="CB35" s="1"/>
        <tr r="CB35" s="1"/>
      </tp>
      <tp t="s">
        <v>EUR006M</v>
        <stp/>
        <stp>##V3_BVIEW</stp>
        <stp>[XSLP -Swap Line Pricer.xlsm]Swaps!R25C72</stp>
        <stp>FXFL 64474</stp>
        <stp>Leg[2].FloatingIndex</stp>
        <stp>headers=false</stp>
        <tr r="BT25" s="1"/>
        <tr r="BT25" s="1"/>
      </tp>
      <tp t="s">
        <v>ACT/360</v>
        <stp/>
        <stp>##V3_BVIEW</stp>
        <stp>[XSLP -Swap Line Pricer.xlsm]Swaps!R20C74</stp>
        <stp>FXFL 938373</stp>
        <stp>Leg[2].DayCount</stp>
        <stp>headers=false</stp>
        <tr r="BV20" s="1"/>
        <tr r="BV20" s="1"/>
      </tp>
      <tp t="s">
        <v>30U/360</v>
        <stp/>
        <stp>##V3_BVIEW</stp>
        <stp>[XSLP -Swap Line Pricer.xlsm]Swaps!R23C63</stp>
        <stp>FXFL 729164</stp>
        <stp>Leg[1].DayCount</stp>
        <stp>headers=false</stp>
        <tr r="BK23" s="1"/>
        <tr r="BK23" s="1"/>
      </tp>
      <tp t="s">
        <v>ACT/360</v>
        <stp/>
        <stp>##V3_BVIEW</stp>
        <stp>[XSLP -Swap Line Pricer.xlsm]Swaps!R26C74</stp>
        <stp>FXFL 927343</stp>
        <stp>Leg[2].DayCount</stp>
        <stp>headers=false</stp>
        <tr r="BV26" s="1"/>
        <tr r="BV26" s="1"/>
      </tp>
      <tp>
        <v>309.85992267835593</v>
        <stp/>
        <stp>##V3_BVIEW</stp>
        <stp>[XSLP -Swap Line Pricer.xlsm]Swaps!R22C3</stp>
        <stp>PRICE FXFL 989515</stp>
        <stp>Dv01</stp>
        <stp>headers=false</stp>
        <tr r="C22" s="1"/>
      </tp>
      <tp>
        <v>203.92521305407718</v>
        <stp/>
        <stp>##V3_BVIEW</stp>
        <stp>[XSLP -Swap Line Pricer.xlsm]Swaps!R21C3</stp>
        <stp>PRICE FXFL 309575</stp>
        <stp>Dv01</stp>
        <stp>headers=false</stp>
        <tr r="C21" s="1"/>
      </tp>
      <tp>
        <v>302.39803415353953</v>
        <stp/>
        <stp>##V3_BVIEW</stp>
        <stp>[XSLP -Swap Line Pricer.xlsm]Swaps!R22C4</stp>
        <stp>PRICE FXFL 989515</stp>
        <stp>Pv01</stp>
        <stp>headers=false</stp>
        <tr r="D22" s="1"/>
      </tp>
      <tp>
        <v>201.18910395615717</v>
        <stp/>
        <stp>##V3_BVIEW</stp>
        <stp>[XSLP -Swap Line Pricer.xlsm]Swaps!R21C4</stp>
        <stp>PRICE FXFL 309575</stp>
        <stp>Pv01</stp>
        <stp>headers=false</stp>
        <tr r="D21" s="1"/>
      </tp>
      <tp t="s">
        <v>#N/A Invalid object ID</v>
        <stp/>
        <stp>##V3_BVIEW</stp>
        <stp>[XSLP -Swap Line Pricer.xlsm]Swaptions!R36C116</stp>
        <stp/>
        <stp>YieldOfPremium</stp>
        <stp>headers=false</stp>
        <tr r="DL36" s="5"/>
      </tp>
      <tp t="s">
        <v>#N/A Invalid object ID</v>
        <stp/>
        <stp>##V3_BVIEW</stp>
        <stp>[XSLP -Swap Line Pricer.xlsm]Swaptions!R26C116</stp>
        <stp/>
        <stp>YieldOfPremium</stp>
        <stp>headers=false</stp>
        <tr r="DL26" s="5"/>
      </tp>
      <tp>
        <v>1930.2217437186969</v>
        <stp/>
        <stp>##V3_BVIEW</stp>
        <stp>[XSLP -Swap Line Pricer.xlsm]Swaps!R31C3</stp>
        <stp>PRICE FXFL 328876</stp>
        <stp>Dv01</stp>
        <stp>headers=false</stp>
        <tr r="C31" s="1"/>
      </tp>
      <tp>
        <v>733.15013374109844</v>
        <stp/>
        <stp>##V3_BVIEW</stp>
        <stp>[XSLP -Swap Line Pricer.xlsm]Swaps!R26C3</stp>
        <stp>PRICE FXFL 618953</stp>
        <stp>Dv01</stp>
        <stp>headers=false</stp>
        <tr r="C26" s="1"/>
      </tp>
      <tp t="s">
        <v>#N/A Invalid object ID</v>
        <stp/>
        <stp>##V3_BVIEW</stp>
        <stp>[XSLP -Swap Line Pricer.xlsm]Swaptions!R37C116</stp>
        <stp/>
        <stp>YieldOfPremium</stp>
        <stp>headers=false</stp>
        <tr r="DL37" s="5"/>
      </tp>
      <tp t="s">
        <v>#N/A Invalid object ID</v>
        <stp/>
        <stp>##V3_BVIEW</stp>
        <stp>[XSLP -Swap Line Pricer.xlsm]Swaptions!R27C116</stp>
        <stp/>
        <stp>YieldOfPremium</stp>
        <stp>headers=false</stp>
        <tr r="DL27" s="5"/>
      </tp>
      <tp>
        <v>707.79515791303663</v>
        <stp/>
        <stp>##V3_BVIEW</stp>
        <stp>[XSLP -Swap Line Pricer.xlsm]Swaps!R26C4</stp>
        <stp>PRICE FXFL 618953</stp>
        <stp>Pv01</stp>
        <stp>headers=false</stp>
        <tr r="D26" s="1"/>
      </tp>
      <tp>
        <v>1914.3595833234833</v>
        <stp/>
        <stp>##V3_BVIEW</stp>
        <stp>[XSLP -Swap Line Pricer.xlsm]Swaps!R31C4</stp>
        <stp>PRICE FXFL 328876</stp>
        <stp>Pv01</stp>
        <stp>headers=false</stp>
        <tr r="D31" s="1"/>
      </tp>
      <tp t="s">
        <v>Pay</v>
        <stp/>
        <stp>##V3_BVIEW</stp>
        <stp>[XSLP -Swap Line Pricer.xlsm]Swaps!R25C67</stp>
        <stp>FXFL 64474</stp>
        <stp>Leg[2].PayoffSide</stp>
        <stp>headers=false</stp>
        <tr r="BO25" s="1"/>
        <tr r="BO25" s="1"/>
      </tp>
      <tp t="s">
        <v>#N/A Invalid object ID</v>
        <stp/>
        <stp>##V3_BVIEW</stp>
        <stp>[XSLP -Swap Line Pricer.xlsm]Swaptions!R34C116</stp>
        <stp/>
        <stp>YieldOfPremium</stp>
        <stp>headers=false</stp>
        <tr r="DL34" s="5"/>
      </tp>
      <tp t="s">
        <v>#N/A Invalid object ID</v>
        <stp/>
        <stp>##V3_BVIEW</stp>
        <stp>[XSLP -Swap Line Pricer.xlsm]Swaptions!R24C116</stp>
        <stp/>
        <stp>YieldOfPremium</stp>
        <stp>headers=false</stp>
        <tr r="DL24" s="5"/>
      </tp>
      <tp t="s">
        <v>Receive</v>
        <stp/>
        <stp>##V3_BVIEW</stp>
        <stp>[XSLP -Swap Line Pricer.xlsm]Swaps!R25C56</stp>
        <stp>FXFL 64474</stp>
        <stp>Leg[1].PayoffSide</stp>
        <stp>headers=false</stp>
        <tr r="BD25" s="1"/>
        <tr r="BD25" s="1"/>
      </tp>
      <tp>
        <v>44482</v>
        <stp/>
        <stp>##V3_BVIEW</stp>
        <stp>[XSLP -Swap Line Pricer.xlsm]Swaps!R36C54</stp>
        <stp>FXFL 1033483</stp>
        <stp>MaturityDate</stp>
        <stp>headers=false</stp>
        <tr r="BB36" s="1"/>
        <tr r="BB36" s="1"/>
      </tp>
      <tp>
        <v>44482</v>
        <stp/>
        <stp>##V3_BVIEW</stp>
        <stp>[XSLP -Swap Line Pricer.xlsm]Swaps!R37C54</stp>
        <stp>FXFL 1033483</stp>
        <stp>MaturityDate</stp>
        <stp>headers=false</stp>
        <tr r="BB37" s="1"/>
        <tr r="BB37" s="1"/>
      </tp>
      <tp>
        <v>44482</v>
        <stp/>
        <stp>##V3_BVIEW</stp>
        <stp>[XSLP -Swap Line Pricer.xlsm]Swaps!R34C54</stp>
        <stp>FXFL 1033483</stp>
        <stp>MaturityDate</stp>
        <stp>headers=false</stp>
        <tr r="BB34" s="1"/>
        <tr r="BB34" s="1"/>
      </tp>
      <tp>
        <v>44482</v>
        <stp/>
        <stp>##V3_BVIEW</stp>
        <stp>[XSLP -Swap Line Pricer.xlsm]Swaps!R35C54</stp>
        <stp>FXFL 1033483</stp>
        <stp>MaturityDate</stp>
        <stp>headers=false</stp>
        <tr r="BB35" s="1"/>
        <tr r="BB35" s="1"/>
      </tp>
      <tp>
        <v>44482</v>
        <stp/>
        <stp>##V3_BVIEW</stp>
        <stp>[XSLP -Swap Line Pricer.xlsm]Swaps!R38C54</stp>
        <stp>FXFL 1033483</stp>
        <stp>MaturityDate</stp>
        <stp>headers=false</stp>
        <tr r="BB38" s="1"/>
        <tr r="BB38" s="1"/>
      </tp>
      <tp>
        <v>44482</v>
        <stp/>
        <stp>##V3_BVIEW</stp>
        <stp>[XSLP -Swap Line Pricer.xlsm]Swaps!R39C54</stp>
        <stp>FXFL 1033483</stp>
        <stp>MaturityDate</stp>
        <stp>headers=false</stp>
        <tr r="BB39" s="1"/>
        <tr r="BB39" s="1"/>
      </tp>
      <tp t="s">
        <v>#N/A Invalid object ID</v>
        <stp/>
        <stp>##V3_BVIEW</stp>
        <stp>[XSLP -Swap Line Pricer.xlsm]Swaptions!R35C116</stp>
        <stp/>
        <stp>YieldOfPremium</stp>
        <stp>headers=false</stp>
        <tr r="DL35" s="5"/>
      </tp>
      <tp t="s">
        <v>#N/A Invalid object ID</v>
        <stp/>
        <stp>##V3_BVIEW</stp>
        <stp>[XSLP -Swap Line Pricer.xlsm]Swaptions!R25C116</stp>
        <stp/>
        <stp>YieldOfPremium</stp>
        <stp>headers=false</stp>
        <tr r="DL25" s="5"/>
      </tp>
      <tp t="s">
        <v>Name{%s},SolveTarget{%s},Default Setting{%s},Description{%s};DiscountCurve[EUR]{%s},FALSE{%s},S133:Mid:DFLT:EUR OIS{%s},{%s};ForwardCurve[EUR006M]{%s},FALSE{%s},S45:Mid:DFLT:EUR (vs. 6M EURIBOR){%s},{%s}##BCURVE_RS##</v>
        <stp/>
        <stp>##V3_BMARKETPARAMV12</stp>
        <stp>[XSLP -Swap Line Pricer.xlsm]Swaps!R36C82</stp>
        <stp>FXFL 1033483</stp>
        <stp>array=true</stp>
        <tr r="CD36" s="1"/>
      </tp>
      <tp t="s">
        <v>Name{%s},SolveTarget{%s},Default Setting{%s},Description{%s};DiscountCurve[EUR]{%s},FALSE{%s},S133:Mid:DFLT:EUR OIS{%s},{%s};ForwardCurve[EUR006M]{%s},FALSE{%s},S45:Mid:DFLT:EUR (vs. 6M EURIBOR){%s},{%s}##BCURVE_RS##</v>
        <stp/>
        <stp>##V3_BMARKETPARAMV12</stp>
        <stp>[XSLP -Swap Line Pricer.xlsm]Swaps!R37C82</stp>
        <stp>FXFL 1033483</stp>
        <stp>array=true</stp>
        <tr r="CD37" s="1"/>
      </tp>
      <tp t="s">
        <v>Name{%s},SolveTarget{%s},Default Setting{%s},Description{%s};DiscountCurve[EUR]{%s},FALSE{%s},S133:Mid:DFLT:EUR OIS{%s},{%s};ForwardCurve[EUR006M]{%s},FALSE{%s},S45:Mid:DFLT:EUR (vs. 6M EURIBOR){%s},{%s}##BCURVE_RS##</v>
        <stp/>
        <stp>##V3_BMARKETPARAMV12</stp>
        <stp>[XSLP -Swap Line Pricer.xlsm]Swaps!R34C82</stp>
        <stp>FXFL 1033483</stp>
        <stp>array=true</stp>
        <tr r="CD34" s="1"/>
      </tp>
      <tp t="s">
        <v>Name{%s},SolveTarget{%s},Default Setting{%s},Description{%s};DiscountCurve[EUR]{%s},FALSE{%s},S133:Mid:DFLT:EUR OIS{%s},{%s};ForwardCurve[EUR006M]{%s},FALSE{%s},S45:Mid:DFLT:EUR (vs. 6M EURIBOR){%s},{%s}##BCURVE_RS##</v>
        <stp/>
        <stp>##V3_BMARKETPARAMV12</stp>
        <stp>[XSLP -Swap Line Pricer.xlsm]Swaps!R35C82</stp>
        <stp>FXFL 1033483</stp>
        <stp>array=true</stp>
        <tr r="CD35" s="1"/>
      </tp>
      <tp t="s">
        <v>Name{%s},SolveTarget{%s},Default Setting{%s},Description{%s};DiscountCurve[EUR]{%s},FALSE{%s},S133:Mid:DFLT:EUR OIS{%s},{%s};ForwardCurve[EUR006M]{%s},FALSE{%s},S45:Mid:DFLT:EUR (vs. 6M EURIBOR){%s},{%s}##BCURVE_RS##</v>
        <stp/>
        <stp>##V3_BMARKETPARAMV12</stp>
        <stp>[XSLP -Swap Line Pricer.xlsm]Swaps!R38C82</stp>
        <stp>FXFL 1033483</stp>
        <stp>array=true</stp>
        <tr r="CD38" s="1"/>
      </tp>
      <tp t="s">
        <v>Name{%s},SolveTarget{%s},Default Setting{%s},Description{%s};DiscountCurve[EUR]{%s},FALSE{%s},S133:Mid:DFLT:EUR OIS{%s},{%s};ForwardCurve[EUR006M]{%s},FALSE{%s},S45:Mid:DFLT:EUR (vs. 6M EURIBOR){%s},{%s}##BCURVE_RS##</v>
        <stp/>
        <stp>##V3_BMARKETPARAMV12</stp>
        <stp>[XSLP -Swap Line Pricer.xlsm]Swaps!R39C82</stp>
        <stp>FXFL 1033483</stp>
        <stp>array=true</stp>
        <tr r="CD39" s="1"/>
      </tp>
      <tp t="s">
        <v>Name{%s},SolveTarget{%s},Default Setting{%s},Description{%s};DiscountCurve[EUR]{%s},FALSE{%s},S133:Mid:DFLT:EUR OIS{%s},{%s};ForwardCurve[EUR006M]{%s},FALSE{%s},S45:Mid:DFLT:EUR (vs. 6M EURIBOR){%s},{%s}##BCURVE_RS##</v>
        <stp/>
        <stp>##V3_BMARKETPARAMV12</stp>
        <stp>[XSLP -Swap Line Pricer.xlsm]Swaps!R36C83</stp>
        <stp>FXFL 1033483</stp>
        <stp>array=true</stp>
        <tr r="CE36" s="1"/>
      </tp>
      <tp t="s">
        <v>Name{%s},SolveTarget{%s},Default Setting{%s},Description{%s};DiscountCurve[EUR]{%s},FALSE{%s},S133:Mid:DFLT:EUR OIS{%s},{%s};ForwardCurve[EUR006M]{%s},FALSE{%s},S45:Mid:DFLT:EUR (vs. 6M EURIBOR){%s},{%s}##BCURVE_RS##</v>
        <stp/>
        <stp>##V3_BMARKETPARAMV12</stp>
        <stp>[XSLP -Swap Line Pricer.xlsm]Swaps!R37C83</stp>
        <stp>FXFL 1033483</stp>
        <stp>array=true</stp>
        <tr r="CE37" s="1"/>
      </tp>
      <tp t="s">
        <v>Name{%s},SolveTarget{%s},Default Setting{%s},Description{%s};DiscountCurve[EUR]{%s},FALSE{%s},S133:Mid:DFLT:EUR OIS{%s},{%s};ForwardCurve[EUR006M]{%s},FALSE{%s},S45:Mid:DFLT:EUR (vs. 6M EURIBOR){%s},{%s}##BCURVE_RS##</v>
        <stp/>
        <stp>##V3_BMARKETPARAMV12</stp>
        <stp>[XSLP -Swap Line Pricer.xlsm]Swaps!R34C83</stp>
        <stp>FXFL 1033483</stp>
        <stp>array=true</stp>
        <tr r="CE34" s="1"/>
      </tp>
      <tp t="s">
        <v>Name{%s},SolveTarget{%s},Default Setting{%s},Description{%s};DiscountCurve[EUR]{%s},FALSE{%s},S133:Mid:DFLT:EUR OIS{%s},{%s};ForwardCurve[EUR006M]{%s},FALSE{%s},S45:Mid:DFLT:EUR (vs. 6M EURIBOR){%s},{%s}##BCURVE_RS##</v>
        <stp/>
        <stp>##V3_BMARKETPARAMV12</stp>
        <stp>[XSLP -Swap Line Pricer.xlsm]Swaps!R35C83</stp>
        <stp>FXFL 1033483</stp>
        <stp>array=true</stp>
        <tr r="CE35" s="1"/>
      </tp>
      <tp t="s">
        <v>Name{%s},SolveTarget{%s},Default Setting{%s},Description{%s};DiscountCurve[EUR]{%s},FALSE{%s},S133:Mid:DFLT:EUR OIS{%s},{%s};ForwardCurve[EUR006M]{%s},FALSE{%s},S45:Mid:DFLT:EUR (vs. 6M EURIBOR){%s},{%s}##BCURVE_RS##</v>
        <stp/>
        <stp>##V3_BMARKETPARAMV12</stp>
        <stp>[XSLP -Swap Line Pricer.xlsm]Swaps!R38C83</stp>
        <stp>FXFL 1033483</stp>
        <stp>array=true</stp>
        <tr r="CE38" s="1"/>
      </tp>
      <tp t="s">
        <v>Name{%s},SolveTarget{%s},Default Setting{%s},Description{%s};DiscountCurve[EUR]{%s},FALSE{%s},S133:Mid:DFLT:EUR OIS{%s},{%s};ForwardCurve[EUR006M]{%s},FALSE{%s},S45:Mid:DFLT:EUR (vs. 6M EURIBOR){%s},{%s}##BCURVE_RS##</v>
        <stp/>
        <stp>##V3_BMARKETPARAMV12</stp>
        <stp>[XSLP -Swap Line Pricer.xlsm]Swaps!R39C83</stp>
        <stp>FXFL 1033483</stp>
        <stp>array=true</stp>
        <tr r="CE39" s="1"/>
      </tp>
      <tp t="s">
        <v>Name{%s},SolveTarget{%s},Default Setting{%s},Description{%s};DiscountCurve[EUR]{%s},FALSE{%s},S133:Mid:DFLT:EUR OIS{%s},{%s};ForwardCurve[EUR006M]{%s},FALSE{%s},S45:Mid:DFLT:EUR (vs. 6M EURIBOR){%s},{%s}##BCURVE_RS##</v>
        <stp/>
        <stp>##V3_BMARKETPARAMV12</stp>
        <stp>[XSLP -Swap Line Pricer.xlsm]Swaps!R36C84</stp>
        <stp>FXFL 1033483</stp>
        <stp>array=true</stp>
        <tr r="CF36" s="1"/>
      </tp>
      <tp t="s">
        <v>Name{%s},SolveTarget{%s},Default Setting{%s},Description{%s};DiscountCurve[EUR]{%s},FALSE{%s},S133:Mid:DFLT:EUR OIS{%s},{%s};ForwardCurve[EUR006M]{%s},FALSE{%s},S45:Mid:DFLT:EUR (vs. 6M EURIBOR){%s},{%s}##BCURVE_RS##</v>
        <stp/>
        <stp>##V3_BMARKETPARAMV12</stp>
        <stp>[XSLP -Swap Line Pricer.xlsm]Swaps!R37C84</stp>
        <stp>FXFL 1033483</stp>
        <stp>array=true</stp>
        <tr r="CF37" s="1"/>
      </tp>
      <tp t="s">
        <v>Name{%s},SolveTarget{%s},Default Setting{%s},Description{%s};DiscountCurve[EUR]{%s},FALSE{%s},S133:Mid:DFLT:EUR OIS{%s},{%s};ForwardCurve[EUR006M]{%s},FALSE{%s},S45:Mid:DFLT:EUR (vs. 6M EURIBOR){%s},{%s}##BCURVE_RS##</v>
        <stp/>
        <stp>##V3_BMARKETPARAMV12</stp>
        <stp>[XSLP -Swap Line Pricer.xlsm]Swaps!R34C84</stp>
        <stp>FXFL 1033483</stp>
        <stp>array=true</stp>
        <tr r="CF34" s="1"/>
      </tp>
      <tp t="s">
        <v>Name{%s},SolveTarget{%s},Default Setting{%s},Description{%s};DiscountCurve[EUR]{%s},FALSE{%s},S133:Mid:DFLT:EUR OIS{%s},{%s};ForwardCurve[EUR006M]{%s},FALSE{%s},S45:Mid:DFLT:EUR (vs. 6M EURIBOR){%s},{%s}##BCURVE_RS##</v>
        <stp/>
        <stp>##V3_BMARKETPARAMV12</stp>
        <stp>[XSLP -Swap Line Pricer.xlsm]Swaps!R35C84</stp>
        <stp>FXFL 1033483</stp>
        <stp>array=true</stp>
        <tr r="CF35" s="1"/>
      </tp>
      <tp t="s">
        <v>Name{%s},SolveTarget{%s},Default Setting{%s},Description{%s};DiscountCurve[EUR]{%s},FALSE{%s},S133:Mid:DFLT:EUR OIS{%s},{%s};ForwardCurve[EUR006M]{%s},FALSE{%s},S45:Mid:DFLT:EUR (vs. 6M EURIBOR){%s},{%s}##BCURVE_RS##</v>
        <stp/>
        <stp>##V3_BMARKETPARAMV12</stp>
        <stp>[XSLP -Swap Line Pricer.xlsm]Swaps!R38C84</stp>
        <stp>FXFL 1033483</stp>
        <stp>array=true</stp>
        <tr r="CF38" s="1"/>
      </tp>
      <tp t="s">
        <v>Name{%s},SolveTarget{%s},Default Setting{%s},Description{%s};DiscountCurve[EUR]{%s},FALSE{%s},S133:Mid:DFLT:EUR OIS{%s},{%s};ForwardCurve[EUR006M]{%s},FALSE{%s},S45:Mid:DFLT:EUR (vs. 6M EURIBOR){%s},{%s}##BCURVE_RS##</v>
        <stp/>
        <stp>##V3_BMARKETPARAMV12</stp>
        <stp>[XSLP -Swap Line Pricer.xlsm]Swaps!R39C84</stp>
        <stp>FXFL 1033483</stp>
        <stp>array=true</stp>
        <tr r="CF39" s="1"/>
      </tp>
      <tp t="s">
        <v>Name{%s},SolveTarget{%s},Default Setting{%s},Description{%s};DiscountCurve[EUR]{%s},FALSE{%s},S133:Mid:DFLT:EUR OIS{%s},{%s};ForwardCurve[EUR006M]{%s},FALSE{%s},S45:Mid:DFLT:EUR (vs. 6M EURIBOR){%s},{%s}##BCURVE_RS##</v>
        <stp/>
        <stp>##V3_BMARKETPARAMV12</stp>
        <stp>[XSLP -Swap Line Pricer.xlsm]Swaps!R36C85</stp>
        <stp>FXFL 1033483</stp>
        <stp>array=true</stp>
        <tr r="CG36" s="1"/>
      </tp>
      <tp t="s">
        <v>Name{%s},SolveTarget{%s},Default Setting{%s},Description{%s};DiscountCurve[EUR]{%s},FALSE{%s},S133:Mid:DFLT:EUR OIS{%s},{%s};ForwardCurve[EUR006M]{%s},FALSE{%s},S45:Mid:DFLT:EUR (vs. 6M EURIBOR){%s},{%s}##BCURVE_RS##</v>
        <stp/>
        <stp>##V3_BMARKETPARAMV12</stp>
        <stp>[XSLP -Swap Line Pricer.xlsm]Swaps!R37C85</stp>
        <stp>FXFL 1033483</stp>
        <stp>array=true</stp>
        <tr r="CG37" s="1"/>
      </tp>
      <tp t="s">
        <v>Name{%s},SolveTarget{%s},Default Setting{%s},Description{%s};DiscountCurve[EUR]{%s},FALSE{%s},S133:Mid:DFLT:EUR OIS{%s},{%s};ForwardCurve[EUR006M]{%s},FALSE{%s},S45:Mid:DFLT:EUR (vs. 6M EURIBOR){%s},{%s}##BCURVE_RS##</v>
        <stp/>
        <stp>##V3_BMARKETPARAMV12</stp>
        <stp>[XSLP -Swap Line Pricer.xlsm]Swaps!R34C85</stp>
        <stp>FXFL 1033483</stp>
        <stp>array=true</stp>
        <tr r="CG34" s="1"/>
      </tp>
      <tp t="s">
        <v>Name{%s},SolveTarget{%s},Default Setting{%s},Description{%s};DiscountCurve[EUR]{%s},FALSE{%s},S133:Mid:DFLT:EUR OIS{%s},{%s};ForwardCurve[EUR006M]{%s},FALSE{%s},S45:Mid:DFLT:EUR (vs. 6M EURIBOR){%s},{%s}##BCURVE_RS##</v>
        <stp/>
        <stp>##V3_BMARKETPARAMV12</stp>
        <stp>[XSLP -Swap Line Pricer.xlsm]Swaps!R35C85</stp>
        <stp>FXFL 1033483</stp>
        <stp>array=true</stp>
        <tr r="CG35" s="1"/>
      </tp>
      <tp t="s">
        <v>Name{%s},SolveTarget{%s},Default Setting{%s},Description{%s};DiscountCurve[EUR]{%s},FALSE{%s},S133:Mid:DFLT:EUR OIS{%s},{%s};ForwardCurve[EUR006M]{%s},FALSE{%s},S45:Mid:DFLT:EUR (vs. 6M EURIBOR){%s},{%s}##BCURVE_RS##</v>
        <stp/>
        <stp>##V3_BMARKETPARAMV12</stp>
        <stp>[XSLP -Swap Line Pricer.xlsm]Swaps!R38C85</stp>
        <stp>FXFL 1033483</stp>
        <stp>array=true</stp>
        <tr r="CG38" s="1"/>
      </tp>
      <tp t="s">
        <v>Name{%s},SolveTarget{%s},Default Setting{%s},Description{%s};DiscountCurve[EUR]{%s},FALSE{%s},S133:Mid:DFLT:EUR OIS{%s},{%s};ForwardCurve[EUR006M]{%s},FALSE{%s},S45:Mid:DFLT:EUR (vs. 6M EURIBOR){%s},{%s}##BCURVE_RS##</v>
        <stp/>
        <stp>##V3_BMARKETPARAMV12</stp>
        <stp>[XSLP -Swap Line Pricer.xlsm]Swaps!R39C85</stp>
        <stp>FXFL 1033483</stp>
        <stp>array=true</stp>
        <tr r="CG39" s="1"/>
      </tp>
      <tp t="s">
        <v>Name{%s},SolveTarget{%s},Default Setting{%s},Description{%s};DiscountCurve[EUR]{%s},FALSE{%s},S133:Mid:DFLT:EUR OIS{%s},{%s};ForwardCurve[EUR006M]{%s},FALSE{%s},S45:Mid:DFLT:EUR (vs. 6M EURIBOR){%s},{%s}##BCURVE_RS##</v>
        <stp/>
        <stp>##V3_BMARKETPARAMV12</stp>
        <stp>[XSLP -Swap Line Pricer.xlsm]Swaps!R36C86</stp>
        <stp>FXFL 1033483</stp>
        <stp>array=true</stp>
        <tr r="CH36" s="1"/>
      </tp>
      <tp t="s">
        <v>Name{%s},SolveTarget{%s},Default Setting{%s},Description{%s};DiscountCurve[EUR]{%s},FALSE{%s},S133:Mid:DFLT:EUR OIS{%s},{%s};ForwardCurve[EUR006M]{%s},FALSE{%s},S45:Mid:DFLT:EUR (vs. 6M EURIBOR){%s},{%s}##BCURVE_RS##</v>
        <stp/>
        <stp>##V3_BMARKETPARAMV12</stp>
        <stp>[XSLP -Swap Line Pricer.xlsm]Swaps!R37C86</stp>
        <stp>FXFL 1033483</stp>
        <stp>array=true</stp>
        <tr r="CH37" s="1"/>
      </tp>
      <tp t="s">
        <v>Name{%s},SolveTarget{%s},Default Setting{%s},Description{%s};DiscountCurve[EUR]{%s},FALSE{%s},S133:Mid:DFLT:EUR OIS{%s},{%s};ForwardCurve[EUR006M]{%s},FALSE{%s},S45:Mid:DFLT:EUR (vs. 6M EURIBOR){%s},{%s}##BCURVE_RS##</v>
        <stp/>
        <stp>##V3_BMARKETPARAMV12</stp>
        <stp>[XSLP -Swap Line Pricer.xlsm]Swaps!R34C86</stp>
        <stp>FXFL 1033483</stp>
        <stp>array=true</stp>
        <tr r="CH34" s="1"/>
      </tp>
      <tp t="s">
        <v>Name{%s},SolveTarget{%s},Default Setting{%s},Description{%s};DiscountCurve[EUR]{%s},FALSE{%s},S133:Mid:DFLT:EUR OIS{%s},{%s};ForwardCurve[EUR006M]{%s},FALSE{%s},S45:Mid:DFLT:EUR (vs. 6M EURIBOR){%s},{%s}##BCURVE_RS##</v>
        <stp/>
        <stp>##V3_BMARKETPARAMV12</stp>
        <stp>[XSLP -Swap Line Pricer.xlsm]Swaps!R35C86</stp>
        <stp>FXFL 1033483</stp>
        <stp>array=true</stp>
        <tr r="CH35" s="1"/>
      </tp>
      <tp t="s">
        <v>Name{%s},SolveTarget{%s},Default Setting{%s},Description{%s};DiscountCurve[EUR]{%s},FALSE{%s},S133:Mid:DFLT:EUR OIS{%s},{%s};ForwardCurve[EUR006M]{%s},FALSE{%s},S45:Mid:DFLT:EUR (vs. 6M EURIBOR){%s},{%s}##BCURVE_RS##</v>
        <stp/>
        <stp>##V3_BMARKETPARAMV12</stp>
        <stp>[XSLP -Swap Line Pricer.xlsm]Swaps!R38C86</stp>
        <stp>FXFL 1033483</stp>
        <stp>array=true</stp>
        <tr r="CH38" s="1"/>
      </tp>
      <tp t="s">
        <v>Name{%s},SolveTarget{%s},Default Setting{%s},Description{%s};DiscountCurve[EUR]{%s},FALSE{%s},S133:Mid:DFLT:EUR OIS{%s},{%s};ForwardCurve[EUR006M]{%s},FALSE{%s},S45:Mid:DFLT:EUR (vs. 6M EURIBOR){%s},{%s}##BCURVE_RS##</v>
        <stp/>
        <stp>##V3_BMARKETPARAMV12</stp>
        <stp>[XSLP -Swap Line Pricer.xlsm]Swaps!R39C86</stp>
        <stp>FXFL 1033483</stp>
        <stp>array=true</stp>
        <tr r="CH39" s="1"/>
      </tp>
      <tp t="s">
        <v>Name{%s},SolveTarget{%s},Default Setting{%s},Description{%s};DiscountCurve[EUR]{%s},FALSE{%s},S133:Mid:DFLT:EUR OIS{%s},{%s};ForwardCurve[EUR006M]{%s},FALSE{%s},S45:Mid:DFLT:EUR (vs. 6M EURIBOR){%s},{%s}##BCURVE_RS##</v>
        <stp/>
        <stp>##V3_BMARKETPARAMV12</stp>
        <stp>[XSLP -Swap Line Pricer.xlsm]Swaps!R36C87</stp>
        <stp>FXFL 1033483</stp>
        <stp>array=true</stp>
        <tr r="CI36" s="1"/>
      </tp>
      <tp t="s">
        <v>Name{%s},SolveTarget{%s},Default Setting{%s},Description{%s};DiscountCurve[EUR]{%s},FALSE{%s},S133:Mid:DFLT:EUR OIS{%s},{%s};ForwardCurve[EUR006M]{%s},FALSE{%s},S45:Mid:DFLT:EUR (vs. 6M EURIBOR){%s},{%s}##BCURVE_RS##</v>
        <stp/>
        <stp>##V3_BMARKETPARAMV12</stp>
        <stp>[XSLP -Swap Line Pricer.xlsm]Swaps!R37C87</stp>
        <stp>FXFL 1033483</stp>
        <stp>array=true</stp>
        <tr r="CI37" s="1"/>
      </tp>
      <tp t="s">
        <v>Name{%s},SolveTarget{%s},Default Setting{%s},Description{%s};DiscountCurve[EUR]{%s},FALSE{%s},S133:Mid:DFLT:EUR OIS{%s},{%s};ForwardCurve[EUR006M]{%s},FALSE{%s},S45:Mid:DFLT:EUR (vs. 6M EURIBOR){%s},{%s}##BCURVE_RS##</v>
        <stp/>
        <stp>##V3_BMARKETPARAMV12</stp>
        <stp>[XSLP -Swap Line Pricer.xlsm]Swaps!R34C87</stp>
        <stp>FXFL 1033483</stp>
        <stp>array=true</stp>
        <tr r="CI34" s="1"/>
      </tp>
      <tp t="s">
        <v>Name{%s},SolveTarget{%s},Default Setting{%s},Description{%s};DiscountCurve[EUR]{%s},FALSE{%s},S133:Mid:DFLT:EUR OIS{%s},{%s};ForwardCurve[EUR006M]{%s},FALSE{%s},S45:Mid:DFLT:EUR (vs. 6M EURIBOR){%s},{%s}##BCURVE_RS##</v>
        <stp/>
        <stp>##V3_BMARKETPARAMV12</stp>
        <stp>[XSLP -Swap Line Pricer.xlsm]Swaps!R35C87</stp>
        <stp>FXFL 1033483</stp>
        <stp>array=true</stp>
        <tr r="CI35" s="1"/>
      </tp>
      <tp t="s">
        <v>Name{%s},SolveTarget{%s},Default Setting{%s},Description{%s};DiscountCurve[EUR]{%s},FALSE{%s},S133:Mid:DFLT:EUR OIS{%s},{%s};ForwardCurve[EUR006M]{%s},FALSE{%s},S45:Mid:DFLT:EUR (vs. 6M EURIBOR){%s},{%s}##BCURVE_RS##</v>
        <stp/>
        <stp>##V3_BMARKETPARAMV12</stp>
        <stp>[XSLP -Swap Line Pricer.xlsm]Swaps!R38C87</stp>
        <stp>FXFL 1033483</stp>
        <stp>array=true</stp>
        <tr r="CI38" s="1"/>
      </tp>
      <tp t="s">
        <v>Name{%s},SolveTarget{%s},Default Setting{%s},Description{%s};DiscountCurve[EUR]{%s},FALSE{%s},S133:Mid:DFLT:EUR OIS{%s},{%s};ForwardCurve[EUR006M]{%s},FALSE{%s},S45:Mid:DFLT:EUR (vs. 6M EURIBOR){%s},{%s}##BCURVE_RS##</v>
        <stp/>
        <stp>##V3_BMARKETPARAMV12</stp>
        <stp>[XSLP -Swap Line Pricer.xlsm]Swaps!R39C87</stp>
        <stp>FXFL 1033483</stp>
        <stp>array=true</stp>
        <tr r="CI39" s="1"/>
      </tp>
      <tp t="s">
        <v>Name{%s},SolveTarget{%s},Default Setting{%s},Description{%s};DiscountCurve[EUR]{%s},FALSE{%s},S133:Mid:DFLT:EUR OIS{%s},{%s};ForwardCurve[EUR006M]{%s},FALSE{%s},S45:Mid:DFLT:EUR (vs. 6M EURIBOR){%s},{%s}##BCURVE_RS##</v>
        <stp/>
        <stp>##V3_BMARKETPARAMV12</stp>
        <stp>[XSLP -Swap Line Pricer.xlsm]Swaps!R36C88</stp>
        <stp>FXFL 1033483</stp>
        <stp>array=true</stp>
        <tr r="CJ36" s="1"/>
      </tp>
      <tp t="s">
        <v>Name{%s},SolveTarget{%s},Default Setting{%s},Description{%s};DiscountCurve[EUR]{%s},FALSE{%s},S133:Mid:DFLT:EUR OIS{%s},{%s};ForwardCurve[EUR006M]{%s},FALSE{%s},S45:Mid:DFLT:EUR (vs. 6M EURIBOR){%s},{%s}##BCURVE_RS##</v>
        <stp/>
        <stp>##V3_BMARKETPARAMV12</stp>
        <stp>[XSLP -Swap Line Pricer.xlsm]Swaps!R37C88</stp>
        <stp>FXFL 1033483</stp>
        <stp>array=true</stp>
        <tr r="CJ37" s="1"/>
      </tp>
      <tp t="s">
        <v>Name{%s},SolveTarget{%s},Default Setting{%s},Description{%s};DiscountCurve[EUR]{%s},FALSE{%s},S133:Mid:DFLT:EUR OIS{%s},{%s};ForwardCurve[EUR006M]{%s},FALSE{%s},S45:Mid:DFLT:EUR (vs. 6M EURIBOR){%s},{%s}##BCURVE_RS##</v>
        <stp/>
        <stp>##V3_BMARKETPARAMV12</stp>
        <stp>[XSLP -Swap Line Pricer.xlsm]Swaps!R34C88</stp>
        <stp>FXFL 1033483</stp>
        <stp>array=true</stp>
        <tr r="CJ34" s="1"/>
      </tp>
      <tp t="s">
        <v>Name{%s},SolveTarget{%s},Default Setting{%s},Description{%s};DiscountCurve[EUR]{%s},FALSE{%s},S133:Mid:DFLT:EUR OIS{%s},{%s};ForwardCurve[EUR006M]{%s},FALSE{%s},S45:Mid:DFLT:EUR (vs. 6M EURIBOR){%s},{%s}##BCURVE_RS##</v>
        <stp/>
        <stp>##V3_BMARKETPARAMV12</stp>
        <stp>[XSLP -Swap Line Pricer.xlsm]Swaps!R35C88</stp>
        <stp>FXFL 1033483</stp>
        <stp>array=true</stp>
        <tr r="CJ35" s="1"/>
      </tp>
      <tp t="s">
        <v>Name{%s},SolveTarget{%s},Default Setting{%s},Description{%s};DiscountCurve[EUR]{%s},FALSE{%s},S133:Mid:DFLT:EUR OIS{%s},{%s};ForwardCurve[EUR006M]{%s},FALSE{%s},S45:Mid:DFLT:EUR (vs. 6M EURIBOR){%s},{%s}##BCURVE_RS##</v>
        <stp/>
        <stp>##V3_BMARKETPARAMV12</stp>
        <stp>[XSLP -Swap Line Pricer.xlsm]Swaps!R38C88</stp>
        <stp>FXFL 1033483</stp>
        <stp>array=true</stp>
        <tr r="CJ38" s="1"/>
      </tp>
      <tp t="s">
        <v>Name{%s},SolveTarget{%s},Default Setting{%s},Description{%s};DiscountCurve[EUR]{%s},FALSE{%s},S133:Mid:DFLT:EUR OIS{%s},{%s};ForwardCurve[EUR006M]{%s},FALSE{%s},S45:Mid:DFLT:EUR (vs. 6M EURIBOR){%s},{%s}##BCURVE_RS##</v>
        <stp/>
        <stp>##V3_BMARKETPARAMV12</stp>
        <stp>[XSLP -Swap Line Pricer.xlsm]Swaps!R39C88</stp>
        <stp>FXFL 1033483</stp>
        <stp>array=true</stp>
        <tr r="CJ39" s="1"/>
      </tp>
      <tp t="s">
        <v>Name{%s},SolveTarget{%s},Default Setting{%s},Description{%s};DiscountCurve[EUR]{%s},FALSE{%s},S133:Mid:DFLT:EUR OIS{%s},{%s};ForwardCurve[EUR006M]{%s},FALSE{%s},S45:Mid:DFLT:EUR (vs. 6M EURIBOR){%s},{%s}##BCURVE_RS##</v>
        <stp/>
        <stp>##V3_BMARKETPARAMV12</stp>
        <stp>[XSLP -Swap Line Pricer.xlsm]Swaps!R36C89</stp>
        <stp>FXFL 1033483</stp>
        <stp>array=true</stp>
        <tr r="CK36" s="1"/>
      </tp>
      <tp t="s">
        <v>Name{%s},SolveTarget{%s},Default Setting{%s},Description{%s};DiscountCurve[EUR]{%s},FALSE{%s},S133:Mid:DFLT:EUR OIS{%s},{%s};ForwardCurve[EUR006M]{%s},FALSE{%s},S45:Mid:DFLT:EUR (vs. 6M EURIBOR){%s},{%s}##BCURVE_RS##</v>
        <stp/>
        <stp>##V3_BMARKETPARAMV12</stp>
        <stp>[XSLP -Swap Line Pricer.xlsm]Swaps!R37C89</stp>
        <stp>FXFL 1033483</stp>
        <stp>array=true</stp>
        <tr r="CK37" s="1"/>
      </tp>
      <tp t="s">
        <v>Name{%s},SolveTarget{%s},Default Setting{%s},Description{%s};DiscountCurve[EUR]{%s},FALSE{%s},S133:Mid:DFLT:EUR OIS{%s},{%s};ForwardCurve[EUR006M]{%s},FALSE{%s},S45:Mid:DFLT:EUR (vs. 6M EURIBOR){%s},{%s}##BCURVE_RS##</v>
        <stp/>
        <stp>##V3_BMARKETPARAMV12</stp>
        <stp>[XSLP -Swap Line Pricer.xlsm]Swaps!R34C89</stp>
        <stp>FXFL 1033483</stp>
        <stp>array=true</stp>
        <tr r="CK34" s="1"/>
      </tp>
      <tp t="s">
        <v>Name{%s},SolveTarget{%s},Default Setting{%s},Description{%s};DiscountCurve[EUR]{%s},FALSE{%s},S133:Mid:DFLT:EUR OIS{%s},{%s};ForwardCurve[EUR006M]{%s},FALSE{%s},S45:Mid:DFLT:EUR (vs. 6M EURIBOR){%s},{%s}##BCURVE_RS##</v>
        <stp/>
        <stp>##V3_BMARKETPARAMV12</stp>
        <stp>[XSLP -Swap Line Pricer.xlsm]Swaps!R35C89</stp>
        <stp>FXFL 1033483</stp>
        <stp>array=true</stp>
        <tr r="CK35" s="1"/>
      </tp>
      <tp t="s">
        <v>Name{%s},SolveTarget{%s},Default Setting{%s},Description{%s};DiscountCurve[EUR]{%s},FALSE{%s},S133:Mid:DFLT:EUR OIS{%s},{%s};ForwardCurve[EUR006M]{%s},FALSE{%s},S45:Mid:DFLT:EUR (vs. 6M EURIBOR){%s},{%s}##BCURVE_RS##</v>
        <stp/>
        <stp>##V3_BMARKETPARAMV12</stp>
        <stp>[XSLP -Swap Line Pricer.xlsm]Swaps!R38C89</stp>
        <stp>FXFL 1033483</stp>
        <stp>array=true</stp>
        <tr r="CK38" s="1"/>
      </tp>
      <tp t="s">
        <v>Name{%s},SolveTarget{%s},Default Setting{%s},Description{%s};DiscountCurve[EUR]{%s},FALSE{%s},S133:Mid:DFLT:EUR OIS{%s},{%s};ForwardCurve[EUR006M]{%s},FALSE{%s},S45:Mid:DFLT:EUR (vs. 6M EURIBOR){%s},{%s}##BCURVE_RS##</v>
        <stp/>
        <stp>##V3_BMARKETPARAMV12</stp>
        <stp>[XSLP -Swap Line Pricer.xlsm]Swaps!R39C89</stp>
        <stp>FXFL 1033483</stp>
        <stp>array=true</stp>
        <tr r="CK39" s="1"/>
      </tp>
      <tp t="s">
        <v>#N/A Invalid object ID</v>
        <stp/>
        <stp>##V3_BVIEW</stp>
        <stp>[XSLP -Swap Line Pricer.xlsm]Swaptions!R32C116</stp>
        <stp/>
        <stp>YieldOfPremium</stp>
        <stp>headers=false</stp>
        <tr r="DL32" s="5"/>
      </tp>
      <tp t="s">
        <v>#N/A Invalid object ID</v>
        <stp/>
        <stp>##V3_BVIEW</stp>
        <stp>[XSLP -Swap Line Pricer.xlsm]Swaptions!R22C116</stp>
        <stp/>
        <stp>YieldOfPremium</stp>
        <stp>headers=false</stp>
        <tr r="DL22" s="5"/>
      </tp>
      <tp t="s">
        <v>#N/A No matches found [Parameter:OUTPUT]</v>
        <stp/>
        <stp>##V3_BVIEW</stp>
        <stp>[XSLP -Swap Line Pricer.xlsm]Swaps!R30C60</stp>
        <stp>FXFL 631990</stp>
        <stp>Leg[1].Spread</stp>
        <stp>headers=false</stp>
        <tr r="BH30" s="1"/>
      </tp>
      <tp t="s">
        <v>#N/A No matches found [Parameter:OUTPUT]</v>
        <stp/>
        <stp>##V3_BVIEW</stp>
        <stp>[XSLP -Swap Line Pricer.xlsm]Swaps!R31C60</stp>
        <stp>FXFL 625950</stp>
        <stp>Leg[1].Spread</stp>
        <stp>headers=false</stp>
        <tr r="BH31" s="1"/>
      </tp>
      <tp t="s">
        <v>#N/A Invalid object ID</v>
        <stp/>
        <stp>##V3_BVIEW</stp>
        <stp>[XSLP -Swap Line Pricer.xlsm]Swaptions!R33C116</stp>
        <stp/>
        <stp>YieldOfPremium</stp>
        <stp>headers=false</stp>
        <tr r="DL33" s="5"/>
      </tp>
      <tp t="s">
        <v>#N/A Invalid object ID</v>
        <stp/>
        <stp>##V3_BVIEW</stp>
        <stp>[XSLP -Swap Line Pricer.xlsm]Swaptions!R23C116</stp>
        <stp/>
        <stp>YieldOfPremium</stp>
        <stp>headers=false</stp>
        <tr r="DL23" s="5"/>
      </tp>
      <tp t="s">
        <v>#N/A No matches found [Parameter:OUTPUT]</v>
        <stp/>
        <stp>##V3_BVIEW</stp>
        <stp>[XSLP -Swap Line Pricer.xlsm]Swaps!R28C60</stp>
        <stp>FXFL 164852</stp>
        <stp>Leg[1].Spread</stp>
        <stp>headers=false</stp>
        <tr r="BH28" s="1"/>
      </tp>
      <tp t="s">
        <v>#N/A No matches found [Parameter:OUTPUT]</v>
        <stp/>
        <stp>##V3_BVIEW</stp>
        <stp>[XSLP -Swap Line Pricer.xlsm]Swaps!R29C60</stp>
        <stp>FXFL 431830</stp>
        <stp>Leg[1].Spread</stp>
        <stp>headers=false</stp>
        <tr r="BH29" s="1"/>
      </tp>
      <tp t="s">
        <v>#N/A No matches found [Parameter:OUTPUT]</v>
        <stp/>
        <stp>##V3_BVIEW</stp>
        <stp>[XSLP -Swap Line Pricer.xlsm]Swaps!R24C60</stp>
        <stp>FXFL 651808</stp>
        <stp>Leg[1].Spread</stp>
        <stp>headers=false</stp>
        <tr r="BH24" s="1"/>
      </tp>
      <tp t="s">
        <v>#N/A Invalid object ID</v>
        <stp/>
        <stp>##V3_BVIEW</stp>
        <stp>[XSLP -Swap Line Pricer.xlsm]Swaptions!R30C116</stp>
        <stp/>
        <stp>YieldOfPremium</stp>
        <stp>headers=false</stp>
        <tr r="DL30" s="5"/>
      </tp>
      <tp t="s">
        <v>#N/A Invalid object ID</v>
        <stp/>
        <stp>##V3_BVIEW</stp>
        <stp>[XSLP -Swap Line Pricer.xlsm]Swaptions!R20C116</stp>
        <stp/>
        <stp>YieldOfPremium</stp>
        <stp>headers=false</stp>
        <tr r="DL20" s="5"/>
      </tp>
      <tp t="s">
        <v>Name{%s},SolveTarget{%s},Default Setting{%s},Description{%s};DiscountCurve[EUR]{%s},FALSE{%s},S133:Mid:DFLT:EUR OIS{%s},{%s};ForwardCurve[EUR006M]{%s},FALSE{%s},S45:Mid:DFLT:EUR (vs. 6M EURIBOR){%s},{%s}##BCURVE_RS##</v>
        <stp/>
        <stp>##V3_BMARKETPARAMV12</stp>
        <stp>[XSLP -Swap Line Pricer.xlsm]Swaps!R25C88</stp>
        <stp>FXFL 64474</stp>
        <stp>array=true</stp>
        <tr r="CJ25" s="1"/>
      </tp>
      <tp>
        <v>0</v>
        <stp/>
        <stp>##V3_BVIEW</stp>
        <stp>[XSLP -Swap Line Pricer.xlsm]Swaps!R28C71</stp>
        <stp>FXFL 164852</stp>
        <stp>Leg[2].Spread</stp>
        <stp>headers=false</stp>
        <tr r="BS28" s="1"/>
        <tr r="BS28" s="1"/>
      </tp>
      <tp>
        <v>0</v>
        <stp/>
        <stp>##V3_BVIEW</stp>
        <stp>[XSLP -Swap Line Pricer.xlsm]Swaps!R24C71</stp>
        <stp>FXFL 651808</stp>
        <stp>Leg[2].Spread</stp>
        <stp>headers=false</stp>
        <tr r="BS24" s="1"/>
        <tr r="BS24" s="1"/>
      </tp>
      <tp>
        <v>0</v>
        <stp/>
        <stp>##V3_BVIEW</stp>
        <stp>[XSLP -Swap Line Pricer.xlsm]Swaps!R29C71</stp>
        <stp>FXFL 431830</stp>
        <stp>Leg[2].Spread</stp>
        <stp>headers=false</stp>
        <tr r="BS29" s="1"/>
        <tr r="BS29" s="1"/>
      </tp>
      <tp t="s">
        <v>#N/A Invalid object ID</v>
        <stp/>
        <stp>##V3_BVIEW</stp>
        <stp>[XSLP -Swap Line Pricer.xlsm]Swaptions!R31C116</stp>
        <stp/>
        <stp>YieldOfPremium</stp>
        <stp>headers=false</stp>
        <tr r="DL31" s="5"/>
      </tp>
      <tp t="s">
        <v>#N/A Invalid object ID</v>
        <stp/>
        <stp>##V3_BVIEW</stp>
        <stp>[XSLP -Swap Line Pricer.xlsm]Swaptions!R21C116</stp>
        <stp/>
        <stp>YieldOfPremium</stp>
        <stp>headers=false</stp>
        <tr r="DL21" s="5"/>
      </tp>
      <tp t="s">
        <v>Name{%s},SolveTarget{%s},Default Setting{%s},Description{%s};DiscountCurve[EUR]{%s},FALSE{%s},S133:Mid:DFLT:EUR OIS{%s},{%s};ForwardCurve[EUR006M]{%s},FALSE{%s},S45:Mid:DFLT:EUR (vs. 6M EURIBOR){%s},{%s}##BCURVE_RS##</v>
        <stp/>
        <stp>##V3_BMARKETPARAMV12</stp>
        <stp>[XSLP -Swap Line Pricer.xlsm]Swaps!R25C89</stp>
        <stp>FXFL 64474</stp>
        <stp>array=true</stp>
        <tr r="CK25" s="1"/>
      </tp>
      <tp>
        <v>0</v>
        <stp/>
        <stp>##V3_BVIEW</stp>
        <stp>[XSLP -Swap Line Pricer.xlsm]Swaps!R30C71</stp>
        <stp>FXFL 631990</stp>
        <stp>Leg[2].Spread</stp>
        <stp>headers=false</stp>
        <tr r="BS30" s="1"/>
        <tr r="BS30" s="1"/>
      </tp>
      <tp>
        <v>0</v>
        <stp/>
        <stp>##V3_BVIEW</stp>
        <stp>[XSLP -Swap Line Pricer.xlsm]Swaps!R31C71</stp>
        <stp>FXFL 625950</stp>
        <stp>Leg[2].Spread</stp>
        <stp>headers=false</stp>
        <tr r="BS31" s="1"/>
        <tr r="BS31" s="1"/>
      </tp>
      <tp>
        <v>52.181378433934697</v>
        <stp/>
        <stp>##V3_BVIEW</stp>
        <stp>[XSLP -Swap Line Pricer.xlsm]Swaps!R20C3</stp>
        <stp>PRICE FXFL 781382</stp>
        <stp>Dv01</stp>
        <stp>headers=false</stp>
        <tr r="C20" s="1"/>
      </tp>
      <tp>
        <v>100.37932376309531</v>
        <stp/>
        <stp>##V3_BVIEW</stp>
        <stp>[XSLP -Swap Line Pricer.xlsm]Swaps!R20C4</stp>
        <stp>PRICE FXFL 781382</stp>
        <stp>Pv01</stp>
        <stp>headers=false</stp>
        <tr r="D20" s="1"/>
      </tp>
      <tp t="s">
        <v>#N/A Invalid object ID</v>
        <stp/>
        <stp>##V3_BVIEW</stp>
        <stp>[XSLP -Swap Line Pricer.xlsm]Swaptions!R29C101</stp>
        <stp/>
        <stp>ModelType</stp>
        <stp>headers=false</stp>
        <tr r="CW29" s="5"/>
      </tp>
      <tp t="s">
        <v>#N/A Invalid object ID</v>
        <stp/>
        <stp>##V3_BVIEW</stp>
        <stp>[XSLP -Swap Line Pricer.xlsm]Swaptions!R28C101</stp>
        <stp/>
        <stp>ModelType</stp>
        <stp>headers=false</stp>
        <tr r="CW28" s="5"/>
      </tp>
      <tp t="s">
        <v>#N/A Invalid object ID</v>
        <stp/>
        <stp>##V3_BVIEW</stp>
        <stp>[XSLP -Swap Line Pricer.xlsm]Swaptions!R25C101</stp>
        <stp/>
        <stp>ModelType</stp>
        <stp>headers=false</stp>
        <tr r="CW25" s="5"/>
      </tp>
      <tp t="s">
        <v>#N/A Invalid object ID</v>
        <stp/>
        <stp>##V3_BVIEW</stp>
        <stp>[XSLP -Swap Line Pricer.xlsm]Swaptions!R24C101</stp>
        <stp/>
        <stp>ModelType</stp>
        <stp>headers=false</stp>
        <tr r="CW24" s="5"/>
      </tp>
      <tp t="s">
        <v>#N/A Invalid object ID</v>
        <stp/>
        <stp>##V3_BVIEW</stp>
        <stp>[XSLP -Swap Line Pricer.xlsm]Swaptions!R27C101</stp>
        <stp/>
        <stp>ModelType</stp>
        <stp>headers=false</stp>
        <tr r="CW27" s="5"/>
      </tp>
      <tp t="s">
        <v>#N/A Invalid object ID</v>
        <stp/>
        <stp>##V3_BVIEW</stp>
        <stp>[XSLP -Swap Line Pricer.xlsm]Swaptions!R26C101</stp>
        <stp/>
        <stp>ModelType</stp>
        <stp>headers=false</stp>
        <tr r="CW26" s="5"/>
      </tp>
      <tp t="s">
        <v>#N/A Invalid object ID</v>
        <stp/>
        <stp>##V3_BVIEW</stp>
        <stp>[XSLP -Swap Line Pricer.xlsm]Swaptions!R21C101</stp>
        <stp/>
        <stp>ModelType</stp>
        <stp>headers=false</stp>
        <tr r="CW21" s="5"/>
      </tp>
      <tp t="s">
        <v>#N/A Invalid object ID</v>
        <stp/>
        <stp>##V3_BVIEW</stp>
        <stp>[XSLP -Swap Line Pricer.xlsm]Swaptions!R20C101</stp>
        <stp/>
        <stp>ModelType</stp>
        <stp>headers=false</stp>
        <tr r="CW20" s="5"/>
      </tp>
      <tp t="s">
        <v>Name{%s},SolveTarget{%s},Default Setting{%s},Description{%s};DiscountCurve[EUR]{%s},FALSE{%s},S133:Mid:DFLT:EUR OIS{%s},{%s};ForwardCurve[EUR006M]{%s},FALSE{%s},S45:Mid:DFLT:EUR (vs. 6M EURIBOR){%s},{%s}##BCURVE_RS##</v>
        <stp/>
        <stp>##V3_BMARKETPARAMV12</stp>
        <stp>[XSLP -Swap Line Pricer.xlsm]Swaps!R25C86</stp>
        <stp>FXFL 64474</stp>
        <stp>array=true</stp>
        <tr r="CH25" s="1"/>
      </tp>
      <tp t="s">
        <v>#N/A Invalid object ID</v>
        <stp/>
        <stp>##V3_BVIEW</stp>
        <stp>[XSLP -Swap Line Pricer.xlsm]Swaptions!R23C101</stp>
        <stp/>
        <stp>ModelType</stp>
        <stp>headers=false</stp>
        <tr r="CW23" s="5"/>
      </tp>
      <tp t="s">
        <v>#N/A Invalid object ID</v>
        <stp/>
        <stp>##V3_BVIEW</stp>
        <stp>[XSLP -Swap Line Pricer.xlsm]Swaptions!R22C101</stp>
        <stp/>
        <stp>ModelType</stp>
        <stp>headers=false</stp>
        <tr r="CW22" s="5"/>
      </tp>
      <tp t="s">
        <v>#N/A Invalid object ID</v>
        <stp/>
        <stp>##V3_BVIEW</stp>
        <stp>[XSLP -Swap Line Pricer.xlsm]Swaptions!R39C107</stp>
        <stp/>
        <stp>Gamma1bp</stp>
        <stp>headers=false</stp>
        <tr r="DC39" s="5"/>
      </tp>
      <tp t="s">
        <v>#N/A Invalid object ID</v>
        <stp/>
        <stp>##V3_BVIEW</stp>
        <stp>[XSLP -Swap Line Pricer.xlsm]Swaptions!R38C107</stp>
        <stp/>
        <stp>Gamma1bp</stp>
        <stp>headers=false</stp>
        <tr r="DC38" s="5"/>
      </tp>
      <tp t="s">
        <v>#N/A Invalid object ID</v>
        <stp/>
        <stp>##V3_BVIEW</stp>
        <stp>[XSLP -Swap Line Pricer.xlsm]Swaptions!R31C107</stp>
        <stp/>
        <stp>Gamma1bp</stp>
        <stp>headers=false</stp>
        <tr r="DC31" s="5"/>
      </tp>
      <tp t="s">
        <v>#N/A Invalid object ID</v>
        <stp/>
        <stp>##V3_BVIEW</stp>
        <stp>[XSLP -Swap Line Pricer.xlsm]Swaptions!R30C107</stp>
        <stp/>
        <stp>Gamma1bp</stp>
        <stp>headers=false</stp>
        <tr r="DC30" s="5"/>
      </tp>
      <tp t="s">
        <v>#N/A Invalid object ID</v>
        <stp/>
        <stp>##V3_BVIEW</stp>
        <stp>[XSLP -Swap Line Pricer.xlsm]Swaptions!R33C107</stp>
        <stp/>
        <stp>Gamma1bp</stp>
        <stp>headers=false</stp>
        <tr r="DC33" s="5"/>
      </tp>
      <tp t="s">
        <v>#N/A Invalid object ID</v>
        <stp/>
        <stp>##V3_BVIEW</stp>
        <stp>[XSLP -Swap Line Pricer.xlsm]Swaptions!R32C107</stp>
        <stp/>
        <stp>Gamma1bp</stp>
        <stp>headers=false</stp>
        <tr r="DC32" s="5"/>
      </tp>
      <tp t="s">
        <v>#N/A Invalid object ID</v>
        <stp/>
        <stp>##V3_BVIEW</stp>
        <stp>[XSLP -Swap Line Pricer.xlsm]Swaptions!R35C107</stp>
        <stp/>
        <stp>Gamma1bp</stp>
        <stp>headers=false</stp>
        <tr r="DC35" s="5"/>
      </tp>
      <tp t="s">
        <v>#N/A Invalid object ID</v>
        <stp/>
        <stp>##V3_BVIEW</stp>
        <stp>[XSLP -Swap Line Pricer.xlsm]Swaptions!R34C107</stp>
        <stp/>
        <stp>Gamma1bp</stp>
        <stp>headers=false</stp>
        <tr r="DC34" s="5"/>
      </tp>
      <tp t="s">
        <v>#N/A Invalid object ID</v>
        <stp/>
        <stp>##V3_BVIEW</stp>
        <stp>[XSLP -Swap Line Pricer.xlsm]Swaptions!R37C107</stp>
        <stp/>
        <stp>Gamma1bp</stp>
        <stp>headers=false</stp>
        <tr r="DC37" s="5"/>
      </tp>
      <tp t="s">
        <v>#N/A Invalid object ID</v>
        <stp/>
        <stp>##V3_BVIEW</stp>
        <stp>[XSLP -Swap Line Pricer.xlsm]Swaptions!R36C107</stp>
        <stp/>
        <stp>Gamma1bp</stp>
        <stp>headers=false</stp>
        <tr r="DC36" s="5"/>
      </tp>
      <tp t="s">
        <v>#N/A Invalid object ID</v>
        <stp/>
        <stp>##V3_BVIEW</stp>
        <stp>[XSLP -Swap Line Pricer.xlsm]Swaptions!R29C107</stp>
        <stp/>
        <stp>Gamma1bp</stp>
        <stp>headers=false</stp>
        <tr r="DC29" s="5"/>
      </tp>
      <tp t="s">
        <v>#N/A Invalid object ID</v>
        <stp/>
        <stp>##V3_BVIEW</stp>
        <stp>[XSLP -Swap Line Pricer.xlsm]Swaptions!R28C107</stp>
        <stp/>
        <stp>Gamma1bp</stp>
        <stp>headers=false</stp>
        <tr r="DC28" s="5"/>
      </tp>
      <tp t="s">
        <v>#N/A Invalid object ID</v>
        <stp/>
        <stp>##V3_BVIEW</stp>
        <stp>[XSLP -Swap Line Pricer.xlsm]Swaptions!R21C107</stp>
        <stp/>
        <stp>Gamma1bp</stp>
        <stp>headers=false</stp>
        <tr r="DC21" s="5"/>
      </tp>
      <tp t="s">
        <v>#N/A Invalid object ID</v>
        <stp/>
        <stp>##V3_BVIEW</stp>
        <stp>[XSLP -Swap Line Pricer.xlsm]Swaptions!R20C107</stp>
        <stp/>
        <stp>Gamma1bp</stp>
        <stp>headers=false</stp>
        <tr r="DC20" s="5"/>
      </tp>
      <tp t="s">
        <v>#N/A Invalid object ID</v>
        <stp/>
        <stp>##V3_BVIEW</stp>
        <stp>[XSLP -Swap Line Pricer.xlsm]Swaptions!R23C107</stp>
        <stp/>
        <stp>Gamma1bp</stp>
        <stp>headers=false</stp>
        <tr r="DC23" s="5"/>
      </tp>
      <tp t="s">
        <v>#N/A Invalid object ID</v>
        <stp/>
        <stp>##V3_BVIEW</stp>
        <stp>[XSLP -Swap Line Pricer.xlsm]Swaptions!R22C107</stp>
        <stp/>
        <stp>Gamma1bp</stp>
        <stp>headers=false</stp>
        <tr r="DC22" s="5"/>
      </tp>
      <tp t="s">
        <v>#N/A Invalid object ID</v>
        <stp/>
        <stp>##V3_BVIEW</stp>
        <stp>[XSLP -Swap Line Pricer.xlsm]Swaptions!R25C107</stp>
        <stp/>
        <stp>Gamma1bp</stp>
        <stp>headers=false</stp>
        <tr r="DC25" s="5"/>
      </tp>
      <tp t="s">
        <v>#N/A Invalid object ID</v>
        <stp/>
        <stp>##V3_BVIEW</stp>
        <stp>[XSLP -Swap Line Pricer.xlsm]Swaptions!R24C107</stp>
        <stp/>
        <stp>Gamma1bp</stp>
        <stp>headers=false</stp>
        <tr r="DC24" s="5"/>
      </tp>
      <tp t="s">
        <v>#N/A Invalid object ID</v>
        <stp/>
        <stp>##V3_BVIEW</stp>
        <stp>[XSLP -Swap Line Pricer.xlsm]Swaptions!R27C107</stp>
        <stp/>
        <stp>Gamma1bp</stp>
        <stp>headers=false</stp>
        <tr r="DC27" s="5"/>
      </tp>
      <tp t="s">
        <v>#N/A Invalid object ID</v>
        <stp/>
        <stp>##V3_BVIEW</stp>
        <stp>[XSLP -Swap Line Pricer.xlsm]Swaptions!R26C107</stp>
        <stp/>
        <stp>Gamma1bp</stp>
        <stp>headers=false</stp>
        <tr r="DC26" s="5"/>
      </tp>
      <tp t="s">
        <v>#N/A Invalid object ID</v>
        <stp/>
        <stp>##V3_BVIEW</stp>
        <stp>[XSLP -Swap Line Pricer.xlsm]Swaptions!R39C101</stp>
        <stp/>
        <stp>ModelType</stp>
        <stp>headers=false</stp>
        <tr r="CW39" s="5"/>
      </tp>
      <tp t="s">
        <v>#N/A Invalid object ID</v>
        <stp/>
        <stp>##V3_BVIEW</stp>
        <stp>[XSLP -Swap Line Pricer.xlsm]Swaptions!R38C101</stp>
        <stp/>
        <stp>ModelType</stp>
        <stp>headers=false</stp>
        <tr r="CW38" s="5"/>
      </tp>
      <tp t="s">
        <v>#N/A Invalid object ID</v>
        <stp/>
        <stp>##V3_BVIEW</stp>
        <stp>[XSLP -Swap Line Pricer.xlsm]Swaptions!R35C101</stp>
        <stp/>
        <stp>ModelType</stp>
        <stp>headers=false</stp>
        <tr r="CW35" s="5"/>
      </tp>
      <tp t="s">
        <v>#N/A Invalid object ID</v>
        <stp/>
        <stp>##V3_BVIEW</stp>
        <stp>[XSLP -Swap Line Pricer.xlsm]Swaptions!R34C101</stp>
        <stp/>
        <stp>ModelType</stp>
        <stp>headers=false</stp>
        <tr r="CW34" s="5"/>
      </tp>
      <tp t="s">
        <v>#N/A Invalid object ID</v>
        <stp/>
        <stp>##V3_BVIEW</stp>
        <stp>[XSLP -Swap Line Pricer.xlsm]Swaptions!R37C101</stp>
        <stp/>
        <stp>ModelType</stp>
        <stp>headers=false</stp>
        <tr r="CW37" s="5"/>
      </tp>
      <tp t="s">
        <v>#N/A Invalid object ID</v>
        <stp/>
        <stp>##V3_BVIEW</stp>
        <stp>[XSLP -Swap Line Pricer.xlsm]Swaptions!R36C101</stp>
        <stp/>
        <stp>ModelType</stp>
        <stp>headers=false</stp>
        <tr r="CW36" s="5"/>
      </tp>
      <tp t="s">
        <v>#N/A Invalid object ID</v>
        <stp/>
        <stp>##V3_BVIEW</stp>
        <stp>[XSLP -Swap Line Pricer.xlsm]Swaptions!R31C101</stp>
        <stp/>
        <stp>ModelType</stp>
        <stp>headers=false</stp>
        <tr r="CW31" s="5"/>
      </tp>
      <tp t="s">
        <v>#N/A Invalid object ID</v>
        <stp/>
        <stp>##V3_BVIEW</stp>
        <stp>[XSLP -Swap Line Pricer.xlsm]Swaptions!R30C101</stp>
        <stp/>
        <stp>ModelType</stp>
        <stp>headers=false</stp>
        <tr r="CW30" s="5"/>
      </tp>
      <tp t="s">
        <v>Name{%s},SolveTarget{%s},Default Setting{%s},Description{%s};DiscountCurve[EUR]{%s},FALSE{%s},S133:Mid:DFLT:EUR OIS{%s},{%s};ForwardCurve[EUR006M]{%s},FALSE{%s},S45:Mid:DFLT:EUR (vs. 6M EURIBOR){%s},{%s}##BCURVE_RS##</v>
        <stp/>
        <stp>##V3_BMARKETPARAMV12</stp>
        <stp>[XSLP -Swap Line Pricer.xlsm]Swaps!R25C87</stp>
        <stp>FXFL 64474</stp>
        <stp>array=true</stp>
        <tr r="CI25" s="1"/>
      </tp>
      <tp t="s">
        <v>#N/A Invalid object ID</v>
        <stp/>
        <stp>##V3_BVIEW</stp>
        <stp>[XSLP -Swap Line Pricer.xlsm]Swaptions!R33C101</stp>
        <stp/>
        <stp>ModelType</stp>
        <stp>headers=false</stp>
        <tr r="CW33" s="5"/>
      </tp>
      <tp t="s">
        <v>#N/A Invalid object ID</v>
        <stp/>
        <stp>##V3_BVIEW</stp>
        <stp>[XSLP -Swap Line Pricer.xlsm]Swaptions!R32C101</stp>
        <stp/>
        <stp>ModelType</stp>
        <stp>headers=false</stp>
        <tr r="CW32" s="5"/>
      </tp>
      <tp>
        <v>1502.1710557532174</v>
        <stp/>
        <stp>##V3_BVIEW</stp>
        <stp>[XSLP -Swap Line Pricer.xlsm]Swaps!R30C3</stp>
        <stp>PRICE FXFL 193619</stp>
        <stp>Dv01</stp>
        <stp>headers=false</stp>
        <tr r="C30" s="1"/>
      </tp>
      <tp>
        <v>2732.1305638728209</v>
        <stp/>
        <stp>##V3_BVIEW</stp>
        <stp>[XSLP -Swap Line Pricer.xlsm]Swaps!R33C3</stp>
        <stp>PRICE FXFL 453040</stp>
        <stp>Dv01</stp>
        <stp>headers=false</stp>
        <tr r="C33" s="1"/>
      </tp>
      <tp>
        <v>1037.3514281863329</v>
        <stp/>
        <stp>##V3_BVIEW</stp>
        <stp>[XSLP -Swap Line Pricer.xlsm]Swaps!R29C3</stp>
        <stp>PRICE FXFL 933208</stp>
        <stp>Dv01</stp>
        <stp>headers=false</stp>
        <tr r="C29" s="1"/>
      </tp>
      <tp>
        <v>42656</v>
        <stp/>
        <stp>##V3_BVIEW</stp>
        <stp>[XSLP -Swap Line Pricer.xlsm]Swaps!R34C53</stp>
        <stp>FXFL 1033483</stp>
        <stp>EffectiveDate</stp>
        <stp>headers=false</stp>
        <tr r="BA34" s="1"/>
        <tr r="BA34" s="1"/>
      </tp>
      <tp>
        <v>42656</v>
        <stp/>
        <stp>##V3_BVIEW</stp>
        <stp>[XSLP -Swap Line Pricer.xlsm]Swaps!R35C53</stp>
        <stp>FXFL 1033483</stp>
        <stp>EffectiveDate</stp>
        <stp>headers=false</stp>
        <tr r="BA35" s="1"/>
        <tr r="BA35" s="1"/>
      </tp>
      <tp>
        <v>42656</v>
        <stp/>
        <stp>##V3_BVIEW</stp>
        <stp>[XSLP -Swap Line Pricer.xlsm]Swaps!R36C53</stp>
        <stp>FXFL 1033483</stp>
        <stp>EffectiveDate</stp>
        <stp>headers=false</stp>
        <tr r="BA36" s="1"/>
        <tr r="BA36" s="1"/>
      </tp>
      <tp>
        <v>42656</v>
        <stp/>
        <stp>##V3_BVIEW</stp>
        <stp>[XSLP -Swap Line Pricer.xlsm]Swaps!R37C53</stp>
        <stp>FXFL 1033483</stp>
        <stp>EffectiveDate</stp>
        <stp>headers=false</stp>
        <tr r="BA37" s="1"/>
        <tr r="BA37" s="1"/>
      </tp>
      <tp>
        <v>42656</v>
        <stp/>
        <stp>##V3_BVIEW</stp>
        <stp>[XSLP -Swap Line Pricer.xlsm]Swaps!R38C53</stp>
        <stp>FXFL 1033483</stp>
        <stp>EffectiveDate</stp>
        <stp>headers=false</stp>
        <tr r="BA38" s="1"/>
        <tr r="BA38" s="1"/>
      </tp>
      <tp>
        <v>42656</v>
        <stp/>
        <stp>##V3_BVIEW</stp>
        <stp>[XSLP -Swap Line Pricer.xlsm]Swaps!R39C53</stp>
        <stp>FXFL 1033483</stp>
        <stp>EffectiveDate</stp>
        <stp>headers=false</stp>
        <tr r="BA39" s="1"/>
        <tr r="BA39" s="1"/>
      </tp>
      <tp>
        <v>1475.9840013948865</v>
        <stp/>
        <stp>##V3_BVIEW</stp>
        <stp>[XSLP -Swap Line Pricer.xlsm]Swaps!R30C4</stp>
        <stp>PRICE FXFL 193619</stp>
        <stp>Pv01</stp>
        <stp>headers=false</stp>
        <tr r="D30" s="1"/>
      </tp>
      <tp>
        <v>1005.4390985612059</v>
        <stp/>
        <stp>##V3_BVIEW</stp>
        <stp>[XSLP -Swap Line Pricer.xlsm]Swaps!R29C4</stp>
        <stp>PRICE FXFL 933208</stp>
        <stp>Pv01</stp>
        <stp>headers=false</stp>
        <tr r="D29" s="1"/>
      </tp>
      <tp>
        <v>2719.2968868620164</v>
        <stp/>
        <stp>##V3_BVIEW</stp>
        <stp>[XSLP -Swap Line Pricer.xlsm]Swaps!R33C4</stp>
        <stp>PRICE FXFL 453040</stp>
        <stp>Pv01</stp>
        <stp>headers=false</stp>
        <tr r="D33" s="1"/>
      </tp>
      <tp t="s">
        <v>#N/A Invalid object ID</v>
        <stp/>
        <stp>##V3_BVIEW</stp>
        <stp>[XSLP -Swap Line Pricer.xlsm]Swaptions!R23C4</stp>
        <stp/>
        <stp>ParCoupon</stp>
        <stp>headers=false</stp>
        <tr r="D23" s="5"/>
      </tp>
      <tp t="s">
        <v>#N/A Invalid object ID</v>
        <stp/>
        <stp>##V3_BVIEW</stp>
        <stp>[XSLP -Swap Line Pricer.xlsm]Swaptions!R22C4</stp>
        <stp/>
        <stp>ParCoupon</stp>
        <stp>headers=false</stp>
        <tr r="D22" s="5"/>
      </tp>
      <tp t="s">
        <v>#N/A Invalid object ID</v>
        <stp/>
        <stp>##V3_BVIEW</stp>
        <stp>[XSLP -Swap Line Pricer.xlsm]Swaptions!R21C4</stp>
        <stp/>
        <stp>ParCoupon</stp>
        <stp>headers=false</stp>
        <tr r="D21" s="5"/>
      </tp>
      <tp t="s">
        <v>#N/A Invalid object ID</v>
        <stp/>
        <stp>##V3_BVIEW</stp>
        <stp>[XSLP -Swap Line Pricer.xlsm]Swaptions!R20C4</stp>
        <stp/>
        <stp>ParCoupon</stp>
        <stp>headers=false</stp>
        <tr r="D20" s="5"/>
      </tp>
      <tp t="s">
        <v>#N/A Invalid object ID</v>
        <stp/>
        <stp>##V3_BVIEW</stp>
        <stp>[XSLP -Swap Line Pricer.xlsm]Swaptions!R27C4</stp>
        <stp/>
        <stp>ParCoupon</stp>
        <stp>headers=false</stp>
        <tr r="D27" s="5"/>
      </tp>
      <tp t="s">
        <v>#N/A Invalid object ID</v>
        <stp/>
        <stp>##V3_BVIEW</stp>
        <stp>[XSLP -Swap Line Pricer.xlsm]Swaptions!R26C4</stp>
        <stp/>
        <stp>ParCoupon</stp>
        <stp>headers=false</stp>
        <tr r="D26" s="5"/>
      </tp>
      <tp t="s">
        <v>#N/A Invalid object ID</v>
        <stp/>
        <stp>##V3_BVIEW</stp>
        <stp>[XSLP -Swap Line Pricer.xlsm]Swaptions!R25C4</stp>
        <stp/>
        <stp>ParCoupon</stp>
        <stp>headers=false</stp>
        <tr r="D25" s="5"/>
      </tp>
      <tp t="s">
        <v>#N/A Invalid object ID</v>
        <stp/>
        <stp>##V3_BVIEW</stp>
        <stp>[XSLP -Swap Line Pricer.xlsm]Swaptions!R24C4</stp>
        <stp/>
        <stp>ParCoupon</stp>
        <stp>headers=false</stp>
        <tr r="D24" s="5"/>
      </tp>
      <tp t="s">
        <v>#N/A Invalid object ID</v>
        <stp/>
        <stp>##V3_BVIEW</stp>
        <stp>[XSLP -Swap Line Pricer.xlsm]Swaptions!R29C4</stp>
        <stp/>
        <stp>ParCoupon</stp>
        <stp>headers=false</stp>
        <tr r="D29" s="5"/>
      </tp>
      <tp t="s">
        <v>#N/A Invalid object ID</v>
        <stp/>
        <stp>##V3_BVIEW</stp>
        <stp>[XSLP -Swap Line Pricer.xlsm]Swaptions!R28C4</stp>
        <stp/>
        <stp>ParCoupon</stp>
        <stp>headers=false</stp>
        <tr r="D28" s="5"/>
      </tp>
      <tp t="s">
        <v>#N/A Invalid object ID</v>
        <stp/>
        <stp>##V3_BVIEW</stp>
        <stp>[XSLP -Swap Line Pricer.xlsm]Swaptions!R33C4</stp>
        <stp/>
        <stp>ParCoupon</stp>
        <stp>headers=false</stp>
        <tr r="D33" s="5"/>
      </tp>
      <tp t="s">
        <v>#N/A Invalid object ID</v>
        <stp/>
        <stp>##V3_BVIEW</stp>
        <stp>[XSLP -Swap Line Pricer.xlsm]Swaptions!R32C4</stp>
        <stp/>
        <stp>ParCoupon</stp>
        <stp>headers=false</stp>
        <tr r="D32" s="5"/>
      </tp>
      <tp t="s">
        <v>#N/A Invalid object ID</v>
        <stp/>
        <stp>##V3_BVIEW</stp>
        <stp>[XSLP -Swap Line Pricer.xlsm]Swaptions!R31C4</stp>
        <stp/>
        <stp>ParCoupon</stp>
        <stp>headers=false</stp>
        <tr r="D31" s="5"/>
      </tp>
      <tp t="s">
        <v>#N/A Invalid object ID</v>
        <stp/>
        <stp>##V3_BVIEW</stp>
        <stp>[XSLP -Swap Line Pricer.xlsm]Swaptions!R30C4</stp>
        <stp/>
        <stp>ParCoupon</stp>
        <stp>headers=false</stp>
        <tr r="D30" s="5"/>
      </tp>
      <tp t="s">
        <v>#N/A Invalid object ID</v>
        <stp/>
        <stp>##V3_BVIEW</stp>
        <stp>[XSLP -Swap Line Pricer.xlsm]Swaptions!R37C4</stp>
        <stp/>
        <stp>ParCoupon</stp>
        <stp>headers=false</stp>
        <tr r="D37" s="5"/>
      </tp>
      <tp t="s">
        <v>#N/A Invalid object ID</v>
        <stp/>
        <stp>##V3_BVIEW</stp>
        <stp>[XSLP -Swap Line Pricer.xlsm]Swaptions!R36C4</stp>
        <stp/>
        <stp>ParCoupon</stp>
        <stp>headers=false</stp>
        <tr r="D36" s="5"/>
      </tp>
      <tp t="s">
        <v>#N/A Invalid object ID</v>
        <stp/>
        <stp>##V3_BVIEW</stp>
        <stp>[XSLP -Swap Line Pricer.xlsm]Swaptions!R35C4</stp>
        <stp/>
        <stp>ParCoupon</stp>
        <stp>headers=false</stp>
        <tr r="D35" s="5"/>
      </tp>
      <tp t="s">
        <v>#N/A Invalid object ID</v>
        <stp/>
        <stp>##V3_BVIEW</stp>
        <stp>[XSLP -Swap Line Pricer.xlsm]Swaptions!R34C4</stp>
        <stp/>
        <stp>ParCoupon</stp>
        <stp>headers=false</stp>
        <tr r="D34" s="5"/>
      </tp>
      <tp t="s">
        <v>#N/A Invalid object ID</v>
        <stp/>
        <stp>##V3_BVIEW</stp>
        <stp>[XSLP -Swap Line Pricer.xlsm]Swaptions!R39C4</stp>
        <stp/>
        <stp>ParCoupon</stp>
        <stp>headers=false</stp>
        <tr r="D39" s="5"/>
      </tp>
      <tp t="s">
        <v>#N/A Invalid object ID</v>
        <stp/>
        <stp>##V3_BVIEW</stp>
        <stp>[XSLP -Swap Line Pricer.xlsm]Swaptions!R38C4</stp>
        <stp/>
        <stp>ParCoupon</stp>
        <stp>headers=false</stp>
        <tr r="D38" s="5"/>
      </tp>
      <tp t="s">
        <v>Name{%s},SolveTarget{%s},Default Setting{%s},Description{%s};DiscountCurve[EUR]{%s},FALSE{%s},S133:Mid:DFLT:EUR OIS{%s},{%s};ForwardCurve[EUR006M]{%s},FALSE{%s},S45:Mid:DFLT:EUR (vs. 6M EURIBOR){%s},{%s}##BCURVE_RS##</v>
        <stp/>
        <stp>##V3_BMARKETPARAMV12</stp>
        <stp>[XSLP -Swap Line Pricer.xlsm]Swaps!R25C84</stp>
        <stp>FXFL 64474</stp>
        <stp>array=true</stp>
        <tr r="CF25" s="1"/>
      </tp>
      <tp>
        <v>628.0521786066264</v>
        <stp/>
        <stp>##V3_BVIEW</stp>
        <stp>[XSLP -Swap Line Pricer.xlsm]Swaps!R25C3</stp>
        <stp>PRICE FXFL 132498</stp>
        <stp>Dv01</stp>
        <stp>headers=false</stp>
        <tr r="C25" s="1"/>
      </tp>
      <tp>
        <v>415.82748002402224</v>
        <stp/>
        <stp>##V3_BVIEW</stp>
        <stp>[XSLP -Swap Line Pricer.xlsm]Swaps!R23C3</stp>
        <stp>PRICE FXFL 782879</stp>
        <stp>Dv01</stp>
        <stp>headers=false</stp>
        <tr r="C23" s="1"/>
      </tp>
      <tp>
        <v>606.8645312140701</v>
        <stp/>
        <stp>##V3_BVIEW</stp>
        <stp>[XSLP -Swap Line Pricer.xlsm]Swaps!R25C4</stp>
        <stp>PRICE FXFL 132498</stp>
        <stp>Pv01</stp>
        <stp>headers=false</stp>
        <tr r="D25" s="1"/>
      </tp>
      <tp>
        <v>404.17354444898092</v>
        <stp/>
        <stp>##V3_BVIEW</stp>
        <stp>[XSLP -Swap Line Pricer.xlsm]Swaps!R23C4</stp>
        <stp>PRICE FXFL 782879</stp>
        <stp>Pv01</stp>
        <stp>headers=false</stp>
        <tr r="D23" s="1"/>
      </tp>
      <tp t="s">
        <v>Name{%s},SolveTarget{%s},Default Setting{%s},Description{%s};DiscountCurve[EUR]{%s},FALSE{%s},S133:Mid:DFLT:EUR OIS{%s},{%s};ForwardCurve[EUR006M]{%s},FALSE{%s},S45:Mid:DFLT:EUR (vs. 6M EURIBOR){%s},{%s}##BCURVE_RS##</v>
        <stp/>
        <stp>##V3_BMARKETPARAMV12</stp>
        <stp>[XSLP -Swap Line Pricer.xlsm]Swaps!R25C85</stp>
        <stp>FXFL 64474</stp>
        <stp>array=true</stp>
        <tr r="CG25" s="1"/>
      </tp>
      <tp t="s">
        <v>#N/A Invalid object ID</v>
        <stp/>
        <stp>##V3_BVIEW</stp>
        <stp>[XSLP -Swap Line Pricer.xlsm]Swaptions!R28C115</stp>
        <stp/>
        <stp>UnderlyingPremium</stp>
        <stp>headers=false</stp>
        <tr r="DK28" s="5"/>
      </tp>
      <tp t="s">
        <v>#N/A Invalid object ID</v>
        <stp/>
        <stp>##V3_BVIEW</stp>
        <stp>[XSLP -Swap Line Pricer.xlsm]Swaptions!R29C115</stp>
        <stp/>
        <stp>UnderlyingPremium</stp>
        <stp>headers=false</stp>
        <tr r="DK29" s="5"/>
      </tp>
      <tp t="s">
        <v>#N/A Invalid object ID</v>
        <stp/>
        <stp>##V3_BVIEW</stp>
        <stp>[XSLP -Swap Line Pricer.xlsm]Swaptions!R22C115</stp>
        <stp/>
        <stp>UnderlyingPremium</stp>
        <stp>headers=false</stp>
        <tr r="DK22" s="5"/>
      </tp>
      <tp t="s">
        <v>#N/A Invalid object ID</v>
        <stp/>
        <stp>##V3_BVIEW</stp>
        <stp>[XSLP -Swap Line Pricer.xlsm]Swaptions!R23C115</stp>
        <stp/>
        <stp>UnderlyingPremium</stp>
        <stp>headers=false</stp>
        <tr r="DK23" s="5"/>
      </tp>
      <tp t="s">
        <v>#N/A Invalid object ID</v>
        <stp/>
        <stp>##V3_BVIEW</stp>
        <stp>[XSLP -Swap Line Pricer.xlsm]Swaptions!R20C115</stp>
        <stp/>
        <stp>UnderlyingPremium</stp>
        <stp>headers=false</stp>
        <tr r="DK20" s="5"/>
      </tp>
      <tp t="s">
        <v>#N/A Invalid object ID</v>
        <stp/>
        <stp>##V3_BVIEW</stp>
        <stp>[XSLP -Swap Line Pricer.xlsm]Swaptions!R21C115</stp>
        <stp/>
        <stp>UnderlyingPremium</stp>
        <stp>headers=false</stp>
        <tr r="DK21" s="5"/>
      </tp>
      <tp t="s">
        <v>#N/A Invalid object ID</v>
        <stp/>
        <stp>##V3_BVIEW</stp>
        <stp>[XSLP -Swap Line Pricer.xlsm]Swaptions!R26C115</stp>
        <stp/>
        <stp>UnderlyingPremium</stp>
        <stp>headers=false</stp>
        <tr r="DK26" s="5"/>
      </tp>
      <tp t="s">
        <v>#N/A Invalid object ID</v>
        <stp/>
        <stp>##V3_BVIEW</stp>
        <stp>[XSLP -Swap Line Pricer.xlsm]Swaptions!R27C115</stp>
        <stp/>
        <stp>UnderlyingPremium</stp>
        <stp>headers=false</stp>
        <tr r="DK27" s="5"/>
      </tp>
      <tp t="s">
        <v>#N/A Invalid object ID</v>
        <stp/>
        <stp>##V3_BVIEW</stp>
        <stp>[XSLP -Swap Line Pricer.xlsm]Swaptions!R24C115</stp>
        <stp/>
        <stp>UnderlyingPremium</stp>
        <stp>headers=false</stp>
        <tr r="DK24" s="5"/>
      </tp>
      <tp t="s">
        <v>#N/A Invalid object ID</v>
        <stp/>
        <stp>##V3_BVIEW</stp>
        <stp>[XSLP -Swap Line Pricer.xlsm]Swaptions!R25C115</stp>
        <stp/>
        <stp>UnderlyingPremium</stp>
        <stp>headers=false</stp>
        <tr r="DK25" s="5"/>
      </tp>
      <tp t="s">
        <v>Name{%s},SolveTarget{%s},Default Setting{%s},Description{%s};DiscountCurve[EUR]{%s},FALSE{%s},S133:Mid:DFLT:EUR OIS{%s},{%s};ForwardCurve[EUR006M]{%s},FALSE{%s},S45:Mid:DFLT:EUR (vs. 6M EURIBOR){%s},{%s}##BCURVE_RS##</v>
        <stp/>
        <stp>##V3_BMARKETPARAMV12</stp>
        <stp>[XSLP -Swap Line Pricer.xlsm]Swaps!R25C82</stp>
        <stp>FXFL 64474</stp>
        <stp>array=true</stp>
        <tr r="CD25" s="1"/>
      </tp>
      <tp t="s">
        <v>#N/A No matches found [Parameter:OUTPUT]</v>
        <stp/>
        <stp>##V3_BVIEW</stp>
        <stp>[XSLP -Swap Line Pricer.xlsm]Swaps!R22C60</stp>
        <stp>FXFL 582191</stp>
        <stp>Leg[1].Spread</stp>
        <stp>headers=false</stp>
        <tr r="BH22" s="1"/>
      </tp>
      <tp t="s">
        <v>#N/A No matches found [Parameter:OUTPUT]</v>
        <stp/>
        <stp>##V3_BVIEW</stp>
        <stp>[XSLP -Swap Line Pricer.xlsm]Swaps!R32C60</stp>
        <stp>FXFL 877169</stp>
        <stp>Leg[1].Spread</stp>
        <stp>headers=false</stp>
        <tr r="BH32" s="1"/>
      </tp>
      <tp t="s">
        <v>#N/A No matches found [Parameter:OUTPUT]</v>
        <stp/>
        <stp>##V3_BVIEW</stp>
        <stp>[XSLP -Swap Line Pricer.xlsm]Swaps!R23C60</stp>
        <stp>FXFL 729164</stp>
        <stp>Leg[1].Spread</stp>
        <stp>headers=false</stp>
        <tr r="BH23" s="1"/>
      </tp>
      <tp t="s">
        <v>#N/A Invalid object ID</v>
        <stp/>
        <stp>##V3_BVIEW</stp>
        <stp>[XSLP -Swap Line Pricer.xlsm]Swaptions!R38C115</stp>
        <stp/>
        <stp>UnderlyingPremium</stp>
        <stp>headers=false</stp>
        <tr r="DK38" s="5"/>
      </tp>
      <tp t="s">
        <v>#N/A Invalid object ID</v>
        <stp/>
        <stp>##V3_BVIEW</stp>
        <stp>[XSLP -Swap Line Pricer.xlsm]Swaptions!R39C115</stp>
        <stp/>
        <stp>UnderlyingPremium</stp>
        <stp>headers=false</stp>
        <tr r="DK39" s="5"/>
      </tp>
      <tp>
        <v>2339.0981048882036</v>
        <stp/>
        <stp>##V3_BVIEW</stp>
        <stp>[XSLP -Swap Line Pricer.xlsm]Swaps!R32C3</stp>
        <stp>PRICE FXFL 604099</stp>
        <stp>Dv01</stp>
        <stp>headers=false</stp>
        <tr r="C32" s="1"/>
      </tp>
      <tp>
        <v>836.57064096812906</v>
        <stp/>
        <stp>##V3_BVIEW</stp>
        <stp>[XSLP -Swap Line Pricer.xlsm]Swaps!R27C3</stp>
        <stp>PRICE FXFL 304254</stp>
        <stp>Dv01</stp>
        <stp>headers=false</stp>
        <tr r="C27" s="1"/>
      </tp>
      <tp>
        <v>5054.7827412110782</v>
        <stp/>
        <stp>##V3_BVIEW</stp>
        <stp>[XSLP -Swap Line Pricer.xlsm]Swaps!R38C3</stp>
        <stp>PRICE FXFL 284275</stp>
        <stp>Dv01</stp>
        <stp>headers=false</stp>
        <tr r="C38" s="1"/>
      </tp>
      <tp>
        <v>5054.7827412110782</v>
        <stp/>
        <stp>##V3_BVIEW</stp>
        <stp>[XSLP -Swap Line Pricer.xlsm]Swaps!R39C3</stp>
        <stp>PRICE FXFL 284275</stp>
        <stp>Dv01</stp>
        <stp>headers=false</stp>
        <tr r="C39" s="1"/>
      </tp>
      <tp>
        <v>5054.7827412110782</v>
        <stp/>
        <stp>##V3_BVIEW</stp>
        <stp>[XSLP -Swap Line Pricer.xlsm]Swaps!R34C3</stp>
        <stp>PRICE FXFL 284275</stp>
        <stp>Dv01</stp>
        <stp>headers=false</stp>
        <tr r="C34" s="1"/>
      </tp>
      <tp>
        <v>5054.7827412110782</v>
        <stp/>
        <stp>##V3_BVIEW</stp>
        <stp>[XSLP -Swap Line Pricer.xlsm]Swaps!R35C3</stp>
        <stp>PRICE FXFL 284275</stp>
        <stp>Dv01</stp>
        <stp>headers=false</stp>
        <tr r="C35" s="1"/>
      </tp>
      <tp>
        <v>5054.7827412110782</v>
        <stp/>
        <stp>##V3_BVIEW</stp>
        <stp>[XSLP -Swap Line Pricer.xlsm]Swaps!R36C3</stp>
        <stp>PRICE FXFL 284275</stp>
        <stp>Dv01</stp>
        <stp>headers=false</stp>
        <tr r="C36" s="1"/>
      </tp>
      <tp>
        <v>5054.7827412110782</v>
        <stp/>
        <stp>##V3_BVIEW</stp>
        <stp>[XSLP -Swap Line Pricer.xlsm]Swaps!R37C3</stp>
        <stp>PRICE FXFL 284275</stp>
        <stp>Dv01</stp>
        <stp>headers=false</stp>
        <tr r="C37" s="1"/>
      </tp>
      <tp t="s">
        <v>#N/A Invalid object ID</v>
        <stp/>
        <stp>##V3_BVIEW</stp>
        <stp>[XSLP -Swap Line Pricer.xlsm]Swaptions!R32C115</stp>
        <stp/>
        <stp>UnderlyingPremium</stp>
        <stp>headers=false</stp>
        <tr r="DK32" s="5"/>
      </tp>
      <tp t="s">
        <v>#N/A Invalid object ID</v>
        <stp/>
        <stp>##V3_BVIEW</stp>
        <stp>[XSLP -Swap Line Pricer.xlsm]Swaptions!R33C115</stp>
        <stp/>
        <stp>UnderlyingPremium</stp>
        <stp>headers=false</stp>
        <tr r="DK33" s="5"/>
      </tp>
      <tp t="s">
        <v>#N/A Invalid object ID</v>
        <stp/>
        <stp>##V3_BVIEW</stp>
        <stp>[XSLP -Swap Line Pricer.xlsm]Swaptions!R30C115</stp>
        <stp/>
        <stp>UnderlyingPremium</stp>
        <stp>headers=false</stp>
        <tr r="DK30" s="5"/>
      </tp>
      <tp t="s">
        <v>#N/A Invalid object ID</v>
        <stp/>
        <stp>##V3_BVIEW</stp>
        <stp>[XSLP -Swap Line Pricer.xlsm]Swaptions!R31C115</stp>
        <stp/>
        <stp>UnderlyingPremium</stp>
        <stp>headers=false</stp>
        <tr r="DK31" s="5"/>
      </tp>
      <tp t="s">
        <v>#N/A Invalid object ID</v>
        <stp/>
        <stp>##V3_BVIEW</stp>
        <stp>[XSLP -Swap Line Pricer.xlsm]Swaptions!R36C115</stp>
        <stp/>
        <stp>UnderlyingPremium</stp>
        <stp>headers=false</stp>
        <tr r="DK36" s="5"/>
      </tp>
      <tp t="s">
        <v>#N/A Invalid object ID</v>
        <stp/>
        <stp>##V3_BVIEW</stp>
        <stp>[XSLP -Swap Line Pricer.xlsm]Swaptions!R37C115</stp>
        <stp/>
        <stp>UnderlyingPremium</stp>
        <stp>headers=false</stp>
        <tr r="DK37" s="5"/>
      </tp>
      <tp t="s">
        <v>#N/A Invalid object ID</v>
        <stp/>
        <stp>##V3_BVIEW</stp>
        <stp>[XSLP -Swap Line Pricer.xlsm]Swaptions!R34C115</stp>
        <stp/>
        <stp>UnderlyingPremium</stp>
        <stp>headers=false</stp>
        <tr r="DK34" s="5"/>
      </tp>
      <tp t="s">
        <v>#N/A Invalid object ID</v>
        <stp/>
        <stp>##V3_BVIEW</stp>
        <stp>[XSLP -Swap Line Pricer.xlsm]Swaptions!R35C115</stp>
        <stp/>
        <stp>UnderlyingPremium</stp>
        <stp>headers=false</stp>
        <tr r="DK35" s="5"/>
      </tp>
      <tp>
        <v>807.96683106018554</v>
        <stp/>
        <stp>##V3_BVIEW</stp>
        <stp>[XSLP -Swap Line Pricer.xlsm]Swaps!R27C4</stp>
        <stp>PRICE FXFL 304254</stp>
        <stp>Pv01</stp>
        <stp>headers=false</stp>
        <tr r="D27" s="1"/>
      </tp>
      <tp>
        <v>5054.7459856297492</v>
        <stp/>
        <stp>##V3_BVIEW</stp>
        <stp>[XSLP -Swap Line Pricer.xlsm]Swaps!R38C4</stp>
        <stp>PRICE FXFL 284275</stp>
        <stp>Pv01</stp>
        <stp>headers=false</stp>
        <tr r="D38" s="1"/>
      </tp>
      <tp>
        <v>5054.7459856297492</v>
        <stp/>
        <stp>##V3_BVIEW</stp>
        <stp>[XSLP -Swap Line Pricer.xlsm]Swaps!R39C4</stp>
        <stp>PRICE FXFL 284275</stp>
        <stp>Pv01</stp>
        <stp>headers=false</stp>
        <tr r="D39" s="1"/>
      </tp>
      <tp>
        <v>5054.7459856297492</v>
        <stp/>
        <stp>##V3_BVIEW</stp>
        <stp>[XSLP -Swap Line Pricer.xlsm]Swaps!R34C4</stp>
        <stp>PRICE FXFL 284275</stp>
        <stp>Pv01</stp>
        <stp>headers=false</stp>
        <tr r="D34" s="1"/>
      </tp>
      <tp>
        <v>5054.7459856297492</v>
        <stp/>
        <stp>##V3_BVIEW</stp>
        <stp>[XSLP -Swap Line Pricer.xlsm]Swaps!R35C4</stp>
        <stp>PRICE FXFL 284275</stp>
        <stp>Pv01</stp>
        <stp>headers=false</stp>
        <tr r="D35" s="1"/>
      </tp>
      <tp>
        <v>5054.7459856297492</v>
        <stp/>
        <stp>##V3_BVIEW</stp>
        <stp>[XSLP -Swap Line Pricer.xlsm]Swaps!R36C4</stp>
        <stp>PRICE FXFL 284275</stp>
        <stp>Pv01</stp>
        <stp>headers=false</stp>
        <tr r="D36" s="1"/>
      </tp>
      <tp>
        <v>5054.7459856297492</v>
        <stp/>
        <stp>##V3_BVIEW</stp>
        <stp>[XSLP -Swap Line Pricer.xlsm]Swaps!R37C4</stp>
        <stp>PRICE FXFL 284275</stp>
        <stp>Pv01</stp>
        <stp>headers=false</stp>
        <tr r="D37" s="1"/>
      </tp>
      <tp>
        <v>2327.1783055825967</v>
        <stp/>
        <stp>##V3_BVIEW</stp>
        <stp>[XSLP -Swap Line Pricer.xlsm]Swaps!R32C4</stp>
        <stp>PRICE FXFL 604099</stp>
        <stp>Pv01</stp>
        <stp>headers=false</stp>
        <tr r="D32" s="1"/>
      </tp>
      <tp t="s">
        <v>Name{%s},SolveTarget{%s},Default Setting{%s},Description{%s};DiscountCurve[EUR]{%s},FALSE{%s},S133:Mid:DFLT:EUR OIS{%s},{%s};ForwardCurve[EUR006M]{%s},FALSE{%s},S45:Mid:DFLT:EUR (vs. 6M EURIBOR){%s},{%s}##BCURVE_RS##</v>
        <stp/>
        <stp>##V3_BMARKETPARAMV12</stp>
        <stp>[XSLP -Swap Line Pricer.xlsm]Swaps!R25C83</stp>
        <stp>FXFL 64474</stp>
        <stp>array=true</stp>
        <tr r="CE25" s="1"/>
      </tp>
      <tp>
        <v>0</v>
        <stp/>
        <stp>##V3_BVIEW</stp>
        <stp>[XSLP -Swap Line Pricer.xlsm]Swaps!R26C71</stp>
        <stp>FXFL 927343</stp>
        <stp>Leg[2].Spread</stp>
        <stp>headers=false</stp>
        <tr r="BS26" s="1"/>
        <tr r="BS26" s="1"/>
      </tp>
      <tp>
        <v>0</v>
        <stp/>
        <stp>##V3_BVIEW</stp>
        <stp>[XSLP -Swap Line Pricer.xlsm]Swaps!R20C71</stp>
        <stp>FXFL 938373</stp>
        <stp>Leg[2].Spread</stp>
        <stp>headers=false</stp>
        <tr r="BS20" s="1"/>
        <tr r="BS20" s="1"/>
      </tp>
      <tp t="s">
        <v>#N/A No matches found [Parameter:OUTPUT]</v>
        <stp/>
        <stp>##V3_BVIEW</stp>
        <stp>[XSLP -Swap Line Pricer.xlsm]Swaps!R33C60</stp>
        <stp>FXFL 630096</stp>
        <stp>Leg[1].Spread</stp>
        <stp>headers=false</stp>
        <tr r="BH33" s="1"/>
      </tp>
      <tp>
        <v>0</v>
        <stp/>
        <stp>##V3_BVIEW</stp>
        <stp>[XSLP -Swap Line Pricer.xlsm]Swaps!R27C71</stp>
        <stp>FXFL 451356</stp>
        <stp>Leg[2].Spread</stp>
        <stp>headers=false</stp>
        <tr r="BS27" s="1"/>
        <tr r="BS27" s="1"/>
      </tp>
      <tp>
        <v>0</v>
        <stp/>
        <stp>##V3_BVIEW</stp>
        <stp>[XSLP -Swap Line Pricer.xlsm]Swaps!R21C71</stp>
        <stp>FXFL 597317</stp>
        <stp>Leg[2].Spread</stp>
        <stp>headers=false</stp>
        <tr r="BS21" s="1"/>
        <tr r="BS21" s="1"/>
      </tp>
      <tp t="s">
        <v>#N/A Invalid object ID</v>
        <stp/>
        <stp>##V3_BVIEW</stp>
        <stp>[XSLP -Swap Line Pricer.xlsm]Swaptions!R38C116</stp>
        <stp/>
        <stp>YieldOfPremium</stp>
        <stp>headers=false</stp>
        <tr r="DL38" s="5"/>
      </tp>
      <tp t="s">
        <v>#N/A Invalid object ID</v>
        <stp/>
        <stp>##V3_BVIEW</stp>
        <stp>[XSLP -Swap Line Pricer.xlsm]Swaptions!R28C116</stp>
        <stp/>
        <stp>YieldOfPremium</stp>
        <stp>headers=false</stp>
        <tr r="DL28" s="5"/>
      </tp>
      <tp t="s">
        <v>#N/A No matches found [Parameter:OUTPUT]</v>
        <stp/>
        <stp>##V3_BVIEW</stp>
        <stp>[XSLP -Swap Line Pricer.xlsm]Swaps!R26C60</stp>
        <stp>FXFL 927343</stp>
        <stp>Leg[1].Spread</stp>
        <stp>headers=false</stp>
        <tr r="BH26" s="1"/>
      </tp>
      <tp t="s">
        <v>#N/A No matches found [Parameter:OUTPUT]</v>
        <stp/>
        <stp>##V3_BVIEW</stp>
        <stp>[XSLP -Swap Line Pricer.xlsm]Swaps!R20C60</stp>
        <stp>FXFL 938373</stp>
        <stp>Leg[1].Spread</stp>
        <stp>headers=false</stp>
        <tr r="BH20" s="1"/>
      </tp>
      <tp>
        <v>0</v>
        <stp/>
        <stp>##V3_BVIEW</stp>
        <stp>[XSLP -Swap Line Pricer.xlsm]Swaps!R33C71</stp>
        <stp>FXFL 630096</stp>
        <stp>Leg[2].Spread</stp>
        <stp>headers=false</stp>
        <tr r="BS33" s="1"/>
        <tr r="BS33" s="1"/>
      </tp>
      <tp t="s">
        <v>#N/A No matches found [Parameter:OUTPUT]</v>
        <stp/>
        <stp>##V3_BVIEW</stp>
        <stp>[XSLP -Swap Line Pricer.xlsm]Swaps!R27C60</stp>
        <stp>FXFL 451356</stp>
        <stp>Leg[1].Spread</stp>
        <stp>headers=false</stp>
        <tr r="BH27" s="1"/>
      </tp>
      <tp t="s">
        <v>#N/A No matches found [Parameter:OUTPUT]</v>
        <stp/>
        <stp>##V3_BVIEW</stp>
        <stp>[XSLP -Swap Line Pricer.xlsm]Swaps!R21C60</stp>
        <stp>FXFL 597317</stp>
        <stp>Leg[1].Spread</stp>
        <stp>headers=false</stp>
        <tr r="BH21" s="1"/>
      </tp>
      <tp t="s">
        <v>#N/A Invalid object ID</v>
        <stp/>
        <stp>##V3_BVIEW</stp>
        <stp>[XSLP -Swap Line Pricer.xlsm]Swaptions!R28C114</stp>
        <stp/>
        <stp>UndDv01</stp>
        <stp>headers=false</stp>
        <tr r="DJ28" s="5"/>
      </tp>
      <tp t="s">
        <v>#N/A Invalid object ID</v>
        <stp/>
        <stp>##V3_BVIEW</stp>
        <stp>[XSLP -Swap Line Pricer.xlsm]Swaptions!R29C114</stp>
        <stp/>
        <stp>UndDv01</stp>
        <stp>headers=false</stp>
        <tr r="DJ29" s="5"/>
      </tp>
      <tp t="s">
        <v>#N/A Invalid object ID</v>
        <stp/>
        <stp>##V3_BVIEW</stp>
        <stp>[XSLP -Swap Line Pricer.xlsm]Swaptions!R24C114</stp>
        <stp/>
        <stp>UndDv01</stp>
        <stp>headers=false</stp>
        <tr r="DJ24" s="5"/>
      </tp>
      <tp t="s">
        <v>#N/A Invalid object ID</v>
        <stp/>
        <stp>##V3_BVIEW</stp>
        <stp>[XSLP -Swap Line Pricer.xlsm]Swaptions!R25C114</stp>
        <stp/>
        <stp>UndDv01</stp>
        <stp>headers=false</stp>
        <tr r="DJ25" s="5"/>
      </tp>
      <tp t="s">
        <v>#N/A Invalid object ID</v>
        <stp/>
        <stp>##V3_BVIEW</stp>
        <stp>[XSLP -Swap Line Pricer.xlsm]Swaptions!R26C114</stp>
        <stp/>
        <stp>UndDv01</stp>
        <stp>headers=false</stp>
        <tr r="DJ26" s="5"/>
      </tp>
      <tp t="s">
        <v>#N/A Invalid object ID</v>
        <stp/>
        <stp>##V3_BVIEW</stp>
        <stp>[XSLP -Swap Line Pricer.xlsm]Swaptions!R27C114</stp>
        <stp/>
        <stp>UndDv01</stp>
        <stp>headers=false</stp>
        <tr r="DJ27" s="5"/>
      </tp>
      <tp t="s">
        <v>#N/A Invalid object ID</v>
        <stp/>
        <stp>##V3_BVIEW</stp>
        <stp>[XSLP -Swap Line Pricer.xlsm]Swaptions!R20C114</stp>
        <stp/>
        <stp>UndDv01</stp>
        <stp>headers=false</stp>
        <tr r="DJ20" s="5"/>
      </tp>
      <tp t="s">
        <v>#N/A Invalid object ID</v>
        <stp/>
        <stp>##V3_BVIEW</stp>
        <stp>[XSLP -Swap Line Pricer.xlsm]Swaptions!R21C114</stp>
        <stp/>
        <stp>UndDv01</stp>
        <stp>headers=false</stp>
        <tr r="DJ21" s="5"/>
      </tp>
      <tp t="s">
        <v>#N/A Invalid object ID</v>
        <stp/>
        <stp>##V3_BVIEW</stp>
        <stp>[XSLP -Swap Line Pricer.xlsm]Swaptions!R22C114</stp>
        <stp/>
        <stp>UndDv01</stp>
        <stp>headers=false</stp>
        <tr r="DJ22" s="5"/>
      </tp>
      <tp t="s">
        <v>#N/A Invalid object ID</v>
        <stp/>
        <stp>##V3_BVIEW</stp>
        <stp>[XSLP -Swap Line Pricer.xlsm]Swaptions!R23C114</stp>
        <stp/>
        <stp>UndDv01</stp>
        <stp>headers=false</stp>
        <tr r="DJ23" s="5"/>
      </tp>
      <tp t="s">
        <v>#N/A Invalid object ID</v>
        <stp/>
        <stp>##V3_BVIEW</stp>
        <stp>[XSLP -Swap Line Pricer.xlsm]Swaptions!R38C114</stp>
        <stp/>
        <stp>UndDv01</stp>
        <stp>headers=false</stp>
        <tr r="DJ38" s="5"/>
      </tp>
      <tp t="s">
        <v>#N/A Invalid object ID</v>
        <stp/>
        <stp>##V3_BVIEW</stp>
        <stp>[XSLP -Swap Line Pricer.xlsm]Swaptions!R39C114</stp>
        <stp/>
        <stp>UndDv01</stp>
        <stp>headers=false</stp>
        <tr r="DJ39" s="5"/>
      </tp>
      <tp t="s">
        <v>#N/A Invalid object ID</v>
        <stp/>
        <stp>##V3_BVIEW</stp>
        <stp>[XSLP -Swap Line Pricer.xlsm]Swaptions!R34C114</stp>
        <stp/>
        <stp>UndDv01</stp>
        <stp>headers=false</stp>
        <tr r="DJ34" s="5"/>
      </tp>
      <tp t="s">
        <v>#N/A Invalid object ID</v>
        <stp/>
        <stp>##V3_BVIEW</stp>
        <stp>[XSLP -Swap Line Pricer.xlsm]Swaptions!R35C114</stp>
        <stp/>
        <stp>UndDv01</stp>
        <stp>headers=false</stp>
        <tr r="DJ35" s="5"/>
      </tp>
      <tp t="s">
        <v>#N/A Invalid object ID</v>
        <stp/>
        <stp>##V3_BVIEW</stp>
        <stp>[XSLP -Swap Line Pricer.xlsm]Swaptions!R36C114</stp>
        <stp/>
        <stp>UndDv01</stp>
        <stp>headers=false</stp>
        <tr r="DJ36" s="5"/>
      </tp>
      <tp t="s">
        <v>#N/A Invalid object ID</v>
        <stp/>
        <stp>##V3_BVIEW</stp>
        <stp>[XSLP -Swap Line Pricer.xlsm]Swaptions!R37C114</stp>
        <stp/>
        <stp>UndDv01</stp>
        <stp>headers=false</stp>
        <tr r="DJ37" s="5"/>
      </tp>
      <tp t="s">
        <v>#N/A Invalid object ID</v>
        <stp/>
        <stp>##V3_BVIEW</stp>
        <stp>[XSLP -Swap Line Pricer.xlsm]Swaptions!R30C114</stp>
        <stp/>
        <stp>UndDv01</stp>
        <stp>headers=false</stp>
        <tr r="DJ30" s="5"/>
      </tp>
      <tp t="s">
        <v>#N/A Invalid object ID</v>
        <stp/>
        <stp>##V3_BVIEW</stp>
        <stp>[XSLP -Swap Line Pricer.xlsm]Swaptions!R31C114</stp>
        <stp/>
        <stp>UndDv01</stp>
        <stp>headers=false</stp>
        <tr r="DJ31" s="5"/>
      </tp>
      <tp t="s">
        <v>#N/A Invalid object ID</v>
        <stp/>
        <stp>##V3_BVIEW</stp>
        <stp>[XSLP -Swap Line Pricer.xlsm]Swaptions!R32C114</stp>
        <stp/>
        <stp>UndDv01</stp>
        <stp>headers=false</stp>
        <tr r="DJ32" s="5"/>
      </tp>
      <tp t="s">
        <v>#N/A Invalid object ID</v>
        <stp/>
        <stp>##V3_BVIEW</stp>
        <stp>[XSLP -Swap Line Pricer.xlsm]Swaptions!R33C114</stp>
        <stp/>
        <stp>UndDv01</stp>
        <stp>headers=false</stp>
        <tr r="DJ33" s="5"/>
      </tp>
      <tp>
        <v>521.93187295686437</v>
        <stp/>
        <stp>##V3_BVIEW</stp>
        <stp>[XSLP -Swap Line Pricer.xlsm]Swaps!R24C3</stp>
        <stp>PRICE FXFL 326341</stp>
        <stp>Dv01</stp>
        <stp>headers=false</stp>
        <tr r="C24" s="1"/>
      </tp>
      <tp>
        <v>505.46729310836434</v>
        <stp/>
        <stp>##V3_BVIEW</stp>
        <stp>[XSLP -Swap Line Pricer.xlsm]Swaps!R24C4</stp>
        <stp>PRICE FXFL 326341</stp>
        <stp>Pv01</stp>
        <stp>headers=false</stp>
        <tr r="D24" s="1"/>
      </tp>
      <tp t="s">
        <v>#N/A Invalid object ID</v>
        <stp/>
        <stp>##V3_BVIEW</stp>
        <stp>[XSLP -Swap Line Pricer.xlsm]Swaptions!R39C116</stp>
        <stp/>
        <stp>YieldOfPremium</stp>
        <stp>headers=false</stp>
        <tr r="DL39" s="5"/>
      </tp>
      <tp t="s">
        <v>#N/A Invalid object ID</v>
        <stp/>
        <stp>##V3_BVIEW</stp>
        <stp>[XSLP -Swap Line Pricer.xlsm]Swaptions!R29C116</stp>
        <stp/>
        <stp>YieldOfPremium</stp>
        <stp>headers=false</stp>
        <tr r="DL29" s="5"/>
      </tp>
      <tp>
        <v>0</v>
        <stp/>
        <stp>##V3_BVIEW</stp>
        <stp>[XSLP -Swap Line Pricer.xlsm]Swaps!R22C71</stp>
        <stp>FXFL 582191</stp>
        <stp>Leg[2].Spread</stp>
        <stp>headers=false</stp>
        <tr r="BS22" s="1"/>
        <tr r="BS22" s="1"/>
      </tp>
      <tp>
        <v>0</v>
        <stp/>
        <stp>##V3_BVIEW</stp>
        <stp>[XSLP -Swap Line Pricer.xlsm]Swaps!R32C71</stp>
        <stp>FXFL 877169</stp>
        <stp>Leg[2].Spread</stp>
        <stp>headers=false</stp>
        <tr r="BS32" s="1"/>
        <tr r="BS32" s="1"/>
      </tp>
      <tp>
        <v>0</v>
        <stp/>
        <stp>##V3_BVIEW</stp>
        <stp>[XSLP -Swap Line Pricer.xlsm]Swaps!R23C71</stp>
        <stp>FXFL 729164</stp>
        <stp>Leg[2].Spread</stp>
        <stp>headers=false</stp>
        <tr r="BS23" s="1"/>
        <tr r="BS23" s="1"/>
      </tp>
      <tp t="s">
        <v>FXFL 1033483</v>
        <stp/>
        <stp>##V3_BSTRUCTUREV12</stp>
        <stp>[XSLP -Swap Line Pricer.xlsm]Swaps!R39C108</stp>
        <stp xml:space="preserve">FXFL  </stp>
        <stp>Leg[1].PayoffSide</stp>
        <stp/>
        <stp>Leg[1].FixedCoupon_x0002_Leg[1].Spread_x0002_Leg[1].FloatingIndex_x0002_Leg[1].PayFrequency_x0002_Leg[1].DayCount_x0002_Leg[1].ResetFrequency_x0002_Leg[1].CalcBasis</stp>
        <stp>_x0002__x0002__x0002__x0002__x0002__x0002_</stp>
        <stp>Leg[2].PayoffSide</stp>
        <stp/>
        <stp>Leg[2].FixedCoupon_x0002_Leg[2].Spread_x0002_Leg[2].FloatingIndex_x0002_Leg[2].PayFrequency_x0002_Leg[2].DayCount_x0002_Leg[2].ResetFrequency_x0002_Leg[2].CalcBasis</stp>
        <stp>_x0002__x0002__x0002__x0002__x0002__x0002_</stp>
        <stp>PrincipalExchange</stp>
        <stp/>
        <stp>Leg[1].currency_x0002_Leg[1].notional_x0002_Leg[2].currency_x0002_Leg[2].notional</stp>
        <stp>_x0002__x0002__x0002_</stp>
        <stp/>
        <stp/>
        <stp/>
        <stp/>
        <stp>CsaCollateralCurrency</stp>
        <stp/>
        <stp>ignoreinvalidparams=true</stp>
        <tr r="DD39" s="1"/>
      </tp>
      <tp t="s">
        <v>FXFL 1033483</v>
        <stp/>
        <stp>##V3_BSTRUCTUREV12</stp>
        <stp>[XSLP -Swap Line Pricer.xlsm]Swaps!R38C108</stp>
        <stp xml:space="preserve">FXFL  </stp>
        <stp>Leg[1].PayoffSide</stp>
        <stp/>
        <stp>Leg[1].FixedCoupon_x0002_Leg[1].Spread_x0002_Leg[1].FloatingIndex_x0002_Leg[1].PayFrequency_x0002_Leg[1].DayCount_x0002_Leg[1].ResetFrequency_x0002_Leg[1].CalcBasis</stp>
        <stp>_x0002__x0002__x0002__x0002__x0002__x0002_</stp>
        <stp>Leg[2].PayoffSide</stp>
        <stp/>
        <stp>Leg[2].FixedCoupon_x0002_Leg[2].Spread_x0002_Leg[2].FloatingIndex_x0002_Leg[2].PayFrequency_x0002_Leg[2].DayCount_x0002_Leg[2].ResetFrequency_x0002_Leg[2].CalcBasis</stp>
        <stp>_x0002__x0002__x0002__x0002__x0002__x0002_</stp>
        <stp>PrincipalExchange</stp>
        <stp/>
        <stp>Leg[1].currency_x0002_Leg[1].notional_x0002_Leg[2].currency_x0002_Leg[2].notional</stp>
        <stp>_x0002__x0002__x0002_</stp>
        <stp/>
        <stp/>
        <stp/>
        <stp/>
        <stp>CsaCollateralCurrency</stp>
        <stp/>
        <stp>ignoreinvalidparams=true</stp>
        <tr r="DD38" s="1"/>
      </tp>
      <tp t="s">
        <v>FXFL 1033483</v>
        <stp/>
        <stp>##V3_BSTRUCTUREV12</stp>
        <stp>[XSLP -Swap Line Pricer.xlsm]Swaps!R37C108</stp>
        <stp xml:space="preserve">FXFL  </stp>
        <stp>Leg[1].PayoffSide</stp>
        <stp/>
        <stp>Leg[1].FixedCoupon_x0002_Leg[1].Spread_x0002_Leg[1].FloatingIndex_x0002_Leg[1].PayFrequency_x0002_Leg[1].DayCount_x0002_Leg[1].ResetFrequency_x0002_Leg[1].CalcBasis</stp>
        <stp>_x0002__x0002__x0002__x0002__x0002__x0002_</stp>
        <stp>Leg[2].PayoffSide</stp>
        <stp/>
        <stp>Leg[2].FixedCoupon_x0002_Leg[2].Spread_x0002_Leg[2].FloatingIndex_x0002_Leg[2].PayFrequency_x0002_Leg[2].DayCount_x0002_Leg[2].ResetFrequency_x0002_Leg[2].CalcBasis</stp>
        <stp>_x0002__x0002__x0002__x0002__x0002__x0002_</stp>
        <stp>PrincipalExchange</stp>
        <stp/>
        <stp>Leg[1].currency_x0002_Leg[1].notional_x0002_Leg[2].currency_x0002_Leg[2].notional</stp>
        <stp>_x0002__x0002__x0002_</stp>
        <stp/>
        <stp/>
        <stp/>
        <stp/>
        <stp>CsaCollateralCurrency</stp>
        <stp/>
        <stp>ignoreinvalidparams=true</stp>
        <tr r="DD37" s="1"/>
      </tp>
      <tp t="s">
        <v>FXFL 1033483</v>
        <stp/>
        <stp>##V3_BSTRUCTUREV12</stp>
        <stp>[XSLP -Swap Line Pricer.xlsm]Swaps!R36C108</stp>
        <stp xml:space="preserve">FXFL  </stp>
        <stp>Leg[1].PayoffSide</stp>
        <stp/>
        <stp>Leg[1].FixedCoupon_x0002_Leg[1].Spread_x0002_Leg[1].FloatingIndex_x0002_Leg[1].PayFrequency_x0002_Leg[1].DayCount_x0002_Leg[1].ResetFrequency_x0002_Leg[1].CalcBasis</stp>
        <stp>_x0002__x0002__x0002__x0002__x0002__x0002_</stp>
        <stp>Leg[2].PayoffSide</stp>
        <stp/>
        <stp>Leg[2].FixedCoupon_x0002_Leg[2].Spread_x0002_Leg[2].FloatingIndex_x0002_Leg[2].PayFrequency_x0002_Leg[2].DayCount_x0002_Leg[2].ResetFrequency_x0002_Leg[2].CalcBasis</stp>
        <stp>_x0002__x0002__x0002__x0002__x0002__x0002_</stp>
        <stp>PrincipalExchange</stp>
        <stp/>
        <stp>Leg[1].currency_x0002_Leg[1].notional_x0002_Leg[2].currency_x0002_Leg[2].notional</stp>
        <stp>_x0002__x0002__x0002_</stp>
        <stp/>
        <stp/>
        <stp/>
        <stp/>
        <stp>CsaCollateralCurrency</stp>
        <stp/>
        <stp>ignoreinvalidparams=true</stp>
        <tr r="DD36" s="1"/>
      </tp>
      <tp t="s">
        <v>FXFL 1033483</v>
        <stp/>
        <stp>##V3_BSTRUCTUREV12</stp>
        <stp>[XSLP -Swap Line Pricer.xlsm]Swaps!R35C108</stp>
        <stp xml:space="preserve">FXFL  </stp>
        <stp>Leg[1].PayoffSide</stp>
        <stp/>
        <stp>Leg[1].FixedCoupon_x0002_Leg[1].Spread_x0002_Leg[1].FloatingIndex_x0002_Leg[1].PayFrequency_x0002_Leg[1].DayCount_x0002_Leg[1].ResetFrequency_x0002_Leg[1].CalcBasis</stp>
        <stp>_x0002__x0002__x0002__x0002__x0002__x0002_</stp>
        <stp>Leg[2].PayoffSide</stp>
        <stp/>
        <stp>Leg[2].FixedCoupon_x0002_Leg[2].Spread_x0002_Leg[2].FloatingIndex_x0002_Leg[2].PayFrequency_x0002_Leg[2].DayCount_x0002_Leg[2].ResetFrequency_x0002_Leg[2].CalcBasis</stp>
        <stp>_x0002__x0002__x0002__x0002__x0002__x0002_</stp>
        <stp>PrincipalExchange</stp>
        <stp/>
        <stp>Leg[1].currency_x0002_Leg[1].notional_x0002_Leg[2].currency_x0002_Leg[2].notional</stp>
        <stp>_x0002__x0002__x0002_</stp>
        <stp/>
        <stp/>
        <stp/>
        <stp/>
        <stp>CsaCollateralCurrency</stp>
        <stp/>
        <stp>ignoreinvalidparams=true</stp>
        <tr r="DD35" s="1"/>
      </tp>
      <tp t="s">
        <v>FXFL 1033483</v>
        <stp/>
        <stp>##V3_BSTRUCTUREV12</stp>
        <stp>[XSLP -Swap Line Pricer.xlsm]Swaps!R34C108</stp>
        <stp xml:space="preserve">FXFL  </stp>
        <stp>Leg[1].PayoffSide</stp>
        <stp/>
        <stp>Leg[1].FixedCoupon_x0002_Leg[1].Spread_x0002_Leg[1].FloatingIndex_x0002_Leg[1].PayFrequency_x0002_Leg[1].DayCount_x0002_Leg[1].ResetFrequency_x0002_Leg[1].CalcBasis</stp>
        <stp>_x0002__x0002__x0002__x0002__x0002__x0002_</stp>
        <stp>Leg[2].PayoffSide</stp>
        <stp/>
        <stp>Leg[2].FixedCoupon_x0002_Leg[2].Spread_x0002_Leg[2].FloatingIndex_x0002_Leg[2].PayFrequency_x0002_Leg[2].DayCount_x0002_Leg[2].ResetFrequency_x0002_Leg[2].CalcBasis</stp>
        <stp>_x0002__x0002__x0002__x0002__x0002__x0002_</stp>
        <stp>PrincipalExchange</stp>
        <stp/>
        <stp>Leg[1].currency_x0002_Leg[1].notional_x0002_Leg[2].currency_x0002_Leg[2].notional</stp>
        <stp>_x0002__x0002__x0002_</stp>
        <stp/>
        <stp/>
        <stp/>
        <stp/>
        <stp>CsaCollateralCurrency</stp>
        <stp/>
        <stp>ignoreinvalidparams=true</stp>
        <tr r="DD34" s="1"/>
      </tp>
    </main>
  </volType>
</volType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volatileDependencies" Target="volatileDependencies.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1.jpeg"/><Relationship Id="rId1" Type="http://schemas.openxmlformats.org/officeDocument/2006/relationships/image" Target="../media/image2.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2</xdr:col>
      <xdr:colOff>544830</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522275</xdr:colOff>
      <xdr:row>1</xdr:row>
      <xdr:rowOff>0</xdr:rowOff>
    </xdr:from>
    <xdr:to>
      <xdr:col>26</xdr:col>
      <xdr:colOff>247955</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Single Line Pricer</a:t>
          </a:r>
        </a:p>
      </xdr:txBody>
    </xdr:sp>
    <xdr:clientData/>
  </xdr:twoCellAnchor>
  <mc:AlternateContent xmlns:mc="http://schemas.openxmlformats.org/markup-compatibility/2006">
    <mc:Choice xmlns:a14="http://schemas.microsoft.com/office/drawing/2010/main" Requires="a14">
      <xdr:twoCellAnchor>
        <xdr:from>
          <xdr:col>3</xdr:col>
          <xdr:colOff>19050</xdr:colOff>
          <xdr:row>9</xdr:row>
          <xdr:rowOff>95250</xdr:rowOff>
        </xdr:from>
        <xdr:to>
          <xdr:col>5</xdr:col>
          <xdr:colOff>904875</xdr:colOff>
          <xdr:row>11</xdr:row>
          <xdr:rowOff>95250</xdr:rowOff>
        </xdr:to>
        <xdr:sp macro="" textlink="">
          <xdr:nvSpPr>
            <xdr:cNvPr id="1028" name="SwapsClear"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1104900</xdr:colOff>
          <xdr:row>9</xdr:row>
          <xdr:rowOff>95250</xdr:rowOff>
        </xdr:from>
        <xdr:to>
          <xdr:col>13</xdr:col>
          <xdr:colOff>0</xdr:colOff>
          <xdr:row>11</xdr:row>
          <xdr:rowOff>28575</xdr:rowOff>
        </xdr:to>
        <xdr:sp macro="" textlink="">
          <xdr:nvSpPr>
            <xdr:cNvPr id="1029" name="ClearSelected"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11</xdr:row>
          <xdr:rowOff>142875</xdr:rowOff>
        </xdr:from>
        <xdr:to>
          <xdr:col>11</xdr:col>
          <xdr:colOff>1000125</xdr:colOff>
          <xdr:row>13</xdr:row>
          <xdr:rowOff>66675</xdr:rowOff>
        </xdr:to>
        <xdr:sp macro="" textlink="">
          <xdr:nvSpPr>
            <xdr:cNvPr id="1044" name="SaveId"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Selected Deal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9</xdr:row>
          <xdr:rowOff>104775</xdr:rowOff>
        </xdr:from>
        <xdr:to>
          <xdr:col>11</xdr:col>
          <xdr:colOff>1000125</xdr:colOff>
          <xdr:row>11</xdr:row>
          <xdr:rowOff>38100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Solver Outputs To Inputs</a:t>
              </a:r>
            </a:p>
            <a:p>
              <a:pPr algn="ctr" rtl="0">
                <a:defRPr sz="1000"/>
              </a:pPr>
              <a:endParaRPr lang="en-GB" sz="1100" b="0" i="0" u="none" strike="noStrike" baseline="0">
                <a:solidFill>
                  <a:srgbClr val="000000"/>
                </a:solidFill>
                <a:latin typeface="Calibri"/>
                <a:cs typeface="Calibri"/>
              </a:endParaRP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9</xdr:row>
          <xdr:rowOff>95250</xdr:rowOff>
        </xdr:from>
        <xdr:to>
          <xdr:col>3</xdr:col>
          <xdr:colOff>9525</xdr:colOff>
          <xdr:row>11</xdr:row>
          <xdr:rowOff>95250</xdr:rowOff>
        </xdr:to>
        <xdr:sp macro="" textlink="">
          <xdr:nvSpPr>
            <xdr:cNvPr id="1064" name="View"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Expanded View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59055</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3</xdr:col>
      <xdr:colOff>36500</xdr:colOff>
      <xdr:row>1</xdr:row>
      <xdr:rowOff>0</xdr:rowOff>
    </xdr:from>
    <xdr:to>
      <xdr:col>17</xdr:col>
      <xdr:colOff>695630</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Single Line Pricer</a:t>
          </a:r>
        </a:p>
      </xdr:txBody>
    </xdr:sp>
    <xdr:clientData/>
  </xdr:twoCellAnchor>
  <mc:AlternateContent xmlns:mc="http://schemas.openxmlformats.org/markup-compatibility/2006">
    <mc:Choice xmlns:a14="http://schemas.microsoft.com/office/drawing/2010/main" Requires="a14">
      <xdr:twoCellAnchor>
        <xdr:from>
          <xdr:col>7</xdr:col>
          <xdr:colOff>9525</xdr:colOff>
          <xdr:row>10</xdr:row>
          <xdr:rowOff>9525</xdr:rowOff>
        </xdr:from>
        <xdr:to>
          <xdr:col>9</xdr:col>
          <xdr:colOff>0</xdr:colOff>
          <xdr:row>11</xdr:row>
          <xdr:rowOff>38100</xdr:rowOff>
        </xdr:to>
        <xdr:sp macro="" textlink="">
          <xdr:nvSpPr>
            <xdr:cNvPr id="5122" name="SwapsClear"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11</xdr:row>
          <xdr:rowOff>85725</xdr:rowOff>
        </xdr:from>
        <xdr:to>
          <xdr:col>9</xdr:col>
          <xdr:colOff>0</xdr:colOff>
          <xdr:row>12</xdr:row>
          <xdr:rowOff>104775</xdr:rowOff>
        </xdr:to>
        <xdr:sp macro="" textlink="">
          <xdr:nvSpPr>
            <xdr:cNvPr id="5123" name="ClearSelected" hidden="1">
              <a:extLst>
                <a:ext uri="{63B3BB69-23CF-44E3-9099-C40C66FF867C}">
                  <a14:compatExt spid="_x0000_s51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12</xdr:row>
          <xdr:rowOff>152400</xdr:rowOff>
        </xdr:from>
        <xdr:to>
          <xdr:col>9</xdr:col>
          <xdr:colOff>0</xdr:colOff>
          <xdr:row>13</xdr:row>
          <xdr:rowOff>180975</xdr:rowOff>
        </xdr:to>
        <xdr:sp macro="" textlink="">
          <xdr:nvSpPr>
            <xdr:cNvPr id="5124" name="SaveId" hidden="1">
              <a:extLst>
                <a:ext uri="{63B3BB69-23CF-44E3-9099-C40C66FF867C}">
                  <a14:compatExt spid="_x0000_s51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Selected Deal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xdr:col>
      <xdr:colOff>1821180</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1</xdr:col>
      <xdr:colOff>1798625</xdr:colOff>
      <xdr:row>1</xdr:row>
      <xdr:rowOff>0</xdr:rowOff>
    </xdr:from>
    <xdr:to>
      <xdr:col>12</xdr:col>
      <xdr:colOff>314630</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Single Line Pricer</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114300</xdr:colOff>
      <xdr:row>1</xdr:row>
      <xdr:rowOff>0</xdr:rowOff>
    </xdr:from>
    <xdr:to>
      <xdr:col>2</xdr:col>
      <xdr:colOff>268605</xdr:colOff>
      <xdr:row>3</xdr:row>
      <xdr:rowOff>182880</xdr:rowOff>
    </xdr:to>
    <xdr:pic>
      <xdr:nvPicPr>
        <xdr:cNvPr id="2" name="Bloomberg"/>
        <xdr:cNvPicPr>
          <a:picLocks noChangeAspect="1"/>
        </xdr:cNvPicPr>
      </xdr:nvPicPr>
      <xdr:blipFill>
        <a:blip xmlns:r="http://schemas.openxmlformats.org/officeDocument/2006/relationships" r:embed="rId1"/>
        <a:stretch>
          <a:fillRect/>
        </a:stretch>
      </xdr:blipFill>
      <xdr:spPr>
        <a:xfrm>
          <a:off x="114300" y="57150"/>
          <a:ext cx="1821180" cy="563880"/>
        </a:xfrm>
        <a:prstGeom prst="rect">
          <a:avLst/>
        </a:prstGeom>
      </xdr:spPr>
    </xdr:pic>
    <xdr:clientData/>
  </xdr:twoCellAnchor>
  <xdr:twoCellAnchor editAs="absolute">
    <xdr:from>
      <xdr:col>2</xdr:col>
      <xdr:colOff>246050</xdr:colOff>
      <xdr:row>1</xdr:row>
      <xdr:rowOff>0</xdr:rowOff>
    </xdr:from>
    <xdr:to>
      <xdr:col>10</xdr:col>
      <xdr:colOff>828980</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Single Line Pricer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266700</xdr:colOff>
      <xdr:row>22</xdr:row>
      <xdr:rowOff>89778</xdr:rowOff>
    </xdr:from>
    <xdr:to>
      <xdr:col>17</xdr:col>
      <xdr:colOff>514350</xdr:colOff>
      <xdr:row>31</xdr:row>
      <xdr:rowOff>67295</xdr:rowOff>
    </xdr:to>
    <xdr:pic>
      <xdr:nvPicPr>
        <xdr:cNvPr id="4" name="Picture 3"/>
        <xdr:cNvPicPr>
          <a:picLocks noChangeAspect="1"/>
        </xdr:cNvPicPr>
      </xdr:nvPicPr>
      <xdr:blipFill>
        <a:blip xmlns:r="http://schemas.openxmlformats.org/officeDocument/2006/relationships" r:embed="rId1"/>
        <a:stretch>
          <a:fillRect/>
        </a:stretch>
      </xdr:blipFill>
      <xdr:spPr>
        <a:xfrm>
          <a:off x="4038600" y="4023603"/>
          <a:ext cx="6343650" cy="1692017"/>
        </a:xfrm>
        <a:prstGeom prst="rect">
          <a:avLst/>
        </a:prstGeom>
        <a:effectLst>
          <a:outerShdw blurRad="50800" dist="38100" dir="2700000" algn="tl">
            <a:prstClr val="black">
              <a:alpha val="40000"/>
            </a:prstClr>
          </a:outerShdw>
          <a:softEdge rad="25400"/>
        </a:effectLst>
      </xdr:spPr>
    </xdr:pic>
    <xdr:clientData/>
  </xdr:twoCellAnchor>
  <xdr:twoCellAnchor editAs="absolute">
    <xdr:from>
      <xdr:col>1</xdr:col>
      <xdr:colOff>0</xdr:colOff>
      <xdr:row>1</xdr:row>
      <xdr:rowOff>0</xdr:rowOff>
    </xdr:from>
    <xdr:to>
      <xdr:col>3</xdr:col>
      <xdr:colOff>601980</xdr:colOff>
      <xdr:row>3</xdr:row>
      <xdr:rowOff>182880</xdr:rowOff>
    </xdr:to>
    <xdr:pic>
      <xdr:nvPicPr>
        <xdr:cNvPr id="2" name="Bloomberg"/>
        <xdr:cNvPicPr>
          <a:picLocks noChangeAspect="1"/>
        </xdr:cNvPicPr>
      </xdr:nvPicPr>
      <xdr:blipFill>
        <a:blip xmlns:r="http://schemas.openxmlformats.org/officeDocument/2006/relationships" r:embed="rId2"/>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Single Line Pricer</a:t>
          </a:r>
        </a:p>
      </xdr:txBody>
    </xdr:sp>
    <xdr:clientData/>
  </xdr:twoCellAnchor>
  <xdr:twoCellAnchor editAs="oneCell">
    <xdr:from>
      <xdr:col>12</xdr:col>
      <xdr:colOff>114300</xdr:colOff>
      <xdr:row>19</xdr:row>
      <xdr:rowOff>20202</xdr:rowOff>
    </xdr:from>
    <xdr:to>
      <xdr:col>14</xdr:col>
      <xdr:colOff>447675</xdr:colOff>
      <xdr:row>21</xdr:row>
      <xdr:rowOff>95117</xdr:rowOff>
    </xdr:to>
    <xdr:pic>
      <xdr:nvPicPr>
        <xdr:cNvPr id="5" name="Picture 4"/>
        <xdr:cNvPicPr>
          <a:picLocks noChangeAspect="1"/>
        </xdr:cNvPicPr>
      </xdr:nvPicPr>
      <xdr:blipFill>
        <a:blip xmlns:r="http://schemas.openxmlformats.org/officeDocument/2006/relationships" r:embed="rId3"/>
        <a:stretch>
          <a:fillRect/>
        </a:stretch>
      </xdr:blipFill>
      <xdr:spPr>
        <a:xfrm>
          <a:off x="6934200" y="3382527"/>
          <a:ext cx="1552575" cy="455915"/>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19050</xdr:colOff>
      <xdr:row>15</xdr:row>
      <xdr:rowOff>38099</xdr:rowOff>
    </xdr:from>
    <xdr:to>
      <xdr:col>9</xdr:col>
      <xdr:colOff>9525</xdr:colOff>
      <xdr:row>19</xdr:row>
      <xdr:rowOff>28574</xdr:rowOff>
    </xdr:to>
    <xdr:sp macro="" textlink="">
      <xdr:nvSpPr>
        <xdr:cNvPr id="11" name="DbgShadowBox"/>
        <xdr:cNvSpPr/>
      </xdr:nvSpPr>
      <xdr:spPr bwMode="auto">
        <a:xfrm>
          <a:off x="1352550" y="2638424"/>
          <a:ext cx="3648075" cy="7524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To enter a new swap, a deal type, a saved swap ID or a favourite needs to be entered.</a:t>
          </a:r>
        </a:p>
      </xdr:txBody>
    </xdr:sp>
    <xdr:clientData/>
  </xdr:twoCellAnchor>
  <xdr:twoCellAnchor>
    <xdr:from>
      <xdr:col>3</xdr:col>
      <xdr:colOff>47624</xdr:colOff>
      <xdr:row>23</xdr:row>
      <xdr:rowOff>57150</xdr:rowOff>
    </xdr:from>
    <xdr:to>
      <xdr:col>6</xdr:col>
      <xdr:colOff>495299</xdr:colOff>
      <xdr:row>26</xdr:row>
      <xdr:rowOff>171450</xdr:rowOff>
    </xdr:to>
    <xdr:sp macro="" textlink="">
      <xdr:nvSpPr>
        <xdr:cNvPr id="22" name="DbgShadowBox"/>
        <xdr:cNvSpPr/>
      </xdr:nvSpPr>
      <xdr:spPr bwMode="auto">
        <a:xfrm>
          <a:off x="1381124" y="4181475"/>
          <a:ext cx="2276475" cy="6858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The tabs can help you quickly find fields that you wish to override.</a:t>
          </a:r>
        </a:p>
      </xdr:txBody>
    </xdr:sp>
    <xdr:clientData/>
  </xdr:twoCellAnchor>
  <xdr:twoCellAnchor>
    <xdr:from>
      <xdr:col>6</xdr:col>
      <xdr:colOff>495299</xdr:colOff>
      <xdr:row>25</xdr:row>
      <xdr:rowOff>19050</xdr:rowOff>
    </xdr:from>
    <xdr:to>
      <xdr:col>7</xdr:col>
      <xdr:colOff>219075</xdr:colOff>
      <xdr:row>25</xdr:row>
      <xdr:rowOff>152400</xdr:rowOff>
    </xdr:to>
    <xdr:cxnSp macro="">
      <xdr:nvCxnSpPr>
        <xdr:cNvPr id="23" name="DbgGradArrow"/>
        <xdr:cNvCxnSpPr>
          <a:stCxn id="22" idx="3"/>
        </xdr:cNvCxnSpPr>
      </xdr:nvCxnSpPr>
      <xdr:spPr bwMode="auto">
        <a:xfrm>
          <a:off x="3657599" y="4524375"/>
          <a:ext cx="333376" cy="133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495300</xdr:colOff>
      <xdr:row>36</xdr:row>
      <xdr:rowOff>188981</xdr:rowOff>
    </xdr:from>
    <xdr:to>
      <xdr:col>17</xdr:col>
      <xdr:colOff>389667</xdr:colOff>
      <xdr:row>44</xdr:row>
      <xdr:rowOff>152187</xdr:rowOff>
    </xdr:to>
    <xdr:pic>
      <xdr:nvPicPr>
        <xdr:cNvPr id="32" name="Picture 31"/>
        <xdr:cNvPicPr>
          <a:picLocks noChangeAspect="1"/>
        </xdr:cNvPicPr>
      </xdr:nvPicPr>
      <xdr:blipFill>
        <a:blip xmlns:r="http://schemas.openxmlformats.org/officeDocument/2006/relationships" r:embed="rId4"/>
        <a:stretch>
          <a:fillRect/>
        </a:stretch>
      </xdr:blipFill>
      <xdr:spPr>
        <a:xfrm>
          <a:off x="4267200" y="6789806"/>
          <a:ext cx="5990367" cy="1487206"/>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57150</xdr:colOff>
      <xdr:row>36</xdr:row>
      <xdr:rowOff>9525</xdr:rowOff>
    </xdr:from>
    <xdr:to>
      <xdr:col>7</xdr:col>
      <xdr:colOff>325742</xdr:colOff>
      <xdr:row>39</xdr:row>
      <xdr:rowOff>47625</xdr:rowOff>
    </xdr:to>
    <xdr:sp macro="" textlink="">
      <xdr:nvSpPr>
        <xdr:cNvPr id="33" name="DbgShadowBox"/>
        <xdr:cNvSpPr/>
      </xdr:nvSpPr>
      <xdr:spPr bwMode="auto">
        <a:xfrm>
          <a:off x="1390650" y="6619875"/>
          <a:ext cx="2706992" cy="6096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dates either using a rolling format such as "1Y 5Y" format or by entering explicit dates. </a:t>
          </a:r>
        </a:p>
      </xdr:txBody>
    </xdr:sp>
    <xdr:clientData/>
  </xdr:twoCellAnchor>
  <xdr:twoCellAnchor>
    <xdr:from>
      <xdr:col>7</xdr:col>
      <xdr:colOff>325742</xdr:colOff>
      <xdr:row>37</xdr:row>
      <xdr:rowOff>123825</xdr:rowOff>
    </xdr:from>
    <xdr:to>
      <xdr:col>8</xdr:col>
      <xdr:colOff>438150</xdr:colOff>
      <xdr:row>40</xdr:row>
      <xdr:rowOff>57150</xdr:rowOff>
    </xdr:to>
    <xdr:cxnSp macro="">
      <xdr:nvCxnSpPr>
        <xdr:cNvPr id="34" name="DbgGradArrow"/>
        <xdr:cNvCxnSpPr>
          <a:stCxn id="33" idx="3"/>
        </xdr:cNvCxnSpPr>
      </xdr:nvCxnSpPr>
      <xdr:spPr bwMode="auto">
        <a:xfrm>
          <a:off x="4097642" y="6924675"/>
          <a:ext cx="722008" cy="504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325742</xdr:colOff>
      <xdr:row>37</xdr:row>
      <xdr:rowOff>123825</xdr:rowOff>
    </xdr:from>
    <xdr:to>
      <xdr:col>8</xdr:col>
      <xdr:colOff>28575</xdr:colOff>
      <xdr:row>41</xdr:row>
      <xdr:rowOff>0</xdr:rowOff>
    </xdr:to>
    <xdr:cxnSp macro="">
      <xdr:nvCxnSpPr>
        <xdr:cNvPr id="37" name="DbgGradArrow"/>
        <xdr:cNvCxnSpPr>
          <a:stCxn id="33" idx="3"/>
        </xdr:cNvCxnSpPr>
      </xdr:nvCxnSpPr>
      <xdr:spPr bwMode="auto">
        <a:xfrm>
          <a:off x="4097642" y="6924675"/>
          <a:ext cx="312433" cy="6381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66675</xdr:colOff>
      <xdr:row>42</xdr:row>
      <xdr:rowOff>38100</xdr:rowOff>
    </xdr:from>
    <xdr:to>
      <xdr:col>7</xdr:col>
      <xdr:colOff>295275</xdr:colOff>
      <xdr:row>46</xdr:row>
      <xdr:rowOff>19871</xdr:rowOff>
    </xdr:to>
    <xdr:sp macro="" textlink="">
      <xdr:nvSpPr>
        <xdr:cNvPr id="40" name="DbgShadowBox"/>
        <xdr:cNvSpPr/>
      </xdr:nvSpPr>
      <xdr:spPr bwMode="auto">
        <a:xfrm>
          <a:off x="1400175" y="7791450"/>
          <a:ext cx="2667000" cy="74377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fields that you wish to override. Grey cells signify that the field is not relevant for the deal type selected.</a:t>
          </a:r>
        </a:p>
      </xdr:txBody>
    </xdr:sp>
    <xdr:clientData/>
  </xdr:twoCellAnchor>
  <xdr:twoCellAnchor>
    <xdr:from>
      <xdr:col>7</xdr:col>
      <xdr:colOff>295275</xdr:colOff>
      <xdr:row>42</xdr:row>
      <xdr:rowOff>85725</xdr:rowOff>
    </xdr:from>
    <xdr:to>
      <xdr:col>10</xdr:col>
      <xdr:colOff>219075</xdr:colOff>
      <xdr:row>44</xdr:row>
      <xdr:rowOff>28986</xdr:rowOff>
    </xdr:to>
    <xdr:cxnSp macro="">
      <xdr:nvCxnSpPr>
        <xdr:cNvPr id="43" name="DbgGradArrow"/>
        <xdr:cNvCxnSpPr>
          <a:stCxn id="40" idx="3"/>
        </xdr:cNvCxnSpPr>
      </xdr:nvCxnSpPr>
      <xdr:spPr bwMode="auto">
        <a:xfrm flipV="1">
          <a:off x="4067175" y="7839075"/>
          <a:ext cx="1752600" cy="32426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295275</xdr:colOff>
      <xdr:row>42</xdr:row>
      <xdr:rowOff>76200</xdr:rowOff>
    </xdr:from>
    <xdr:to>
      <xdr:col>16</xdr:col>
      <xdr:colOff>85725</xdr:colOff>
      <xdr:row>44</xdr:row>
      <xdr:rowOff>28986</xdr:rowOff>
    </xdr:to>
    <xdr:cxnSp macro="">
      <xdr:nvCxnSpPr>
        <xdr:cNvPr id="46" name="DbgGradArrow"/>
        <xdr:cNvCxnSpPr>
          <a:stCxn id="40" idx="3"/>
        </xdr:cNvCxnSpPr>
      </xdr:nvCxnSpPr>
      <xdr:spPr bwMode="auto">
        <a:xfrm flipV="1">
          <a:off x="4067175" y="7829550"/>
          <a:ext cx="5276850" cy="33378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438149</xdr:colOff>
      <xdr:row>52</xdr:row>
      <xdr:rowOff>109097</xdr:rowOff>
    </xdr:from>
    <xdr:to>
      <xdr:col>17</xdr:col>
      <xdr:colOff>418160</xdr:colOff>
      <xdr:row>57</xdr:row>
      <xdr:rowOff>180817</xdr:rowOff>
    </xdr:to>
    <xdr:pic>
      <xdr:nvPicPr>
        <xdr:cNvPr id="49" name="Picture 48"/>
        <xdr:cNvPicPr>
          <a:picLocks noChangeAspect="1"/>
        </xdr:cNvPicPr>
      </xdr:nvPicPr>
      <xdr:blipFill>
        <a:blip xmlns:r="http://schemas.openxmlformats.org/officeDocument/2006/relationships" r:embed="rId5"/>
        <a:stretch>
          <a:fillRect/>
        </a:stretch>
      </xdr:blipFill>
      <xdr:spPr>
        <a:xfrm>
          <a:off x="4210049" y="9776972"/>
          <a:ext cx="6076011" cy="1024220"/>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104775</xdr:colOff>
      <xdr:row>54</xdr:row>
      <xdr:rowOff>19050</xdr:rowOff>
    </xdr:from>
    <xdr:to>
      <xdr:col>7</xdr:col>
      <xdr:colOff>266700</xdr:colOff>
      <xdr:row>56</xdr:row>
      <xdr:rowOff>143696</xdr:rowOff>
    </xdr:to>
    <xdr:sp macro="" textlink="">
      <xdr:nvSpPr>
        <xdr:cNvPr id="50" name="DbgShadowBox"/>
        <xdr:cNvSpPr/>
      </xdr:nvSpPr>
      <xdr:spPr bwMode="auto">
        <a:xfrm>
          <a:off x="1438275" y="10067925"/>
          <a:ext cx="26003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Once the BStructure has been returned the inputs can be checked by looking at the output fields.</a:t>
          </a:r>
        </a:p>
      </xdr:txBody>
    </xdr:sp>
    <xdr:clientData/>
  </xdr:twoCellAnchor>
  <xdr:twoCellAnchor>
    <xdr:from>
      <xdr:col>7</xdr:col>
      <xdr:colOff>266700</xdr:colOff>
      <xdr:row>55</xdr:row>
      <xdr:rowOff>81373</xdr:rowOff>
    </xdr:from>
    <xdr:to>
      <xdr:col>12</xdr:col>
      <xdr:colOff>152400</xdr:colOff>
      <xdr:row>56</xdr:row>
      <xdr:rowOff>76200</xdr:rowOff>
    </xdr:to>
    <xdr:cxnSp macro="">
      <xdr:nvCxnSpPr>
        <xdr:cNvPr id="51" name="DbgGradArrow"/>
        <xdr:cNvCxnSpPr>
          <a:stCxn id="50" idx="3"/>
        </xdr:cNvCxnSpPr>
      </xdr:nvCxnSpPr>
      <xdr:spPr bwMode="auto">
        <a:xfrm>
          <a:off x="4038600" y="10320748"/>
          <a:ext cx="2933700" cy="18532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253209</xdr:colOff>
      <xdr:row>67</xdr:row>
      <xdr:rowOff>135691</xdr:rowOff>
    </xdr:from>
    <xdr:to>
      <xdr:col>16</xdr:col>
      <xdr:colOff>351408</xdr:colOff>
      <xdr:row>73</xdr:row>
      <xdr:rowOff>76200</xdr:rowOff>
    </xdr:to>
    <xdr:pic>
      <xdr:nvPicPr>
        <xdr:cNvPr id="55" name="Picture 54"/>
        <xdr:cNvPicPr>
          <a:picLocks noChangeAspect="1"/>
        </xdr:cNvPicPr>
      </xdr:nvPicPr>
      <xdr:blipFill>
        <a:blip xmlns:r="http://schemas.openxmlformats.org/officeDocument/2006/relationships" r:embed="rId6"/>
        <a:stretch>
          <a:fillRect/>
        </a:stretch>
      </xdr:blipFill>
      <xdr:spPr>
        <a:xfrm>
          <a:off x="2805909" y="12670591"/>
          <a:ext cx="6803799" cy="1083509"/>
        </a:xfrm>
        <a:prstGeom prst="rect">
          <a:avLst/>
        </a:prstGeom>
        <a:effectLst>
          <a:outerShdw blurRad="50800" dist="38100" dir="2700000" algn="tl">
            <a:prstClr val="black">
              <a:alpha val="40000"/>
            </a:prstClr>
          </a:outerShdw>
          <a:softEdge rad="25400"/>
        </a:effectLst>
      </xdr:spPr>
    </xdr:pic>
    <xdr:clientData/>
  </xdr:twoCellAnchor>
  <xdr:twoCellAnchor>
    <xdr:from>
      <xdr:col>6</xdr:col>
      <xdr:colOff>247649</xdr:colOff>
      <xdr:row>63</xdr:row>
      <xdr:rowOff>9525</xdr:rowOff>
    </xdr:from>
    <xdr:to>
      <xdr:col>15</xdr:col>
      <xdr:colOff>28575</xdr:colOff>
      <xdr:row>66</xdr:row>
      <xdr:rowOff>9525</xdr:rowOff>
    </xdr:to>
    <xdr:sp macro="" textlink="">
      <xdr:nvSpPr>
        <xdr:cNvPr id="56" name="DbgShadowBox"/>
        <xdr:cNvSpPr/>
      </xdr:nvSpPr>
      <xdr:spPr bwMode="auto">
        <a:xfrm>
          <a:off x="3409949" y="11782425"/>
          <a:ext cx="5267326" cy="5715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Select which parameter you want to change to achieve the entered value. For example in a fixed-float swap select the leg 1 coupon to be changed so the premium of the deal will be 0.</a:t>
          </a:r>
        </a:p>
      </xdr:txBody>
    </xdr:sp>
    <xdr:clientData/>
  </xdr:twoCellAnchor>
  <xdr:twoCellAnchor>
    <xdr:from>
      <xdr:col>10</xdr:col>
      <xdr:colOff>442912</xdr:colOff>
      <xdr:row>66</xdr:row>
      <xdr:rowOff>9525</xdr:rowOff>
    </xdr:from>
    <xdr:to>
      <xdr:col>13</xdr:col>
      <xdr:colOff>200025</xdr:colOff>
      <xdr:row>72</xdr:row>
      <xdr:rowOff>47625</xdr:rowOff>
    </xdr:to>
    <xdr:cxnSp macro="">
      <xdr:nvCxnSpPr>
        <xdr:cNvPr id="57" name="DbgGradArrow"/>
        <xdr:cNvCxnSpPr>
          <a:stCxn id="56" idx="2"/>
        </xdr:cNvCxnSpPr>
      </xdr:nvCxnSpPr>
      <xdr:spPr bwMode="auto">
        <a:xfrm>
          <a:off x="6043612" y="12353925"/>
          <a:ext cx="1585913" cy="1181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442912</xdr:colOff>
      <xdr:row>66</xdr:row>
      <xdr:rowOff>9525</xdr:rowOff>
    </xdr:from>
    <xdr:to>
      <xdr:col>15</xdr:col>
      <xdr:colOff>571500</xdr:colOff>
      <xdr:row>72</xdr:row>
      <xdr:rowOff>66675</xdr:rowOff>
    </xdr:to>
    <xdr:cxnSp macro="">
      <xdr:nvCxnSpPr>
        <xdr:cNvPr id="60" name="DbgGradArrow"/>
        <xdr:cNvCxnSpPr>
          <a:stCxn id="56" idx="2"/>
        </xdr:cNvCxnSpPr>
      </xdr:nvCxnSpPr>
      <xdr:spPr bwMode="auto">
        <a:xfrm>
          <a:off x="6043612" y="12353925"/>
          <a:ext cx="3176588" cy="12001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314325</xdr:colOff>
      <xdr:row>75</xdr:row>
      <xdr:rowOff>142875</xdr:rowOff>
    </xdr:from>
    <xdr:to>
      <xdr:col>10</xdr:col>
      <xdr:colOff>419100</xdr:colOff>
      <xdr:row>78</xdr:row>
      <xdr:rowOff>77021</xdr:rowOff>
    </xdr:to>
    <xdr:sp macro="" textlink="">
      <xdr:nvSpPr>
        <xdr:cNvPr id="63" name="DbgShadowBox"/>
        <xdr:cNvSpPr/>
      </xdr:nvSpPr>
      <xdr:spPr bwMode="auto">
        <a:xfrm>
          <a:off x="3476625" y="14201775"/>
          <a:ext cx="25431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The results of the solver can be seen here.</a:t>
          </a:r>
        </a:p>
      </xdr:txBody>
    </xdr:sp>
    <xdr:clientData/>
  </xdr:twoCellAnchor>
  <xdr:twoCellAnchor>
    <xdr:from>
      <xdr:col>6</xdr:col>
      <xdr:colOff>285750</xdr:colOff>
      <xdr:row>72</xdr:row>
      <xdr:rowOff>180975</xdr:rowOff>
    </xdr:from>
    <xdr:to>
      <xdr:col>8</xdr:col>
      <xdr:colOff>366713</xdr:colOff>
      <xdr:row>75</xdr:row>
      <xdr:rowOff>142875</xdr:rowOff>
    </xdr:to>
    <xdr:cxnSp macro="">
      <xdr:nvCxnSpPr>
        <xdr:cNvPr id="64" name="DbgGradArrow"/>
        <xdr:cNvCxnSpPr>
          <a:stCxn id="63" idx="0"/>
        </xdr:cNvCxnSpPr>
      </xdr:nvCxnSpPr>
      <xdr:spPr bwMode="auto">
        <a:xfrm flipH="1" flipV="1">
          <a:off x="3448050" y="13668375"/>
          <a:ext cx="1300163" cy="5334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366713</xdr:colOff>
      <xdr:row>73</xdr:row>
      <xdr:rowOff>38100</xdr:rowOff>
    </xdr:from>
    <xdr:to>
      <xdr:col>9</xdr:col>
      <xdr:colOff>142875</xdr:colOff>
      <xdr:row>75</xdr:row>
      <xdr:rowOff>142875</xdr:rowOff>
    </xdr:to>
    <xdr:cxnSp macro="">
      <xdr:nvCxnSpPr>
        <xdr:cNvPr id="69" name="DbgGradArrow"/>
        <xdr:cNvCxnSpPr>
          <a:stCxn id="63" idx="0"/>
        </xdr:cNvCxnSpPr>
      </xdr:nvCxnSpPr>
      <xdr:spPr bwMode="auto">
        <a:xfrm flipV="1">
          <a:off x="4748213" y="13716000"/>
          <a:ext cx="385762" cy="4857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366713</xdr:colOff>
      <xdr:row>73</xdr:row>
      <xdr:rowOff>9525</xdr:rowOff>
    </xdr:from>
    <xdr:to>
      <xdr:col>10</xdr:col>
      <xdr:colOff>228600</xdr:colOff>
      <xdr:row>75</xdr:row>
      <xdr:rowOff>142875</xdr:rowOff>
    </xdr:to>
    <xdr:cxnSp macro="">
      <xdr:nvCxnSpPr>
        <xdr:cNvPr id="72" name="DbgGradArrow"/>
        <xdr:cNvCxnSpPr>
          <a:stCxn id="63" idx="0"/>
        </xdr:cNvCxnSpPr>
      </xdr:nvCxnSpPr>
      <xdr:spPr bwMode="auto">
        <a:xfrm flipV="1">
          <a:off x="4748213" y="13687425"/>
          <a:ext cx="1081087" cy="514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15</xdr:row>
      <xdr:rowOff>152400</xdr:rowOff>
    </xdr:from>
    <xdr:to>
      <xdr:col>14</xdr:col>
      <xdr:colOff>409575</xdr:colOff>
      <xdr:row>18</xdr:row>
      <xdr:rowOff>86546</xdr:rowOff>
    </xdr:to>
    <xdr:sp macro="" textlink="">
      <xdr:nvSpPr>
        <xdr:cNvPr id="76" name="DbgShadowBox"/>
        <xdr:cNvSpPr/>
      </xdr:nvSpPr>
      <xdr:spPr bwMode="auto">
        <a:xfrm>
          <a:off x="6924675" y="2752725"/>
          <a:ext cx="1524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SWPM equivalents.</a:t>
          </a:r>
        </a:p>
      </xdr:txBody>
    </xdr:sp>
    <xdr:clientData/>
  </xdr:twoCellAnchor>
  <xdr:twoCellAnchor>
    <xdr:from>
      <xdr:col>3</xdr:col>
      <xdr:colOff>323850</xdr:colOff>
      <xdr:row>82</xdr:row>
      <xdr:rowOff>180975</xdr:rowOff>
    </xdr:from>
    <xdr:to>
      <xdr:col>17</xdr:col>
      <xdr:colOff>361950</xdr:colOff>
      <xdr:row>85</xdr:row>
      <xdr:rowOff>115121</xdr:rowOff>
    </xdr:to>
    <xdr:sp macro="" textlink="">
      <xdr:nvSpPr>
        <xdr:cNvPr id="78" name="DbgShadowBox"/>
        <xdr:cNvSpPr/>
      </xdr:nvSpPr>
      <xdr:spPr bwMode="auto">
        <a:xfrm>
          <a:off x="1657350" y="15582900"/>
          <a:ext cx="85725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Select the deals that you wish to save and then save the selected deals. If  you wish to save the solver results you will need to copy the outputs to the inputs. If the deal has been loaded from an ID choose weather or not to override the deal or create a new one.</a:t>
          </a:r>
        </a:p>
      </xdr:txBody>
    </xdr:sp>
    <xdr:clientData/>
  </xdr:twoCellAnchor>
  <xdr:twoCellAnchor>
    <xdr:from>
      <xdr:col>9</xdr:col>
      <xdr:colOff>19050</xdr:colOff>
      <xdr:row>92</xdr:row>
      <xdr:rowOff>76200</xdr:rowOff>
    </xdr:from>
    <xdr:to>
      <xdr:col>11</xdr:col>
      <xdr:colOff>171450</xdr:colOff>
      <xdr:row>96</xdr:row>
      <xdr:rowOff>152400</xdr:rowOff>
    </xdr:to>
    <xdr:sp macro="" textlink="">
      <xdr:nvSpPr>
        <xdr:cNvPr id="88" name="DbgShadowBox"/>
        <xdr:cNvSpPr/>
      </xdr:nvSpPr>
      <xdr:spPr bwMode="auto">
        <a:xfrm>
          <a:off x="5010150" y="17383125"/>
          <a:ext cx="1371600" cy="8382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When saved use the link to launch the deal in SWPM.</a:t>
          </a:r>
        </a:p>
      </xdr:txBody>
    </xdr:sp>
    <xdr:clientData/>
  </xdr:twoCellAnchor>
  <xdr:twoCellAnchor editAs="oneCell">
    <xdr:from>
      <xdr:col>11</xdr:col>
      <xdr:colOff>441168</xdr:colOff>
      <xdr:row>88</xdr:row>
      <xdr:rowOff>190499</xdr:rowOff>
    </xdr:from>
    <xdr:to>
      <xdr:col>17</xdr:col>
      <xdr:colOff>409575</xdr:colOff>
      <xdr:row>101</xdr:row>
      <xdr:rowOff>142875</xdr:rowOff>
    </xdr:to>
    <xdr:pic>
      <xdr:nvPicPr>
        <xdr:cNvPr id="94" name="Picture 93"/>
        <xdr:cNvPicPr>
          <a:picLocks noChangeAspect="1"/>
        </xdr:cNvPicPr>
      </xdr:nvPicPr>
      <xdr:blipFill>
        <a:blip xmlns:r="http://schemas.openxmlformats.org/officeDocument/2006/relationships" r:embed="rId7"/>
        <a:stretch>
          <a:fillRect/>
        </a:stretch>
      </xdr:blipFill>
      <xdr:spPr>
        <a:xfrm>
          <a:off x="6651468" y="16735424"/>
          <a:ext cx="3626007" cy="2428876"/>
        </a:xfrm>
        <a:prstGeom prst="rect">
          <a:avLst/>
        </a:prstGeom>
        <a:effectLst>
          <a:outerShdw blurRad="50800" dist="38100" dir="2700000" algn="tl">
            <a:prstClr val="black">
              <a:alpha val="40000"/>
            </a:prstClr>
          </a:outerShdw>
          <a:softEdge rad="25400"/>
        </a:effectLst>
      </xdr:spPr>
    </xdr:pic>
    <xdr:clientData/>
  </xdr:twoCellAnchor>
  <xdr:twoCellAnchor>
    <xdr:from>
      <xdr:col>11</xdr:col>
      <xdr:colOff>171450</xdr:colOff>
      <xdr:row>94</xdr:row>
      <xdr:rowOff>114300</xdr:rowOff>
    </xdr:from>
    <xdr:to>
      <xdr:col>11</xdr:col>
      <xdr:colOff>441168</xdr:colOff>
      <xdr:row>95</xdr:row>
      <xdr:rowOff>71437</xdr:rowOff>
    </xdr:to>
    <xdr:cxnSp macro="">
      <xdr:nvCxnSpPr>
        <xdr:cNvPr id="95" name="DbgGradArrow"/>
        <xdr:cNvCxnSpPr>
          <a:stCxn id="88" idx="3"/>
          <a:endCxn id="94" idx="1"/>
        </xdr:cNvCxnSpPr>
      </xdr:nvCxnSpPr>
      <xdr:spPr bwMode="auto">
        <a:xfrm>
          <a:off x="6381750" y="17802225"/>
          <a:ext cx="269718" cy="14763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285750</xdr:colOff>
      <xdr:row>109</xdr:row>
      <xdr:rowOff>184727</xdr:rowOff>
    </xdr:from>
    <xdr:to>
      <xdr:col>15</xdr:col>
      <xdr:colOff>246708</xdr:colOff>
      <xdr:row>115</xdr:row>
      <xdr:rowOff>66516</xdr:rowOff>
    </xdr:to>
    <xdr:pic>
      <xdr:nvPicPr>
        <xdr:cNvPr id="99" name="Picture 98"/>
        <xdr:cNvPicPr>
          <a:picLocks noChangeAspect="1"/>
        </xdr:cNvPicPr>
      </xdr:nvPicPr>
      <xdr:blipFill>
        <a:blip xmlns:r="http://schemas.openxmlformats.org/officeDocument/2006/relationships" r:embed="rId8"/>
        <a:stretch>
          <a:fillRect/>
        </a:stretch>
      </xdr:blipFill>
      <xdr:spPr>
        <a:xfrm>
          <a:off x="2838450" y="20739677"/>
          <a:ext cx="6056958" cy="1024789"/>
        </a:xfrm>
        <a:prstGeom prst="rect">
          <a:avLst/>
        </a:prstGeom>
        <a:effectLst>
          <a:outerShdw blurRad="50800" dist="38100" dir="2700000" algn="tl">
            <a:prstClr val="black">
              <a:alpha val="40000"/>
            </a:prstClr>
          </a:outerShdw>
          <a:softEdge rad="25400"/>
        </a:effectLst>
      </xdr:spPr>
    </xdr:pic>
    <xdr:clientData/>
  </xdr:twoCellAnchor>
  <xdr:twoCellAnchor>
    <xdr:from>
      <xdr:col>5</xdr:col>
      <xdr:colOff>295275</xdr:colOff>
      <xdr:row>106</xdr:row>
      <xdr:rowOff>57150</xdr:rowOff>
    </xdr:from>
    <xdr:to>
      <xdr:col>15</xdr:col>
      <xdr:colOff>238125</xdr:colOff>
      <xdr:row>108</xdr:row>
      <xdr:rowOff>181796</xdr:rowOff>
    </xdr:to>
    <xdr:sp macro="" textlink="">
      <xdr:nvSpPr>
        <xdr:cNvPr id="100" name="DbgShadowBox"/>
        <xdr:cNvSpPr/>
      </xdr:nvSpPr>
      <xdr:spPr bwMode="auto">
        <a:xfrm>
          <a:off x="2847975" y="20040600"/>
          <a:ext cx="60388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Each swap, when structured, is assigned default curves used to price the swap. Curves can be viewed in SWPM and ICVS.</a:t>
          </a:r>
        </a:p>
      </xdr:txBody>
    </xdr:sp>
    <xdr:clientData/>
  </xdr:twoCellAnchor>
  <xdr:twoCellAnchor>
    <xdr:from>
      <xdr:col>9</xdr:col>
      <xdr:colOff>57152</xdr:colOff>
      <xdr:row>108</xdr:row>
      <xdr:rowOff>181796</xdr:rowOff>
    </xdr:from>
    <xdr:to>
      <xdr:col>10</xdr:col>
      <xdr:colOff>266700</xdr:colOff>
      <xdr:row>112</xdr:row>
      <xdr:rowOff>104775</xdr:rowOff>
    </xdr:to>
    <xdr:cxnSp macro="">
      <xdr:nvCxnSpPr>
        <xdr:cNvPr id="101" name="DbgGradArrow"/>
        <xdr:cNvCxnSpPr>
          <a:stCxn id="100" idx="2"/>
        </xdr:cNvCxnSpPr>
      </xdr:nvCxnSpPr>
      <xdr:spPr bwMode="auto">
        <a:xfrm flipH="1">
          <a:off x="5048252" y="20546246"/>
          <a:ext cx="819148" cy="68497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304802</xdr:colOff>
      <xdr:row>108</xdr:row>
      <xdr:rowOff>181796</xdr:rowOff>
    </xdr:from>
    <xdr:to>
      <xdr:col>10</xdr:col>
      <xdr:colOff>266700</xdr:colOff>
      <xdr:row>112</xdr:row>
      <xdr:rowOff>104775</xdr:rowOff>
    </xdr:to>
    <xdr:cxnSp macro="">
      <xdr:nvCxnSpPr>
        <xdr:cNvPr id="104" name="DbgGradArrow"/>
        <xdr:cNvCxnSpPr>
          <a:stCxn id="100" idx="2"/>
        </xdr:cNvCxnSpPr>
      </xdr:nvCxnSpPr>
      <xdr:spPr bwMode="auto">
        <a:xfrm flipH="1">
          <a:off x="3467102" y="20546246"/>
          <a:ext cx="2400298" cy="68497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352426</xdr:colOff>
      <xdr:row>122</xdr:row>
      <xdr:rowOff>63023</xdr:rowOff>
    </xdr:from>
    <xdr:to>
      <xdr:col>15</xdr:col>
      <xdr:colOff>314326</xdr:colOff>
      <xdr:row>128</xdr:row>
      <xdr:rowOff>47466</xdr:rowOff>
    </xdr:to>
    <xdr:pic>
      <xdr:nvPicPr>
        <xdr:cNvPr id="107" name="Picture 106"/>
        <xdr:cNvPicPr>
          <a:picLocks noChangeAspect="1"/>
        </xdr:cNvPicPr>
      </xdr:nvPicPr>
      <xdr:blipFill>
        <a:blip xmlns:r="http://schemas.openxmlformats.org/officeDocument/2006/relationships" r:embed="rId9"/>
        <a:stretch>
          <a:fillRect/>
        </a:stretch>
      </xdr:blipFill>
      <xdr:spPr>
        <a:xfrm>
          <a:off x="2905126" y="23094473"/>
          <a:ext cx="6057900" cy="1127443"/>
        </a:xfrm>
        <a:prstGeom prst="rect">
          <a:avLst/>
        </a:prstGeom>
        <a:effectLst>
          <a:outerShdw blurRad="50800" dist="38100" dir="2700000" algn="tl">
            <a:prstClr val="black">
              <a:alpha val="40000"/>
            </a:prstClr>
          </a:outerShdw>
          <a:softEdge rad="25400"/>
        </a:effectLst>
      </xdr:spPr>
    </xdr:pic>
    <xdr:clientData/>
  </xdr:twoCellAnchor>
  <xdr:twoCellAnchor>
    <xdr:from>
      <xdr:col>5</xdr:col>
      <xdr:colOff>304799</xdr:colOff>
      <xdr:row>117</xdr:row>
      <xdr:rowOff>123825</xdr:rowOff>
    </xdr:from>
    <xdr:to>
      <xdr:col>15</xdr:col>
      <xdr:colOff>314325</xdr:colOff>
      <xdr:row>120</xdr:row>
      <xdr:rowOff>57971</xdr:rowOff>
    </xdr:to>
    <xdr:sp macro="" textlink="">
      <xdr:nvSpPr>
        <xdr:cNvPr id="108" name="DbgShadowBox"/>
        <xdr:cNvSpPr/>
      </xdr:nvSpPr>
      <xdr:spPr bwMode="auto">
        <a:xfrm>
          <a:off x="2857499" y="22202775"/>
          <a:ext cx="6105526"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Curves can be overridden. Dual curve stripping of the custom curves can be turned on and off. A parallel shift can be applied to the curves. </a:t>
          </a:r>
        </a:p>
      </xdr:txBody>
    </xdr:sp>
    <xdr:clientData/>
  </xdr:twoCellAnchor>
  <xdr:twoCellAnchor>
    <xdr:from>
      <xdr:col>6</xdr:col>
      <xdr:colOff>57150</xdr:colOff>
      <xdr:row>120</xdr:row>
      <xdr:rowOff>57971</xdr:rowOff>
    </xdr:from>
    <xdr:to>
      <xdr:col>10</xdr:col>
      <xdr:colOff>309562</xdr:colOff>
      <xdr:row>125</xdr:row>
      <xdr:rowOff>38100</xdr:rowOff>
    </xdr:to>
    <xdr:cxnSp macro="">
      <xdr:nvCxnSpPr>
        <xdr:cNvPr id="111" name="DbgGradArrow"/>
        <xdr:cNvCxnSpPr>
          <a:stCxn id="108" idx="2"/>
        </xdr:cNvCxnSpPr>
      </xdr:nvCxnSpPr>
      <xdr:spPr bwMode="auto">
        <a:xfrm flipH="1">
          <a:off x="3219450" y="22708421"/>
          <a:ext cx="2690812" cy="9326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371476</xdr:colOff>
      <xdr:row>120</xdr:row>
      <xdr:rowOff>57971</xdr:rowOff>
    </xdr:from>
    <xdr:to>
      <xdr:col>10</xdr:col>
      <xdr:colOff>309562</xdr:colOff>
      <xdr:row>125</xdr:row>
      <xdr:rowOff>38100</xdr:rowOff>
    </xdr:to>
    <xdr:cxnSp macro="">
      <xdr:nvCxnSpPr>
        <xdr:cNvPr id="114" name="DbgGradArrow"/>
        <xdr:cNvCxnSpPr>
          <a:stCxn id="108" idx="2"/>
        </xdr:cNvCxnSpPr>
      </xdr:nvCxnSpPr>
      <xdr:spPr bwMode="auto">
        <a:xfrm flipH="1">
          <a:off x="4143376" y="22708421"/>
          <a:ext cx="1766886" cy="9326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571500</xdr:colOff>
      <xdr:row>120</xdr:row>
      <xdr:rowOff>57971</xdr:rowOff>
    </xdr:from>
    <xdr:to>
      <xdr:col>10</xdr:col>
      <xdr:colOff>309562</xdr:colOff>
      <xdr:row>125</xdr:row>
      <xdr:rowOff>28575</xdr:rowOff>
    </xdr:to>
    <xdr:cxnSp macro="">
      <xdr:nvCxnSpPr>
        <xdr:cNvPr id="117" name="DbgGradArrow"/>
        <xdr:cNvCxnSpPr>
          <a:stCxn id="108" idx="2"/>
        </xdr:cNvCxnSpPr>
      </xdr:nvCxnSpPr>
      <xdr:spPr bwMode="auto">
        <a:xfrm flipH="1">
          <a:off x="4953000" y="22708421"/>
          <a:ext cx="957262" cy="9231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371475</xdr:colOff>
      <xdr:row>129</xdr:row>
      <xdr:rowOff>57150</xdr:rowOff>
    </xdr:from>
    <xdr:to>
      <xdr:col>15</xdr:col>
      <xdr:colOff>314325</xdr:colOff>
      <xdr:row>131</xdr:row>
      <xdr:rowOff>181796</xdr:rowOff>
    </xdr:to>
    <xdr:sp macro="" textlink="">
      <xdr:nvSpPr>
        <xdr:cNvPr id="122" name="DbgShadowBox"/>
        <xdr:cNvSpPr/>
      </xdr:nvSpPr>
      <xdr:spPr bwMode="auto">
        <a:xfrm>
          <a:off x="2924175" y="24422100"/>
          <a:ext cx="60388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A curve name  such as "S23" or "EUR.6M" can be entered. This should create a curve object. For more information on the Bloomberg Curve Toolkit please refer to XLTP XCTK &lt;GO&gt;</a:t>
          </a:r>
        </a:p>
      </xdr:txBody>
    </xdr:sp>
    <xdr:clientData/>
  </xdr:twoCellAnchor>
  <xdr:twoCellAnchor>
    <xdr:from>
      <xdr:col>10</xdr:col>
      <xdr:colOff>342900</xdr:colOff>
      <xdr:row>126</xdr:row>
      <xdr:rowOff>38100</xdr:rowOff>
    </xdr:from>
    <xdr:to>
      <xdr:col>11</xdr:col>
      <xdr:colOff>485775</xdr:colOff>
      <xdr:row>129</xdr:row>
      <xdr:rowOff>57150</xdr:rowOff>
    </xdr:to>
    <xdr:cxnSp macro="">
      <xdr:nvCxnSpPr>
        <xdr:cNvPr id="128" name="DbgGradArrow"/>
        <xdr:cNvCxnSpPr>
          <a:stCxn id="122" idx="0"/>
        </xdr:cNvCxnSpPr>
      </xdr:nvCxnSpPr>
      <xdr:spPr bwMode="auto">
        <a:xfrm flipV="1">
          <a:off x="5943600" y="23831550"/>
          <a:ext cx="752475" cy="5905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479464</xdr:colOff>
      <xdr:row>142</xdr:row>
      <xdr:rowOff>107098</xdr:rowOff>
    </xdr:from>
    <xdr:to>
      <xdr:col>15</xdr:col>
      <xdr:colOff>504825</xdr:colOff>
      <xdr:row>152</xdr:row>
      <xdr:rowOff>171450</xdr:rowOff>
    </xdr:to>
    <xdr:pic>
      <xdr:nvPicPr>
        <xdr:cNvPr id="131" name="Picture 130"/>
        <xdr:cNvPicPr>
          <a:picLocks noChangeAspect="1"/>
        </xdr:cNvPicPr>
      </xdr:nvPicPr>
      <xdr:blipFill>
        <a:blip xmlns:r="http://schemas.openxmlformats.org/officeDocument/2006/relationships" r:embed="rId10"/>
        <a:stretch>
          <a:fillRect/>
        </a:stretch>
      </xdr:blipFill>
      <xdr:spPr>
        <a:xfrm>
          <a:off x="3032164" y="26958073"/>
          <a:ext cx="6121361" cy="1969352"/>
        </a:xfrm>
        <a:prstGeom prst="rect">
          <a:avLst/>
        </a:prstGeom>
        <a:effectLst>
          <a:outerShdw blurRad="50800" dist="38100" dir="2700000" algn="tl">
            <a:prstClr val="black">
              <a:alpha val="40000"/>
            </a:prstClr>
          </a:outerShdw>
          <a:softEdge rad="25400"/>
        </a:effectLst>
      </xdr:spPr>
    </xdr:pic>
    <xdr:clientData/>
  </xdr:twoCellAnchor>
  <xdr:twoCellAnchor>
    <xdr:from>
      <xdr:col>5</xdr:col>
      <xdr:colOff>504824</xdr:colOff>
      <xdr:row>137</xdr:row>
      <xdr:rowOff>152400</xdr:rowOff>
    </xdr:from>
    <xdr:to>
      <xdr:col>15</xdr:col>
      <xdr:colOff>438149</xdr:colOff>
      <xdr:row>140</xdr:row>
      <xdr:rowOff>86546</xdr:rowOff>
    </xdr:to>
    <xdr:sp macro="" textlink="">
      <xdr:nvSpPr>
        <xdr:cNvPr id="132" name="DbgShadowBox"/>
        <xdr:cNvSpPr/>
      </xdr:nvSpPr>
      <xdr:spPr bwMode="auto">
        <a:xfrm>
          <a:off x="3057524" y="26050875"/>
          <a:ext cx="60293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Favourites can be entered into the favourites tab so they can be quickly entered into the Single Line Pricer. Users can add their own custom names for a quick reference. </a:t>
          </a:r>
        </a:p>
      </xdr:txBody>
    </xdr:sp>
    <xdr:clientData/>
  </xdr:twoCellAnchor>
  <xdr:twoCellAnchor>
    <xdr:from>
      <xdr:col>8</xdr:col>
      <xdr:colOff>38100</xdr:colOff>
      <xdr:row>140</xdr:row>
      <xdr:rowOff>86546</xdr:rowOff>
    </xdr:from>
    <xdr:to>
      <xdr:col>10</xdr:col>
      <xdr:colOff>471487</xdr:colOff>
      <xdr:row>146</xdr:row>
      <xdr:rowOff>104775</xdr:rowOff>
    </xdr:to>
    <xdr:cxnSp macro="">
      <xdr:nvCxnSpPr>
        <xdr:cNvPr id="133" name="DbgGradArrow"/>
        <xdr:cNvCxnSpPr>
          <a:stCxn id="132" idx="2"/>
        </xdr:cNvCxnSpPr>
      </xdr:nvCxnSpPr>
      <xdr:spPr bwMode="auto">
        <a:xfrm flipH="1">
          <a:off x="4419600" y="26556521"/>
          <a:ext cx="1652587" cy="11612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304800</xdr:colOff>
      <xdr:row>140</xdr:row>
      <xdr:rowOff>86546</xdr:rowOff>
    </xdr:from>
    <xdr:to>
      <xdr:col>10</xdr:col>
      <xdr:colOff>471487</xdr:colOff>
      <xdr:row>146</xdr:row>
      <xdr:rowOff>57150</xdr:rowOff>
    </xdr:to>
    <xdr:cxnSp macro="">
      <xdr:nvCxnSpPr>
        <xdr:cNvPr id="136" name="DbgGradArrow"/>
        <xdr:cNvCxnSpPr>
          <a:stCxn id="132" idx="2"/>
        </xdr:cNvCxnSpPr>
      </xdr:nvCxnSpPr>
      <xdr:spPr bwMode="auto">
        <a:xfrm flipH="1">
          <a:off x="5905500" y="26556521"/>
          <a:ext cx="166687" cy="11136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471487</xdr:colOff>
      <xdr:row>140</xdr:row>
      <xdr:rowOff>86546</xdr:rowOff>
    </xdr:from>
    <xdr:to>
      <xdr:col>13</xdr:col>
      <xdr:colOff>66675</xdr:colOff>
      <xdr:row>145</xdr:row>
      <xdr:rowOff>161925</xdr:rowOff>
    </xdr:to>
    <xdr:cxnSp macro="">
      <xdr:nvCxnSpPr>
        <xdr:cNvPr id="139" name="DbgGradArrow"/>
        <xdr:cNvCxnSpPr>
          <a:stCxn id="132" idx="2"/>
        </xdr:cNvCxnSpPr>
      </xdr:nvCxnSpPr>
      <xdr:spPr bwMode="auto">
        <a:xfrm>
          <a:off x="6072187" y="26556521"/>
          <a:ext cx="1423988" cy="102787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14288</xdr:colOff>
      <xdr:row>19</xdr:row>
      <xdr:rowOff>28574</xdr:rowOff>
    </xdr:from>
    <xdr:to>
      <xdr:col>16</xdr:col>
      <xdr:colOff>552450</xdr:colOff>
      <xdr:row>29</xdr:row>
      <xdr:rowOff>114300</xdr:rowOff>
    </xdr:to>
    <xdr:cxnSp macro="">
      <xdr:nvCxnSpPr>
        <xdr:cNvPr id="12" name="DbgGradArrow"/>
        <xdr:cNvCxnSpPr>
          <a:stCxn id="11" idx="2"/>
        </xdr:cNvCxnSpPr>
      </xdr:nvCxnSpPr>
      <xdr:spPr bwMode="auto">
        <a:xfrm>
          <a:off x="3176588" y="3390899"/>
          <a:ext cx="6634162" cy="19907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14288</xdr:colOff>
      <xdr:row>19</xdr:row>
      <xdr:rowOff>28574</xdr:rowOff>
    </xdr:from>
    <xdr:to>
      <xdr:col>14</xdr:col>
      <xdr:colOff>409575</xdr:colOff>
      <xdr:row>30</xdr:row>
      <xdr:rowOff>104775</xdr:rowOff>
    </xdr:to>
    <xdr:cxnSp macro="">
      <xdr:nvCxnSpPr>
        <xdr:cNvPr id="16" name="DbgGradArrow"/>
        <xdr:cNvCxnSpPr>
          <a:stCxn id="11" idx="2"/>
        </xdr:cNvCxnSpPr>
      </xdr:nvCxnSpPr>
      <xdr:spPr bwMode="auto">
        <a:xfrm>
          <a:off x="3176588" y="3390899"/>
          <a:ext cx="5272087" cy="217170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14288</xdr:colOff>
      <xdr:row>19</xdr:row>
      <xdr:rowOff>28574</xdr:rowOff>
    </xdr:from>
    <xdr:to>
      <xdr:col>11</xdr:col>
      <xdr:colOff>552450</xdr:colOff>
      <xdr:row>30</xdr:row>
      <xdr:rowOff>0</xdr:rowOff>
    </xdr:to>
    <xdr:cxnSp macro="">
      <xdr:nvCxnSpPr>
        <xdr:cNvPr id="19" name="DbgGradArrow"/>
        <xdr:cNvCxnSpPr>
          <a:stCxn id="11" idx="2"/>
        </xdr:cNvCxnSpPr>
      </xdr:nvCxnSpPr>
      <xdr:spPr bwMode="auto">
        <a:xfrm>
          <a:off x="3176588" y="3390899"/>
          <a:ext cx="3586162" cy="20669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20</xdr:row>
      <xdr:rowOff>57660</xdr:rowOff>
    </xdr:from>
    <xdr:to>
      <xdr:col>12</xdr:col>
      <xdr:colOff>114300</xdr:colOff>
      <xdr:row>23</xdr:row>
      <xdr:rowOff>47625</xdr:rowOff>
    </xdr:to>
    <xdr:cxnSp macro="">
      <xdr:nvCxnSpPr>
        <xdr:cNvPr id="7" name="DbgGradArrow"/>
        <xdr:cNvCxnSpPr>
          <a:endCxn id="5" idx="1"/>
        </xdr:cNvCxnSpPr>
      </xdr:nvCxnSpPr>
      <xdr:spPr bwMode="auto">
        <a:xfrm flipV="1">
          <a:off x="5200650" y="3610485"/>
          <a:ext cx="1733550" cy="56146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262301</xdr:colOff>
      <xdr:row>89</xdr:row>
      <xdr:rowOff>123824</xdr:rowOff>
    </xdr:from>
    <xdr:to>
      <xdr:col>8</xdr:col>
      <xdr:colOff>304244</xdr:colOff>
      <xdr:row>98</xdr:row>
      <xdr:rowOff>56853</xdr:rowOff>
    </xdr:to>
    <xdr:pic>
      <xdr:nvPicPr>
        <xdr:cNvPr id="18" name="Picture 17"/>
        <xdr:cNvPicPr>
          <a:picLocks noChangeAspect="1"/>
        </xdr:cNvPicPr>
      </xdr:nvPicPr>
      <xdr:blipFill>
        <a:blip xmlns:r="http://schemas.openxmlformats.org/officeDocument/2006/relationships" r:embed="rId11"/>
        <a:stretch>
          <a:fillRect/>
        </a:stretch>
      </xdr:blipFill>
      <xdr:spPr>
        <a:xfrm>
          <a:off x="1595801" y="16859249"/>
          <a:ext cx="3089943" cy="1647529"/>
        </a:xfrm>
        <a:prstGeom prst="rect">
          <a:avLst/>
        </a:prstGeom>
        <a:effectLst>
          <a:outerShdw blurRad="50800" dist="38100" dir="2700000" algn="tl">
            <a:prstClr val="black">
              <a:alpha val="40000"/>
            </a:prstClr>
          </a:outerShdw>
          <a:softEdge rad="25400"/>
        </a:effectLst>
      </xdr:spPr>
    </xdr:pic>
    <xdr:clientData/>
  </xdr:twoCellAnchor>
  <xdr:twoCellAnchor>
    <xdr:from>
      <xdr:col>7</xdr:col>
      <xdr:colOff>104775</xdr:colOff>
      <xdr:row>85</xdr:row>
      <xdr:rowOff>115121</xdr:rowOff>
    </xdr:from>
    <xdr:to>
      <xdr:col>10</xdr:col>
      <xdr:colOff>342900</xdr:colOff>
      <xdr:row>89</xdr:row>
      <xdr:rowOff>133350</xdr:rowOff>
    </xdr:to>
    <xdr:cxnSp macro="">
      <xdr:nvCxnSpPr>
        <xdr:cNvPr id="79" name="DbgGradArrow"/>
        <xdr:cNvCxnSpPr>
          <a:stCxn id="78" idx="2"/>
        </xdr:cNvCxnSpPr>
      </xdr:nvCxnSpPr>
      <xdr:spPr bwMode="auto">
        <a:xfrm flipH="1">
          <a:off x="3876675" y="16088546"/>
          <a:ext cx="2066925" cy="7802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152400</xdr:colOff>
      <xdr:row>85</xdr:row>
      <xdr:rowOff>115121</xdr:rowOff>
    </xdr:from>
    <xdr:to>
      <xdr:col>10</xdr:col>
      <xdr:colOff>342900</xdr:colOff>
      <xdr:row>91</xdr:row>
      <xdr:rowOff>85725</xdr:rowOff>
    </xdr:to>
    <xdr:cxnSp macro="">
      <xdr:nvCxnSpPr>
        <xdr:cNvPr id="85" name="DbgGradArrow"/>
        <xdr:cNvCxnSpPr>
          <a:stCxn id="78" idx="2"/>
        </xdr:cNvCxnSpPr>
      </xdr:nvCxnSpPr>
      <xdr:spPr bwMode="auto">
        <a:xfrm flipH="1">
          <a:off x="3924300" y="16088546"/>
          <a:ext cx="2019300" cy="11136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361950</xdr:colOff>
      <xdr:row>94</xdr:row>
      <xdr:rowOff>114300</xdr:rowOff>
    </xdr:from>
    <xdr:to>
      <xdr:col>9</xdr:col>
      <xdr:colOff>19050</xdr:colOff>
      <xdr:row>96</xdr:row>
      <xdr:rowOff>9525</xdr:rowOff>
    </xdr:to>
    <xdr:cxnSp macro="">
      <xdr:nvCxnSpPr>
        <xdr:cNvPr id="91" name="DbgGradArrow"/>
        <xdr:cNvCxnSpPr>
          <a:stCxn id="88" idx="1"/>
        </xdr:cNvCxnSpPr>
      </xdr:nvCxnSpPr>
      <xdr:spPr bwMode="auto">
        <a:xfrm flipH="1">
          <a:off x="2914650" y="17802225"/>
          <a:ext cx="2095500" cy="2762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lp/API/Office%20Tools/BloombergUI.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SimpleView"/>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waps"/>
  <dimension ref="A1:EF70"/>
  <sheetViews>
    <sheetView showGridLines="0" tabSelected="1" zoomScaleNormal="100" workbookViewId="0">
      <pane xSplit="8" ySplit="5" topLeftCell="I6" activePane="bottomRight" state="frozen"/>
      <selection pane="topRight" activeCell="H1" sqref="H1"/>
      <selection pane="bottomLeft" activeCell="A6" sqref="A6"/>
      <selection pane="bottomRight" activeCell="O6" sqref="O6"/>
    </sheetView>
  </sheetViews>
  <sheetFormatPr defaultRowHeight="15" x14ac:dyDescent="0.25"/>
  <cols>
    <col min="1" max="1" width="5.140625" customWidth="1"/>
    <col min="2" max="2" width="15.7109375" customWidth="1"/>
    <col min="3" max="3" width="10.7109375" bestFit="1" customWidth="1"/>
    <col min="4" max="4" width="9.42578125" customWidth="1"/>
    <col min="5" max="5" width="9.42578125" style="104" customWidth="1"/>
    <col min="6" max="6" width="13.7109375" style="2" bestFit="1" customWidth="1"/>
    <col min="7" max="7" width="13.85546875" bestFit="1" customWidth="1"/>
    <col min="8" max="8" width="0.85546875" style="2" customWidth="1"/>
    <col min="9" max="9" width="9.85546875" style="23" hidden="1" customWidth="1"/>
    <col min="10" max="10" width="8.85546875" hidden="1" customWidth="1"/>
    <col min="11" max="11" width="9.140625" hidden="1" customWidth="1"/>
    <col min="12" max="12" width="19.7109375" style="23" hidden="1" customWidth="1"/>
    <col min="13" max="13" width="21.7109375" hidden="1" customWidth="1"/>
    <col min="14" max="14" width="0.85546875" style="19" hidden="1" customWidth="1"/>
    <col min="15" max="15" width="14.42578125" customWidth="1"/>
    <col min="16" max="16" width="9.140625" style="2" hidden="1" customWidth="1"/>
    <col min="17" max="17" width="0.85546875" style="2" customWidth="1"/>
    <col min="18" max="18" width="14.28515625" style="1" customWidth="1"/>
    <col min="19" max="19" width="19" style="17" hidden="1" customWidth="1"/>
    <col min="20" max="20" width="19" style="1" bestFit="1" customWidth="1"/>
    <col min="21" max="21" width="10.85546875" style="1" bestFit="1" customWidth="1"/>
    <col min="22" max="22" width="0.85546875" style="2" customWidth="1"/>
    <col min="23" max="23" width="10.7109375" bestFit="1" customWidth="1"/>
    <col min="24" max="24" width="10.7109375" style="104" customWidth="1"/>
    <col min="25" max="25" width="10.7109375" hidden="1" customWidth="1"/>
    <col min="26" max="26" width="0.85546875" style="1" customWidth="1"/>
    <col min="27" max="27" width="16.7109375" bestFit="1" customWidth="1"/>
    <col min="28" max="28" width="15" bestFit="1" customWidth="1"/>
    <col min="29" max="29" width="14.85546875" bestFit="1" customWidth="1"/>
    <col min="30" max="30" width="19" customWidth="1"/>
    <col min="31" max="31" width="13.28515625" hidden="1" customWidth="1"/>
    <col min="32" max="32" width="19.42578125" hidden="1" customWidth="1"/>
    <col min="33" max="33" width="19.7109375" hidden="1" customWidth="1"/>
    <col min="34" max="34" width="15.7109375" hidden="1" customWidth="1"/>
    <col min="35" max="35" width="21.7109375" hidden="1" customWidth="1"/>
    <col min="36" max="36" width="15.140625" hidden="1" customWidth="1"/>
    <col min="37" max="37" width="0.85546875" customWidth="1"/>
    <col min="38" max="38" width="16.7109375" hidden="1" customWidth="1"/>
    <col min="39" max="39" width="15" hidden="1" customWidth="1"/>
    <col min="40" max="40" width="14.85546875" hidden="1" customWidth="1"/>
    <col min="41" max="41" width="19" hidden="1" customWidth="1"/>
    <col min="42" max="42" width="13.28515625" hidden="1" customWidth="1"/>
    <col min="43" max="43" width="19.42578125" hidden="1" customWidth="1"/>
    <col min="44" max="44" width="19.7109375" hidden="1" customWidth="1"/>
    <col min="45" max="45" width="15.7109375" hidden="1" customWidth="1"/>
    <col min="46" max="46" width="21.7109375" customWidth="1"/>
    <col min="47" max="47" width="15.140625" hidden="1" customWidth="1"/>
    <col min="48" max="48" width="0.85546875" hidden="1" customWidth="1"/>
    <col min="49" max="49" width="17.7109375" hidden="1" customWidth="1"/>
    <col min="50" max="50" width="0.85546875" customWidth="1"/>
    <col min="51" max="51" width="20.7109375" bestFit="1" customWidth="1"/>
    <col min="52" max="52" width="0.85546875" customWidth="1"/>
    <col min="53" max="54" width="15.85546875" bestFit="1" customWidth="1"/>
    <col min="55" max="55" width="0.85546875" style="19" customWidth="1"/>
    <col min="56" max="56" width="16.7109375" bestFit="1" customWidth="1"/>
    <col min="57" max="57" width="15" bestFit="1" customWidth="1"/>
    <col min="58" max="58" width="14.85546875" bestFit="1" customWidth="1"/>
    <col min="59" max="59" width="19" bestFit="1" customWidth="1"/>
    <col min="60" max="60" width="13.28515625" bestFit="1" customWidth="1"/>
    <col min="61" max="61" width="19.42578125" bestFit="1" customWidth="1"/>
    <col min="62" max="62" width="19.7109375" bestFit="1" customWidth="1"/>
    <col min="63" max="63" width="15.7109375" bestFit="1" customWidth="1"/>
    <col min="64" max="64" width="21.7109375" bestFit="1" customWidth="1"/>
    <col min="65" max="65" width="15.140625" bestFit="1" customWidth="1"/>
    <col min="66" max="66" width="0.85546875" customWidth="1"/>
    <col min="67" max="67" width="16.7109375" bestFit="1" customWidth="1"/>
    <col min="68" max="68" width="15" bestFit="1" customWidth="1"/>
    <col min="69" max="69" width="15.85546875" customWidth="1"/>
    <col min="70" max="70" width="19" bestFit="1" customWidth="1"/>
    <col min="71" max="71" width="13.28515625" bestFit="1" customWidth="1"/>
    <col min="72" max="72" width="19.42578125" bestFit="1" customWidth="1"/>
    <col min="73" max="73" width="19.7109375" bestFit="1" customWidth="1"/>
    <col min="74" max="74" width="15.7109375" bestFit="1" customWidth="1"/>
    <col min="75" max="75" width="21.7109375" bestFit="1" customWidth="1"/>
    <col min="76" max="76" width="15.140625" bestFit="1" customWidth="1"/>
    <col min="77" max="77" width="0.85546875" customWidth="1"/>
    <col min="78" max="78" width="19" bestFit="1" customWidth="1"/>
    <col min="79" max="79" width="0.85546875" customWidth="1"/>
    <col min="80" max="80" width="20.7109375" bestFit="1" customWidth="1"/>
    <col min="81" max="81" width="0.85546875" customWidth="1"/>
    <col min="82" max="82" width="19" bestFit="1" customWidth="1"/>
    <col min="83" max="83" width="31.140625" bestFit="1" customWidth="1"/>
    <col min="84" max="84" width="23.28515625" bestFit="1" customWidth="1"/>
    <col min="85" max="85" width="38.140625" bestFit="1" customWidth="1"/>
    <col min="86" max="86" width="23.42578125" bestFit="1" customWidth="1"/>
    <col min="87" max="87" width="32.140625" bestFit="1" customWidth="1"/>
    <col min="88" max="88" width="23.28515625" bestFit="1" customWidth="1"/>
    <col min="89" max="89" width="38.140625" bestFit="1" customWidth="1"/>
    <col min="90" max="90" width="0.85546875" style="23" customWidth="1"/>
    <col min="92" max="92" width="18.7109375" customWidth="1"/>
    <col min="93" max="93" width="11.85546875" bestFit="1" customWidth="1"/>
    <col min="94" max="94" width="19.140625" style="23" bestFit="1" customWidth="1"/>
    <col min="95" max="95" width="13.7109375" bestFit="1" customWidth="1"/>
    <col min="96" max="96" width="29.42578125" bestFit="1" customWidth="1"/>
    <col min="97" max="97" width="23.28515625" style="23" bestFit="1" customWidth="1"/>
    <col min="98" max="98" width="13.7109375" bestFit="1" customWidth="1"/>
    <col min="99" max="99" width="27" bestFit="1" customWidth="1"/>
    <col min="100" max="100" width="27" style="23" customWidth="1"/>
    <col min="101" max="101" width="13.7109375" bestFit="1" customWidth="1"/>
    <col min="102" max="102" width="27.42578125" bestFit="1" customWidth="1"/>
    <col min="103" max="103" width="27.42578125" style="23" customWidth="1"/>
    <col min="104" max="104" width="13.7109375" bestFit="1" customWidth="1"/>
    <col min="105" max="105" width="43" bestFit="1" customWidth="1"/>
    <col min="106" max="106" width="0.85546875" customWidth="1"/>
    <col min="107" max="107" width="31" style="23" bestFit="1" customWidth="1"/>
    <col min="108" max="108" width="42.28515625" bestFit="1" customWidth="1"/>
    <col min="109" max="109" width="43.85546875" bestFit="1" customWidth="1"/>
    <col min="110" max="110" width="0.85546875" style="2" customWidth="1"/>
    <col min="111" max="111" width="9.5703125" customWidth="1"/>
    <col min="112" max="112" width="21.5703125" hidden="1" customWidth="1"/>
    <col min="113" max="113" width="18.5703125" hidden="1" customWidth="1"/>
    <col min="114" max="116" width="15.42578125" hidden="1" customWidth="1"/>
    <col min="117" max="118" width="15.42578125" style="104" hidden="1" customWidth="1"/>
    <col min="119" max="123" width="15.42578125" hidden="1" customWidth="1"/>
    <col min="124" max="126" width="9.140625" hidden="1" customWidth="1"/>
    <col min="127" max="127" width="12.7109375" hidden="1" customWidth="1"/>
    <col min="128" max="128" width="10.7109375" hidden="1" customWidth="1"/>
    <col min="129" max="130" width="9.140625" hidden="1" customWidth="1"/>
    <col min="131" max="131" width="10.7109375" hidden="1" customWidth="1"/>
    <col min="132" max="132" width="9.140625" hidden="1" customWidth="1"/>
    <col min="133" max="133" width="9.140625" customWidth="1"/>
  </cols>
  <sheetData>
    <row r="1" spans="2:118" ht="5.0999999999999996" customHeight="1" x14ac:dyDescent="0.25"/>
    <row r="2" spans="2:118" ht="15" customHeight="1" x14ac:dyDescent="0.25"/>
    <row r="3" spans="2:118" ht="15" customHeight="1" x14ac:dyDescent="0.25"/>
    <row r="4" spans="2:118" ht="15" customHeight="1" x14ac:dyDescent="0.25"/>
    <row r="5" spans="2:118" ht="5.0999999999999996" customHeight="1" x14ac:dyDescent="0.25"/>
    <row r="6" spans="2:118" ht="5.0999999999999996" customHeight="1" x14ac:dyDescent="0.25"/>
    <row r="8" spans="2:118" x14ac:dyDescent="0.25">
      <c r="B8" s="29" t="s">
        <v>187</v>
      </c>
      <c r="C8" s="30">
        <f>_xll.BToday(TRUE)</f>
        <v>42654</v>
      </c>
    </row>
    <row r="9" spans="2:118" x14ac:dyDescent="0.25">
      <c r="B9" s="31" t="s">
        <v>0</v>
      </c>
      <c r="C9" s="32">
        <f>_xll.BAddPeriods(SwapsMarketDate,"per=wd","numberofperiods=2")</f>
        <v>42656</v>
      </c>
    </row>
    <row r="10" spans="2:118" s="19" customFormat="1" x14ac:dyDescent="0.25">
      <c r="E10" s="104"/>
      <c r="I10" s="23"/>
      <c r="L10" s="23"/>
      <c r="X10" s="104"/>
      <c r="AE10" s="23"/>
      <c r="AF10" s="23"/>
      <c r="CL10" s="23"/>
      <c r="CP10" s="23"/>
      <c r="CS10" s="23"/>
      <c r="CV10" s="23"/>
      <c r="CY10" s="23"/>
      <c r="DC10" s="23"/>
      <c r="DM10" s="104"/>
      <c r="DN10" s="104"/>
    </row>
    <row r="11" spans="2:118" x14ac:dyDescent="0.25">
      <c r="AE11" s="23"/>
      <c r="AF11" s="23"/>
    </row>
    <row r="12" spans="2:118" s="19" customFormat="1" x14ac:dyDescent="0.25">
      <c r="E12" s="104"/>
      <c r="I12" s="23"/>
      <c r="L12" s="23"/>
      <c r="X12" s="104"/>
      <c r="AE12" s="23"/>
      <c r="AF12" s="23"/>
      <c r="CL12" s="23"/>
      <c r="CP12" s="23"/>
      <c r="CS12" s="23"/>
      <c r="CV12" s="23"/>
      <c r="CY12" s="23"/>
      <c r="DC12" s="23"/>
      <c r="DM12" s="104"/>
      <c r="DN12" s="104"/>
    </row>
    <row r="13" spans="2:118" s="19" customFormat="1" x14ac:dyDescent="0.25">
      <c r="B13" s="127" t="s">
        <v>333</v>
      </c>
      <c r="C13" s="128"/>
      <c r="D13" s="131" t="s">
        <v>10</v>
      </c>
      <c r="E13" s="132"/>
      <c r="F13" s="133"/>
      <c r="I13" s="23"/>
      <c r="L13" s="23"/>
      <c r="X13" s="104"/>
      <c r="CL13" s="23"/>
      <c r="CP13" s="23"/>
      <c r="CS13" s="23"/>
      <c r="CV13" s="23"/>
      <c r="CY13" s="23"/>
      <c r="DC13" s="23"/>
      <c r="DM13" s="104"/>
      <c r="DN13" s="104"/>
    </row>
    <row r="14" spans="2:118" s="19" customFormat="1" x14ac:dyDescent="0.25">
      <c r="B14" s="129"/>
      <c r="C14" s="130"/>
      <c r="D14" s="134"/>
      <c r="E14" s="135"/>
      <c r="F14" s="136"/>
      <c r="I14" s="23"/>
      <c r="L14" s="23"/>
      <c r="X14" s="104"/>
      <c r="CL14" s="23"/>
      <c r="CP14" s="23"/>
      <c r="CS14" s="23"/>
      <c r="CV14" s="23"/>
      <c r="CY14" s="23"/>
      <c r="DC14" s="23"/>
      <c r="DM14" s="104"/>
      <c r="DN14" s="104"/>
    </row>
    <row r="15" spans="2:118" s="23" customFormat="1" x14ac:dyDescent="0.25">
      <c r="E15" s="104"/>
      <c r="X15" s="104"/>
      <c r="DM15" s="104"/>
      <c r="DN15" s="104"/>
    </row>
    <row r="16" spans="2:118" x14ac:dyDescent="0.25">
      <c r="B16" s="158" t="s">
        <v>188</v>
      </c>
      <c r="C16" s="159"/>
      <c r="D16" s="159"/>
      <c r="E16" s="159"/>
      <c r="F16" s="159"/>
      <c r="G16" s="160"/>
      <c r="H16" s="15"/>
      <c r="I16" s="140" t="s">
        <v>194</v>
      </c>
      <c r="J16" s="141"/>
      <c r="K16" s="141"/>
      <c r="L16" s="141"/>
      <c r="M16" s="142"/>
      <c r="N16" s="15"/>
      <c r="O16" s="139" t="s">
        <v>9</v>
      </c>
      <c r="P16" s="15"/>
      <c r="Q16" s="15"/>
      <c r="R16" s="140" t="s">
        <v>22</v>
      </c>
      <c r="S16" s="141"/>
      <c r="T16" s="141"/>
      <c r="U16" s="142"/>
      <c r="V16" s="15"/>
      <c r="W16" s="140" t="s">
        <v>205</v>
      </c>
      <c r="X16" s="141"/>
      <c r="Y16" s="142"/>
      <c r="Z16" s="15"/>
      <c r="AA16" s="140" t="s">
        <v>195</v>
      </c>
      <c r="AB16" s="141"/>
      <c r="AC16" s="141"/>
      <c r="AD16" s="141"/>
      <c r="AE16" s="141"/>
      <c r="AF16" s="141"/>
      <c r="AG16" s="141"/>
      <c r="AH16" s="141"/>
      <c r="AI16" s="141"/>
      <c r="AJ16" s="142"/>
      <c r="AK16" s="15"/>
      <c r="AL16" s="140" t="s">
        <v>196</v>
      </c>
      <c r="AM16" s="141"/>
      <c r="AN16" s="141"/>
      <c r="AO16" s="141"/>
      <c r="AP16" s="141"/>
      <c r="AQ16" s="141"/>
      <c r="AR16" s="141"/>
      <c r="AS16" s="141"/>
      <c r="AT16" s="141"/>
      <c r="AU16" s="142"/>
      <c r="AV16" s="15"/>
      <c r="AW16" s="139" t="s">
        <v>149</v>
      </c>
      <c r="AX16" s="15"/>
      <c r="AY16" s="139" t="s">
        <v>193</v>
      </c>
      <c r="AZ16" s="15"/>
      <c r="BA16" s="140" t="s">
        <v>197</v>
      </c>
      <c r="BB16" s="142"/>
      <c r="BC16" s="15"/>
      <c r="BD16" s="140" t="s">
        <v>198</v>
      </c>
      <c r="BE16" s="141"/>
      <c r="BF16" s="141"/>
      <c r="BG16" s="141"/>
      <c r="BH16" s="141"/>
      <c r="BI16" s="141"/>
      <c r="BJ16" s="141"/>
      <c r="BK16" s="141"/>
      <c r="BL16" s="141"/>
      <c r="BM16" s="142"/>
      <c r="BN16" s="15"/>
      <c r="BO16" s="140" t="s">
        <v>199</v>
      </c>
      <c r="BP16" s="141"/>
      <c r="BQ16" s="141"/>
      <c r="BR16" s="141"/>
      <c r="BS16" s="141"/>
      <c r="BT16" s="141"/>
      <c r="BU16" s="141"/>
      <c r="BV16" s="141"/>
      <c r="BW16" s="141"/>
      <c r="BX16" s="142"/>
      <c r="BY16" s="15"/>
      <c r="BZ16" s="41" t="s">
        <v>200</v>
      </c>
      <c r="CA16" s="15"/>
      <c r="CB16" s="41" t="s">
        <v>200</v>
      </c>
      <c r="CC16" s="15"/>
      <c r="CD16" s="145" t="s">
        <v>201</v>
      </c>
      <c r="CE16" s="146"/>
      <c r="CF16" s="146" t="s">
        <v>202</v>
      </c>
      <c r="CG16" s="146"/>
      <c r="CH16" s="146" t="s">
        <v>203</v>
      </c>
      <c r="CI16" s="146"/>
      <c r="CJ16" s="146" t="s">
        <v>204</v>
      </c>
      <c r="CK16" s="147"/>
      <c r="CL16" s="15"/>
      <c r="CM16" s="145" t="s">
        <v>178</v>
      </c>
      <c r="CN16" s="146"/>
      <c r="CO16" s="146"/>
      <c r="CP16" s="146" t="s">
        <v>173</v>
      </c>
      <c r="CQ16" s="146"/>
      <c r="CR16" s="146"/>
      <c r="CS16" s="146" t="s">
        <v>175</v>
      </c>
      <c r="CT16" s="146"/>
      <c r="CU16" s="146"/>
      <c r="CV16" s="146" t="s">
        <v>176</v>
      </c>
      <c r="CW16" s="146"/>
      <c r="CX16" s="146"/>
      <c r="CY16" s="146" t="s">
        <v>177</v>
      </c>
      <c r="CZ16" s="146"/>
      <c r="DA16" s="147"/>
      <c r="DB16" s="15"/>
      <c r="DC16" s="148" t="s">
        <v>185</v>
      </c>
      <c r="DD16" s="150" t="s">
        <v>6</v>
      </c>
      <c r="DE16" s="143" t="s">
        <v>7</v>
      </c>
    </row>
    <row r="17" spans="1:136" ht="15" customHeight="1" x14ac:dyDescent="0.25">
      <c r="B17" s="154" t="s">
        <v>2</v>
      </c>
      <c r="C17" s="156" t="s">
        <v>3</v>
      </c>
      <c r="D17" s="156" t="s">
        <v>359</v>
      </c>
      <c r="E17" s="156" t="s">
        <v>4</v>
      </c>
      <c r="F17" s="152" t="s">
        <v>28</v>
      </c>
      <c r="G17" s="153"/>
      <c r="H17" s="15"/>
      <c r="I17" s="161" t="s">
        <v>189</v>
      </c>
      <c r="J17" s="123" t="s">
        <v>190</v>
      </c>
      <c r="K17" s="15" t="s">
        <v>8</v>
      </c>
      <c r="L17" s="123" t="s">
        <v>191</v>
      </c>
      <c r="M17" s="125" t="s">
        <v>192</v>
      </c>
      <c r="N17" s="15"/>
      <c r="O17" s="137"/>
      <c r="P17" s="15"/>
      <c r="Q17" s="15"/>
      <c r="R17" s="121" t="s">
        <v>23</v>
      </c>
      <c r="S17" s="15"/>
      <c r="T17" s="123" t="s">
        <v>24</v>
      </c>
      <c r="U17" s="125" t="s">
        <v>25</v>
      </c>
      <c r="V17" s="15"/>
      <c r="W17" s="121" t="s">
        <v>11</v>
      </c>
      <c r="X17" s="203" t="s">
        <v>12</v>
      </c>
      <c r="Y17" s="209" t="s">
        <v>369</v>
      </c>
      <c r="Z17" s="15"/>
      <c r="AA17" s="121" t="s">
        <v>14</v>
      </c>
      <c r="AB17" s="123" t="s">
        <v>15</v>
      </c>
      <c r="AC17" s="123" t="s">
        <v>16</v>
      </c>
      <c r="AD17" s="123" t="s">
        <v>112</v>
      </c>
      <c r="AE17" s="123" t="s">
        <v>113</v>
      </c>
      <c r="AF17" s="123" t="s">
        <v>114</v>
      </c>
      <c r="AG17" s="123" t="s">
        <v>115</v>
      </c>
      <c r="AH17" s="123" t="s">
        <v>116</v>
      </c>
      <c r="AI17" s="123" t="s">
        <v>117</v>
      </c>
      <c r="AJ17" s="125" t="s">
        <v>118</v>
      </c>
      <c r="AK17" s="15"/>
      <c r="AL17" s="121" t="s">
        <v>14</v>
      </c>
      <c r="AM17" s="123" t="s">
        <v>15</v>
      </c>
      <c r="AN17" s="123" t="s">
        <v>16</v>
      </c>
      <c r="AO17" s="123" t="s">
        <v>112</v>
      </c>
      <c r="AP17" s="123" t="s">
        <v>113</v>
      </c>
      <c r="AQ17" s="123" t="s">
        <v>17</v>
      </c>
      <c r="AR17" s="123" t="s">
        <v>18</v>
      </c>
      <c r="AS17" s="123" t="s">
        <v>19</v>
      </c>
      <c r="AT17" s="123" t="s">
        <v>20</v>
      </c>
      <c r="AU17" s="125" t="s">
        <v>21</v>
      </c>
      <c r="AV17" s="15"/>
      <c r="AW17" s="137"/>
      <c r="AX17" s="15"/>
      <c r="AY17" s="137"/>
      <c r="AZ17" s="15"/>
      <c r="BA17" s="121" t="s">
        <v>11</v>
      </c>
      <c r="BB17" s="125" t="s">
        <v>12</v>
      </c>
      <c r="BC17" s="15"/>
      <c r="BD17" s="121" t="s">
        <v>14</v>
      </c>
      <c r="BE17" s="123" t="s">
        <v>15</v>
      </c>
      <c r="BF17" s="123" t="s">
        <v>16</v>
      </c>
      <c r="BG17" s="123" t="s">
        <v>112</v>
      </c>
      <c r="BH17" s="123" t="s">
        <v>113</v>
      </c>
      <c r="BI17" s="123" t="s">
        <v>114</v>
      </c>
      <c r="BJ17" s="123" t="s">
        <v>115</v>
      </c>
      <c r="BK17" s="123" t="s">
        <v>116</v>
      </c>
      <c r="BL17" s="123" t="s">
        <v>117</v>
      </c>
      <c r="BM17" s="125" t="s">
        <v>118</v>
      </c>
      <c r="BN17" s="15"/>
      <c r="BO17" s="121" t="s">
        <v>14</v>
      </c>
      <c r="BP17" s="123" t="s">
        <v>15</v>
      </c>
      <c r="BQ17" s="123" t="s">
        <v>16</v>
      </c>
      <c r="BR17" s="123" t="s">
        <v>112</v>
      </c>
      <c r="BS17" s="123" t="s">
        <v>113</v>
      </c>
      <c r="BT17" s="123" t="s">
        <v>17</v>
      </c>
      <c r="BU17" s="123" t="s">
        <v>18</v>
      </c>
      <c r="BV17" s="123" t="s">
        <v>19</v>
      </c>
      <c r="BW17" s="123" t="s">
        <v>20</v>
      </c>
      <c r="BX17" s="125" t="s">
        <v>21</v>
      </c>
      <c r="BY17" s="15"/>
      <c r="BZ17" s="137" t="s">
        <v>149</v>
      </c>
      <c r="CA17" s="15"/>
      <c r="CB17" s="137" t="s">
        <v>193</v>
      </c>
      <c r="CC17" s="15"/>
      <c r="CD17" s="121" t="s">
        <v>174</v>
      </c>
      <c r="CE17" s="123" t="s">
        <v>5</v>
      </c>
      <c r="CF17" s="123" t="s">
        <v>174</v>
      </c>
      <c r="CG17" s="123" t="s">
        <v>5</v>
      </c>
      <c r="CH17" s="123" t="s">
        <v>174</v>
      </c>
      <c r="CI17" s="123" t="s">
        <v>5</v>
      </c>
      <c r="CJ17" s="123" t="s">
        <v>174</v>
      </c>
      <c r="CK17" s="125" t="s">
        <v>5</v>
      </c>
      <c r="CL17" s="15"/>
      <c r="CM17" s="121" t="s">
        <v>179</v>
      </c>
      <c r="CN17" s="123" t="s">
        <v>180</v>
      </c>
      <c r="CO17" s="123" t="s">
        <v>181</v>
      </c>
      <c r="CP17" s="123" t="s">
        <v>182</v>
      </c>
      <c r="CQ17" s="123" t="s">
        <v>186</v>
      </c>
      <c r="CR17" s="123" t="s">
        <v>183</v>
      </c>
      <c r="CS17" s="123" t="s">
        <v>182</v>
      </c>
      <c r="CT17" s="123" t="s">
        <v>186</v>
      </c>
      <c r="CU17" s="123" t="s">
        <v>183</v>
      </c>
      <c r="CV17" s="123" t="s">
        <v>182</v>
      </c>
      <c r="CW17" s="123" t="s">
        <v>186</v>
      </c>
      <c r="CX17" s="123" t="s">
        <v>183</v>
      </c>
      <c r="CY17" s="123" t="s">
        <v>182</v>
      </c>
      <c r="CZ17" s="123" t="s">
        <v>186</v>
      </c>
      <c r="DA17" s="125" t="s">
        <v>183</v>
      </c>
      <c r="DB17" s="15"/>
      <c r="DC17" s="149"/>
      <c r="DD17" s="151"/>
      <c r="DE17" s="144"/>
      <c r="DJ17" t="s">
        <v>352</v>
      </c>
    </row>
    <row r="18" spans="1:136" x14ac:dyDescent="0.25">
      <c r="B18" s="155"/>
      <c r="C18" s="157"/>
      <c r="D18" s="157"/>
      <c r="E18" s="157"/>
      <c r="F18" s="26" t="s">
        <v>26</v>
      </c>
      <c r="G18" s="53" t="s">
        <v>27</v>
      </c>
      <c r="H18" s="54"/>
      <c r="I18" s="162"/>
      <c r="J18" s="124"/>
      <c r="K18" s="54"/>
      <c r="L18" s="124"/>
      <c r="M18" s="126"/>
      <c r="N18" s="54"/>
      <c r="O18" s="138"/>
      <c r="P18" s="54"/>
      <c r="Q18" s="54"/>
      <c r="R18" s="122"/>
      <c r="S18" s="54"/>
      <c r="T18" s="124"/>
      <c r="U18" s="126"/>
      <c r="V18" s="54"/>
      <c r="W18" s="122"/>
      <c r="X18" s="204"/>
      <c r="Y18" s="210"/>
      <c r="Z18" s="54"/>
      <c r="AA18" s="122"/>
      <c r="AB18" s="124"/>
      <c r="AC18" s="124"/>
      <c r="AD18" s="124"/>
      <c r="AE18" s="124"/>
      <c r="AF18" s="124"/>
      <c r="AG18" s="124"/>
      <c r="AH18" s="124"/>
      <c r="AI18" s="124"/>
      <c r="AJ18" s="126"/>
      <c r="AK18" s="54"/>
      <c r="AL18" s="122"/>
      <c r="AM18" s="124"/>
      <c r="AN18" s="124"/>
      <c r="AO18" s="124"/>
      <c r="AP18" s="124"/>
      <c r="AQ18" s="124"/>
      <c r="AR18" s="124"/>
      <c r="AS18" s="124"/>
      <c r="AT18" s="124"/>
      <c r="AU18" s="126"/>
      <c r="AV18" s="54"/>
      <c r="AW18" s="138"/>
      <c r="AX18" s="54"/>
      <c r="AY18" s="138"/>
      <c r="AZ18" s="54"/>
      <c r="BA18" s="122"/>
      <c r="BB18" s="126"/>
      <c r="BC18" s="54"/>
      <c r="BD18" s="122"/>
      <c r="BE18" s="124"/>
      <c r="BF18" s="124"/>
      <c r="BG18" s="124"/>
      <c r="BH18" s="124"/>
      <c r="BI18" s="124"/>
      <c r="BJ18" s="124"/>
      <c r="BK18" s="124"/>
      <c r="BL18" s="124"/>
      <c r="BM18" s="126"/>
      <c r="BN18" s="54"/>
      <c r="BO18" s="122"/>
      <c r="BP18" s="124"/>
      <c r="BQ18" s="124"/>
      <c r="BR18" s="124"/>
      <c r="BS18" s="124"/>
      <c r="BT18" s="124"/>
      <c r="BU18" s="124"/>
      <c r="BV18" s="124"/>
      <c r="BW18" s="124"/>
      <c r="BX18" s="126"/>
      <c r="BY18" s="54"/>
      <c r="BZ18" s="138"/>
      <c r="CA18" s="54"/>
      <c r="CB18" s="138"/>
      <c r="CC18" s="54"/>
      <c r="CD18" s="122"/>
      <c r="CE18" s="124"/>
      <c r="CF18" s="124"/>
      <c r="CG18" s="124"/>
      <c r="CH18" s="124"/>
      <c r="CI18" s="124"/>
      <c r="CJ18" s="124"/>
      <c r="CK18" s="126"/>
      <c r="CL18" s="54"/>
      <c r="CM18" s="122"/>
      <c r="CN18" s="124"/>
      <c r="CO18" s="124"/>
      <c r="CP18" s="124"/>
      <c r="CQ18" s="124"/>
      <c r="CR18" s="124"/>
      <c r="CS18" s="124"/>
      <c r="CT18" s="124"/>
      <c r="CU18" s="124"/>
      <c r="CV18" s="124"/>
      <c r="CW18" s="124"/>
      <c r="CX18" s="124"/>
      <c r="CY18" s="124"/>
      <c r="CZ18" s="124"/>
      <c r="DA18" s="126"/>
      <c r="DB18" s="54"/>
      <c r="DC18" s="149"/>
      <c r="DD18" s="151"/>
      <c r="DE18" s="144"/>
      <c r="DJ18" s="113" t="s">
        <v>350</v>
      </c>
      <c r="DK18" s="113" t="s">
        <v>351</v>
      </c>
      <c r="DL18" s="113" t="s">
        <v>350</v>
      </c>
      <c r="DM18" s="113" t="s">
        <v>351</v>
      </c>
      <c r="DN18" s="114" t="s">
        <v>354</v>
      </c>
      <c r="DP18" s="113" t="s">
        <v>346</v>
      </c>
      <c r="DQ18" s="113" t="s">
        <v>347</v>
      </c>
      <c r="DR18" s="113" t="s">
        <v>348</v>
      </c>
      <c r="DS18" s="113" t="s">
        <v>349</v>
      </c>
      <c r="DT18" s="113" t="s">
        <v>353</v>
      </c>
      <c r="DV18" t="s">
        <v>10</v>
      </c>
    </row>
    <row r="19" spans="1:136" ht="15" hidden="1" customHeight="1" x14ac:dyDescent="0.25">
      <c r="B19" t="s">
        <v>29</v>
      </c>
      <c r="C19" s="2" t="str">
        <f>INDEX(Valuation!$O$28:$O$34,MATCH(Swaps!C17,Valuation!$N$28:$N$34,0))</f>
        <v>Dv01</v>
      </c>
      <c r="D19" s="104" t="str">
        <f>INDEX(Valuation!$O$28:$O$34,MATCH(Swaps!D17,Valuation!$N$28:$N$34,0))</f>
        <v>Pv01</v>
      </c>
      <c r="E19" s="104" t="str">
        <f>INDEX(Valuation!$O$28:$O$34,MATCH(Swaps!E17,Valuation!$N$28:$N$34,0))</f>
        <v>ParCoupon</v>
      </c>
      <c r="O19" s="84" t="s">
        <v>9</v>
      </c>
      <c r="P19" s="2" t="s">
        <v>35</v>
      </c>
      <c r="R19" s="84" t="s">
        <v>23</v>
      </c>
      <c r="S19" s="17" t="s">
        <v>26</v>
      </c>
      <c r="U19" s="84" t="s">
        <v>25</v>
      </c>
      <c r="W19" s="84" t="s">
        <v>11</v>
      </c>
      <c r="X19" s="205"/>
      <c r="Y19" s="84" t="s">
        <v>12</v>
      </c>
      <c r="AA19" s="18" t="s">
        <v>157</v>
      </c>
      <c r="AB19" s="18" t="s">
        <v>158</v>
      </c>
      <c r="AC19" s="18" t="s">
        <v>46</v>
      </c>
      <c r="AD19" s="18" t="s">
        <v>37</v>
      </c>
      <c r="AE19" s="18" t="s">
        <v>40</v>
      </c>
      <c r="AF19" s="19" t="s">
        <v>163</v>
      </c>
      <c r="AG19" s="19" t="s">
        <v>159</v>
      </c>
      <c r="AH19" s="19" t="s">
        <v>160</v>
      </c>
      <c r="AI19" s="19" t="s">
        <v>161</v>
      </c>
      <c r="AJ19" s="19" t="s">
        <v>162</v>
      </c>
      <c r="AL19" s="19" t="s">
        <v>164</v>
      </c>
      <c r="AM19" s="19" t="s">
        <v>165</v>
      </c>
      <c r="AN19" s="19" t="s">
        <v>48</v>
      </c>
      <c r="AO19" s="19" t="s">
        <v>42</v>
      </c>
      <c r="AP19" s="19" t="s">
        <v>44</v>
      </c>
      <c r="AQ19" s="19" t="s">
        <v>166</v>
      </c>
      <c r="AR19" s="19" t="s">
        <v>167</v>
      </c>
      <c r="AS19" s="19" t="s">
        <v>168</v>
      </c>
      <c r="AT19" s="19" t="s">
        <v>169</v>
      </c>
      <c r="AU19" s="19" t="s">
        <v>170</v>
      </c>
      <c r="AW19" s="19" t="s">
        <v>148</v>
      </c>
      <c r="AY19" t="s">
        <v>155</v>
      </c>
      <c r="BA19" t="s">
        <v>171</v>
      </c>
      <c r="BB19" t="s">
        <v>172</v>
      </c>
      <c r="BD19" s="19" t="s">
        <v>157</v>
      </c>
      <c r="BE19" s="19" t="s">
        <v>158</v>
      </c>
      <c r="BF19" s="19" t="s">
        <v>46</v>
      </c>
      <c r="BG19" s="19" t="s">
        <v>37</v>
      </c>
      <c r="BH19" s="19" t="s">
        <v>40</v>
      </c>
      <c r="BI19" s="19" t="s">
        <v>163</v>
      </c>
      <c r="BJ19" s="19" t="s">
        <v>159</v>
      </c>
      <c r="BK19" s="19" t="s">
        <v>160</v>
      </c>
      <c r="BL19" s="19" t="s">
        <v>161</v>
      </c>
      <c r="BM19" s="19" t="s">
        <v>162</v>
      </c>
      <c r="BN19" s="19"/>
      <c r="BO19" s="19" t="s">
        <v>164</v>
      </c>
      <c r="BP19" s="19" t="s">
        <v>165</v>
      </c>
      <c r="BQ19" s="19" t="s">
        <v>48</v>
      </c>
      <c r="BR19" s="19" t="s">
        <v>42</v>
      </c>
      <c r="BS19" s="19" t="s">
        <v>44</v>
      </c>
      <c r="BT19" s="19" t="s">
        <v>166</v>
      </c>
      <c r="BU19" s="19" t="s">
        <v>167</v>
      </c>
      <c r="BV19" s="19" t="s">
        <v>168</v>
      </c>
      <c r="BW19" s="19" t="s">
        <v>169</v>
      </c>
      <c r="BX19" s="19" t="s">
        <v>170</v>
      </c>
      <c r="BY19" s="19"/>
      <c r="BZ19" s="19" t="s">
        <v>148</v>
      </c>
      <c r="CA19" s="19"/>
      <c r="CB19" s="19" t="s">
        <v>155</v>
      </c>
      <c r="DJ19" s="113"/>
      <c r="DK19" s="113"/>
      <c r="DL19" s="113"/>
      <c r="DM19" s="113"/>
      <c r="DN19" s="113"/>
      <c r="DP19" s="113"/>
      <c r="DQ19" s="113"/>
      <c r="DR19" s="113"/>
      <c r="DS19" s="113"/>
    </row>
    <row r="20" spans="1:136" x14ac:dyDescent="0.25">
      <c r="A20" s="201"/>
      <c r="B20" s="49">
        <f ca="1">IF(OR(I20&lt;&gt;"",O20&lt;&gt;""),IF(OR(DD20="#N/A Requesting Data...",DD20="#N/A Waiting For Data...",DE20="#N/A Requesting Data...",DE20="#N/A Waiting For Data..."),"Loading ….",IF(OR(LEFT(DD20,1)="#",LEFT(DE20,1)="#"),"Check Inputs",_xll.BView(DE20,B$19,"headers=false"))),"Select Deal Type")</f>
        <v>12035.303551889439</v>
      </c>
      <c r="C20" s="49">
        <f ca="1">IFERROR(1*_xll.BView($DE20,C$19,"headers=false"),"-")</f>
        <v>52.181378433934697</v>
      </c>
      <c r="D20" s="49">
        <f ca="1">IFERROR(1*_xll.BView($DE20,D$19,"headers=false"),"-")</f>
        <v>100.37932376309531</v>
      </c>
      <c r="E20" s="120">
        <f ca="1">IFERROR(1*_xll.BView($DE20,E$19,"headers=false"),"-")</f>
        <v>-0.19895997050250405</v>
      </c>
      <c r="F20" s="56" t="str">
        <f ca="1">IF(AND(ISNUMBER(B20),R20&lt;&gt;""),R20,"-")</f>
        <v>-</v>
      </c>
      <c r="G20" s="56" t="str">
        <f>IF(R20&lt;&gt;"",IFERROR(1*_xll.BView($DE20,$S20,"headers=false"),"-"),"-")</f>
        <v>-</v>
      </c>
      <c r="H20" s="42"/>
      <c r="I20" s="43"/>
      <c r="J20" s="44" t="s">
        <v>1</v>
      </c>
      <c r="K20" s="42"/>
      <c r="L20" s="45"/>
      <c r="M20" s="46"/>
      <c r="N20" s="42"/>
      <c r="O20" s="58" t="s">
        <v>207</v>
      </c>
      <c r="P20" s="42" t="str">
        <f t="shared" ref="P20:P39" si="0">INDEX(SwapDealType,MATCH(O20,SwapDealTypeName,0))</f>
        <v>FXFL</v>
      </c>
      <c r="Q20" s="42"/>
      <c r="R20" s="44"/>
      <c r="S20" s="52" t="e">
        <f>INDEX(SolverTarget,MATCH(IF(Swaps!R20&lt;&gt;"",Swaps!R20,"Empty"),SolverTargetName,0))</f>
        <v>#N/A</v>
      </c>
      <c r="T20" s="55" t="str">
        <f>IF(R20&lt;&gt;"",INDEX(SolveFor,MATCH(IF(Swaps!R20&lt;&gt;"",Swaps!R20,"Empty"),SolverTargetName,0)),"")</f>
        <v/>
      </c>
      <c r="U20" s="101"/>
      <c r="V20" s="52"/>
      <c r="W20" s="118">
        <f t="shared" ref="W20:W33" ca="1" si="1">TODAY()</f>
        <v>42654</v>
      </c>
      <c r="X20" s="118" t="s">
        <v>299</v>
      </c>
      <c r="Y20" s="206">
        <f ca="1">IF(ISBLANK(X20),"",IF(ISNUMBER(X20),X20,_xll.meDateFromTenor(W20,X20)))</f>
        <v>43019</v>
      </c>
      <c r="Z20" s="52"/>
      <c r="AA20" s="44" t="s">
        <v>49</v>
      </c>
      <c r="AB20" s="44" t="s">
        <v>54</v>
      </c>
      <c r="AC20" s="79">
        <v>1000000</v>
      </c>
      <c r="AD20" s="211">
        <v>1</v>
      </c>
      <c r="AE20" s="44"/>
      <c r="AF20" s="44"/>
      <c r="AG20" s="44"/>
      <c r="AH20" s="44"/>
      <c r="AI20" s="44"/>
      <c r="AJ20" s="44"/>
      <c r="AK20" s="52"/>
      <c r="AL20" s="44"/>
      <c r="AM20" s="44"/>
      <c r="AN20" s="79"/>
      <c r="AO20" s="44"/>
      <c r="AP20" s="105"/>
      <c r="AQ20" s="44"/>
      <c r="AR20" s="44"/>
      <c r="AS20" s="44"/>
      <c r="AT20" s="44" t="s">
        <v>120</v>
      </c>
      <c r="AU20" s="44"/>
      <c r="AV20" s="52"/>
      <c r="AW20" s="44"/>
      <c r="AX20" s="52"/>
      <c r="AY20" s="44" t="s">
        <v>54</v>
      </c>
      <c r="AZ20" s="52"/>
      <c r="BA20" s="48">
        <f ca="1">IF(LEFT(_xll.BView($DD20,BA$19,"headers=false"),1)&lt;&gt;"#",_xll.BView($DD20,BA$19,"headers=false"),"")</f>
        <v>42654</v>
      </c>
      <c r="BB20" s="48">
        <f ca="1">IF(LEFT(_xll.BView($DD20,BB$19,"headers=false"),1)&lt;&gt;"#",_xll.BView($DD20,BB$19,"headers=false"),"")</f>
        <v>43019</v>
      </c>
      <c r="BC20" s="87"/>
      <c r="BD20" s="49" t="str">
        <f ca="1">IF(LEFT(_xll.BView($DD20,BD$19,"headers=false"),1)&lt;&gt;"#",_xll.BView($DD20,BD$19,"headers=false"),"")</f>
        <v>Receive</v>
      </c>
      <c r="BE20" s="49" t="str">
        <f ca="1">IF(LEFT(_xll.BView($DD20,BE$19,"headers=false"),1)&lt;&gt;"#",_xll.BView($DD20,BE$19,"headers=false"),"")</f>
        <v>EUR</v>
      </c>
      <c r="BF20" s="49">
        <f ca="1">IF(LEFT(_xll.BView($DD20,BF$19,"headers=false"),1)&lt;&gt;"#",_xll.BView($DD20,BF$19,"headers=false"),"")</f>
        <v>1000000</v>
      </c>
      <c r="BG20" s="50">
        <f ca="1">IF(LEFT(_xll.BView($DD20,BG$19,"headers=false"),1)&lt;&gt;"#",_xll.BView($DD20,BG$19,"headers=false"),"")</f>
        <v>1</v>
      </c>
      <c r="BH20" s="49" t="str">
        <f ca="1">IF(LEFT(_xll.BView($DD20,BH$19,"headers=false"),1)&lt;&gt;"#",_xll.BView($DD20,BH$19,"headers=false"),"")</f>
        <v/>
      </c>
      <c r="BI20" s="49" t="str">
        <f ca="1">IF(LEFT(_xll.BView($DD20,BI$19,"headers=false"),1)&lt;&gt;"#",_xll.BView($DD20,BI$19,"headers=false"),"")</f>
        <v/>
      </c>
      <c r="BJ20" s="49" t="str">
        <f ca="1">IF(LEFT(_xll.BView($DD20,BJ$19,"headers=false"),1)&lt;&gt;"#",_xll.BView($DD20,BJ$19,"headers=false"),"")</f>
        <v>Annual</v>
      </c>
      <c r="BK20" s="49" t="str">
        <f ca="1">IF(LEFT(_xll.BView($DD20,BK$19,"headers=false"),1)&lt;&gt;"#",_xll.BView($DD20,BK$19,"headers=false"),"")</f>
        <v>30U/360</v>
      </c>
      <c r="BL20" s="49" t="str">
        <f ca="1">IF(LEFT(_xll.BView($DD20,BL$19,"headers=false"),1)&lt;&gt;"#",_xll.BView($DD20,BL$19,"headers=false"),"")</f>
        <v/>
      </c>
      <c r="BM20" s="49" t="str">
        <f ca="1">IF(LEFT(_xll.BView($DD20,BM$19,"headers=false"),1)&lt;&gt;"#",_xll.BView($DD20,BM$19,"headers=false"),"")</f>
        <v>Money Mkt</v>
      </c>
      <c r="BN20" s="51"/>
      <c r="BO20" s="49" t="str">
        <f ca="1">IF(LEFT(_xll.BView($DD20,BO$19,"headers=false"),1)&lt;&gt;"#",_xll.BView($DD20,BO$19,"headers=false"),"")</f>
        <v>Pay</v>
      </c>
      <c r="BP20" s="49" t="str">
        <f ca="1">IF(LEFT(_xll.BView($DD20,BP$19,"headers=false"),1)&lt;&gt;"#",_xll.BView($DD20,BP$19,"headers=false"),"")</f>
        <v>EUR</v>
      </c>
      <c r="BQ20" s="49">
        <f ca="1">IF(LEFT(_xll.BView($DD20,BQ$19,"headers=false"),1)&lt;&gt;"#",_xll.BView($DD20,BQ$19,"headers=false"),"")</f>
        <v>1000000</v>
      </c>
      <c r="BR20" s="49" t="str">
        <f ca="1">IF(LEFT(_xll.BView($DD20,BR$19,"headers=false"),1)&lt;&gt;"#",_xll.BView($DD20,BR$19,"headers=false"),"")</f>
        <v/>
      </c>
      <c r="BS20" s="56">
        <f ca="1">IF(LEFT(_xll.BView($DD20,BS$19,"headers=false"),1)&lt;&gt;"#",_xll.BView($DD20,BS$19,"headers=false"),"")</f>
        <v>0</v>
      </c>
      <c r="BT20" s="49" t="str">
        <f ca="1">IF(LEFT(_xll.BView($DD20,BT$19,"headers=false"),1)&lt;&gt;"#",_xll.BView($DD20,BT$19,"headers=false"),"")</f>
        <v>EUR006M</v>
      </c>
      <c r="BU20" s="49" t="str">
        <f ca="1">IF(LEFT(_xll.BView($DD20,BU$19,"headers=false"),1)&lt;&gt;"#",_xll.BView($DD20,BU$19,"headers=false"),"")</f>
        <v>SemiAnnual</v>
      </c>
      <c r="BV20" s="49" t="str">
        <f ca="1">IF(LEFT(_xll.BView($DD20,BV$19,"headers=false"),1)&lt;&gt;"#",_xll.BView($DD20,BV$19,"headers=false"),"")</f>
        <v>ACT/360</v>
      </c>
      <c r="BW20" s="49" t="str">
        <f ca="1">IF(LEFT(_xll.BView($DD20,BW$19,"headers=false"),1)&lt;&gt;"#",_xll.BView($DD20,BW$19,"headers=false"),"")</f>
        <v>SemiAnnual</v>
      </c>
      <c r="BX20" s="49" t="str">
        <f ca="1">IF(LEFT(_xll.BView($DD20,BX$19,"headers=false"),1)&lt;&gt;"#",_xll.BView($DD20,BX$19,"headers=false"),"")</f>
        <v/>
      </c>
      <c r="BY20" s="51"/>
      <c r="BZ20" s="49" t="str">
        <f ca="1">IF(LEFT(_xll.BView($DD20,BZ$19,"headers=false"),1)&lt;&gt;"#",_xll.BView($DD20,BZ$19,"headers=false"),"")</f>
        <v>Effect. &amp; Maturity</v>
      </c>
      <c r="CA20" s="51"/>
      <c r="CB20" s="49" t="str">
        <f ca="1">IF(LEFT(_xll.BView($DD20,CB$19,"headers=false"),1)&lt;&gt;"#",_xll.BView($DD20,CB$19,"headers=false"),"")</f>
        <v>EUR</v>
      </c>
      <c r="CC20" s="52"/>
      <c r="CD20" s="55" t="str">
        <f ca="1">IFERROR(INDEX(_xll.BMARKETPARAM($DD20,"array=true"),2,1),"")</f>
        <v>DiscountCurve[EUR]</v>
      </c>
      <c r="CE20" s="55" t="str">
        <f ca="1">IFERROR(INDEX(_xll.BMARKETPARAM($DD20,"array=true"),2,3),"")</f>
        <v>S133:Mid:DFLT:EUR OIS</v>
      </c>
      <c r="CF20" s="55" t="str">
        <f ca="1">IFERROR(INDEX(_xll.BMARKETPARAM($DD20,"array=true"),3,1),"")</f>
        <v>ForwardCurve[EUR006M]</v>
      </c>
      <c r="CG20" s="55" t="str">
        <f ca="1">IFERROR(INDEX(_xll.BMARKETPARAM($DD20,"array=true"),3,3),"")</f>
        <v>S45:Mid:DFLT:EUR (vs. 6M EURIBOR)</v>
      </c>
      <c r="CH20" s="55" t="str">
        <f ca="1">IFERROR(INDEX(_xll.BMARKETPARAM($DD20,"array=true"),4,1),"")</f>
        <v/>
      </c>
      <c r="CI20" s="55" t="str">
        <f ca="1">IFERROR(INDEX(_xll.BMARKETPARAM($DD20,"array=true"),4,3),"")</f>
        <v/>
      </c>
      <c r="CJ20" s="55" t="str">
        <f ca="1">IFERROR(INDEX(_xll.BMARKETPARAM($DD20,"array=true"),5,1),"")</f>
        <v/>
      </c>
      <c r="CK20" s="55" t="str">
        <f ca="1">IFERROR(INDEX(_xll.BMARKETPARAM($DD20,"array=true"),5,3),"")</f>
        <v/>
      </c>
      <c r="CL20" s="52"/>
      <c r="CM20" s="44" t="s">
        <v>1</v>
      </c>
      <c r="CN20" s="44"/>
      <c r="CO20" s="88"/>
      <c r="CP20" s="55" t="str">
        <f ca="1">CD20</f>
        <v>DiscountCurve[EUR]</v>
      </c>
      <c r="CQ20" s="89"/>
      <c r="CR20" s="90" t="str">
        <f>IF(CQ20&lt;&gt;"",_xll.BCurveStrip(CQ20,"CurveDate",SwapsMarketDate,"ApplyDC",$CN20,"ParallelShift",$CO20),"")</f>
        <v/>
      </c>
      <c r="CS20" s="90" t="str">
        <f ca="1">CF20</f>
        <v>ForwardCurve[EUR006M]</v>
      </c>
      <c r="CT20" s="44"/>
      <c r="CU20" s="90" t="str">
        <f>IF(CT20&lt;&gt;"",_xll.BCurveStrip(CT20,"CurveDate",SwapsMarketDate,"ApplyDC",$CN20,"ParallelShift",$CO20),"")</f>
        <v/>
      </c>
      <c r="CV20" s="90" t="str">
        <f ca="1">CH20</f>
        <v/>
      </c>
      <c r="CW20" s="44"/>
      <c r="CX20" s="90" t="str">
        <f>IF(CW20&lt;&gt;"",_xll.BCurveStrip(CW20,"CurveDate",SwapsMarketDate,"ApplyDC",$CN20,"ParallelShift",$CO20),"")</f>
        <v/>
      </c>
      <c r="CY20" s="90" t="str">
        <f ca="1">CJ20</f>
        <v/>
      </c>
      <c r="CZ20" s="44"/>
      <c r="DA20" s="90" t="str">
        <f>IF(CZ20&lt;&gt;"",_xll.BCurveStrip(CZ20,"CurveDate",SwapsMarketDate,"ApplyDC",$CN20,"ParallelShift",$CO20),"")</f>
        <v/>
      </c>
      <c r="DB20" s="42"/>
      <c r="DC20" s="47" t="str">
        <f t="shared" ref="DC20:DC22" ca="1" si="2">IF(W20&lt;&gt;"",IF(ISERROR(RIGHT(W20,1)*1)," "&amp;W20&amp;"x"&amp;IF(Y20&lt;&gt;"",Y20,W20)&amp;" "&amp;AB20&amp;" "&amp;AM20," "&amp;AB20&amp;" "&amp;AM20),IF(Y20&lt;&gt;"",IF(ISERROR(RIGHT(Y20,1)*1)," "&amp;Y20&amp;" "&amp;AB20&amp;" "&amp;AM20,IF(AB20&lt;&gt;""," "&amp;AB20,""))," "&amp;AB20&amp;" "&amp;AM20))</f>
        <v xml:space="preserve"> EUR </v>
      </c>
      <c r="DD20" s="47" t="str">
        <f ca="1">IF(OR(I20&lt;&gt;"",O20&lt;&gt;""),_xll.BSTRUCTURE(IF(I20&lt;&gt;"",I20,P20&amp;DC20),$AA$19,AA20,$AD$19:$AJ$19,$AD20:$AJ20,$AL$19,AL20,$AO$19:$AU$19,$AO20:$AU20,$AW$19,AW20,$DP$18:$DS$18,$DP20:$DS20,DW20,DX20,DZ20,EA20,$AY$19,AY20,"ignoreinvalidparams=true"),"Enter deal type or saved ID.")</f>
        <v>FXFL 938373</v>
      </c>
      <c r="DE20" s="47" t="str">
        <f ca="1">IF(LEFT(DD20,1)="E","",IF(CM20="No",_xll.BPRICE(DD20,IF(R20&lt;&gt;"","Target="&amp;S20,""),IF(R20&lt;&gt;"",T20&amp;"="&amp;U20,""),"MarketDate",SwapsMarketDate,"ValuationDate",SwapsValuationDate,"alwaysrefresh"),_xll.BPRICE(DD20,IF(R20&lt;&gt;"","Target="&amp;S20,""),IF(R20&lt;&gt;"",T20&amp;"="&amp;U20,""),"MarketDate",SwapsMarketDate,"ValuationDate",SwapsValuationDate,CP20,CR20,CS20,CU20,CV20,CX20,CY20,DA20,"alwaysrefresh")))</f>
        <v>PRICE FXFL 781382</v>
      </c>
      <c r="DG20" s="23"/>
      <c r="DH20" s="25" t="str">
        <f ca="1">_xll.BView(DE20,IF(R20="Leg 1 Notional","Leg[2].notional","Leg[1].notional"),"headers=false")</f>
        <v>#N/A Field Not Applicable [Parameter:OUTPUT]</v>
      </c>
      <c r="DJ20" s="113">
        <f>IF(AC20&lt;&gt;"",AC20,IF(DP20=DR20,AN20,""))</f>
        <v>1000000</v>
      </c>
      <c r="DK20" s="113">
        <f>IF(ISERROR(FIND("M",UPPER(DJ20))),DJ20,SUBSTITUTE(UPPER(DJ20),"M","000")*1)</f>
        <v>1000000</v>
      </c>
      <c r="DL20" s="113">
        <f>IF(AN20&lt;&gt;"",AN20,IF(DP20=DR20,AC20,""))</f>
        <v>1000000</v>
      </c>
      <c r="DM20" s="113">
        <f>IF(ISERROR(FIND("M",UPPER(DL20))),DL20,SUBSTITUTE(UPPER(DL20),"M","000")*1)</f>
        <v>1000000</v>
      </c>
      <c r="DN20" s="113" t="str">
        <f>IF(AND(DK20&lt;&gt;"",DK20&lt;&gt;0,DM20=""),"L1",IF(AND(DM20&lt;&gt;"",DM20&lt;&gt;0,DK20=""),"L2",IF(AND(DK20&lt;&gt;"",DK20&lt;&gt;0,DM20&lt;&gt;"",DM20&lt;&gt;0),"BL","NL")))</f>
        <v>BL</v>
      </c>
      <c r="DP20" s="113" t="str">
        <f t="shared" ref="DP20" si="3">IF(IF(AB20&lt;&gt;"",AB20,AM20)&lt;&gt;"",IF(AB20&lt;&gt;"",AB20,AM20),"")</f>
        <v>EUR</v>
      </c>
      <c r="DQ20" s="117">
        <f>IF(DN20="NL","",IF(DN20="L2",DS20/DT20,DK20))</f>
        <v>1000000</v>
      </c>
      <c r="DR20" s="113" t="str">
        <f t="shared" ref="DR20" si="4">IF(IF(AM20&lt;&gt;"",AM20,AB20)&lt;&gt;"",IF(AM20&lt;&gt;"",AM20,AB20),"")</f>
        <v>EUR</v>
      </c>
      <c r="DS20" s="117">
        <f>IF(DN20="NL","",IF(DN20="L1",DQ20*DT20,DM20))</f>
        <v>1000000</v>
      </c>
      <c r="DT20" s="116">
        <f>IF(UPPER(DP20)=UPPER(DR20),1,_xll.BDP(DP20&amp;DR20&amp;" CURNCY","PX LAST")/_xll.BDP(DP20&amp;DR20&amp;" CURNCY","QUOTE FACTOR"))</f>
        <v>1</v>
      </c>
      <c r="DV20" s="113" t="b">
        <f ca="1">ISNUMBER(W20)</f>
        <v>1</v>
      </c>
      <c r="DW20" s="113" t="str">
        <f ca="1">IF(DV20,"EffectiveDate","")</f>
        <v>EffectiveDate</v>
      </c>
      <c r="DX20" s="115">
        <f ca="1">IF(DV20,W20,"")</f>
        <v>42654</v>
      </c>
      <c r="DY20" s="113" t="b">
        <f ca="1">ISNUMBER(Y20)</f>
        <v>1</v>
      </c>
      <c r="DZ20" s="113" t="str">
        <f ca="1">IF(DY20,"MaturityDate","")</f>
        <v>MaturityDate</v>
      </c>
      <c r="EA20" s="115">
        <f t="shared" ref="EA20" ca="1" si="5">IF(DY20,Y20,"")</f>
        <v>43019</v>
      </c>
    </row>
    <row r="21" spans="1:136" x14ac:dyDescent="0.25">
      <c r="A21" s="201"/>
      <c r="B21" s="27">
        <f ca="1">IF(OR(I21&lt;&gt;"",O21&lt;&gt;""),IF(OR(DD21="#N/A Requesting Data...",DD21="#N/A Waiting For Data...",DE21="#N/A Requesting Data...",DE21="#N/A Waiting For Data..."),"Loading ….",IF(OR(LEFT(DD21,1)="#",LEFT(DE21,1)="#"),"Check Inputs",_xll.BView(DE21,B$19,"headers=false"))),"Select Deal Type")</f>
        <v>24104.299075919756</v>
      </c>
      <c r="C21" s="49">
        <f ca="1">IFERROR(1*_xll.BView($DE21,C$19,"headers=false"),"-")</f>
        <v>203.92521305407718</v>
      </c>
      <c r="D21" s="49">
        <f ca="1">IFERROR(1*_xll.BView($DE21,D$19,"headers=false"),"-")</f>
        <v>201.18910395615717</v>
      </c>
      <c r="E21" s="120">
        <f ca="1">IFERROR(1*_xll.BView($DE21,E$19,"headers=false"),"-")</f>
        <v>-0.19807808485703796</v>
      </c>
      <c r="F21" s="57" t="str">
        <f ca="1">IF(AND(ISNUMBER(B21),R21&lt;&gt;""),R21,"-")</f>
        <v>-</v>
      </c>
      <c r="G21" s="57" t="str">
        <f>IF(R21&lt;&gt;"",IFERROR(1*_xll.BView($DE21,$S21,"headers=false"),"-"),"-")</f>
        <v>-</v>
      </c>
      <c r="I21" s="35"/>
      <c r="J21" s="44" t="s">
        <v>1</v>
      </c>
      <c r="L21" s="39" t="str">
        <f>IF(K21&lt;&gt;"",HYPERLINK("bbg://securities/"&amp;K21&amp;" CORP/SWPM",K21),IF(I21&lt;&gt;"",HYPERLINK("bbg://securities/"&amp;I21&amp;" CORP/SWPM",I21),""))</f>
        <v/>
      </c>
      <c r="M21" s="34"/>
      <c r="O21" s="58" t="s">
        <v>207</v>
      </c>
      <c r="P21" s="2" t="str">
        <f t="shared" si="0"/>
        <v>FXFL</v>
      </c>
      <c r="R21" s="44"/>
      <c r="S21" s="20" t="e">
        <f>INDEX(SolverTarget,MATCH(Swaps!R21,SolverTargetName,0))</f>
        <v>#N/A</v>
      </c>
      <c r="T21" s="28" t="str">
        <f>IF(R21&lt;&gt;"",INDEX(SolveFor,MATCH(IF(Swaps!R21&lt;&gt;"",Swaps!R21,"Empty"),SolverTargetName,0)),"")</f>
        <v/>
      </c>
      <c r="U21" s="101"/>
      <c r="V21" s="20"/>
      <c r="W21" s="118">
        <f t="shared" ca="1" si="1"/>
        <v>42654</v>
      </c>
      <c r="X21" s="118" t="s">
        <v>315</v>
      </c>
      <c r="Y21" s="206">
        <f ca="1">IF(ISBLANK(X21),"",IF(ISNUMBER(X21),X21,_xll.meDateFromTenor(W21,X21)))</f>
        <v>43384</v>
      </c>
      <c r="Z21" s="20"/>
      <c r="AA21" s="40" t="s">
        <v>49</v>
      </c>
      <c r="AB21" s="44" t="s">
        <v>54</v>
      </c>
      <c r="AC21" s="79">
        <v>1000000</v>
      </c>
      <c r="AD21" s="212">
        <v>1</v>
      </c>
      <c r="AE21" s="40"/>
      <c r="AF21" s="40"/>
      <c r="AG21" s="40"/>
      <c r="AH21" s="40"/>
      <c r="AI21" s="40"/>
      <c r="AJ21" s="40"/>
      <c r="AK21" s="20"/>
      <c r="AL21" s="40"/>
      <c r="AM21" s="44"/>
      <c r="AN21" s="76"/>
      <c r="AO21" s="36"/>
      <c r="AP21" s="106"/>
      <c r="AQ21" s="36"/>
      <c r="AR21" s="36"/>
      <c r="AS21" s="36"/>
      <c r="AT21" s="36" t="s">
        <v>120</v>
      </c>
      <c r="AU21" s="36"/>
      <c r="AV21" s="21"/>
      <c r="AW21" s="36"/>
      <c r="AX21" s="21"/>
      <c r="AY21" s="36" t="s">
        <v>54</v>
      </c>
      <c r="AZ21" s="20"/>
      <c r="BA21" s="48">
        <f ca="1">IF(LEFT(_xll.BView($DD21,BA$19,"headers=false"),1)&lt;&gt;"#",_xll.BView($DD21,BA$19,"headers=false"),"")</f>
        <v>42654</v>
      </c>
      <c r="BB21" s="48">
        <f ca="1">IF(LEFT(_xll.BView($DD21,BB$19,"headers=false"),1)&lt;&gt;"#",_xll.BView($DD21,BB$19,"headers=false"),"")</f>
        <v>43384</v>
      </c>
      <c r="BC21" s="21"/>
      <c r="BD21" s="27" t="str">
        <f ca="1">IF(LEFT(_xll.BView($DD21,BD$19,"headers=false"),1)&lt;&gt;"#",_xll.BView($DD21,BD$19,"headers=false"),"")</f>
        <v>Receive</v>
      </c>
      <c r="BE21" s="27" t="str">
        <f ca="1">IF(LEFT(_xll.BView($DD21,BE$19,"headers=false"),1)&lt;&gt;"#",_xll.BView($DD21,BE$19,"headers=false"),"")</f>
        <v>EUR</v>
      </c>
      <c r="BF21" s="27">
        <f ca="1">IF(LEFT(_xll.BView($DD21,BF$19,"headers=false"),1)&lt;&gt;"#",_xll.BView($DD21,BF$19,"headers=false"),"")</f>
        <v>1000000</v>
      </c>
      <c r="BG21" s="38">
        <f ca="1">IF(LEFT(_xll.BView($DD21,BG$19,"headers=false"),1)&lt;&gt;"#",_xll.BView($DD21,BG$19,"headers=false"),"")</f>
        <v>1</v>
      </c>
      <c r="BH21" s="27" t="str">
        <f ca="1">IF(LEFT(_xll.BView($DD21,BH$19,"headers=false"),1)&lt;&gt;"#",_xll.BView($DD21,BH$19,"headers=false"),"")</f>
        <v/>
      </c>
      <c r="BI21" s="27" t="str">
        <f ca="1">IF(LEFT(_xll.BView($DD21,BI$19,"headers=false"),1)&lt;&gt;"#",_xll.BView($DD21,BI$19,"headers=false"),"")</f>
        <v/>
      </c>
      <c r="BJ21" s="27" t="str">
        <f ca="1">IF(LEFT(_xll.BView($DD21,BJ$19,"headers=false"),1)&lt;&gt;"#",_xll.BView($DD21,BJ$19,"headers=false"),"")</f>
        <v>Annual</v>
      </c>
      <c r="BK21" s="27" t="str">
        <f ca="1">IF(LEFT(_xll.BView($DD21,BK$19,"headers=false"),1)&lt;&gt;"#",_xll.BView($DD21,BK$19,"headers=false"),"")</f>
        <v>30U/360</v>
      </c>
      <c r="BL21" s="27" t="str">
        <f ca="1">IF(LEFT(_xll.BView($DD21,BL$19,"headers=false"),1)&lt;&gt;"#",_xll.BView($DD21,BL$19,"headers=false"),"")</f>
        <v/>
      </c>
      <c r="BM21" s="27" t="str">
        <f ca="1">IF(LEFT(_xll.BView($DD21,BM$19,"headers=false"),1)&lt;&gt;"#",_xll.BView($DD21,BM$19,"headers=false"),"")</f>
        <v>Money Mkt</v>
      </c>
      <c r="BN21" s="22"/>
      <c r="BO21" s="27" t="str">
        <f ca="1">IF(LEFT(_xll.BView($DD21,BO$19,"headers=false"),1)&lt;&gt;"#",_xll.BView($DD21,BO$19,"headers=false"),"")</f>
        <v>Pay</v>
      </c>
      <c r="BP21" s="27" t="str">
        <f ca="1">IF(LEFT(_xll.BView($DD21,BP$19,"headers=false"),1)&lt;&gt;"#",_xll.BView($DD21,BP$19,"headers=false"),"")</f>
        <v>EUR</v>
      </c>
      <c r="BQ21" s="27">
        <f ca="1">IF(LEFT(_xll.BView($DD21,BQ$19,"headers=false"),1)&lt;&gt;"#",_xll.BView($DD21,BQ$19,"headers=false"),"")</f>
        <v>1000000</v>
      </c>
      <c r="BR21" s="27" t="str">
        <f ca="1">IF(LEFT(_xll.BView($DD21,BR$19,"headers=false"),1)&lt;&gt;"#",_xll.BView($DD21,BR$19,"headers=false"),"")</f>
        <v/>
      </c>
      <c r="BS21" s="57">
        <f ca="1">IF(LEFT(_xll.BView($DD21,BS$19,"headers=false"),1)&lt;&gt;"#",_xll.BView($DD21,BS$19,"headers=false"),"")</f>
        <v>0</v>
      </c>
      <c r="BT21" s="27" t="str">
        <f ca="1">IF(LEFT(_xll.BView($DD21,BT$19,"headers=false"),1)&lt;&gt;"#",_xll.BView($DD21,BT$19,"headers=false"),"")</f>
        <v>EUR006M</v>
      </c>
      <c r="BU21" s="27" t="str">
        <f ca="1">IF(LEFT(_xll.BView($DD21,BU$19,"headers=false"),1)&lt;&gt;"#",_xll.BView($DD21,BU$19,"headers=false"),"")</f>
        <v>SemiAnnual</v>
      </c>
      <c r="BV21" s="27" t="str">
        <f ca="1">IF(LEFT(_xll.BView($DD21,BV$19,"headers=false"),1)&lt;&gt;"#",_xll.BView($DD21,BV$19,"headers=false"),"")</f>
        <v>ACT/360</v>
      </c>
      <c r="BW21" s="27" t="str">
        <f ca="1">IF(LEFT(_xll.BView($DD21,BW$19,"headers=false"),1)&lt;&gt;"#",_xll.BView($DD21,BW$19,"headers=false"),"")</f>
        <v>SemiAnnual</v>
      </c>
      <c r="BX21" s="27" t="str">
        <f ca="1">IF(LEFT(_xll.BView($DD21,BX$19,"headers=false"),1)&lt;&gt;"#",_xll.BView($DD21,BX$19,"headers=false"),"")</f>
        <v/>
      </c>
      <c r="BY21" s="22"/>
      <c r="BZ21" s="27" t="str">
        <f ca="1">IF(LEFT(_xll.BView($DD21,BZ$19,"headers=false"),1)&lt;&gt;"#",_xll.BView($DD21,BZ$19,"headers=false"),"")</f>
        <v>Effect. &amp; Maturity</v>
      </c>
      <c r="CA21" s="22"/>
      <c r="CB21" s="27" t="str">
        <f ca="1">IF(LEFT(_xll.BView($DD21,CB$19,"headers=false"),1)&lt;&gt;"#",_xll.BView($DD21,CB$19,"headers=false"),"")</f>
        <v>EUR</v>
      </c>
      <c r="CC21" s="20"/>
      <c r="CD21" s="28" t="str">
        <f ca="1">IFERROR(INDEX(_xll.BMARKETPARAM($DD21,"array=true"),2,1),"")</f>
        <v>DiscountCurve[EUR]</v>
      </c>
      <c r="CE21" s="28" t="str">
        <f ca="1">IFERROR(INDEX(_xll.BMARKETPARAM($DD21,"array=true"),2,3),"")</f>
        <v>S133:Mid:DFLT:EUR OIS</v>
      </c>
      <c r="CF21" s="28" t="str">
        <f ca="1">IFERROR(INDEX(_xll.BMARKETPARAM($DD21,"array=true"),3,1),"")</f>
        <v>ForwardCurve[EUR006M]</v>
      </c>
      <c r="CG21" s="28" t="str">
        <f ca="1">IFERROR(INDEX(_xll.BMARKETPARAM($DD21,"array=true"),3,3),"")</f>
        <v>S45:Mid:DFLT:EUR (vs. 6M EURIBOR)</v>
      </c>
      <c r="CH21" s="28" t="str">
        <f ca="1">IFERROR(INDEX(_xll.BMARKETPARAM($DD21,"array=true"),4,1),"")</f>
        <v/>
      </c>
      <c r="CI21" s="28" t="str">
        <f ca="1">IFERROR(INDEX(_xll.BMARKETPARAM($DD21,"array=true"),4,3),"")</f>
        <v/>
      </c>
      <c r="CJ21" s="28" t="str">
        <f ca="1">IFERROR(INDEX(_xll.BMARKETPARAM($DD21,"array=true"),5,1),"")</f>
        <v/>
      </c>
      <c r="CK21" s="28" t="str">
        <f ca="1">IFERROR(INDEX(_xll.BMARKETPARAM($DD21,"array=true"),5,3),"")</f>
        <v/>
      </c>
      <c r="CL21" s="20"/>
      <c r="CM21" s="40" t="s">
        <v>1</v>
      </c>
      <c r="CN21" s="40"/>
      <c r="CO21" s="91"/>
      <c r="CP21" s="28" t="str">
        <f t="shared" ref="CP21:CP39" ca="1" si="6">CD21</f>
        <v>DiscountCurve[EUR]</v>
      </c>
      <c r="CQ21" s="92"/>
      <c r="CR21" s="93" t="str">
        <f>IF(CQ21&lt;&gt;"",_xll.BCurveStrip(CQ21,"CurveDate",SwapsMarketDate,"ApplyDC",$CN21,"ParallelShift",$CO21),"")</f>
        <v/>
      </c>
      <c r="CS21" s="93" t="str">
        <f t="shared" ref="CS21:CS39" ca="1" si="7">CF21</f>
        <v>ForwardCurve[EUR006M]</v>
      </c>
      <c r="CT21" s="40"/>
      <c r="CU21" s="93" t="str">
        <f>IF(CT21&lt;&gt;"",_xll.BCurveStrip(CT21,"CurveDate",SwapsMarketDate,"ApplyDC",$CN21,"ParallelShift",$CO21),"")</f>
        <v/>
      </c>
      <c r="CV21" s="93" t="str">
        <f t="shared" ref="CV21:CV39" ca="1" si="8">CH21</f>
        <v/>
      </c>
      <c r="CW21" s="40"/>
      <c r="CX21" s="93" t="str">
        <f>IF(CW21&lt;&gt;"",_xll.BCurveStrip(CW21,"CurveDate",SwapsMarketDate,"ApplyDC",$CN21,"ParallelShift",$CO21),"")</f>
        <v/>
      </c>
      <c r="CY21" s="93" t="str">
        <f t="shared" ref="CY21:CY39" ca="1" si="9">CJ21</f>
        <v/>
      </c>
      <c r="CZ21" s="40"/>
      <c r="DA21" s="93" t="str">
        <f>IF(CZ21&lt;&gt;"",_xll.BCurveStrip(CZ21,"CurveDate",SwapsMarketDate,"ApplyDC",$CN21,"ParallelShift",$CO21),"")</f>
        <v/>
      </c>
      <c r="DC21" s="47" t="str">
        <f t="shared" ca="1" si="2"/>
        <v xml:space="preserve"> EUR </v>
      </c>
      <c r="DD21" s="47" t="str">
        <f ca="1">IF(OR(I21&lt;&gt;"",O21&lt;&gt;""),_xll.BSTRUCTURE(IF(I21&lt;&gt;"",I21,P21&amp;DC21),$AA$19,AA21,$AD$19:$AJ$19,$AD21:$AJ21,$AL$19,AL21,$AO$19:$AU$19,$AO21:$AU21,$AW$19,AW21,$DP$18:$DS$18,$DP21:$DS21,DW21,DX21,DZ21,EA21,$AY$19,AY21,"ignoreinvalidparams=true"),"Enter deal type or saved ID.")</f>
        <v>FXFL 597317</v>
      </c>
      <c r="DE21" s="47" t="str">
        <f ca="1">IF(LEFT(DD21,1)="E","",IF(CM21="No",_xll.BPRICE(DD21,IF(R21&lt;&gt;"","Target="&amp;S21,""),IF(R21&lt;&gt;"",T21&amp;"="&amp;U21,""),"MarketDate",SwapsMarketDate,"ValuationDate",SwapsValuationDate,"alwaysrefresh"),_xll.BPRICE(DD21,IF(R21&lt;&gt;"","Target="&amp;S21,""),IF(R21&lt;&gt;"",T21&amp;"="&amp;U21,""),"MarketDate",SwapsMarketDate,"ValuationDate",SwapsValuationDate,CP21,CR21,CS21,CU21,CV21,CX21,CY21,DA21,"alwaysrefresh")))</f>
        <v>PRICE FXFL 309575</v>
      </c>
      <c r="DG21" s="23"/>
      <c r="DH21" s="25" t="str">
        <f ca="1">_xll.BView(DE21,IF(R21="Leg 1 Notional","Leg[2].notional","Leg[1].notional"),"headers=false")</f>
        <v>#N/A Field Not Applicable [Parameter:OUTPUT]</v>
      </c>
      <c r="DI21" s="104"/>
      <c r="DJ21" s="113">
        <f t="shared" ref="DJ21:DJ39" si="10">IF(AC21&lt;&gt;"",AC21,IF(DP21=DR21,AN21,""))</f>
        <v>1000000</v>
      </c>
      <c r="DK21" s="113">
        <f t="shared" ref="DK21:DK39" si="11">IF(ISERROR(FIND("M",UPPER(DJ21))),DJ21,SUBSTITUTE(UPPER(DJ21),"M","000")*1)</f>
        <v>1000000</v>
      </c>
      <c r="DL21" s="113">
        <f t="shared" ref="DL21:DL39" si="12">IF(AN21&lt;&gt;"",AN21,IF(DP21=DR21,AC21,""))</f>
        <v>1000000</v>
      </c>
      <c r="DM21" s="113">
        <f t="shared" ref="DM21:DM39" si="13">IF(ISERROR(FIND("M",UPPER(DL21))),DL21,SUBSTITUTE(UPPER(DL21),"M","000")*1)</f>
        <v>1000000</v>
      </c>
      <c r="DN21" s="113" t="str">
        <f t="shared" ref="DN21:DN39" si="14">IF(AND(DK21&lt;&gt;"",DK21&lt;&gt;0,DM21=""),"L1",IF(AND(DM21&lt;&gt;"",DM21&lt;&gt;0,DK21=""),"L2",IF(AND(DK21&lt;&gt;"",DK21&lt;&gt;0,DM21&lt;&gt;"",DM21&lt;&gt;0),"BL","NL")))</f>
        <v>BL</v>
      </c>
      <c r="DP21" s="113" t="str">
        <f t="shared" ref="DP21:DP39" si="15">IF(IF(AB21&lt;&gt;"",AB21,AM21)&lt;&gt;"",IF(AB21&lt;&gt;"",AB21,AM21),"")</f>
        <v>EUR</v>
      </c>
      <c r="DQ21" s="117">
        <f t="shared" ref="DQ21:DQ39" si="16">IF(DN21="NL","",IF(DN21="L2",DS21/DT21,DK21))</f>
        <v>1000000</v>
      </c>
      <c r="DR21" s="113" t="str">
        <f t="shared" ref="DR21:DR39" si="17">IF(IF(AM21&lt;&gt;"",AM21,AB21)&lt;&gt;"",IF(AM21&lt;&gt;"",AM21,AB21),"")</f>
        <v>EUR</v>
      </c>
      <c r="DS21" s="117">
        <f t="shared" ref="DS21:DS39" si="18">IF(DN21="NL","",IF(DN21="L1",DQ21*DT21,DM21))</f>
        <v>1000000</v>
      </c>
      <c r="DT21" s="113">
        <f>IF(UPPER(DP21)=UPPER(DR21),1,_xll.BDP(DP21&amp;DR21&amp;" CURNCY","PX LAST")/_xll.BDP(DP21&amp;DR21&amp;" CURNCY","QUOTE FACTOR"))</f>
        <v>1</v>
      </c>
      <c r="DV21" s="113" t="b">
        <f ca="1">ISNUMBER(W21)</f>
        <v>1</v>
      </c>
      <c r="DW21" s="113" t="str">
        <f ca="1">IF(DV21,"EffectiveDate","")</f>
        <v>EffectiveDate</v>
      </c>
      <c r="DX21" s="115">
        <f t="shared" ref="DX21:DX24" ca="1" si="19">IF(DV21,W21,"")</f>
        <v>42654</v>
      </c>
      <c r="DY21" s="113" t="b">
        <f ca="1">ISNUMBER(Y21)</f>
        <v>1</v>
      </c>
      <c r="DZ21" s="113" t="str">
        <f ca="1">IF(DY21,"MaturityDate","")</f>
        <v>MaturityDate</v>
      </c>
      <c r="EA21" s="115">
        <f t="shared" ref="EA21:EA24" ca="1" si="20">IF(DY21,Y21,"")</f>
        <v>43384</v>
      </c>
    </row>
    <row r="22" spans="1:136" x14ac:dyDescent="0.25">
      <c r="A22" s="201"/>
      <c r="B22" s="27">
        <f ca="1">IF(OR(I22&lt;&gt;"",O22&lt;&gt;""),IF(OR(DD22="#N/A Requesting Data...",DD22="#N/A Waiting For Data...",DE22="#N/A Requesting Data...",DE22="#N/A Waiting For Data..."),"Loading ….",IF(OR(LEFT(DD22,1)="#",LEFT(DE22,1)="#"),"Check Inputs",_xll.BView(DE22,B$19,"headers=false"))),"Select Deal Type")</f>
        <v>35571.49667797218</v>
      </c>
      <c r="C22" s="49">
        <f ca="1">IFERROR(1*_xll.BView($DE22,C$19,"headers=false"),"-")</f>
        <v>309.85992267835593</v>
      </c>
      <c r="D22" s="49">
        <f ca="1">IFERROR(1*_xll.BView($DE22,D$19,"headers=false"),"-")</f>
        <v>302.39803415353953</v>
      </c>
      <c r="E22" s="120">
        <f ca="1">IFERROR(1*_xll.BView($DE22,E$19,"headers=false"),"-")</f>
        <v>-0.17626463675865309</v>
      </c>
      <c r="F22" s="57" t="str">
        <f t="shared" ref="F22:F39" ca="1" si="21">IF(AND(ISNUMBER(B22),R22&lt;&gt;""),R22,"-")</f>
        <v>-</v>
      </c>
      <c r="G22" s="57" t="str">
        <f>IF(R22&lt;&gt;"",IFERROR(1*_xll.BView($DE22,$S22,"headers=false"),"-"),"-")</f>
        <v>-</v>
      </c>
      <c r="I22" s="35"/>
      <c r="J22" s="44" t="s">
        <v>1</v>
      </c>
      <c r="L22" s="39" t="str">
        <f t="shared" ref="L22:L39" si="22">IF(K22&lt;&gt;"",HYPERLINK("bbg://securities/"&amp;K22&amp;" CORP/SWPM",K22),IF(I22&lt;&gt;"",HYPERLINK("bbg://securities/"&amp;I22&amp;" CORP/SWPM",I22),""))</f>
        <v/>
      </c>
      <c r="M22" s="34"/>
      <c r="O22" s="58" t="s">
        <v>207</v>
      </c>
      <c r="P22" s="2" t="str">
        <f t="shared" si="0"/>
        <v>FXFL</v>
      </c>
      <c r="R22" s="44"/>
      <c r="S22" s="20" t="e">
        <f>INDEX(SolverTarget,MATCH(Swaps!R22,SolverTargetName,0))</f>
        <v>#N/A</v>
      </c>
      <c r="T22" s="28" t="str">
        <f>IF(R22&lt;&gt;"",INDEX(SolveFor,MATCH(IF(Swaps!R22&lt;&gt;"",Swaps!R22,"Empty"),SolverTargetName,0)),"")</f>
        <v/>
      </c>
      <c r="U22" s="101"/>
      <c r="V22" s="20"/>
      <c r="W22" s="118">
        <f t="shared" ca="1" si="1"/>
        <v>42654</v>
      </c>
      <c r="X22" s="118" t="s">
        <v>360</v>
      </c>
      <c r="Y22" s="206">
        <f ca="1">IF(ISBLANK(X22),"",IF(ISNUMBER(X22),X22,_xll.meDateFromTenor(W22,X22)))</f>
        <v>43749</v>
      </c>
      <c r="Z22" s="20"/>
      <c r="AA22" s="40" t="s">
        <v>49</v>
      </c>
      <c r="AB22" s="44" t="s">
        <v>54</v>
      </c>
      <c r="AC22" s="79">
        <v>1000000</v>
      </c>
      <c r="AD22" s="212">
        <v>1</v>
      </c>
      <c r="AE22" s="40"/>
      <c r="AF22" s="40"/>
      <c r="AG22" s="40"/>
      <c r="AH22" s="40"/>
      <c r="AI22" s="40"/>
      <c r="AJ22" s="40"/>
      <c r="AK22" s="20"/>
      <c r="AL22" s="40"/>
      <c r="AM22" s="44"/>
      <c r="AN22" s="76"/>
      <c r="AO22" s="40"/>
      <c r="AP22" s="106"/>
      <c r="AQ22" s="40"/>
      <c r="AR22" s="40"/>
      <c r="AS22" s="40"/>
      <c r="AT22" s="40" t="s">
        <v>120</v>
      </c>
      <c r="AU22" s="40"/>
      <c r="AV22" s="20"/>
      <c r="AW22" s="40"/>
      <c r="AX22" s="20"/>
      <c r="AY22" s="40" t="s">
        <v>54</v>
      </c>
      <c r="AZ22" s="20"/>
      <c r="BA22" s="48">
        <f ca="1">IF(LEFT(_xll.BView($DD22,BA$19,"headers=false"),1)&lt;&gt;"#",_xll.BView($DD22,BA$19,"headers=false"),"")</f>
        <v>42654</v>
      </c>
      <c r="BB22" s="48">
        <f ca="1">IF(LEFT(_xll.BView($DD22,BB$19,"headers=false"),1)&lt;&gt;"#",_xll.BView($DD22,BB$19,"headers=false"),"")</f>
        <v>43749</v>
      </c>
      <c r="BC22" s="21"/>
      <c r="BD22" s="27" t="str">
        <f ca="1">IF(LEFT(_xll.BView($DD22,BD$19,"headers=false"),1)&lt;&gt;"#",_xll.BView($DD22,BD$19,"headers=false"),"")</f>
        <v>Receive</v>
      </c>
      <c r="BE22" s="27" t="str">
        <f ca="1">IF(LEFT(_xll.BView($DD22,BE$19,"headers=false"),1)&lt;&gt;"#",_xll.BView($DD22,BE$19,"headers=false"),"")</f>
        <v>EUR</v>
      </c>
      <c r="BF22" s="27">
        <f ca="1">IF(LEFT(_xll.BView($DD22,BF$19,"headers=false"),1)&lt;&gt;"#",_xll.BView($DD22,BF$19,"headers=false"),"")</f>
        <v>1000000</v>
      </c>
      <c r="BG22" s="38">
        <f ca="1">IF(LEFT(_xll.BView($DD22,BG$19,"headers=false"),1)&lt;&gt;"#",_xll.BView($DD22,BG$19,"headers=false"),"")</f>
        <v>1</v>
      </c>
      <c r="BH22" s="27" t="str">
        <f ca="1">IF(LEFT(_xll.BView($DD22,BH$19,"headers=false"),1)&lt;&gt;"#",_xll.BView($DD22,BH$19,"headers=false"),"")</f>
        <v/>
      </c>
      <c r="BI22" s="27" t="str">
        <f ca="1">IF(LEFT(_xll.BView($DD22,BI$19,"headers=false"),1)&lt;&gt;"#",_xll.BView($DD22,BI$19,"headers=false"),"")</f>
        <v/>
      </c>
      <c r="BJ22" s="27" t="str">
        <f ca="1">IF(LEFT(_xll.BView($DD22,BJ$19,"headers=false"),1)&lt;&gt;"#",_xll.BView($DD22,BJ$19,"headers=false"),"")</f>
        <v>Annual</v>
      </c>
      <c r="BK22" s="27" t="str">
        <f ca="1">IF(LEFT(_xll.BView($DD22,BK$19,"headers=false"),1)&lt;&gt;"#",_xll.BView($DD22,BK$19,"headers=false"),"")</f>
        <v>30U/360</v>
      </c>
      <c r="BL22" s="27" t="str">
        <f ca="1">IF(LEFT(_xll.BView($DD22,BL$19,"headers=false"),1)&lt;&gt;"#",_xll.BView($DD22,BL$19,"headers=false"),"")</f>
        <v/>
      </c>
      <c r="BM22" s="27" t="str">
        <f ca="1">IF(LEFT(_xll.BView($DD22,BM$19,"headers=false"),1)&lt;&gt;"#",_xll.BView($DD22,BM$19,"headers=false"),"")</f>
        <v>Money Mkt</v>
      </c>
      <c r="BN22" s="22"/>
      <c r="BO22" s="27" t="str">
        <f ca="1">IF(LEFT(_xll.BView($DD22,BO$19,"headers=false"),1)&lt;&gt;"#",_xll.BView($DD22,BO$19,"headers=false"),"")</f>
        <v>Pay</v>
      </c>
      <c r="BP22" s="27" t="str">
        <f ca="1">IF(LEFT(_xll.BView($DD22,BP$19,"headers=false"),1)&lt;&gt;"#",_xll.BView($DD22,BP$19,"headers=false"),"")</f>
        <v>EUR</v>
      </c>
      <c r="BQ22" s="27">
        <f ca="1">IF(LEFT(_xll.BView($DD22,BQ$19,"headers=false"),1)&lt;&gt;"#",_xll.BView($DD22,BQ$19,"headers=false"),"")</f>
        <v>1000000</v>
      </c>
      <c r="BR22" s="27" t="str">
        <f ca="1">IF(LEFT(_xll.BView($DD22,BR$19,"headers=false"),1)&lt;&gt;"#",_xll.BView($DD22,BR$19,"headers=false"),"")</f>
        <v/>
      </c>
      <c r="BS22" s="57">
        <f ca="1">IF(LEFT(_xll.BView($DD22,BS$19,"headers=false"),1)&lt;&gt;"#",_xll.BView($DD22,BS$19,"headers=false"),"")</f>
        <v>0</v>
      </c>
      <c r="BT22" s="27" t="str">
        <f ca="1">IF(LEFT(_xll.BView($DD22,BT$19,"headers=false"),1)&lt;&gt;"#",_xll.BView($DD22,BT$19,"headers=false"),"")</f>
        <v>EUR006M</v>
      </c>
      <c r="BU22" s="27" t="str">
        <f ca="1">IF(LEFT(_xll.BView($DD22,BU$19,"headers=false"),1)&lt;&gt;"#",_xll.BView($DD22,BU$19,"headers=false"),"")</f>
        <v>SemiAnnual</v>
      </c>
      <c r="BV22" s="27" t="str">
        <f ca="1">IF(LEFT(_xll.BView($DD22,BV$19,"headers=false"),1)&lt;&gt;"#",_xll.BView($DD22,BV$19,"headers=false"),"")</f>
        <v>ACT/360</v>
      </c>
      <c r="BW22" s="27" t="str">
        <f ca="1">IF(LEFT(_xll.BView($DD22,BW$19,"headers=false"),1)&lt;&gt;"#",_xll.BView($DD22,BW$19,"headers=false"),"")</f>
        <v>SemiAnnual</v>
      </c>
      <c r="BX22" s="27" t="str">
        <f ca="1">IF(LEFT(_xll.BView($DD22,BX$19,"headers=false"),1)&lt;&gt;"#",_xll.BView($DD22,BX$19,"headers=false"),"")</f>
        <v/>
      </c>
      <c r="BY22" s="22"/>
      <c r="BZ22" s="27" t="str">
        <f ca="1">IF(LEFT(_xll.BView($DD22,BZ$19,"headers=false"),1)&lt;&gt;"#",_xll.BView($DD22,BZ$19,"headers=false"),"")</f>
        <v>Effect. &amp; Maturity</v>
      </c>
      <c r="CA22" s="22"/>
      <c r="CB22" s="27" t="str">
        <f ca="1">IF(LEFT(_xll.BView($DD22,CB$19,"headers=false"),1)&lt;&gt;"#",_xll.BView($DD22,CB$19,"headers=false"),"")</f>
        <v>EUR</v>
      </c>
      <c r="CC22" s="20"/>
      <c r="CD22" s="28" t="str">
        <f ca="1">IFERROR(INDEX(_xll.BMARKETPARAM($DD22,"array=true"),2,1),"")</f>
        <v>DiscountCurve[EUR]</v>
      </c>
      <c r="CE22" s="28" t="str">
        <f ca="1">IFERROR(INDEX(_xll.BMARKETPARAM($DD22,"array=true"),2,3),"")</f>
        <v>S133:Mid:DFLT:EUR OIS</v>
      </c>
      <c r="CF22" s="28" t="str">
        <f ca="1">IFERROR(INDEX(_xll.BMARKETPARAM($DD22,"array=true"),3,1),"")</f>
        <v>ForwardCurve[EUR006M]</v>
      </c>
      <c r="CG22" s="28" t="str">
        <f ca="1">IFERROR(INDEX(_xll.BMARKETPARAM($DD22,"array=true"),3,3),"")</f>
        <v>S45:Mid:DFLT:EUR (vs. 6M EURIBOR)</v>
      </c>
      <c r="CH22" s="28" t="str">
        <f ca="1">IFERROR(INDEX(_xll.BMARKETPARAM($DD22,"array=true"),4,1),"")</f>
        <v/>
      </c>
      <c r="CI22" s="28" t="str">
        <f ca="1">IFERROR(INDEX(_xll.BMARKETPARAM($DD22,"array=true"),4,3),"")</f>
        <v/>
      </c>
      <c r="CJ22" s="28" t="str">
        <f ca="1">IFERROR(INDEX(_xll.BMARKETPARAM($DD22,"array=true"),5,1),"")</f>
        <v/>
      </c>
      <c r="CK22" s="28" t="str">
        <f ca="1">IFERROR(INDEX(_xll.BMARKETPARAM($DD22,"array=true"),5,3),"")</f>
        <v/>
      </c>
      <c r="CL22" s="20"/>
      <c r="CM22" s="40" t="s">
        <v>1</v>
      </c>
      <c r="CN22" s="40"/>
      <c r="CO22" s="91"/>
      <c r="CP22" s="28" t="str">
        <f t="shared" ca="1" si="6"/>
        <v>DiscountCurve[EUR]</v>
      </c>
      <c r="CQ22" s="92"/>
      <c r="CR22" s="93" t="str">
        <f>IF(CQ22&lt;&gt;"",_xll.BCurveStrip(CQ22,"CurveDate",SwapsMarketDate,"ApplyDC",$CN22,"ParallelShift",$CO22),"")</f>
        <v/>
      </c>
      <c r="CS22" s="93" t="str">
        <f t="shared" ca="1" si="7"/>
        <v>ForwardCurve[EUR006M]</v>
      </c>
      <c r="CT22" s="40"/>
      <c r="CU22" s="93" t="str">
        <f>IF(CT22&lt;&gt;"",_xll.BCurveStrip(CT22,"CurveDate",SwapsMarketDate,"ApplyDC",$CN22,"ParallelShift",$CO22),"")</f>
        <v/>
      </c>
      <c r="CV22" s="93" t="str">
        <f t="shared" ca="1" si="8"/>
        <v/>
      </c>
      <c r="CW22" s="40"/>
      <c r="CX22" s="93" t="str">
        <f>IF(CW22&lt;&gt;"",_xll.BCurveStrip(CW22,"CurveDate",SwapsMarketDate,"ApplyDC",$CN22,"ParallelShift",$CO22),"")</f>
        <v/>
      </c>
      <c r="CY22" s="93" t="str">
        <f t="shared" ca="1" si="9"/>
        <v/>
      </c>
      <c r="CZ22" s="40"/>
      <c r="DA22" s="93" t="str">
        <f>IF(CZ22&lt;&gt;"",_xll.BCurveStrip(CZ22,"CurveDate",SwapsMarketDate,"ApplyDC",$CN22,"ParallelShift",$CO22),"")</f>
        <v/>
      </c>
      <c r="DC22" s="47" t="str">
        <f t="shared" ca="1" si="2"/>
        <v xml:space="preserve"> EUR </v>
      </c>
      <c r="DD22" s="47" t="str">
        <f ca="1">IF(OR(I22&lt;&gt;"",O22&lt;&gt;""),_xll.BSTRUCTURE(IF(I22&lt;&gt;"",I22,P22&amp;DC22),$AA$19,AA22,$AD$19:$AJ$19,$AD22:$AJ22,$AL$19,AL22,$AO$19:$AU$19,$AO22:$AU22,$AW$19,AW22,$DP$18:$DS$18,$DP22:$DS22,DW22,DX22,DZ22,EA22,$AY$19,AY22,"ignoreinvalidparams=true"),"Enter deal type or saved ID.")</f>
        <v>FXFL 582191</v>
      </c>
      <c r="DE22" s="47" t="str">
        <f ca="1">IF(LEFT(DD22,1)="E","",IF(CM22="No",_xll.BPRICE(DD22,IF(R22&lt;&gt;"","Target="&amp;S22,""),IF(R22&lt;&gt;"",T22&amp;"="&amp;U22,""),"MarketDate",SwapsMarketDate,"ValuationDate",SwapsValuationDate,"alwaysrefresh"),_xll.BPRICE(DD22,IF(R22&lt;&gt;"","Target="&amp;S22,""),IF(R22&lt;&gt;"",T22&amp;"="&amp;U22,""),"MarketDate",SwapsMarketDate,"ValuationDate",SwapsValuationDate,CP22,CR22,CS22,CU22,CV22,CX22,CY22,DA22,"alwaysrefresh")))</f>
        <v>PRICE FXFL 989515</v>
      </c>
      <c r="DG22" s="23"/>
      <c r="DH22" s="25" t="str">
        <f ca="1">_xll.BView(DE22,IF(R22="Leg 1 Notional","Leg[2].notional","Leg[1].notional"),"headers=false")</f>
        <v>#N/A Field Not Applicable [Parameter:OUTPUT]</v>
      </c>
      <c r="DI22" s="104"/>
      <c r="DJ22" s="113">
        <f t="shared" si="10"/>
        <v>1000000</v>
      </c>
      <c r="DK22" s="113">
        <f t="shared" si="11"/>
        <v>1000000</v>
      </c>
      <c r="DL22" s="113">
        <f t="shared" si="12"/>
        <v>1000000</v>
      </c>
      <c r="DM22" s="113">
        <f t="shared" si="13"/>
        <v>1000000</v>
      </c>
      <c r="DN22" s="113" t="str">
        <f t="shared" si="14"/>
        <v>BL</v>
      </c>
      <c r="DP22" s="113" t="str">
        <f t="shared" si="15"/>
        <v>EUR</v>
      </c>
      <c r="DQ22" s="117">
        <f t="shared" si="16"/>
        <v>1000000</v>
      </c>
      <c r="DR22" s="113" t="str">
        <f t="shared" si="17"/>
        <v>EUR</v>
      </c>
      <c r="DS22" s="117">
        <f t="shared" si="18"/>
        <v>1000000</v>
      </c>
      <c r="DT22" s="113">
        <f>IF(UPPER(DP22)=UPPER(DR22),1,_xll.BDP(DP22&amp;DR22&amp;" CURNCY","PX LAST")/_xll.BDP(DP22&amp;DR22&amp;" CURNCY","QUOTE FACTOR"))</f>
        <v>1</v>
      </c>
      <c r="DV22" s="113" t="b">
        <f ca="1">ISNUMBER(W22)</f>
        <v>1</v>
      </c>
      <c r="DW22" s="113" t="str">
        <f t="shared" ref="DW22:DW39" ca="1" si="23">IF(DV22,"EffectiveDate","")</f>
        <v>EffectiveDate</v>
      </c>
      <c r="DX22" s="115">
        <f t="shared" ca="1" si="19"/>
        <v>42654</v>
      </c>
      <c r="DY22" s="113" t="b">
        <f ca="1">ISNUMBER(Y22)</f>
        <v>1</v>
      </c>
      <c r="DZ22" s="113" t="str">
        <f t="shared" ref="DZ22:DZ39" ca="1" si="24">IF(DY22,"MaturityDate","")</f>
        <v>MaturityDate</v>
      </c>
      <c r="EA22" s="115">
        <f t="shared" ca="1" si="20"/>
        <v>43749</v>
      </c>
      <c r="EB22" s="25"/>
      <c r="EC22" s="25"/>
      <c r="ED22" s="25"/>
      <c r="EE22" s="25"/>
      <c r="EF22" s="24"/>
    </row>
    <row r="23" spans="1:136" x14ac:dyDescent="0.25">
      <c r="A23" s="201"/>
      <c r="B23" s="27">
        <f ca="1">IF(OR(I23&lt;&gt;"",O23&lt;&gt;""),IF(OR(DD23="#N/A Requesting Data...",DD23="#N/A Waiting For Data...",DE23="#N/A Requesting Data...",DE23="#N/A Waiting For Data..."),"Loading ….",IF(OR(LEFT(DD23,1)="#",LEFT(DE23,1)="#"),"Check Inputs",_xll.BView(DE23,B$19,"headers=false"))),"Select Deal Type")</f>
        <v>45742.066211172641</v>
      </c>
      <c r="C23" s="49">
        <f ca="1">IFERROR(1*_xll.BView($DE23,C$19,"headers=false"),"-")</f>
        <v>415.82748002402224</v>
      </c>
      <c r="D23" s="49">
        <f ca="1">IFERROR(1*_xll.BView($DE23,D$19,"headers=false"),"-")</f>
        <v>404.17354444898092</v>
      </c>
      <c r="E23" s="120">
        <f ca="1">IFERROR(1*_xll.BView($DE23,E$19,"headers=false"),"-")</f>
        <v>-0.1316451232281369</v>
      </c>
      <c r="F23" s="57" t="str">
        <f t="shared" ca="1" si="21"/>
        <v>-</v>
      </c>
      <c r="G23" s="57" t="str">
        <f>IF(R23&lt;&gt;"",IFERROR(1*_xll.BView($DE23,$S23,"headers=false"),"-"),"-")</f>
        <v>-</v>
      </c>
      <c r="I23" s="35"/>
      <c r="J23" s="44" t="s">
        <v>1</v>
      </c>
      <c r="L23" s="39" t="str">
        <f t="shared" si="22"/>
        <v/>
      </c>
      <c r="M23" s="34"/>
      <c r="O23" s="58" t="s">
        <v>207</v>
      </c>
      <c r="P23" s="2" t="str">
        <f t="shared" si="0"/>
        <v>FXFL</v>
      </c>
      <c r="R23" s="40"/>
      <c r="S23" s="20" t="e">
        <f>INDEX(SolverTarget,MATCH(Swaps!R23,SolverTargetName,0))</f>
        <v>#N/A</v>
      </c>
      <c r="T23" s="28" t="str">
        <f>IF(R23&lt;&gt;"",INDEX(SolveFor,MATCH(IF(Swaps!R23&lt;&gt;"",Swaps!R23,"Empty"),SolverTargetName,0)),"")</f>
        <v/>
      </c>
      <c r="U23" s="102"/>
      <c r="V23" s="20"/>
      <c r="W23" s="119">
        <f t="shared" ca="1" si="1"/>
        <v>42654</v>
      </c>
      <c r="X23" s="119" t="s">
        <v>361</v>
      </c>
      <c r="Y23" s="207">
        <f ca="1">IF(ISBLANK(X23),"",IF(ISNUMBER(X23),X23,_xll.meDateFromTenor(W23,X23)))</f>
        <v>44115</v>
      </c>
      <c r="Z23" s="20"/>
      <c r="AA23" s="40" t="s">
        <v>49</v>
      </c>
      <c r="AB23" s="44" t="s">
        <v>54</v>
      </c>
      <c r="AC23" s="79">
        <v>1000000</v>
      </c>
      <c r="AD23" s="212">
        <v>1</v>
      </c>
      <c r="AE23" s="40"/>
      <c r="AF23" s="40"/>
      <c r="AG23" s="40"/>
      <c r="AH23" s="40"/>
      <c r="AI23" s="40"/>
      <c r="AJ23" s="40"/>
      <c r="AK23" s="20"/>
      <c r="AL23" s="40"/>
      <c r="AM23" s="40"/>
      <c r="AN23" s="76"/>
      <c r="AO23" s="40"/>
      <c r="AP23" s="106"/>
      <c r="AQ23" s="40"/>
      <c r="AR23" s="40"/>
      <c r="AS23" s="40"/>
      <c r="AT23" s="40" t="s">
        <v>120</v>
      </c>
      <c r="AU23" s="40"/>
      <c r="AV23" s="20"/>
      <c r="AW23" s="40"/>
      <c r="AX23" s="20"/>
      <c r="AY23" s="40" t="s">
        <v>54</v>
      </c>
      <c r="AZ23" s="20"/>
      <c r="BA23" s="48">
        <f ca="1">IF(LEFT(_xll.BView($DD23,BA$19,"headers=false"),1)&lt;&gt;"#",_xll.BView($DD23,BA$19,"headers=false"),"")</f>
        <v>42654</v>
      </c>
      <c r="BB23" s="48">
        <f ca="1">IF(LEFT(_xll.BView($DD23,BB$19,"headers=false"),1)&lt;&gt;"#",_xll.BView($DD23,BB$19,"headers=false"),"")</f>
        <v>44115</v>
      </c>
      <c r="BC23" s="21"/>
      <c r="BD23" s="27" t="str">
        <f ca="1">IF(LEFT(_xll.BView($DD23,BD$19,"headers=false"),1)&lt;&gt;"#",_xll.BView($DD23,BD$19,"headers=false"),"")</f>
        <v>Receive</v>
      </c>
      <c r="BE23" s="27" t="str">
        <f ca="1">IF(LEFT(_xll.BView($DD23,BE$19,"headers=false"),1)&lt;&gt;"#",_xll.BView($DD23,BE$19,"headers=false"),"")</f>
        <v>EUR</v>
      </c>
      <c r="BF23" s="27">
        <f ca="1">IF(LEFT(_xll.BView($DD23,BF$19,"headers=false"),1)&lt;&gt;"#",_xll.BView($DD23,BF$19,"headers=false"),"")</f>
        <v>1000000</v>
      </c>
      <c r="BG23" s="38">
        <f ca="1">IF(LEFT(_xll.BView($DD23,BG$19,"headers=false"),1)&lt;&gt;"#",_xll.BView($DD23,BG$19,"headers=false"),"")</f>
        <v>1</v>
      </c>
      <c r="BH23" s="27" t="str">
        <f ca="1">IF(LEFT(_xll.BView($DD23,BH$19,"headers=false"),1)&lt;&gt;"#",_xll.BView($DD23,BH$19,"headers=false"),"")</f>
        <v/>
      </c>
      <c r="BI23" s="27" t="str">
        <f ca="1">IF(LEFT(_xll.BView($DD23,BI$19,"headers=false"),1)&lt;&gt;"#",_xll.BView($DD23,BI$19,"headers=false"),"")</f>
        <v/>
      </c>
      <c r="BJ23" s="27" t="str">
        <f ca="1">IF(LEFT(_xll.BView($DD23,BJ$19,"headers=false"),1)&lt;&gt;"#",_xll.BView($DD23,BJ$19,"headers=false"),"")</f>
        <v>Annual</v>
      </c>
      <c r="BK23" s="27" t="str">
        <f ca="1">IF(LEFT(_xll.BView($DD23,BK$19,"headers=false"),1)&lt;&gt;"#",_xll.BView($DD23,BK$19,"headers=false"),"")</f>
        <v>30U/360</v>
      </c>
      <c r="BL23" s="27" t="str">
        <f ca="1">IF(LEFT(_xll.BView($DD23,BL$19,"headers=false"),1)&lt;&gt;"#",_xll.BView($DD23,BL$19,"headers=false"),"")</f>
        <v/>
      </c>
      <c r="BM23" s="27" t="str">
        <f ca="1">IF(LEFT(_xll.BView($DD23,BM$19,"headers=false"),1)&lt;&gt;"#",_xll.BView($DD23,BM$19,"headers=false"),"")</f>
        <v>Money Mkt</v>
      </c>
      <c r="BN23" s="22"/>
      <c r="BO23" s="27" t="str">
        <f ca="1">IF(LEFT(_xll.BView($DD23,BO$19,"headers=false"),1)&lt;&gt;"#",_xll.BView($DD23,BO$19,"headers=false"),"")</f>
        <v>Pay</v>
      </c>
      <c r="BP23" s="27" t="str">
        <f ca="1">IF(LEFT(_xll.BView($DD23,BP$19,"headers=false"),1)&lt;&gt;"#",_xll.BView($DD23,BP$19,"headers=false"),"")</f>
        <v>EUR</v>
      </c>
      <c r="BQ23" s="27">
        <f ca="1">IF(LEFT(_xll.BView($DD23,BQ$19,"headers=false"),1)&lt;&gt;"#",_xll.BView($DD23,BQ$19,"headers=false"),"")</f>
        <v>1000000</v>
      </c>
      <c r="BR23" s="27" t="str">
        <f ca="1">IF(LEFT(_xll.BView($DD23,BR$19,"headers=false"),1)&lt;&gt;"#",_xll.BView($DD23,BR$19,"headers=false"),"")</f>
        <v/>
      </c>
      <c r="BS23" s="57">
        <f ca="1">IF(LEFT(_xll.BView($DD23,BS$19,"headers=false"),1)&lt;&gt;"#",_xll.BView($DD23,BS$19,"headers=false"),"")</f>
        <v>0</v>
      </c>
      <c r="BT23" s="27" t="str">
        <f ca="1">IF(LEFT(_xll.BView($DD23,BT$19,"headers=false"),1)&lt;&gt;"#",_xll.BView($DD23,BT$19,"headers=false"),"")</f>
        <v>EUR006M</v>
      </c>
      <c r="BU23" s="27" t="str">
        <f ca="1">IF(LEFT(_xll.BView($DD23,BU$19,"headers=false"),1)&lt;&gt;"#",_xll.BView($DD23,BU$19,"headers=false"),"")</f>
        <v>SemiAnnual</v>
      </c>
      <c r="BV23" s="27" t="str">
        <f ca="1">IF(LEFT(_xll.BView($DD23,BV$19,"headers=false"),1)&lt;&gt;"#",_xll.BView($DD23,BV$19,"headers=false"),"")</f>
        <v>ACT/360</v>
      </c>
      <c r="BW23" s="27" t="str">
        <f ca="1">IF(LEFT(_xll.BView($DD23,BW$19,"headers=false"),1)&lt;&gt;"#",_xll.BView($DD23,BW$19,"headers=false"),"")</f>
        <v>SemiAnnual</v>
      </c>
      <c r="BX23" s="27" t="str">
        <f ca="1">IF(LEFT(_xll.BView($DD23,BX$19,"headers=false"),1)&lt;&gt;"#",_xll.BView($DD23,BX$19,"headers=false"),"")</f>
        <v/>
      </c>
      <c r="BY23" s="22"/>
      <c r="BZ23" s="27" t="str">
        <f ca="1">IF(LEFT(_xll.BView($DD23,BZ$19,"headers=false"),1)&lt;&gt;"#",_xll.BView($DD23,BZ$19,"headers=false"),"")</f>
        <v>Effect. &amp; Maturity</v>
      </c>
      <c r="CA23" s="22"/>
      <c r="CB23" s="27" t="str">
        <f ca="1">IF(LEFT(_xll.BView($DD23,CB$19,"headers=false"),1)&lt;&gt;"#",_xll.BView($DD23,CB$19,"headers=false"),"")</f>
        <v>EUR</v>
      </c>
      <c r="CC23" s="20"/>
      <c r="CD23" s="28" t="str">
        <f ca="1">IFERROR(INDEX(_xll.BMARKETPARAM($DD23,"array=true"),2,1),"")</f>
        <v>DiscountCurve[EUR]</v>
      </c>
      <c r="CE23" s="28" t="str">
        <f ca="1">IFERROR(INDEX(_xll.BMARKETPARAM($DD23,"array=true"),2,3),"")</f>
        <v>S133:Mid:DFLT:EUR OIS</v>
      </c>
      <c r="CF23" s="28" t="str">
        <f ca="1">IFERROR(INDEX(_xll.BMARKETPARAM($DD23,"array=true"),3,1),"")</f>
        <v>ForwardCurve[EUR006M]</v>
      </c>
      <c r="CG23" s="28" t="str">
        <f ca="1">IFERROR(INDEX(_xll.BMARKETPARAM($DD23,"array=true"),3,3),"")</f>
        <v>S45:Mid:DFLT:EUR (vs. 6M EURIBOR)</v>
      </c>
      <c r="CH23" s="28" t="str">
        <f ca="1">IFERROR(INDEX(_xll.BMARKETPARAM($DD23,"array=true"),4,1),"")</f>
        <v/>
      </c>
      <c r="CI23" s="28" t="str">
        <f ca="1">IFERROR(INDEX(_xll.BMARKETPARAM($DD23,"array=true"),4,3),"")</f>
        <v/>
      </c>
      <c r="CJ23" s="28" t="str">
        <f ca="1">IFERROR(INDEX(_xll.BMARKETPARAM($DD23,"array=true"),5,1),"")</f>
        <v/>
      </c>
      <c r="CK23" s="28" t="str">
        <f ca="1">IFERROR(INDEX(_xll.BMARKETPARAM($DD23,"array=true"),5,3),"")</f>
        <v/>
      </c>
      <c r="CL23" s="20"/>
      <c r="CM23" s="40" t="s">
        <v>1</v>
      </c>
      <c r="CN23" s="40"/>
      <c r="CO23" s="91"/>
      <c r="CP23" s="28" t="str">
        <f t="shared" ca="1" si="6"/>
        <v>DiscountCurve[EUR]</v>
      </c>
      <c r="CQ23" s="92"/>
      <c r="CR23" s="93" t="str">
        <f>IF(CQ23&lt;&gt;"",_xll.BCurveStrip(CQ23,"CurveDate",SwapsMarketDate,"ApplyDC",$CN23,"ParallelShift",$CO23),"")</f>
        <v/>
      </c>
      <c r="CS23" s="93" t="str">
        <f t="shared" ca="1" si="7"/>
        <v>ForwardCurve[EUR006M]</v>
      </c>
      <c r="CT23" s="40"/>
      <c r="CU23" s="93" t="str">
        <f>IF(CT23&lt;&gt;"",_xll.BCurveStrip(CT23,"CurveDate",SwapsMarketDate,"ApplyDC",$CN23,"ParallelShift",$CO23),"")</f>
        <v/>
      </c>
      <c r="CV23" s="93" t="str">
        <f t="shared" ca="1" si="8"/>
        <v/>
      </c>
      <c r="CW23" s="40"/>
      <c r="CX23" s="93" t="str">
        <f>IF(CW23&lt;&gt;"",_xll.BCurveStrip(CW23,"CurveDate",SwapsMarketDate,"ApplyDC",$CN23,"ParallelShift",$CO23),"")</f>
        <v/>
      </c>
      <c r="CY23" s="93" t="str">
        <f t="shared" ca="1" si="9"/>
        <v/>
      </c>
      <c r="CZ23" s="40"/>
      <c r="DA23" s="93" t="str">
        <f>IF(CZ23&lt;&gt;"",_xll.BCurveStrip(CZ23,"CurveDate",SwapsMarketDate,"ApplyDC",$CN23,"ParallelShift",$CO23),"")</f>
        <v/>
      </c>
      <c r="DC23" s="47" t="str">
        <f ca="1">IF(W23&lt;&gt;"",IF(ISERROR(RIGHT(W23,1)*1)," "&amp;W23&amp;"x"&amp;IF(Y23&lt;&gt;"",Y23,W23)&amp;" "&amp;AB23&amp;" "&amp;AM23," "&amp;AB23&amp;" "&amp;AM23),IF(Y23&lt;&gt;"",IF(ISERROR(RIGHT(Y23,1)*1)," "&amp;Y23&amp;" "&amp;AB23&amp;" "&amp;AM23,IF(AB23&lt;&gt;""," "&amp;AB23,""))," "&amp;AB23&amp;" "&amp;AM23))</f>
        <v xml:space="preserve"> EUR </v>
      </c>
      <c r="DD23" s="47" t="str">
        <f ca="1">IF(OR(I23&lt;&gt;"",O23&lt;&gt;""),_xll.BSTRUCTURE(IF(I23&lt;&gt;"",I23,P23&amp;DC23),$AA$19,AA23,$AD$19:$AJ$19,$AD23:$AJ23,$AL$19,AL23,$AO$19:$AU$19,$AO23:$AU23,$AW$19,AW23,$DP$18:$DS$18,$DP23:$DS23,DW23,DX23,DZ23,EA23,$AY$19,AY23,"ignoreinvalidparams=true"),"Enter deal type or saved ID.")</f>
        <v>FXFL 729164</v>
      </c>
      <c r="DE23" s="47" t="str">
        <f ca="1">IF(LEFT(DD23,1)="E","",IF(CM23="No",_xll.BPRICE(DD23,IF(R23&lt;&gt;"","Target="&amp;S23,""),IF(R23&lt;&gt;"",T23&amp;"="&amp;U23,""),"MarketDate",SwapsMarketDate,"ValuationDate",SwapsValuationDate,"alwaysrefresh"),_xll.BPRICE(DD23,IF(R23&lt;&gt;"","Target="&amp;S23,""),IF(R23&lt;&gt;"",T23&amp;"="&amp;U23,""),"MarketDate",SwapsMarketDate,"ValuationDate",SwapsValuationDate,CP23,CR23,CS23,CU23,CV23,CX23,CY23,DA23,"alwaysrefresh")))</f>
        <v>PRICE FXFL 782879</v>
      </c>
      <c r="DG23" s="23"/>
      <c r="DH23" s="25" t="str">
        <f ca="1">_xll.BView(DE23,IF(R23="Leg 1 Notional","Leg[2].notional","Leg[1].notional"),"headers=false")</f>
        <v>#N/A Field Not Applicable [Parameter:OUTPUT]</v>
      </c>
      <c r="DI23" s="104"/>
      <c r="DJ23" s="113">
        <f t="shared" si="10"/>
        <v>1000000</v>
      </c>
      <c r="DK23" s="113">
        <f t="shared" si="11"/>
        <v>1000000</v>
      </c>
      <c r="DL23" s="113">
        <f t="shared" si="12"/>
        <v>1000000</v>
      </c>
      <c r="DM23" s="113">
        <f t="shared" si="13"/>
        <v>1000000</v>
      </c>
      <c r="DN23" s="113" t="str">
        <f t="shared" si="14"/>
        <v>BL</v>
      </c>
      <c r="DP23" s="113" t="str">
        <f t="shared" si="15"/>
        <v>EUR</v>
      </c>
      <c r="DQ23" s="117">
        <f t="shared" si="16"/>
        <v>1000000</v>
      </c>
      <c r="DR23" s="113" t="str">
        <f t="shared" si="17"/>
        <v>EUR</v>
      </c>
      <c r="DS23" s="117">
        <f t="shared" si="18"/>
        <v>1000000</v>
      </c>
      <c r="DT23" s="113">
        <f>IF(UPPER(DP23)=UPPER(DR23),1,_xll.BDP(DP23&amp;DR23&amp;" CURNCY","PX LAST")/_xll.BDP(DP23&amp;DR23&amp;" CURNCY","QUOTE FACTOR"))</f>
        <v>1</v>
      </c>
      <c r="DV23" s="113" t="b">
        <f t="shared" ref="DV23:DV39" ca="1" si="25">ISNUMBER(W23)</f>
        <v>1</v>
      </c>
      <c r="DW23" s="113" t="str">
        <f t="shared" ca="1" si="23"/>
        <v>EffectiveDate</v>
      </c>
      <c r="DX23" s="115">
        <f t="shared" ca="1" si="19"/>
        <v>42654</v>
      </c>
      <c r="DY23" s="113" t="b">
        <f t="shared" ref="DY23:DY39" ca="1" si="26">ISNUMBER(Y23)</f>
        <v>1</v>
      </c>
      <c r="DZ23" s="113" t="str">
        <f t="shared" ca="1" si="24"/>
        <v>MaturityDate</v>
      </c>
      <c r="EA23" s="115">
        <f t="shared" ca="1" si="20"/>
        <v>44115</v>
      </c>
    </row>
    <row r="24" spans="1:136" x14ac:dyDescent="0.25">
      <c r="A24" s="201"/>
      <c r="B24" s="27">
        <f ca="1">IF(OR(I24&lt;&gt;"",O24&lt;&gt;""),IF(OR(DD24="#N/A Requesting Data...",DD24="#N/A Waiting For Data...",DE24="#N/A Requesting Data...",DE24="#N/A Waiting For Data..."),"Loading ….",IF(OR(LEFT(DD24,1)="#",LEFT(DE24,1)="#"),"Check Inputs",_xll.BView(DE24,B$19,"headers=false"))),"Select Deal Type")</f>
        <v>53760.027395912446</v>
      </c>
      <c r="C24" s="49">
        <f ca="1">IFERROR(1*_xll.BView($DE24,C$19,"headers=false"),"-")</f>
        <v>521.93187295686437</v>
      </c>
      <c r="D24" s="49">
        <f ca="1">IFERROR(1*_xll.BView($DE24,D$19,"headers=false"),"-")</f>
        <v>505.46729310836434</v>
      </c>
      <c r="E24" s="120">
        <f ca="1">IFERROR(1*_xll.BView($DE24,E$19,"headers=false"),"-")</f>
        <v>-6.3417426634160362E-2</v>
      </c>
      <c r="F24" s="57" t="str">
        <f t="shared" ca="1" si="21"/>
        <v>-</v>
      </c>
      <c r="G24" s="57" t="str">
        <f>IF(R24&lt;&gt;"",IFERROR(1*_xll.BView($DE24,$S24,"headers=false"),"-"),"-")</f>
        <v>-</v>
      </c>
      <c r="I24" s="35"/>
      <c r="J24" s="44" t="s">
        <v>1</v>
      </c>
      <c r="K24" s="23"/>
      <c r="L24" s="39" t="str">
        <f t="shared" si="22"/>
        <v/>
      </c>
      <c r="M24" s="34"/>
      <c r="O24" s="58" t="s">
        <v>207</v>
      </c>
      <c r="P24" s="2" t="str">
        <f t="shared" si="0"/>
        <v>FXFL</v>
      </c>
      <c r="R24" s="44"/>
      <c r="S24" s="20" t="e">
        <f>INDEX(SolverTarget,MATCH(Swaps!R24,SolverTargetName,0))</f>
        <v>#N/A</v>
      </c>
      <c r="T24" s="28" t="str">
        <f>IF(R24&lt;&gt;"",INDEX(SolveFor,MATCH(IF(Swaps!R24&lt;&gt;"",Swaps!R24,"Empty"),SolverTargetName,0)),"")</f>
        <v/>
      </c>
      <c r="U24" s="102"/>
      <c r="V24" s="20"/>
      <c r="W24" s="118">
        <f t="shared" ca="1" si="1"/>
        <v>42654</v>
      </c>
      <c r="X24" s="118" t="s">
        <v>296</v>
      </c>
      <c r="Y24" s="206">
        <f ca="1">IF(ISBLANK(X24),"",IF(ISNUMBER(X24),X24,_xll.meDateFromTenor(W24,X24)))</f>
        <v>44480</v>
      </c>
      <c r="Z24" s="20"/>
      <c r="AA24" s="40" t="s">
        <v>49</v>
      </c>
      <c r="AB24" s="44" t="s">
        <v>54</v>
      </c>
      <c r="AC24" s="79">
        <v>1000000</v>
      </c>
      <c r="AD24" s="212">
        <v>1</v>
      </c>
      <c r="AE24" s="40"/>
      <c r="AF24" s="40"/>
      <c r="AG24" s="40"/>
      <c r="AH24" s="40"/>
      <c r="AI24" s="40"/>
      <c r="AJ24" s="40"/>
      <c r="AK24" s="20"/>
      <c r="AL24" s="40"/>
      <c r="AM24" s="44"/>
      <c r="AN24" s="76"/>
      <c r="AO24" s="40"/>
      <c r="AP24" s="106"/>
      <c r="AQ24" s="40"/>
      <c r="AR24" s="40"/>
      <c r="AS24" s="40"/>
      <c r="AT24" s="40" t="s">
        <v>120</v>
      </c>
      <c r="AU24" s="40"/>
      <c r="AV24" s="20"/>
      <c r="AW24" s="40"/>
      <c r="AX24" s="20"/>
      <c r="AY24" s="44" t="s">
        <v>54</v>
      </c>
      <c r="AZ24" s="20"/>
      <c r="BA24" s="48">
        <f ca="1">IF(LEFT(_xll.BView($DD24,BA$19,"headers=false"),1)&lt;&gt;"#",_xll.BView($DD24,BA$19,"headers=false"),"")</f>
        <v>42654</v>
      </c>
      <c r="BB24" s="48">
        <f ca="1">IF(LEFT(_xll.BView($DD24,BB$19,"headers=false"),1)&lt;&gt;"#",_xll.BView($DD24,BB$19,"headers=false"),"")</f>
        <v>44480</v>
      </c>
      <c r="BC24" s="21"/>
      <c r="BD24" s="27" t="str">
        <f ca="1">IF(LEFT(_xll.BView($DD24,BD$19,"headers=false"),1)&lt;&gt;"#",_xll.BView($DD24,BD$19,"headers=false"),"")</f>
        <v>Receive</v>
      </c>
      <c r="BE24" s="27" t="str">
        <f ca="1">IF(LEFT(_xll.BView($DD24,BE$19,"headers=false"),1)&lt;&gt;"#",_xll.BView($DD24,BE$19,"headers=false"),"")</f>
        <v>EUR</v>
      </c>
      <c r="BF24" s="27">
        <f ca="1">IF(LEFT(_xll.BView($DD24,BF$19,"headers=false"),1)&lt;&gt;"#",_xll.BView($DD24,BF$19,"headers=false"),"")</f>
        <v>1000000</v>
      </c>
      <c r="BG24" s="38">
        <f ca="1">IF(LEFT(_xll.BView($DD24,BG$19,"headers=false"),1)&lt;&gt;"#",_xll.BView($DD24,BG$19,"headers=false"),"")</f>
        <v>1</v>
      </c>
      <c r="BH24" s="27" t="str">
        <f ca="1">IF(LEFT(_xll.BView($DD24,BH$19,"headers=false"),1)&lt;&gt;"#",_xll.BView($DD24,BH$19,"headers=false"),"")</f>
        <v/>
      </c>
      <c r="BI24" s="27" t="str">
        <f ca="1">IF(LEFT(_xll.BView($DD24,BI$19,"headers=false"),1)&lt;&gt;"#",_xll.BView($DD24,BI$19,"headers=false"),"")</f>
        <v/>
      </c>
      <c r="BJ24" s="27" t="str">
        <f ca="1">IF(LEFT(_xll.BView($DD24,BJ$19,"headers=false"),1)&lt;&gt;"#",_xll.BView($DD24,BJ$19,"headers=false"),"")</f>
        <v>Annual</v>
      </c>
      <c r="BK24" s="27" t="str">
        <f ca="1">IF(LEFT(_xll.BView($DD24,BK$19,"headers=false"),1)&lt;&gt;"#",_xll.BView($DD24,BK$19,"headers=false"),"")</f>
        <v>30U/360</v>
      </c>
      <c r="BL24" s="27" t="str">
        <f ca="1">IF(LEFT(_xll.BView($DD24,BL$19,"headers=false"),1)&lt;&gt;"#",_xll.BView($DD24,BL$19,"headers=false"),"")</f>
        <v/>
      </c>
      <c r="BM24" s="27" t="str">
        <f ca="1">IF(LEFT(_xll.BView($DD24,BM$19,"headers=false"),1)&lt;&gt;"#",_xll.BView($DD24,BM$19,"headers=false"),"")</f>
        <v>Money Mkt</v>
      </c>
      <c r="BN24" s="22"/>
      <c r="BO24" s="27" t="str">
        <f ca="1">IF(LEFT(_xll.BView($DD24,BO$19,"headers=false"),1)&lt;&gt;"#",_xll.BView($DD24,BO$19,"headers=false"),"")</f>
        <v>Pay</v>
      </c>
      <c r="BP24" s="27" t="str">
        <f ca="1">IF(LEFT(_xll.BView($DD24,BP$19,"headers=false"),1)&lt;&gt;"#",_xll.BView($DD24,BP$19,"headers=false"),"")</f>
        <v>EUR</v>
      </c>
      <c r="BQ24" s="27">
        <f ca="1">IF(LEFT(_xll.BView($DD24,BQ$19,"headers=false"),1)&lt;&gt;"#",_xll.BView($DD24,BQ$19,"headers=false"),"")</f>
        <v>1000000</v>
      </c>
      <c r="BR24" s="27" t="str">
        <f ca="1">IF(LEFT(_xll.BView($DD24,BR$19,"headers=false"),1)&lt;&gt;"#",_xll.BView($DD24,BR$19,"headers=false"),"")</f>
        <v/>
      </c>
      <c r="BS24" s="57">
        <f ca="1">IF(LEFT(_xll.BView($DD24,BS$19,"headers=false"),1)&lt;&gt;"#",_xll.BView($DD24,BS$19,"headers=false"),"")</f>
        <v>0</v>
      </c>
      <c r="BT24" s="27" t="str">
        <f ca="1">IF(LEFT(_xll.BView($DD24,BT$19,"headers=false"),1)&lt;&gt;"#",_xll.BView($DD24,BT$19,"headers=false"),"")</f>
        <v>EUR006M</v>
      </c>
      <c r="BU24" s="27" t="str">
        <f ca="1">IF(LEFT(_xll.BView($DD24,BU$19,"headers=false"),1)&lt;&gt;"#",_xll.BView($DD24,BU$19,"headers=false"),"")</f>
        <v>SemiAnnual</v>
      </c>
      <c r="BV24" s="27" t="str">
        <f ca="1">IF(LEFT(_xll.BView($DD24,BV$19,"headers=false"),1)&lt;&gt;"#",_xll.BView($DD24,BV$19,"headers=false"),"")</f>
        <v>ACT/360</v>
      </c>
      <c r="BW24" s="27" t="str">
        <f ca="1">IF(LEFT(_xll.BView($DD24,BW$19,"headers=false"),1)&lt;&gt;"#",_xll.BView($DD24,BW$19,"headers=false"),"")</f>
        <v>SemiAnnual</v>
      </c>
      <c r="BX24" s="27" t="str">
        <f ca="1">IF(LEFT(_xll.BView($DD24,BX$19,"headers=false"),1)&lt;&gt;"#",_xll.BView($DD24,BX$19,"headers=false"),"")</f>
        <v/>
      </c>
      <c r="BY24" s="22"/>
      <c r="BZ24" s="27" t="str">
        <f ca="1">IF(LEFT(_xll.BView($DD24,BZ$19,"headers=false"),1)&lt;&gt;"#",_xll.BView($DD24,BZ$19,"headers=false"),"")</f>
        <v>Effect. &amp; Maturity</v>
      </c>
      <c r="CA24" s="22"/>
      <c r="CB24" s="27" t="str">
        <f ca="1">IF(LEFT(_xll.BView($DD24,CB$19,"headers=false"),1)&lt;&gt;"#",_xll.BView($DD24,CB$19,"headers=false"),"")</f>
        <v>EUR</v>
      </c>
      <c r="CC24" s="20"/>
      <c r="CD24" s="28" t="str">
        <f ca="1">IFERROR(INDEX(_xll.BMARKETPARAM($DD24,"array=true"),2,1),"")</f>
        <v>DiscountCurve[EUR]</v>
      </c>
      <c r="CE24" s="28" t="str">
        <f ca="1">IFERROR(INDEX(_xll.BMARKETPARAM($DD24,"array=true"),2,3),"")</f>
        <v>S133:Mid:DFLT:EUR OIS</v>
      </c>
      <c r="CF24" s="28" t="str">
        <f ca="1">IFERROR(INDEX(_xll.BMARKETPARAM($DD24,"array=true"),3,1),"")</f>
        <v>ForwardCurve[EUR006M]</v>
      </c>
      <c r="CG24" s="28" t="str">
        <f ca="1">IFERROR(INDEX(_xll.BMARKETPARAM($DD24,"array=true"),3,3),"")</f>
        <v>S45:Mid:DFLT:EUR (vs. 6M EURIBOR)</v>
      </c>
      <c r="CH24" s="28" t="str">
        <f ca="1">IFERROR(INDEX(_xll.BMARKETPARAM($DD24,"array=true"),4,1),"")</f>
        <v/>
      </c>
      <c r="CI24" s="28" t="str">
        <f ca="1">IFERROR(INDEX(_xll.BMARKETPARAM($DD24,"array=true"),4,3),"")</f>
        <v/>
      </c>
      <c r="CJ24" s="28" t="str">
        <f ca="1">IFERROR(INDEX(_xll.BMARKETPARAM($DD24,"array=true"),5,1),"")</f>
        <v/>
      </c>
      <c r="CK24" s="28" t="str">
        <f ca="1">IFERROR(INDEX(_xll.BMARKETPARAM($DD24,"array=true"),5,3),"")</f>
        <v/>
      </c>
      <c r="CL24" s="20"/>
      <c r="CM24" s="40" t="s">
        <v>1</v>
      </c>
      <c r="CN24" s="40"/>
      <c r="CO24" s="91"/>
      <c r="CP24" s="28" t="str">
        <f t="shared" ca="1" si="6"/>
        <v>DiscountCurve[EUR]</v>
      </c>
      <c r="CQ24" s="92"/>
      <c r="CR24" s="93" t="str">
        <f>IF(CQ24&lt;&gt;"",_xll.BCurveStrip(CQ24,"CurveDate",SwapsMarketDate,"ApplyDC",$CN24,"ParallelShift",$CO24),"")</f>
        <v/>
      </c>
      <c r="CS24" s="93" t="str">
        <f t="shared" ca="1" si="7"/>
        <v>ForwardCurve[EUR006M]</v>
      </c>
      <c r="CT24" s="40"/>
      <c r="CU24" s="93" t="str">
        <f>IF(CT24&lt;&gt;"",_xll.BCurveStrip(CT24,"CurveDate",SwapsMarketDate,"ApplyDC",$CN24,"ParallelShift",$CO24),"")</f>
        <v/>
      </c>
      <c r="CV24" s="93" t="str">
        <f t="shared" ca="1" si="8"/>
        <v/>
      </c>
      <c r="CW24" s="40"/>
      <c r="CX24" s="93" t="str">
        <f>IF(CW24&lt;&gt;"",_xll.BCurveStrip(CW24,"CurveDate",SwapsMarketDate,"ApplyDC",$CN24,"ParallelShift",$CO24),"")</f>
        <v/>
      </c>
      <c r="CY24" s="93" t="str">
        <f t="shared" ca="1" si="9"/>
        <v/>
      </c>
      <c r="CZ24" s="40"/>
      <c r="DA24" s="93" t="str">
        <f>IF(CZ24&lt;&gt;"",_xll.BCurveStrip(CZ24,"CurveDate",SwapsMarketDate,"ApplyDC",$CN24,"ParallelShift",$CO24),"")</f>
        <v/>
      </c>
      <c r="DC24" s="47" t="str">
        <f t="shared" ref="DC24:DC39" ca="1" si="27">IF(W24&lt;&gt;"",IF(ISERROR(RIGHT(W24,1)*1)," "&amp;W24&amp;"x"&amp;IF(Y24&lt;&gt;"",Y24,W24)&amp;" "&amp;AB24&amp;" "&amp;AM24," "&amp;AB24&amp;" "&amp;AM24),IF(Y24&lt;&gt;"",IF(ISERROR(RIGHT(Y24,1)*1)," "&amp;Y24&amp;" "&amp;AB24&amp;" "&amp;AM24,IF(AB24&lt;&gt;""," "&amp;AB24,""))," "&amp;AB24&amp;" "&amp;AM24))</f>
        <v xml:space="preserve"> EUR </v>
      </c>
      <c r="DD24" s="47" t="str">
        <f ca="1">IF(OR(I24&lt;&gt;"",O24&lt;&gt;""),_xll.BSTRUCTURE(IF(I24&lt;&gt;"",I24,P24&amp;DC24),$AA$19,AA24,$AD$19:$AJ$19,$AD24:$AJ24,$AL$19,AL24,$AO$19:$AU$19,$AO24:$AU24,$AW$19,AW24,$DP$18:$DS$18,$DP24:$DS24,DW24,DX24,DZ24,EA24,$AY$19,AY24,"ignoreinvalidparams=true"),"Enter deal type or saved ID.")</f>
        <v>FXFL 651808</v>
      </c>
      <c r="DE24" s="47" t="str">
        <f ca="1">IF(LEFT(DD24,1)="E","",IF(CM24="No",_xll.BPRICE(DD24,IF(R24&lt;&gt;"","Target="&amp;S24,""),IF(R24&lt;&gt;"",T24&amp;"="&amp;U24,""),"MarketDate",SwapsMarketDate,"ValuationDate",SwapsValuationDate,"alwaysrefresh"),_xll.BPRICE(DD24,IF(R24&lt;&gt;"","Target="&amp;S24,""),IF(R24&lt;&gt;"",T24&amp;"="&amp;U24,""),"MarketDate",SwapsMarketDate,"ValuationDate",SwapsValuationDate,CP24,CR24,CS24,CU24,CV24,CX24,CY24,DA24,"alwaysrefresh")))</f>
        <v>PRICE FXFL 326341</v>
      </c>
      <c r="DG24" s="23"/>
      <c r="DH24" s="25" t="str">
        <f ca="1">_xll.BView(DE24,IF(R24="Leg 1 Notional","Leg[2].notional","Leg[1].notional"),"headers=false")</f>
        <v>#N/A Field Not Applicable [Parameter:OUTPUT]</v>
      </c>
      <c r="DI24" s="104"/>
      <c r="DJ24" s="113">
        <f t="shared" si="10"/>
        <v>1000000</v>
      </c>
      <c r="DK24" s="113">
        <f t="shared" si="11"/>
        <v>1000000</v>
      </c>
      <c r="DL24" s="113">
        <f t="shared" si="12"/>
        <v>1000000</v>
      </c>
      <c r="DM24" s="113">
        <f t="shared" si="13"/>
        <v>1000000</v>
      </c>
      <c r="DN24" s="113" t="str">
        <f t="shared" si="14"/>
        <v>BL</v>
      </c>
      <c r="DP24" s="113" t="str">
        <f t="shared" si="15"/>
        <v>EUR</v>
      </c>
      <c r="DQ24" s="117">
        <f t="shared" si="16"/>
        <v>1000000</v>
      </c>
      <c r="DR24" s="113" t="str">
        <f t="shared" si="17"/>
        <v>EUR</v>
      </c>
      <c r="DS24" s="117">
        <f t="shared" si="18"/>
        <v>1000000</v>
      </c>
      <c r="DT24" s="113">
        <f>IF(UPPER(DP24)=UPPER(DR24),1,_xll.BDP(DP24&amp;DR24&amp;" CURNCY","PX LAST")/_xll.BDP(DP24&amp;DR24&amp;" CURNCY","QUOTE FACTOR"))</f>
        <v>1</v>
      </c>
      <c r="DV24" s="113" t="b">
        <f t="shared" ca="1" si="25"/>
        <v>1</v>
      </c>
      <c r="DW24" s="113" t="str">
        <f t="shared" ca="1" si="23"/>
        <v>EffectiveDate</v>
      </c>
      <c r="DX24" s="115">
        <f t="shared" ca="1" si="19"/>
        <v>42654</v>
      </c>
      <c r="DY24" s="113" t="b">
        <f t="shared" ca="1" si="26"/>
        <v>1</v>
      </c>
      <c r="DZ24" s="113" t="str">
        <f t="shared" ca="1" si="24"/>
        <v>MaturityDate</v>
      </c>
      <c r="EA24" s="115">
        <f t="shared" ca="1" si="20"/>
        <v>44480</v>
      </c>
    </row>
    <row r="25" spans="1:136" x14ac:dyDescent="0.25">
      <c r="A25" s="201"/>
      <c r="B25" s="27">
        <f ca="1">IF(OR(I25&lt;&gt;"",O25&lt;&gt;""),IF(OR(DD25="#N/A Requesting Data...",DD25="#N/A Waiting For Data...",DE25="#N/A Requesting Data...",DE25="#N/A Waiting For Data..."),"Loading ….",IF(OR(LEFT(DD25,1)="#",LEFT(DE25,1)="#"),"Check Inputs",_xll.BView(DE25,B$19,"headers=false"))),"Select Deal Type")</f>
        <v>59333.920196980245</v>
      </c>
      <c r="C25" s="49">
        <f ca="1">IFERROR(1*_xll.BView($DE25,C$19,"headers=false"),"-")</f>
        <v>628.0521786066264</v>
      </c>
      <c r="D25" s="49">
        <f ca="1">IFERROR(1*_xll.BView($DE25,D$19,"headers=false"),"-")</f>
        <v>606.8645312140701</v>
      </c>
      <c r="E25" s="120">
        <f ca="1">IFERROR(1*_xll.BView($DE25,E$19,"headers=false"),"-")</f>
        <v>2.2493658463877235E-2</v>
      </c>
      <c r="F25" s="57" t="str">
        <f t="shared" ca="1" si="21"/>
        <v>-</v>
      </c>
      <c r="G25" s="57" t="str">
        <f>IF(R25&lt;&gt;"",IFERROR(1*_xll.BView($DE25,$S25,"headers=false"),"-"),"-")</f>
        <v>-</v>
      </c>
      <c r="I25" s="35"/>
      <c r="J25" s="40" t="s">
        <v>1</v>
      </c>
      <c r="L25" s="39" t="str">
        <f t="shared" si="22"/>
        <v/>
      </c>
      <c r="M25" s="34"/>
      <c r="O25" s="58" t="s">
        <v>207</v>
      </c>
      <c r="P25" s="2" t="str">
        <f t="shared" si="0"/>
        <v>FXFL</v>
      </c>
      <c r="R25" s="44"/>
      <c r="S25" s="20" t="e">
        <f>INDEX(SolverTarget,MATCH(Swaps!R25,SolverTargetName,0))</f>
        <v>#N/A</v>
      </c>
      <c r="T25" s="28" t="str">
        <f>IF(R25&lt;&gt;"",INDEX(SolveFor,MATCH(IF(Swaps!R25&lt;&gt;"",Swaps!R25,"Empty"),SolverTargetName,0)),"")</f>
        <v/>
      </c>
      <c r="U25" s="102"/>
      <c r="V25" s="20"/>
      <c r="W25" s="119">
        <f t="shared" ca="1" si="1"/>
        <v>42654</v>
      </c>
      <c r="X25" s="119" t="s">
        <v>362</v>
      </c>
      <c r="Y25" s="207">
        <f ca="1">IF(ISBLANK(X25),"",IF(ISNUMBER(X25),X25,_xll.meDateFromTenor(W25,X25)))</f>
        <v>44845</v>
      </c>
      <c r="Z25" s="20"/>
      <c r="AA25" s="40" t="s">
        <v>49</v>
      </c>
      <c r="AB25" s="44" t="s">
        <v>54</v>
      </c>
      <c r="AC25" s="79">
        <v>1000000</v>
      </c>
      <c r="AD25" s="212">
        <v>1</v>
      </c>
      <c r="AE25" s="40"/>
      <c r="AF25" s="40"/>
      <c r="AG25" s="40"/>
      <c r="AH25" s="40"/>
      <c r="AI25" s="40"/>
      <c r="AJ25" s="40"/>
      <c r="AK25" s="20"/>
      <c r="AL25" s="40"/>
      <c r="AM25" s="44"/>
      <c r="AN25" s="76"/>
      <c r="AO25" s="40"/>
      <c r="AP25" s="106"/>
      <c r="AQ25" s="40"/>
      <c r="AR25" s="40"/>
      <c r="AS25" s="40"/>
      <c r="AT25" s="40" t="s">
        <v>120</v>
      </c>
      <c r="AU25" s="40"/>
      <c r="AV25" s="20"/>
      <c r="AW25" s="40"/>
      <c r="AX25" s="20"/>
      <c r="AY25" s="36" t="s">
        <v>54</v>
      </c>
      <c r="AZ25" s="20"/>
      <c r="BA25" s="48">
        <f ca="1">IF(LEFT(_xll.BView($DD25,BA$19,"headers=false"),1)&lt;&gt;"#",_xll.BView($DD25,BA$19,"headers=false"),"")</f>
        <v>42654</v>
      </c>
      <c r="BB25" s="48">
        <f ca="1">IF(LEFT(_xll.BView($DD25,BB$19,"headers=false"),1)&lt;&gt;"#",_xll.BView($DD25,BB$19,"headers=false"),"")</f>
        <v>44845</v>
      </c>
      <c r="BC25" s="21"/>
      <c r="BD25" s="27" t="str">
        <f ca="1">IF(LEFT(_xll.BView($DD25,BD$19,"headers=false"),1)&lt;&gt;"#",_xll.BView($DD25,BD$19,"headers=false"),"")</f>
        <v>Receive</v>
      </c>
      <c r="BE25" s="27" t="str">
        <f ca="1">IF(LEFT(_xll.BView($DD25,BE$19,"headers=false"),1)&lt;&gt;"#",_xll.BView($DD25,BE$19,"headers=false"),"")</f>
        <v>EUR</v>
      </c>
      <c r="BF25" s="27">
        <f ca="1">IF(LEFT(_xll.BView($DD25,BF$19,"headers=false"),1)&lt;&gt;"#",_xll.BView($DD25,BF$19,"headers=false"),"")</f>
        <v>1000000</v>
      </c>
      <c r="BG25" s="38">
        <f ca="1">IF(LEFT(_xll.BView($DD25,BG$19,"headers=false"),1)&lt;&gt;"#",_xll.BView($DD25,BG$19,"headers=false"),"")</f>
        <v>1</v>
      </c>
      <c r="BH25" s="27" t="str">
        <f ca="1">IF(LEFT(_xll.BView($DD25,BH$19,"headers=false"),1)&lt;&gt;"#",_xll.BView($DD25,BH$19,"headers=false"),"")</f>
        <v/>
      </c>
      <c r="BI25" s="27" t="str">
        <f ca="1">IF(LEFT(_xll.BView($DD25,BI$19,"headers=false"),1)&lt;&gt;"#",_xll.BView($DD25,BI$19,"headers=false"),"")</f>
        <v/>
      </c>
      <c r="BJ25" s="27" t="str">
        <f ca="1">IF(LEFT(_xll.BView($DD25,BJ$19,"headers=false"),1)&lt;&gt;"#",_xll.BView($DD25,BJ$19,"headers=false"),"")</f>
        <v>Annual</v>
      </c>
      <c r="BK25" s="27" t="str">
        <f ca="1">IF(LEFT(_xll.BView($DD25,BK$19,"headers=false"),1)&lt;&gt;"#",_xll.BView($DD25,BK$19,"headers=false"),"")</f>
        <v>30U/360</v>
      </c>
      <c r="BL25" s="27" t="str">
        <f ca="1">IF(LEFT(_xll.BView($DD25,BL$19,"headers=false"),1)&lt;&gt;"#",_xll.BView($DD25,BL$19,"headers=false"),"")</f>
        <v/>
      </c>
      <c r="BM25" s="27" t="str">
        <f ca="1">IF(LEFT(_xll.BView($DD25,BM$19,"headers=false"),1)&lt;&gt;"#",_xll.BView($DD25,BM$19,"headers=false"),"")</f>
        <v>Money Mkt</v>
      </c>
      <c r="BN25" s="22"/>
      <c r="BO25" s="27" t="str">
        <f ca="1">IF(LEFT(_xll.BView($DD25,BO$19,"headers=false"),1)&lt;&gt;"#",_xll.BView($DD25,BO$19,"headers=false"),"")</f>
        <v>Pay</v>
      </c>
      <c r="BP25" s="27" t="str">
        <f ca="1">IF(LEFT(_xll.BView($DD25,BP$19,"headers=false"),1)&lt;&gt;"#",_xll.BView($DD25,BP$19,"headers=false"),"")</f>
        <v>EUR</v>
      </c>
      <c r="BQ25" s="27">
        <f ca="1">IF(LEFT(_xll.BView($DD25,BQ$19,"headers=false"),1)&lt;&gt;"#",_xll.BView($DD25,BQ$19,"headers=false"),"")</f>
        <v>1000000</v>
      </c>
      <c r="BR25" s="27" t="str">
        <f ca="1">IF(LEFT(_xll.BView($DD25,BR$19,"headers=false"),1)&lt;&gt;"#",_xll.BView($DD25,BR$19,"headers=false"),"")</f>
        <v/>
      </c>
      <c r="BS25" s="57">
        <f ca="1">IF(LEFT(_xll.BView($DD25,BS$19,"headers=false"),1)&lt;&gt;"#",_xll.BView($DD25,BS$19,"headers=false"),"")</f>
        <v>0</v>
      </c>
      <c r="BT25" s="27" t="str">
        <f ca="1">IF(LEFT(_xll.BView($DD25,BT$19,"headers=false"),1)&lt;&gt;"#",_xll.BView($DD25,BT$19,"headers=false"),"")</f>
        <v>EUR006M</v>
      </c>
      <c r="BU25" s="27" t="str">
        <f ca="1">IF(LEFT(_xll.BView($DD25,BU$19,"headers=false"),1)&lt;&gt;"#",_xll.BView($DD25,BU$19,"headers=false"),"")</f>
        <v>SemiAnnual</v>
      </c>
      <c r="BV25" s="27" t="str">
        <f ca="1">IF(LEFT(_xll.BView($DD25,BV$19,"headers=false"),1)&lt;&gt;"#",_xll.BView($DD25,BV$19,"headers=false"),"")</f>
        <v>ACT/360</v>
      </c>
      <c r="BW25" s="27" t="str">
        <f ca="1">IF(LEFT(_xll.BView($DD25,BW$19,"headers=false"),1)&lt;&gt;"#",_xll.BView($DD25,BW$19,"headers=false"),"")</f>
        <v>SemiAnnual</v>
      </c>
      <c r="BX25" s="27" t="str">
        <f ca="1">IF(LEFT(_xll.BView($DD25,BX$19,"headers=false"),1)&lt;&gt;"#",_xll.BView($DD25,BX$19,"headers=false"),"")</f>
        <v/>
      </c>
      <c r="BY25" s="22"/>
      <c r="BZ25" s="27" t="str">
        <f ca="1">IF(LEFT(_xll.BView($DD25,BZ$19,"headers=false"),1)&lt;&gt;"#",_xll.BView($DD25,BZ$19,"headers=false"),"")</f>
        <v>Effect. &amp; Maturity</v>
      </c>
      <c r="CA25" s="22"/>
      <c r="CB25" s="27" t="str">
        <f ca="1">IF(LEFT(_xll.BView($DD25,CB$19,"headers=false"),1)&lt;&gt;"#",_xll.BView($DD25,CB$19,"headers=false"),"")</f>
        <v>EUR</v>
      </c>
      <c r="CC25" s="20"/>
      <c r="CD25" s="28" t="str">
        <f ca="1">IFERROR(INDEX(_xll.BMARKETPARAM($DD25,"array=true"),2,1),"")</f>
        <v>DiscountCurve[EUR]</v>
      </c>
      <c r="CE25" s="28" t="str">
        <f ca="1">IFERROR(INDEX(_xll.BMARKETPARAM($DD25,"array=true"),2,3),"")</f>
        <v>S133:Mid:DFLT:EUR OIS</v>
      </c>
      <c r="CF25" s="28" t="str">
        <f ca="1">IFERROR(INDEX(_xll.BMARKETPARAM($DD25,"array=true"),3,1),"")</f>
        <v>ForwardCurve[EUR006M]</v>
      </c>
      <c r="CG25" s="28" t="str">
        <f ca="1">IFERROR(INDEX(_xll.BMARKETPARAM($DD25,"array=true"),3,3),"")</f>
        <v>S45:Mid:DFLT:EUR (vs. 6M EURIBOR)</v>
      </c>
      <c r="CH25" s="28" t="str">
        <f ca="1">IFERROR(INDEX(_xll.BMARKETPARAM($DD25,"array=true"),4,1),"")</f>
        <v/>
      </c>
      <c r="CI25" s="28" t="str">
        <f ca="1">IFERROR(INDEX(_xll.BMARKETPARAM($DD25,"array=true"),4,3),"")</f>
        <v/>
      </c>
      <c r="CJ25" s="28" t="str">
        <f ca="1">IFERROR(INDEX(_xll.BMARKETPARAM($DD25,"array=true"),5,1),"")</f>
        <v/>
      </c>
      <c r="CK25" s="28" t="str">
        <f ca="1">IFERROR(INDEX(_xll.BMARKETPARAM($DD25,"array=true"),5,3),"")</f>
        <v/>
      </c>
      <c r="CL25" s="20"/>
      <c r="CM25" s="40" t="s">
        <v>1</v>
      </c>
      <c r="CN25" s="40"/>
      <c r="CO25" s="91"/>
      <c r="CP25" s="28" t="str">
        <f t="shared" ca="1" si="6"/>
        <v>DiscountCurve[EUR]</v>
      </c>
      <c r="CQ25" s="92"/>
      <c r="CR25" s="93" t="str">
        <f>IF(CQ25&lt;&gt;"",_xll.BCurveStrip(CQ25,"CurveDate",SwapsMarketDate,"ApplyDC",$CN25,"ParallelShift",$CO25),"")</f>
        <v/>
      </c>
      <c r="CS25" s="93" t="str">
        <f t="shared" ca="1" si="7"/>
        <v>ForwardCurve[EUR006M]</v>
      </c>
      <c r="CT25" s="40"/>
      <c r="CU25" s="93" t="str">
        <f>IF(CT25&lt;&gt;"",_xll.BCurveStrip(CT25,"CurveDate",SwapsMarketDate,"ApplyDC",$CN25,"ParallelShift",$CO25),"")</f>
        <v/>
      </c>
      <c r="CV25" s="93" t="str">
        <f t="shared" ca="1" si="8"/>
        <v/>
      </c>
      <c r="CW25" s="40"/>
      <c r="CX25" s="93" t="str">
        <f>IF(CW25&lt;&gt;"",_xll.BCurveStrip(CW25,"CurveDate",SwapsMarketDate,"ApplyDC",$CN25,"ParallelShift",$CO25),"")</f>
        <v/>
      </c>
      <c r="CY25" s="93" t="str">
        <f t="shared" ca="1" si="9"/>
        <v/>
      </c>
      <c r="CZ25" s="40"/>
      <c r="DA25" s="93" t="str">
        <f>IF(CZ25&lt;&gt;"",_xll.BCurveStrip(CZ25,"CurveDate",SwapsMarketDate,"ApplyDC",$CN25,"ParallelShift",$CO25),"")</f>
        <v/>
      </c>
      <c r="DC25" s="47" t="str">
        <f t="shared" ca="1" si="27"/>
        <v xml:space="preserve"> EUR </v>
      </c>
      <c r="DD25" s="47" t="str">
        <f ca="1">IF(OR(I25&lt;&gt;"",O25&lt;&gt;""),_xll.BSTRUCTURE(IF(I25&lt;&gt;"",I25,P25&amp;DC25),$AA$19,AA25,$AD$19:$AJ$19,$AD25:$AJ25,$AL$19,AL25,$AO$19:$AU$19,$AO25:$AU25,$AW$19,AW25,$DP$18:$DS$18,$DP25:$DS25,DW25,DX25,DZ25,EA25,$AY$19,AY25,"ignoreinvalidparams=true"),"Enter deal type or saved ID.")</f>
        <v>FXFL 64474</v>
      </c>
      <c r="DE25" s="47" t="str">
        <f ca="1">IF(LEFT(DD25,1)="E","",IF(CM25="No",_xll.BPRICE(DD25,IF(R25&lt;&gt;"","Target="&amp;S25,""),IF(R25&lt;&gt;"",T25&amp;"="&amp;U25,""),"MarketDate",SwapsMarketDate,"ValuationDate",SwapsValuationDate,"alwaysrefresh"),_xll.BPRICE(DD25,IF(R25&lt;&gt;"","Target="&amp;S25,""),IF(R25&lt;&gt;"",T25&amp;"="&amp;U25,""),"MarketDate",SwapsMarketDate,"ValuationDate",SwapsValuationDate,CP25,CR25,CS25,CU25,CV25,CX25,CY25,DA25,"alwaysrefresh")))</f>
        <v>PRICE FXFL 132498</v>
      </c>
      <c r="DG25" s="23"/>
      <c r="DH25" s="25" t="str">
        <f ca="1">_xll.BView(DE25,IF(R25="Leg 1 Notional","Leg[2].notional","Leg[1].notional"),"headers=false")</f>
        <v>#N/A Field Not Applicable [Parameter:OUTPUT]</v>
      </c>
      <c r="DI25" s="104"/>
      <c r="DJ25" s="113">
        <f t="shared" si="10"/>
        <v>1000000</v>
      </c>
      <c r="DK25" s="113">
        <f t="shared" si="11"/>
        <v>1000000</v>
      </c>
      <c r="DL25" s="113">
        <f t="shared" si="12"/>
        <v>1000000</v>
      </c>
      <c r="DM25" s="113">
        <f t="shared" si="13"/>
        <v>1000000</v>
      </c>
      <c r="DN25" s="113" t="str">
        <f t="shared" si="14"/>
        <v>BL</v>
      </c>
      <c r="DP25" s="113" t="str">
        <f t="shared" si="15"/>
        <v>EUR</v>
      </c>
      <c r="DQ25" s="117">
        <f t="shared" si="16"/>
        <v>1000000</v>
      </c>
      <c r="DR25" s="113" t="str">
        <f t="shared" si="17"/>
        <v>EUR</v>
      </c>
      <c r="DS25" s="117">
        <f t="shared" si="18"/>
        <v>1000000</v>
      </c>
      <c r="DT25" s="113">
        <f>IF(UPPER(DP25)=UPPER(DR25),1,_xll.BDP(DP25&amp;DR25&amp;" CURNCY","PX LAST")/_xll.BDP(DP25&amp;DR25&amp;" CURNCY","QUOTE FACTOR"))</f>
        <v>1</v>
      </c>
      <c r="DV25" s="113" t="b">
        <f t="shared" ca="1" si="25"/>
        <v>1</v>
      </c>
      <c r="DW25" s="113" t="str">
        <f t="shared" ca="1" si="23"/>
        <v>EffectiveDate</v>
      </c>
      <c r="DX25" s="115">
        <f t="shared" ref="DX25:DX39" ca="1" si="28">IF(DV25,W25,"")</f>
        <v>42654</v>
      </c>
      <c r="DY25" s="113" t="b">
        <f t="shared" ca="1" si="26"/>
        <v>1</v>
      </c>
      <c r="DZ25" s="113" t="str">
        <f t="shared" ca="1" si="24"/>
        <v>MaturityDate</v>
      </c>
      <c r="EA25" s="115">
        <f t="shared" ref="EA25:EA39" ca="1" si="29">IF(DY25,Y25,"")</f>
        <v>44845</v>
      </c>
    </row>
    <row r="26" spans="1:136" x14ac:dyDescent="0.25">
      <c r="A26" s="201"/>
      <c r="B26" s="27">
        <f ca="1">IF(OR(I26&lt;&gt;"",O26&lt;&gt;""),IF(OR(DD26="#N/A Requesting Data...",DD26="#N/A Waiting For Data...",DE26="#N/A Requesting Data...",DE26="#N/A Waiting For Data..."),"Loading ….",IF(OR(LEFT(DD26,1)="#",LEFT(DE26,1)="#"),"Check Inputs",_xll.BView(DE26,B$19,"headers=false"))),"Select Deal Type")</f>
        <v>62131.640508649929</v>
      </c>
      <c r="C26" s="49">
        <f ca="1">IFERROR(1*_xll.BView($DE26,C$19,"headers=false"),"-")</f>
        <v>733.15013374109844</v>
      </c>
      <c r="D26" s="49">
        <f ca="1">IFERROR(1*_xll.BView($DE26,D$19,"headers=false"),"-")</f>
        <v>707.79515791303663</v>
      </c>
      <c r="E26" s="120">
        <f ca="1">IFERROR(1*_xll.BView($DE26,E$19,"headers=false"),"-")</f>
        <v>0.12243591891018886</v>
      </c>
      <c r="F26" s="57" t="str">
        <f t="shared" ca="1" si="21"/>
        <v>-</v>
      </c>
      <c r="G26" s="57" t="str">
        <f>IF(R26&lt;&gt;"",IFERROR(1*_xll.BView($DE26,$S26,"headers=false"),"-"),"-")</f>
        <v>-</v>
      </c>
      <c r="I26" s="35"/>
      <c r="J26" s="40" t="s">
        <v>1</v>
      </c>
      <c r="L26" s="39" t="str">
        <f t="shared" si="22"/>
        <v/>
      </c>
      <c r="M26" s="34"/>
      <c r="O26" s="58" t="s">
        <v>207</v>
      </c>
      <c r="P26" s="2" t="str">
        <f t="shared" si="0"/>
        <v>FXFL</v>
      </c>
      <c r="R26" s="44"/>
      <c r="S26" s="20" t="e">
        <f>INDEX(SolverTarget,MATCH(Swaps!R26,SolverTargetName,0))</f>
        <v>#N/A</v>
      </c>
      <c r="T26" s="28" t="str">
        <f>IF(R26&lt;&gt;"",INDEX(SolveFor,MATCH(IF(Swaps!R26&lt;&gt;"",Swaps!R26,"Empty"),SolverTargetName,0)),"")</f>
        <v/>
      </c>
      <c r="U26" s="102"/>
      <c r="V26" s="20"/>
      <c r="W26" s="118">
        <f t="shared" ca="1" si="1"/>
        <v>42654</v>
      </c>
      <c r="X26" s="118" t="s">
        <v>222</v>
      </c>
      <c r="Y26" s="206">
        <f ca="1">IF(ISBLANK(X26),"",IF(ISNUMBER(X26),X26,_xll.meDateFromTenor(W26,X26)))</f>
        <v>45210</v>
      </c>
      <c r="Z26" s="20"/>
      <c r="AA26" s="40" t="s">
        <v>49</v>
      </c>
      <c r="AB26" s="44" t="s">
        <v>54</v>
      </c>
      <c r="AC26" s="79">
        <v>1000000</v>
      </c>
      <c r="AD26" s="212">
        <v>1</v>
      </c>
      <c r="AE26" s="40"/>
      <c r="AF26" s="40"/>
      <c r="AG26" s="40"/>
      <c r="AH26" s="40"/>
      <c r="AI26" s="40"/>
      <c r="AJ26" s="40"/>
      <c r="AK26" s="20"/>
      <c r="AL26" s="40"/>
      <c r="AM26" s="44"/>
      <c r="AN26" s="76"/>
      <c r="AO26" s="40"/>
      <c r="AP26" s="106"/>
      <c r="AQ26" s="40"/>
      <c r="AR26" s="40"/>
      <c r="AS26" s="40"/>
      <c r="AT26" s="40" t="s">
        <v>120</v>
      </c>
      <c r="AU26" s="40"/>
      <c r="AV26" s="20"/>
      <c r="AW26" s="40"/>
      <c r="AX26" s="20"/>
      <c r="AY26" s="40" t="s">
        <v>54</v>
      </c>
      <c r="AZ26" s="20"/>
      <c r="BA26" s="48">
        <f ca="1">IF(LEFT(_xll.BView($DD26,BA$19,"headers=false"),1)&lt;&gt;"#",_xll.BView($DD26,BA$19,"headers=false"),"")</f>
        <v>42654</v>
      </c>
      <c r="BB26" s="48">
        <f ca="1">IF(LEFT(_xll.BView($DD26,BB$19,"headers=false"),1)&lt;&gt;"#",_xll.BView($DD26,BB$19,"headers=false"),"")</f>
        <v>45210</v>
      </c>
      <c r="BC26" s="21"/>
      <c r="BD26" s="27" t="str">
        <f ca="1">IF(LEFT(_xll.BView($DD26,BD$19,"headers=false"),1)&lt;&gt;"#",_xll.BView($DD26,BD$19,"headers=false"),"")</f>
        <v>Receive</v>
      </c>
      <c r="BE26" s="27" t="str">
        <f ca="1">IF(LEFT(_xll.BView($DD26,BE$19,"headers=false"),1)&lt;&gt;"#",_xll.BView($DD26,BE$19,"headers=false"),"")</f>
        <v>EUR</v>
      </c>
      <c r="BF26" s="27">
        <f ca="1">IF(LEFT(_xll.BView($DD26,BF$19,"headers=false"),1)&lt;&gt;"#",_xll.BView($DD26,BF$19,"headers=false"),"")</f>
        <v>1000000</v>
      </c>
      <c r="BG26" s="38">
        <f ca="1">IF(LEFT(_xll.BView($DD26,BG$19,"headers=false"),1)&lt;&gt;"#",_xll.BView($DD26,BG$19,"headers=false"),"")</f>
        <v>1</v>
      </c>
      <c r="BH26" s="27" t="str">
        <f ca="1">IF(LEFT(_xll.BView($DD26,BH$19,"headers=false"),1)&lt;&gt;"#",_xll.BView($DD26,BH$19,"headers=false"),"")</f>
        <v/>
      </c>
      <c r="BI26" s="27" t="str">
        <f ca="1">IF(LEFT(_xll.BView($DD26,BI$19,"headers=false"),1)&lt;&gt;"#",_xll.BView($DD26,BI$19,"headers=false"),"")</f>
        <v/>
      </c>
      <c r="BJ26" s="27" t="str">
        <f ca="1">IF(LEFT(_xll.BView($DD26,BJ$19,"headers=false"),1)&lt;&gt;"#",_xll.BView($DD26,BJ$19,"headers=false"),"")</f>
        <v>Annual</v>
      </c>
      <c r="BK26" s="27" t="str">
        <f ca="1">IF(LEFT(_xll.BView($DD26,BK$19,"headers=false"),1)&lt;&gt;"#",_xll.BView($DD26,BK$19,"headers=false"),"")</f>
        <v>30U/360</v>
      </c>
      <c r="BL26" s="27" t="str">
        <f ca="1">IF(LEFT(_xll.BView($DD26,BL$19,"headers=false"),1)&lt;&gt;"#",_xll.BView($DD26,BL$19,"headers=false"),"")</f>
        <v/>
      </c>
      <c r="BM26" s="27" t="str">
        <f ca="1">IF(LEFT(_xll.BView($DD26,BM$19,"headers=false"),1)&lt;&gt;"#",_xll.BView($DD26,BM$19,"headers=false"),"")</f>
        <v>Money Mkt</v>
      </c>
      <c r="BN26" s="22"/>
      <c r="BO26" s="27" t="str">
        <f ca="1">IF(LEFT(_xll.BView($DD26,BO$19,"headers=false"),1)&lt;&gt;"#",_xll.BView($DD26,BO$19,"headers=false"),"")</f>
        <v>Pay</v>
      </c>
      <c r="BP26" s="27" t="str">
        <f ca="1">IF(LEFT(_xll.BView($DD26,BP$19,"headers=false"),1)&lt;&gt;"#",_xll.BView($DD26,BP$19,"headers=false"),"")</f>
        <v>EUR</v>
      </c>
      <c r="BQ26" s="27">
        <f ca="1">IF(LEFT(_xll.BView($DD26,BQ$19,"headers=false"),1)&lt;&gt;"#",_xll.BView($DD26,BQ$19,"headers=false"),"")</f>
        <v>1000000</v>
      </c>
      <c r="BR26" s="27" t="str">
        <f ca="1">IF(LEFT(_xll.BView($DD26,BR$19,"headers=false"),1)&lt;&gt;"#",_xll.BView($DD26,BR$19,"headers=false"),"")</f>
        <v/>
      </c>
      <c r="BS26" s="57">
        <f ca="1">IF(LEFT(_xll.BView($DD26,BS$19,"headers=false"),1)&lt;&gt;"#",_xll.BView($DD26,BS$19,"headers=false"),"")</f>
        <v>0</v>
      </c>
      <c r="BT26" s="27" t="str">
        <f ca="1">IF(LEFT(_xll.BView($DD26,BT$19,"headers=false"),1)&lt;&gt;"#",_xll.BView($DD26,BT$19,"headers=false"),"")</f>
        <v>EUR006M</v>
      </c>
      <c r="BU26" s="27" t="str">
        <f ca="1">IF(LEFT(_xll.BView($DD26,BU$19,"headers=false"),1)&lt;&gt;"#",_xll.BView($DD26,BU$19,"headers=false"),"")</f>
        <v>SemiAnnual</v>
      </c>
      <c r="BV26" s="27" t="str">
        <f ca="1">IF(LEFT(_xll.BView($DD26,BV$19,"headers=false"),1)&lt;&gt;"#",_xll.BView($DD26,BV$19,"headers=false"),"")</f>
        <v>ACT/360</v>
      </c>
      <c r="BW26" s="27" t="str">
        <f ca="1">IF(LEFT(_xll.BView($DD26,BW$19,"headers=false"),1)&lt;&gt;"#",_xll.BView($DD26,BW$19,"headers=false"),"")</f>
        <v>SemiAnnual</v>
      </c>
      <c r="BX26" s="27" t="str">
        <f ca="1">IF(LEFT(_xll.BView($DD26,BX$19,"headers=false"),1)&lt;&gt;"#",_xll.BView($DD26,BX$19,"headers=false"),"")</f>
        <v/>
      </c>
      <c r="BY26" s="22"/>
      <c r="BZ26" s="27" t="str">
        <f ca="1">IF(LEFT(_xll.BView($DD26,BZ$19,"headers=false"),1)&lt;&gt;"#",_xll.BView($DD26,BZ$19,"headers=false"),"")</f>
        <v>Effect. &amp; Maturity</v>
      </c>
      <c r="CA26" s="22"/>
      <c r="CB26" s="27" t="str">
        <f ca="1">IF(LEFT(_xll.BView($DD26,CB$19,"headers=false"),1)&lt;&gt;"#",_xll.BView($DD26,CB$19,"headers=false"),"")</f>
        <v>EUR</v>
      </c>
      <c r="CC26" s="20"/>
      <c r="CD26" s="28" t="str">
        <f ca="1">IFERROR(INDEX(_xll.BMARKETPARAM($DD26,"array=true"),2,1),"")</f>
        <v>DiscountCurve[EUR]</v>
      </c>
      <c r="CE26" s="28" t="str">
        <f ca="1">IFERROR(INDEX(_xll.BMARKETPARAM($DD26,"array=true"),2,3),"")</f>
        <v>S133:Mid:DFLT:EUR OIS</v>
      </c>
      <c r="CF26" s="28" t="str">
        <f ca="1">IFERROR(INDEX(_xll.BMARKETPARAM($DD26,"array=true"),3,1),"")</f>
        <v>ForwardCurve[EUR006M]</v>
      </c>
      <c r="CG26" s="28" t="str">
        <f ca="1">IFERROR(INDEX(_xll.BMARKETPARAM($DD26,"array=true"),3,3),"")</f>
        <v>S45:Mid:DFLT:EUR (vs. 6M EURIBOR)</v>
      </c>
      <c r="CH26" s="28" t="str">
        <f ca="1">IFERROR(INDEX(_xll.BMARKETPARAM($DD26,"array=true"),4,1),"")</f>
        <v/>
      </c>
      <c r="CI26" s="28" t="str">
        <f ca="1">IFERROR(INDEX(_xll.BMARKETPARAM($DD26,"array=true"),4,3),"")</f>
        <v/>
      </c>
      <c r="CJ26" s="28" t="str">
        <f ca="1">IFERROR(INDEX(_xll.BMARKETPARAM($DD26,"array=true"),5,1),"")</f>
        <v/>
      </c>
      <c r="CK26" s="28" t="str">
        <f ca="1">IFERROR(INDEX(_xll.BMARKETPARAM($DD26,"array=true"),5,3),"")</f>
        <v/>
      </c>
      <c r="CL26" s="20"/>
      <c r="CM26" s="40" t="s">
        <v>1</v>
      </c>
      <c r="CN26" s="40"/>
      <c r="CO26" s="91"/>
      <c r="CP26" s="28" t="str">
        <f t="shared" ca="1" si="6"/>
        <v>DiscountCurve[EUR]</v>
      </c>
      <c r="CQ26" s="92"/>
      <c r="CR26" s="93" t="str">
        <f>IF(CQ26&lt;&gt;"",_xll.BCurveStrip(CQ26,"CurveDate",SwapsMarketDate,"ApplyDC",$CN26,"ParallelShift",$CO26),"")</f>
        <v/>
      </c>
      <c r="CS26" s="93" t="str">
        <f t="shared" ca="1" si="7"/>
        <v>ForwardCurve[EUR006M]</v>
      </c>
      <c r="CT26" s="40"/>
      <c r="CU26" s="93" t="str">
        <f>IF(CT26&lt;&gt;"",_xll.BCurveStrip(CT26,"CurveDate",SwapsMarketDate,"ApplyDC",$CN26,"ParallelShift",$CO26),"")</f>
        <v/>
      </c>
      <c r="CV26" s="93" t="str">
        <f t="shared" ca="1" si="8"/>
        <v/>
      </c>
      <c r="CW26" s="40"/>
      <c r="CX26" s="93" t="str">
        <f>IF(CW26&lt;&gt;"",_xll.BCurveStrip(CW26,"CurveDate",SwapsMarketDate,"ApplyDC",$CN26,"ParallelShift",$CO26),"")</f>
        <v/>
      </c>
      <c r="CY26" s="93" t="str">
        <f t="shared" ca="1" si="9"/>
        <v/>
      </c>
      <c r="CZ26" s="40"/>
      <c r="DA26" s="93" t="str">
        <f>IF(CZ26&lt;&gt;"",_xll.BCurveStrip(CZ26,"CurveDate",SwapsMarketDate,"ApplyDC",$CN26,"ParallelShift",$CO26),"")</f>
        <v/>
      </c>
      <c r="DC26" s="47" t="str">
        <f t="shared" ca="1" si="27"/>
        <v xml:space="preserve"> EUR </v>
      </c>
      <c r="DD26" s="47" t="str">
        <f ca="1">IF(OR(I26&lt;&gt;"",O26&lt;&gt;""),_xll.BSTRUCTURE(IF(I26&lt;&gt;"",I26,P26&amp;DC26),$AA$19,AA26,$AD$19:$AJ$19,$AD26:$AJ26,$AL$19,AL26,$AO$19:$AU$19,$AO26:$AU26,$AW$19,AW26,$DP$18:$DS$18,$DP26:$DS26,DW26,DX26,DZ26,EA26,$AY$19,AY26,"ignoreinvalidparams=true"),"Enter deal type or saved ID.")</f>
        <v>FXFL 927343</v>
      </c>
      <c r="DE26" s="47" t="str">
        <f ca="1">IF(LEFT(DD26,1)="E","",IF(CM26="No",_xll.BPRICE(DD26,IF(R26&lt;&gt;"","Target="&amp;S26,""),IF(R26&lt;&gt;"",T26&amp;"="&amp;U26,""),"MarketDate",SwapsMarketDate,"ValuationDate",SwapsValuationDate,"alwaysrefresh"),_xll.BPRICE(DD26,IF(R26&lt;&gt;"","Target="&amp;S26,""),IF(R26&lt;&gt;"",T26&amp;"="&amp;U26,""),"MarketDate",SwapsMarketDate,"ValuationDate",SwapsValuationDate,CP26,CR26,CS26,CU26,CV26,CX26,CY26,DA26,"alwaysrefresh")))</f>
        <v>PRICE FXFL 618953</v>
      </c>
      <c r="DH26" s="25" t="str">
        <f ca="1">_xll.BView(DE26,IF(R26="Leg 1 Notional","Leg[2].notional","Leg[1].notional"),"headers=false")</f>
        <v>#N/A Field Not Applicable [Parameter:OUTPUT]</v>
      </c>
      <c r="DI26" s="104"/>
      <c r="DJ26" s="113">
        <f t="shared" si="10"/>
        <v>1000000</v>
      </c>
      <c r="DK26" s="113">
        <f t="shared" si="11"/>
        <v>1000000</v>
      </c>
      <c r="DL26" s="113">
        <f t="shared" si="12"/>
        <v>1000000</v>
      </c>
      <c r="DM26" s="113">
        <f t="shared" si="13"/>
        <v>1000000</v>
      </c>
      <c r="DN26" s="113" t="str">
        <f t="shared" si="14"/>
        <v>BL</v>
      </c>
      <c r="DP26" s="113" t="str">
        <f t="shared" si="15"/>
        <v>EUR</v>
      </c>
      <c r="DQ26" s="117">
        <f t="shared" si="16"/>
        <v>1000000</v>
      </c>
      <c r="DR26" s="113" t="str">
        <f t="shared" si="17"/>
        <v>EUR</v>
      </c>
      <c r="DS26" s="117">
        <f t="shared" si="18"/>
        <v>1000000</v>
      </c>
      <c r="DT26" s="113">
        <f>IF(UPPER(DP26)=UPPER(DR26),1,_xll.BDP(DP26&amp;DR26&amp;" CURNCY","PX LAST")/_xll.BDP(DP26&amp;DR26&amp;" CURNCY","QUOTE FACTOR"))</f>
        <v>1</v>
      </c>
      <c r="DV26" s="113" t="b">
        <f t="shared" ca="1" si="25"/>
        <v>1</v>
      </c>
      <c r="DW26" s="113" t="str">
        <f t="shared" ca="1" si="23"/>
        <v>EffectiveDate</v>
      </c>
      <c r="DX26" s="115">
        <f t="shared" ca="1" si="28"/>
        <v>42654</v>
      </c>
      <c r="DY26" s="113" t="b">
        <f t="shared" ca="1" si="26"/>
        <v>1</v>
      </c>
      <c r="DZ26" s="113" t="str">
        <f t="shared" ca="1" si="24"/>
        <v>MaturityDate</v>
      </c>
      <c r="EA26" s="115">
        <f t="shared" ca="1" si="29"/>
        <v>45210</v>
      </c>
    </row>
    <row r="27" spans="1:136" x14ac:dyDescent="0.25">
      <c r="A27" s="201"/>
      <c r="B27" s="27">
        <f ca="1">IF(OR(I27&lt;&gt;"",O27&lt;&gt;""),IF(OR(DD27="#N/A Requesting Data...",DD27="#N/A Waiting For Data...",DE27="#N/A Requesting Data...",DE27="#N/A Waiting For Data..."),"Loading ….",IF(OR(LEFT(DD27,1)="#",LEFT(DE27,1)="#"),"Check Inputs",_xll.BView(DE27,B$19,"headers=false"))),"Select Deal Type")</f>
        <v>62307.964859876738</v>
      </c>
      <c r="C27" s="49">
        <f ca="1">IFERROR(1*_xll.BView($DE27,C$19,"headers=false"),"-")</f>
        <v>836.57064096812906</v>
      </c>
      <c r="D27" s="49">
        <f ca="1">IFERROR(1*_xll.BView($DE27,D$19,"headers=false"),"-")</f>
        <v>807.96683106018554</v>
      </c>
      <c r="E27" s="120">
        <f ca="1">IFERROR(1*_xll.BView($DE27,E$19,"headers=false"),"-")</f>
        <v>0.22912729342746793</v>
      </c>
      <c r="F27" s="57" t="str">
        <f t="shared" ca="1" si="21"/>
        <v>-</v>
      </c>
      <c r="G27" s="57" t="str">
        <f>IF(R27&lt;&gt;"",IFERROR(1*_xll.BView($DE27,$S27,"headers=false"),"-"),"-")</f>
        <v>-</v>
      </c>
      <c r="I27" s="35"/>
      <c r="J27" s="40" t="s">
        <v>1</v>
      </c>
      <c r="L27" s="39" t="str">
        <f t="shared" si="22"/>
        <v/>
      </c>
      <c r="M27" s="34"/>
      <c r="O27" s="58" t="s">
        <v>207</v>
      </c>
      <c r="P27" s="2" t="str">
        <f t="shared" si="0"/>
        <v>FXFL</v>
      </c>
      <c r="R27" s="40"/>
      <c r="S27" s="20" t="e">
        <f>INDEX(SolverTarget,MATCH(Swaps!R27,SolverTargetName,0))</f>
        <v>#N/A</v>
      </c>
      <c r="T27" s="28" t="str">
        <f>IF(R27&lt;&gt;"",INDEX(SolveFor,MATCH(IF(Swaps!R27&lt;&gt;"",Swaps!R27,"Empty"),SolverTargetName,0)),"")</f>
        <v/>
      </c>
      <c r="U27" s="102"/>
      <c r="V27" s="20"/>
      <c r="W27" s="119">
        <f t="shared" ca="1" si="1"/>
        <v>42654</v>
      </c>
      <c r="X27" s="119" t="s">
        <v>363</v>
      </c>
      <c r="Y27" s="207">
        <f ca="1">IF(ISBLANK(X27),"",IF(ISNUMBER(X27),X27,_xll.meDateFromTenor(W27,X27)))</f>
        <v>45576</v>
      </c>
      <c r="Z27" s="20"/>
      <c r="AA27" s="40" t="s">
        <v>49</v>
      </c>
      <c r="AB27" s="44" t="s">
        <v>54</v>
      </c>
      <c r="AC27" s="79">
        <v>1000000</v>
      </c>
      <c r="AD27" s="212">
        <v>1</v>
      </c>
      <c r="AE27" s="40"/>
      <c r="AF27" s="40"/>
      <c r="AG27" s="40"/>
      <c r="AH27" s="40"/>
      <c r="AI27" s="40"/>
      <c r="AJ27" s="40"/>
      <c r="AK27" s="20"/>
      <c r="AL27" s="40"/>
      <c r="AM27" s="44"/>
      <c r="AN27" s="76"/>
      <c r="AO27" s="40"/>
      <c r="AP27" s="106"/>
      <c r="AQ27" s="40"/>
      <c r="AR27" s="40"/>
      <c r="AS27" s="40"/>
      <c r="AT27" s="40" t="s">
        <v>120</v>
      </c>
      <c r="AU27" s="40"/>
      <c r="AV27" s="20"/>
      <c r="AW27" s="40"/>
      <c r="AX27" s="20"/>
      <c r="AY27" s="40" t="s">
        <v>54</v>
      </c>
      <c r="AZ27" s="20"/>
      <c r="BA27" s="48">
        <f ca="1">IF(LEFT(_xll.BView($DD27,BA$19,"headers=false"),1)&lt;&gt;"#",_xll.BView($DD27,BA$19,"headers=false"),"")</f>
        <v>42654</v>
      </c>
      <c r="BB27" s="48">
        <f ca="1">IF(LEFT(_xll.BView($DD27,BB$19,"headers=false"),1)&lt;&gt;"#",_xll.BView($DD27,BB$19,"headers=false"),"")</f>
        <v>45576</v>
      </c>
      <c r="BC27" s="21"/>
      <c r="BD27" s="27" t="str">
        <f ca="1">IF(LEFT(_xll.BView($DD27,BD$19,"headers=false"),1)&lt;&gt;"#",_xll.BView($DD27,BD$19,"headers=false"),"")</f>
        <v>Receive</v>
      </c>
      <c r="BE27" s="27" t="str">
        <f ca="1">IF(LEFT(_xll.BView($DD27,BE$19,"headers=false"),1)&lt;&gt;"#",_xll.BView($DD27,BE$19,"headers=false"),"")</f>
        <v>EUR</v>
      </c>
      <c r="BF27" s="27">
        <f ca="1">IF(LEFT(_xll.BView($DD27,BF$19,"headers=false"),1)&lt;&gt;"#",_xll.BView($DD27,BF$19,"headers=false"),"")</f>
        <v>1000000</v>
      </c>
      <c r="BG27" s="38">
        <f ca="1">IF(LEFT(_xll.BView($DD27,BG$19,"headers=false"),1)&lt;&gt;"#",_xll.BView($DD27,BG$19,"headers=false"),"")</f>
        <v>1</v>
      </c>
      <c r="BH27" s="27" t="str">
        <f ca="1">IF(LEFT(_xll.BView($DD27,BH$19,"headers=false"),1)&lt;&gt;"#",_xll.BView($DD27,BH$19,"headers=false"),"")</f>
        <v/>
      </c>
      <c r="BI27" s="27" t="str">
        <f ca="1">IF(LEFT(_xll.BView($DD27,BI$19,"headers=false"),1)&lt;&gt;"#",_xll.BView($DD27,BI$19,"headers=false"),"")</f>
        <v/>
      </c>
      <c r="BJ27" s="27" t="str">
        <f ca="1">IF(LEFT(_xll.BView($DD27,BJ$19,"headers=false"),1)&lt;&gt;"#",_xll.BView($DD27,BJ$19,"headers=false"),"")</f>
        <v>Annual</v>
      </c>
      <c r="BK27" s="27" t="str">
        <f ca="1">IF(LEFT(_xll.BView($DD27,BK$19,"headers=false"),1)&lt;&gt;"#",_xll.BView($DD27,BK$19,"headers=false"),"")</f>
        <v>30U/360</v>
      </c>
      <c r="BL27" s="27" t="str">
        <f ca="1">IF(LEFT(_xll.BView($DD27,BL$19,"headers=false"),1)&lt;&gt;"#",_xll.BView($DD27,BL$19,"headers=false"),"")</f>
        <v/>
      </c>
      <c r="BM27" s="27" t="str">
        <f ca="1">IF(LEFT(_xll.BView($DD27,BM$19,"headers=false"),1)&lt;&gt;"#",_xll.BView($DD27,BM$19,"headers=false"),"")</f>
        <v>Money Mkt</v>
      </c>
      <c r="BN27" s="22"/>
      <c r="BO27" s="27" t="str">
        <f ca="1">IF(LEFT(_xll.BView($DD27,BO$19,"headers=false"),1)&lt;&gt;"#",_xll.BView($DD27,BO$19,"headers=false"),"")</f>
        <v>Pay</v>
      </c>
      <c r="BP27" s="27" t="str">
        <f ca="1">IF(LEFT(_xll.BView($DD27,BP$19,"headers=false"),1)&lt;&gt;"#",_xll.BView($DD27,BP$19,"headers=false"),"")</f>
        <v>EUR</v>
      </c>
      <c r="BQ27" s="27">
        <f ca="1">IF(LEFT(_xll.BView($DD27,BQ$19,"headers=false"),1)&lt;&gt;"#",_xll.BView($DD27,BQ$19,"headers=false"),"")</f>
        <v>1000000</v>
      </c>
      <c r="BR27" s="27" t="str">
        <f ca="1">IF(LEFT(_xll.BView($DD27,BR$19,"headers=false"),1)&lt;&gt;"#",_xll.BView($DD27,BR$19,"headers=false"),"")</f>
        <v/>
      </c>
      <c r="BS27" s="57">
        <f ca="1">IF(LEFT(_xll.BView($DD27,BS$19,"headers=false"),1)&lt;&gt;"#",_xll.BView($DD27,BS$19,"headers=false"),"")</f>
        <v>0</v>
      </c>
      <c r="BT27" s="27" t="str">
        <f ca="1">IF(LEFT(_xll.BView($DD27,BT$19,"headers=false"),1)&lt;&gt;"#",_xll.BView($DD27,BT$19,"headers=false"),"")</f>
        <v>EUR006M</v>
      </c>
      <c r="BU27" s="27" t="str">
        <f ca="1">IF(LEFT(_xll.BView($DD27,BU$19,"headers=false"),1)&lt;&gt;"#",_xll.BView($DD27,BU$19,"headers=false"),"")</f>
        <v>SemiAnnual</v>
      </c>
      <c r="BV27" s="27" t="str">
        <f ca="1">IF(LEFT(_xll.BView($DD27,BV$19,"headers=false"),1)&lt;&gt;"#",_xll.BView($DD27,BV$19,"headers=false"),"")</f>
        <v>ACT/360</v>
      </c>
      <c r="BW27" s="27" t="str">
        <f ca="1">IF(LEFT(_xll.BView($DD27,BW$19,"headers=false"),1)&lt;&gt;"#",_xll.BView($DD27,BW$19,"headers=false"),"")</f>
        <v>SemiAnnual</v>
      </c>
      <c r="BX27" s="27" t="str">
        <f ca="1">IF(LEFT(_xll.BView($DD27,BX$19,"headers=false"),1)&lt;&gt;"#",_xll.BView($DD27,BX$19,"headers=false"),"")</f>
        <v/>
      </c>
      <c r="BY27" s="22"/>
      <c r="BZ27" s="27" t="str">
        <f ca="1">IF(LEFT(_xll.BView($DD27,BZ$19,"headers=false"),1)&lt;&gt;"#",_xll.BView($DD27,BZ$19,"headers=false"),"")</f>
        <v>Effect. &amp; Maturity</v>
      </c>
      <c r="CA27" s="22"/>
      <c r="CB27" s="27" t="str">
        <f ca="1">IF(LEFT(_xll.BView($DD27,CB$19,"headers=false"),1)&lt;&gt;"#",_xll.BView($DD27,CB$19,"headers=false"),"")</f>
        <v>EUR</v>
      </c>
      <c r="CC27" s="20"/>
      <c r="CD27" s="28" t="str">
        <f ca="1">IFERROR(INDEX(_xll.BMARKETPARAM($DD27,"array=true"),2,1),"")</f>
        <v>DiscountCurve[EUR]</v>
      </c>
      <c r="CE27" s="28" t="str">
        <f ca="1">IFERROR(INDEX(_xll.BMARKETPARAM($DD27,"array=true"),2,3),"")</f>
        <v>S133:Mid:DFLT:EUR OIS</v>
      </c>
      <c r="CF27" s="28" t="str">
        <f ca="1">IFERROR(INDEX(_xll.BMARKETPARAM($DD27,"array=true"),3,1),"")</f>
        <v>ForwardCurve[EUR006M]</v>
      </c>
      <c r="CG27" s="28" t="str">
        <f ca="1">IFERROR(INDEX(_xll.BMARKETPARAM($DD27,"array=true"),3,3),"")</f>
        <v>S45:Mid:DFLT:EUR (vs. 6M EURIBOR)</v>
      </c>
      <c r="CH27" s="28" t="str">
        <f ca="1">IFERROR(INDEX(_xll.BMARKETPARAM($DD27,"array=true"),4,1),"")</f>
        <v/>
      </c>
      <c r="CI27" s="28" t="str">
        <f ca="1">IFERROR(INDEX(_xll.BMARKETPARAM($DD27,"array=true"),4,3),"")</f>
        <v/>
      </c>
      <c r="CJ27" s="28" t="str">
        <f ca="1">IFERROR(INDEX(_xll.BMARKETPARAM($DD27,"array=true"),5,1),"")</f>
        <v/>
      </c>
      <c r="CK27" s="28" t="str">
        <f ca="1">IFERROR(INDEX(_xll.BMARKETPARAM($DD27,"array=true"),5,3),"")</f>
        <v/>
      </c>
      <c r="CL27" s="20"/>
      <c r="CM27" s="40" t="s">
        <v>1</v>
      </c>
      <c r="CN27" s="40"/>
      <c r="CO27" s="91"/>
      <c r="CP27" s="28" t="str">
        <f t="shared" ca="1" si="6"/>
        <v>DiscountCurve[EUR]</v>
      </c>
      <c r="CQ27" s="92"/>
      <c r="CR27" s="93" t="str">
        <f>IF(CQ27&lt;&gt;"",_xll.BCurveStrip(CQ27,"CurveDate",SwapsMarketDate,"ApplyDC",$CN27,"ParallelShift",$CO27),"")</f>
        <v/>
      </c>
      <c r="CS27" s="93" t="str">
        <f t="shared" ca="1" si="7"/>
        <v>ForwardCurve[EUR006M]</v>
      </c>
      <c r="CT27" s="40"/>
      <c r="CU27" s="93" t="str">
        <f>IF(CT27&lt;&gt;"",_xll.BCurveStrip(CT27,"CurveDate",SwapsMarketDate,"ApplyDC",$CN27,"ParallelShift",$CO27),"")</f>
        <v/>
      </c>
      <c r="CV27" s="93" t="str">
        <f t="shared" ca="1" si="8"/>
        <v/>
      </c>
      <c r="CW27" s="40"/>
      <c r="CX27" s="93" t="str">
        <f>IF(CW27&lt;&gt;"",_xll.BCurveStrip(CW27,"CurveDate",SwapsMarketDate,"ApplyDC",$CN27,"ParallelShift",$CO27),"")</f>
        <v/>
      </c>
      <c r="CY27" s="93" t="str">
        <f t="shared" ca="1" si="9"/>
        <v/>
      </c>
      <c r="CZ27" s="40"/>
      <c r="DA27" s="93" t="str">
        <f>IF(CZ27&lt;&gt;"",_xll.BCurveStrip(CZ27,"CurveDate",SwapsMarketDate,"ApplyDC",$CN27,"ParallelShift",$CO27),"")</f>
        <v/>
      </c>
      <c r="DC27" s="47" t="str">
        <f t="shared" ca="1" si="27"/>
        <v xml:space="preserve"> EUR </v>
      </c>
      <c r="DD27" s="47" t="str">
        <f ca="1">IF(OR(I27&lt;&gt;"",O27&lt;&gt;""),_xll.BSTRUCTURE(IF(I27&lt;&gt;"",I27,P27&amp;DC27),$AA$19,AA27,$AD$19:$AJ$19,$AD27:$AJ27,$AL$19,AL27,$AO$19:$AU$19,$AO27:$AU27,$AW$19,AW27,$DP$18:$DS$18,$DP27:$DS27,DW27,DX27,DZ27,EA27,$AY$19,AY27,"ignoreinvalidparams=true"),"Enter deal type or saved ID.")</f>
        <v>FXFL 451356</v>
      </c>
      <c r="DE27" s="47" t="str">
        <f ca="1">IF(LEFT(DD27,1)="E","",IF(CM27="No",_xll.BPRICE(DD27,IF(R27&lt;&gt;"","Target="&amp;S27,""),IF(R27&lt;&gt;"",T27&amp;"="&amp;U27,""),"MarketDate",SwapsMarketDate,"ValuationDate",SwapsValuationDate,"alwaysrefresh"),_xll.BPRICE(DD27,IF(R27&lt;&gt;"","Target="&amp;S27,""),IF(R27&lt;&gt;"",T27&amp;"="&amp;U27,""),"MarketDate",SwapsMarketDate,"ValuationDate",SwapsValuationDate,CP27,CR27,CS27,CU27,CV27,CX27,CY27,DA27,"alwaysrefresh")))</f>
        <v>PRICE FXFL 304254</v>
      </c>
      <c r="DG27" s="23"/>
      <c r="DH27" s="25" t="str">
        <f ca="1">_xll.BView(DE27,IF(R27="Leg 1 Notional","Leg[2].notional","Leg[1].notional"),"headers=false")</f>
        <v>#N/A Field Not Applicable [Parameter:OUTPUT]</v>
      </c>
      <c r="DI27" s="104"/>
      <c r="DJ27" s="113">
        <f t="shared" si="10"/>
        <v>1000000</v>
      </c>
      <c r="DK27" s="113">
        <f t="shared" si="11"/>
        <v>1000000</v>
      </c>
      <c r="DL27" s="113">
        <f t="shared" si="12"/>
        <v>1000000</v>
      </c>
      <c r="DM27" s="113">
        <f t="shared" si="13"/>
        <v>1000000</v>
      </c>
      <c r="DN27" s="113" t="str">
        <f t="shared" si="14"/>
        <v>BL</v>
      </c>
      <c r="DP27" s="113" t="str">
        <f t="shared" si="15"/>
        <v>EUR</v>
      </c>
      <c r="DQ27" s="117">
        <f t="shared" si="16"/>
        <v>1000000</v>
      </c>
      <c r="DR27" s="113" t="str">
        <f t="shared" si="17"/>
        <v>EUR</v>
      </c>
      <c r="DS27" s="117">
        <f t="shared" si="18"/>
        <v>1000000</v>
      </c>
      <c r="DT27" s="113">
        <f>IF(UPPER(DP27)=UPPER(DR27),1,_xll.BDP(DP27&amp;DR27&amp;" CURNCY","PX LAST")/_xll.BDP(DP27&amp;DR27&amp;" CURNCY","QUOTE FACTOR"))</f>
        <v>1</v>
      </c>
      <c r="DV27" s="113" t="b">
        <f t="shared" ca="1" si="25"/>
        <v>1</v>
      </c>
      <c r="DW27" s="113" t="str">
        <f t="shared" ca="1" si="23"/>
        <v>EffectiveDate</v>
      </c>
      <c r="DX27" s="115">
        <f t="shared" ca="1" si="28"/>
        <v>42654</v>
      </c>
      <c r="DY27" s="113" t="b">
        <f t="shared" ca="1" si="26"/>
        <v>1</v>
      </c>
      <c r="DZ27" s="113" t="str">
        <f t="shared" ca="1" si="24"/>
        <v>MaturityDate</v>
      </c>
      <c r="EA27" s="115">
        <f t="shared" ca="1" si="29"/>
        <v>45576</v>
      </c>
    </row>
    <row r="28" spans="1:136" x14ac:dyDescent="0.25">
      <c r="A28" s="201"/>
      <c r="B28" s="27">
        <f ca="1">IF(OR(I28&lt;&gt;"",O28&lt;&gt;""),IF(OR(DD28="#N/A Requesting Data...",DD28="#N/A Waiting For Data...",DE28="#N/A Requesting Data...",DE28="#N/A Waiting For Data..."),"Loading ….",IF(OR(LEFT(DD28,1)="#",LEFT(DE28,1)="#"),"Check Inputs",_xll.BView(DE28,B$19,"headers=false"))),"Select Deal Type")</f>
        <v>60345.484412577476</v>
      </c>
      <c r="C28" s="49">
        <f ca="1">IFERROR(1*_xll.BView($DE28,C$19,"headers=false"),"-")</f>
        <v>938.47551621271418</v>
      </c>
      <c r="D28" s="49">
        <f ca="1">IFERROR(1*_xll.BView($DE28,D$19,"headers=false"),"-")</f>
        <v>907.69251449364674</v>
      </c>
      <c r="E28" s="120">
        <f ca="1">IFERROR(1*_xll.BView($DE28,E$19,"headers=false"),"-")</f>
        <v>0.33550661247660696</v>
      </c>
      <c r="F28" s="57" t="str">
        <f t="shared" ca="1" si="21"/>
        <v>-</v>
      </c>
      <c r="G28" s="57" t="str">
        <f>IF(R28&lt;&gt;"",IFERROR(1*_xll.BView($DE28,$S28,"headers=false"),"-"),"-")</f>
        <v>-</v>
      </c>
      <c r="I28" s="35"/>
      <c r="J28" s="40" t="s">
        <v>1</v>
      </c>
      <c r="L28" s="39" t="str">
        <f t="shared" si="22"/>
        <v/>
      </c>
      <c r="M28" s="34"/>
      <c r="O28" s="58" t="s">
        <v>207</v>
      </c>
      <c r="P28" s="2" t="str">
        <f t="shared" si="0"/>
        <v>FXFL</v>
      </c>
      <c r="R28" s="44"/>
      <c r="S28" s="20" t="e">
        <f>INDEX(SolverTarget,MATCH(Swaps!R28,SolverTargetName,0))</f>
        <v>#N/A</v>
      </c>
      <c r="T28" s="28" t="str">
        <f>IF(R28&lt;&gt;"",INDEX(SolveFor,MATCH(IF(Swaps!R28&lt;&gt;"",Swaps!R28,"Empty"),SolverTargetName,0)),"")</f>
        <v/>
      </c>
      <c r="U28" s="102"/>
      <c r="V28" s="20"/>
      <c r="W28" s="119">
        <f t="shared" ca="1" si="1"/>
        <v>42654</v>
      </c>
      <c r="X28" s="202" t="s">
        <v>364</v>
      </c>
      <c r="Y28" s="206">
        <f ca="1">IF(ISBLANK(X28),"",IF(ISNUMBER(X28),X28,_xll.meDateFromTenor(W28,X28)))</f>
        <v>45941</v>
      </c>
      <c r="Z28" s="20"/>
      <c r="AA28" s="40" t="s">
        <v>49</v>
      </c>
      <c r="AB28" s="44" t="s">
        <v>54</v>
      </c>
      <c r="AC28" s="79">
        <v>1000000</v>
      </c>
      <c r="AD28" s="212">
        <v>1</v>
      </c>
      <c r="AE28" s="40"/>
      <c r="AF28" s="40"/>
      <c r="AG28" s="40"/>
      <c r="AH28" s="40"/>
      <c r="AI28" s="40"/>
      <c r="AJ28" s="40"/>
      <c r="AK28" s="20"/>
      <c r="AL28" s="40"/>
      <c r="AM28" s="44"/>
      <c r="AN28" s="76"/>
      <c r="AO28" s="40"/>
      <c r="AP28" s="106"/>
      <c r="AQ28" s="40"/>
      <c r="AR28" s="40"/>
      <c r="AS28" s="40"/>
      <c r="AT28" s="40" t="s">
        <v>120</v>
      </c>
      <c r="AU28" s="40"/>
      <c r="AV28" s="20"/>
      <c r="AW28" s="40"/>
      <c r="AX28" s="20"/>
      <c r="AY28" s="44" t="s">
        <v>54</v>
      </c>
      <c r="AZ28" s="20"/>
      <c r="BA28" s="48">
        <f ca="1">IF(LEFT(_xll.BView($DD28,BA$19,"headers=false"),1)&lt;&gt;"#",_xll.BView($DD28,BA$19,"headers=false"),"")</f>
        <v>42654</v>
      </c>
      <c r="BB28" s="48">
        <f ca="1">IF(LEFT(_xll.BView($DD28,BB$19,"headers=false"),1)&lt;&gt;"#",_xll.BView($DD28,BB$19,"headers=false"),"")</f>
        <v>45941</v>
      </c>
      <c r="BC28" s="21"/>
      <c r="BD28" s="27" t="str">
        <f ca="1">IF(LEFT(_xll.BView($DD28,BD$19,"headers=false"),1)&lt;&gt;"#",_xll.BView($DD28,BD$19,"headers=false"),"")</f>
        <v>Receive</v>
      </c>
      <c r="BE28" s="27" t="str">
        <f ca="1">IF(LEFT(_xll.BView($DD28,BE$19,"headers=false"),1)&lt;&gt;"#",_xll.BView($DD28,BE$19,"headers=false"),"")</f>
        <v>EUR</v>
      </c>
      <c r="BF28" s="27">
        <f ca="1">IF(LEFT(_xll.BView($DD28,BF$19,"headers=false"),1)&lt;&gt;"#",_xll.BView($DD28,BF$19,"headers=false"),"")</f>
        <v>1000000</v>
      </c>
      <c r="BG28" s="38">
        <f ca="1">IF(LEFT(_xll.BView($DD28,BG$19,"headers=false"),1)&lt;&gt;"#",_xll.BView($DD28,BG$19,"headers=false"),"")</f>
        <v>1</v>
      </c>
      <c r="BH28" s="27" t="str">
        <f ca="1">IF(LEFT(_xll.BView($DD28,BH$19,"headers=false"),1)&lt;&gt;"#",_xll.BView($DD28,BH$19,"headers=false"),"")</f>
        <v/>
      </c>
      <c r="BI28" s="27" t="str">
        <f ca="1">IF(LEFT(_xll.BView($DD28,BI$19,"headers=false"),1)&lt;&gt;"#",_xll.BView($DD28,BI$19,"headers=false"),"")</f>
        <v/>
      </c>
      <c r="BJ28" s="27" t="str">
        <f ca="1">IF(LEFT(_xll.BView($DD28,BJ$19,"headers=false"),1)&lt;&gt;"#",_xll.BView($DD28,BJ$19,"headers=false"),"")</f>
        <v>Annual</v>
      </c>
      <c r="BK28" s="27" t="str">
        <f ca="1">IF(LEFT(_xll.BView($DD28,BK$19,"headers=false"),1)&lt;&gt;"#",_xll.BView($DD28,BK$19,"headers=false"),"")</f>
        <v>30U/360</v>
      </c>
      <c r="BL28" s="27" t="str">
        <f ca="1">IF(LEFT(_xll.BView($DD28,BL$19,"headers=false"),1)&lt;&gt;"#",_xll.BView($DD28,BL$19,"headers=false"),"")</f>
        <v/>
      </c>
      <c r="BM28" s="27" t="str">
        <f ca="1">IF(LEFT(_xll.BView($DD28,BM$19,"headers=false"),1)&lt;&gt;"#",_xll.BView($DD28,BM$19,"headers=false"),"")</f>
        <v>Money Mkt</v>
      </c>
      <c r="BN28" s="22"/>
      <c r="BO28" s="27" t="str">
        <f ca="1">IF(LEFT(_xll.BView($DD28,BO$19,"headers=false"),1)&lt;&gt;"#",_xll.BView($DD28,BO$19,"headers=false"),"")</f>
        <v>Pay</v>
      </c>
      <c r="BP28" s="27" t="str">
        <f ca="1">IF(LEFT(_xll.BView($DD28,BP$19,"headers=false"),1)&lt;&gt;"#",_xll.BView($DD28,BP$19,"headers=false"),"")</f>
        <v>EUR</v>
      </c>
      <c r="BQ28" s="27">
        <f ca="1">IF(LEFT(_xll.BView($DD28,BQ$19,"headers=false"),1)&lt;&gt;"#",_xll.BView($DD28,BQ$19,"headers=false"),"")</f>
        <v>1000000</v>
      </c>
      <c r="BR28" s="27" t="str">
        <f ca="1">IF(LEFT(_xll.BView($DD28,BR$19,"headers=false"),1)&lt;&gt;"#",_xll.BView($DD28,BR$19,"headers=false"),"")</f>
        <v/>
      </c>
      <c r="BS28" s="57">
        <f ca="1">IF(LEFT(_xll.BView($DD28,BS$19,"headers=false"),1)&lt;&gt;"#",_xll.BView($DD28,BS$19,"headers=false"),"")</f>
        <v>0</v>
      </c>
      <c r="BT28" s="27" t="str">
        <f ca="1">IF(LEFT(_xll.BView($DD28,BT$19,"headers=false"),1)&lt;&gt;"#",_xll.BView($DD28,BT$19,"headers=false"),"")</f>
        <v>EUR006M</v>
      </c>
      <c r="BU28" s="27" t="str">
        <f ca="1">IF(LEFT(_xll.BView($DD28,BU$19,"headers=false"),1)&lt;&gt;"#",_xll.BView($DD28,BU$19,"headers=false"),"")</f>
        <v>SemiAnnual</v>
      </c>
      <c r="BV28" s="27" t="str">
        <f ca="1">IF(LEFT(_xll.BView($DD28,BV$19,"headers=false"),1)&lt;&gt;"#",_xll.BView($DD28,BV$19,"headers=false"),"")</f>
        <v>ACT/360</v>
      </c>
      <c r="BW28" s="27" t="str">
        <f ca="1">IF(LEFT(_xll.BView($DD28,BW$19,"headers=false"),1)&lt;&gt;"#",_xll.BView($DD28,BW$19,"headers=false"),"")</f>
        <v>SemiAnnual</v>
      </c>
      <c r="BX28" s="27" t="str">
        <f ca="1">IF(LEFT(_xll.BView($DD28,BX$19,"headers=false"),1)&lt;&gt;"#",_xll.BView($DD28,BX$19,"headers=false"),"")</f>
        <v/>
      </c>
      <c r="BY28" s="22"/>
      <c r="BZ28" s="27" t="str">
        <f ca="1">IF(LEFT(_xll.BView($DD28,BZ$19,"headers=false"),1)&lt;&gt;"#",_xll.BView($DD28,BZ$19,"headers=false"),"")</f>
        <v>Effect. &amp; Maturity</v>
      </c>
      <c r="CA28" s="22"/>
      <c r="CB28" s="27" t="str">
        <f ca="1">IF(LEFT(_xll.BView($DD28,CB$19,"headers=false"),1)&lt;&gt;"#",_xll.BView($DD28,CB$19,"headers=false"),"")</f>
        <v>EUR</v>
      </c>
      <c r="CC28" s="20"/>
      <c r="CD28" s="28" t="str">
        <f ca="1">IFERROR(INDEX(_xll.BMARKETPARAM($DD28,"array=true"),2,1),"")</f>
        <v>DiscountCurve[EUR]</v>
      </c>
      <c r="CE28" s="28" t="str">
        <f ca="1">IFERROR(INDEX(_xll.BMARKETPARAM($DD28,"array=true"),2,3),"")</f>
        <v>S133:Mid:DFLT:EUR OIS</v>
      </c>
      <c r="CF28" s="28" t="str">
        <f ca="1">IFERROR(INDEX(_xll.BMARKETPARAM($DD28,"array=true"),3,1),"")</f>
        <v>ForwardCurve[EUR006M]</v>
      </c>
      <c r="CG28" s="28" t="str">
        <f ca="1">IFERROR(INDEX(_xll.BMARKETPARAM($DD28,"array=true"),3,3),"")</f>
        <v>S45:Mid:DFLT:EUR (vs. 6M EURIBOR)</v>
      </c>
      <c r="CH28" s="28" t="str">
        <f ca="1">IFERROR(INDEX(_xll.BMARKETPARAM($DD28,"array=true"),4,1),"")</f>
        <v/>
      </c>
      <c r="CI28" s="28" t="str">
        <f ca="1">IFERROR(INDEX(_xll.BMARKETPARAM($DD28,"array=true"),4,3),"")</f>
        <v/>
      </c>
      <c r="CJ28" s="28" t="str">
        <f ca="1">IFERROR(INDEX(_xll.BMARKETPARAM($DD28,"array=true"),5,1),"")</f>
        <v/>
      </c>
      <c r="CK28" s="28" t="str">
        <f ca="1">IFERROR(INDEX(_xll.BMARKETPARAM($DD28,"array=true"),5,3),"")</f>
        <v/>
      </c>
      <c r="CL28" s="20"/>
      <c r="CM28" s="40" t="s">
        <v>1</v>
      </c>
      <c r="CN28" s="40"/>
      <c r="CO28" s="91"/>
      <c r="CP28" s="28" t="str">
        <f t="shared" ca="1" si="6"/>
        <v>DiscountCurve[EUR]</v>
      </c>
      <c r="CQ28" s="92"/>
      <c r="CR28" s="93" t="str">
        <f>IF(CQ28&lt;&gt;"",_xll.BCurveStrip(CQ28,"CurveDate",SwapsMarketDate,"ApplyDC",$CN28,"ParallelShift",$CO28),"")</f>
        <v/>
      </c>
      <c r="CS28" s="93" t="str">
        <f t="shared" ca="1" si="7"/>
        <v>ForwardCurve[EUR006M]</v>
      </c>
      <c r="CT28" s="40"/>
      <c r="CU28" s="93" t="str">
        <f>IF(CT28&lt;&gt;"",_xll.BCurveStrip(CT28,"CurveDate",SwapsMarketDate,"ApplyDC",$CN28,"ParallelShift",$CO28),"")</f>
        <v/>
      </c>
      <c r="CV28" s="93" t="str">
        <f t="shared" ca="1" si="8"/>
        <v/>
      </c>
      <c r="CW28" s="40"/>
      <c r="CX28" s="93" t="str">
        <f>IF(CW28&lt;&gt;"",_xll.BCurveStrip(CW28,"CurveDate",SwapsMarketDate,"ApplyDC",$CN28,"ParallelShift",$CO28),"")</f>
        <v/>
      </c>
      <c r="CY28" s="93" t="str">
        <f t="shared" ca="1" si="9"/>
        <v/>
      </c>
      <c r="CZ28" s="40"/>
      <c r="DA28" s="93" t="str">
        <f>IF(CZ28&lt;&gt;"",_xll.BCurveStrip(CZ28,"CurveDate",SwapsMarketDate,"ApplyDC",$CN28,"ParallelShift",$CO28),"")</f>
        <v/>
      </c>
      <c r="DC28" s="47" t="str">
        <f t="shared" ca="1" si="27"/>
        <v xml:space="preserve"> EUR </v>
      </c>
      <c r="DD28" s="47" t="str">
        <f ca="1">IF(OR(I28&lt;&gt;"",O28&lt;&gt;""),_xll.BSTRUCTURE(IF(I28&lt;&gt;"",I28,P28&amp;DC28),$AA$19,AA28,$AD$19:$AJ$19,$AD28:$AJ28,$AL$19,AL28,$AO$19:$AU$19,$AO28:$AU28,$AW$19,AW28,$DP$18:$DS$18,$DP28:$DS28,DW28,DX28,DZ28,EA28,$AY$19,AY28,"ignoreinvalidparams=true"),"Enter deal type or saved ID.")</f>
        <v>FXFL 164852</v>
      </c>
      <c r="DE28" s="47" t="str">
        <f ca="1">IF(LEFT(DD28,1)="E","",IF(CM28="No",_xll.BPRICE(DD28,IF(R28&lt;&gt;"","Target="&amp;S28,""),IF(R28&lt;&gt;"",T28&amp;"="&amp;U28,""),"MarketDate",SwapsMarketDate,"ValuationDate",SwapsValuationDate,"alwaysrefresh"),_xll.BPRICE(DD28,IF(R28&lt;&gt;"","Target="&amp;S28,""),IF(R28&lt;&gt;"",T28&amp;"="&amp;U28,""),"MarketDate",SwapsMarketDate,"ValuationDate",SwapsValuationDate,CP28,CR28,CS28,CU28,CV28,CX28,CY28,DA28,"alwaysrefresh")))</f>
        <v>PRICE FXFL 1009788</v>
      </c>
      <c r="DG28" s="23"/>
      <c r="DH28" s="25" t="str">
        <f ca="1">_xll.BView(DE28,IF(R28="Leg 1 Notional","Leg[2].notional","Leg[1].notional"),"headers=false")</f>
        <v>#N/A Field Not Applicable [Parameter:OUTPUT]</v>
      </c>
      <c r="DI28" s="104"/>
      <c r="DJ28" s="113">
        <f t="shared" si="10"/>
        <v>1000000</v>
      </c>
      <c r="DK28" s="113">
        <f t="shared" si="11"/>
        <v>1000000</v>
      </c>
      <c r="DL28" s="113">
        <f t="shared" si="12"/>
        <v>1000000</v>
      </c>
      <c r="DM28" s="113">
        <f t="shared" si="13"/>
        <v>1000000</v>
      </c>
      <c r="DN28" s="113" t="str">
        <f t="shared" si="14"/>
        <v>BL</v>
      </c>
      <c r="DP28" s="113" t="str">
        <f t="shared" si="15"/>
        <v>EUR</v>
      </c>
      <c r="DQ28" s="117">
        <f t="shared" si="16"/>
        <v>1000000</v>
      </c>
      <c r="DR28" s="113" t="str">
        <f t="shared" si="17"/>
        <v>EUR</v>
      </c>
      <c r="DS28" s="117">
        <f t="shared" si="18"/>
        <v>1000000</v>
      </c>
      <c r="DT28" s="113">
        <f>IF(UPPER(DP28)=UPPER(DR28),1,_xll.BDP(DP28&amp;DR28&amp;" CURNCY","PX LAST")/_xll.BDP(DP28&amp;DR28&amp;" CURNCY","QUOTE FACTOR"))</f>
        <v>1</v>
      </c>
      <c r="DV28" s="113" t="b">
        <f t="shared" ca="1" si="25"/>
        <v>1</v>
      </c>
      <c r="DW28" s="113" t="str">
        <f t="shared" ca="1" si="23"/>
        <v>EffectiveDate</v>
      </c>
      <c r="DX28" s="115">
        <f t="shared" ca="1" si="28"/>
        <v>42654</v>
      </c>
      <c r="DY28" s="113" t="b">
        <f t="shared" ca="1" si="26"/>
        <v>1</v>
      </c>
      <c r="DZ28" s="113" t="str">
        <f t="shared" ca="1" si="24"/>
        <v>MaturityDate</v>
      </c>
      <c r="EA28" s="115">
        <f t="shared" ca="1" si="29"/>
        <v>45941</v>
      </c>
    </row>
    <row r="29" spans="1:136" x14ac:dyDescent="0.25">
      <c r="A29" s="201"/>
      <c r="B29" s="27">
        <f ca="1">IF(OR(I29&lt;&gt;"",O29&lt;&gt;""),IF(OR(DD29="#N/A Requesting Data...",DD29="#N/A Waiting For Data...",DE29="#N/A Requesting Data...",DE29="#N/A Waiting For Data..."),"Loading ….",IF(OR(LEFT(DD29,1)="#",LEFT(DE29,1)="#"),"Check Inputs",_xll.BView(DE29,B$19,"headers=false"))),"Select Deal Type")</f>
        <v>56918.313251819884</v>
      </c>
      <c r="C29" s="49">
        <f ca="1">IFERROR(1*_xll.BView($DE29,C$19,"headers=false"),"-")</f>
        <v>1037.3514281863329</v>
      </c>
      <c r="D29" s="49">
        <f ca="1">IFERROR(1*_xll.BView($DE29,D$19,"headers=false"),"-")</f>
        <v>1005.4390985612059</v>
      </c>
      <c r="E29" s="120">
        <f ca="1">IFERROR(1*_xll.BView($DE29,E$19,"headers=false"),"-")</f>
        <v>0.43424807467299897</v>
      </c>
      <c r="F29" s="57" t="str">
        <f t="shared" ca="1" si="21"/>
        <v>-</v>
      </c>
      <c r="G29" s="57" t="str">
        <f>IF(R29&lt;&gt;"",IFERROR(1*_xll.BView($DE29,$S29,"headers=false"),"-"),"-")</f>
        <v>-</v>
      </c>
      <c r="I29" s="35"/>
      <c r="J29" s="40" t="s">
        <v>1</v>
      </c>
      <c r="L29" s="39" t="str">
        <f t="shared" si="22"/>
        <v/>
      </c>
      <c r="M29" s="34"/>
      <c r="O29" s="58" t="s">
        <v>207</v>
      </c>
      <c r="P29" s="2" t="str">
        <f t="shared" si="0"/>
        <v>FXFL</v>
      </c>
      <c r="R29" s="44"/>
      <c r="S29" s="20" t="e">
        <f>INDEX(SolverTarget,MATCH(Swaps!R29,SolverTargetName,0))</f>
        <v>#N/A</v>
      </c>
      <c r="T29" s="28" t="str">
        <f>IF(R29&lt;&gt;"",INDEX(SolveFor,MATCH(IF(Swaps!R29&lt;&gt;"",Swaps!R29,"Empty"),SolverTargetName,0)),"")</f>
        <v/>
      </c>
      <c r="U29" s="102"/>
      <c r="V29" s="20"/>
      <c r="W29" s="119">
        <f t="shared" ca="1" si="1"/>
        <v>42654</v>
      </c>
      <c r="X29" s="202" t="s">
        <v>297</v>
      </c>
      <c r="Y29" s="206">
        <f ca="1">IF(ISBLANK(X29),"",IF(ISNUMBER(X29),X29,_xll.meDateFromTenor(W29,X29)))</f>
        <v>46306</v>
      </c>
      <c r="Z29" s="20"/>
      <c r="AA29" s="40" t="s">
        <v>49</v>
      </c>
      <c r="AB29" s="44" t="s">
        <v>54</v>
      </c>
      <c r="AC29" s="79">
        <v>1000000</v>
      </c>
      <c r="AD29" s="212">
        <v>1</v>
      </c>
      <c r="AE29" s="40"/>
      <c r="AF29" s="40"/>
      <c r="AG29" s="40"/>
      <c r="AH29" s="40"/>
      <c r="AI29" s="40"/>
      <c r="AJ29" s="40"/>
      <c r="AK29" s="20"/>
      <c r="AL29" s="40"/>
      <c r="AM29" s="44"/>
      <c r="AN29" s="76"/>
      <c r="AO29" s="40"/>
      <c r="AP29" s="106"/>
      <c r="AQ29" s="40"/>
      <c r="AR29" s="40"/>
      <c r="AS29" s="40"/>
      <c r="AT29" s="40" t="s">
        <v>120</v>
      </c>
      <c r="AU29" s="40"/>
      <c r="AV29" s="20"/>
      <c r="AW29" s="40"/>
      <c r="AX29" s="20"/>
      <c r="AY29" s="36" t="s">
        <v>54</v>
      </c>
      <c r="AZ29" s="20"/>
      <c r="BA29" s="48">
        <f ca="1">IF(LEFT(_xll.BView($DD29,BA$19,"headers=false"),1)&lt;&gt;"#",_xll.BView($DD29,BA$19,"headers=false"),"")</f>
        <v>42654</v>
      </c>
      <c r="BB29" s="48">
        <f ca="1">IF(LEFT(_xll.BView($DD29,BB$19,"headers=false"),1)&lt;&gt;"#",_xll.BView($DD29,BB$19,"headers=false"),"")</f>
        <v>46306</v>
      </c>
      <c r="BC29" s="21"/>
      <c r="BD29" s="27" t="str">
        <f ca="1">IF(LEFT(_xll.BView($DD29,BD$19,"headers=false"),1)&lt;&gt;"#",_xll.BView($DD29,BD$19,"headers=false"),"")</f>
        <v>Receive</v>
      </c>
      <c r="BE29" s="27" t="str">
        <f ca="1">IF(LEFT(_xll.BView($DD29,BE$19,"headers=false"),1)&lt;&gt;"#",_xll.BView($DD29,BE$19,"headers=false"),"")</f>
        <v>EUR</v>
      </c>
      <c r="BF29" s="27">
        <f ca="1">IF(LEFT(_xll.BView($DD29,BF$19,"headers=false"),1)&lt;&gt;"#",_xll.BView($DD29,BF$19,"headers=false"),"")</f>
        <v>1000000</v>
      </c>
      <c r="BG29" s="38">
        <f ca="1">IF(LEFT(_xll.BView($DD29,BG$19,"headers=false"),1)&lt;&gt;"#",_xll.BView($DD29,BG$19,"headers=false"),"")</f>
        <v>1</v>
      </c>
      <c r="BH29" s="27" t="str">
        <f ca="1">IF(LEFT(_xll.BView($DD29,BH$19,"headers=false"),1)&lt;&gt;"#",_xll.BView($DD29,BH$19,"headers=false"),"")</f>
        <v/>
      </c>
      <c r="BI29" s="27" t="str">
        <f ca="1">IF(LEFT(_xll.BView($DD29,BI$19,"headers=false"),1)&lt;&gt;"#",_xll.BView($DD29,BI$19,"headers=false"),"")</f>
        <v/>
      </c>
      <c r="BJ29" s="27" t="str">
        <f ca="1">IF(LEFT(_xll.BView($DD29,BJ$19,"headers=false"),1)&lt;&gt;"#",_xll.BView($DD29,BJ$19,"headers=false"),"")</f>
        <v>Annual</v>
      </c>
      <c r="BK29" s="27" t="str">
        <f ca="1">IF(LEFT(_xll.BView($DD29,BK$19,"headers=false"),1)&lt;&gt;"#",_xll.BView($DD29,BK$19,"headers=false"),"")</f>
        <v>30U/360</v>
      </c>
      <c r="BL29" s="27" t="str">
        <f ca="1">IF(LEFT(_xll.BView($DD29,BL$19,"headers=false"),1)&lt;&gt;"#",_xll.BView($DD29,BL$19,"headers=false"),"")</f>
        <v/>
      </c>
      <c r="BM29" s="27" t="str">
        <f ca="1">IF(LEFT(_xll.BView($DD29,BM$19,"headers=false"),1)&lt;&gt;"#",_xll.BView($DD29,BM$19,"headers=false"),"")</f>
        <v>Money Mkt</v>
      </c>
      <c r="BN29" s="22"/>
      <c r="BO29" s="27" t="str">
        <f ca="1">IF(LEFT(_xll.BView($DD29,BO$19,"headers=false"),1)&lt;&gt;"#",_xll.BView($DD29,BO$19,"headers=false"),"")</f>
        <v>Pay</v>
      </c>
      <c r="BP29" s="27" t="str">
        <f ca="1">IF(LEFT(_xll.BView($DD29,BP$19,"headers=false"),1)&lt;&gt;"#",_xll.BView($DD29,BP$19,"headers=false"),"")</f>
        <v>EUR</v>
      </c>
      <c r="BQ29" s="27">
        <f ca="1">IF(LEFT(_xll.BView($DD29,BQ$19,"headers=false"),1)&lt;&gt;"#",_xll.BView($DD29,BQ$19,"headers=false"),"")</f>
        <v>1000000</v>
      </c>
      <c r="BR29" s="27" t="str">
        <f ca="1">IF(LEFT(_xll.BView($DD29,BR$19,"headers=false"),1)&lt;&gt;"#",_xll.BView($DD29,BR$19,"headers=false"),"")</f>
        <v/>
      </c>
      <c r="BS29" s="57">
        <f ca="1">IF(LEFT(_xll.BView($DD29,BS$19,"headers=false"),1)&lt;&gt;"#",_xll.BView($DD29,BS$19,"headers=false"),"")</f>
        <v>0</v>
      </c>
      <c r="BT29" s="27" t="str">
        <f ca="1">IF(LEFT(_xll.BView($DD29,BT$19,"headers=false"),1)&lt;&gt;"#",_xll.BView($DD29,BT$19,"headers=false"),"")</f>
        <v>EUR006M</v>
      </c>
      <c r="BU29" s="27" t="str">
        <f ca="1">IF(LEFT(_xll.BView($DD29,BU$19,"headers=false"),1)&lt;&gt;"#",_xll.BView($DD29,BU$19,"headers=false"),"")</f>
        <v>SemiAnnual</v>
      </c>
      <c r="BV29" s="27" t="str">
        <f ca="1">IF(LEFT(_xll.BView($DD29,BV$19,"headers=false"),1)&lt;&gt;"#",_xll.BView($DD29,BV$19,"headers=false"),"")</f>
        <v>ACT/360</v>
      </c>
      <c r="BW29" s="27" t="str">
        <f ca="1">IF(LEFT(_xll.BView($DD29,BW$19,"headers=false"),1)&lt;&gt;"#",_xll.BView($DD29,BW$19,"headers=false"),"")</f>
        <v>SemiAnnual</v>
      </c>
      <c r="BX29" s="27" t="str">
        <f ca="1">IF(LEFT(_xll.BView($DD29,BX$19,"headers=false"),1)&lt;&gt;"#",_xll.BView($DD29,BX$19,"headers=false"),"")</f>
        <v/>
      </c>
      <c r="BY29" s="22"/>
      <c r="BZ29" s="27" t="str">
        <f ca="1">IF(LEFT(_xll.BView($DD29,BZ$19,"headers=false"),1)&lt;&gt;"#",_xll.BView($DD29,BZ$19,"headers=false"),"")</f>
        <v>Effect. &amp; Maturity</v>
      </c>
      <c r="CA29" s="22"/>
      <c r="CB29" s="27" t="str">
        <f ca="1">IF(LEFT(_xll.BView($DD29,CB$19,"headers=false"),1)&lt;&gt;"#",_xll.BView($DD29,CB$19,"headers=false"),"")</f>
        <v>EUR</v>
      </c>
      <c r="CC29" s="20"/>
      <c r="CD29" s="28" t="str">
        <f ca="1">IFERROR(INDEX(_xll.BMARKETPARAM($DD29,"array=true"),2,1),"")</f>
        <v>DiscountCurve[EUR]</v>
      </c>
      <c r="CE29" s="28" t="str">
        <f ca="1">IFERROR(INDEX(_xll.BMARKETPARAM($DD29,"array=true"),2,3),"")</f>
        <v>S133:Mid:DFLT:EUR OIS</v>
      </c>
      <c r="CF29" s="28" t="str">
        <f ca="1">IFERROR(INDEX(_xll.BMARKETPARAM($DD29,"array=true"),3,1),"")</f>
        <v>ForwardCurve[EUR006M]</v>
      </c>
      <c r="CG29" s="28" t="str">
        <f ca="1">IFERROR(INDEX(_xll.BMARKETPARAM($DD29,"array=true"),3,3),"")</f>
        <v>S45:Mid:DFLT:EUR (vs. 6M EURIBOR)</v>
      </c>
      <c r="CH29" s="28" t="str">
        <f ca="1">IFERROR(INDEX(_xll.BMARKETPARAM($DD29,"array=true"),4,1),"")</f>
        <v/>
      </c>
      <c r="CI29" s="28" t="str">
        <f ca="1">IFERROR(INDEX(_xll.BMARKETPARAM($DD29,"array=true"),4,3),"")</f>
        <v/>
      </c>
      <c r="CJ29" s="28" t="str">
        <f ca="1">IFERROR(INDEX(_xll.BMARKETPARAM($DD29,"array=true"),5,1),"")</f>
        <v/>
      </c>
      <c r="CK29" s="28" t="str">
        <f ca="1">IFERROR(INDEX(_xll.BMARKETPARAM($DD29,"array=true"),5,3),"")</f>
        <v/>
      </c>
      <c r="CL29" s="20"/>
      <c r="CM29" s="40" t="s">
        <v>1</v>
      </c>
      <c r="CN29" s="40"/>
      <c r="CO29" s="91"/>
      <c r="CP29" s="28" t="str">
        <f t="shared" ca="1" si="6"/>
        <v>DiscountCurve[EUR]</v>
      </c>
      <c r="CQ29" s="92"/>
      <c r="CR29" s="93" t="str">
        <f>IF(CQ29&lt;&gt;"",_xll.BCurveStrip(CQ29,"CurveDate",SwapsMarketDate,"ApplyDC",$CN29,"ParallelShift",$CO29),"")</f>
        <v/>
      </c>
      <c r="CS29" s="93" t="str">
        <f t="shared" ca="1" si="7"/>
        <v>ForwardCurve[EUR006M]</v>
      </c>
      <c r="CT29" s="40"/>
      <c r="CU29" s="93" t="str">
        <f>IF(CT29&lt;&gt;"",_xll.BCurveStrip(CT29,"CurveDate",SwapsMarketDate,"ApplyDC",$CN29,"ParallelShift",$CO29),"")</f>
        <v/>
      </c>
      <c r="CV29" s="93" t="str">
        <f t="shared" ca="1" si="8"/>
        <v/>
      </c>
      <c r="CW29" s="40"/>
      <c r="CX29" s="93" t="str">
        <f>IF(CW29&lt;&gt;"",_xll.BCurveStrip(CW29,"CurveDate",SwapsMarketDate,"ApplyDC",$CN29,"ParallelShift",$CO29),"")</f>
        <v/>
      </c>
      <c r="CY29" s="93" t="str">
        <f t="shared" ca="1" si="9"/>
        <v/>
      </c>
      <c r="CZ29" s="40"/>
      <c r="DA29" s="93" t="str">
        <f>IF(CZ29&lt;&gt;"",_xll.BCurveStrip(CZ29,"CurveDate",SwapsMarketDate,"ApplyDC",$CN29,"ParallelShift",$CO29),"")</f>
        <v/>
      </c>
      <c r="DC29" s="47" t="str">
        <f t="shared" ca="1" si="27"/>
        <v xml:space="preserve"> EUR </v>
      </c>
      <c r="DD29" s="47" t="str">
        <f ca="1">IF(OR(I29&lt;&gt;"",O29&lt;&gt;""),_xll.BSTRUCTURE(IF(I29&lt;&gt;"",I29,P29&amp;DC29),$AA$19,AA29,$AD$19:$AJ$19,$AD29:$AJ29,$AL$19,AL29,$AO$19:$AU$19,$AO29:$AU29,$AW$19,AW29,$DP$18:$DS$18,$DP29:$DS29,DW29,DX29,DZ29,EA29,$AY$19,AY29,"ignoreinvalidparams=true"),"Enter deal type or saved ID.")</f>
        <v>FXFL 431830</v>
      </c>
      <c r="DE29" s="47" t="str">
        <f ca="1">IF(LEFT(DD29,1)="E","",IF(CM29="No",_xll.BPRICE(DD29,IF(R29&lt;&gt;"","Target="&amp;S29,""),IF(R29&lt;&gt;"",T29&amp;"="&amp;U29,""),"MarketDate",SwapsMarketDate,"ValuationDate",SwapsValuationDate,"alwaysrefresh"),_xll.BPRICE(DD29,IF(R29&lt;&gt;"","Target="&amp;S29,""),IF(R29&lt;&gt;"",T29&amp;"="&amp;U29,""),"MarketDate",SwapsMarketDate,"ValuationDate",SwapsValuationDate,CP29,CR29,CS29,CU29,CV29,CX29,CY29,DA29,"alwaysrefresh")))</f>
        <v>PRICE FXFL 933208</v>
      </c>
      <c r="DH29" s="25" t="str">
        <f ca="1">_xll.BView(DE29,IF(R29="Leg 1 Notional","Leg[2].notional","Leg[1].notional"),"headers=false")</f>
        <v>#N/A Field Not Applicable [Parameter:OUTPUT]</v>
      </c>
      <c r="DI29" s="104"/>
      <c r="DJ29" s="113">
        <f t="shared" si="10"/>
        <v>1000000</v>
      </c>
      <c r="DK29" s="113">
        <f t="shared" si="11"/>
        <v>1000000</v>
      </c>
      <c r="DL29" s="113">
        <f t="shared" si="12"/>
        <v>1000000</v>
      </c>
      <c r="DM29" s="113">
        <f t="shared" si="13"/>
        <v>1000000</v>
      </c>
      <c r="DN29" s="113" t="str">
        <f t="shared" si="14"/>
        <v>BL</v>
      </c>
      <c r="DP29" s="113" t="str">
        <f t="shared" si="15"/>
        <v>EUR</v>
      </c>
      <c r="DQ29" s="117">
        <f t="shared" si="16"/>
        <v>1000000</v>
      </c>
      <c r="DR29" s="113" t="str">
        <f t="shared" si="17"/>
        <v>EUR</v>
      </c>
      <c r="DS29" s="117">
        <f t="shared" si="18"/>
        <v>1000000</v>
      </c>
      <c r="DT29" s="113">
        <f>IF(UPPER(DP29)=UPPER(DR29),1,_xll.BDP(DP29&amp;DR29&amp;" CURNCY","PX LAST")/_xll.BDP(DP29&amp;DR29&amp;" CURNCY","QUOTE FACTOR"))</f>
        <v>1</v>
      </c>
      <c r="DV29" s="113" t="b">
        <f t="shared" ca="1" si="25"/>
        <v>1</v>
      </c>
      <c r="DW29" s="113" t="str">
        <f t="shared" ca="1" si="23"/>
        <v>EffectiveDate</v>
      </c>
      <c r="DX29" s="115">
        <f t="shared" ca="1" si="28"/>
        <v>42654</v>
      </c>
      <c r="DY29" s="113" t="b">
        <f t="shared" ca="1" si="26"/>
        <v>1</v>
      </c>
      <c r="DZ29" s="113" t="str">
        <f t="shared" ca="1" si="24"/>
        <v>MaturityDate</v>
      </c>
      <c r="EA29" s="115">
        <f t="shared" ca="1" si="29"/>
        <v>46306</v>
      </c>
    </row>
    <row r="30" spans="1:136" x14ac:dyDescent="0.25">
      <c r="A30" s="201"/>
      <c r="B30" s="27">
        <f ca="1">IF(OR(I30&lt;&gt;"",O30&lt;&gt;""),IF(OR(DD30="#N/A Requesting Data...",DD30="#N/A Waiting For Data...",DE30="#N/A Requesting Data...",DE30="#N/A Waiting For Data..."),"Loading ….",IF(OR(LEFT(DD30,1)="#",LEFT(DE30,1)="#"),"Check Inputs",_xll.BView(DE30,B$19,"headers=false"))),"Select Deal Type")</f>
        <v>32245.17910755505</v>
      </c>
      <c r="C30" s="49">
        <f ca="1">IFERROR(1*_xll.BView($DE30,C$19,"headers=false"),"-")</f>
        <v>1502.1710557532174</v>
      </c>
      <c r="D30" s="49">
        <f ca="1">IFERROR(1*_xll.BView($DE30,D$19,"headers=false"),"-")</f>
        <v>1475.9840013948865</v>
      </c>
      <c r="E30" s="120">
        <f ca="1">IFERROR(1*_xll.BView($DE30,E$19,"headers=false"),"-")</f>
        <v>0.78190507398062081</v>
      </c>
      <c r="F30" s="57" t="str">
        <f t="shared" ca="1" si="21"/>
        <v>-</v>
      </c>
      <c r="G30" s="57" t="str">
        <f>IF(R30&lt;&gt;"",IFERROR(1*_xll.BView($DE30,$S30,"headers=false"),"-"),"-")</f>
        <v>-</v>
      </c>
      <c r="I30" s="35"/>
      <c r="J30" s="40" t="s">
        <v>1</v>
      </c>
      <c r="L30" s="39" t="str">
        <f t="shared" si="22"/>
        <v/>
      </c>
      <c r="M30" s="34"/>
      <c r="O30" s="59" t="s">
        <v>207</v>
      </c>
      <c r="P30" s="2" t="str">
        <f t="shared" si="0"/>
        <v>FXFL</v>
      </c>
      <c r="R30" s="44"/>
      <c r="S30" s="20" t="e">
        <f>INDEX(SolverTarget,MATCH(Swaps!R30,SolverTargetName,0))</f>
        <v>#N/A</v>
      </c>
      <c r="T30" s="28" t="str">
        <f>IF(R30&lt;&gt;"",INDEX(SolveFor,MATCH(IF(Swaps!R30&lt;&gt;"",Swaps!R30,"Empty"),SolverTargetName,0)),"")</f>
        <v/>
      </c>
      <c r="U30" s="102"/>
      <c r="V30" s="20"/>
      <c r="W30" s="119">
        <f t="shared" ca="1" si="1"/>
        <v>42654</v>
      </c>
      <c r="X30" s="202" t="s">
        <v>365</v>
      </c>
      <c r="Y30" s="206">
        <f ca="1">IF(ISBLANK(X30),"",IF(ISNUMBER(X30),X30,_xll.meDateFromTenor(W30,X30)))</f>
        <v>48132</v>
      </c>
      <c r="Z30" s="20"/>
      <c r="AA30" s="40" t="s">
        <v>49</v>
      </c>
      <c r="AB30" s="44" t="s">
        <v>54</v>
      </c>
      <c r="AC30" s="79">
        <v>1000000</v>
      </c>
      <c r="AD30" s="212">
        <v>1</v>
      </c>
      <c r="AE30" s="40"/>
      <c r="AF30" s="40"/>
      <c r="AG30" s="40"/>
      <c r="AH30" s="40"/>
      <c r="AI30" s="40"/>
      <c r="AJ30" s="40"/>
      <c r="AK30" s="20"/>
      <c r="AL30" s="40"/>
      <c r="AM30" s="44"/>
      <c r="AN30" s="76"/>
      <c r="AO30" s="40"/>
      <c r="AP30" s="106"/>
      <c r="AQ30" s="40"/>
      <c r="AR30" s="40"/>
      <c r="AS30" s="40"/>
      <c r="AT30" s="40" t="s">
        <v>120</v>
      </c>
      <c r="AU30" s="40"/>
      <c r="AV30" s="20"/>
      <c r="AW30" s="40"/>
      <c r="AX30" s="20"/>
      <c r="AY30" s="40" t="s">
        <v>54</v>
      </c>
      <c r="AZ30" s="20"/>
      <c r="BA30" s="48">
        <f ca="1">IF(LEFT(_xll.BView($DD30,BA$19,"headers=false"),1)&lt;&gt;"#",_xll.BView($DD30,BA$19,"headers=false"),"")</f>
        <v>42654</v>
      </c>
      <c r="BB30" s="48">
        <f ca="1">IF(LEFT(_xll.BView($DD30,BB$19,"headers=false"),1)&lt;&gt;"#",_xll.BView($DD30,BB$19,"headers=false"),"")</f>
        <v>48132</v>
      </c>
      <c r="BC30" s="21"/>
      <c r="BD30" s="27" t="str">
        <f ca="1">IF(LEFT(_xll.BView($DD30,BD$19,"headers=false"),1)&lt;&gt;"#",_xll.BView($DD30,BD$19,"headers=false"),"")</f>
        <v>Receive</v>
      </c>
      <c r="BE30" s="27" t="str">
        <f ca="1">IF(LEFT(_xll.BView($DD30,BE$19,"headers=false"),1)&lt;&gt;"#",_xll.BView($DD30,BE$19,"headers=false"),"")</f>
        <v>EUR</v>
      </c>
      <c r="BF30" s="27">
        <f ca="1">IF(LEFT(_xll.BView($DD30,BF$19,"headers=false"),1)&lt;&gt;"#",_xll.BView($DD30,BF$19,"headers=false"),"")</f>
        <v>1000000</v>
      </c>
      <c r="BG30" s="38">
        <f ca="1">IF(LEFT(_xll.BView($DD30,BG$19,"headers=false"),1)&lt;&gt;"#",_xll.BView($DD30,BG$19,"headers=false"),"")</f>
        <v>1</v>
      </c>
      <c r="BH30" s="27" t="str">
        <f ca="1">IF(LEFT(_xll.BView($DD30,BH$19,"headers=false"),1)&lt;&gt;"#",_xll.BView($DD30,BH$19,"headers=false"),"")</f>
        <v/>
      </c>
      <c r="BI30" s="27" t="str">
        <f ca="1">IF(LEFT(_xll.BView($DD30,BI$19,"headers=false"),1)&lt;&gt;"#",_xll.BView($DD30,BI$19,"headers=false"),"")</f>
        <v/>
      </c>
      <c r="BJ30" s="27" t="str">
        <f ca="1">IF(LEFT(_xll.BView($DD30,BJ$19,"headers=false"),1)&lt;&gt;"#",_xll.BView($DD30,BJ$19,"headers=false"),"")</f>
        <v>Annual</v>
      </c>
      <c r="BK30" s="27" t="str">
        <f ca="1">IF(LEFT(_xll.BView($DD30,BK$19,"headers=false"),1)&lt;&gt;"#",_xll.BView($DD30,BK$19,"headers=false"),"")</f>
        <v>30U/360</v>
      </c>
      <c r="BL30" s="27" t="str">
        <f ca="1">IF(LEFT(_xll.BView($DD30,BL$19,"headers=false"),1)&lt;&gt;"#",_xll.BView($DD30,BL$19,"headers=false"),"")</f>
        <v/>
      </c>
      <c r="BM30" s="27" t="str">
        <f ca="1">IF(LEFT(_xll.BView($DD30,BM$19,"headers=false"),1)&lt;&gt;"#",_xll.BView($DD30,BM$19,"headers=false"),"")</f>
        <v>Money Mkt</v>
      </c>
      <c r="BN30" s="22"/>
      <c r="BO30" s="27" t="str">
        <f ca="1">IF(LEFT(_xll.BView($DD30,BO$19,"headers=false"),1)&lt;&gt;"#",_xll.BView($DD30,BO$19,"headers=false"),"")</f>
        <v>Pay</v>
      </c>
      <c r="BP30" s="27" t="str">
        <f ca="1">IF(LEFT(_xll.BView($DD30,BP$19,"headers=false"),1)&lt;&gt;"#",_xll.BView($DD30,BP$19,"headers=false"),"")</f>
        <v>EUR</v>
      </c>
      <c r="BQ30" s="27">
        <f ca="1">IF(LEFT(_xll.BView($DD30,BQ$19,"headers=false"),1)&lt;&gt;"#",_xll.BView($DD30,BQ$19,"headers=false"),"")</f>
        <v>1000000</v>
      </c>
      <c r="BR30" s="27" t="str">
        <f ca="1">IF(LEFT(_xll.BView($DD30,BR$19,"headers=false"),1)&lt;&gt;"#",_xll.BView($DD30,BR$19,"headers=false"),"")</f>
        <v/>
      </c>
      <c r="BS30" s="57">
        <f ca="1">IF(LEFT(_xll.BView($DD30,BS$19,"headers=false"),1)&lt;&gt;"#",_xll.BView($DD30,BS$19,"headers=false"),"")</f>
        <v>0</v>
      </c>
      <c r="BT30" s="27" t="str">
        <f ca="1">IF(LEFT(_xll.BView($DD30,BT$19,"headers=false"),1)&lt;&gt;"#",_xll.BView($DD30,BT$19,"headers=false"),"")</f>
        <v>EUR006M</v>
      </c>
      <c r="BU30" s="27" t="str">
        <f ca="1">IF(LEFT(_xll.BView($DD30,BU$19,"headers=false"),1)&lt;&gt;"#",_xll.BView($DD30,BU$19,"headers=false"),"")</f>
        <v>SemiAnnual</v>
      </c>
      <c r="BV30" s="27" t="str">
        <f ca="1">IF(LEFT(_xll.BView($DD30,BV$19,"headers=false"),1)&lt;&gt;"#",_xll.BView($DD30,BV$19,"headers=false"),"")</f>
        <v>ACT/360</v>
      </c>
      <c r="BW30" s="27" t="str">
        <f ca="1">IF(LEFT(_xll.BView($DD30,BW$19,"headers=false"),1)&lt;&gt;"#",_xll.BView($DD30,BW$19,"headers=false"),"")</f>
        <v>SemiAnnual</v>
      </c>
      <c r="BX30" s="27" t="str">
        <f ca="1">IF(LEFT(_xll.BView($DD30,BX$19,"headers=false"),1)&lt;&gt;"#",_xll.BView($DD30,BX$19,"headers=false"),"")</f>
        <v/>
      </c>
      <c r="BY30" s="22"/>
      <c r="BZ30" s="27" t="str">
        <f ca="1">IF(LEFT(_xll.BView($DD30,BZ$19,"headers=false"),1)&lt;&gt;"#",_xll.BView($DD30,BZ$19,"headers=false"),"")</f>
        <v>Effect. &amp; Maturity</v>
      </c>
      <c r="CA30" s="22"/>
      <c r="CB30" s="27" t="str">
        <f ca="1">IF(LEFT(_xll.BView($DD30,CB$19,"headers=false"),1)&lt;&gt;"#",_xll.BView($DD30,CB$19,"headers=false"),"")</f>
        <v>EUR</v>
      </c>
      <c r="CC30" s="20"/>
      <c r="CD30" s="28" t="str">
        <f ca="1">IFERROR(INDEX(_xll.BMARKETPARAM($DD30,"array=true"),2,1),"")</f>
        <v>DiscountCurve[EUR]</v>
      </c>
      <c r="CE30" s="28" t="str">
        <f ca="1">IFERROR(INDEX(_xll.BMARKETPARAM($DD30,"array=true"),2,3),"")</f>
        <v>S133:Mid:DFLT:EUR OIS</v>
      </c>
      <c r="CF30" s="28" t="str">
        <f ca="1">IFERROR(INDEX(_xll.BMARKETPARAM($DD30,"array=true"),3,1),"")</f>
        <v>ForwardCurve[EUR006M]</v>
      </c>
      <c r="CG30" s="28" t="str">
        <f ca="1">IFERROR(INDEX(_xll.BMARKETPARAM($DD30,"array=true"),3,3),"")</f>
        <v>S45:Mid:DFLT:EUR (vs. 6M EURIBOR)</v>
      </c>
      <c r="CH30" s="28" t="str">
        <f ca="1">IFERROR(INDEX(_xll.BMARKETPARAM($DD30,"array=true"),4,1),"")</f>
        <v/>
      </c>
      <c r="CI30" s="28" t="str">
        <f ca="1">IFERROR(INDEX(_xll.BMARKETPARAM($DD30,"array=true"),4,3),"")</f>
        <v/>
      </c>
      <c r="CJ30" s="28" t="str">
        <f ca="1">IFERROR(INDEX(_xll.BMARKETPARAM($DD30,"array=true"),5,1),"")</f>
        <v/>
      </c>
      <c r="CK30" s="28" t="str">
        <f ca="1">IFERROR(INDEX(_xll.BMARKETPARAM($DD30,"array=true"),5,3),"")</f>
        <v/>
      </c>
      <c r="CL30" s="20"/>
      <c r="CM30" s="40" t="s">
        <v>1</v>
      </c>
      <c r="CN30" s="40"/>
      <c r="CO30" s="91"/>
      <c r="CP30" s="28" t="str">
        <f t="shared" ca="1" si="6"/>
        <v>DiscountCurve[EUR]</v>
      </c>
      <c r="CQ30" s="92"/>
      <c r="CR30" s="93" t="str">
        <f>IF(CQ30&lt;&gt;"",_xll.BCurveStrip(CQ30,"CurveDate",SwapsMarketDate,"ApplyDC",$CN30,"ParallelShift",$CO30),"")</f>
        <v/>
      </c>
      <c r="CS30" s="93" t="str">
        <f t="shared" ca="1" si="7"/>
        <v>ForwardCurve[EUR006M]</v>
      </c>
      <c r="CT30" s="40"/>
      <c r="CU30" s="93" t="str">
        <f>IF(CT30&lt;&gt;"",_xll.BCurveStrip(CT30,"CurveDate",SwapsMarketDate,"ApplyDC",$CN30,"ParallelShift",$CO30),"")</f>
        <v/>
      </c>
      <c r="CV30" s="93" t="str">
        <f t="shared" ca="1" si="8"/>
        <v/>
      </c>
      <c r="CW30" s="40"/>
      <c r="CX30" s="93" t="str">
        <f>IF(CW30&lt;&gt;"",_xll.BCurveStrip(CW30,"CurveDate",SwapsMarketDate,"ApplyDC",$CN30,"ParallelShift",$CO30),"")</f>
        <v/>
      </c>
      <c r="CY30" s="93" t="str">
        <f t="shared" ca="1" si="9"/>
        <v/>
      </c>
      <c r="CZ30" s="40"/>
      <c r="DA30" s="93" t="str">
        <f>IF(CZ30&lt;&gt;"",_xll.BCurveStrip(CZ30,"CurveDate",SwapsMarketDate,"ApplyDC",$CN30,"ParallelShift",$CO30),"")</f>
        <v/>
      </c>
      <c r="DC30" s="47" t="str">
        <f t="shared" ca="1" si="27"/>
        <v xml:space="preserve"> EUR </v>
      </c>
      <c r="DD30" s="47" t="str">
        <f ca="1">IF(OR(I30&lt;&gt;"",O30&lt;&gt;""),_xll.BSTRUCTURE(IF(I30&lt;&gt;"",I30,P30&amp;DC30),$AA$19,AA30,$AD$19:$AJ$19,$AD30:$AJ30,$AL$19,AL30,$AO$19:$AU$19,$AO30:$AU30,$AW$19,AW30,$DP$18:$DS$18,$DP30:$DS30,DW30,DX30,DZ30,EA30,$AY$19,AY30,"ignoreinvalidparams=true"),"Enter deal type or saved ID.")</f>
        <v>FXFL 631990</v>
      </c>
      <c r="DE30" s="47" t="str">
        <f ca="1">IF(LEFT(DD30,1)="E","",IF(CM30="No",_xll.BPRICE(DD30,IF(R30&lt;&gt;"","Target="&amp;S30,""),IF(R30&lt;&gt;"",T30&amp;"="&amp;U30,""),"MarketDate",SwapsMarketDate,"ValuationDate",SwapsValuationDate,"alwaysrefresh"),_xll.BPRICE(DD30,IF(R30&lt;&gt;"","Target="&amp;S30,""),IF(R30&lt;&gt;"",T30&amp;"="&amp;U30,""),"MarketDate",SwapsMarketDate,"ValuationDate",SwapsValuationDate,CP30,CR30,CS30,CU30,CV30,CX30,CY30,DA30,"alwaysrefresh")))</f>
        <v>PRICE FXFL 193619</v>
      </c>
      <c r="DH30" s="25" t="str">
        <f ca="1">_xll.BView(DE30,IF(R30="Leg 1 Notional","Leg[2].notional","Leg[1].notional"),"headers=false")</f>
        <v>#N/A Field Not Applicable [Parameter:OUTPUT]</v>
      </c>
      <c r="DI30" s="104"/>
      <c r="DJ30" s="113">
        <f t="shared" si="10"/>
        <v>1000000</v>
      </c>
      <c r="DK30" s="113">
        <f t="shared" si="11"/>
        <v>1000000</v>
      </c>
      <c r="DL30" s="113">
        <f t="shared" si="12"/>
        <v>1000000</v>
      </c>
      <c r="DM30" s="113">
        <f t="shared" si="13"/>
        <v>1000000</v>
      </c>
      <c r="DN30" s="113" t="str">
        <f t="shared" si="14"/>
        <v>BL</v>
      </c>
      <c r="DP30" s="113" t="str">
        <f t="shared" si="15"/>
        <v>EUR</v>
      </c>
      <c r="DQ30" s="117">
        <f t="shared" si="16"/>
        <v>1000000</v>
      </c>
      <c r="DR30" s="113" t="str">
        <f t="shared" si="17"/>
        <v>EUR</v>
      </c>
      <c r="DS30" s="117">
        <f t="shared" si="18"/>
        <v>1000000</v>
      </c>
      <c r="DT30" s="113">
        <f>IF(UPPER(DP30)=UPPER(DR30),1,_xll.BDP(DP30&amp;DR30&amp;" CURNCY","PX LAST")/_xll.BDP(DP30&amp;DR30&amp;" CURNCY","QUOTE FACTOR"))</f>
        <v>1</v>
      </c>
      <c r="DV30" s="113" t="b">
        <f t="shared" ca="1" si="25"/>
        <v>1</v>
      </c>
      <c r="DW30" s="113" t="str">
        <f t="shared" ca="1" si="23"/>
        <v>EffectiveDate</v>
      </c>
      <c r="DX30" s="115">
        <f t="shared" ca="1" si="28"/>
        <v>42654</v>
      </c>
      <c r="DY30" s="113" t="b">
        <f t="shared" ca="1" si="26"/>
        <v>1</v>
      </c>
      <c r="DZ30" s="113" t="str">
        <f t="shared" ca="1" si="24"/>
        <v>MaturityDate</v>
      </c>
      <c r="EA30" s="115">
        <f t="shared" ca="1" si="29"/>
        <v>48132</v>
      </c>
    </row>
    <row r="31" spans="1:136" x14ac:dyDescent="0.25">
      <c r="A31" s="201"/>
      <c r="B31" s="27">
        <f ca="1">IF(OR(I31&lt;&gt;"",O31&lt;&gt;""),IF(OR(DD31="#N/A Requesting Data...",DD31="#N/A Waiting For Data...",DE31="#N/A Requesting Data...",DE31="#N/A Waiting For Data..."),"Loading ….",IF(OR(LEFT(DD31,1)="#",LEFT(DE31,1)="#"),"Check Inputs",_xll.BView(DE31,B$19,"headers=false"))),"Select Deal Type")</f>
        <v>14917.205274310287</v>
      </c>
      <c r="C31" s="49">
        <f ca="1">IFERROR(1*_xll.BView($DE31,C$19,"headers=false"),"-")</f>
        <v>1930.2217437186969</v>
      </c>
      <c r="D31" s="49">
        <f ca="1">IFERROR(1*_xll.BView($DE31,D$19,"headers=false"),"-")</f>
        <v>1914.3595833234833</v>
      </c>
      <c r="E31" s="120">
        <f ca="1">IFERROR(1*_xll.BView($DE31,E$19,"headers=false"),"-")</f>
        <v>0.92240390486429891</v>
      </c>
      <c r="F31" s="57" t="str">
        <f t="shared" ca="1" si="21"/>
        <v>-</v>
      </c>
      <c r="G31" s="57" t="str">
        <f>IF(R31&lt;&gt;"",IFERROR(1*_xll.BView($DE31,$S31,"headers=false"),"-"),"-")</f>
        <v>-</v>
      </c>
      <c r="I31" s="35"/>
      <c r="J31" s="40" t="s">
        <v>1</v>
      </c>
      <c r="L31" s="39" t="str">
        <f t="shared" si="22"/>
        <v/>
      </c>
      <c r="M31" s="34"/>
      <c r="O31" s="59" t="s">
        <v>207</v>
      </c>
      <c r="P31" s="2" t="str">
        <f t="shared" si="0"/>
        <v>FXFL</v>
      </c>
      <c r="R31" s="40"/>
      <c r="S31" s="20" t="e">
        <f>INDEX(SolverTarget,MATCH(Swaps!R31,SolverTargetName,0))</f>
        <v>#N/A</v>
      </c>
      <c r="T31" s="28" t="str">
        <f>IF(R31&lt;&gt;"",INDEX(SolveFor,MATCH(IF(Swaps!R31&lt;&gt;"",Swaps!R31,"Empty"),SolverTargetName,0)),"")</f>
        <v/>
      </c>
      <c r="U31" s="102"/>
      <c r="V31" s="20"/>
      <c r="W31" s="119">
        <f t="shared" ca="1" si="1"/>
        <v>42654</v>
      </c>
      <c r="X31" s="119" t="s">
        <v>366</v>
      </c>
      <c r="Y31" s="207">
        <f ca="1">IF(ISBLANK(X31),"",IF(ISNUMBER(X31),X31,_xll.meDateFromTenor(W31,X31)))</f>
        <v>49959</v>
      </c>
      <c r="Z31" s="20"/>
      <c r="AA31" s="40" t="s">
        <v>49</v>
      </c>
      <c r="AB31" s="40" t="s">
        <v>54</v>
      </c>
      <c r="AC31" s="79">
        <v>1000000</v>
      </c>
      <c r="AD31" s="212">
        <v>1</v>
      </c>
      <c r="AE31" s="40"/>
      <c r="AF31" s="40"/>
      <c r="AG31" s="40"/>
      <c r="AH31" s="40"/>
      <c r="AI31" s="40"/>
      <c r="AJ31" s="40"/>
      <c r="AK31" s="20"/>
      <c r="AL31" s="40"/>
      <c r="AM31" s="40"/>
      <c r="AN31" s="76"/>
      <c r="AO31" s="40"/>
      <c r="AP31" s="106"/>
      <c r="AQ31" s="40"/>
      <c r="AR31" s="40"/>
      <c r="AS31" s="40"/>
      <c r="AT31" s="40" t="s">
        <v>120</v>
      </c>
      <c r="AU31" s="40"/>
      <c r="AV31" s="20"/>
      <c r="AW31" s="40"/>
      <c r="AX31" s="20"/>
      <c r="AY31" s="40" t="s">
        <v>54</v>
      </c>
      <c r="AZ31" s="20"/>
      <c r="BA31" s="48">
        <f ca="1">IF(LEFT(_xll.BView($DD31,BA$19,"headers=false"),1)&lt;&gt;"#",_xll.BView($DD31,BA$19,"headers=false"),"")</f>
        <v>42654</v>
      </c>
      <c r="BB31" s="48">
        <f ca="1">IF(LEFT(_xll.BView($DD31,BB$19,"headers=false"),1)&lt;&gt;"#",_xll.BView($DD31,BB$19,"headers=false"),"")</f>
        <v>49959</v>
      </c>
      <c r="BC31" s="21"/>
      <c r="BD31" s="27" t="str">
        <f ca="1">IF(LEFT(_xll.BView($DD31,BD$19,"headers=false"),1)&lt;&gt;"#",_xll.BView($DD31,BD$19,"headers=false"),"")</f>
        <v>Receive</v>
      </c>
      <c r="BE31" s="27" t="str">
        <f ca="1">IF(LEFT(_xll.BView($DD31,BE$19,"headers=false"),1)&lt;&gt;"#",_xll.BView($DD31,BE$19,"headers=false"),"")</f>
        <v>EUR</v>
      </c>
      <c r="BF31" s="27">
        <f ca="1">IF(LEFT(_xll.BView($DD31,BF$19,"headers=false"),1)&lt;&gt;"#",_xll.BView($DD31,BF$19,"headers=false"),"")</f>
        <v>1000000</v>
      </c>
      <c r="BG31" s="38">
        <f ca="1">IF(LEFT(_xll.BView($DD31,BG$19,"headers=false"),1)&lt;&gt;"#",_xll.BView($DD31,BG$19,"headers=false"),"")</f>
        <v>1</v>
      </c>
      <c r="BH31" s="27" t="str">
        <f ca="1">IF(LEFT(_xll.BView($DD31,BH$19,"headers=false"),1)&lt;&gt;"#",_xll.BView($DD31,BH$19,"headers=false"),"")</f>
        <v/>
      </c>
      <c r="BI31" s="27" t="str">
        <f ca="1">IF(LEFT(_xll.BView($DD31,BI$19,"headers=false"),1)&lt;&gt;"#",_xll.BView($DD31,BI$19,"headers=false"),"")</f>
        <v/>
      </c>
      <c r="BJ31" s="27" t="str">
        <f ca="1">IF(LEFT(_xll.BView($DD31,BJ$19,"headers=false"),1)&lt;&gt;"#",_xll.BView($DD31,BJ$19,"headers=false"),"")</f>
        <v>Annual</v>
      </c>
      <c r="BK31" s="27" t="str">
        <f ca="1">IF(LEFT(_xll.BView($DD31,BK$19,"headers=false"),1)&lt;&gt;"#",_xll.BView($DD31,BK$19,"headers=false"),"")</f>
        <v>30U/360</v>
      </c>
      <c r="BL31" s="27" t="str">
        <f ca="1">IF(LEFT(_xll.BView($DD31,BL$19,"headers=false"),1)&lt;&gt;"#",_xll.BView($DD31,BL$19,"headers=false"),"")</f>
        <v/>
      </c>
      <c r="BM31" s="27" t="str">
        <f ca="1">IF(LEFT(_xll.BView($DD31,BM$19,"headers=false"),1)&lt;&gt;"#",_xll.BView($DD31,BM$19,"headers=false"),"")</f>
        <v>Money Mkt</v>
      </c>
      <c r="BN31" s="22"/>
      <c r="BO31" s="27" t="str">
        <f ca="1">IF(LEFT(_xll.BView($DD31,BO$19,"headers=false"),1)&lt;&gt;"#",_xll.BView($DD31,BO$19,"headers=false"),"")</f>
        <v>Pay</v>
      </c>
      <c r="BP31" s="27" t="str">
        <f ca="1">IF(LEFT(_xll.BView($DD31,BP$19,"headers=false"),1)&lt;&gt;"#",_xll.BView($DD31,BP$19,"headers=false"),"")</f>
        <v>EUR</v>
      </c>
      <c r="BQ31" s="27">
        <f ca="1">IF(LEFT(_xll.BView($DD31,BQ$19,"headers=false"),1)&lt;&gt;"#",_xll.BView($DD31,BQ$19,"headers=false"),"")</f>
        <v>1000000</v>
      </c>
      <c r="BR31" s="27" t="str">
        <f ca="1">IF(LEFT(_xll.BView($DD31,BR$19,"headers=false"),1)&lt;&gt;"#",_xll.BView($DD31,BR$19,"headers=false"),"")</f>
        <v/>
      </c>
      <c r="BS31" s="57">
        <f ca="1">IF(LEFT(_xll.BView($DD31,BS$19,"headers=false"),1)&lt;&gt;"#",_xll.BView($DD31,BS$19,"headers=false"),"")</f>
        <v>0</v>
      </c>
      <c r="BT31" s="27" t="str">
        <f ca="1">IF(LEFT(_xll.BView($DD31,BT$19,"headers=false"),1)&lt;&gt;"#",_xll.BView($DD31,BT$19,"headers=false"),"")</f>
        <v>EUR006M</v>
      </c>
      <c r="BU31" s="27" t="str">
        <f ca="1">IF(LEFT(_xll.BView($DD31,BU$19,"headers=false"),1)&lt;&gt;"#",_xll.BView($DD31,BU$19,"headers=false"),"")</f>
        <v>SemiAnnual</v>
      </c>
      <c r="BV31" s="27" t="str">
        <f ca="1">IF(LEFT(_xll.BView($DD31,BV$19,"headers=false"),1)&lt;&gt;"#",_xll.BView($DD31,BV$19,"headers=false"),"")</f>
        <v>ACT/360</v>
      </c>
      <c r="BW31" s="27" t="str">
        <f ca="1">IF(LEFT(_xll.BView($DD31,BW$19,"headers=false"),1)&lt;&gt;"#",_xll.BView($DD31,BW$19,"headers=false"),"")</f>
        <v>SemiAnnual</v>
      </c>
      <c r="BX31" s="27" t="str">
        <f ca="1">IF(LEFT(_xll.BView($DD31,BX$19,"headers=false"),1)&lt;&gt;"#",_xll.BView($DD31,BX$19,"headers=false"),"")</f>
        <v/>
      </c>
      <c r="BY31" s="22"/>
      <c r="BZ31" s="27" t="str">
        <f ca="1">IF(LEFT(_xll.BView($DD31,BZ$19,"headers=false"),1)&lt;&gt;"#",_xll.BView($DD31,BZ$19,"headers=false"),"")</f>
        <v>Effect. &amp; Maturity</v>
      </c>
      <c r="CA31" s="22"/>
      <c r="CB31" s="27" t="str">
        <f ca="1">IF(LEFT(_xll.BView($DD31,CB$19,"headers=false"),1)&lt;&gt;"#",_xll.BView($DD31,CB$19,"headers=false"),"")</f>
        <v>EUR</v>
      </c>
      <c r="CC31" s="20"/>
      <c r="CD31" s="28" t="str">
        <f ca="1">IFERROR(INDEX(_xll.BMARKETPARAM($DD31,"array=true"),2,1),"")</f>
        <v>DiscountCurve[EUR]</v>
      </c>
      <c r="CE31" s="28" t="str">
        <f ca="1">IFERROR(INDEX(_xll.BMARKETPARAM($DD31,"array=true"),2,3),"")</f>
        <v>S133:Mid:DFLT:EUR OIS</v>
      </c>
      <c r="CF31" s="28" t="str">
        <f ca="1">IFERROR(INDEX(_xll.BMARKETPARAM($DD31,"array=true"),3,1),"")</f>
        <v>ForwardCurve[EUR006M]</v>
      </c>
      <c r="CG31" s="28" t="str">
        <f ca="1">IFERROR(INDEX(_xll.BMARKETPARAM($DD31,"array=true"),3,3),"")</f>
        <v>S45:Mid:DFLT:EUR (vs. 6M EURIBOR)</v>
      </c>
      <c r="CH31" s="28" t="str">
        <f ca="1">IFERROR(INDEX(_xll.BMARKETPARAM($DD31,"array=true"),4,1),"")</f>
        <v/>
      </c>
      <c r="CI31" s="28" t="str">
        <f ca="1">IFERROR(INDEX(_xll.BMARKETPARAM($DD31,"array=true"),4,3),"")</f>
        <v/>
      </c>
      <c r="CJ31" s="28" t="str">
        <f ca="1">IFERROR(INDEX(_xll.BMARKETPARAM($DD31,"array=true"),5,1),"")</f>
        <v/>
      </c>
      <c r="CK31" s="28" t="str">
        <f ca="1">IFERROR(INDEX(_xll.BMARKETPARAM($DD31,"array=true"),5,3),"")</f>
        <v/>
      </c>
      <c r="CL31" s="20"/>
      <c r="CM31" s="40" t="s">
        <v>1</v>
      </c>
      <c r="CN31" s="40"/>
      <c r="CO31" s="91"/>
      <c r="CP31" s="28" t="str">
        <f t="shared" ca="1" si="6"/>
        <v>DiscountCurve[EUR]</v>
      </c>
      <c r="CQ31" s="92"/>
      <c r="CR31" s="93" t="str">
        <f>IF(CQ31&lt;&gt;"",_xll.BCurveStrip(CQ31,"CurveDate",SwapsMarketDate,"ApplyDC",$CN31,"ParallelShift",$CO31),"")</f>
        <v/>
      </c>
      <c r="CS31" s="93" t="str">
        <f t="shared" ca="1" si="7"/>
        <v>ForwardCurve[EUR006M]</v>
      </c>
      <c r="CT31" s="40"/>
      <c r="CU31" s="93" t="str">
        <f>IF(CT31&lt;&gt;"",_xll.BCurveStrip(CT31,"CurveDate",SwapsMarketDate,"ApplyDC",$CN31,"ParallelShift",$CO31),"")</f>
        <v/>
      </c>
      <c r="CV31" s="93" t="str">
        <f t="shared" ca="1" si="8"/>
        <v/>
      </c>
      <c r="CW31" s="40"/>
      <c r="CX31" s="93" t="str">
        <f>IF(CW31&lt;&gt;"",_xll.BCurveStrip(CW31,"CurveDate",SwapsMarketDate,"ApplyDC",$CN31,"ParallelShift",$CO31),"")</f>
        <v/>
      </c>
      <c r="CY31" s="93" t="str">
        <f t="shared" ca="1" si="9"/>
        <v/>
      </c>
      <c r="CZ31" s="40"/>
      <c r="DA31" s="93" t="str">
        <f>IF(CZ31&lt;&gt;"",_xll.BCurveStrip(CZ31,"CurveDate",SwapsMarketDate,"ApplyDC",$CN31,"ParallelShift",$CO31),"")</f>
        <v/>
      </c>
      <c r="DC31" s="47" t="str">
        <f t="shared" ca="1" si="27"/>
        <v xml:space="preserve"> EUR </v>
      </c>
      <c r="DD31" s="47" t="str">
        <f ca="1">IF(OR(I31&lt;&gt;"",O31&lt;&gt;""),_xll.BSTRUCTURE(IF(I31&lt;&gt;"",I31,P31&amp;DC31),$AA$19,AA31,$AD$19:$AJ$19,$AD31:$AJ31,$AL$19,AL31,$AO$19:$AU$19,$AO31:$AU31,$AW$19,AW31,$DP$18:$DS$18,$DP31:$DS31,DW31,DX31,DZ31,EA31,$AY$19,AY31,"ignoreinvalidparams=true"),"Enter deal type or saved ID.")</f>
        <v>FXFL 625950</v>
      </c>
      <c r="DE31" s="47" t="str">
        <f ca="1">IF(LEFT(DD31,1)="E","",IF(CM31="No",_xll.BPRICE(DD31,IF(R31&lt;&gt;"","Target="&amp;S31,""),IF(R31&lt;&gt;"",T31&amp;"="&amp;U31,""),"MarketDate",SwapsMarketDate,"ValuationDate",SwapsValuationDate,"alwaysrefresh"),_xll.BPRICE(DD31,IF(R31&lt;&gt;"","Target="&amp;S31,""),IF(R31&lt;&gt;"",T31&amp;"="&amp;U31,""),"MarketDate",SwapsMarketDate,"ValuationDate",SwapsValuationDate,CP31,CR31,CS31,CU31,CV31,CX31,CY31,DA31,"alwaysrefresh")))</f>
        <v>PRICE FXFL 328876</v>
      </c>
      <c r="DH31" s="25" t="str">
        <f ca="1">_xll.BView(DE31,IF(R31="Leg 1 Notional","Leg[2].notional","Leg[1].notional"),"headers=false")</f>
        <v>#N/A Field Not Applicable [Parameter:OUTPUT]</v>
      </c>
      <c r="DI31" s="104"/>
      <c r="DJ31" s="113">
        <f t="shared" si="10"/>
        <v>1000000</v>
      </c>
      <c r="DK31" s="113">
        <f t="shared" si="11"/>
        <v>1000000</v>
      </c>
      <c r="DL31" s="113">
        <f t="shared" si="12"/>
        <v>1000000</v>
      </c>
      <c r="DM31" s="113">
        <f t="shared" si="13"/>
        <v>1000000</v>
      </c>
      <c r="DN31" s="113" t="str">
        <f t="shared" si="14"/>
        <v>BL</v>
      </c>
      <c r="DP31" s="113" t="str">
        <f t="shared" si="15"/>
        <v>EUR</v>
      </c>
      <c r="DQ31" s="117">
        <f t="shared" si="16"/>
        <v>1000000</v>
      </c>
      <c r="DR31" s="113" t="str">
        <f t="shared" si="17"/>
        <v>EUR</v>
      </c>
      <c r="DS31" s="117">
        <f t="shared" si="18"/>
        <v>1000000</v>
      </c>
      <c r="DT31" s="113">
        <f>IF(UPPER(DP31)=UPPER(DR31),1,_xll.BDP(DP31&amp;DR31&amp;" CURNCY","PX LAST")/_xll.BDP(DP31&amp;DR31&amp;" CURNCY","QUOTE FACTOR"))</f>
        <v>1</v>
      </c>
      <c r="DV31" s="113" t="b">
        <f t="shared" ca="1" si="25"/>
        <v>1</v>
      </c>
      <c r="DW31" s="113" t="str">
        <f t="shared" ca="1" si="23"/>
        <v>EffectiveDate</v>
      </c>
      <c r="DX31" s="115">
        <f t="shared" ca="1" si="28"/>
        <v>42654</v>
      </c>
      <c r="DY31" s="113" t="b">
        <f t="shared" ca="1" si="26"/>
        <v>1</v>
      </c>
      <c r="DZ31" s="113" t="str">
        <f t="shared" ca="1" si="24"/>
        <v>MaturityDate</v>
      </c>
      <c r="EA31" s="115">
        <f t="shared" ca="1" si="29"/>
        <v>49959</v>
      </c>
    </row>
    <row r="32" spans="1:136" x14ac:dyDescent="0.25">
      <c r="A32" s="201"/>
      <c r="B32" s="27">
        <f ca="1">IF(OR(I32&lt;&gt;"",O32&lt;&gt;""),IF(OR(DD32="#N/A Requesting Data...",DD32="#N/A Waiting For Data...",DE32="#N/A Requesting Data...",DE32="#N/A Waiting For Data..."),"Loading ….",IF(OR(LEFT(DD32,1)="#",LEFT(DE32,1)="#"),"Check Inputs",_xll.BView(DE32,B$19,"headers=false"))),"Select Deal Type")</f>
        <v>9030.1992196264328</v>
      </c>
      <c r="C32" s="49">
        <f ca="1">IFERROR(1*_xll.BView($DE32,C$19,"headers=false"),"-")</f>
        <v>2339.0981048882036</v>
      </c>
      <c r="D32" s="49">
        <f ca="1">IFERROR(1*_xll.BView($DE32,D$19,"headers=false"),"-")</f>
        <v>2327.1783055825967</v>
      </c>
      <c r="E32" s="120">
        <f ca="1">IFERROR(1*_xll.BView($DE32,E$19,"headers=false"),"-")</f>
        <v>0.9614747776097825</v>
      </c>
      <c r="F32" s="57" t="str">
        <f t="shared" ca="1" si="21"/>
        <v>-</v>
      </c>
      <c r="G32" s="57" t="str">
        <f>IF(R32&lt;&gt;"",IFERROR(1*_xll.BView($DE32,$S32,"headers=false"),"-"),"-")</f>
        <v>-</v>
      </c>
      <c r="I32" s="35"/>
      <c r="J32" s="40" t="s">
        <v>1</v>
      </c>
      <c r="L32" s="39" t="str">
        <f t="shared" si="22"/>
        <v/>
      </c>
      <c r="M32" s="34"/>
      <c r="O32" s="59" t="s">
        <v>207</v>
      </c>
      <c r="P32" s="2" t="str">
        <f t="shared" si="0"/>
        <v>FXFL</v>
      </c>
      <c r="R32" s="40"/>
      <c r="S32" s="20" t="e">
        <f>INDEX(SolverTarget,MATCH(Swaps!R32,SolverTargetName,0))</f>
        <v>#N/A</v>
      </c>
      <c r="T32" s="28" t="str">
        <f>IF(R32&lt;&gt;"",INDEX(SolveFor,MATCH(IF(Swaps!R32&lt;&gt;"",Swaps!R32,"Empty"),SolverTargetName,0)),"")</f>
        <v/>
      </c>
      <c r="U32" s="102"/>
      <c r="V32" s="20"/>
      <c r="W32" s="119">
        <f t="shared" ca="1" si="1"/>
        <v>42654</v>
      </c>
      <c r="X32" s="119" t="s">
        <v>367</v>
      </c>
      <c r="Y32" s="207">
        <f ca="1">IF(ISBLANK(X32),"",IF(ISNUMBER(X32),X32,_xll.meDateFromTenor(W32,X32)))</f>
        <v>51785</v>
      </c>
      <c r="Z32" s="20"/>
      <c r="AA32" s="40" t="s">
        <v>49</v>
      </c>
      <c r="AB32" s="40" t="s">
        <v>54</v>
      </c>
      <c r="AC32" s="79">
        <v>1000000</v>
      </c>
      <c r="AD32" s="212">
        <v>1</v>
      </c>
      <c r="AE32" s="40"/>
      <c r="AF32" s="40"/>
      <c r="AG32" s="40"/>
      <c r="AH32" s="40"/>
      <c r="AI32" s="40"/>
      <c r="AJ32" s="40"/>
      <c r="AK32" s="20"/>
      <c r="AL32" s="40"/>
      <c r="AM32" s="40"/>
      <c r="AN32" s="76"/>
      <c r="AO32" s="40"/>
      <c r="AP32" s="106"/>
      <c r="AQ32" s="40"/>
      <c r="AR32" s="40"/>
      <c r="AS32" s="40"/>
      <c r="AT32" s="40" t="s">
        <v>120</v>
      </c>
      <c r="AU32" s="40"/>
      <c r="AV32" s="20"/>
      <c r="AW32" s="40"/>
      <c r="AX32" s="20"/>
      <c r="AY32" s="40" t="s">
        <v>54</v>
      </c>
      <c r="AZ32" s="20"/>
      <c r="BA32" s="48">
        <f ca="1">IF(LEFT(_xll.BView($DD32,BA$19,"headers=false"),1)&lt;&gt;"#",_xll.BView($DD32,BA$19,"headers=false"),"")</f>
        <v>42654</v>
      </c>
      <c r="BB32" s="48">
        <f ca="1">IF(LEFT(_xll.BView($DD32,BB$19,"headers=false"),1)&lt;&gt;"#",_xll.BView($DD32,BB$19,"headers=false"),"")</f>
        <v>51785</v>
      </c>
      <c r="BC32" s="21"/>
      <c r="BD32" s="27" t="str">
        <f ca="1">IF(LEFT(_xll.BView($DD32,BD$19,"headers=false"),1)&lt;&gt;"#",_xll.BView($DD32,BD$19,"headers=false"),"")</f>
        <v>Receive</v>
      </c>
      <c r="BE32" s="27" t="str">
        <f ca="1">IF(LEFT(_xll.BView($DD32,BE$19,"headers=false"),1)&lt;&gt;"#",_xll.BView($DD32,BE$19,"headers=false"),"")</f>
        <v>EUR</v>
      </c>
      <c r="BF32" s="27">
        <f ca="1">IF(LEFT(_xll.BView($DD32,BF$19,"headers=false"),1)&lt;&gt;"#",_xll.BView($DD32,BF$19,"headers=false"),"")</f>
        <v>1000000</v>
      </c>
      <c r="BG32" s="38">
        <f ca="1">IF(LEFT(_xll.BView($DD32,BG$19,"headers=false"),1)&lt;&gt;"#",_xll.BView($DD32,BG$19,"headers=false"),"")</f>
        <v>1</v>
      </c>
      <c r="BH32" s="27" t="str">
        <f ca="1">IF(LEFT(_xll.BView($DD32,BH$19,"headers=false"),1)&lt;&gt;"#",_xll.BView($DD32,BH$19,"headers=false"),"")</f>
        <v/>
      </c>
      <c r="BI32" s="27" t="str">
        <f ca="1">IF(LEFT(_xll.BView($DD32,BI$19,"headers=false"),1)&lt;&gt;"#",_xll.BView($DD32,BI$19,"headers=false"),"")</f>
        <v/>
      </c>
      <c r="BJ32" s="27" t="str">
        <f ca="1">IF(LEFT(_xll.BView($DD32,BJ$19,"headers=false"),1)&lt;&gt;"#",_xll.BView($DD32,BJ$19,"headers=false"),"")</f>
        <v>Annual</v>
      </c>
      <c r="BK32" s="27" t="str">
        <f ca="1">IF(LEFT(_xll.BView($DD32,BK$19,"headers=false"),1)&lt;&gt;"#",_xll.BView($DD32,BK$19,"headers=false"),"")</f>
        <v>30U/360</v>
      </c>
      <c r="BL32" s="27" t="str">
        <f ca="1">IF(LEFT(_xll.BView($DD32,BL$19,"headers=false"),1)&lt;&gt;"#",_xll.BView($DD32,BL$19,"headers=false"),"")</f>
        <v/>
      </c>
      <c r="BM32" s="27" t="str">
        <f ca="1">IF(LEFT(_xll.BView($DD32,BM$19,"headers=false"),1)&lt;&gt;"#",_xll.BView($DD32,BM$19,"headers=false"),"")</f>
        <v>Money Mkt</v>
      </c>
      <c r="BN32" s="22"/>
      <c r="BO32" s="27" t="str">
        <f ca="1">IF(LEFT(_xll.BView($DD32,BO$19,"headers=false"),1)&lt;&gt;"#",_xll.BView($DD32,BO$19,"headers=false"),"")</f>
        <v>Pay</v>
      </c>
      <c r="BP32" s="27" t="str">
        <f ca="1">IF(LEFT(_xll.BView($DD32,BP$19,"headers=false"),1)&lt;&gt;"#",_xll.BView($DD32,BP$19,"headers=false"),"")</f>
        <v>EUR</v>
      </c>
      <c r="BQ32" s="27">
        <f ca="1">IF(LEFT(_xll.BView($DD32,BQ$19,"headers=false"),1)&lt;&gt;"#",_xll.BView($DD32,BQ$19,"headers=false"),"")</f>
        <v>1000000</v>
      </c>
      <c r="BR32" s="27" t="str">
        <f ca="1">IF(LEFT(_xll.BView($DD32,BR$19,"headers=false"),1)&lt;&gt;"#",_xll.BView($DD32,BR$19,"headers=false"),"")</f>
        <v/>
      </c>
      <c r="BS32" s="57">
        <f ca="1">IF(LEFT(_xll.BView($DD32,BS$19,"headers=false"),1)&lt;&gt;"#",_xll.BView($DD32,BS$19,"headers=false"),"")</f>
        <v>0</v>
      </c>
      <c r="BT32" s="27" t="str">
        <f ca="1">IF(LEFT(_xll.BView($DD32,BT$19,"headers=false"),1)&lt;&gt;"#",_xll.BView($DD32,BT$19,"headers=false"),"")</f>
        <v>EUR006M</v>
      </c>
      <c r="BU32" s="27" t="str">
        <f ca="1">IF(LEFT(_xll.BView($DD32,BU$19,"headers=false"),1)&lt;&gt;"#",_xll.BView($DD32,BU$19,"headers=false"),"")</f>
        <v>SemiAnnual</v>
      </c>
      <c r="BV32" s="27" t="str">
        <f ca="1">IF(LEFT(_xll.BView($DD32,BV$19,"headers=false"),1)&lt;&gt;"#",_xll.BView($DD32,BV$19,"headers=false"),"")</f>
        <v>ACT/360</v>
      </c>
      <c r="BW32" s="27" t="str">
        <f ca="1">IF(LEFT(_xll.BView($DD32,BW$19,"headers=false"),1)&lt;&gt;"#",_xll.BView($DD32,BW$19,"headers=false"),"")</f>
        <v>SemiAnnual</v>
      </c>
      <c r="BX32" s="27" t="str">
        <f ca="1">IF(LEFT(_xll.BView($DD32,BX$19,"headers=false"),1)&lt;&gt;"#",_xll.BView($DD32,BX$19,"headers=false"),"")</f>
        <v/>
      </c>
      <c r="BY32" s="22"/>
      <c r="BZ32" s="27" t="str">
        <f ca="1">IF(LEFT(_xll.BView($DD32,BZ$19,"headers=false"),1)&lt;&gt;"#",_xll.BView($DD32,BZ$19,"headers=false"),"")</f>
        <v>Effect. &amp; Maturity</v>
      </c>
      <c r="CA32" s="22"/>
      <c r="CB32" s="27" t="str">
        <f ca="1">IF(LEFT(_xll.BView($DD32,CB$19,"headers=false"),1)&lt;&gt;"#",_xll.BView($DD32,CB$19,"headers=false"),"")</f>
        <v>EUR</v>
      </c>
      <c r="CC32" s="20"/>
      <c r="CD32" s="28" t="str">
        <f ca="1">IFERROR(INDEX(_xll.BMARKETPARAM($DD32,"array=true"),2,1),"")</f>
        <v>DiscountCurve[EUR]</v>
      </c>
      <c r="CE32" s="28" t="str">
        <f ca="1">IFERROR(INDEX(_xll.BMARKETPARAM($DD32,"array=true"),2,3),"")</f>
        <v>S133:Mid:DFLT:EUR OIS</v>
      </c>
      <c r="CF32" s="28" t="str">
        <f ca="1">IFERROR(INDEX(_xll.BMARKETPARAM($DD32,"array=true"),3,1),"")</f>
        <v>ForwardCurve[EUR006M]</v>
      </c>
      <c r="CG32" s="28" t="str">
        <f ca="1">IFERROR(INDEX(_xll.BMARKETPARAM($DD32,"array=true"),3,3),"")</f>
        <v>S45:Mid:DFLT:EUR (vs. 6M EURIBOR)</v>
      </c>
      <c r="CH32" s="28" t="str">
        <f ca="1">IFERROR(INDEX(_xll.BMARKETPARAM($DD32,"array=true"),4,1),"")</f>
        <v/>
      </c>
      <c r="CI32" s="28" t="str">
        <f ca="1">IFERROR(INDEX(_xll.BMARKETPARAM($DD32,"array=true"),4,3),"")</f>
        <v/>
      </c>
      <c r="CJ32" s="28" t="str">
        <f ca="1">IFERROR(INDEX(_xll.BMARKETPARAM($DD32,"array=true"),5,1),"")</f>
        <v/>
      </c>
      <c r="CK32" s="28" t="str">
        <f ca="1">IFERROR(INDEX(_xll.BMARKETPARAM($DD32,"array=true"),5,3),"")</f>
        <v/>
      </c>
      <c r="CL32" s="20"/>
      <c r="CM32" s="40" t="s">
        <v>1</v>
      </c>
      <c r="CN32" s="40"/>
      <c r="CO32" s="91"/>
      <c r="CP32" s="28" t="str">
        <f t="shared" ca="1" si="6"/>
        <v>DiscountCurve[EUR]</v>
      </c>
      <c r="CQ32" s="92"/>
      <c r="CR32" s="93" t="str">
        <f>IF(CQ32&lt;&gt;"",_xll.BCurveStrip(CQ32,"CurveDate",SwapsMarketDate,"ApplyDC",$CN32,"ParallelShift",$CO32),"")</f>
        <v/>
      </c>
      <c r="CS32" s="93" t="str">
        <f t="shared" ca="1" si="7"/>
        <v>ForwardCurve[EUR006M]</v>
      </c>
      <c r="CT32" s="40"/>
      <c r="CU32" s="93" t="str">
        <f>IF(CT32&lt;&gt;"",_xll.BCurveStrip(CT32,"CurveDate",SwapsMarketDate,"ApplyDC",$CN32,"ParallelShift",$CO32),"")</f>
        <v/>
      </c>
      <c r="CV32" s="93" t="str">
        <f t="shared" ca="1" si="8"/>
        <v/>
      </c>
      <c r="CW32" s="40"/>
      <c r="CX32" s="93" t="str">
        <f>IF(CW32&lt;&gt;"",_xll.BCurveStrip(CW32,"CurveDate",SwapsMarketDate,"ApplyDC",$CN32,"ParallelShift",$CO32),"")</f>
        <v/>
      </c>
      <c r="CY32" s="93" t="str">
        <f t="shared" ca="1" si="9"/>
        <v/>
      </c>
      <c r="CZ32" s="40"/>
      <c r="DA32" s="93" t="str">
        <f>IF(CZ32&lt;&gt;"",_xll.BCurveStrip(CZ32,"CurveDate",SwapsMarketDate,"ApplyDC",$CN32,"ParallelShift",$CO32),"")</f>
        <v/>
      </c>
      <c r="DC32" s="47" t="str">
        <f t="shared" ca="1" si="27"/>
        <v xml:space="preserve"> EUR </v>
      </c>
      <c r="DD32" s="47" t="str">
        <f ca="1">IF(OR(I32&lt;&gt;"",O32&lt;&gt;""),_xll.BSTRUCTURE(IF(I32&lt;&gt;"",I32,P32&amp;DC32),$AA$19,AA32,$AD$19:$AJ$19,$AD32:$AJ32,$AL$19,AL32,$AO$19:$AU$19,$AO32:$AU32,$AW$19,AW32,$DP$18:$DS$18,$DP32:$DS32,DW32,DX32,DZ32,EA32,$AY$19,AY32,"ignoreinvalidparams=true"),"Enter deal type or saved ID.")</f>
        <v>FXFL 877169</v>
      </c>
      <c r="DE32" s="47" t="str">
        <f ca="1">IF(LEFT(DD32,1)="E","",IF(CM32="No",_xll.BPRICE(DD32,IF(R32&lt;&gt;"","Target="&amp;S32,""),IF(R32&lt;&gt;"",T32&amp;"="&amp;U32,""),"MarketDate",SwapsMarketDate,"ValuationDate",SwapsValuationDate,"alwaysrefresh"),_xll.BPRICE(DD32,IF(R32&lt;&gt;"","Target="&amp;S32,""),IF(R32&lt;&gt;"",T32&amp;"="&amp;U32,""),"MarketDate",SwapsMarketDate,"ValuationDate",SwapsValuationDate,CP32,CR32,CS32,CU32,CV32,CX32,CY32,DA32,"alwaysrefresh")))</f>
        <v>PRICE FXFL 604099</v>
      </c>
      <c r="DH32" s="25" t="str">
        <f ca="1">_xll.BView(DE32,IF(R32="Leg 1 Notional","Leg[2].notional","Leg[1].notional"),"headers=false")</f>
        <v>#N/A Field Not Applicable [Parameter:OUTPUT]</v>
      </c>
      <c r="DI32" s="104"/>
      <c r="DJ32" s="113">
        <f t="shared" si="10"/>
        <v>1000000</v>
      </c>
      <c r="DK32" s="113">
        <f t="shared" si="11"/>
        <v>1000000</v>
      </c>
      <c r="DL32" s="113">
        <f t="shared" si="12"/>
        <v>1000000</v>
      </c>
      <c r="DM32" s="113">
        <f t="shared" si="13"/>
        <v>1000000</v>
      </c>
      <c r="DN32" s="113" t="str">
        <f t="shared" si="14"/>
        <v>BL</v>
      </c>
      <c r="DP32" s="113" t="str">
        <f t="shared" si="15"/>
        <v>EUR</v>
      </c>
      <c r="DQ32" s="117">
        <f t="shared" si="16"/>
        <v>1000000</v>
      </c>
      <c r="DR32" s="113" t="str">
        <f t="shared" si="17"/>
        <v>EUR</v>
      </c>
      <c r="DS32" s="117">
        <f t="shared" si="18"/>
        <v>1000000</v>
      </c>
      <c r="DT32" s="113">
        <f>IF(UPPER(DP32)=UPPER(DR32),1,_xll.BDP(DP32&amp;DR32&amp;" CURNCY","PX LAST")/_xll.BDP(DP32&amp;DR32&amp;" CURNCY","QUOTE FACTOR"))</f>
        <v>1</v>
      </c>
      <c r="DV32" s="113" t="b">
        <f t="shared" ca="1" si="25"/>
        <v>1</v>
      </c>
      <c r="DW32" s="113" t="str">
        <f t="shared" ca="1" si="23"/>
        <v>EffectiveDate</v>
      </c>
      <c r="DX32" s="115">
        <f t="shared" ca="1" si="28"/>
        <v>42654</v>
      </c>
      <c r="DY32" s="113" t="b">
        <f t="shared" ca="1" si="26"/>
        <v>1</v>
      </c>
      <c r="DZ32" s="113" t="str">
        <f t="shared" ca="1" si="24"/>
        <v>MaturityDate</v>
      </c>
      <c r="EA32" s="115">
        <f t="shared" ca="1" si="29"/>
        <v>51785</v>
      </c>
    </row>
    <row r="33" spans="1:131" x14ac:dyDescent="0.25">
      <c r="A33" s="201"/>
      <c r="B33" s="27">
        <f ca="1">IF(OR(I33&lt;&gt;"",O33&lt;&gt;""),IF(OR(DD33="#N/A Requesting Data...",DD33="#N/A Waiting For Data...",DE33="#N/A Requesting Data...",DE33="#N/A Waiting For Data..."),"Loading ….",IF(OR(LEFT(DD33,1)="#",LEFT(DE33,1)="#"),"Check Inputs",_xll.BView(DE33,B$19,"headers=false"))),"Select Deal Type")</f>
        <v>8138.7645356290886</v>
      </c>
      <c r="C33" s="49">
        <f ca="1">IFERROR(1*_xll.BView($DE33,C$19,"headers=false"),"-")</f>
        <v>2732.1305638728209</v>
      </c>
      <c r="D33" s="49">
        <f ca="1">IFERROR(1*_xll.BView($DE33,D$19,"headers=false"),"-")</f>
        <v>2719.2968868620164</v>
      </c>
      <c r="E33" s="120">
        <f ca="1">IFERROR(1*_xll.BView($DE33,E$19,"headers=false"),"-")</f>
        <v>0.97031004344051852</v>
      </c>
      <c r="F33" s="57" t="str">
        <f t="shared" ca="1" si="21"/>
        <v>-</v>
      </c>
      <c r="G33" s="57" t="str">
        <f>IF(R33&lt;&gt;"",IFERROR(1*_xll.BView($DE33,$S33,"headers=false"),"-"),"-")</f>
        <v>-</v>
      </c>
      <c r="I33" s="35"/>
      <c r="J33" s="40" t="s">
        <v>1</v>
      </c>
      <c r="L33" s="39" t="str">
        <f t="shared" si="22"/>
        <v/>
      </c>
      <c r="M33" s="34"/>
      <c r="O33" s="59" t="s">
        <v>207</v>
      </c>
      <c r="P33" s="2" t="str">
        <f t="shared" si="0"/>
        <v>FXFL</v>
      </c>
      <c r="R33" s="40"/>
      <c r="S33" s="20" t="e">
        <f>INDEX(SolverTarget,MATCH(Swaps!R33,SolverTargetName,0))</f>
        <v>#N/A</v>
      </c>
      <c r="T33" s="28" t="str">
        <f>IF(R33&lt;&gt;"",INDEX(SolveFor,MATCH(IF(Swaps!R33&lt;&gt;"",Swaps!R33,"Empty"),SolverTargetName,0)),"")</f>
        <v/>
      </c>
      <c r="U33" s="102"/>
      <c r="V33" s="20"/>
      <c r="W33" s="119">
        <f t="shared" ca="1" si="1"/>
        <v>42654</v>
      </c>
      <c r="X33" s="119" t="s">
        <v>368</v>
      </c>
      <c r="Y33" s="207">
        <f ca="1">IF(ISBLANK(X33),"",IF(ISNUMBER(X33),X33,_xll.meDateFromTenor(W33,X33)))</f>
        <v>53611</v>
      </c>
      <c r="Z33" s="20"/>
      <c r="AA33" s="40" t="s">
        <v>49</v>
      </c>
      <c r="AB33" s="40" t="s">
        <v>54</v>
      </c>
      <c r="AC33" s="79">
        <v>1000000</v>
      </c>
      <c r="AD33" s="212">
        <v>1</v>
      </c>
      <c r="AE33" s="40"/>
      <c r="AF33" s="40"/>
      <c r="AG33" s="40"/>
      <c r="AH33" s="40"/>
      <c r="AI33" s="40"/>
      <c r="AJ33" s="40"/>
      <c r="AK33" s="20"/>
      <c r="AL33" s="40"/>
      <c r="AM33" s="40"/>
      <c r="AN33" s="76"/>
      <c r="AO33" s="40"/>
      <c r="AP33" s="106"/>
      <c r="AQ33" s="40"/>
      <c r="AR33" s="40"/>
      <c r="AS33" s="40"/>
      <c r="AT33" s="40" t="s">
        <v>120</v>
      </c>
      <c r="AU33" s="40"/>
      <c r="AV33" s="20"/>
      <c r="AW33" s="40"/>
      <c r="AX33" s="20"/>
      <c r="AY33" s="40" t="s">
        <v>54</v>
      </c>
      <c r="AZ33" s="20"/>
      <c r="BA33" s="48">
        <f ca="1">IF(LEFT(_xll.BView($DD33,BA$19,"headers=false"),1)&lt;&gt;"#",_xll.BView($DD33,BA$19,"headers=false"),"")</f>
        <v>42654</v>
      </c>
      <c r="BB33" s="48">
        <f ca="1">IF(LEFT(_xll.BView($DD33,BB$19,"headers=false"),1)&lt;&gt;"#",_xll.BView($DD33,BB$19,"headers=false"),"")</f>
        <v>53611</v>
      </c>
      <c r="BC33" s="21"/>
      <c r="BD33" s="27" t="str">
        <f ca="1">IF(LEFT(_xll.BView($DD33,BD$19,"headers=false"),1)&lt;&gt;"#",_xll.BView($DD33,BD$19,"headers=false"),"")</f>
        <v>Receive</v>
      </c>
      <c r="BE33" s="27" t="str">
        <f ca="1">IF(LEFT(_xll.BView($DD33,BE$19,"headers=false"),1)&lt;&gt;"#",_xll.BView($DD33,BE$19,"headers=false"),"")</f>
        <v>EUR</v>
      </c>
      <c r="BF33" s="27">
        <f ca="1">IF(LEFT(_xll.BView($DD33,BF$19,"headers=false"),1)&lt;&gt;"#",_xll.BView($DD33,BF$19,"headers=false"),"")</f>
        <v>1000000</v>
      </c>
      <c r="BG33" s="38">
        <f ca="1">IF(LEFT(_xll.BView($DD33,BG$19,"headers=false"),1)&lt;&gt;"#",_xll.BView($DD33,BG$19,"headers=false"),"")</f>
        <v>1</v>
      </c>
      <c r="BH33" s="27" t="str">
        <f ca="1">IF(LEFT(_xll.BView($DD33,BH$19,"headers=false"),1)&lt;&gt;"#",_xll.BView($DD33,BH$19,"headers=false"),"")</f>
        <v/>
      </c>
      <c r="BI33" s="27" t="str">
        <f ca="1">IF(LEFT(_xll.BView($DD33,BI$19,"headers=false"),1)&lt;&gt;"#",_xll.BView($DD33,BI$19,"headers=false"),"")</f>
        <v/>
      </c>
      <c r="BJ33" s="27" t="str">
        <f ca="1">IF(LEFT(_xll.BView($DD33,BJ$19,"headers=false"),1)&lt;&gt;"#",_xll.BView($DD33,BJ$19,"headers=false"),"")</f>
        <v>Annual</v>
      </c>
      <c r="BK33" s="27" t="str">
        <f ca="1">IF(LEFT(_xll.BView($DD33,BK$19,"headers=false"),1)&lt;&gt;"#",_xll.BView($DD33,BK$19,"headers=false"),"")</f>
        <v>30U/360</v>
      </c>
      <c r="BL33" s="27" t="str">
        <f ca="1">IF(LEFT(_xll.BView($DD33,BL$19,"headers=false"),1)&lt;&gt;"#",_xll.BView($DD33,BL$19,"headers=false"),"")</f>
        <v/>
      </c>
      <c r="BM33" s="27" t="str">
        <f ca="1">IF(LEFT(_xll.BView($DD33,BM$19,"headers=false"),1)&lt;&gt;"#",_xll.BView($DD33,BM$19,"headers=false"),"")</f>
        <v>Money Mkt</v>
      </c>
      <c r="BN33" s="22"/>
      <c r="BO33" s="27" t="str">
        <f ca="1">IF(LEFT(_xll.BView($DD33,BO$19,"headers=false"),1)&lt;&gt;"#",_xll.BView($DD33,BO$19,"headers=false"),"")</f>
        <v>Pay</v>
      </c>
      <c r="BP33" s="27" t="str">
        <f ca="1">IF(LEFT(_xll.BView($DD33,BP$19,"headers=false"),1)&lt;&gt;"#",_xll.BView($DD33,BP$19,"headers=false"),"")</f>
        <v>EUR</v>
      </c>
      <c r="BQ33" s="27">
        <f ca="1">IF(LEFT(_xll.BView($DD33,BQ$19,"headers=false"),1)&lt;&gt;"#",_xll.BView($DD33,BQ$19,"headers=false"),"")</f>
        <v>1000000</v>
      </c>
      <c r="BR33" s="27" t="str">
        <f ca="1">IF(LEFT(_xll.BView($DD33,BR$19,"headers=false"),1)&lt;&gt;"#",_xll.BView($DD33,BR$19,"headers=false"),"")</f>
        <v/>
      </c>
      <c r="BS33" s="57">
        <f ca="1">IF(LEFT(_xll.BView($DD33,BS$19,"headers=false"),1)&lt;&gt;"#",_xll.BView($DD33,BS$19,"headers=false"),"")</f>
        <v>0</v>
      </c>
      <c r="BT33" s="27" t="str">
        <f ca="1">IF(LEFT(_xll.BView($DD33,BT$19,"headers=false"),1)&lt;&gt;"#",_xll.BView($DD33,BT$19,"headers=false"),"")</f>
        <v>EUR006M</v>
      </c>
      <c r="BU33" s="27" t="str">
        <f ca="1">IF(LEFT(_xll.BView($DD33,BU$19,"headers=false"),1)&lt;&gt;"#",_xll.BView($DD33,BU$19,"headers=false"),"")</f>
        <v>SemiAnnual</v>
      </c>
      <c r="BV33" s="27" t="str">
        <f ca="1">IF(LEFT(_xll.BView($DD33,BV$19,"headers=false"),1)&lt;&gt;"#",_xll.BView($DD33,BV$19,"headers=false"),"")</f>
        <v>ACT/360</v>
      </c>
      <c r="BW33" s="27" t="str">
        <f ca="1">IF(LEFT(_xll.BView($DD33,BW$19,"headers=false"),1)&lt;&gt;"#",_xll.BView($DD33,BW$19,"headers=false"),"")</f>
        <v>SemiAnnual</v>
      </c>
      <c r="BX33" s="27" t="str">
        <f ca="1">IF(LEFT(_xll.BView($DD33,BX$19,"headers=false"),1)&lt;&gt;"#",_xll.BView($DD33,BX$19,"headers=false"),"")</f>
        <v/>
      </c>
      <c r="BY33" s="22"/>
      <c r="BZ33" s="27" t="str">
        <f ca="1">IF(LEFT(_xll.BView($DD33,BZ$19,"headers=false"),1)&lt;&gt;"#",_xll.BView($DD33,BZ$19,"headers=false"),"")</f>
        <v>Effect. &amp; Maturity</v>
      </c>
      <c r="CA33" s="22"/>
      <c r="CB33" s="27" t="str">
        <f ca="1">IF(LEFT(_xll.BView($DD33,CB$19,"headers=false"),1)&lt;&gt;"#",_xll.BView($DD33,CB$19,"headers=false"),"")</f>
        <v>EUR</v>
      </c>
      <c r="CC33" s="20"/>
      <c r="CD33" s="28" t="str">
        <f ca="1">IFERROR(INDEX(_xll.BMARKETPARAM($DD33,"array=true"),2,1),"")</f>
        <v>DiscountCurve[EUR]</v>
      </c>
      <c r="CE33" s="28" t="str">
        <f ca="1">IFERROR(INDEX(_xll.BMARKETPARAM($DD33,"array=true"),2,3),"")</f>
        <v>S133:Mid:DFLT:EUR OIS</v>
      </c>
      <c r="CF33" s="28" t="str">
        <f ca="1">IFERROR(INDEX(_xll.BMARKETPARAM($DD33,"array=true"),3,1),"")</f>
        <v>ForwardCurve[EUR006M]</v>
      </c>
      <c r="CG33" s="28" t="str">
        <f ca="1">IFERROR(INDEX(_xll.BMARKETPARAM($DD33,"array=true"),3,3),"")</f>
        <v>S45:Mid:DFLT:EUR (vs. 6M EURIBOR)</v>
      </c>
      <c r="CH33" s="28" t="str">
        <f ca="1">IFERROR(INDEX(_xll.BMARKETPARAM($DD33,"array=true"),4,1),"")</f>
        <v/>
      </c>
      <c r="CI33" s="28" t="str">
        <f ca="1">IFERROR(INDEX(_xll.BMARKETPARAM($DD33,"array=true"),4,3),"")</f>
        <v/>
      </c>
      <c r="CJ33" s="28" t="str">
        <f ca="1">IFERROR(INDEX(_xll.BMARKETPARAM($DD33,"array=true"),5,1),"")</f>
        <v/>
      </c>
      <c r="CK33" s="28" t="str">
        <f ca="1">IFERROR(INDEX(_xll.BMARKETPARAM($DD33,"array=true"),5,3),"")</f>
        <v/>
      </c>
      <c r="CL33" s="20"/>
      <c r="CM33" s="40" t="s">
        <v>1</v>
      </c>
      <c r="CN33" s="40"/>
      <c r="CO33" s="91"/>
      <c r="CP33" s="28" t="str">
        <f t="shared" ca="1" si="6"/>
        <v>DiscountCurve[EUR]</v>
      </c>
      <c r="CQ33" s="92"/>
      <c r="CR33" s="93" t="str">
        <f>IF(CQ33&lt;&gt;"",_xll.BCurveStrip(CQ33,"CurveDate",SwapsMarketDate,"ApplyDC",$CN33,"ParallelShift",$CO33),"")</f>
        <v/>
      </c>
      <c r="CS33" s="93" t="str">
        <f t="shared" ca="1" si="7"/>
        <v>ForwardCurve[EUR006M]</v>
      </c>
      <c r="CT33" s="40"/>
      <c r="CU33" s="93" t="str">
        <f>IF(CT33&lt;&gt;"",_xll.BCurveStrip(CT33,"CurveDate",SwapsMarketDate,"ApplyDC",$CN33,"ParallelShift",$CO33),"")</f>
        <v/>
      </c>
      <c r="CV33" s="93" t="str">
        <f t="shared" ca="1" si="8"/>
        <v/>
      </c>
      <c r="CW33" s="40"/>
      <c r="CX33" s="93" t="str">
        <f>IF(CW33&lt;&gt;"",_xll.BCurveStrip(CW33,"CurveDate",SwapsMarketDate,"ApplyDC",$CN33,"ParallelShift",$CO33),"")</f>
        <v/>
      </c>
      <c r="CY33" s="93" t="str">
        <f t="shared" ca="1" si="9"/>
        <v/>
      </c>
      <c r="CZ33" s="40"/>
      <c r="DA33" s="93" t="str">
        <f>IF(CZ33&lt;&gt;"",_xll.BCurveStrip(CZ33,"CurveDate",SwapsMarketDate,"ApplyDC",$CN33,"ParallelShift",$CO33),"")</f>
        <v/>
      </c>
      <c r="DC33" s="47" t="str">
        <f t="shared" ca="1" si="27"/>
        <v xml:space="preserve"> EUR </v>
      </c>
      <c r="DD33" s="47" t="str">
        <f ca="1">IF(OR(I33&lt;&gt;"",O33&lt;&gt;""),_xll.BSTRUCTURE(IF(I33&lt;&gt;"",I33,P33&amp;DC33),$AA$19,AA33,$AD$19:$AJ$19,$AD33:$AJ33,$AL$19,AL33,$AO$19:$AU$19,$AO33:$AU33,$AW$19,AW33,$DP$18:$DS$18,$DP33:$DS33,DW33,DX33,DZ33,EA33,$AY$19,AY33,"ignoreinvalidparams=true"),"Enter deal type or saved ID.")</f>
        <v>FXFL 630096</v>
      </c>
      <c r="DE33" s="47" t="str">
        <f ca="1">IF(LEFT(DD33,1)="E","",IF(CM33="No",_xll.BPRICE(DD33,IF(R33&lt;&gt;"","Target="&amp;S33,""),IF(R33&lt;&gt;"",T33&amp;"="&amp;U33,""),"MarketDate",SwapsMarketDate,"ValuationDate",SwapsValuationDate,"alwaysrefresh"),_xll.BPRICE(DD33,IF(R33&lt;&gt;"","Target="&amp;S33,""),IF(R33&lt;&gt;"",T33&amp;"="&amp;U33,""),"MarketDate",SwapsMarketDate,"ValuationDate",SwapsValuationDate,CP33,CR33,CS33,CU33,CV33,CX33,CY33,DA33,"alwaysrefresh")))</f>
        <v>PRICE FXFL 453040</v>
      </c>
      <c r="DH33" s="25" t="str">
        <f ca="1">_xll.BView(DE33,IF(R33="Leg 1 Notional","Leg[2].notional","Leg[1].notional"),"headers=false")</f>
        <v>#N/A Field Not Applicable [Parameter:OUTPUT]</v>
      </c>
      <c r="DI33" s="104"/>
      <c r="DJ33" s="113">
        <f t="shared" si="10"/>
        <v>1000000</v>
      </c>
      <c r="DK33" s="113">
        <f t="shared" si="11"/>
        <v>1000000</v>
      </c>
      <c r="DL33" s="113">
        <f t="shared" si="12"/>
        <v>1000000</v>
      </c>
      <c r="DM33" s="113">
        <f t="shared" si="13"/>
        <v>1000000</v>
      </c>
      <c r="DN33" s="113" t="str">
        <f t="shared" si="14"/>
        <v>BL</v>
      </c>
      <c r="DP33" s="113" t="str">
        <f t="shared" si="15"/>
        <v>EUR</v>
      </c>
      <c r="DQ33" s="117">
        <f t="shared" si="16"/>
        <v>1000000</v>
      </c>
      <c r="DR33" s="113" t="str">
        <f t="shared" si="17"/>
        <v>EUR</v>
      </c>
      <c r="DS33" s="117">
        <f t="shared" si="18"/>
        <v>1000000</v>
      </c>
      <c r="DT33" s="113">
        <f>IF(UPPER(DP33)=UPPER(DR33),1,_xll.BDP(DP33&amp;DR33&amp;" CURNCY","PX LAST")/_xll.BDP(DP33&amp;DR33&amp;" CURNCY","QUOTE FACTOR"))</f>
        <v>1</v>
      </c>
      <c r="DV33" s="113" t="b">
        <f t="shared" ca="1" si="25"/>
        <v>1</v>
      </c>
      <c r="DW33" s="113" t="str">
        <f t="shared" ca="1" si="23"/>
        <v>EffectiveDate</v>
      </c>
      <c r="DX33" s="115">
        <f t="shared" ca="1" si="28"/>
        <v>42654</v>
      </c>
      <c r="DY33" s="113" t="b">
        <f t="shared" ca="1" si="26"/>
        <v>1</v>
      </c>
      <c r="DZ33" s="113" t="str">
        <f t="shared" ca="1" si="24"/>
        <v>MaturityDate</v>
      </c>
      <c r="EA33" s="115">
        <f t="shared" ca="1" si="29"/>
        <v>53611</v>
      </c>
    </row>
    <row r="34" spans="1:131" x14ac:dyDescent="0.25">
      <c r="B34" s="27">
        <f>IF(OR(I34&lt;&gt;"",O34&lt;&gt;""),IF(OR(DD34="#N/A Requesting Data...",DD34="#N/A Waiting For Data...",DE34="#N/A Requesting Data...",DE34="#N/A Waiting For Data..."),"Loading ….",IF(OR(LEFT(DD34,1)="#",LEFT(DE34,1)="#"),"Check Inputs",_xll.BView(DE34,B$19,"headers=false"))),"Select Deal Type")</f>
        <v>0</v>
      </c>
      <c r="C34" s="49">
        <f>IFERROR(1*_xll.BView($DE34,C$19,"headers=false"),"-")</f>
        <v>5054.7827412110782</v>
      </c>
      <c r="D34" s="49">
        <f>IFERROR(1*_xll.BView($DE34,D$19,"headers=false"),"-")</f>
        <v>5054.7459856297492</v>
      </c>
      <c r="E34" s="120">
        <f>IFERROR(1*_xll.BView($DE34,E$19,"headers=false"),"-")</f>
        <v>-6.3000000428008698E-2</v>
      </c>
      <c r="F34" s="57" t="str">
        <f t="shared" si="21"/>
        <v>-</v>
      </c>
      <c r="G34" s="57" t="str">
        <f>IF(R34&lt;&gt;"",IFERROR(1*_xll.BView($DE34,$S34,"headers=false"),"-"),"-")</f>
        <v>-</v>
      </c>
      <c r="I34" s="35"/>
      <c r="J34" s="40" t="s">
        <v>1</v>
      </c>
      <c r="L34" s="39" t="str">
        <f t="shared" si="22"/>
        <v/>
      </c>
      <c r="M34" s="34"/>
      <c r="O34" s="59" t="s">
        <v>207</v>
      </c>
      <c r="P34" s="2" t="str">
        <f t="shared" si="0"/>
        <v>FXFL</v>
      </c>
      <c r="R34" s="40"/>
      <c r="S34" s="20" t="e">
        <f>INDEX(SolverTarget,MATCH(Swaps!R34,SolverTargetName,0))</f>
        <v>#N/A</v>
      </c>
      <c r="T34" s="28" t="str">
        <f>IF(R34&lt;&gt;"",INDEX(SolveFor,MATCH(IF(Swaps!R34&lt;&gt;"",Swaps!R34,"Empty"),SolverTargetName,0)),"")</f>
        <v/>
      </c>
      <c r="U34" s="102"/>
      <c r="V34" s="20"/>
      <c r="W34" s="40"/>
      <c r="X34" s="40"/>
      <c r="Y34" s="208" t="str">
        <f>IF(ISBLANK(X34),"",IF(ISNUMBER(X34),X34,_xll.meDateFromTenor(W34,X34)))</f>
        <v/>
      </c>
      <c r="Z34" s="20"/>
      <c r="AA34" s="40"/>
      <c r="AB34" s="40"/>
      <c r="AC34" s="79"/>
      <c r="AD34" s="212"/>
      <c r="AE34" s="40"/>
      <c r="AF34" s="40"/>
      <c r="AG34" s="40"/>
      <c r="AH34" s="40"/>
      <c r="AI34" s="40"/>
      <c r="AJ34" s="40"/>
      <c r="AK34" s="20"/>
      <c r="AL34" s="40"/>
      <c r="AM34" s="40"/>
      <c r="AN34" s="76"/>
      <c r="AO34" s="40"/>
      <c r="AP34" s="106"/>
      <c r="AQ34" s="40"/>
      <c r="AR34" s="40"/>
      <c r="AS34" s="40"/>
      <c r="AT34" s="40"/>
      <c r="AU34" s="40"/>
      <c r="AV34" s="20"/>
      <c r="AW34" s="40"/>
      <c r="AX34" s="20"/>
      <c r="AY34" s="40"/>
      <c r="AZ34" s="20"/>
      <c r="BA34" s="48">
        <f>IF(LEFT(_xll.BView($DD34,BA$19,"headers=false"),1)&lt;&gt;"#",_xll.BView($DD34,BA$19,"headers=false"),"")</f>
        <v>42656</v>
      </c>
      <c r="BB34" s="48">
        <f>IF(LEFT(_xll.BView($DD34,BB$19,"headers=false"),1)&lt;&gt;"#",_xll.BView($DD34,BB$19,"headers=false"),"")</f>
        <v>44482</v>
      </c>
      <c r="BC34" s="21"/>
      <c r="BD34" s="27" t="str">
        <f>IF(LEFT(_xll.BView($DD34,BD$19,"headers=false"),1)&lt;&gt;"#",_xll.BView($DD34,BD$19,"headers=false"),"")</f>
        <v>Receive</v>
      </c>
      <c r="BE34" s="27" t="str">
        <f>IF(LEFT(_xll.BView($DD34,BE$19,"headers=false"),1)&lt;&gt;"#",_xll.BView($DD34,BE$19,"headers=false"),"")</f>
        <v>EUR</v>
      </c>
      <c r="BF34" s="27">
        <f>IF(LEFT(_xll.BView($DD34,BF$19,"headers=false"),1)&lt;&gt;"#",_xll.BView($DD34,BF$19,"headers=false"),"")</f>
        <v>10000000</v>
      </c>
      <c r="BG34" s="38">
        <f>IF(LEFT(_xll.BView($DD34,BG$19,"headers=false"),1)&lt;&gt;"#",_xll.BView($DD34,BG$19,"headers=false"),"")</f>
        <v>-6.3000000427995306E-2</v>
      </c>
      <c r="BH34" s="27" t="str">
        <f>IF(LEFT(_xll.BView($DD34,BH$19,"headers=false"),1)&lt;&gt;"#",_xll.BView($DD34,BH$19,"headers=false"),"")</f>
        <v/>
      </c>
      <c r="BI34" s="27" t="str">
        <f>IF(LEFT(_xll.BView($DD34,BI$19,"headers=false"),1)&lt;&gt;"#",_xll.BView($DD34,BI$19,"headers=false"),"")</f>
        <v/>
      </c>
      <c r="BJ34" s="27" t="str">
        <f>IF(LEFT(_xll.BView($DD34,BJ$19,"headers=false"),1)&lt;&gt;"#",_xll.BView($DD34,BJ$19,"headers=false"),"")</f>
        <v>Annual</v>
      </c>
      <c r="BK34" s="27" t="str">
        <f>IF(LEFT(_xll.BView($DD34,BK$19,"headers=false"),1)&lt;&gt;"#",_xll.BView($DD34,BK$19,"headers=false"),"")</f>
        <v>30U/360</v>
      </c>
      <c r="BL34" s="27" t="str">
        <f>IF(LEFT(_xll.BView($DD34,BL$19,"headers=false"),1)&lt;&gt;"#",_xll.BView($DD34,BL$19,"headers=false"),"")</f>
        <v/>
      </c>
      <c r="BM34" s="27" t="str">
        <f>IF(LEFT(_xll.BView($DD34,BM$19,"headers=false"),1)&lt;&gt;"#",_xll.BView($DD34,BM$19,"headers=false"),"")</f>
        <v>Money Mkt</v>
      </c>
      <c r="BN34" s="22"/>
      <c r="BO34" s="27" t="str">
        <f>IF(LEFT(_xll.BView($DD34,BO$19,"headers=false"),1)&lt;&gt;"#",_xll.BView($DD34,BO$19,"headers=false"),"")</f>
        <v>Pay</v>
      </c>
      <c r="BP34" s="27" t="str">
        <f>IF(LEFT(_xll.BView($DD34,BP$19,"headers=false"),1)&lt;&gt;"#",_xll.BView($DD34,BP$19,"headers=false"),"")</f>
        <v>EUR</v>
      </c>
      <c r="BQ34" s="27">
        <f>IF(LEFT(_xll.BView($DD34,BQ$19,"headers=false"),1)&lt;&gt;"#",_xll.BView($DD34,BQ$19,"headers=false"),"")</f>
        <v>10000000</v>
      </c>
      <c r="BR34" s="27" t="str">
        <f>IF(LEFT(_xll.BView($DD34,BR$19,"headers=false"),1)&lt;&gt;"#",_xll.BView($DD34,BR$19,"headers=false"),"")</f>
        <v/>
      </c>
      <c r="BS34" s="57">
        <f>IF(LEFT(_xll.BView($DD34,BS$19,"headers=false"),1)&lt;&gt;"#",_xll.BView($DD34,BS$19,"headers=false"),"")</f>
        <v>0</v>
      </c>
      <c r="BT34" s="27" t="str">
        <f>IF(LEFT(_xll.BView($DD34,BT$19,"headers=false"),1)&lt;&gt;"#",_xll.BView($DD34,BT$19,"headers=false"),"")</f>
        <v>EUR006M</v>
      </c>
      <c r="BU34" s="27" t="str">
        <f>IF(LEFT(_xll.BView($DD34,BU$19,"headers=false"),1)&lt;&gt;"#",_xll.BView($DD34,BU$19,"headers=false"),"")</f>
        <v>SemiAnnual</v>
      </c>
      <c r="BV34" s="27" t="str">
        <f>IF(LEFT(_xll.BView($DD34,BV$19,"headers=false"),1)&lt;&gt;"#",_xll.BView($DD34,BV$19,"headers=false"),"")</f>
        <v>ACT/360</v>
      </c>
      <c r="BW34" s="27" t="str">
        <f>IF(LEFT(_xll.BView($DD34,BW$19,"headers=false"),1)&lt;&gt;"#",_xll.BView($DD34,BW$19,"headers=false"),"")</f>
        <v>SemiAnnual</v>
      </c>
      <c r="BX34" s="27" t="str">
        <f>IF(LEFT(_xll.BView($DD34,BX$19,"headers=false"),1)&lt;&gt;"#",_xll.BView($DD34,BX$19,"headers=false"),"")</f>
        <v/>
      </c>
      <c r="BY34" s="22"/>
      <c r="BZ34" s="27" t="str">
        <f>IF(LEFT(_xll.BView($DD34,BZ$19,"headers=false"),1)&lt;&gt;"#",_xll.BView($DD34,BZ$19,"headers=false"),"")</f>
        <v>Effect. &amp; Maturity</v>
      </c>
      <c r="CA34" s="22"/>
      <c r="CB34" s="27" t="str">
        <f>IF(LEFT(_xll.BView($DD34,CB$19,"headers=false"),1)&lt;&gt;"#",_xll.BView($DD34,CB$19,"headers=false"),"")</f>
        <v>EUR</v>
      </c>
      <c r="CC34" s="20"/>
      <c r="CD34" s="28" t="str">
        <f>IFERROR(INDEX(_xll.BMARKETPARAM($DD34,"array=true"),2,1),"")</f>
        <v>DiscountCurve[EUR]</v>
      </c>
      <c r="CE34" s="28" t="str">
        <f>IFERROR(INDEX(_xll.BMARKETPARAM($DD34,"array=true"),2,3),"")</f>
        <v>S133:Mid:DFLT:EUR OIS</v>
      </c>
      <c r="CF34" s="28" t="str">
        <f>IFERROR(INDEX(_xll.BMARKETPARAM($DD34,"array=true"),3,1),"")</f>
        <v>ForwardCurve[EUR006M]</v>
      </c>
      <c r="CG34" s="28" t="str">
        <f>IFERROR(INDEX(_xll.BMARKETPARAM($DD34,"array=true"),3,3),"")</f>
        <v>S45:Mid:DFLT:EUR (vs. 6M EURIBOR)</v>
      </c>
      <c r="CH34" s="28" t="str">
        <f>IFERROR(INDEX(_xll.BMARKETPARAM($DD34,"array=true"),4,1),"")</f>
        <v/>
      </c>
      <c r="CI34" s="28" t="str">
        <f>IFERROR(INDEX(_xll.BMARKETPARAM($DD34,"array=true"),4,3),"")</f>
        <v/>
      </c>
      <c r="CJ34" s="28" t="str">
        <f>IFERROR(INDEX(_xll.BMARKETPARAM($DD34,"array=true"),5,1),"")</f>
        <v/>
      </c>
      <c r="CK34" s="28" t="str">
        <f>IFERROR(INDEX(_xll.BMARKETPARAM($DD34,"array=true"),5,3),"")</f>
        <v/>
      </c>
      <c r="CL34" s="20"/>
      <c r="CM34" s="40" t="s">
        <v>1</v>
      </c>
      <c r="CN34" s="40"/>
      <c r="CO34" s="91"/>
      <c r="CP34" s="28" t="str">
        <f t="shared" si="6"/>
        <v>DiscountCurve[EUR]</v>
      </c>
      <c r="CQ34" s="92"/>
      <c r="CR34" s="93" t="str">
        <f>IF(CQ34&lt;&gt;"",_xll.BCurveStrip(CQ34,"CurveDate",SwapsMarketDate,"ApplyDC",$CN34,"ParallelShift",$CO34),"")</f>
        <v/>
      </c>
      <c r="CS34" s="93" t="str">
        <f t="shared" si="7"/>
        <v>ForwardCurve[EUR006M]</v>
      </c>
      <c r="CT34" s="40"/>
      <c r="CU34" s="93" t="str">
        <f>IF(CT34&lt;&gt;"",_xll.BCurveStrip(CT34,"CurveDate",SwapsMarketDate,"ApplyDC",$CN34,"ParallelShift",$CO34),"")</f>
        <v/>
      </c>
      <c r="CV34" s="93" t="str">
        <f t="shared" si="8"/>
        <v/>
      </c>
      <c r="CW34" s="40"/>
      <c r="CX34" s="93" t="str">
        <f>IF(CW34&lt;&gt;"",_xll.BCurveStrip(CW34,"CurveDate",SwapsMarketDate,"ApplyDC",$CN34,"ParallelShift",$CO34),"")</f>
        <v/>
      </c>
      <c r="CY34" s="93" t="str">
        <f t="shared" si="9"/>
        <v/>
      </c>
      <c r="CZ34" s="40"/>
      <c r="DA34" s="93" t="str">
        <f>IF(CZ34&lt;&gt;"",_xll.BCurveStrip(CZ34,"CurveDate",SwapsMarketDate,"ApplyDC",$CN34,"ParallelShift",$CO34),"")</f>
        <v/>
      </c>
      <c r="DC34" s="47" t="str">
        <f t="shared" si="27"/>
        <v xml:space="preserve">  </v>
      </c>
      <c r="DD34" s="47" t="str">
        <f>IF(OR(I34&lt;&gt;"",O34&lt;&gt;""),_xll.BSTRUCTURE(IF(I34&lt;&gt;"",I34,P34&amp;DC34),$AA$19,AA34,$AD$19:$AJ$19,$AD34:$AJ34,$AL$19,AL34,$AO$19:$AU$19,$AO34:$AU34,$AW$19,AW34,$DP$18:$DS$18,$DP34:$DS34,DW34,DX34,DZ34,EA34,$AY$19,AY34,"ignoreinvalidparams=true"),"Enter deal type or saved ID.")</f>
        <v>FXFL 1033483</v>
      </c>
      <c r="DE34" s="47" t="str">
        <f>IF(LEFT(DD34,1)="E","",IF(CM34="No",_xll.BPRICE(DD34,IF(R34&lt;&gt;"","Target="&amp;S34,""),IF(R34&lt;&gt;"",T34&amp;"="&amp;U34,""),"MarketDate",SwapsMarketDate,"ValuationDate",SwapsValuationDate,"alwaysrefresh"),_xll.BPRICE(DD34,IF(R34&lt;&gt;"","Target="&amp;S34,""),IF(R34&lt;&gt;"",T34&amp;"="&amp;U34,""),"MarketDate",SwapsMarketDate,"ValuationDate",SwapsValuationDate,CP34,CR34,CS34,CU34,CV34,CX34,CY34,DA34,"alwaysrefresh")))</f>
        <v>PRICE FXFL 284275</v>
      </c>
      <c r="DH34" s="25" t="str">
        <f>_xll.BView(DE34,IF(R34="Leg 1 Notional","Leg[2].notional","Leg[1].notional"),"headers=false")</f>
        <v>#N/A Field Not Applicable [Parameter:OUTPUT]</v>
      </c>
      <c r="DI34" s="104"/>
      <c r="DJ34" s="113">
        <f t="shared" si="10"/>
        <v>0</v>
      </c>
      <c r="DK34" s="113">
        <f t="shared" si="11"/>
        <v>0</v>
      </c>
      <c r="DL34" s="113">
        <f t="shared" si="12"/>
        <v>0</v>
      </c>
      <c r="DM34" s="113">
        <f t="shared" si="13"/>
        <v>0</v>
      </c>
      <c r="DN34" s="113" t="str">
        <f t="shared" si="14"/>
        <v>NL</v>
      </c>
      <c r="DP34" s="113" t="str">
        <f t="shared" si="15"/>
        <v/>
      </c>
      <c r="DQ34" s="117" t="str">
        <f t="shared" si="16"/>
        <v/>
      </c>
      <c r="DR34" s="113" t="str">
        <f t="shared" si="17"/>
        <v/>
      </c>
      <c r="DS34" s="117" t="str">
        <f t="shared" si="18"/>
        <v/>
      </c>
      <c r="DT34" s="113">
        <f>IF(UPPER(DP34)=UPPER(DR34),1,_xll.BDP(DP34&amp;DR34&amp;" CURNCY","PX LAST")/_xll.BDP(DP34&amp;DR34&amp;" CURNCY","QUOTE FACTOR"))</f>
        <v>1</v>
      </c>
      <c r="DV34" s="113" t="b">
        <f t="shared" si="25"/>
        <v>0</v>
      </c>
      <c r="DW34" s="113" t="str">
        <f t="shared" si="23"/>
        <v/>
      </c>
      <c r="DX34" s="115" t="str">
        <f t="shared" si="28"/>
        <v/>
      </c>
      <c r="DY34" s="113" t="b">
        <f t="shared" si="26"/>
        <v>0</v>
      </c>
      <c r="DZ34" s="113" t="str">
        <f t="shared" si="24"/>
        <v/>
      </c>
      <c r="EA34" s="115" t="str">
        <f t="shared" si="29"/>
        <v/>
      </c>
    </row>
    <row r="35" spans="1:131" x14ac:dyDescent="0.25">
      <c r="B35" s="27">
        <f>IF(OR(I35&lt;&gt;"",O35&lt;&gt;""),IF(OR(DD35="#N/A Requesting Data...",DD35="#N/A Waiting For Data...",DE35="#N/A Requesting Data...",DE35="#N/A Waiting For Data..."),"Loading ….",IF(OR(LEFT(DD35,1)="#",LEFT(DE35,1)="#"),"Check Inputs",_xll.BView(DE35,B$19,"headers=false"))),"Select Deal Type")</f>
        <v>0</v>
      </c>
      <c r="C35" s="49">
        <f>IFERROR(1*_xll.BView($DE35,C$19,"headers=false"),"-")</f>
        <v>5054.7827412110782</v>
      </c>
      <c r="D35" s="49">
        <f>IFERROR(1*_xll.BView($DE35,D$19,"headers=false"),"-")</f>
        <v>5054.7459856297492</v>
      </c>
      <c r="E35" s="120">
        <f>IFERROR(1*_xll.BView($DE35,E$19,"headers=false"),"-")</f>
        <v>-6.3000000428008698E-2</v>
      </c>
      <c r="F35" s="57" t="str">
        <f t="shared" si="21"/>
        <v>-</v>
      </c>
      <c r="G35" s="57" t="str">
        <f>IF(R35&lt;&gt;"",IFERROR(1*_xll.BView($DE35,$S35,"headers=false"),"-"),"-")</f>
        <v>-</v>
      </c>
      <c r="I35" s="35"/>
      <c r="J35" s="40" t="s">
        <v>1</v>
      </c>
      <c r="L35" s="39" t="str">
        <f t="shared" si="22"/>
        <v/>
      </c>
      <c r="M35" s="34"/>
      <c r="O35" s="59" t="s">
        <v>207</v>
      </c>
      <c r="P35" s="2" t="str">
        <f t="shared" si="0"/>
        <v>FXFL</v>
      </c>
      <c r="R35" s="40"/>
      <c r="S35" s="20" t="e">
        <f>INDEX(SolverTarget,MATCH(Swaps!R35,SolverTargetName,0))</f>
        <v>#N/A</v>
      </c>
      <c r="T35" s="28" t="str">
        <f>IF(R35&lt;&gt;"",INDEX(SolveFor,MATCH(IF(Swaps!R35&lt;&gt;"",Swaps!R35,"Empty"),SolverTargetName,0)),"")</f>
        <v/>
      </c>
      <c r="U35" s="102"/>
      <c r="V35" s="20"/>
      <c r="W35" s="40"/>
      <c r="X35" s="40"/>
      <c r="Y35" s="208" t="str">
        <f>IF(ISBLANK(X35),"",IF(ISNUMBER(X35),X35,_xll.meDateFromTenor(W35,X35)))</f>
        <v/>
      </c>
      <c r="Z35" s="20"/>
      <c r="AA35" s="40"/>
      <c r="AB35" s="40"/>
      <c r="AC35" s="79"/>
      <c r="AD35" s="212"/>
      <c r="AE35" s="40"/>
      <c r="AF35" s="40"/>
      <c r="AG35" s="40"/>
      <c r="AH35" s="40"/>
      <c r="AI35" s="40"/>
      <c r="AJ35" s="40"/>
      <c r="AK35" s="20"/>
      <c r="AL35" s="40"/>
      <c r="AM35" s="40"/>
      <c r="AN35" s="76"/>
      <c r="AO35" s="40"/>
      <c r="AP35" s="106"/>
      <c r="AQ35" s="40"/>
      <c r="AR35" s="40"/>
      <c r="AS35" s="40"/>
      <c r="AT35" s="40"/>
      <c r="AU35" s="40"/>
      <c r="AV35" s="20"/>
      <c r="AW35" s="40"/>
      <c r="AX35" s="20"/>
      <c r="AY35" s="40"/>
      <c r="AZ35" s="20"/>
      <c r="BA35" s="48">
        <f>IF(LEFT(_xll.BView($DD35,BA$19,"headers=false"),1)&lt;&gt;"#",_xll.BView($DD35,BA$19,"headers=false"),"")</f>
        <v>42656</v>
      </c>
      <c r="BB35" s="48">
        <f>IF(LEFT(_xll.BView($DD35,BB$19,"headers=false"),1)&lt;&gt;"#",_xll.BView($DD35,BB$19,"headers=false"),"")</f>
        <v>44482</v>
      </c>
      <c r="BC35" s="21"/>
      <c r="BD35" s="27" t="str">
        <f>IF(LEFT(_xll.BView($DD35,BD$19,"headers=false"),1)&lt;&gt;"#",_xll.BView($DD35,BD$19,"headers=false"),"")</f>
        <v>Receive</v>
      </c>
      <c r="BE35" s="27" t="str">
        <f>IF(LEFT(_xll.BView($DD35,BE$19,"headers=false"),1)&lt;&gt;"#",_xll.BView($DD35,BE$19,"headers=false"),"")</f>
        <v>EUR</v>
      </c>
      <c r="BF35" s="27">
        <f>IF(LEFT(_xll.BView($DD35,BF$19,"headers=false"),1)&lt;&gt;"#",_xll.BView($DD35,BF$19,"headers=false"),"")</f>
        <v>10000000</v>
      </c>
      <c r="BG35" s="38">
        <f>IF(LEFT(_xll.BView($DD35,BG$19,"headers=false"),1)&lt;&gt;"#",_xll.BView($DD35,BG$19,"headers=false"),"")</f>
        <v>-6.3000000427995306E-2</v>
      </c>
      <c r="BH35" s="27" t="str">
        <f>IF(LEFT(_xll.BView($DD35,BH$19,"headers=false"),1)&lt;&gt;"#",_xll.BView($DD35,BH$19,"headers=false"),"")</f>
        <v/>
      </c>
      <c r="BI35" s="27" t="str">
        <f>IF(LEFT(_xll.BView($DD35,BI$19,"headers=false"),1)&lt;&gt;"#",_xll.BView($DD35,BI$19,"headers=false"),"")</f>
        <v/>
      </c>
      <c r="BJ35" s="27" t="str">
        <f>IF(LEFT(_xll.BView($DD35,BJ$19,"headers=false"),1)&lt;&gt;"#",_xll.BView($DD35,BJ$19,"headers=false"),"")</f>
        <v>Annual</v>
      </c>
      <c r="BK35" s="27" t="str">
        <f>IF(LEFT(_xll.BView($DD35,BK$19,"headers=false"),1)&lt;&gt;"#",_xll.BView($DD35,BK$19,"headers=false"),"")</f>
        <v>30U/360</v>
      </c>
      <c r="BL35" s="27" t="str">
        <f>IF(LEFT(_xll.BView($DD35,BL$19,"headers=false"),1)&lt;&gt;"#",_xll.BView($DD35,BL$19,"headers=false"),"")</f>
        <v/>
      </c>
      <c r="BM35" s="27" t="str">
        <f>IF(LEFT(_xll.BView($DD35,BM$19,"headers=false"),1)&lt;&gt;"#",_xll.BView($DD35,BM$19,"headers=false"),"")</f>
        <v>Money Mkt</v>
      </c>
      <c r="BN35" s="22"/>
      <c r="BO35" s="27" t="str">
        <f>IF(LEFT(_xll.BView($DD35,BO$19,"headers=false"),1)&lt;&gt;"#",_xll.BView($DD35,BO$19,"headers=false"),"")</f>
        <v>Pay</v>
      </c>
      <c r="BP35" s="27" t="str">
        <f>IF(LEFT(_xll.BView($DD35,BP$19,"headers=false"),1)&lt;&gt;"#",_xll.BView($DD35,BP$19,"headers=false"),"")</f>
        <v>EUR</v>
      </c>
      <c r="BQ35" s="27">
        <f>IF(LEFT(_xll.BView($DD35,BQ$19,"headers=false"),1)&lt;&gt;"#",_xll.BView($DD35,BQ$19,"headers=false"),"")</f>
        <v>10000000</v>
      </c>
      <c r="BR35" s="27" t="str">
        <f>IF(LEFT(_xll.BView($DD35,BR$19,"headers=false"),1)&lt;&gt;"#",_xll.BView($DD35,BR$19,"headers=false"),"")</f>
        <v/>
      </c>
      <c r="BS35" s="57">
        <f>IF(LEFT(_xll.BView($DD35,BS$19,"headers=false"),1)&lt;&gt;"#",_xll.BView($DD35,BS$19,"headers=false"),"")</f>
        <v>0</v>
      </c>
      <c r="BT35" s="27" t="str">
        <f>IF(LEFT(_xll.BView($DD35,BT$19,"headers=false"),1)&lt;&gt;"#",_xll.BView($DD35,BT$19,"headers=false"),"")</f>
        <v>EUR006M</v>
      </c>
      <c r="BU35" s="27" t="str">
        <f>IF(LEFT(_xll.BView($DD35,BU$19,"headers=false"),1)&lt;&gt;"#",_xll.BView($DD35,BU$19,"headers=false"),"")</f>
        <v>SemiAnnual</v>
      </c>
      <c r="BV35" s="27" t="str">
        <f>IF(LEFT(_xll.BView($DD35,BV$19,"headers=false"),1)&lt;&gt;"#",_xll.BView($DD35,BV$19,"headers=false"),"")</f>
        <v>ACT/360</v>
      </c>
      <c r="BW35" s="27" t="str">
        <f>IF(LEFT(_xll.BView($DD35,BW$19,"headers=false"),1)&lt;&gt;"#",_xll.BView($DD35,BW$19,"headers=false"),"")</f>
        <v>SemiAnnual</v>
      </c>
      <c r="BX35" s="27" t="str">
        <f>IF(LEFT(_xll.BView($DD35,BX$19,"headers=false"),1)&lt;&gt;"#",_xll.BView($DD35,BX$19,"headers=false"),"")</f>
        <v/>
      </c>
      <c r="BY35" s="22"/>
      <c r="BZ35" s="27" t="str">
        <f>IF(LEFT(_xll.BView($DD35,BZ$19,"headers=false"),1)&lt;&gt;"#",_xll.BView($DD35,BZ$19,"headers=false"),"")</f>
        <v>Effect. &amp; Maturity</v>
      </c>
      <c r="CA35" s="22"/>
      <c r="CB35" s="27" t="str">
        <f>IF(LEFT(_xll.BView($DD35,CB$19,"headers=false"),1)&lt;&gt;"#",_xll.BView($DD35,CB$19,"headers=false"),"")</f>
        <v>EUR</v>
      </c>
      <c r="CC35" s="20"/>
      <c r="CD35" s="28" t="str">
        <f>IFERROR(INDEX(_xll.BMARKETPARAM($DD35,"array=true"),2,1),"")</f>
        <v>DiscountCurve[EUR]</v>
      </c>
      <c r="CE35" s="28" t="str">
        <f>IFERROR(INDEX(_xll.BMARKETPARAM($DD35,"array=true"),2,3),"")</f>
        <v>S133:Mid:DFLT:EUR OIS</v>
      </c>
      <c r="CF35" s="28" t="str">
        <f>IFERROR(INDEX(_xll.BMARKETPARAM($DD35,"array=true"),3,1),"")</f>
        <v>ForwardCurve[EUR006M]</v>
      </c>
      <c r="CG35" s="28" t="str">
        <f>IFERROR(INDEX(_xll.BMARKETPARAM($DD35,"array=true"),3,3),"")</f>
        <v>S45:Mid:DFLT:EUR (vs. 6M EURIBOR)</v>
      </c>
      <c r="CH35" s="28" t="str">
        <f>IFERROR(INDEX(_xll.BMARKETPARAM($DD35,"array=true"),4,1),"")</f>
        <v/>
      </c>
      <c r="CI35" s="28" t="str">
        <f>IFERROR(INDEX(_xll.BMARKETPARAM($DD35,"array=true"),4,3),"")</f>
        <v/>
      </c>
      <c r="CJ35" s="28" t="str">
        <f>IFERROR(INDEX(_xll.BMARKETPARAM($DD35,"array=true"),5,1),"")</f>
        <v/>
      </c>
      <c r="CK35" s="28" t="str">
        <f>IFERROR(INDEX(_xll.BMARKETPARAM($DD35,"array=true"),5,3),"")</f>
        <v/>
      </c>
      <c r="CL35" s="20"/>
      <c r="CM35" s="40" t="s">
        <v>1</v>
      </c>
      <c r="CN35" s="40"/>
      <c r="CO35" s="91"/>
      <c r="CP35" s="28" t="str">
        <f t="shared" si="6"/>
        <v>DiscountCurve[EUR]</v>
      </c>
      <c r="CQ35" s="92"/>
      <c r="CR35" s="93" t="str">
        <f>IF(CQ35&lt;&gt;"",_xll.BCurveStrip(CQ35,"CurveDate",SwapsMarketDate,"ApplyDC",$CN35,"ParallelShift",$CO35),"")</f>
        <v/>
      </c>
      <c r="CS35" s="93" t="str">
        <f t="shared" si="7"/>
        <v>ForwardCurve[EUR006M]</v>
      </c>
      <c r="CT35" s="40"/>
      <c r="CU35" s="93" t="str">
        <f>IF(CT35&lt;&gt;"",_xll.BCurveStrip(CT35,"CurveDate",SwapsMarketDate,"ApplyDC",$CN35,"ParallelShift",$CO35),"")</f>
        <v/>
      </c>
      <c r="CV35" s="93" t="str">
        <f t="shared" si="8"/>
        <v/>
      </c>
      <c r="CW35" s="40"/>
      <c r="CX35" s="93" t="str">
        <f>IF(CW35&lt;&gt;"",_xll.BCurveStrip(CW35,"CurveDate",SwapsMarketDate,"ApplyDC",$CN35,"ParallelShift",$CO35),"")</f>
        <v/>
      </c>
      <c r="CY35" s="93" t="str">
        <f t="shared" si="9"/>
        <v/>
      </c>
      <c r="CZ35" s="40"/>
      <c r="DA35" s="93" t="str">
        <f>IF(CZ35&lt;&gt;"",_xll.BCurveStrip(CZ35,"CurveDate",SwapsMarketDate,"ApplyDC",$CN35,"ParallelShift",$CO35),"")</f>
        <v/>
      </c>
      <c r="DC35" s="47" t="str">
        <f t="shared" si="27"/>
        <v xml:space="preserve">  </v>
      </c>
      <c r="DD35" s="47" t="str">
        <f>IF(OR(I35&lt;&gt;"",O35&lt;&gt;""),_xll.BSTRUCTURE(IF(I35&lt;&gt;"",I35,P35&amp;DC35),$AA$19,AA35,$AD$19:$AJ$19,$AD35:$AJ35,$AL$19,AL35,$AO$19:$AU$19,$AO35:$AU35,$AW$19,AW35,$DP$18:$DS$18,$DP35:$DS35,DW35,DX35,DZ35,EA35,$AY$19,AY35,"ignoreinvalidparams=true"),"Enter deal type or saved ID.")</f>
        <v>FXFL 1033483</v>
      </c>
      <c r="DE35" s="47" t="str">
        <f>IF(LEFT(DD35,1)="E","",IF(CM35="No",_xll.BPRICE(DD35,IF(R35&lt;&gt;"","Target="&amp;S35,""),IF(R35&lt;&gt;"",T35&amp;"="&amp;U35,""),"MarketDate",SwapsMarketDate,"ValuationDate",SwapsValuationDate,"alwaysrefresh"),_xll.BPRICE(DD35,IF(R35&lt;&gt;"","Target="&amp;S35,""),IF(R35&lt;&gt;"",T35&amp;"="&amp;U35,""),"MarketDate",SwapsMarketDate,"ValuationDate",SwapsValuationDate,CP35,CR35,CS35,CU35,CV35,CX35,CY35,DA35,"alwaysrefresh")))</f>
        <v>PRICE FXFL 284275</v>
      </c>
      <c r="DH35" s="25" t="str">
        <f>_xll.BView(DE35,IF(R35="Leg 1 Notional","Leg[2].notional","Leg[1].notional"),"headers=false")</f>
        <v>#N/A Field Not Applicable [Parameter:OUTPUT]</v>
      </c>
      <c r="DI35" s="104"/>
      <c r="DJ35" s="113">
        <f t="shared" si="10"/>
        <v>0</v>
      </c>
      <c r="DK35" s="113">
        <f t="shared" si="11"/>
        <v>0</v>
      </c>
      <c r="DL35" s="113">
        <f t="shared" si="12"/>
        <v>0</v>
      </c>
      <c r="DM35" s="113">
        <f t="shared" si="13"/>
        <v>0</v>
      </c>
      <c r="DN35" s="113" t="str">
        <f t="shared" si="14"/>
        <v>NL</v>
      </c>
      <c r="DP35" s="113" t="str">
        <f t="shared" si="15"/>
        <v/>
      </c>
      <c r="DQ35" s="117" t="str">
        <f t="shared" si="16"/>
        <v/>
      </c>
      <c r="DR35" s="113" t="str">
        <f t="shared" si="17"/>
        <v/>
      </c>
      <c r="DS35" s="117" t="str">
        <f t="shared" si="18"/>
        <v/>
      </c>
      <c r="DT35" s="113">
        <f>IF(UPPER(DP35)=UPPER(DR35),1,_xll.BDP(DP35&amp;DR35&amp;" CURNCY","PX LAST")/_xll.BDP(DP35&amp;DR35&amp;" CURNCY","QUOTE FACTOR"))</f>
        <v>1</v>
      </c>
      <c r="DV35" s="113" t="b">
        <f t="shared" si="25"/>
        <v>0</v>
      </c>
      <c r="DW35" s="113" t="str">
        <f t="shared" si="23"/>
        <v/>
      </c>
      <c r="DX35" s="115" t="str">
        <f t="shared" si="28"/>
        <v/>
      </c>
      <c r="DY35" s="113" t="b">
        <f t="shared" si="26"/>
        <v>0</v>
      </c>
      <c r="DZ35" s="113" t="str">
        <f t="shared" si="24"/>
        <v/>
      </c>
      <c r="EA35" s="115" t="str">
        <f t="shared" si="29"/>
        <v/>
      </c>
    </row>
    <row r="36" spans="1:131" x14ac:dyDescent="0.25">
      <c r="B36" s="27">
        <f>IF(OR(I36&lt;&gt;"",O36&lt;&gt;""),IF(OR(DD36="#N/A Requesting Data...",DD36="#N/A Waiting For Data...",DE36="#N/A Requesting Data...",DE36="#N/A Waiting For Data..."),"Loading ….",IF(OR(LEFT(DD36,1)="#",LEFT(DE36,1)="#"),"Check Inputs",_xll.BView(DE36,B$19,"headers=false"))),"Select Deal Type")</f>
        <v>0</v>
      </c>
      <c r="C36" s="49">
        <f>IFERROR(1*_xll.BView($DE36,C$19,"headers=false"),"-")</f>
        <v>5054.7827412110782</v>
      </c>
      <c r="D36" s="49">
        <f>IFERROR(1*_xll.BView($DE36,D$19,"headers=false"),"-")</f>
        <v>5054.7459856297492</v>
      </c>
      <c r="E36" s="120">
        <f>IFERROR(1*_xll.BView($DE36,E$19,"headers=false"),"-")</f>
        <v>-6.3000000428008698E-2</v>
      </c>
      <c r="F36" s="57" t="str">
        <f t="shared" si="21"/>
        <v>-</v>
      </c>
      <c r="G36" s="57" t="str">
        <f>IF(R36&lt;&gt;"",IFERROR(1*_xll.BView($DE36,$S36,"headers=false"),"-"),"-")</f>
        <v>-</v>
      </c>
      <c r="I36" s="35"/>
      <c r="J36" s="40" t="s">
        <v>1</v>
      </c>
      <c r="L36" s="39" t="str">
        <f t="shared" si="22"/>
        <v/>
      </c>
      <c r="M36" s="34"/>
      <c r="O36" s="59" t="s">
        <v>207</v>
      </c>
      <c r="P36" s="2" t="str">
        <f t="shared" si="0"/>
        <v>FXFL</v>
      </c>
      <c r="R36" s="40"/>
      <c r="S36" s="20" t="e">
        <f>INDEX(SolverTarget,MATCH(Swaps!R36,SolverTargetName,0))</f>
        <v>#N/A</v>
      </c>
      <c r="T36" s="28" t="str">
        <f>IF(R36&lt;&gt;"",INDEX(SolveFor,MATCH(IF(Swaps!R36&lt;&gt;"",Swaps!R36,"Empty"),SolverTargetName,0)),"")</f>
        <v/>
      </c>
      <c r="U36" s="102"/>
      <c r="V36" s="20"/>
      <c r="W36" s="40"/>
      <c r="X36" s="40"/>
      <c r="Y36" s="208" t="str">
        <f>IF(ISBLANK(X36),"",IF(ISNUMBER(X36),X36,_xll.meDateFromTenor(W36,X36)))</f>
        <v/>
      </c>
      <c r="Z36" s="20"/>
      <c r="AA36" s="40"/>
      <c r="AB36" s="40"/>
      <c r="AC36" s="79"/>
      <c r="AD36" s="212"/>
      <c r="AE36" s="40"/>
      <c r="AF36" s="40"/>
      <c r="AG36" s="40"/>
      <c r="AH36" s="40"/>
      <c r="AI36" s="40"/>
      <c r="AJ36" s="40"/>
      <c r="AK36" s="20"/>
      <c r="AL36" s="40"/>
      <c r="AM36" s="40"/>
      <c r="AN36" s="76"/>
      <c r="AO36" s="40"/>
      <c r="AP36" s="106"/>
      <c r="AQ36" s="40"/>
      <c r="AR36" s="40"/>
      <c r="AS36" s="40"/>
      <c r="AT36" s="40"/>
      <c r="AU36" s="40"/>
      <c r="AV36" s="20"/>
      <c r="AW36" s="40"/>
      <c r="AX36" s="20"/>
      <c r="AY36" s="40"/>
      <c r="AZ36" s="20"/>
      <c r="BA36" s="48">
        <f>IF(LEFT(_xll.BView($DD36,BA$19,"headers=false"),1)&lt;&gt;"#",_xll.BView($DD36,BA$19,"headers=false"),"")</f>
        <v>42656</v>
      </c>
      <c r="BB36" s="48">
        <f>IF(LEFT(_xll.BView($DD36,BB$19,"headers=false"),1)&lt;&gt;"#",_xll.BView($DD36,BB$19,"headers=false"),"")</f>
        <v>44482</v>
      </c>
      <c r="BC36" s="21"/>
      <c r="BD36" s="27" t="str">
        <f>IF(LEFT(_xll.BView($DD36,BD$19,"headers=false"),1)&lt;&gt;"#",_xll.BView($DD36,BD$19,"headers=false"),"")</f>
        <v>Receive</v>
      </c>
      <c r="BE36" s="27" t="str">
        <f>IF(LEFT(_xll.BView($DD36,BE$19,"headers=false"),1)&lt;&gt;"#",_xll.BView($DD36,BE$19,"headers=false"),"")</f>
        <v>EUR</v>
      </c>
      <c r="BF36" s="27">
        <f>IF(LEFT(_xll.BView($DD36,BF$19,"headers=false"),1)&lt;&gt;"#",_xll.BView($DD36,BF$19,"headers=false"),"")</f>
        <v>10000000</v>
      </c>
      <c r="BG36" s="38">
        <f>IF(LEFT(_xll.BView($DD36,BG$19,"headers=false"),1)&lt;&gt;"#",_xll.BView($DD36,BG$19,"headers=false"),"")</f>
        <v>-6.3000000427995306E-2</v>
      </c>
      <c r="BH36" s="27" t="str">
        <f>IF(LEFT(_xll.BView($DD36,BH$19,"headers=false"),1)&lt;&gt;"#",_xll.BView($DD36,BH$19,"headers=false"),"")</f>
        <v/>
      </c>
      <c r="BI36" s="27" t="str">
        <f>IF(LEFT(_xll.BView($DD36,BI$19,"headers=false"),1)&lt;&gt;"#",_xll.BView($DD36,BI$19,"headers=false"),"")</f>
        <v/>
      </c>
      <c r="BJ36" s="27" t="str">
        <f>IF(LEFT(_xll.BView($DD36,BJ$19,"headers=false"),1)&lt;&gt;"#",_xll.BView($DD36,BJ$19,"headers=false"),"")</f>
        <v>Annual</v>
      </c>
      <c r="BK36" s="27" t="str">
        <f>IF(LEFT(_xll.BView($DD36,BK$19,"headers=false"),1)&lt;&gt;"#",_xll.BView($DD36,BK$19,"headers=false"),"")</f>
        <v>30U/360</v>
      </c>
      <c r="BL36" s="27" t="str">
        <f>IF(LEFT(_xll.BView($DD36,BL$19,"headers=false"),1)&lt;&gt;"#",_xll.BView($DD36,BL$19,"headers=false"),"")</f>
        <v/>
      </c>
      <c r="BM36" s="27" t="str">
        <f>IF(LEFT(_xll.BView($DD36,BM$19,"headers=false"),1)&lt;&gt;"#",_xll.BView($DD36,BM$19,"headers=false"),"")</f>
        <v>Money Mkt</v>
      </c>
      <c r="BN36" s="22"/>
      <c r="BO36" s="27" t="str">
        <f>IF(LEFT(_xll.BView($DD36,BO$19,"headers=false"),1)&lt;&gt;"#",_xll.BView($DD36,BO$19,"headers=false"),"")</f>
        <v>Pay</v>
      </c>
      <c r="BP36" s="27" t="str">
        <f>IF(LEFT(_xll.BView($DD36,BP$19,"headers=false"),1)&lt;&gt;"#",_xll.BView($DD36,BP$19,"headers=false"),"")</f>
        <v>EUR</v>
      </c>
      <c r="BQ36" s="27">
        <f>IF(LEFT(_xll.BView($DD36,BQ$19,"headers=false"),1)&lt;&gt;"#",_xll.BView($DD36,BQ$19,"headers=false"),"")</f>
        <v>10000000</v>
      </c>
      <c r="BR36" s="27" t="str">
        <f>IF(LEFT(_xll.BView($DD36,BR$19,"headers=false"),1)&lt;&gt;"#",_xll.BView($DD36,BR$19,"headers=false"),"")</f>
        <v/>
      </c>
      <c r="BS36" s="57">
        <f>IF(LEFT(_xll.BView($DD36,BS$19,"headers=false"),1)&lt;&gt;"#",_xll.BView($DD36,BS$19,"headers=false"),"")</f>
        <v>0</v>
      </c>
      <c r="BT36" s="27" t="str">
        <f>IF(LEFT(_xll.BView($DD36,BT$19,"headers=false"),1)&lt;&gt;"#",_xll.BView($DD36,BT$19,"headers=false"),"")</f>
        <v>EUR006M</v>
      </c>
      <c r="BU36" s="27" t="str">
        <f>IF(LEFT(_xll.BView($DD36,BU$19,"headers=false"),1)&lt;&gt;"#",_xll.BView($DD36,BU$19,"headers=false"),"")</f>
        <v>SemiAnnual</v>
      </c>
      <c r="BV36" s="27" t="str">
        <f>IF(LEFT(_xll.BView($DD36,BV$19,"headers=false"),1)&lt;&gt;"#",_xll.BView($DD36,BV$19,"headers=false"),"")</f>
        <v>ACT/360</v>
      </c>
      <c r="BW36" s="27" t="str">
        <f>IF(LEFT(_xll.BView($DD36,BW$19,"headers=false"),1)&lt;&gt;"#",_xll.BView($DD36,BW$19,"headers=false"),"")</f>
        <v>SemiAnnual</v>
      </c>
      <c r="BX36" s="27" t="str">
        <f>IF(LEFT(_xll.BView($DD36,BX$19,"headers=false"),1)&lt;&gt;"#",_xll.BView($DD36,BX$19,"headers=false"),"")</f>
        <v/>
      </c>
      <c r="BY36" s="22"/>
      <c r="BZ36" s="27" t="str">
        <f>IF(LEFT(_xll.BView($DD36,BZ$19,"headers=false"),1)&lt;&gt;"#",_xll.BView($DD36,BZ$19,"headers=false"),"")</f>
        <v>Effect. &amp; Maturity</v>
      </c>
      <c r="CA36" s="22"/>
      <c r="CB36" s="27" t="str">
        <f>IF(LEFT(_xll.BView($DD36,CB$19,"headers=false"),1)&lt;&gt;"#",_xll.BView($DD36,CB$19,"headers=false"),"")</f>
        <v>EUR</v>
      </c>
      <c r="CC36" s="20"/>
      <c r="CD36" s="28" t="str">
        <f>IFERROR(INDEX(_xll.BMARKETPARAM($DD36,"array=true"),2,1),"")</f>
        <v>DiscountCurve[EUR]</v>
      </c>
      <c r="CE36" s="28" t="str">
        <f>IFERROR(INDEX(_xll.BMARKETPARAM($DD36,"array=true"),2,3),"")</f>
        <v>S133:Mid:DFLT:EUR OIS</v>
      </c>
      <c r="CF36" s="28" t="str">
        <f>IFERROR(INDEX(_xll.BMARKETPARAM($DD36,"array=true"),3,1),"")</f>
        <v>ForwardCurve[EUR006M]</v>
      </c>
      <c r="CG36" s="28" t="str">
        <f>IFERROR(INDEX(_xll.BMARKETPARAM($DD36,"array=true"),3,3),"")</f>
        <v>S45:Mid:DFLT:EUR (vs. 6M EURIBOR)</v>
      </c>
      <c r="CH36" s="28" t="str">
        <f>IFERROR(INDEX(_xll.BMARKETPARAM($DD36,"array=true"),4,1),"")</f>
        <v/>
      </c>
      <c r="CI36" s="28" t="str">
        <f>IFERROR(INDEX(_xll.BMARKETPARAM($DD36,"array=true"),4,3),"")</f>
        <v/>
      </c>
      <c r="CJ36" s="28" t="str">
        <f>IFERROR(INDEX(_xll.BMARKETPARAM($DD36,"array=true"),5,1),"")</f>
        <v/>
      </c>
      <c r="CK36" s="28" t="str">
        <f>IFERROR(INDEX(_xll.BMARKETPARAM($DD36,"array=true"),5,3),"")</f>
        <v/>
      </c>
      <c r="CL36" s="20"/>
      <c r="CM36" s="40" t="s">
        <v>1</v>
      </c>
      <c r="CN36" s="40"/>
      <c r="CO36" s="91"/>
      <c r="CP36" s="28" t="str">
        <f t="shared" si="6"/>
        <v>DiscountCurve[EUR]</v>
      </c>
      <c r="CQ36" s="92"/>
      <c r="CR36" s="93" t="str">
        <f>IF(CQ36&lt;&gt;"",_xll.BCurveStrip(CQ36,"CurveDate",SwapsMarketDate,"ApplyDC",$CN36,"ParallelShift",$CO36),"")</f>
        <v/>
      </c>
      <c r="CS36" s="93" t="str">
        <f t="shared" si="7"/>
        <v>ForwardCurve[EUR006M]</v>
      </c>
      <c r="CT36" s="40"/>
      <c r="CU36" s="93" t="str">
        <f>IF(CT36&lt;&gt;"",_xll.BCurveStrip(CT36,"CurveDate",SwapsMarketDate,"ApplyDC",$CN36,"ParallelShift",$CO36),"")</f>
        <v/>
      </c>
      <c r="CV36" s="93" t="str">
        <f t="shared" si="8"/>
        <v/>
      </c>
      <c r="CW36" s="40"/>
      <c r="CX36" s="93" t="str">
        <f>IF(CW36&lt;&gt;"",_xll.BCurveStrip(CW36,"CurveDate",SwapsMarketDate,"ApplyDC",$CN36,"ParallelShift",$CO36),"")</f>
        <v/>
      </c>
      <c r="CY36" s="93" t="str">
        <f t="shared" si="9"/>
        <v/>
      </c>
      <c r="CZ36" s="40"/>
      <c r="DA36" s="93" t="str">
        <f>IF(CZ36&lt;&gt;"",_xll.BCurveStrip(CZ36,"CurveDate",SwapsMarketDate,"ApplyDC",$CN36,"ParallelShift",$CO36),"")</f>
        <v/>
      </c>
      <c r="DC36" s="47" t="str">
        <f t="shared" si="27"/>
        <v xml:space="preserve">  </v>
      </c>
      <c r="DD36" s="47" t="str">
        <f>IF(OR(I36&lt;&gt;"",O36&lt;&gt;""),_xll.BSTRUCTURE(IF(I36&lt;&gt;"",I36,P36&amp;DC36),$AA$19,AA36,$AD$19:$AJ$19,$AD36:$AJ36,$AL$19,AL36,$AO$19:$AU$19,$AO36:$AU36,$AW$19,AW36,$DP$18:$DS$18,$DP36:$DS36,DW36,DX36,DZ36,EA36,$AY$19,AY36,"ignoreinvalidparams=true"),"Enter deal type or saved ID.")</f>
        <v>FXFL 1033483</v>
      </c>
      <c r="DE36" s="47" t="str">
        <f>IF(LEFT(DD36,1)="E","",IF(CM36="No",_xll.BPRICE(DD36,IF(R36&lt;&gt;"","Target="&amp;S36,""),IF(R36&lt;&gt;"",T36&amp;"="&amp;U36,""),"MarketDate",SwapsMarketDate,"ValuationDate",SwapsValuationDate,"alwaysrefresh"),_xll.BPRICE(DD36,IF(R36&lt;&gt;"","Target="&amp;S36,""),IF(R36&lt;&gt;"",T36&amp;"="&amp;U36,""),"MarketDate",SwapsMarketDate,"ValuationDate",SwapsValuationDate,CP36,CR36,CS36,CU36,CV36,CX36,CY36,DA36,"alwaysrefresh")))</f>
        <v>PRICE FXFL 284275</v>
      </c>
      <c r="DH36" s="25" t="str">
        <f>_xll.BView(DE36,IF(R36="Leg 1 Notional","Leg[2].notional","Leg[1].notional"),"headers=false")</f>
        <v>#N/A Field Not Applicable [Parameter:OUTPUT]</v>
      </c>
      <c r="DI36" s="104"/>
      <c r="DJ36" s="113">
        <f t="shared" si="10"/>
        <v>0</v>
      </c>
      <c r="DK36" s="113">
        <f t="shared" si="11"/>
        <v>0</v>
      </c>
      <c r="DL36" s="113">
        <f t="shared" si="12"/>
        <v>0</v>
      </c>
      <c r="DM36" s="113">
        <f t="shared" si="13"/>
        <v>0</v>
      </c>
      <c r="DN36" s="113" t="str">
        <f t="shared" si="14"/>
        <v>NL</v>
      </c>
      <c r="DP36" s="113" t="str">
        <f t="shared" si="15"/>
        <v/>
      </c>
      <c r="DQ36" s="117" t="str">
        <f t="shared" si="16"/>
        <v/>
      </c>
      <c r="DR36" s="113" t="str">
        <f t="shared" si="17"/>
        <v/>
      </c>
      <c r="DS36" s="117" t="str">
        <f t="shared" si="18"/>
        <v/>
      </c>
      <c r="DT36" s="113">
        <f>IF(UPPER(DP36)=UPPER(DR36),1,_xll.BDP(DP36&amp;DR36&amp;" CURNCY","PX LAST")/_xll.BDP(DP36&amp;DR36&amp;" CURNCY","QUOTE FACTOR"))</f>
        <v>1</v>
      </c>
      <c r="DV36" s="113" t="b">
        <f t="shared" si="25"/>
        <v>0</v>
      </c>
      <c r="DW36" s="113" t="str">
        <f t="shared" si="23"/>
        <v/>
      </c>
      <c r="DX36" s="115" t="str">
        <f t="shared" si="28"/>
        <v/>
      </c>
      <c r="DY36" s="113" t="b">
        <f t="shared" si="26"/>
        <v>0</v>
      </c>
      <c r="DZ36" s="113" t="str">
        <f t="shared" si="24"/>
        <v/>
      </c>
      <c r="EA36" s="115" t="str">
        <f t="shared" si="29"/>
        <v/>
      </c>
    </row>
    <row r="37" spans="1:131" x14ac:dyDescent="0.25">
      <c r="B37" s="27">
        <f>IF(OR(I37&lt;&gt;"",O37&lt;&gt;""),IF(OR(DD37="#N/A Requesting Data...",DD37="#N/A Waiting For Data...",DE37="#N/A Requesting Data...",DE37="#N/A Waiting For Data..."),"Loading ….",IF(OR(LEFT(DD37,1)="#",LEFT(DE37,1)="#"),"Check Inputs",_xll.BView(DE37,B$19,"headers=false"))),"Select Deal Type")</f>
        <v>0</v>
      </c>
      <c r="C37" s="49">
        <f>IFERROR(1*_xll.BView($DE37,C$19,"headers=false"),"-")</f>
        <v>5054.7827412110782</v>
      </c>
      <c r="D37" s="49">
        <f>IFERROR(1*_xll.BView($DE37,D$19,"headers=false"),"-")</f>
        <v>5054.7459856297492</v>
      </c>
      <c r="E37" s="120">
        <f>IFERROR(1*_xll.BView($DE37,E$19,"headers=false"),"-")</f>
        <v>-6.3000000428008698E-2</v>
      </c>
      <c r="F37" s="57" t="str">
        <f t="shared" si="21"/>
        <v>-</v>
      </c>
      <c r="G37" s="57" t="str">
        <f>IF(R37&lt;&gt;"",IFERROR(1*_xll.BView($DE37,$S37,"headers=false"),"-"),"-")</f>
        <v>-</v>
      </c>
      <c r="I37" s="35"/>
      <c r="J37" s="40" t="s">
        <v>1</v>
      </c>
      <c r="L37" s="39" t="str">
        <f t="shared" si="22"/>
        <v/>
      </c>
      <c r="M37" s="34"/>
      <c r="O37" s="59" t="s">
        <v>207</v>
      </c>
      <c r="P37" s="2" t="str">
        <f t="shared" si="0"/>
        <v>FXFL</v>
      </c>
      <c r="R37" s="40"/>
      <c r="S37" s="20" t="e">
        <f>INDEX(SolverTarget,MATCH(Swaps!R37,SolverTargetName,0))</f>
        <v>#N/A</v>
      </c>
      <c r="T37" s="28" t="str">
        <f>IF(R37&lt;&gt;"",INDEX(SolveFor,MATCH(IF(Swaps!R37&lt;&gt;"",Swaps!R37,"Empty"),SolverTargetName,0)),"")</f>
        <v/>
      </c>
      <c r="U37" s="102"/>
      <c r="V37" s="20"/>
      <c r="W37" s="40"/>
      <c r="X37" s="40"/>
      <c r="Y37" s="208" t="str">
        <f>IF(ISBLANK(X37),"",IF(ISNUMBER(X37),X37,_xll.meDateFromTenor(W37,X37)))</f>
        <v/>
      </c>
      <c r="Z37" s="20"/>
      <c r="AA37" s="40"/>
      <c r="AB37" s="40"/>
      <c r="AC37" s="79"/>
      <c r="AD37" s="212"/>
      <c r="AE37" s="40"/>
      <c r="AF37" s="40"/>
      <c r="AG37" s="40"/>
      <c r="AH37" s="40"/>
      <c r="AI37" s="40"/>
      <c r="AJ37" s="40"/>
      <c r="AK37" s="20"/>
      <c r="AL37" s="40"/>
      <c r="AM37" s="40"/>
      <c r="AN37" s="76"/>
      <c r="AO37" s="40"/>
      <c r="AP37" s="106"/>
      <c r="AQ37" s="40"/>
      <c r="AR37" s="40"/>
      <c r="AS37" s="40"/>
      <c r="AT37" s="40"/>
      <c r="AU37" s="40"/>
      <c r="AV37" s="20"/>
      <c r="AW37" s="40"/>
      <c r="AX37" s="20"/>
      <c r="AY37" s="40"/>
      <c r="AZ37" s="20"/>
      <c r="BA37" s="48">
        <f>IF(LEFT(_xll.BView($DD37,BA$19,"headers=false"),1)&lt;&gt;"#",_xll.BView($DD37,BA$19,"headers=false"),"")</f>
        <v>42656</v>
      </c>
      <c r="BB37" s="48">
        <f>IF(LEFT(_xll.BView($DD37,BB$19,"headers=false"),1)&lt;&gt;"#",_xll.BView($DD37,BB$19,"headers=false"),"")</f>
        <v>44482</v>
      </c>
      <c r="BC37" s="21"/>
      <c r="BD37" s="27" t="str">
        <f>IF(LEFT(_xll.BView($DD37,BD$19,"headers=false"),1)&lt;&gt;"#",_xll.BView($DD37,BD$19,"headers=false"),"")</f>
        <v>Receive</v>
      </c>
      <c r="BE37" s="27" t="str">
        <f>IF(LEFT(_xll.BView($DD37,BE$19,"headers=false"),1)&lt;&gt;"#",_xll.BView($DD37,BE$19,"headers=false"),"")</f>
        <v>EUR</v>
      </c>
      <c r="BF37" s="27">
        <f>IF(LEFT(_xll.BView($DD37,BF$19,"headers=false"),1)&lt;&gt;"#",_xll.BView($DD37,BF$19,"headers=false"),"")</f>
        <v>10000000</v>
      </c>
      <c r="BG37" s="38">
        <f>IF(LEFT(_xll.BView($DD37,BG$19,"headers=false"),1)&lt;&gt;"#",_xll.BView($DD37,BG$19,"headers=false"),"")</f>
        <v>-6.3000000427995306E-2</v>
      </c>
      <c r="BH37" s="27" t="str">
        <f>IF(LEFT(_xll.BView($DD37,BH$19,"headers=false"),1)&lt;&gt;"#",_xll.BView($DD37,BH$19,"headers=false"),"")</f>
        <v/>
      </c>
      <c r="BI37" s="27" t="str">
        <f>IF(LEFT(_xll.BView($DD37,BI$19,"headers=false"),1)&lt;&gt;"#",_xll.BView($DD37,BI$19,"headers=false"),"")</f>
        <v/>
      </c>
      <c r="BJ37" s="27" t="str">
        <f>IF(LEFT(_xll.BView($DD37,BJ$19,"headers=false"),1)&lt;&gt;"#",_xll.BView($DD37,BJ$19,"headers=false"),"")</f>
        <v>Annual</v>
      </c>
      <c r="BK37" s="27" t="str">
        <f>IF(LEFT(_xll.BView($DD37,BK$19,"headers=false"),1)&lt;&gt;"#",_xll.BView($DD37,BK$19,"headers=false"),"")</f>
        <v>30U/360</v>
      </c>
      <c r="BL37" s="27" t="str">
        <f>IF(LEFT(_xll.BView($DD37,BL$19,"headers=false"),1)&lt;&gt;"#",_xll.BView($DD37,BL$19,"headers=false"),"")</f>
        <v/>
      </c>
      <c r="BM37" s="27" t="str">
        <f>IF(LEFT(_xll.BView($DD37,BM$19,"headers=false"),1)&lt;&gt;"#",_xll.BView($DD37,BM$19,"headers=false"),"")</f>
        <v>Money Mkt</v>
      </c>
      <c r="BN37" s="22"/>
      <c r="BO37" s="27" t="str">
        <f>IF(LEFT(_xll.BView($DD37,BO$19,"headers=false"),1)&lt;&gt;"#",_xll.BView($DD37,BO$19,"headers=false"),"")</f>
        <v>Pay</v>
      </c>
      <c r="BP37" s="27" t="str">
        <f>IF(LEFT(_xll.BView($DD37,BP$19,"headers=false"),1)&lt;&gt;"#",_xll.BView($DD37,BP$19,"headers=false"),"")</f>
        <v>EUR</v>
      </c>
      <c r="BQ37" s="27">
        <f>IF(LEFT(_xll.BView($DD37,BQ$19,"headers=false"),1)&lt;&gt;"#",_xll.BView($DD37,BQ$19,"headers=false"),"")</f>
        <v>10000000</v>
      </c>
      <c r="BR37" s="27" t="str">
        <f>IF(LEFT(_xll.BView($DD37,BR$19,"headers=false"),1)&lt;&gt;"#",_xll.BView($DD37,BR$19,"headers=false"),"")</f>
        <v/>
      </c>
      <c r="BS37" s="57">
        <f>IF(LEFT(_xll.BView($DD37,BS$19,"headers=false"),1)&lt;&gt;"#",_xll.BView($DD37,BS$19,"headers=false"),"")</f>
        <v>0</v>
      </c>
      <c r="BT37" s="27" t="str">
        <f>IF(LEFT(_xll.BView($DD37,BT$19,"headers=false"),1)&lt;&gt;"#",_xll.BView($DD37,BT$19,"headers=false"),"")</f>
        <v>EUR006M</v>
      </c>
      <c r="BU37" s="27" t="str">
        <f>IF(LEFT(_xll.BView($DD37,BU$19,"headers=false"),1)&lt;&gt;"#",_xll.BView($DD37,BU$19,"headers=false"),"")</f>
        <v>SemiAnnual</v>
      </c>
      <c r="BV37" s="27" t="str">
        <f>IF(LEFT(_xll.BView($DD37,BV$19,"headers=false"),1)&lt;&gt;"#",_xll.BView($DD37,BV$19,"headers=false"),"")</f>
        <v>ACT/360</v>
      </c>
      <c r="BW37" s="27" t="str">
        <f>IF(LEFT(_xll.BView($DD37,BW$19,"headers=false"),1)&lt;&gt;"#",_xll.BView($DD37,BW$19,"headers=false"),"")</f>
        <v>SemiAnnual</v>
      </c>
      <c r="BX37" s="27" t="str">
        <f>IF(LEFT(_xll.BView($DD37,BX$19,"headers=false"),1)&lt;&gt;"#",_xll.BView($DD37,BX$19,"headers=false"),"")</f>
        <v/>
      </c>
      <c r="BY37" s="22"/>
      <c r="BZ37" s="27" t="str">
        <f>IF(LEFT(_xll.BView($DD37,BZ$19,"headers=false"),1)&lt;&gt;"#",_xll.BView($DD37,BZ$19,"headers=false"),"")</f>
        <v>Effect. &amp; Maturity</v>
      </c>
      <c r="CA37" s="22"/>
      <c r="CB37" s="27" t="str">
        <f>IF(LEFT(_xll.BView($DD37,CB$19,"headers=false"),1)&lt;&gt;"#",_xll.BView($DD37,CB$19,"headers=false"),"")</f>
        <v>EUR</v>
      </c>
      <c r="CC37" s="20"/>
      <c r="CD37" s="28" t="str">
        <f>IFERROR(INDEX(_xll.BMARKETPARAM($DD37,"array=true"),2,1),"")</f>
        <v>DiscountCurve[EUR]</v>
      </c>
      <c r="CE37" s="28" t="str">
        <f>IFERROR(INDEX(_xll.BMARKETPARAM($DD37,"array=true"),2,3),"")</f>
        <v>S133:Mid:DFLT:EUR OIS</v>
      </c>
      <c r="CF37" s="28" t="str">
        <f>IFERROR(INDEX(_xll.BMARKETPARAM($DD37,"array=true"),3,1),"")</f>
        <v>ForwardCurve[EUR006M]</v>
      </c>
      <c r="CG37" s="28" t="str">
        <f>IFERROR(INDEX(_xll.BMARKETPARAM($DD37,"array=true"),3,3),"")</f>
        <v>S45:Mid:DFLT:EUR (vs. 6M EURIBOR)</v>
      </c>
      <c r="CH37" s="28" t="str">
        <f>IFERROR(INDEX(_xll.BMARKETPARAM($DD37,"array=true"),4,1),"")</f>
        <v/>
      </c>
      <c r="CI37" s="28" t="str">
        <f>IFERROR(INDEX(_xll.BMARKETPARAM($DD37,"array=true"),4,3),"")</f>
        <v/>
      </c>
      <c r="CJ37" s="28" t="str">
        <f>IFERROR(INDEX(_xll.BMARKETPARAM($DD37,"array=true"),5,1),"")</f>
        <v/>
      </c>
      <c r="CK37" s="28" t="str">
        <f>IFERROR(INDEX(_xll.BMARKETPARAM($DD37,"array=true"),5,3),"")</f>
        <v/>
      </c>
      <c r="CL37" s="20"/>
      <c r="CM37" s="40" t="s">
        <v>1</v>
      </c>
      <c r="CN37" s="40"/>
      <c r="CO37" s="91"/>
      <c r="CP37" s="28" t="str">
        <f t="shared" si="6"/>
        <v>DiscountCurve[EUR]</v>
      </c>
      <c r="CQ37" s="92"/>
      <c r="CR37" s="93" t="str">
        <f>IF(CQ37&lt;&gt;"",_xll.BCurveStrip(CQ37,"CurveDate",SwapsMarketDate,"ApplyDC",$CN37,"ParallelShift",$CO37),"")</f>
        <v/>
      </c>
      <c r="CS37" s="93" t="str">
        <f t="shared" si="7"/>
        <v>ForwardCurve[EUR006M]</v>
      </c>
      <c r="CT37" s="40"/>
      <c r="CU37" s="93" t="str">
        <f>IF(CT37&lt;&gt;"",_xll.BCurveStrip(CT37,"CurveDate",SwapsMarketDate,"ApplyDC",$CN37,"ParallelShift",$CO37),"")</f>
        <v/>
      </c>
      <c r="CV37" s="93" t="str">
        <f t="shared" si="8"/>
        <v/>
      </c>
      <c r="CW37" s="40"/>
      <c r="CX37" s="93" t="str">
        <f>IF(CW37&lt;&gt;"",_xll.BCurveStrip(CW37,"CurveDate",SwapsMarketDate,"ApplyDC",$CN37,"ParallelShift",$CO37),"")</f>
        <v/>
      </c>
      <c r="CY37" s="93" t="str">
        <f t="shared" si="9"/>
        <v/>
      </c>
      <c r="CZ37" s="40"/>
      <c r="DA37" s="93" t="str">
        <f>IF(CZ37&lt;&gt;"",_xll.BCurveStrip(CZ37,"CurveDate",SwapsMarketDate,"ApplyDC",$CN37,"ParallelShift",$CO37),"")</f>
        <v/>
      </c>
      <c r="DC37" s="47" t="str">
        <f t="shared" si="27"/>
        <v xml:space="preserve">  </v>
      </c>
      <c r="DD37" s="47" t="str">
        <f>IF(OR(I37&lt;&gt;"",O37&lt;&gt;""),_xll.BSTRUCTURE(IF(I37&lt;&gt;"",I37,P37&amp;DC37),$AA$19,AA37,$AD$19:$AJ$19,$AD37:$AJ37,$AL$19,AL37,$AO$19:$AU$19,$AO37:$AU37,$AW$19,AW37,$DP$18:$DS$18,$DP37:$DS37,DW37,DX37,DZ37,EA37,$AY$19,AY37,"ignoreinvalidparams=true"),"Enter deal type or saved ID.")</f>
        <v>FXFL 1033483</v>
      </c>
      <c r="DE37" s="47" t="str">
        <f>IF(LEFT(DD37,1)="E","",IF(CM37="No",_xll.BPRICE(DD37,IF(R37&lt;&gt;"","Target="&amp;S37,""),IF(R37&lt;&gt;"",T37&amp;"="&amp;U37,""),"MarketDate",SwapsMarketDate,"ValuationDate",SwapsValuationDate,"alwaysrefresh"),_xll.BPRICE(DD37,IF(R37&lt;&gt;"","Target="&amp;S37,""),IF(R37&lt;&gt;"",T37&amp;"="&amp;U37,""),"MarketDate",SwapsMarketDate,"ValuationDate",SwapsValuationDate,CP37,CR37,CS37,CU37,CV37,CX37,CY37,DA37,"alwaysrefresh")))</f>
        <v>PRICE FXFL 284275</v>
      </c>
      <c r="DH37" s="25" t="str">
        <f>_xll.BView(DE37,IF(R37="Leg 1 Notional","Leg[2].notional","Leg[1].notional"),"headers=false")</f>
        <v>#N/A Field Not Applicable [Parameter:OUTPUT]</v>
      </c>
      <c r="DI37" s="104"/>
      <c r="DJ37" s="113">
        <f t="shared" si="10"/>
        <v>0</v>
      </c>
      <c r="DK37" s="113">
        <f t="shared" si="11"/>
        <v>0</v>
      </c>
      <c r="DL37" s="113">
        <f t="shared" si="12"/>
        <v>0</v>
      </c>
      <c r="DM37" s="113">
        <f t="shared" si="13"/>
        <v>0</v>
      </c>
      <c r="DN37" s="113" t="str">
        <f t="shared" si="14"/>
        <v>NL</v>
      </c>
      <c r="DP37" s="113" t="str">
        <f t="shared" si="15"/>
        <v/>
      </c>
      <c r="DQ37" s="117" t="str">
        <f t="shared" si="16"/>
        <v/>
      </c>
      <c r="DR37" s="113" t="str">
        <f t="shared" si="17"/>
        <v/>
      </c>
      <c r="DS37" s="117" t="str">
        <f t="shared" si="18"/>
        <v/>
      </c>
      <c r="DT37" s="113">
        <f>IF(UPPER(DP37)=UPPER(DR37),1,_xll.BDP(DP37&amp;DR37&amp;" CURNCY","PX LAST")/_xll.BDP(DP37&amp;DR37&amp;" CURNCY","QUOTE FACTOR"))</f>
        <v>1</v>
      </c>
      <c r="DV37" s="113" t="b">
        <f t="shared" si="25"/>
        <v>0</v>
      </c>
      <c r="DW37" s="113" t="str">
        <f t="shared" si="23"/>
        <v/>
      </c>
      <c r="DX37" s="115" t="str">
        <f t="shared" si="28"/>
        <v/>
      </c>
      <c r="DY37" s="113" t="b">
        <f t="shared" si="26"/>
        <v>0</v>
      </c>
      <c r="DZ37" s="113" t="str">
        <f t="shared" si="24"/>
        <v/>
      </c>
      <c r="EA37" s="115" t="str">
        <f t="shared" si="29"/>
        <v/>
      </c>
    </row>
    <row r="38" spans="1:131" x14ac:dyDescent="0.25">
      <c r="B38" s="27">
        <f>IF(OR(I38&lt;&gt;"",O38&lt;&gt;""),IF(OR(DD38="#N/A Requesting Data...",DD38="#N/A Waiting For Data...",DE38="#N/A Requesting Data...",DE38="#N/A Waiting For Data..."),"Loading ….",IF(OR(LEFT(DD38,1)="#",LEFT(DE38,1)="#"),"Check Inputs",_xll.BView(DE38,B$19,"headers=false"))),"Select Deal Type")</f>
        <v>0</v>
      </c>
      <c r="C38" s="49">
        <f>IFERROR(1*_xll.BView($DE38,C$19,"headers=false"),"-")</f>
        <v>5054.7827412110782</v>
      </c>
      <c r="D38" s="49">
        <f>IFERROR(1*_xll.BView($DE38,D$19,"headers=false"),"-")</f>
        <v>5054.7459856297492</v>
      </c>
      <c r="E38" s="120">
        <f>IFERROR(1*_xll.BView($DE38,E$19,"headers=false"),"-")</f>
        <v>-6.3000000428008698E-2</v>
      </c>
      <c r="F38" s="57" t="str">
        <f t="shared" si="21"/>
        <v>-</v>
      </c>
      <c r="G38" s="57" t="str">
        <f>IF(R38&lt;&gt;"",IFERROR(1*_xll.BView($DE38,$S38,"headers=false"),"-"),"-")</f>
        <v>-</v>
      </c>
      <c r="I38" s="35"/>
      <c r="J38" s="40" t="s">
        <v>1</v>
      </c>
      <c r="L38" s="39" t="str">
        <f t="shared" si="22"/>
        <v/>
      </c>
      <c r="M38" s="34"/>
      <c r="O38" s="59" t="s">
        <v>207</v>
      </c>
      <c r="P38" s="2" t="str">
        <f t="shared" si="0"/>
        <v>FXFL</v>
      </c>
      <c r="R38" s="40"/>
      <c r="S38" s="20" t="e">
        <f>INDEX(SolverTarget,MATCH(Swaps!R38,SolverTargetName,0))</f>
        <v>#N/A</v>
      </c>
      <c r="T38" s="28" t="str">
        <f>IF(R38&lt;&gt;"",INDEX(SolveFor,MATCH(IF(Swaps!R38&lt;&gt;"",Swaps!R38,"Empty"),SolverTargetName,0)),"")</f>
        <v/>
      </c>
      <c r="U38" s="102"/>
      <c r="V38" s="20"/>
      <c r="W38" s="40"/>
      <c r="X38" s="40"/>
      <c r="Y38" s="208" t="str">
        <f>IF(ISBLANK(X38),"",IF(ISNUMBER(X38),X38,_xll.meDateFromTenor(W38,X38)))</f>
        <v/>
      </c>
      <c r="Z38" s="20"/>
      <c r="AA38" s="40"/>
      <c r="AB38" s="40"/>
      <c r="AC38" s="79"/>
      <c r="AD38" s="212"/>
      <c r="AE38" s="40"/>
      <c r="AF38" s="40"/>
      <c r="AG38" s="40"/>
      <c r="AH38" s="40"/>
      <c r="AI38" s="40"/>
      <c r="AJ38" s="40"/>
      <c r="AK38" s="20"/>
      <c r="AL38" s="40"/>
      <c r="AM38" s="40"/>
      <c r="AN38" s="76"/>
      <c r="AO38" s="40"/>
      <c r="AP38" s="106"/>
      <c r="AQ38" s="40"/>
      <c r="AR38" s="40"/>
      <c r="AS38" s="40"/>
      <c r="AT38" s="40"/>
      <c r="AU38" s="40"/>
      <c r="AV38" s="20"/>
      <c r="AW38" s="40"/>
      <c r="AX38" s="20"/>
      <c r="AY38" s="40"/>
      <c r="AZ38" s="20"/>
      <c r="BA38" s="48">
        <f>IF(LEFT(_xll.BView($DD38,BA$19,"headers=false"),1)&lt;&gt;"#",_xll.BView($DD38,BA$19,"headers=false"),"")</f>
        <v>42656</v>
      </c>
      <c r="BB38" s="48">
        <f>IF(LEFT(_xll.BView($DD38,BB$19,"headers=false"),1)&lt;&gt;"#",_xll.BView($DD38,BB$19,"headers=false"),"")</f>
        <v>44482</v>
      </c>
      <c r="BC38" s="21"/>
      <c r="BD38" s="27" t="str">
        <f>IF(LEFT(_xll.BView($DD38,BD$19,"headers=false"),1)&lt;&gt;"#",_xll.BView($DD38,BD$19,"headers=false"),"")</f>
        <v>Receive</v>
      </c>
      <c r="BE38" s="27" t="str">
        <f>IF(LEFT(_xll.BView($DD38,BE$19,"headers=false"),1)&lt;&gt;"#",_xll.BView($DD38,BE$19,"headers=false"),"")</f>
        <v>EUR</v>
      </c>
      <c r="BF38" s="27">
        <f>IF(LEFT(_xll.BView($DD38,BF$19,"headers=false"),1)&lt;&gt;"#",_xll.BView($DD38,BF$19,"headers=false"),"")</f>
        <v>10000000</v>
      </c>
      <c r="BG38" s="38">
        <f>IF(LEFT(_xll.BView($DD38,BG$19,"headers=false"),1)&lt;&gt;"#",_xll.BView($DD38,BG$19,"headers=false"),"")</f>
        <v>-6.3000000427995306E-2</v>
      </c>
      <c r="BH38" s="27" t="str">
        <f>IF(LEFT(_xll.BView($DD38,BH$19,"headers=false"),1)&lt;&gt;"#",_xll.BView($DD38,BH$19,"headers=false"),"")</f>
        <v/>
      </c>
      <c r="BI38" s="27" t="str">
        <f>IF(LEFT(_xll.BView($DD38,BI$19,"headers=false"),1)&lt;&gt;"#",_xll.BView($DD38,BI$19,"headers=false"),"")</f>
        <v/>
      </c>
      <c r="BJ38" s="27" t="str">
        <f>IF(LEFT(_xll.BView($DD38,BJ$19,"headers=false"),1)&lt;&gt;"#",_xll.BView($DD38,BJ$19,"headers=false"),"")</f>
        <v>Annual</v>
      </c>
      <c r="BK38" s="27" t="str">
        <f>IF(LEFT(_xll.BView($DD38,BK$19,"headers=false"),1)&lt;&gt;"#",_xll.BView($DD38,BK$19,"headers=false"),"")</f>
        <v>30U/360</v>
      </c>
      <c r="BL38" s="27" t="str">
        <f>IF(LEFT(_xll.BView($DD38,BL$19,"headers=false"),1)&lt;&gt;"#",_xll.BView($DD38,BL$19,"headers=false"),"")</f>
        <v/>
      </c>
      <c r="BM38" s="27" t="str">
        <f>IF(LEFT(_xll.BView($DD38,BM$19,"headers=false"),1)&lt;&gt;"#",_xll.BView($DD38,BM$19,"headers=false"),"")</f>
        <v>Money Mkt</v>
      </c>
      <c r="BN38" s="22"/>
      <c r="BO38" s="27" t="str">
        <f>IF(LEFT(_xll.BView($DD38,BO$19,"headers=false"),1)&lt;&gt;"#",_xll.BView($DD38,BO$19,"headers=false"),"")</f>
        <v>Pay</v>
      </c>
      <c r="BP38" s="27" t="str">
        <f>IF(LEFT(_xll.BView($DD38,BP$19,"headers=false"),1)&lt;&gt;"#",_xll.BView($DD38,BP$19,"headers=false"),"")</f>
        <v>EUR</v>
      </c>
      <c r="BQ38" s="27">
        <f>IF(LEFT(_xll.BView($DD38,BQ$19,"headers=false"),1)&lt;&gt;"#",_xll.BView($DD38,BQ$19,"headers=false"),"")</f>
        <v>10000000</v>
      </c>
      <c r="BR38" s="27" t="str">
        <f>IF(LEFT(_xll.BView($DD38,BR$19,"headers=false"),1)&lt;&gt;"#",_xll.BView($DD38,BR$19,"headers=false"),"")</f>
        <v/>
      </c>
      <c r="BS38" s="57">
        <f>IF(LEFT(_xll.BView($DD38,BS$19,"headers=false"),1)&lt;&gt;"#",_xll.BView($DD38,BS$19,"headers=false"),"")</f>
        <v>0</v>
      </c>
      <c r="BT38" s="27" t="str">
        <f>IF(LEFT(_xll.BView($DD38,BT$19,"headers=false"),1)&lt;&gt;"#",_xll.BView($DD38,BT$19,"headers=false"),"")</f>
        <v>EUR006M</v>
      </c>
      <c r="BU38" s="27" t="str">
        <f>IF(LEFT(_xll.BView($DD38,BU$19,"headers=false"),1)&lt;&gt;"#",_xll.BView($DD38,BU$19,"headers=false"),"")</f>
        <v>SemiAnnual</v>
      </c>
      <c r="BV38" s="27" t="str">
        <f>IF(LEFT(_xll.BView($DD38,BV$19,"headers=false"),1)&lt;&gt;"#",_xll.BView($DD38,BV$19,"headers=false"),"")</f>
        <v>ACT/360</v>
      </c>
      <c r="BW38" s="27" t="str">
        <f>IF(LEFT(_xll.BView($DD38,BW$19,"headers=false"),1)&lt;&gt;"#",_xll.BView($DD38,BW$19,"headers=false"),"")</f>
        <v>SemiAnnual</v>
      </c>
      <c r="BX38" s="27" t="str">
        <f>IF(LEFT(_xll.BView($DD38,BX$19,"headers=false"),1)&lt;&gt;"#",_xll.BView($DD38,BX$19,"headers=false"),"")</f>
        <v/>
      </c>
      <c r="BY38" s="22"/>
      <c r="BZ38" s="27" t="str">
        <f>IF(LEFT(_xll.BView($DD38,BZ$19,"headers=false"),1)&lt;&gt;"#",_xll.BView($DD38,BZ$19,"headers=false"),"")</f>
        <v>Effect. &amp; Maturity</v>
      </c>
      <c r="CA38" s="22"/>
      <c r="CB38" s="27" t="str">
        <f>IF(LEFT(_xll.BView($DD38,CB$19,"headers=false"),1)&lt;&gt;"#",_xll.BView($DD38,CB$19,"headers=false"),"")</f>
        <v>EUR</v>
      </c>
      <c r="CC38" s="20"/>
      <c r="CD38" s="28" t="str">
        <f>IFERROR(INDEX(_xll.BMARKETPARAM($DD38,"array=true"),2,1),"")</f>
        <v>DiscountCurve[EUR]</v>
      </c>
      <c r="CE38" s="28" t="str">
        <f>IFERROR(INDEX(_xll.BMARKETPARAM($DD38,"array=true"),2,3),"")</f>
        <v>S133:Mid:DFLT:EUR OIS</v>
      </c>
      <c r="CF38" s="28" t="str">
        <f>IFERROR(INDEX(_xll.BMARKETPARAM($DD38,"array=true"),3,1),"")</f>
        <v>ForwardCurve[EUR006M]</v>
      </c>
      <c r="CG38" s="28" t="str">
        <f>IFERROR(INDEX(_xll.BMARKETPARAM($DD38,"array=true"),3,3),"")</f>
        <v>S45:Mid:DFLT:EUR (vs. 6M EURIBOR)</v>
      </c>
      <c r="CH38" s="28" t="str">
        <f>IFERROR(INDEX(_xll.BMARKETPARAM($DD38,"array=true"),4,1),"")</f>
        <v/>
      </c>
      <c r="CI38" s="28" t="str">
        <f>IFERROR(INDEX(_xll.BMARKETPARAM($DD38,"array=true"),4,3),"")</f>
        <v/>
      </c>
      <c r="CJ38" s="28" t="str">
        <f>IFERROR(INDEX(_xll.BMARKETPARAM($DD38,"array=true"),5,1),"")</f>
        <v/>
      </c>
      <c r="CK38" s="28" t="str">
        <f>IFERROR(INDEX(_xll.BMARKETPARAM($DD38,"array=true"),5,3),"")</f>
        <v/>
      </c>
      <c r="CL38" s="20"/>
      <c r="CM38" s="40" t="s">
        <v>1</v>
      </c>
      <c r="CN38" s="40"/>
      <c r="CO38" s="91"/>
      <c r="CP38" s="28" t="str">
        <f t="shared" si="6"/>
        <v>DiscountCurve[EUR]</v>
      </c>
      <c r="CQ38" s="92"/>
      <c r="CR38" s="93" t="str">
        <f>IF(CQ38&lt;&gt;"",_xll.BCurveStrip(CQ38,"CurveDate",SwapsMarketDate,"ApplyDC",$CN38,"ParallelShift",$CO38),"")</f>
        <v/>
      </c>
      <c r="CS38" s="93" t="str">
        <f t="shared" si="7"/>
        <v>ForwardCurve[EUR006M]</v>
      </c>
      <c r="CT38" s="40"/>
      <c r="CU38" s="93" t="str">
        <f>IF(CT38&lt;&gt;"",_xll.BCurveStrip(CT38,"CurveDate",SwapsMarketDate,"ApplyDC",$CN38,"ParallelShift",$CO38),"")</f>
        <v/>
      </c>
      <c r="CV38" s="93" t="str">
        <f t="shared" si="8"/>
        <v/>
      </c>
      <c r="CW38" s="40"/>
      <c r="CX38" s="93" t="str">
        <f>IF(CW38&lt;&gt;"",_xll.BCurveStrip(CW38,"CurveDate",SwapsMarketDate,"ApplyDC",$CN38,"ParallelShift",$CO38),"")</f>
        <v/>
      </c>
      <c r="CY38" s="93" t="str">
        <f t="shared" si="9"/>
        <v/>
      </c>
      <c r="CZ38" s="40"/>
      <c r="DA38" s="93" t="str">
        <f>IF(CZ38&lt;&gt;"",_xll.BCurveStrip(CZ38,"CurveDate",SwapsMarketDate,"ApplyDC",$CN38,"ParallelShift",$CO38),"")</f>
        <v/>
      </c>
      <c r="DC38" s="47" t="str">
        <f t="shared" si="27"/>
        <v xml:space="preserve">  </v>
      </c>
      <c r="DD38" s="47" t="str">
        <f>IF(OR(I38&lt;&gt;"",O38&lt;&gt;""),_xll.BSTRUCTURE(IF(I38&lt;&gt;"",I38,P38&amp;DC38),$AA$19,AA38,$AD$19:$AJ$19,$AD38:$AJ38,$AL$19,AL38,$AO$19:$AU$19,$AO38:$AU38,$AW$19,AW38,$DP$18:$DS$18,$DP38:$DS38,DW38,DX38,DZ38,EA38,$AY$19,AY38,"ignoreinvalidparams=true"),"Enter deal type or saved ID.")</f>
        <v>FXFL 1033483</v>
      </c>
      <c r="DE38" s="47" t="str">
        <f>IF(LEFT(DD38,1)="E","",IF(CM38="No",_xll.BPRICE(DD38,IF(R38&lt;&gt;"","Target="&amp;S38,""),IF(R38&lt;&gt;"",T38&amp;"="&amp;U38,""),"MarketDate",SwapsMarketDate,"ValuationDate",SwapsValuationDate,"alwaysrefresh"),_xll.BPRICE(DD38,IF(R38&lt;&gt;"","Target="&amp;S38,""),IF(R38&lt;&gt;"",T38&amp;"="&amp;U38,""),"MarketDate",SwapsMarketDate,"ValuationDate",SwapsValuationDate,CP38,CR38,CS38,CU38,CV38,CX38,CY38,DA38,"alwaysrefresh")))</f>
        <v>PRICE FXFL 284275</v>
      </c>
      <c r="DH38" s="25" t="str">
        <f>_xll.BView(DE38,IF(R38="Leg 1 Notional","Leg[2].notional","Leg[1].notional"),"headers=false")</f>
        <v>#N/A Field Not Applicable [Parameter:OUTPUT]</v>
      </c>
      <c r="DI38" s="104"/>
      <c r="DJ38" s="113">
        <f t="shared" si="10"/>
        <v>0</v>
      </c>
      <c r="DK38" s="113">
        <f t="shared" si="11"/>
        <v>0</v>
      </c>
      <c r="DL38" s="113">
        <f t="shared" si="12"/>
        <v>0</v>
      </c>
      <c r="DM38" s="113">
        <f t="shared" si="13"/>
        <v>0</v>
      </c>
      <c r="DN38" s="113" t="str">
        <f t="shared" si="14"/>
        <v>NL</v>
      </c>
      <c r="DP38" s="113" t="str">
        <f t="shared" si="15"/>
        <v/>
      </c>
      <c r="DQ38" s="117" t="str">
        <f t="shared" si="16"/>
        <v/>
      </c>
      <c r="DR38" s="113" t="str">
        <f t="shared" si="17"/>
        <v/>
      </c>
      <c r="DS38" s="117" t="str">
        <f t="shared" si="18"/>
        <v/>
      </c>
      <c r="DT38" s="113">
        <f>IF(UPPER(DP38)=UPPER(DR38),1,_xll.BDP(DP38&amp;DR38&amp;" CURNCY","PX LAST")/_xll.BDP(DP38&amp;DR38&amp;" CURNCY","QUOTE FACTOR"))</f>
        <v>1</v>
      </c>
      <c r="DV38" s="113" t="b">
        <f t="shared" si="25"/>
        <v>0</v>
      </c>
      <c r="DW38" s="113" t="str">
        <f t="shared" si="23"/>
        <v/>
      </c>
      <c r="DX38" s="115" t="str">
        <f t="shared" si="28"/>
        <v/>
      </c>
      <c r="DY38" s="113" t="b">
        <f t="shared" si="26"/>
        <v>0</v>
      </c>
      <c r="DZ38" s="113" t="str">
        <f t="shared" si="24"/>
        <v/>
      </c>
      <c r="EA38" s="115" t="str">
        <f t="shared" si="29"/>
        <v/>
      </c>
    </row>
    <row r="39" spans="1:131" x14ac:dyDescent="0.25">
      <c r="B39" s="27">
        <f>IF(OR(I39&lt;&gt;"",O39&lt;&gt;""),IF(OR(DD39="#N/A Requesting Data...",DD39="#N/A Waiting For Data...",DE39="#N/A Requesting Data...",DE39="#N/A Waiting For Data..."),"Loading ….",IF(OR(LEFT(DD39,1)="#",LEFT(DE39,1)="#"),"Check Inputs",_xll.BView(DE39,B$19,"headers=false"))),"Select Deal Type")</f>
        <v>0</v>
      </c>
      <c r="C39" s="49">
        <f>IFERROR(1*_xll.BView($DE39,C$19,"headers=false"),"-")</f>
        <v>5054.7827412110782</v>
      </c>
      <c r="D39" s="49">
        <f>IFERROR(1*_xll.BView($DE39,D$19,"headers=false"),"-")</f>
        <v>5054.7459856297492</v>
      </c>
      <c r="E39" s="120">
        <f>IFERROR(1*_xll.BView($DE39,E$19,"headers=false"),"-")</f>
        <v>-6.3000000428008698E-2</v>
      </c>
      <c r="F39" s="57" t="str">
        <f t="shared" si="21"/>
        <v>-</v>
      </c>
      <c r="G39" s="57" t="str">
        <f>IF(R39&lt;&gt;"",IFERROR(1*_xll.BView($DE39,$S39,"headers=false"),"-"),"-")</f>
        <v>-</v>
      </c>
      <c r="H39" s="19"/>
      <c r="I39" s="35"/>
      <c r="J39" s="40" t="s">
        <v>1</v>
      </c>
      <c r="K39" s="19"/>
      <c r="L39" s="39" t="str">
        <f t="shared" si="22"/>
        <v/>
      </c>
      <c r="M39" s="34"/>
      <c r="O39" s="59" t="s">
        <v>207</v>
      </c>
      <c r="P39" s="19" t="str">
        <f t="shared" si="0"/>
        <v>FXFL</v>
      </c>
      <c r="Q39" s="19"/>
      <c r="R39" s="40"/>
      <c r="S39" s="20" t="e">
        <f>INDEX(SolverTarget,MATCH(Swaps!R39,SolverTargetName,0))</f>
        <v>#N/A</v>
      </c>
      <c r="T39" s="28" t="str">
        <f>IF(R39&lt;&gt;"",INDEX(SolveFor,MATCH(IF(Swaps!R39&lt;&gt;"",Swaps!R39,"Empty"),SolverTargetName,0)),"")</f>
        <v/>
      </c>
      <c r="U39" s="102"/>
      <c r="V39" s="20"/>
      <c r="W39" s="40"/>
      <c r="X39" s="40"/>
      <c r="Y39" s="208" t="str">
        <f>IF(ISBLANK(X39),"",IF(ISNUMBER(X39),X39,_xll.meDateFromTenor(W39,X39)))</f>
        <v/>
      </c>
      <c r="Z39" s="20"/>
      <c r="AA39" s="40"/>
      <c r="AB39" s="40"/>
      <c r="AC39" s="79"/>
      <c r="AD39" s="212"/>
      <c r="AE39" s="40"/>
      <c r="AF39" s="40"/>
      <c r="AG39" s="40"/>
      <c r="AH39" s="40"/>
      <c r="AI39" s="40"/>
      <c r="AJ39" s="40"/>
      <c r="AK39" s="20"/>
      <c r="AL39" s="40"/>
      <c r="AM39" s="40"/>
      <c r="AN39" s="76"/>
      <c r="AO39" s="40"/>
      <c r="AP39" s="106"/>
      <c r="AQ39" s="40"/>
      <c r="AR39" s="40"/>
      <c r="AS39" s="40"/>
      <c r="AT39" s="40"/>
      <c r="AU39" s="40"/>
      <c r="AV39" s="20"/>
      <c r="AW39" s="40"/>
      <c r="AX39" s="20"/>
      <c r="AY39" s="40"/>
      <c r="AZ39" s="20"/>
      <c r="BA39" s="48">
        <f>IF(LEFT(_xll.BView($DD39,BA$19,"headers=false"),1)&lt;&gt;"#",_xll.BView($DD39,BA$19,"headers=false"),"")</f>
        <v>42656</v>
      </c>
      <c r="BB39" s="48">
        <f>IF(LEFT(_xll.BView($DD39,BB$19,"headers=false"),1)&lt;&gt;"#",_xll.BView($DD39,BB$19,"headers=false"),"")</f>
        <v>44482</v>
      </c>
      <c r="BC39" s="21"/>
      <c r="BD39" s="27" t="str">
        <f>IF(LEFT(_xll.BView($DD39,BD$19,"headers=false"),1)&lt;&gt;"#",_xll.BView($DD39,BD$19,"headers=false"),"")</f>
        <v>Receive</v>
      </c>
      <c r="BE39" s="27" t="str">
        <f>IF(LEFT(_xll.BView($DD39,BE$19,"headers=false"),1)&lt;&gt;"#",_xll.BView($DD39,BE$19,"headers=false"),"")</f>
        <v>EUR</v>
      </c>
      <c r="BF39" s="27">
        <f>IF(LEFT(_xll.BView($DD39,BF$19,"headers=false"),1)&lt;&gt;"#",_xll.BView($DD39,BF$19,"headers=false"),"")</f>
        <v>10000000</v>
      </c>
      <c r="BG39" s="38">
        <f>IF(LEFT(_xll.BView($DD39,BG$19,"headers=false"),1)&lt;&gt;"#",_xll.BView($DD39,BG$19,"headers=false"),"")</f>
        <v>-6.3000000427995306E-2</v>
      </c>
      <c r="BH39" s="27" t="str">
        <f>IF(LEFT(_xll.BView($DD39,BH$19,"headers=false"),1)&lt;&gt;"#",_xll.BView($DD39,BH$19,"headers=false"),"")</f>
        <v/>
      </c>
      <c r="BI39" s="27" t="str">
        <f>IF(LEFT(_xll.BView($DD39,BI$19,"headers=false"),1)&lt;&gt;"#",_xll.BView($DD39,BI$19,"headers=false"),"")</f>
        <v/>
      </c>
      <c r="BJ39" s="27" t="str">
        <f>IF(LEFT(_xll.BView($DD39,BJ$19,"headers=false"),1)&lt;&gt;"#",_xll.BView($DD39,BJ$19,"headers=false"),"")</f>
        <v>Annual</v>
      </c>
      <c r="BK39" s="27" t="str">
        <f>IF(LEFT(_xll.BView($DD39,BK$19,"headers=false"),1)&lt;&gt;"#",_xll.BView($DD39,BK$19,"headers=false"),"")</f>
        <v>30U/360</v>
      </c>
      <c r="BL39" s="27" t="str">
        <f>IF(LEFT(_xll.BView($DD39,BL$19,"headers=false"),1)&lt;&gt;"#",_xll.BView($DD39,BL$19,"headers=false"),"")</f>
        <v/>
      </c>
      <c r="BM39" s="27" t="str">
        <f>IF(LEFT(_xll.BView($DD39,BM$19,"headers=false"),1)&lt;&gt;"#",_xll.BView($DD39,BM$19,"headers=false"),"")</f>
        <v>Money Mkt</v>
      </c>
      <c r="BN39" s="22"/>
      <c r="BO39" s="27" t="str">
        <f>IF(LEFT(_xll.BView($DD39,BO$19,"headers=false"),1)&lt;&gt;"#",_xll.BView($DD39,BO$19,"headers=false"),"")</f>
        <v>Pay</v>
      </c>
      <c r="BP39" s="27" t="str">
        <f>IF(LEFT(_xll.BView($DD39,BP$19,"headers=false"),1)&lt;&gt;"#",_xll.BView($DD39,BP$19,"headers=false"),"")</f>
        <v>EUR</v>
      </c>
      <c r="BQ39" s="27">
        <f>IF(LEFT(_xll.BView($DD39,BQ$19,"headers=false"),1)&lt;&gt;"#",_xll.BView($DD39,BQ$19,"headers=false"),"")</f>
        <v>10000000</v>
      </c>
      <c r="BR39" s="27" t="str">
        <f>IF(LEFT(_xll.BView($DD39,BR$19,"headers=false"),1)&lt;&gt;"#",_xll.BView($DD39,BR$19,"headers=false"),"")</f>
        <v/>
      </c>
      <c r="BS39" s="57">
        <f>IF(LEFT(_xll.BView($DD39,BS$19,"headers=false"),1)&lt;&gt;"#",_xll.BView($DD39,BS$19,"headers=false"),"")</f>
        <v>0</v>
      </c>
      <c r="BT39" s="27" t="str">
        <f>IF(LEFT(_xll.BView($DD39,BT$19,"headers=false"),1)&lt;&gt;"#",_xll.BView($DD39,BT$19,"headers=false"),"")</f>
        <v>EUR006M</v>
      </c>
      <c r="BU39" s="27" t="str">
        <f>IF(LEFT(_xll.BView($DD39,BU$19,"headers=false"),1)&lt;&gt;"#",_xll.BView($DD39,BU$19,"headers=false"),"")</f>
        <v>SemiAnnual</v>
      </c>
      <c r="BV39" s="27" t="str">
        <f>IF(LEFT(_xll.BView($DD39,BV$19,"headers=false"),1)&lt;&gt;"#",_xll.BView($DD39,BV$19,"headers=false"),"")</f>
        <v>ACT/360</v>
      </c>
      <c r="BW39" s="27" t="str">
        <f>IF(LEFT(_xll.BView($DD39,BW$19,"headers=false"),1)&lt;&gt;"#",_xll.BView($DD39,BW$19,"headers=false"),"")</f>
        <v>SemiAnnual</v>
      </c>
      <c r="BX39" s="27" t="str">
        <f>IF(LEFT(_xll.BView($DD39,BX$19,"headers=false"),1)&lt;&gt;"#",_xll.BView($DD39,BX$19,"headers=false"),"")</f>
        <v/>
      </c>
      <c r="BY39" s="22"/>
      <c r="BZ39" s="27" t="str">
        <f>IF(LEFT(_xll.BView($DD39,BZ$19,"headers=false"),1)&lt;&gt;"#",_xll.BView($DD39,BZ$19,"headers=false"),"")</f>
        <v>Effect. &amp; Maturity</v>
      </c>
      <c r="CA39" s="22"/>
      <c r="CB39" s="27" t="str">
        <f>IF(LEFT(_xll.BView($DD39,CB$19,"headers=false"),1)&lt;&gt;"#",_xll.BView($DD39,CB$19,"headers=false"),"")</f>
        <v>EUR</v>
      </c>
      <c r="CC39" s="20"/>
      <c r="CD39" s="28" t="str">
        <f>IFERROR(INDEX(_xll.BMARKETPARAM($DD39,"array=true"),2,1),"")</f>
        <v>DiscountCurve[EUR]</v>
      </c>
      <c r="CE39" s="28" t="str">
        <f>IFERROR(INDEX(_xll.BMARKETPARAM($DD39,"array=true"),2,3),"")</f>
        <v>S133:Mid:DFLT:EUR OIS</v>
      </c>
      <c r="CF39" s="28" t="str">
        <f>IFERROR(INDEX(_xll.BMARKETPARAM($DD39,"array=true"),3,1),"")</f>
        <v>ForwardCurve[EUR006M]</v>
      </c>
      <c r="CG39" s="28" t="str">
        <f>IFERROR(INDEX(_xll.BMARKETPARAM($DD39,"array=true"),3,3),"")</f>
        <v>S45:Mid:DFLT:EUR (vs. 6M EURIBOR)</v>
      </c>
      <c r="CH39" s="28" t="str">
        <f>IFERROR(INDEX(_xll.BMARKETPARAM($DD39,"array=true"),4,1),"")</f>
        <v/>
      </c>
      <c r="CI39" s="28" t="str">
        <f>IFERROR(INDEX(_xll.BMARKETPARAM($DD39,"array=true"),4,3),"")</f>
        <v/>
      </c>
      <c r="CJ39" s="28" t="str">
        <f>IFERROR(INDEX(_xll.BMARKETPARAM($DD39,"array=true"),5,1),"")</f>
        <v/>
      </c>
      <c r="CK39" s="28" t="str">
        <f>IFERROR(INDEX(_xll.BMARKETPARAM($DD39,"array=true"),5,3),"")</f>
        <v/>
      </c>
      <c r="CL39" s="20"/>
      <c r="CM39" s="40" t="s">
        <v>1</v>
      </c>
      <c r="CN39" s="40"/>
      <c r="CO39" s="91"/>
      <c r="CP39" s="28" t="str">
        <f t="shared" si="6"/>
        <v>DiscountCurve[EUR]</v>
      </c>
      <c r="CQ39" s="92"/>
      <c r="CR39" s="93" t="str">
        <f>IF(CQ39&lt;&gt;"",_xll.BCurveStrip(CQ39,"CurveDate",SwapsMarketDate,"ApplyDC",$CN39,"ParallelShift",$CO39),"")</f>
        <v/>
      </c>
      <c r="CS39" s="93" t="str">
        <f t="shared" si="7"/>
        <v>ForwardCurve[EUR006M]</v>
      </c>
      <c r="CT39" s="40"/>
      <c r="CU39" s="93" t="str">
        <f>IF(CT39&lt;&gt;"",_xll.BCurveStrip(CT39,"CurveDate",SwapsMarketDate,"ApplyDC",$CN39,"ParallelShift",$CO39),"")</f>
        <v/>
      </c>
      <c r="CV39" s="93" t="str">
        <f t="shared" si="8"/>
        <v/>
      </c>
      <c r="CW39" s="40"/>
      <c r="CX39" s="93" t="str">
        <f>IF(CW39&lt;&gt;"",_xll.BCurveStrip(CW39,"CurveDate",SwapsMarketDate,"ApplyDC",$CN39,"ParallelShift",$CO39),"")</f>
        <v/>
      </c>
      <c r="CY39" s="93" t="str">
        <f t="shared" si="9"/>
        <v/>
      </c>
      <c r="CZ39" s="40"/>
      <c r="DA39" s="93" t="str">
        <f>IF(CZ39&lt;&gt;"",_xll.BCurveStrip(CZ39,"CurveDate",SwapsMarketDate,"ApplyDC",$CN39,"ParallelShift",$CO39),"")</f>
        <v/>
      </c>
      <c r="DB39" s="19"/>
      <c r="DC39" s="47" t="str">
        <f t="shared" si="27"/>
        <v xml:space="preserve">  </v>
      </c>
      <c r="DD39" s="47" t="str">
        <f>IF(OR(I39&lt;&gt;"",O39&lt;&gt;""),_xll.BSTRUCTURE(IF(I39&lt;&gt;"",I39,P39&amp;DC39),$AA$19,AA39,$AD$19:$AJ$19,$AD39:$AJ39,$AL$19,AL39,$AO$19:$AU$19,$AO39:$AU39,$AW$19,AW39,$DP$18:$DS$18,$DP39:$DS39,DW39,DX39,DZ39,EA39,$AY$19,AY39,"ignoreinvalidparams=true"),"Enter deal type or saved ID.")</f>
        <v>FXFL 1033483</v>
      </c>
      <c r="DE39" s="47" t="str">
        <f>IF(LEFT(DD39,1)="E","",IF(CM39="No",_xll.BPRICE(DD39,IF(R39&lt;&gt;"","Target="&amp;S39,""),IF(R39&lt;&gt;"",T39&amp;"="&amp;U39,""),"MarketDate",SwapsMarketDate,"ValuationDate",SwapsValuationDate,"alwaysrefresh"),_xll.BPRICE(DD39,IF(R39&lt;&gt;"","Target="&amp;S39,""),IF(R39&lt;&gt;"",T39&amp;"="&amp;U39,""),"MarketDate",SwapsMarketDate,"ValuationDate",SwapsValuationDate,CP39,CR39,CS39,CU39,CV39,CX39,CY39,DA39,"alwaysrefresh")))</f>
        <v>PRICE FXFL 284275</v>
      </c>
      <c r="DH39" s="25" t="str">
        <f>_xll.BView(DE39,IF(R39="Leg 1 Notional","Leg[2].notional","Leg[1].notional"),"headers=false")</f>
        <v>#N/A Field Not Applicable [Parameter:OUTPUT]</v>
      </c>
      <c r="DI39" s="104"/>
      <c r="DJ39" s="113">
        <f t="shared" si="10"/>
        <v>0</v>
      </c>
      <c r="DK39" s="113">
        <f t="shared" si="11"/>
        <v>0</v>
      </c>
      <c r="DL39" s="113">
        <f t="shared" si="12"/>
        <v>0</v>
      </c>
      <c r="DM39" s="113">
        <f t="shared" si="13"/>
        <v>0</v>
      </c>
      <c r="DN39" s="113" t="str">
        <f t="shared" si="14"/>
        <v>NL</v>
      </c>
      <c r="DP39" s="113" t="str">
        <f t="shared" si="15"/>
        <v/>
      </c>
      <c r="DQ39" s="117" t="str">
        <f t="shared" si="16"/>
        <v/>
      </c>
      <c r="DR39" s="113" t="str">
        <f t="shared" si="17"/>
        <v/>
      </c>
      <c r="DS39" s="117" t="str">
        <f t="shared" si="18"/>
        <v/>
      </c>
      <c r="DT39" s="113">
        <f>IF(UPPER(DP39)=UPPER(DR39),1,_xll.BDP(DP39&amp;DR39&amp;" CURNCY","PX LAST")/_xll.BDP(DP39&amp;DR39&amp;" CURNCY","QUOTE FACTOR"))</f>
        <v>1</v>
      </c>
      <c r="DV39" s="113" t="b">
        <f t="shared" si="25"/>
        <v>0</v>
      </c>
      <c r="DW39" s="113" t="str">
        <f t="shared" si="23"/>
        <v/>
      </c>
      <c r="DX39" s="115" t="str">
        <f t="shared" si="28"/>
        <v/>
      </c>
      <c r="DY39" s="113" t="b">
        <f t="shared" si="26"/>
        <v>0</v>
      </c>
      <c r="DZ39" s="113" t="str">
        <f t="shared" si="24"/>
        <v/>
      </c>
      <c r="EA39" s="115" t="str">
        <f t="shared" si="29"/>
        <v/>
      </c>
    </row>
    <row r="40" spans="1:131" x14ac:dyDescent="0.25">
      <c r="DI40" s="25"/>
      <c r="DJ40" s="25"/>
      <c r="DL40" s="112"/>
      <c r="DM40" s="112"/>
      <c r="DN40" s="112"/>
      <c r="DO40" s="25"/>
      <c r="DQ40" s="23"/>
      <c r="DR40" s="23"/>
    </row>
    <row r="41" spans="1:131" x14ac:dyDescent="0.25">
      <c r="DI41" s="25"/>
      <c r="DJ41" s="25"/>
      <c r="DO41" s="25"/>
      <c r="DQ41" s="23"/>
      <c r="DR41" s="23"/>
    </row>
    <row r="42" spans="1:131" x14ac:dyDescent="0.25">
      <c r="DI42" s="25"/>
      <c r="DJ42" s="25"/>
      <c r="DO42" s="25"/>
      <c r="DQ42" s="23"/>
      <c r="DR42" s="23"/>
    </row>
    <row r="43" spans="1:131" x14ac:dyDescent="0.25">
      <c r="DI43" s="24"/>
      <c r="DJ43" s="25"/>
      <c r="DO43" s="25"/>
      <c r="DQ43" s="23"/>
      <c r="DR43" s="23"/>
    </row>
    <row r="44" spans="1:131" x14ac:dyDescent="0.25">
      <c r="DQ44" s="23"/>
      <c r="DR44" s="23"/>
    </row>
    <row r="45" spans="1:131" x14ac:dyDescent="0.25">
      <c r="DJ45" s="24"/>
      <c r="DO45" s="24"/>
      <c r="DQ45" s="23"/>
      <c r="DR45" s="23"/>
    </row>
    <row r="46" spans="1:131" x14ac:dyDescent="0.25">
      <c r="DQ46" s="23"/>
      <c r="DR46" s="23"/>
    </row>
    <row r="51" spans="116:118" x14ac:dyDescent="0.25">
      <c r="DL51" s="112"/>
      <c r="DM51" s="112"/>
      <c r="DN51" s="112"/>
    </row>
    <row r="52" spans="116:118" x14ac:dyDescent="0.25">
      <c r="DL52" s="24"/>
      <c r="DM52" s="24"/>
      <c r="DN52" s="24"/>
    </row>
    <row r="53" spans="116:118" x14ac:dyDescent="0.25">
      <c r="DL53" s="24"/>
      <c r="DM53" s="24"/>
      <c r="DN53" s="24"/>
    </row>
    <row r="59" spans="116:118" x14ac:dyDescent="0.25">
      <c r="DL59" s="25"/>
      <c r="DM59" s="25"/>
      <c r="DN59" s="25"/>
    </row>
    <row r="60" spans="116:118" x14ac:dyDescent="0.25">
      <c r="DL60" s="24"/>
      <c r="DM60" s="24"/>
      <c r="DN60" s="24"/>
    </row>
    <row r="61" spans="116:118" x14ac:dyDescent="0.25">
      <c r="DL61" s="24"/>
      <c r="DM61" s="24"/>
      <c r="DN61" s="24"/>
    </row>
    <row r="62" spans="116:118" x14ac:dyDescent="0.25">
      <c r="DL62" s="25"/>
      <c r="DM62" s="25"/>
      <c r="DN62" s="25"/>
    </row>
    <row r="63" spans="116:118" x14ac:dyDescent="0.25">
      <c r="DL63" s="112"/>
      <c r="DM63" s="112"/>
      <c r="DN63" s="112"/>
    </row>
    <row r="69" spans="116:118" x14ac:dyDescent="0.25">
      <c r="DL69" s="25"/>
      <c r="DM69" s="25"/>
      <c r="DN69" s="25"/>
    </row>
    <row r="70" spans="116:118" x14ac:dyDescent="0.25">
      <c r="DL70" s="24"/>
      <c r="DM70" s="24"/>
      <c r="DN70" s="24"/>
    </row>
  </sheetData>
  <mergeCells count="108">
    <mergeCell ref="F17:G17"/>
    <mergeCell ref="B17:B18"/>
    <mergeCell ref="C17:C18"/>
    <mergeCell ref="D17:D18"/>
    <mergeCell ref="B16:G16"/>
    <mergeCell ref="I17:I18"/>
    <mergeCell ref="U17:U18"/>
    <mergeCell ref="W17:W18"/>
    <mergeCell ref="Y17:Y18"/>
    <mergeCell ref="I16:M16"/>
    <mergeCell ref="J17:J18"/>
    <mergeCell ref="L17:L18"/>
    <mergeCell ref="M17:M18"/>
    <mergeCell ref="R17:R18"/>
    <mergeCell ref="T17:T18"/>
    <mergeCell ref="E17:E18"/>
    <mergeCell ref="X17:X19"/>
    <mergeCell ref="AD17:AD18"/>
    <mergeCell ref="AE17:AE18"/>
    <mergeCell ref="AF17:AF18"/>
    <mergeCell ref="AG17:AG18"/>
    <mergeCell ref="AH17:AH18"/>
    <mergeCell ref="AI17:AI18"/>
    <mergeCell ref="AA17:AA18"/>
    <mergeCell ref="AB17:AB18"/>
    <mergeCell ref="AC17:AC18"/>
    <mergeCell ref="CU17:CU18"/>
    <mergeCell ref="BA16:BB16"/>
    <mergeCell ref="BD16:BM16"/>
    <mergeCell ref="AQ17:AQ18"/>
    <mergeCell ref="AR17:AR18"/>
    <mergeCell ref="AS17:AS18"/>
    <mergeCell ref="AT17:AT18"/>
    <mergeCell ref="AU17:AU18"/>
    <mergeCell ref="AL16:AU16"/>
    <mergeCell ref="AW16:AW18"/>
    <mergeCell ref="AL17:AL18"/>
    <mergeCell ref="AM17:AM18"/>
    <mergeCell ref="AN17:AN18"/>
    <mergeCell ref="AO17:AO18"/>
    <mergeCell ref="AP17:AP18"/>
    <mergeCell ref="BG17:BG18"/>
    <mergeCell ref="BH17:BH18"/>
    <mergeCell ref="BI17:BI18"/>
    <mergeCell ref="BJ17:BJ18"/>
    <mergeCell ref="AY16:AY18"/>
    <mergeCell ref="BK17:BK18"/>
    <mergeCell ref="BL17:BL18"/>
    <mergeCell ref="BV17:BV18"/>
    <mergeCell ref="BW17:BW18"/>
    <mergeCell ref="DE16:DE18"/>
    <mergeCell ref="BO16:BX16"/>
    <mergeCell ref="CD16:CE16"/>
    <mergeCell ref="CF16:CG16"/>
    <mergeCell ref="CH16:CI16"/>
    <mergeCell ref="CJ16:CK16"/>
    <mergeCell ref="CM16:CO16"/>
    <mergeCell ref="CP16:CR16"/>
    <mergeCell ref="CS16:CU16"/>
    <mergeCell ref="CX17:CX18"/>
    <mergeCell ref="CY17:CY18"/>
    <mergeCell ref="CZ17:CZ18"/>
    <mergeCell ref="DA17:DA18"/>
    <mergeCell ref="CF17:CF18"/>
    <mergeCell ref="CG17:CG18"/>
    <mergeCell ref="CH17:CH18"/>
    <mergeCell ref="BT17:BT18"/>
    <mergeCell ref="CV17:CV18"/>
    <mergeCell ref="CW17:CW18"/>
    <mergeCell ref="CV16:CX16"/>
    <mergeCell ref="CY16:DA16"/>
    <mergeCell ref="DC16:DC18"/>
    <mergeCell ref="DD16:DD18"/>
    <mergeCell ref="BU17:BU18"/>
    <mergeCell ref="B13:C14"/>
    <mergeCell ref="D13:F14"/>
    <mergeCell ref="CS17:CS18"/>
    <mergeCell ref="CT17:CT18"/>
    <mergeCell ref="CI17:CI18"/>
    <mergeCell ref="CJ17:CJ18"/>
    <mergeCell ref="CK17:CK18"/>
    <mergeCell ref="CM17:CM18"/>
    <mergeCell ref="CN17:CN18"/>
    <mergeCell ref="CO17:CO18"/>
    <mergeCell ref="CP17:CP18"/>
    <mergeCell ref="CQ17:CQ18"/>
    <mergeCell ref="CR17:CR18"/>
    <mergeCell ref="CB17:CB18"/>
    <mergeCell ref="CD17:CD18"/>
    <mergeCell ref="CE17:CE18"/>
    <mergeCell ref="BX17:BX18"/>
    <mergeCell ref="BZ17:BZ18"/>
    <mergeCell ref="BM17:BM18"/>
    <mergeCell ref="AJ17:AJ18"/>
    <mergeCell ref="O16:O18"/>
    <mergeCell ref="R16:U16"/>
    <mergeCell ref="W16:Y16"/>
    <mergeCell ref="AA16:AJ16"/>
    <mergeCell ref="BO17:BO18"/>
    <mergeCell ref="BP17:BP18"/>
    <mergeCell ref="BQ17:BQ18"/>
    <mergeCell ref="BR17:BR18"/>
    <mergeCell ref="BS17:BS18"/>
    <mergeCell ref="BA17:BA18"/>
    <mergeCell ref="BB17:BB18"/>
    <mergeCell ref="BD17:BD18"/>
    <mergeCell ref="BE17:BE18"/>
    <mergeCell ref="BF17:BF18"/>
  </mergeCells>
  <conditionalFormatting sqref="AE20:AF39 AI20:AI39 AO20:AO39 AU20:AU39">
    <cfRule type="expression" dxfId="11" priority="4">
      <formula>IF($O20="Fixed-to-Float",1,0)</formula>
    </cfRule>
  </conditionalFormatting>
  <conditionalFormatting sqref="AD20:AD39 AJ20:AJ39 AO20:AO39 AU20:AU39">
    <cfRule type="expression" dxfId="10" priority="3">
      <formula>IF($O20="Float-to-Float",1,0)</formula>
    </cfRule>
  </conditionalFormatting>
  <conditionalFormatting sqref="AE20:AF39 AI20:AI39 AP20:AQ39 AT20:AT39">
    <cfRule type="expression" dxfId="9" priority="2">
      <formula>IF($O20="Fixed-to-Fixed",1,0)</formula>
    </cfRule>
  </conditionalFormatting>
  <conditionalFormatting sqref="C20:E39">
    <cfRule type="expression" dxfId="8" priority="1">
      <formula>IF(ABS(C20)&lt;100,1,0)</formula>
    </cfRule>
  </conditionalFormatting>
  <dataValidations count="15">
    <dataValidation type="list" allowBlank="1" showInputMessage="1" showErrorMessage="1" sqref="CM20:CM39 J20:J39">
      <formula1>"Yes,No"</formula1>
    </dataValidation>
    <dataValidation type="list" allowBlank="1" showInputMessage="1" showErrorMessage="1" sqref="O20:O39">
      <formula1>SwapDealTypeName</formula1>
    </dataValidation>
    <dataValidation type="list" allowBlank="1" showInputMessage="1" showErrorMessage="1" sqref="R20:R39">
      <formula1>SolverTargetName</formula1>
    </dataValidation>
    <dataValidation type="list" allowBlank="1" showInputMessage="1" showErrorMessage="1" sqref="AA20:AA39 AL20:AL39">
      <formula1>RecievePay</formula1>
    </dataValidation>
    <dataValidation type="list" allowBlank="1" showInputMessage="1" showErrorMessage="1" sqref="AG20:AG39 AR20:AR39 AI20:AI39 AT20:AT39">
      <formula1>PaymentFrequency</formula1>
    </dataValidation>
    <dataValidation type="list" allowBlank="1" showInputMessage="1" showErrorMessage="1" sqref="AH20:AH39 AS20:AS39">
      <formula1>DayCount</formula1>
    </dataValidation>
    <dataValidation type="list" allowBlank="1" showInputMessage="1" showErrorMessage="1" sqref="AU20:AU39 AJ20:AJ39">
      <formula1>CalcBasis</formula1>
    </dataValidation>
    <dataValidation type="list" allowBlank="1" showInputMessage="1" showErrorMessage="1" sqref="AW20:AW39">
      <formula1>PrincipalExchange</formula1>
    </dataValidation>
    <dataValidation type="list" allowBlank="1" showInputMessage="1" showErrorMessage="1" sqref="AY20:AY39">
      <formula1>CSACollateral</formula1>
    </dataValidation>
    <dataValidation type="list" allowBlank="1" showInputMessage="1" showErrorMessage="1" sqref="CN20:CN39">
      <formula1>"True,False"</formula1>
    </dataValidation>
    <dataValidation type="list" allowBlank="1" showInputMessage="1" showErrorMessage="1" sqref="M20:M39">
      <formula1>FavouriteSwaps</formula1>
    </dataValidation>
    <dataValidation allowBlank="1" showInputMessage="1" showErrorMessage="1" prompt="Please use one type of date format. Either use a rolling format i.e. &quot;1Y&quot; or use exact dates i.e &quot;1/5/2017&quot; &amp; 1/5/2023&quot;. You can check the dates in the output." sqref="W20:Y39"/>
    <dataValidation type="list" allowBlank="1" showInputMessage="1" showErrorMessage="1" sqref="D13:E13">
      <formula1>SwapsJumpTo</formula1>
    </dataValidation>
    <dataValidation allowBlank="1" showInputMessage="1" showErrorMessage="1" prompt="Can be entered by using the whole number i.e. 10,000,000 or using 10mm or 10MM. If a XCCY swap is entered then the sheet will use the spot rate to calculate the other notional. This can be overridden by entering your own notional." sqref="AC20:AC39 AN20:AN39"/>
    <dataValidation type="list" allowBlank="1" showInputMessage="1" showErrorMessage="1" prompt="If one currency is entered it then it will override the other leg unless another currency is entered. " sqref="AM20:AM39 AB20:AB39">
      <formula1>CurrencyList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SwapsClear">
              <controlPr defaultSize="0" print="0" autoFill="0" autoPict="0" macro="[0]!SwapsClearAll">
                <anchor moveWithCells="1" sizeWithCells="1">
                  <from>
                    <xdr:col>3</xdr:col>
                    <xdr:colOff>19050</xdr:colOff>
                    <xdr:row>9</xdr:row>
                    <xdr:rowOff>95250</xdr:rowOff>
                  </from>
                  <to>
                    <xdr:col>5</xdr:col>
                    <xdr:colOff>904875</xdr:colOff>
                    <xdr:row>11</xdr:row>
                    <xdr:rowOff>95250</xdr:rowOff>
                  </to>
                </anchor>
              </controlPr>
            </control>
          </mc:Choice>
        </mc:AlternateContent>
        <mc:AlternateContent xmlns:mc="http://schemas.openxmlformats.org/markup-compatibility/2006">
          <mc:Choice Requires="x14">
            <control shapeId="1029" r:id="rId5" name="ClearSelected">
              <controlPr defaultSize="0" print="0" autoFill="0" autoPict="0" macro="[0]!SwapsClearSelected">
                <anchor moveWithCells="1" sizeWithCells="1">
                  <from>
                    <xdr:col>11</xdr:col>
                    <xdr:colOff>1104900</xdr:colOff>
                    <xdr:row>9</xdr:row>
                    <xdr:rowOff>95250</xdr:rowOff>
                  </from>
                  <to>
                    <xdr:col>13</xdr:col>
                    <xdr:colOff>0</xdr:colOff>
                    <xdr:row>11</xdr:row>
                    <xdr:rowOff>28575</xdr:rowOff>
                  </to>
                </anchor>
              </controlPr>
            </control>
          </mc:Choice>
        </mc:AlternateContent>
        <mc:AlternateContent xmlns:mc="http://schemas.openxmlformats.org/markup-compatibility/2006">
          <mc:Choice Requires="x14">
            <control shapeId="1044" r:id="rId6" name="SaveId">
              <controlPr defaultSize="0" print="0" autoFill="0" autoPict="0" macro="[0]!SwapsSave">
                <anchor moveWithCells="1" sizeWithCells="1">
                  <from>
                    <xdr:col>8</xdr:col>
                    <xdr:colOff>0</xdr:colOff>
                    <xdr:row>11</xdr:row>
                    <xdr:rowOff>142875</xdr:rowOff>
                  </from>
                  <to>
                    <xdr:col>11</xdr:col>
                    <xdr:colOff>1000125</xdr:colOff>
                    <xdr:row>13</xdr:row>
                    <xdr:rowOff>66675</xdr:rowOff>
                  </to>
                </anchor>
              </controlPr>
            </control>
          </mc:Choice>
        </mc:AlternateContent>
        <mc:AlternateContent xmlns:mc="http://schemas.openxmlformats.org/markup-compatibility/2006">
          <mc:Choice Requires="x14">
            <control shapeId="1058" r:id="rId7" name="Button 34">
              <controlPr defaultSize="0" print="0" autoFill="0" autoPict="0" macro="[0]!SwapSolverCopy" altText="Copy Solver Outputs To Inputs">
                <anchor moveWithCells="1" sizeWithCells="1">
                  <from>
                    <xdr:col>8</xdr:col>
                    <xdr:colOff>0</xdr:colOff>
                    <xdr:row>9</xdr:row>
                    <xdr:rowOff>104775</xdr:rowOff>
                  </from>
                  <to>
                    <xdr:col>11</xdr:col>
                    <xdr:colOff>1000125</xdr:colOff>
                    <xdr:row>11</xdr:row>
                    <xdr:rowOff>38100</xdr:rowOff>
                  </to>
                </anchor>
              </controlPr>
            </control>
          </mc:Choice>
        </mc:AlternateContent>
        <mc:AlternateContent xmlns:mc="http://schemas.openxmlformats.org/markup-compatibility/2006">
          <mc:Choice Requires="x14">
            <control shapeId="1064" r:id="rId8" name="View">
              <controlPr defaultSize="0" print="0" autoFill="0" autoPict="0" macro="[1]!SimpleView">
                <anchor moveWithCells="1" sizeWithCells="1">
                  <from>
                    <xdr:col>1</xdr:col>
                    <xdr:colOff>9525</xdr:colOff>
                    <xdr:row>9</xdr:row>
                    <xdr:rowOff>95250</xdr:rowOff>
                  </from>
                  <to>
                    <xdr:col>3</xdr:col>
                    <xdr:colOff>9525</xdr:colOff>
                    <xdr:row>11</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Valuation!$N$28:$N$34</xm:f>
          </x14:formula1>
          <xm:sqref>D17:E18 C17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waptions"/>
  <dimension ref="B1:DX45"/>
  <sheetViews>
    <sheetView showGridLines="0" zoomScaleNormal="100" workbookViewId="0">
      <pane xSplit="7" ySplit="5" topLeftCell="H6" activePane="bottomRight" state="frozen"/>
      <selection pane="topRight" activeCell="H1" sqref="H1"/>
      <selection pane="bottomLeft" activeCell="A6" sqref="A6"/>
      <selection pane="bottomRight" activeCell="E45" sqref="E45"/>
    </sheetView>
  </sheetViews>
  <sheetFormatPr defaultRowHeight="15" x14ac:dyDescent="0.25"/>
  <cols>
    <col min="1" max="1" width="1.7109375" style="23" customWidth="1"/>
    <col min="2" max="2" width="15.7109375" style="23" customWidth="1"/>
    <col min="3" max="3" width="10.7109375" style="23" bestFit="1" customWidth="1"/>
    <col min="4" max="4" width="11.140625" style="23" bestFit="1" customWidth="1"/>
    <col min="5" max="5" width="13.7109375" style="23" bestFit="1" customWidth="1"/>
    <col min="6" max="6" width="11" style="23" customWidth="1"/>
    <col min="7" max="7" width="0.85546875" style="23" customWidth="1"/>
    <col min="8" max="8" width="9.140625" style="23" customWidth="1"/>
    <col min="9" max="9" width="9.140625" style="23"/>
    <col min="10" max="10" width="9.140625" style="23" hidden="1" customWidth="1"/>
    <col min="11" max="11" width="19.7109375" style="23" customWidth="1"/>
    <col min="12" max="12" width="21.7109375" style="23" customWidth="1"/>
    <col min="13" max="13" width="0.85546875" style="23" customWidth="1"/>
    <col min="14" max="14" width="14.42578125" style="23" customWidth="1"/>
    <col min="15" max="15" width="9.140625" style="23" hidden="1" customWidth="1"/>
    <col min="16" max="16" width="0.85546875" style="23" customWidth="1"/>
    <col min="17" max="17" width="14" style="23" bestFit="1" customWidth="1"/>
    <col min="18" max="18" width="15.85546875" style="24" bestFit="1" customWidth="1"/>
    <col min="19" max="23" width="15.85546875" style="24" customWidth="1"/>
    <col min="24" max="24" width="0.85546875" style="24" customWidth="1"/>
    <col min="25" max="25" width="21.42578125" style="24" customWidth="1"/>
    <col min="26" max="26" width="13.5703125" style="24" bestFit="1" customWidth="1"/>
    <col min="27" max="27" width="21.42578125" style="24" customWidth="1"/>
    <col min="28" max="29" width="15.85546875" style="24" customWidth="1"/>
    <col min="30" max="30" width="0.85546875" style="24" customWidth="1"/>
    <col min="31" max="31" width="16.42578125" style="24" customWidth="1"/>
    <col min="32" max="32" width="14.140625" style="24" customWidth="1"/>
    <col min="33" max="33" width="0.85546875" style="23" customWidth="1"/>
    <col min="34" max="34" width="19" style="23" customWidth="1"/>
    <col min="35" max="35" width="19.7109375" style="23" customWidth="1"/>
    <col min="36" max="36" width="15.7109375" style="23" customWidth="1"/>
    <col min="37" max="37" width="15.140625" style="23" customWidth="1"/>
    <col min="38" max="38" width="0.85546875" style="23" customWidth="1"/>
    <col min="39" max="39" width="13.28515625" style="23" customWidth="1"/>
    <col min="40" max="40" width="19.42578125" style="23" customWidth="1"/>
    <col min="41" max="41" width="19.7109375" style="23" customWidth="1"/>
    <col min="42" max="42" width="15.7109375" style="23" customWidth="1"/>
    <col min="43" max="43" width="21.7109375" style="23" customWidth="1"/>
    <col min="44" max="44" width="0.85546875" style="23" customWidth="1"/>
    <col min="45" max="45" width="17.7109375" style="23" customWidth="1"/>
    <col min="46" max="46" width="0.85546875" style="23" customWidth="1"/>
    <col min="47" max="47" width="20.7109375" style="23" customWidth="1"/>
    <col min="48" max="48" width="0.85546875" style="23" customWidth="1"/>
    <col min="49" max="49" width="13" style="63" customWidth="1"/>
    <col min="50" max="50" width="15.42578125" style="63" customWidth="1"/>
    <col min="51" max="51" width="13" style="63" customWidth="1"/>
    <col min="52" max="52" width="14.85546875" style="63" customWidth="1"/>
    <col min="53" max="53" width="13" style="63" customWidth="1"/>
    <col min="54" max="54" width="22" style="63" customWidth="1"/>
    <col min="55" max="55" width="13" style="63" customWidth="1"/>
    <col min="56" max="56" width="0.85546875" style="63" customWidth="1"/>
    <col min="57" max="57" width="21.7109375" style="23" customWidth="1"/>
    <col min="58" max="58" width="15.85546875" style="84" customWidth="1"/>
    <col min="59" max="60" width="15.85546875" style="63" customWidth="1"/>
    <col min="61" max="61" width="15.85546875" style="23" bestFit="1" customWidth="1"/>
    <col min="62" max="62" width="0.85546875" style="23" customWidth="1"/>
    <col min="63" max="63" width="16.7109375" style="23" bestFit="1" customWidth="1"/>
    <col min="64" max="64" width="15" style="23" bestFit="1" customWidth="1"/>
    <col min="65" max="65" width="14.85546875" style="23" bestFit="1" customWidth="1"/>
    <col min="66" max="66" width="19" style="23" bestFit="1" customWidth="1"/>
    <col min="67" max="67" width="19.7109375" style="23" bestFit="1" customWidth="1"/>
    <col min="68" max="68" width="15.7109375" style="23" bestFit="1" customWidth="1"/>
    <col min="69" max="69" width="15.140625" style="23" bestFit="1" customWidth="1"/>
    <col min="70" max="70" width="0.85546875" style="23" customWidth="1"/>
    <col min="71" max="71" width="16.7109375" style="23" bestFit="1" customWidth="1"/>
    <col min="72" max="72" width="15" style="23" bestFit="1" customWidth="1"/>
    <col min="73" max="73" width="15.85546875" style="23" customWidth="1"/>
    <col min="74" max="74" width="13.28515625" style="23" bestFit="1" customWidth="1"/>
    <col min="75" max="75" width="19.42578125" style="23" bestFit="1" customWidth="1"/>
    <col min="76" max="76" width="19.7109375" style="23" bestFit="1" customWidth="1"/>
    <col min="77" max="77" width="15.7109375" style="23" bestFit="1" customWidth="1"/>
    <col min="78" max="78" width="21.7109375" style="23" bestFit="1" customWidth="1"/>
    <col min="79" max="79" width="0.85546875" style="23" customWidth="1"/>
    <col min="80" max="80" width="17.7109375" style="23" bestFit="1" customWidth="1"/>
    <col min="81" max="81" width="0.85546875" style="23" customWidth="1"/>
    <col min="82" max="82" width="20.7109375" style="23" bestFit="1" customWidth="1"/>
    <col min="83" max="83" width="0.85546875" style="23" customWidth="1"/>
    <col min="84" max="84" width="19" style="23" bestFit="1" customWidth="1"/>
    <col min="85" max="85" width="31.140625" style="23" bestFit="1" customWidth="1"/>
    <col min="86" max="86" width="23.28515625" style="23" bestFit="1" customWidth="1"/>
    <col min="87" max="87" width="38.140625" style="23" bestFit="1" customWidth="1"/>
    <col min="88" max="88" width="23.42578125" style="23" bestFit="1" customWidth="1"/>
    <col min="89" max="89" width="32.140625" style="23" bestFit="1" customWidth="1"/>
    <col min="90" max="90" width="0.85546875" style="23" customWidth="1"/>
    <col min="91" max="91" width="9.140625" style="23"/>
    <col min="92" max="92" width="18.7109375" style="23" customWidth="1"/>
    <col min="93" max="93" width="11.85546875" style="23" bestFit="1" customWidth="1"/>
    <col min="94" max="94" width="19.140625" style="23" bestFit="1" customWidth="1"/>
    <col min="95" max="95" width="13.7109375" style="23" bestFit="1" customWidth="1"/>
    <col min="96" max="96" width="29.42578125" style="23" bestFit="1" customWidth="1"/>
    <col min="97" max="97" width="23.28515625" style="23" bestFit="1" customWidth="1"/>
    <col min="98" max="98" width="13.7109375" style="23" bestFit="1" customWidth="1"/>
    <col min="99" max="99" width="27" style="23" bestFit="1" customWidth="1"/>
    <col min="100" max="100" width="0.85546875" style="23" customWidth="1"/>
    <col min="101" max="103" width="18.85546875" style="82" customWidth="1"/>
    <col min="104" max="105" width="18.85546875" style="97" customWidth="1"/>
    <col min="106" max="116" width="18.85546875" style="82" customWidth="1"/>
    <col min="117" max="117" width="0.85546875" style="82" customWidth="1"/>
    <col min="118" max="118" width="22.7109375" style="23" bestFit="1" customWidth="1"/>
    <col min="119" max="119" width="52.7109375" style="23" bestFit="1" customWidth="1"/>
    <col min="120" max="120" width="43.85546875" style="23" bestFit="1" customWidth="1"/>
    <col min="121" max="121" width="0.85546875" style="23" customWidth="1"/>
    <col min="122" max="16384" width="9.140625" style="23"/>
  </cols>
  <sheetData>
    <row r="1" spans="2:120" ht="5.0999999999999996" customHeight="1" x14ac:dyDescent="0.25"/>
    <row r="2" spans="2:120" ht="15" customHeight="1" x14ac:dyDescent="0.25"/>
    <row r="3" spans="2:120" ht="15" customHeight="1" x14ac:dyDescent="0.25"/>
    <row r="4" spans="2:120" ht="15" customHeight="1" x14ac:dyDescent="0.25"/>
    <row r="5" spans="2:120" ht="5.0999999999999996" customHeight="1" x14ac:dyDescent="0.25"/>
    <row r="6" spans="2:120" ht="5.0999999999999996" customHeight="1" x14ac:dyDescent="0.25"/>
    <row r="8" spans="2:120" x14ac:dyDescent="0.25">
      <c r="B8" s="29" t="s">
        <v>187</v>
      </c>
      <c r="C8" s="30">
        <f>SwapsMarketDate</f>
        <v>42654</v>
      </c>
    </row>
    <row r="9" spans="2:120" x14ac:dyDescent="0.25">
      <c r="B9" s="31" t="s">
        <v>0</v>
      </c>
      <c r="C9" s="32">
        <f>SwapsValuationDate</f>
        <v>42656</v>
      </c>
    </row>
    <row r="12" spans="2:120" x14ac:dyDescent="0.25">
      <c r="B12" s="163" t="s">
        <v>333</v>
      </c>
      <c r="C12" s="163"/>
      <c r="D12" s="164" t="s">
        <v>325</v>
      </c>
      <c r="E12" s="164"/>
    </row>
    <row r="13" spans="2:120" x14ac:dyDescent="0.25">
      <c r="B13" s="163"/>
      <c r="C13" s="163"/>
      <c r="D13" s="164"/>
      <c r="E13" s="164"/>
    </row>
    <row r="16" spans="2:120" x14ac:dyDescent="0.25">
      <c r="B16" s="158" t="s">
        <v>188</v>
      </c>
      <c r="C16" s="159"/>
      <c r="D16" s="159"/>
      <c r="E16" s="159"/>
      <c r="F16" s="160"/>
      <c r="G16" s="15"/>
      <c r="H16" s="140" t="s">
        <v>194</v>
      </c>
      <c r="I16" s="141"/>
      <c r="J16" s="141"/>
      <c r="K16" s="141"/>
      <c r="L16" s="142"/>
      <c r="M16" s="15"/>
      <c r="N16" s="139" t="s">
        <v>9</v>
      </c>
      <c r="O16" s="15"/>
      <c r="P16" s="15"/>
      <c r="Q16" s="140" t="s">
        <v>230</v>
      </c>
      <c r="R16" s="141"/>
      <c r="S16" s="141"/>
      <c r="T16" s="141"/>
      <c r="U16" s="141"/>
      <c r="V16" s="141"/>
      <c r="W16" s="142"/>
      <c r="X16" s="15"/>
      <c r="Y16" s="140" t="s">
        <v>10</v>
      </c>
      <c r="Z16" s="141"/>
      <c r="AA16" s="141"/>
      <c r="AB16" s="141"/>
      <c r="AC16" s="142"/>
      <c r="AD16" s="15"/>
      <c r="AE16" s="140" t="s">
        <v>234</v>
      </c>
      <c r="AF16" s="142"/>
      <c r="AG16" s="15"/>
      <c r="AH16" s="140" t="s">
        <v>13</v>
      </c>
      <c r="AI16" s="141"/>
      <c r="AJ16" s="141"/>
      <c r="AK16" s="142"/>
      <c r="AL16" s="15"/>
      <c r="AM16" s="140" t="s">
        <v>184</v>
      </c>
      <c r="AN16" s="141"/>
      <c r="AO16" s="141"/>
      <c r="AP16" s="141"/>
      <c r="AQ16" s="142"/>
      <c r="AR16" s="15"/>
      <c r="AS16" s="139" t="s">
        <v>149</v>
      </c>
      <c r="AT16" s="15"/>
      <c r="AU16" s="139" t="s">
        <v>193</v>
      </c>
      <c r="AV16" s="15"/>
      <c r="AW16" s="140" t="s">
        <v>271</v>
      </c>
      <c r="AX16" s="141"/>
      <c r="AY16" s="141"/>
      <c r="AZ16" s="141"/>
      <c r="BA16" s="141"/>
      <c r="BB16" s="141"/>
      <c r="BC16" s="142"/>
      <c r="BD16" s="15"/>
      <c r="BE16" s="140" t="s">
        <v>10</v>
      </c>
      <c r="BF16" s="141"/>
      <c r="BG16" s="141"/>
      <c r="BH16" s="141"/>
      <c r="BI16" s="142"/>
      <c r="BJ16" s="15"/>
      <c r="BK16" s="140" t="s">
        <v>198</v>
      </c>
      <c r="BL16" s="141"/>
      <c r="BM16" s="141"/>
      <c r="BN16" s="141"/>
      <c r="BO16" s="141"/>
      <c r="BP16" s="141"/>
      <c r="BQ16" s="142"/>
      <c r="BR16" s="15"/>
      <c r="BS16" s="140" t="s">
        <v>199</v>
      </c>
      <c r="BT16" s="141"/>
      <c r="BU16" s="141"/>
      <c r="BV16" s="141"/>
      <c r="BW16" s="141"/>
      <c r="BX16" s="141"/>
      <c r="BY16" s="141"/>
      <c r="BZ16" s="142"/>
      <c r="CA16" s="15"/>
      <c r="CB16" s="41" t="s">
        <v>200</v>
      </c>
      <c r="CC16" s="15"/>
      <c r="CD16" s="41" t="s">
        <v>200</v>
      </c>
      <c r="CE16" s="15"/>
      <c r="CF16" s="145" t="s">
        <v>201</v>
      </c>
      <c r="CG16" s="146"/>
      <c r="CH16" s="146" t="s">
        <v>202</v>
      </c>
      <c r="CI16" s="146"/>
      <c r="CJ16" s="146" t="s">
        <v>203</v>
      </c>
      <c r="CK16" s="147"/>
      <c r="CL16" s="15"/>
      <c r="CM16" s="145" t="s">
        <v>178</v>
      </c>
      <c r="CN16" s="146"/>
      <c r="CO16" s="146"/>
      <c r="CP16" s="146" t="s">
        <v>173</v>
      </c>
      <c r="CQ16" s="146"/>
      <c r="CR16" s="146"/>
      <c r="CS16" s="146" t="s">
        <v>175</v>
      </c>
      <c r="CT16" s="146"/>
      <c r="CU16" s="147"/>
      <c r="CV16" s="15"/>
      <c r="CW16" s="140" t="s">
        <v>284</v>
      </c>
      <c r="CX16" s="141"/>
      <c r="CY16" s="141"/>
      <c r="CZ16" s="141"/>
      <c r="DA16" s="141"/>
      <c r="DB16" s="141"/>
      <c r="DC16" s="141"/>
      <c r="DD16" s="141"/>
      <c r="DE16" s="141"/>
      <c r="DF16" s="141"/>
      <c r="DG16" s="141"/>
      <c r="DH16" s="141"/>
      <c r="DI16" s="141"/>
      <c r="DJ16" s="141"/>
      <c r="DK16" s="141"/>
      <c r="DL16" s="142"/>
      <c r="DM16" s="15"/>
      <c r="DN16" s="148" t="s">
        <v>185</v>
      </c>
      <c r="DO16" s="150" t="s">
        <v>6</v>
      </c>
      <c r="DP16" s="143" t="s">
        <v>7</v>
      </c>
    </row>
    <row r="17" spans="2:128" ht="15" customHeight="1" x14ac:dyDescent="0.25">
      <c r="B17" s="154" t="s">
        <v>2</v>
      </c>
      <c r="C17" s="166" t="s">
        <v>233</v>
      </c>
      <c r="D17" s="166" t="s">
        <v>4</v>
      </c>
      <c r="E17" s="166" t="s">
        <v>3</v>
      </c>
      <c r="F17" s="168" t="s">
        <v>275</v>
      </c>
      <c r="G17" s="15"/>
      <c r="H17" s="161" t="s">
        <v>189</v>
      </c>
      <c r="I17" s="123" t="s">
        <v>190</v>
      </c>
      <c r="J17" s="15" t="s">
        <v>8</v>
      </c>
      <c r="K17" s="123" t="s">
        <v>191</v>
      </c>
      <c r="L17" s="125" t="s">
        <v>192</v>
      </c>
      <c r="M17" s="15"/>
      <c r="N17" s="137"/>
      <c r="O17" s="15"/>
      <c r="P17" s="15"/>
      <c r="Q17" s="121" t="s">
        <v>223</v>
      </c>
      <c r="R17" s="123" t="s">
        <v>224</v>
      </c>
      <c r="S17" s="123" t="s">
        <v>231</v>
      </c>
      <c r="T17" s="123" t="s">
        <v>16</v>
      </c>
      <c r="U17" s="123" t="s">
        <v>15</v>
      </c>
      <c r="V17" s="123" t="s">
        <v>225</v>
      </c>
      <c r="W17" s="125" t="s">
        <v>226</v>
      </c>
      <c r="X17" s="15"/>
      <c r="Y17" s="121" t="s">
        <v>227</v>
      </c>
      <c r="Z17" s="165" t="s">
        <v>334</v>
      </c>
      <c r="AA17" s="123" t="s">
        <v>220</v>
      </c>
      <c r="AB17" s="123" t="s">
        <v>228</v>
      </c>
      <c r="AC17" s="125" t="s">
        <v>219</v>
      </c>
      <c r="AD17" s="60"/>
      <c r="AE17" s="121" t="s">
        <v>217</v>
      </c>
      <c r="AF17" s="125" t="s">
        <v>218</v>
      </c>
      <c r="AG17" s="15"/>
      <c r="AH17" s="121" t="s">
        <v>112</v>
      </c>
      <c r="AI17" s="123" t="s">
        <v>115</v>
      </c>
      <c r="AJ17" s="123" t="s">
        <v>116</v>
      </c>
      <c r="AK17" s="125" t="s">
        <v>118</v>
      </c>
      <c r="AL17" s="15"/>
      <c r="AM17" s="121" t="s">
        <v>113</v>
      </c>
      <c r="AN17" s="123" t="s">
        <v>17</v>
      </c>
      <c r="AO17" s="123" t="s">
        <v>18</v>
      </c>
      <c r="AP17" s="123" t="s">
        <v>19</v>
      </c>
      <c r="AQ17" s="125" t="s">
        <v>20</v>
      </c>
      <c r="AR17" s="15"/>
      <c r="AS17" s="137"/>
      <c r="AT17" s="15"/>
      <c r="AU17" s="137"/>
      <c r="AV17" s="15"/>
      <c r="AW17" s="121" t="s">
        <v>223</v>
      </c>
      <c r="AX17" s="123" t="s">
        <v>224</v>
      </c>
      <c r="AY17" s="123" t="s">
        <v>231</v>
      </c>
      <c r="AZ17" s="123" t="s">
        <v>16</v>
      </c>
      <c r="BA17" s="123" t="s">
        <v>15</v>
      </c>
      <c r="BB17" s="123" t="s">
        <v>225</v>
      </c>
      <c r="BC17" s="125" t="s">
        <v>226</v>
      </c>
      <c r="BD17" s="15"/>
      <c r="BE17" s="121" t="s">
        <v>227</v>
      </c>
      <c r="BF17" s="165" t="s">
        <v>290</v>
      </c>
      <c r="BG17" s="123" t="s">
        <v>220</v>
      </c>
      <c r="BH17" s="123" t="s">
        <v>228</v>
      </c>
      <c r="BI17" s="125" t="s">
        <v>219</v>
      </c>
      <c r="BJ17" s="15"/>
      <c r="BK17" s="121" t="s">
        <v>14</v>
      </c>
      <c r="BL17" s="123" t="s">
        <v>15</v>
      </c>
      <c r="BM17" s="123" t="s">
        <v>16</v>
      </c>
      <c r="BN17" s="123" t="s">
        <v>112</v>
      </c>
      <c r="BO17" s="123" t="s">
        <v>115</v>
      </c>
      <c r="BP17" s="123" t="s">
        <v>116</v>
      </c>
      <c r="BQ17" s="125" t="s">
        <v>118</v>
      </c>
      <c r="BR17" s="15"/>
      <c r="BS17" s="121" t="s">
        <v>14</v>
      </c>
      <c r="BT17" s="123" t="s">
        <v>15</v>
      </c>
      <c r="BU17" s="123" t="s">
        <v>16</v>
      </c>
      <c r="BV17" s="123" t="s">
        <v>113</v>
      </c>
      <c r="BW17" s="123" t="s">
        <v>17</v>
      </c>
      <c r="BX17" s="123" t="s">
        <v>18</v>
      </c>
      <c r="BY17" s="123" t="s">
        <v>19</v>
      </c>
      <c r="BZ17" s="125" t="s">
        <v>20</v>
      </c>
      <c r="CA17" s="15"/>
      <c r="CB17" s="137" t="s">
        <v>149</v>
      </c>
      <c r="CC17" s="15"/>
      <c r="CD17" s="137" t="s">
        <v>193</v>
      </c>
      <c r="CE17" s="15"/>
      <c r="CF17" s="121" t="s">
        <v>174</v>
      </c>
      <c r="CG17" s="123" t="s">
        <v>5</v>
      </c>
      <c r="CH17" s="123" t="s">
        <v>174</v>
      </c>
      <c r="CI17" s="123" t="s">
        <v>5</v>
      </c>
      <c r="CJ17" s="123" t="s">
        <v>174</v>
      </c>
      <c r="CK17" s="125" t="s">
        <v>5</v>
      </c>
      <c r="CL17" s="15"/>
      <c r="CM17" s="121" t="s">
        <v>179</v>
      </c>
      <c r="CN17" s="123" t="s">
        <v>180</v>
      </c>
      <c r="CO17" s="123" t="s">
        <v>181</v>
      </c>
      <c r="CP17" s="123" t="s">
        <v>182</v>
      </c>
      <c r="CQ17" s="123" t="s">
        <v>186</v>
      </c>
      <c r="CR17" s="123" t="s">
        <v>183</v>
      </c>
      <c r="CS17" s="123" t="s">
        <v>182</v>
      </c>
      <c r="CT17" s="123" t="s">
        <v>186</v>
      </c>
      <c r="CU17" s="125" t="s">
        <v>183</v>
      </c>
      <c r="CV17" s="15"/>
      <c r="CW17" s="121" t="s">
        <v>217</v>
      </c>
      <c r="CX17" s="123" t="s">
        <v>285</v>
      </c>
      <c r="CY17" s="123" t="s">
        <v>4</v>
      </c>
      <c r="CZ17" s="123" t="s">
        <v>233</v>
      </c>
      <c r="DA17" s="123" t="s">
        <v>324</v>
      </c>
      <c r="DB17" s="123" t="s">
        <v>286</v>
      </c>
      <c r="DC17" s="123" t="s">
        <v>287</v>
      </c>
      <c r="DD17" s="123" t="s">
        <v>279</v>
      </c>
      <c r="DE17" s="123" t="s">
        <v>280</v>
      </c>
      <c r="DF17" s="123" t="s">
        <v>281</v>
      </c>
      <c r="DG17" s="123" t="s">
        <v>38</v>
      </c>
      <c r="DH17" s="123" t="s">
        <v>274</v>
      </c>
      <c r="DI17" s="123" t="s">
        <v>3</v>
      </c>
      <c r="DJ17" s="123" t="s">
        <v>288</v>
      </c>
      <c r="DK17" s="123" t="s">
        <v>275</v>
      </c>
      <c r="DL17" s="125" t="s">
        <v>289</v>
      </c>
      <c r="DM17" s="15"/>
      <c r="DN17" s="149"/>
      <c r="DO17" s="151"/>
      <c r="DP17" s="144"/>
    </row>
    <row r="18" spans="2:128" x14ac:dyDescent="0.25">
      <c r="B18" s="155"/>
      <c r="C18" s="167"/>
      <c r="D18" s="167"/>
      <c r="E18" s="167"/>
      <c r="F18" s="126"/>
      <c r="G18" s="54"/>
      <c r="H18" s="162"/>
      <c r="I18" s="124"/>
      <c r="J18" s="54"/>
      <c r="K18" s="124"/>
      <c r="L18" s="126"/>
      <c r="M18" s="54"/>
      <c r="N18" s="138"/>
      <c r="O18" s="54"/>
      <c r="P18" s="54"/>
      <c r="Q18" s="122"/>
      <c r="R18" s="124"/>
      <c r="S18" s="124"/>
      <c r="T18" s="124"/>
      <c r="U18" s="124"/>
      <c r="V18" s="124"/>
      <c r="W18" s="126"/>
      <c r="X18" s="54"/>
      <c r="Y18" s="122"/>
      <c r="Z18" s="124"/>
      <c r="AA18" s="124"/>
      <c r="AB18" s="124"/>
      <c r="AC18" s="126"/>
      <c r="AD18" s="61"/>
      <c r="AE18" s="122"/>
      <c r="AF18" s="126"/>
      <c r="AG18" s="54"/>
      <c r="AH18" s="122"/>
      <c r="AI18" s="124"/>
      <c r="AJ18" s="124"/>
      <c r="AK18" s="126"/>
      <c r="AL18" s="54"/>
      <c r="AM18" s="122"/>
      <c r="AN18" s="124"/>
      <c r="AO18" s="124"/>
      <c r="AP18" s="124"/>
      <c r="AQ18" s="126"/>
      <c r="AR18" s="54"/>
      <c r="AS18" s="138"/>
      <c r="AT18" s="54"/>
      <c r="AU18" s="138"/>
      <c r="AV18" s="54"/>
      <c r="AW18" s="122"/>
      <c r="AX18" s="124"/>
      <c r="AY18" s="124"/>
      <c r="AZ18" s="124"/>
      <c r="BA18" s="124"/>
      <c r="BB18" s="124"/>
      <c r="BC18" s="126"/>
      <c r="BD18" s="54"/>
      <c r="BE18" s="122"/>
      <c r="BF18" s="124"/>
      <c r="BG18" s="124"/>
      <c r="BH18" s="124"/>
      <c r="BI18" s="126"/>
      <c r="BJ18" s="54"/>
      <c r="BK18" s="122"/>
      <c r="BL18" s="124"/>
      <c r="BM18" s="124"/>
      <c r="BN18" s="124"/>
      <c r="BO18" s="124"/>
      <c r="BP18" s="124"/>
      <c r="BQ18" s="126"/>
      <c r="BR18" s="54"/>
      <c r="BS18" s="122"/>
      <c r="BT18" s="124"/>
      <c r="BU18" s="124"/>
      <c r="BV18" s="124"/>
      <c r="BW18" s="124"/>
      <c r="BX18" s="124"/>
      <c r="BY18" s="124"/>
      <c r="BZ18" s="126"/>
      <c r="CA18" s="54"/>
      <c r="CB18" s="138"/>
      <c r="CC18" s="54"/>
      <c r="CD18" s="138"/>
      <c r="CE18" s="54"/>
      <c r="CF18" s="122"/>
      <c r="CG18" s="124"/>
      <c r="CH18" s="124"/>
      <c r="CI18" s="124"/>
      <c r="CJ18" s="124"/>
      <c r="CK18" s="126"/>
      <c r="CL18" s="54"/>
      <c r="CM18" s="122"/>
      <c r="CN18" s="124"/>
      <c r="CO18" s="124"/>
      <c r="CP18" s="124"/>
      <c r="CQ18" s="124"/>
      <c r="CR18" s="124"/>
      <c r="CS18" s="124"/>
      <c r="CT18" s="124"/>
      <c r="CU18" s="126"/>
      <c r="CV18" s="54"/>
      <c r="CW18" s="122"/>
      <c r="CX18" s="124"/>
      <c r="CY18" s="124"/>
      <c r="CZ18" s="124"/>
      <c r="DA18" s="124"/>
      <c r="DB18" s="124"/>
      <c r="DC18" s="124"/>
      <c r="DD18" s="124"/>
      <c r="DE18" s="124"/>
      <c r="DF18" s="124"/>
      <c r="DG18" s="124"/>
      <c r="DH18" s="124"/>
      <c r="DI18" s="124"/>
      <c r="DJ18" s="124"/>
      <c r="DK18" s="124"/>
      <c r="DL18" s="126"/>
      <c r="DM18" s="54"/>
      <c r="DN18" s="149"/>
      <c r="DO18" s="151"/>
      <c r="DP18" s="144"/>
    </row>
    <row r="19" spans="2:128" hidden="1" x14ac:dyDescent="0.25">
      <c r="B19" s="23" t="s">
        <v>29</v>
      </c>
      <c r="C19" s="63" t="s">
        <v>210</v>
      </c>
      <c r="D19" s="23" t="s">
        <v>30</v>
      </c>
      <c r="E19" s="63" t="s">
        <v>3</v>
      </c>
      <c r="F19" s="83" t="s">
        <v>276</v>
      </c>
      <c r="N19" s="23" t="s">
        <v>9</v>
      </c>
      <c r="O19" s="23" t="s">
        <v>35</v>
      </c>
      <c r="Q19" s="73" t="s">
        <v>212</v>
      </c>
      <c r="R19" s="73" t="s">
        <v>211</v>
      </c>
      <c r="S19" s="15" t="s">
        <v>232</v>
      </c>
      <c r="T19" s="64" t="s">
        <v>16</v>
      </c>
      <c r="U19" s="15" t="s">
        <v>15</v>
      </c>
      <c r="V19" s="15" t="s">
        <v>213</v>
      </c>
      <c r="W19" s="15" t="s">
        <v>214</v>
      </c>
      <c r="X19" s="15"/>
      <c r="Y19" s="73" t="s">
        <v>215</v>
      </c>
      <c r="Z19" s="104" t="s">
        <v>171</v>
      </c>
      <c r="AA19" s="63" t="s">
        <v>172</v>
      </c>
      <c r="AB19" s="64" t="s">
        <v>229</v>
      </c>
      <c r="AC19" s="73" t="s">
        <v>216</v>
      </c>
      <c r="AE19" s="24" t="s">
        <v>209</v>
      </c>
      <c r="AF19" s="24" t="s">
        <v>210</v>
      </c>
      <c r="AH19" s="23" t="s">
        <v>37</v>
      </c>
      <c r="AI19" s="23" t="s">
        <v>159</v>
      </c>
      <c r="AJ19" s="23" t="s">
        <v>160</v>
      </c>
      <c r="AK19" s="23" t="s">
        <v>162</v>
      </c>
      <c r="AM19" s="23" t="s">
        <v>44</v>
      </c>
      <c r="AN19" s="23" t="s">
        <v>166</v>
      </c>
      <c r="AO19" s="23" t="s">
        <v>167</v>
      </c>
      <c r="AP19" s="23" t="s">
        <v>168</v>
      </c>
      <c r="AQ19" s="23" t="s">
        <v>169</v>
      </c>
      <c r="AS19" s="23" t="s">
        <v>148</v>
      </c>
      <c r="AU19" s="23" t="s">
        <v>155</v>
      </c>
      <c r="AW19" s="63" t="s">
        <v>212</v>
      </c>
      <c r="AX19" s="63" t="s">
        <v>211</v>
      </c>
      <c r="AY19" s="15" t="s">
        <v>232</v>
      </c>
      <c r="AZ19" s="63" t="s">
        <v>16</v>
      </c>
      <c r="BA19" s="15" t="s">
        <v>15</v>
      </c>
      <c r="BB19" s="15" t="s">
        <v>213</v>
      </c>
      <c r="BC19" s="15" t="s">
        <v>214</v>
      </c>
      <c r="BE19" s="63" t="s">
        <v>215</v>
      </c>
      <c r="BF19" s="84" t="s">
        <v>171</v>
      </c>
      <c r="BG19" s="63" t="s">
        <v>172</v>
      </c>
      <c r="BH19" s="63" t="s">
        <v>229</v>
      </c>
      <c r="BI19" s="63" t="s">
        <v>216</v>
      </c>
      <c r="BK19" s="23" t="s">
        <v>157</v>
      </c>
      <c r="BL19" s="23" t="s">
        <v>158</v>
      </c>
      <c r="BM19" s="23" t="s">
        <v>46</v>
      </c>
      <c r="BN19" s="23" t="s">
        <v>37</v>
      </c>
      <c r="BO19" s="23" t="s">
        <v>159</v>
      </c>
      <c r="BP19" s="23" t="s">
        <v>160</v>
      </c>
      <c r="BQ19" s="23" t="s">
        <v>162</v>
      </c>
      <c r="BS19" s="23" t="s">
        <v>164</v>
      </c>
      <c r="BT19" s="23" t="s">
        <v>165</v>
      </c>
      <c r="BU19" s="23" t="s">
        <v>48</v>
      </c>
      <c r="BV19" s="23" t="s">
        <v>44</v>
      </c>
      <c r="BW19" s="23" t="s">
        <v>166</v>
      </c>
      <c r="BX19" s="23" t="s">
        <v>167</v>
      </c>
      <c r="BY19" s="23" t="s">
        <v>168</v>
      </c>
      <c r="BZ19" s="23" t="s">
        <v>169</v>
      </c>
      <c r="CB19" s="23" t="s">
        <v>148</v>
      </c>
      <c r="CD19" s="23" t="s">
        <v>155</v>
      </c>
      <c r="CW19" s="85" t="s">
        <v>209</v>
      </c>
      <c r="CX19" s="85" t="s">
        <v>277</v>
      </c>
      <c r="CY19" s="85" t="s">
        <v>30</v>
      </c>
      <c r="CZ19" s="103" t="s">
        <v>210</v>
      </c>
      <c r="DA19" s="104" t="s">
        <v>323</v>
      </c>
      <c r="DB19" s="86" t="s">
        <v>278</v>
      </c>
      <c r="DC19" s="86" t="s">
        <v>273</v>
      </c>
      <c r="DD19" s="86" t="s">
        <v>279</v>
      </c>
      <c r="DE19" s="85" t="s">
        <v>280</v>
      </c>
      <c r="DF19" s="85" t="s">
        <v>281</v>
      </c>
      <c r="DG19" s="85" t="s">
        <v>38</v>
      </c>
      <c r="DH19" s="85" t="s">
        <v>274</v>
      </c>
      <c r="DI19" s="86" t="s">
        <v>272</v>
      </c>
      <c r="DJ19" s="85" t="s">
        <v>282</v>
      </c>
      <c r="DK19" s="85" t="s">
        <v>276</v>
      </c>
      <c r="DL19" s="85" t="s">
        <v>283</v>
      </c>
    </row>
    <row r="20" spans="2:128" x14ac:dyDescent="0.25">
      <c r="B20" s="49" t="str">
        <f>IF(OR(H20&lt;&gt;"",N20&lt;&gt;""),IF(OR(DO20="#N/A Requesting Data...",DO20="#N/A Waiting For Data...",DP20="#N/A Requesting Data...",DP20="#N/A Waiting For Data..."),"Loading ….",IF(OR(LEFT(DO20,1)="#",LEFT(DP20,1)="#"),"Check Inputs",_xll.BView(DP20,B$19,"headers=false"))),"Select Deal Type")</f>
        <v>Select Deal Type</v>
      </c>
      <c r="C20" s="56" t="str">
        <f>IFERROR(1*_xll.BView($DP20,C$19,"headers=false"),"-")</f>
        <v>-</v>
      </c>
      <c r="D20" s="56" t="str">
        <f>IFERROR(1*_xll.BView($DP20,D$19,"headers=false"),"-")</f>
        <v>-</v>
      </c>
      <c r="E20" s="56" t="str">
        <f>IFERROR(1*_xll.BView($DP20,E$19,"headers=false"),"-")</f>
        <v>-</v>
      </c>
      <c r="F20" s="56" t="str">
        <f>IFERROR(1*_xll.BView($DP20,F$19,"headers=false"),"-")</f>
        <v>-</v>
      </c>
      <c r="G20" s="42"/>
      <c r="H20" s="44"/>
      <c r="I20" s="44" t="s">
        <v>1</v>
      </c>
      <c r="J20" s="52"/>
      <c r="K20" s="94" t="str">
        <f>IF(J20&lt;&gt;"",HYPERLINK("bbg://securities/"&amp;J20&amp;" CORP/SWPM",J20),IF(H20&lt;&gt;"",HYPERLINK("bbg://securities/"&amp;H20&amp;" CORP/SWPM",H20),""))</f>
        <v/>
      </c>
      <c r="L20" s="44"/>
      <c r="M20" s="52"/>
      <c r="N20" s="58"/>
      <c r="O20" s="52" t="e">
        <f t="shared" ref="O20:O39" si="0">INDEX(SwaptionDealType,MATCH(N20,SwaptionDealName,0))</f>
        <v>#N/A</v>
      </c>
      <c r="P20" s="52"/>
      <c r="Q20" s="44"/>
      <c r="R20" s="105"/>
      <c r="S20" s="105"/>
      <c r="T20" s="105"/>
      <c r="U20" s="105"/>
      <c r="V20" s="105"/>
      <c r="W20" s="105"/>
      <c r="X20" s="52"/>
      <c r="Y20" s="81"/>
      <c r="Z20" s="81"/>
      <c r="AA20" s="81"/>
      <c r="AB20" s="44"/>
      <c r="AC20" s="105"/>
      <c r="AD20" s="52"/>
      <c r="AE20" s="44"/>
      <c r="AF20" s="44"/>
      <c r="AG20" s="52"/>
      <c r="AH20" s="44"/>
      <c r="AI20" s="44"/>
      <c r="AJ20" s="44"/>
      <c r="AK20" s="44"/>
      <c r="AL20" s="52"/>
      <c r="AM20" s="44"/>
      <c r="AN20" s="44"/>
      <c r="AO20" s="44"/>
      <c r="AP20" s="44"/>
      <c r="AQ20" s="44"/>
      <c r="AR20" s="52"/>
      <c r="AS20" s="44"/>
      <c r="AT20" s="52"/>
      <c r="AU20" s="44"/>
      <c r="AV20" s="95">
        <v>42146</v>
      </c>
      <c r="AW20" s="48" t="str">
        <f>IF(LEFT(_xll.BView($DO20,AW$19,"headers=false"),1)&lt;&gt;"#",_xll.BView($DO20,AW$19,"headers=false"),"-")</f>
        <v>-</v>
      </c>
      <c r="AX20" s="48" t="str">
        <f>IF(LEFT(_xll.BView($DO20,AX$19,"headers=false"),1)&lt;&gt;"#",_xll.BView($DO20,AX$19,"headers=false"),"-")</f>
        <v>-</v>
      </c>
      <c r="AY20" s="56" t="str">
        <f>IF(LEFT(_xll.BView($DO20,AY$19,"headers=false"),1)&lt;&gt;"#",_xll.BView($DO20,AY$19,"headers=false"),"-")</f>
        <v>-</v>
      </c>
      <c r="AZ20" s="49" t="str">
        <f>IF(LEFT(_xll.BView($DO20,AZ$19,"headers=false"),1)&lt;&gt;"#",_xll.BView($DO20,AZ$19,"headers=false"),"-")</f>
        <v>-</v>
      </c>
      <c r="BA20" s="48" t="str">
        <f>IF(LEFT(_xll.BView($DO20,BA$19,"headers=false"),1)&lt;&gt;"#",_xll.BView($DO20,BA$19,"headers=false"),"-")</f>
        <v>-</v>
      </c>
      <c r="BB20" s="48" t="str">
        <f>IF(LEFT(_xll.BView($DO20,BB$19,"headers=false"),1)&lt;&gt;"#",_xll.BView($DO20,BB$19,"headers=false"),"-")</f>
        <v>-</v>
      </c>
      <c r="BC20" s="48" t="str">
        <f>IF(LEFT(_xll.BView($DO20,BC$19,"headers=false"),1)&lt;&gt;"#",_xll.BView($DO20,BC$19,"headers=false"),"-")</f>
        <v>-</v>
      </c>
      <c r="BD20" s="95"/>
      <c r="BE20" s="48" t="str">
        <f>IF(LEFT(_xll.BView($DO20,BE$19,"headers=false"),1)&lt;&gt;"#",_xll.BView($DO20,BE$19,"headers=false"),"-")</f>
        <v>-</v>
      </c>
      <c r="BF20" s="48" t="str">
        <f>IF(LEFT(_xll.BView($DO20,BF$19,"headers=false"),1)&lt;&gt;"#",_xll.BView($DO20,BF$19,"headers=false"),"-")</f>
        <v>-</v>
      </c>
      <c r="BG20" s="48" t="str">
        <f>IF(LEFT(_xll.BView($DO20,BG$19,"headers=false"),1)&lt;&gt;"#",_xll.BView($DO20,BG$19,"headers=false"),"-")</f>
        <v>-</v>
      </c>
      <c r="BH20" s="48" t="str">
        <f>IF(LEFT(_xll.BView($DO20,BH$19,"headers=false"),1)&lt;&gt;"#",_xll.BView($DO20,BH$19,"headers=false"),"-")</f>
        <v>-</v>
      </c>
      <c r="BI20" s="49" t="str">
        <f>IF(LEFT(_xll.BView($DO20,BI$19,"headers=false"),1)&lt;&gt;"#",_xll.BView($DO20,BI$19,"headers=false"),"-")</f>
        <v>-</v>
      </c>
      <c r="BJ20" s="87"/>
      <c r="BK20" s="49" t="str">
        <f>IF(LEFT(_xll.BView($DO20,BK$19,"headers=false"),1)&lt;&gt;"#",_xll.BView($DO20,BK$19,"headers=false"),"-")</f>
        <v>-</v>
      </c>
      <c r="BL20" s="49" t="str">
        <f>IF(LEFT(_xll.BView($DO20,BL$19,"headers=false"),1)&lt;&gt;"#",_xll.BView($DO20,BL$19,"headers=false"),"-")</f>
        <v>-</v>
      </c>
      <c r="BM20" s="49" t="str">
        <f>IF(LEFT(_xll.BView($DO20,BM$19,"headers=false"),1)&lt;&gt;"#",_xll.BView($DO20,BM$19,"headers=false"),"-")</f>
        <v>-</v>
      </c>
      <c r="BN20" s="50" t="str">
        <f>IF(LEFT(_xll.BView($DO20,BN$19,"headers=false"),1)&lt;&gt;"#",_xll.BView($DO20,BN$19,"headers=false"),"-")</f>
        <v>-</v>
      </c>
      <c r="BO20" s="49" t="str">
        <f>IF(LEFT(_xll.BView($DO20,BO$19,"headers=false"),1)&lt;&gt;"#",_xll.BView($DO20,BO$19,"headers=false"),"-")</f>
        <v>-</v>
      </c>
      <c r="BP20" s="49" t="str">
        <f>IF(LEFT(_xll.BView($DO20,BP$19,"headers=false"),1)&lt;&gt;"#",_xll.BView($DO20,BP$19,"headers=false"),"-")</f>
        <v>-</v>
      </c>
      <c r="BQ20" s="49" t="str">
        <f>IF(LEFT(_xll.BView($DO20,BQ$19,"headers=false"),1)&lt;&gt;"#",_xll.BView($DO20,BQ$19,"headers=false"),"-")</f>
        <v>-</v>
      </c>
      <c r="BR20" s="51"/>
      <c r="BS20" s="49" t="str">
        <f>IF(LEFT(_xll.BView($DO20,BS$19,"headers=false"),1)&lt;&gt;"#",_xll.BView($DO20,BS$19,"headers=false"),"-")</f>
        <v>-</v>
      </c>
      <c r="BT20" s="49" t="str">
        <f>IF(LEFT(_xll.BView($DO20,BT$19,"headers=false"),1)&lt;&gt;"#",_xll.BView($DO20,BT$19,"headers=false"),"-")</f>
        <v>-</v>
      </c>
      <c r="BU20" s="49" t="str">
        <f>IF(LEFT(_xll.BView($DO20,BU$19,"headers=false"),1)&lt;&gt;"#",_xll.BView($DO20,BU$19,"headers=false"),"-")</f>
        <v>-</v>
      </c>
      <c r="BV20" s="49" t="str">
        <f>IF(LEFT(_xll.BView($DO20,BV$19,"headers=false"),1)&lt;&gt;"#",_xll.BView($DO20,BV$19,"headers=false"),"-")</f>
        <v>-</v>
      </c>
      <c r="BW20" s="49" t="str">
        <f>IF(LEFT(_xll.BView($DO20,BW$19,"headers=false"),1)&lt;&gt;"#",_xll.BView($DO20,BW$19,"headers=false"),"-")</f>
        <v>-</v>
      </c>
      <c r="BX20" s="49" t="str">
        <f>IF(LEFT(_xll.BView($DO20,BX$19,"headers=false"),1)&lt;&gt;"#",_xll.BView($DO20,BX$19,"headers=false"),"-")</f>
        <v>-</v>
      </c>
      <c r="BY20" s="49" t="str">
        <f>IF(LEFT(_xll.BView($DO20,BY$19,"headers=false"),1)&lt;&gt;"#",_xll.BView($DO20,BY$19,"headers=false"),"-")</f>
        <v>-</v>
      </c>
      <c r="BZ20" s="49" t="str">
        <f>IF(LEFT(_xll.BView($DO20,BZ$19,"headers=false"),1)&lt;&gt;"#",_xll.BView($DO20,BZ$19,"headers=false"),"-")</f>
        <v>-</v>
      </c>
      <c r="CA20" s="51" t="s">
        <v>153</v>
      </c>
      <c r="CB20" s="49" t="str">
        <f>IF(LEFT(_xll.BView($DO20,CB$19,"headers=false"),1)&lt;&gt;"#",_xll.BView($DO20,CB$19,"headers=false"),"-")</f>
        <v>-</v>
      </c>
      <c r="CC20" s="51"/>
      <c r="CD20" s="49" t="str">
        <f>IF(LEFT(_xll.BView($DO20,CD$19,"headers=false"),1)&lt;&gt;"#",_xll.BView($DO20,CD$19,"headers=false"),"-")</f>
        <v>-</v>
      </c>
      <c r="CE20" s="52"/>
      <c r="CF20" s="55" t="str">
        <f>IFERROR(INDEX(_xll.BMARKETPARAM($DO20,"array=true"),2,1),"")</f>
        <v/>
      </c>
      <c r="CG20" s="55" t="str">
        <f>IFERROR(INDEX(_xll.BMARKETPARAM($DO20,"array=true"),2,3),"")</f>
        <v/>
      </c>
      <c r="CH20" s="55" t="str">
        <f>IFERROR(INDEX(_xll.BMARKETPARAM($DO20,"array=true"),3,1),"")</f>
        <v/>
      </c>
      <c r="CI20" s="55" t="str">
        <f>IFERROR(INDEX(_xll.BMARKETPARAM($DO20,"array=true"),3,3),"")</f>
        <v/>
      </c>
      <c r="CJ20" s="55" t="str">
        <f>IFERROR(INDEX(_xll.BMARKETPARAM($DO20,"array=true"),4,1),"")</f>
        <v/>
      </c>
      <c r="CK20" s="55" t="str">
        <f>IFERROR(INDEX(_xll.BMARKETPARAM($DO20,"array=true"),4,3),"")</f>
        <v/>
      </c>
      <c r="CL20" s="52"/>
      <c r="CM20" s="44" t="s">
        <v>1</v>
      </c>
      <c r="CN20" s="44"/>
      <c r="CO20" s="88"/>
      <c r="CP20" s="55" t="str">
        <f t="shared" ref="CP20:CP39" si="1">CF20</f>
        <v/>
      </c>
      <c r="CQ20" s="89"/>
      <c r="CR20" s="90" t="str">
        <f>IF(CQ20&lt;&gt;"",_xll.BCurveStrip(CQ20,"CurveDate",SwaptionMarketDate,"ApplyDC",$CN20,"ParallelShift",$CO20),"")</f>
        <v/>
      </c>
      <c r="CS20" s="90" t="str">
        <f t="shared" ref="CS20:CS39" si="2">CH20</f>
        <v/>
      </c>
      <c r="CT20" s="44"/>
      <c r="CU20" s="90" t="str">
        <f>IF(CT20&lt;&gt;"",_xll.BCurveStrip(CT20,"CurveDate",SwaptionMarketDate,"ApplyDC",$CN20,"ParallelShift",$CO20),"")</f>
        <v/>
      </c>
      <c r="CV20" s="52"/>
      <c r="CW20" s="56" t="str">
        <f>IF(LEFT(_xll.BView($DP20,CW$19,"headers=false"),1)&lt;&gt;"#",_xll.BView($DP20,CW$19,"headers=false"),"-")</f>
        <v>-</v>
      </c>
      <c r="CX20" s="56" t="str">
        <f>IF(LEFT(_xll.BView($DP20,CX$19,"headers=false"),1)&lt;&gt;"#",_xll.BView($DP20,CX$19,"headers=false"),"-")</f>
        <v>-</v>
      </c>
      <c r="CY20" s="56" t="str">
        <f>IF(LEFT(_xll.BView($DP20,CY$19,"headers=false"),1)&lt;&gt;"#",_xll.BView($DP20,CY$19,"headers=false"),"-")</f>
        <v>-</v>
      </c>
      <c r="CZ20" s="56" t="str">
        <f>IF(LEFT(_xll.BView($DP20,CZ$19,"headers=false"),1)&lt;&gt;"#",_xll.BView($DP20,CZ$19,"headers=false"),"-")</f>
        <v>-</v>
      </c>
      <c r="DA20" s="56" t="str">
        <f>IF(LEFT(_xll.BView($DP20,DA$19,"headers=false"),1)&lt;&gt;"#",_xll.BView($DP20,DA$19,"headers=false"),"-")</f>
        <v>-</v>
      </c>
      <c r="DB20" s="56" t="str">
        <f>IF(LEFT(_xll.BView($DP20,DB$19,"headers=false"),1)&lt;&gt;"#",_xll.BView($DP20,DB$19,"headers=false"),"-")</f>
        <v>-</v>
      </c>
      <c r="DC20" s="56" t="str">
        <f>IF(LEFT(_xll.BView($DP20,DC$19,"headers=false"),1)&lt;&gt;"#",_xll.BView($DP20,DC$19,"headers=false"),"-")</f>
        <v>-</v>
      </c>
      <c r="DD20" s="56" t="str">
        <f>IF(LEFT(_xll.BView($DP20,DD$19,"headers=false"),1)&lt;&gt;"#",_xll.BView($DP20,DD$19,"headers=false"),"-")</f>
        <v>-</v>
      </c>
      <c r="DE20" s="56" t="str">
        <f>IF(LEFT(_xll.BView($DP20,DE$19,"headers=false"),1)&lt;&gt;"#",_xll.BView($DP20,DE$19,"headers=false"),"-")</f>
        <v>-</v>
      </c>
      <c r="DF20" s="56" t="str">
        <f>IF(LEFT(_xll.BView($DP20,DF$19,"headers=false"),1)&lt;&gt;"#",_xll.BView($DP20,DF$19,"headers=false"),"-")</f>
        <v>-</v>
      </c>
      <c r="DG20" s="56" t="str">
        <f>IF(LEFT(_xll.BView($DP20,DG$19,"headers=false"),1)&lt;&gt;"#",_xll.BView($DP20,DG$19,"headers=false"),"-")</f>
        <v>-</v>
      </c>
      <c r="DH20" s="56" t="str">
        <f>IF(LEFT(_xll.BView($DP20,DH$19,"headers=false"),1)&lt;&gt;"#",_xll.BView($DP20,DH$19,"headers=false"),"-")</f>
        <v>-</v>
      </c>
      <c r="DI20" s="56" t="str">
        <f>IF(LEFT(_xll.BView($DP20,DI$19,"headers=false"),1)&lt;&gt;"#",_xll.BView($DP20,DI$19,"headers=false"),"-")</f>
        <v>-</v>
      </c>
      <c r="DJ20" s="56" t="str">
        <f>IF(LEFT(_xll.BView($DP20,DJ$19,"headers=false"),1)&lt;&gt;"#",_xll.BView($DP20,DJ$19,"headers=false"),"-")</f>
        <v>-</v>
      </c>
      <c r="DK20" s="56" t="str">
        <f>IF(LEFT(_xll.BView($DP20,DK$19,"headers=false"),1)&lt;&gt;"#",_xll.BView($DP20,DK$19,"headers=false"),"-")</f>
        <v>-</v>
      </c>
      <c r="DL20" s="56" t="str">
        <f>IF(LEFT(_xll.BView($DP20,DL$19,"headers=false"),1)&lt;&gt;"#",_xll.BView($DP20,DL$19,"headers=false"),"-")</f>
        <v>-</v>
      </c>
      <c r="DM20" s="42"/>
      <c r="DN20" s="47" t="str">
        <f>IF(Y20&lt;&gt;"",IF(ISERROR(RIGHT(Y20,1)*1)," "&amp;Y20&amp;"x"&amp;IF(AA20&lt;&gt;"",AA20,Y20)," E"&amp;usdate(Y20)&amp;" "&amp;IF(AA20&lt;&gt;"",usdate(AA20),usdate(Y20+3653))),IF(AA20&lt;&gt;"",IF(ISERROR(RIGHT(AA20,1)*1)," "&amp;AA20," "&amp;usdate(AA20)),""))</f>
        <v/>
      </c>
      <c r="DO20" s="80" t="str">
        <f>IF(OR(H20&lt;&gt;"",N20&lt;&gt;""),_xll.BSTRUCTURE(IF(H20&lt;&gt;"",H20,O20&amp;DN20),$Q$19:$W$19,Q20:W20,$AB$19:$AC$19,AB20:AC20,$AH$19:$AK$19,AH20:AK20,$AM$19:$AQ$19,AM20:AQ20,$AS$19,AS20,$AU$19,AU20,$Z$19,Z20,$Y$19,IF(ISERROR(RIGHT(Y20,1)*1),"",Y20),$AA$19,IF(ISERROR(RIGHT(AA20,1)*1),"",AA20),"ignoreinvalidparams=true"),"Enter deal type or saved ID.")</f>
        <v>Enter deal type or saved ID.</v>
      </c>
      <c r="DP20" s="80" t="str">
        <f>IF(LEFT(DO20,1)="E","",IF(CM20="No",_xll.BPRICE(DO20,"MarketDate",SwaptionMarketDate,"ValuationDate",SwaptionValuationDate,$AE$19:$AF$19,AE20:AF20,"alwaysrefresh"),_xll.BPRICE(DO20,"MarketDate",SwaptionMarketDate,"ValuationDate",SwaptionValuationDate,CP20,CR20,CS20,CU20,$AE$19:$AF$19,AE20:AF20,"alwaysrefresh")))</f>
        <v/>
      </c>
    </row>
    <row r="21" spans="2:128" x14ac:dyDescent="0.25">
      <c r="B21" s="27" t="str">
        <f>IF(OR(H21&lt;&gt;"",N21&lt;&gt;""),IF(OR(DO21="#N/A Requesting Data...",DO21="#N/A Waiting For Data...",DP21="#N/A Requesting Data...",DP21="#N/A Waiting For Data..."),"Loading ….",IF(OR(LEFT(DO21,1)="#",LEFT(DP21,1)="#"),"Check Inputs",_xll.BView(DP21,B$19,"headers=false"))),"Select Deal Type")</f>
        <v>Select Deal Type</v>
      </c>
      <c r="C21" s="57" t="str">
        <f>IFERROR(1*_xll.BView($DP21,C$19,"headers=false"),"-")</f>
        <v>-</v>
      </c>
      <c r="D21" s="57" t="str">
        <f>IFERROR(1*_xll.BView($DP21,D$19,"headers=false"),"-")</f>
        <v>-</v>
      </c>
      <c r="E21" s="56" t="str">
        <f>IFERROR(1*_xll.BView($DP21,E$19,"headers=false"),"-")</f>
        <v>-</v>
      </c>
      <c r="F21" s="56" t="str">
        <f>IFERROR(1*_xll.BView($DP21,F$19,"headers=false"),"-")</f>
        <v>-</v>
      </c>
      <c r="H21" s="40"/>
      <c r="I21" s="40" t="s">
        <v>1</v>
      </c>
      <c r="J21" s="20"/>
      <c r="K21" s="96" t="str">
        <f>IF(J21&lt;&gt;"",HYPERLINK("bbg://securities/"&amp;J21&amp;" CORP/SWPM",J21),IF(H21&lt;&gt;"",HYPERLINK("bbg://securities/"&amp;H21&amp;" CORP/SWPM",H21),""))</f>
        <v/>
      </c>
      <c r="L21" s="40"/>
      <c r="M21" s="20"/>
      <c r="N21" s="58"/>
      <c r="O21" s="52" t="e">
        <f t="shared" si="0"/>
        <v>#N/A</v>
      </c>
      <c r="P21" s="20"/>
      <c r="Q21" s="40"/>
      <c r="R21" s="106"/>
      <c r="S21" s="106"/>
      <c r="T21" s="106"/>
      <c r="U21" s="106"/>
      <c r="V21" s="106"/>
      <c r="W21" s="106"/>
      <c r="X21" s="62"/>
      <c r="Y21" s="36"/>
      <c r="Z21" s="81"/>
      <c r="AA21" s="36"/>
      <c r="AB21" s="40"/>
      <c r="AC21" s="106"/>
      <c r="AD21" s="62"/>
      <c r="AE21" s="40"/>
      <c r="AF21" s="40"/>
      <c r="AG21" s="20"/>
      <c r="AH21" s="40"/>
      <c r="AI21" s="40"/>
      <c r="AJ21" s="40"/>
      <c r="AK21" s="40"/>
      <c r="AL21" s="20"/>
      <c r="AM21" s="40"/>
      <c r="AN21" s="40"/>
      <c r="AO21" s="40"/>
      <c r="AP21" s="40"/>
      <c r="AQ21" s="40"/>
      <c r="AR21" s="20"/>
      <c r="AS21" s="40"/>
      <c r="AT21" s="20"/>
      <c r="AU21" s="40"/>
      <c r="AV21" s="78">
        <v>42146</v>
      </c>
      <c r="AW21" s="48" t="str">
        <f>IF(LEFT(_xll.BView($DO21,AW$19,"headers=false"),1)&lt;&gt;"#",_xll.BView($DO21,AW$19,"headers=false"),"-")</f>
        <v>-</v>
      </c>
      <c r="AX21" s="48" t="str">
        <f>IF(LEFT(_xll.BView($DO21,AX$19,"headers=false"),1)&lt;&gt;"#",_xll.BView($DO21,AX$19,"headers=false"),"-")</f>
        <v>-</v>
      </c>
      <c r="AY21" s="56" t="str">
        <f>IF(LEFT(_xll.BView($DO21,AY$19,"headers=false"),1)&lt;&gt;"#",_xll.BView($DO21,AY$19,"headers=false"),"-")</f>
        <v>-</v>
      </c>
      <c r="AZ21" s="49" t="str">
        <f>IF(LEFT(_xll.BView($DO21,AZ$19,"headers=false"),1)&lt;&gt;"#",_xll.BView($DO21,AZ$19,"headers=false"),"-")</f>
        <v>-</v>
      </c>
      <c r="BA21" s="48" t="str">
        <f>IF(LEFT(_xll.BView($DO21,BA$19,"headers=false"),1)&lt;&gt;"#",_xll.BView($DO21,BA$19,"headers=false"),"-")</f>
        <v>-</v>
      </c>
      <c r="BB21" s="48" t="str">
        <f>IF(LEFT(_xll.BView($DO21,BB$19,"headers=false"),1)&lt;&gt;"#",_xll.BView($DO21,BB$19,"headers=false"),"-")</f>
        <v>-</v>
      </c>
      <c r="BC21" s="48" t="str">
        <f>IF(LEFT(_xll.BView($DO21,BC$19,"headers=false"),1)&lt;&gt;"#",_xll.BView($DO21,BC$19,"headers=false"),"-")</f>
        <v>-</v>
      </c>
      <c r="BD21" s="78"/>
      <c r="BE21" s="37" t="str">
        <f>IF(LEFT(_xll.BView($DO21,BE$19,"headers=false"),1)&lt;&gt;"#",_xll.BView($DO21,BE$19,"headers=false"),"-")</f>
        <v>-</v>
      </c>
      <c r="BF21" s="37" t="str">
        <f>IF(LEFT(_xll.BView($DO21,BF$19,"headers=false"),1)&lt;&gt;"#",_xll.BView($DO21,BF$19,"headers=false"),"-")</f>
        <v>-</v>
      </c>
      <c r="BG21" s="37" t="str">
        <f>IF(LEFT(_xll.BView($DO21,BG$19,"headers=false"),1)&lt;&gt;"#",_xll.BView($DO21,BG$19,"headers=false"),"-")</f>
        <v>-</v>
      </c>
      <c r="BH21" s="37" t="str">
        <f>IF(LEFT(_xll.BView($DO21,BH$19,"headers=false"),1)&lt;&gt;"#",_xll.BView($DO21,BH$19,"headers=false"),"-")</f>
        <v>-</v>
      </c>
      <c r="BI21" s="27" t="str">
        <f>IF(LEFT(_xll.BView($DO21,BI$19,"headers=false"),1)&lt;&gt;"#",_xll.BView($DO21,BI$19,"headers=false"),"-")</f>
        <v>-</v>
      </c>
      <c r="BJ21" s="21"/>
      <c r="BK21" s="27" t="str">
        <f>IF(LEFT(_xll.BView($DO21,BK$19,"headers=false"),1)&lt;&gt;"#",_xll.BView($DO21,BK$19,"headers=false"),"-")</f>
        <v>-</v>
      </c>
      <c r="BL21" s="27" t="str">
        <f>IF(LEFT(_xll.BView($DO21,BL$19,"headers=false"),1)&lt;&gt;"#",_xll.BView($DO21,BL$19,"headers=false"),"-")</f>
        <v>-</v>
      </c>
      <c r="BM21" s="27" t="str">
        <f>IF(LEFT(_xll.BView($DO21,BM$19,"headers=false"),1)&lt;&gt;"#",_xll.BView($DO21,BM$19,"headers=false"),"-")</f>
        <v>-</v>
      </c>
      <c r="BN21" s="38" t="str">
        <f>IF(LEFT(_xll.BView($DO21,BN$19,"headers=false"),1)&lt;&gt;"#",_xll.BView($DO21,BN$19,"headers=false"),"-")</f>
        <v>-</v>
      </c>
      <c r="BO21" s="27" t="str">
        <f>IF(LEFT(_xll.BView($DO21,BO$19,"headers=false"),1)&lt;&gt;"#",_xll.BView($DO21,BO$19,"headers=false"),"-")</f>
        <v>-</v>
      </c>
      <c r="BP21" s="27" t="str">
        <f>IF(LEFT(_xll.BView($DO21,BP$19,"headers=false"),1)&lt;&gt;"#",_xll.BView($DO21,BP$19,"headers=false"),"-")</f>
        <v>-</v>
      </c>
      <c r="BQ21" s="27" t="str">
        <f>IF(LEFT(_xll.BView($DO21,BQ$19,"headers=false"),1)&lt;&gt;"#",_xll.BView($DO21,BQ$19,"headers=false"),"-")</f>
        <v>-</v>
      </c>
      <c r="BR21" s="22"/>
      <c r="BS21" s="27" t="str">
        <f>IF(LEFT(_xll.BView($DO21,BS$19,"headers=false"),1)&lt;&gt;"#",_xll.BView($DO21,BS$19,"headers=false"),"-")</f>
        <v>-</v>
      </c>
      <c r="BT21" s="27" t="str">
        <f>IF(LEFT(_xll.BView($DO21,BT$19,"headers=false"),1)&lt;&gt;"#",_xll.BView($DO21,BT$19,"headers=false"),"-")</f>
        <v>-</v>
      </c>
      <c r="BU21" s="27" t="str">
        <f>IF(LEFT(_xll.BView($DO21,BU$19,"headers=false"),1)&lt;&gt;"#",_xll.BView($DO21,BU$19,"headers=false"),"-")</f>
        <v>-</v>
      </c>
      <c r="BV21" s="27" t="str">
        <f>IF(LEFT(_xll.BView($DO21,BV$19,"headers=false"),1)&lt;&gt;"#",_xll.BView($DO21,BV$19,"headers=false"),"-")</f>
        <v>-</v>
      </c>
      <c r="BW21" s="27" t="str">
        <f>IF(LEFT(_xll.BView($DO21,BW$19,"headers=false"),1)&lt;&gt;"#",_xll.BView($DO21,BW$19,"headers=false"),"-")</f>
        <v>-</v>
      </c>
      <c r="BX21" s="27" t="str">
        <f>IF(LEFT(_xll.BView($DO21,BX$19,"headers=false"),1)&lt;&gt;"#",_xll.BView($DO21,BX$19,"headers=false"),"-")</f>
        <v>-</v>
      </c>
      <c r="BY21" s="27" t="str">
        <f>IF(LEFT(_xll.BView($DO21,BY$19,"headers=false"),1)&lt;&gt;"#",_xll.BView($DO21,BY$19,"headers=false"),"-")</f>
        <v>-</v>
      </c>
      <c r="BZ21" s="27" t="str">
        <f>IF(LEFT(_xll.BView($DO21,BZ$19,"headers=false"),1)&lt;&gt;"#",_xll.BView($DO21,BZ$19,"headers=false"),"-")</f>
        <v>-</v>
      </c>
      <c r="CA21" s="22" t="s">
        <v>153</v>
      </c>
      <c r="CB21" s="27" t="str">
        <f>IF(LEFT(_xll.BView($DO21,CB$19,"headers=false"),1)&lt;&gt;"#",_xll.BView($DO21,CB$19,"headers=false"),"-")</f>
        <v>-</v>
      </c>
      <c r="CC21" s="22"/>
      <c r="CD21" s="27" t="str">
        <f>IF(LEFT(_xll.BView($DO21,CD$19,"headers=false"),1)&lt;&gt;"#",_xll.BView($DO21,CD$19,"headers=false"),"-")</f>
        <v>-</v>
      </c>
      <c r="CE21" s="20"/>
      <c r="CF21" s="28" t="str">
        <f>IFERROR(INDEX(_xll.BMARKETPARAM($DO21,"array=true"),2,1),"")</f>
        <v/>
      </c>
      <c r="CG21" s="28" t="str">
        <f>IFERROR(INDEX(_xll.BMARKETPARAM($DO21,"array=true"),2,3),"")</f>
        <v/>
      </c>
      <c r="CH21" s="28" t="str">
        <f>IFERROR(INDEX(_xll.BMARKETPARAM($DO21,"array=true"),3,1),"")</f>
        <v/>
      </c>
      <c r="CI21" s="28" t="str">
        <f>IFERROR(INDEX(_xll.BMARKETPARAM($DO21,"array=true"),3,3),"")</f>
        <v/>
      </c>
      <c r="CJ21" s="28" t="str">
        <f>IFERROR(INDEX(_xll.BMARKETPARAM($DO21,"array=true"),4,1),"")</f>
        <v/>
      </c>
      <c r="CK21" s="28" t="str">
        <f>IFERROR(INDEX(_xll.BMARKETPARAM($DO21,"array=true"),4,3),"")</f>
        <v/>
      </c>
      <c r="CL21" s="20"/>
      <c r="CM21" s="40" t="s">
        <v>1</v>
      </c>
      <c r="CN21" s="40"/>
      <c r="CO21" s="91"/>
      <c r="CP21" s="28" t="str">
        <f t="shared" si="1"/>
        <v/>
      </c>
      <c r="CQ21" s="92"/>
      <c r="CR21" s="93" t="str">
        <f>IF(CQ21&lt;&gt;"",_xll.BCurveStrip(CQ21,"CurveDate",SwaptionMarketDate,"ApplyDC",$CN21,"ParallelShift",$CO21),"")</f>
        <v/>
      </c>
      <c r="CS21" s="93" t="str">
        <f t="shared" si="2"/>
        <v/>
      </c>
      <c r="CT21" s="40"/>
      <c r="CU21" s="93" t="str">
        <f>IF(CT21&lt;&gt;"",_xll.BCurveStrip(CT21,"CurveDate",SwaptionMarketDate,"ApplyDC",$CN21,"ParallelShift",$CO21),"")</f>
        <v/>
      </c>
      <c r="CV21" s="20"/>
      <c r="CW21" s="56" t="str">
        <f>IF(LEFT(_xll.BView($DP21,CW$19,"headers=false"),1)&lt;&gt;"#",_xll.BView($DP21,CW$19,"headers=false"),"-")</f>
        <v>-</v>
      </c>
      <c r="CX21" s="56" t="str">
        <f>IF(LEFT(_xll.BView($DP21,CX$19,"headers=false"),1)&lt;&gt;"#",_xll.BView($DP21,CX$19,"headers=false"),"-")</f>
        <v>-</v>
      </c>
      <c r="CY21" s="56" t="str">
        <f>IF(LEFT(_xll.BView($DP21,CY$19,"headers=false"),1)&lt;&gt;"#",_xll.BView($DP21,CY$19,"headers=false"),"-")</f>
        <v>-</v>
      </c>
      <c r="CZ21" s="56" t="str">
        <f>IF(LEFT(_xll.BView($DP21,CZ$19,"headers=false"),1)&lt;&gt;"#",_xll.BView($DP21,CZ$19,"headers=false"),"-")</f>
        <v>-</v>
      </c>
      <c r="DA21" s="56" t="str">
        <f>IF(LEFT(_xll.BView($DP21,DA$19,"headers=false"),1)&lt;&gt;"#",_xll.BView($DP21,DA$19,"headers=false"),"-")</f>
        <v>-</v>
      </c>
      <c r="DB21" s="56" t="str">
        <f>IF(LEFT(_xll.BView($DP21,DB$19,"headers=false"),1)&lt;&gt;"#",_xll.BView($DP21,DB$19,"headers=false"),"-")</f>
        <v>-</v>
      </c>
      <c r="DC21" s="56" t="str">
        <f>IF(LEFT(_xll.BView($DP21,DC$19,"headers=false"),1)&lt;&gt;"#",_xll.BView($DP21,DC$19,"headers=false"),"-")</f>
        <v>-</v>
      </c>
      <c r="DD21" s="56" t="str">
        <f>IF(LEFT(_xll.BView($DP21,DD$19,"headers=false"),1)&lt;&gt;"#",_xll.BView($DP21,DD$19,"headers=false"),"-")</f>
        <v>-</v>
      </c>
      <c r="DE21" s="56" t="str">
        <f>IF(LEFT(_xll.BView($DP21,DE$19,"headers=false"),1)&lt;&gt;"#",_xll.BView($DP21,DE$19,"headers=false"),"-")</f>
        <v>-</v>
      </c>
      <c r="DF21" s="56" t="str">
        <f>IF(LEFT(_xll.BView($DP21,DF$19,"headers=false"),1)&lt;&gt;"#",_xll.BView($DP21,DF$19,"headers=false"),"-")</f>
        <v>-</v>
      </c>
      <c r="DG21" s="56" t="str">
        <f>IF(LEFT(_xll.BView($DP21,DG$19,"headers=false"),1)&lt;&gt;"#",_xll.BView($DP21,DG$19,"headers=false"),"-")</f>
        <v>-</v>
      </c>
      <c r="DH21" s="56" t="str">
        <f>IF(LEFT(_xll.BView($DP21,DH$19,"headers=false"),1)&lt;&gt;"#",_xll.BView($DP21,DH$19,"headers=false"),"-")</f>
        <v>-</v>
      </c>
      <c r="DI21" s="56" t="str">
        <f>IF(LEFT(_xll.BView($DP21,DI$19,"headers=false"),1)&lt;&gt;"#",_xll.BView($DP21,DI$19,"headers=false"),"-")</f>
        <v>-</v>
      </c>
      <c r="DJ21" s="56" t="str">
        <f>IF(LEFT(_xll.BView($DP21,DJ$19,"headers=false"),1)&lt;&gt;"#",_xll.BView($DP21,DJ$19,"headers=false"),"-")</f>
        <v>-</v>
      </c>
      <c r="DK21" s="56" t="str">
        <f>IF(LEFT(_xll.BView($DP21,DK$19,"headers=false"),1)&lt;&gt;"#",_xll.BView($DP21,DK$19,"headers=false"),"-")</f>
        <v>-</v>
      </c>
      <c r="DL21" s="56" t="str">
        <f>IF(LEFT(_xll.BView($DP21,DL$19,"headers=false"),1)&lt;&gt;"#",_xll.BView($DP21,DL$19,"headers=false"),"-")</f>
        <v>-</v>
      </c>
      <c r="DN21" s="75" t="str">
        <f>IF(Y21&lt;&gt;"",IF(ISERROR(RIGHT(Y21,1)*1)," "&amp;Y21&amp;"x"&amp;IF(AA21&lt;&gt;"",AA21,Y21)," E"&amp;usdate(Y21)&amp;" "&amp;IF(AA21&lt;&gt;"",usdate(AA21),usdate(Y21+3653))),IF(AA21&lt;&gt;"",IF(ISERROR(RIGHT(AA21,1)*1)," "&amp;AA21," "&amp;usdate(AA21)),""))</f>
        <v/>
      </c>
      <c r="DO21" s="75" t="str">
        <f>IF(OR(H21&lt;&gt;"",N21&lt;&gt;""),_xll.BSTRUCTURE(IF(H21&lt;&gt;"",H21,O21&amp;DN21),$Q$19:$W$19,Q21:W21,$AB$19:$AC$19,AB21:AC21,$AH$19:$AK$19,AH21:AK21,$AM$19:$AQ$19,AM21:AQ21,$AS$19,AS21,$AU$19,AU21,$Z$19,Z21,$Y$19,IF(ISERROR(RIGHT(Y21,1)*1),"",Y21),$AA$19,IF(ISERROR(RIGHT(AA21,1)*1),"",AA21),"ignoreinvalidparams=true"),"Enter deal type or saved ID.")</f>
        <v>Enter deal type or saved ID.</v>
      </c>
      <c r="DP21" s="75" t="str">
        <f>IF(LEFT(DO21,1)="E","",IF(CM21="No",_xll.BPRICE(DO21,"MarketDate",SwaptionMarketDate,"ValuationDate",SwaptionValuationDate,$AE$19:$AF$19,AE21:AF21,"alwaysrefresh"),_xll.BPRICE(DO21,"MarketDate",SwaptionMarketDate,"ValuationDate",SwaptionValuationDate,CP21,CR21,CS21,CU21,$AE$19:$AF$19,AE21:AF21,"alwaysrefresh")))</f>
        <v/>
      </c>
    </row>
    <row r="22" spans="2:128" x14ac:dyDescent="0.25">
      <c r="B22" s="27" t="str">
        <f>IF(OR(H22&lt;&gt;"",N22&lt;&gt;""),IF(OR(DO22="#N/A Requesting Data...",DO22="#N/A Waiting For Data...",DP22="#N/A Requesting Data...",DP22="#N/A Waiting For Data..."),"Loading ….",IF(OR(LEFT(DO22,1)="#",LEFT(DP22,1)="#"),"Check Inputs",_xll.BView(DP22,B$19,"headers=false"))),"Select Deal Type")</f>
        <v>Select Deal Type</v>
      </c>
      <c r="C22" s="57" t="str">
        <f>IFERROR(1*_xll.BView($DP22,C$19,"headers=false"),"-")</f>
        <v>-</v>
      </c>
      <c r="D22" s="57" t="str">
        <f>IFERROR(1*_xll.BView($DP22,D$19,"headers=false"),"-")</f>
        <v>-</v>
      </c>
      <c r="E22" s="56" t="str">
        <f>IFERROR(1*_xll.BView($DP22,E$19,"headers=false"),"-")</f>
        <v>-</v>
      </c>
      <c r="F22" s="56" t="str">
        <f>IFERROR(1*_xll.BView($DP22,F$19,"headers=false"),"-")</f>
        <v>-</v>
      </c>
      <c r="H22" s="40"/>
      <c r="I22" s="40" t="s">
        <v>1</v>
      </c>
      <c r="J22" s="20"/>
      <c r="K22" s="96" t="str">
        <f t="shared" ref="K22:K39" si="3">IF(J22&lt;&gt;"",HYPERLINK("bbg://securities/"&amp;J22&amp;" CORP/SWPM",J22),IF(H22&lt;&gt;"",HYPERLINK("bbg://securities/"&amp;H22&amp;" CORP/SWPM",H22),""))</f>
        <v/>
      </c>
      <c r="L22" s="40"/>
      <c r="M22" s="20"/>
      <c r="N22" s="58"/>
      <c r="O22" s="52" t="e">
        <f t="shared" si="0"/>
        <v>#N/A</v>
      </c>
      <c r="P22" s="20"/>
      <c r="Q22" s="40"/>
      <c r="R22" s="106"/>
      <c r="S22" s="106"/>
      <c r="T22" s="106"/>
      <c r="U22" s="106"/>
      <c r="V22" s="106"/>
      <c r="W22" s="106"/>
      <c r="X22" s="78"/>
      <c r="Y22" s="36"/>
      <c r="Z22" s="81"/>
      <c r="AA22" s="36"/>
      <c r="AB22" s="40"/>
      <c r="AC22" s="106"/>
      <c r="AD22" s="78"/>
      <c r="AE22" s="40"/>
      <c r="AF22" s="77"/>
      <c r="AG22" s="20"/>
      <c r="AH22" s="40"/>
      <c r="AI22" s="40"/>
      <c r="AJ22" s="40"/>
      <c r="AK22" s="40"/>
      <c r="AL22" s="20"/>
      <c r="AM22" s="40"/>
      <c r="AN22" s="40"/>
      <c r="AO22" s="40"/>
      <c r="AP22" s="40"/>
      <c r="AQ22" s="40"/>
      <c r="AR22" s="20"/>
      <c r="AS22" s="40"/>
      <c r="AT22" s="20"/>
      <c r="AU22" s="40"/>
      <c r="AV22" s="20"/>
      <c r="AW22" s="48" t="str">
        <f>IF(LEFT(_xll.BView($DO22,AW$19,"headers=false"),1)&lt;&gt;"#",_xll.BView($DO22,AW$19,"headers=false"),"-")</f>
        <v>-</v>
      </c>
      <c r="AX22" s="48" t="str">
        <f>IF(LEFT(_xll.BView($DO22,AX$19,"headers=false"),1)&lt;&gt;"#",_xll.BView($DO22,AX$19,"headers=false"),"-")</f>
        <v>-</v>
      </c>
      <c r="AY22" s="56" t="str">
        <f>IF(LEFT(_xll.BView($DO22,AY$19,"headers=false"),1)&lt;&gt;"#",_xll.BView($DO22,AY$19,"headers=false"),"-")</f>
        <v>-</v>
      </c>
      <c r="AZ22" s="49" t="str">
        <f>IF(LEFT(_xll.BView($DO22,AZ$19,"headers=false"),1)&lt;&gt;"#",_xll.BView($DO22,AZ$19,"headers=false"),"-")</f>
        <v>-</v>
      </c>
      <c r="BA22" s="48" t="str">
        <f>IF(LEFT(_xll.BView($DO22,BA$19,"headers=false"),1)&lt;&gt;"#",_xll.BView($DO22,BA$19,"headers=false"),"-")</f>
        <v>-</v>
      </c>
      <c r="BB22" s="48" t="str">
        <f>IF(LEFT(_xll.BView($DO22,BB$19,"headers=false"),1)&lt;&gt;"#",_xll.BView($DO22,BB$19,"headers=false"),"-")</f>
        <v>-</v>
      </c>
      <c r="BC22" s="48" t="str">
        <f>IF(LEFT(_xll.BView($DO22,BC$19,"headers=false"),1)&lt;&gt;"#",_xll.BView($DO22,BC$19,"headers=false"),"-")</f>
        <v>-</v>
      </c>
      <c r="BD22" s="20"/>
      <c r="BE22" s="37" t="str">
        <f>IF(LEFT(_xll.BView($DO22,BE$19,"headers=false"),1)&lt;&gt;"#",_xll.BView($DO22,BE$19,"headers=false"),"-")</f>
        <v>-</v>
      </c>
      <c r="BF22" s="37" t="str">
        <f>IF(LEFT(_xll.BView($DO22,BF$19,"headers=false"),1)&lt;&gt;"#",_xll.BView($DO22,BF$19,"headers=false"),"-")</f>
        <v>-</v>
      </c>
      <c r="BG22" s="37" t="str">
        <f>IF(LEFT(_xll.BView($DO22,BG$19,"headers=false"),1)&lt;&gt;"#",_xll.BView($DO22,BG$19,"headers=false"),"-")</f>
        <v>-</v>
      </c>
      <c r="BH22" s="37" t="str">
        <f>IF(LEFT(_xll.BView($DO22,BH$19,"headers=false"),1)&lt;&gt;"#",_xll.BView($DO22,BH$19,"headers=false"),"-")</f>
        <v>-</v>
      </c>
      <c r="BI22" s="27" t="str">
        <f>IF(LEFT(_xll.BView($DO22,BI$19,"headers=false"),1)&lt;&gt;"#",_xll.BView($DO22,BI$19,"headers=false"),"-")</f>
        <v>-</v>
      </c>
      <c r="BJ22" s="21"/>
      <c r="BK22" s="27" t="str">
        <f>IF(LEFT(_xll.BView($DO22,BK$19,"headers=false"),1)&lt;&gt;"#",_xll.BView($DO22,BK$19,"headers=false"),"-")</f>
        <v>-</v>
      </c>
      <c r="BL22" s="27" t="str">
        <f>IF(LEFT(_xll.BView($DO22,BL$19,"headers=false"),1)&lt;&gt;"#",_xll.BView($DO22,BL$19,"headers=false"),"-")</f>
        <v>-</v>
      </c>
      <c r="BM22" s="27" t="str">
        <f>IF(LEFT(_xll.BView($DO22,BM$19,"headers=false"),1)&lt;&gt;"#",_xll.BView($DO22,BM$19,"headers=false"),"-")</f>
        <v>-</v>
      </c>
      <c r="BN22" s="38" t="str">
        <f>IF(LEFT(_xll.BView($DO22,BN$19,"headers=false"),1)&lt;&gt;"#",_xll.BView($DO22,BN$19,"headers=false"),"-")</f>
        <v>-</v>
      </c>
      <c r="BO22" s="27" t="str">
        <f>IF(LEFT(_xll.BView($DO22,BO$19,"headers=false"),1)&lt;&gt;"#",_xll.BView($DO22,BO$19,"headers=false"),"-")</f>
        <v>-</v>
      </c>
      <c r="BP22" s="27" t="str">
        <f>IF(LEFT(_xll.BView($DO22,BP$19,"headers=false"),1)&lt;&gt;"#",_xll.BView($DO22,BP$19,"headers=false"),"-")</f>
        <v>-</v>
      </c>
      <c r="BQ22" s="27" t="str">
        <f>IF(LEFT(_xll.BView($DO22,BQ$19,"headers=false"),1)&lt;&gt;"#",_xll.BView($DO22,BQ$19,"headers=false"),"-")</f>
        <v>-</v>
      </c>
      <c r="BR22" s="22"/>
      <c r="BS22" s="27" t="str">
        <f>IF(LEFT(_xll.BView($DO22,BS$19,"headers=false"),1)&lt;&gt;"#",_xll.BView($DO22,BS$19,"headers=false"),"-")</f>
        <v>-</v>
      </c>
      <c r="BT22" s="27" t="str">
        <f>IF(LEFT(_xll.BView($DO22,BT$19,"headers=false"),1)&lt;&gt;"#",_xll.BView($DO22,BT$19,"headers=false"),"-")</f>
        <v>-</v>
      </c>
      <c r="BU22" s="27" t="str">
        <f>IF(LEFT(_xll.BView($DO22,BU$19,"headers=false"),1)&lt;&gt;"#",_xll.BView($DO22,BU$19,"headers=false"),"-")</f>
        <v>-</v>
      </c>
      <c r="BV22" s="27" t="str">
        <f>IF(LEFT(_xll.BView($DO22,BV$19,"headers=false"),1)&lt;&gt;"#",_xll.BView($DO22,BV$19,"headers=false"),"-")</f>
        <v>-</v>
      </c>
      <c r="BW22" s="27" t="str">
        <f>IF(LEFT(_xll.BView($DO22,BW$19,"headers=false"),1)&lt;&gt;"#",_xll.BView($DO22,BW$19,"headers=false"),"-")</f>
        <v>-</v>
      </c>
      <c r="BX22" s="27" t="str">
        <f>IF(LEFT(_xll.BView($DO22,BX$19,"headers=false"),1)&lt;&gt;"#",_xll.BView($DO22,BX$19,"headers=false"),"-")</f>
        <v>-</v>
      </c>
      <c r="BY22" s="27" t="str">
        <f>IF(LEFT(_xll.BView($DO22,BY$19,"headers=false"),1)&lt;&gt;"#",_xll.BView($DO22,BY$19,"headers=false"),"-")</f>
        <v>-</v>
      </c>
      <c r="BZ22" s="27" t="str">
        <f>IF(LEFT(_xll.BView($DO22,BZ$19,"headers=false"),1)&lt;&gt;"#",_xll.BView($DO22,BZ$19,"headers=false"),"-")</f>
        <v>-</v>
      </c>
      <c r="CA22" s="22"/>
      <c r="CB22" s="27" t="str">
        <f>IF(LEFT(_xll.BView($DO22,CB$19,"headers=false"),1)&lt;&gt;"#",_xll.BView($DO22,CB$19,"headers=false"),"-")</f>
        <v>-</v>
      </c>
      <c r="CC22" s="22"/>
      <c r="CD22" s="27" t="str">
        <f>IF(LEFT(_xll.BView($DO22,CD$19,"headers=false"),1)&lt;&gt;"#",_xll.BView($DO22,CD$19,"headers=false"),"-")</f>
        <v>-</v>
      </c>
      <c r="CE22" s="20"/>
      <c r="CF22" s="28" t="str">
        <f>IFERROR(INDEX(_xll.BMARKETPARAM($DO22,"array=true"),2,1),"")</f>
        <v/>
      </c>
      <c r="CG22" s="28" t="str">
        <f>IFERROR(INDEX(_xll.BMARKETPARAM($DO22,"array=true"),2,3),"")</f>
        <v/>
      </c>
      <c r="CH22" s="28" t="str">
        <f>IFERROR(INDEX(_xll.BMARKETPARAM($DO22,"array=true"),3,1),"")</f>
        <v/>
      </c>
      <c r="CI22" s="28" t="str">
        <f>IFERROR(INDEX(_xll.BMARKETPARAM($DO22,"array=true"),3,3),"")</f>
        <v/>
      </c>
      <c r="CJ22" s="28" t="str">
        <f>IFERROR(INDEX(_xll.BMARKETPARAM($DO22,"array=true"),4,1),"")</f>
        <v/>
      </c>
      <c r="CK22" s="28" t="str">
        <f>IFERROR(INDEX(_xll.BMARKETPARAM($DO22,"array=true"),4,3),"")</f>
        <v/>
      </c>
      <c r="CL22" s="20"/>
      <c r="CM22" s="40" t="s">
        <v>1</v>
      </c>
      <c r="CN22" s="40"/>
      <c r="CO22" s="91"/>
      <c r="CP22" s="28" t="str">
        <f t="shared" si="1"/>
        <v/>
      </c>
      <c r="CQ22" s="92"/>
      <c r="CR22" s="93" t="str">
        <f>IF(CQ22&lt;&gt;"",_xll.BCurveStrip(CQ22,"CurveDate",SwaptionMarketDate,"ApplyDC",$CN22,"ParallelShift",$CO22),"")</f>
        <v/>
      </c>
      <c r="CS22" s="93" t="str">
        <f t="shared" si="2"/>
        <v/>
      </c>
      <c r="CT22" s="40"/>
      <c r="CU22" s="93" t="str">
        <f>IF(CT22&lt;&gt;"",_xll.BCurveStrip(CT22,"CurveDate",SwaptionMarketDate,"ApplyDC",$CN22,"ParallelShift",$CO22),"")</f>
        <v/>
      </c>
      <c r="CV22" s="20"/>
      <c r="CW22" s="56" t="str">
        <f>IF(LEFT(_xll.BView($DP22,CW$19,"headers=false"),1)&lt;&gt;"#",_xll.BView($DP22,CW$19,"headers=false"),"-")</f>
        <v>-</v>
      </c>
      <c r="CX22" s="56" t="str">
        <f>IF(LEFT(_xll.BView($DP22,CX$19,"headers=false"),1)&lt;&gt;"#",_xll.BView($DP22,CX$19,"headers=false"),"-")</f>
        <v>-</v>
      </c>
      <c r="CY22" s="56" t="str">
        <f>IF(LEFT(_xll.BView($DP22,CY$19,"headers=false"),1)&lt;&gt;"#",_xll.BView($DP22,CY$19,"headers=false"),"-")</f>
        <v>-</v>
      </c>
      <c r="CZ22" s="56" t="str">
        <f>IF(LEFT(_xll.BView($DP22,CZ$19,"headers=false"),1)&lt;&gt;"#",_xll.BView($DP22,CZ$19,"headers=false"),"-")</f>
        <v>-</v>
      </c>
      <c r="DA22" s="56" t="str">
        <f>IF(LEFT(_xll.BView($DP22,DA$19,"headers=false"),1)&lt;&gt;"#",_xll.BView($DP22,DA$19,"headers=false"),"-")</f>
        <v>-</v>
      </c>
      <c r="DB22" s="56" t="str">
        <f>IF(LEFT(_xll.BView($DP22,DB$19,"headers=false"),1)&lt;&gt;"#",_xll.BView($DP22,DB$19,"headers=false"),"-")</f>
        <v>-</v>
      </c>
      <c r="DC22" s="56" t="str">
        <f>IF(LEFT(_xll.BView($DP22,DC$19,"headers=false"),1)&lt;&gt;"#",_xll.BView($DP22,DC$19,"headers=false"),"-")</f>
        <v>-</v>
      </c>
      <c r="DD22" s="56" t="str">
        <f>IF(LEFT(_xll.BView($DP22,DD$19,"headers=false"),1)&lt;&gt;"#",_xll.BView($DP22,DD$19,"headers=false"),"-")</f>
        <v>-</v>
      </c>
      <c r="DE22" s="56" t="str">
        <f>IF(LEFT(_xll.BView($DP22,DE$19,"headers=false"),1)&lt;&gt;"#",_xll.BView($DP22,DE$19,"headers=false"),"-")</f>
        <v>-</v>
      </c>
      <c r="DF22" s="56" t="str">
        <f>IF(LEFT(_xll.BView($DP22,DF$19,"headers=false"),1)&lt;&gt;"#",_xll.BView($DP22,DF$19,"headers=false"),"-")</f>
        <v>-</v>
      </c>
      <c r="DG22" s="56" t="str">
        <f>IF(LEFT(_xll.BView($DP22,DG$19,"headers=false"),1)&lt;&gt;"#",_xll.BView($DP22,DG$19,"headers=false"),"-")</f>
        <v>-</v>
      </c>
      <c r="DH22" s="56" t="str">
        <f>IF(LEFT(_xll.BView($DP22,DH$19,"headers=false"),1)&lt;&gt;"#",_xll.BView($DP22,DH$19,"headers=false"),"-")</f>
        <v>-</v>
      </c>
      <c r="DI22" s="56" t="str">
        <f>IF(LEFT(_xll.BView($DP22,DI$19,"headers=false"),1)&lt;&gt;"#",_xll.BView($DP22,DI$19,"headers=false"),"-")</f>
        <v>-</v>
      </c>
      <c r="DJ22" s="56" t="str">
        <f>IF(LEFT(_xll.BView($DP22,DJ$19,"headers=false"),1)&lt;&gt;"#",_xll.BView($DP22,DJ$19,"headers=false"),"-")</f>
        <v>-</v>
      </c>
      <c r="DK22" s="56" t="str">
        <f>IF(LEFT(_xll.BView($DP22,DK$19,"headers=false"),1)&lt;&gt;"#",_xll.BView($DP22,DK$19,"headers=false"),"-")</f>
        <v>-</v>
      </c>
      <c r="DL22" s="56" t="str">
        <f>IF(LEFT(_xll.BView($DP22,DL$19,"headers=false"),1)&lt;&gt;"#",_xll.BView($DP22,DL$19,"headers=false"),"-")</f>
        <v>-</v>
      </c>
      <c r="DN22" s="75" t="str">
        <f>IF(Y22&lt;&gt;"",IF(ISERROR(RIGHT(Y22,1)*1)," "&amp;Y22&amp;"x"&amp;IF(AA22&lt;&gt;"",AA22,Y22)," E"&amp;usdate(Y22)&amp;" "&amp;IF(AA22&lt;&gt;"",usdate(AA22),usdate(Y22+3653))),IF(AA22&lt;&gt;"",IF(ISERROR(RIGHT(AA22,1)*1)," "&amp;AA22," "&amp;usdate(AA22)),""))</f>
        <v/>
      </c>
      <c r="DO22" s="75" t="str">
        <f>IF(OR(H22&lt;&gt;"",N22&lt;&gt;""),_xll.BSTRUCTURE(IF(H22&lt;&gt;"",H22,O22&amp;DN22),$Q$19:$W$19,Q22:W22,$AB$19:$AC$19,AB22:AC22,$AH$19:$AK$19,AH22:AK22,$AM$19:$AQ$19,AM22:AQ22,$AS$19,AS22,$AU$19,AU22,$Z$19,Z22,$Y$19,IF(ISERROR(RIGHT(Y22,1)*1),"",Y22),$AA$19,IF(ISERROR(RIGHT(AA22,1)*1),"",AA22),"ignoreinvalidparams=true"),"Enter deal type or saved ID.")</f>
        <v>Enter deal type or saved ID.</v>
      </c>
      <c r="DP22" s="75" t="str">
        <f>IF(LEFT(DO22,1)="E","",IF(CM22="No",_xll.BPRICE(DO22,"MarketDate",SwaptionMarketDate,"ValuationDate",SwaptionValuationDate,$AE$19:$AF$19,AE22:AF22,"alwaysrefresh"),_xll.BPRICE(DO22,"MarketDate",SwaptionMarketDate,"ValuationDate",SwaptionValuationDate,CP22,CR22,CS22,CU22,$AE$19:$AF$19,AE22:AF22,"alwaysrefresh")))</f>
        <v/>
      </c>
    </row>
    <row r="23" spans="2:128" x14ac:dyDescent="0.25">
      <c r="B23" s="27" t="str">
        <f>IF(OR(H23&lt;&gt;"",N23&lt;&gt;""),IF(OR(DO23="#N/A Requesting Data...",DO23="#N/A Waiting For Data...",DP23="#N/A Requesting Data...",DP23="#N/A Waiting For Data..."),"Loading ….",IF(OR(LEFT(DO23,1)="#",LEFT(DP23,1)="#"),"Check Inputs",_xll.BView(DP23,B$19,"headers=false"))),"Select Deal Type")</f>
        <v>Select Deal Type</v>
      </c>
      <c r="C23" s="57" t="str">
        <f>IFERROR(1*_xll.BView($DP23,C$19,"headers=false"),"-")</f>
        <v>-</v>
      </c>
      <c r="D23" s="57" t="str">
        <f>IFERROR(1*_xll.BView($DP23,D$19,"headers=false"),"-")</f>
        <v>-</v>
      </c>
      <c r="E23" s="56" t="str">
        <f>IFERROR(1*_xll.BView($DP23,E$19,"headers=false"),"-")</f>
        <v>-</v>
      </c>
      <c r="F23" s="56" t="str">
        <f>IFERROR(1*_xll.BView($DP23,F$19,"headers=false"),"-")</f>
        <v>-</v>
      </c>
      <c r="H23" s="40"/>
      <c r="I23" s="40" t="s">
        <v>1</v>
      </c>
      <c r="J23" s="20"/>
      <c r="K23" s="96" t="str">
        <f t="shared" si="3"/>
        <v/>
      </c>
      <c r="L23" s="40"/>
      <c r="M23" s="20"/>
      <c r="N23" s="58"/>
      <c r="O23" s="52" t="e">
        <f t="shared" si="0"/>
        <v>#N/A</v>
      </c>
      <c r="P23" s="20"/>
      <c r="Q23" s="40"/>
      <c r="R23" s="106"/>
      <c r="S23" s="106"/>
      <c r="T23" s="106"/>
      <c r="U23" s="106"/>
      <c r="V23" s="106"/>
      <c r="W23" s="106"/>
      <c r="X23" s="78"/>
      <c r="Y23" s="36"/>
      <c r="Z23" s="81"/>
      <c r="AA23" s="36"/>
      <c r="AB23" s="40"/>
      <c r="AC23" s="106"/>
      <c r="AD23" s="78"/>
      <c r="AE23" s="40"/>
      <c r="AF23" s="77"/>
      <c r="AG23" s="20"/>
      <c r="AH23" s="40"/>
      <c r="AI23" s="40"/>
      <c r="AJ23" s="40"/>
      <c r="AK23" s="40"/>
      <c r="AL23" s="20"/>
      <c r="AM23" s="40"/>
      <c r="AN23" s="40"/>
      <c r="AO23" s="40"/>
      <c r="AP23" s="40"/>
      <c r="AQ23" s="40"/>
      <c r="AR23" s="20"/>
      <c r="AS23" s="40"/>
      <c r="AT23" s="20"/>
      <c r="AU23" s="40"/>
      <c r="AV23" s="78">
        <v>42146</v>
      </c>
      <c r="AW23" s="48" t="str">
        <f>IF(LEFT(_xll.BView($DO23,AW$19,"headers=false"),1)&lt;&gt;"#",_xll.BView($DO23,AW$19,"headers=false"),"-")</f>
        <v>-</v>
      </c>
      <c r="AX23" s="48" t="str">
        <f>IF(LEFT(_xll.BView($DO23,AX$19,"headers=false"),1)&lt;&gt;"#",_xll.BView($DO23,AX$19,"headers=false"),"-")</f>
        <v>-</v>
      </c>
      <c r="AY23" s="56" t="str">
        <f>IF(LEFT(_xll.BView($DO23,AY$19,"headers=false"),1)&lt;&gt;"#",_xll.BView($DO23,AY$19,"headers=false"),"-")</f>
        <v>-</v>
      </c>
      <c r="AZ23" s="49" t="str">
        <f>IF(LEFT(_xll.BView($DO23,AZ$19,"headers=false"),1)&lt;&gt;"#",_xll.BView($DO23,AZ$19,"headers=false"),"-")</f>
        <v>-</v>
      </c>
      <c r="BA23" s="48" t="str">
        <f>IF(LEFT(_xll.BView($DO23,BA$19,"headers=false"),1)&lt;&gt;"#",_xll.BView($DO23,BA$19,"headers=false"),"-")</f>
        <v>-</v>
      </c>
      <c r="BB23" s="48" t="str">
        <f>IF(LEFT(_xll.BView($DO23,BB$19,"headers=false"),1)&lt;&gt;"#",_xll.BView($DO23,BB$19,"headers=false"),"-")</f>
        <v>-</v>
      </c>
      <c r="BC23" s="48" t="str">
        <f>IF(LEFT(_xll.BView($DO23,BC$19,"headers=false"),1)&lt;&gt;"#",_xll.BView($DO23,BC$19,"headers=false"),"-")</f>
        <v>-</v>
      </c>
      <c r="BD23" s="78"/>
      <c r="BE23" s="37" t="str">
        <f>IF(LEFT(_xll.BView($DO23,BE$19,"headers=false"),1)&lt;&gt;"#",_xll.BView($DO23,BE$19,"headers=false"),"-")</f>
        <v>-</v>
      </c>
      <c r="BF23" s="37" t="str">
        <f>IF(LEFT(_xll.BView($DO23,BF$19,"headers=false"),1)&lt;&gt;"#",_xll.BView($DO23,BF$19,"headers=false"),"-")</f>
        <v>-</v>
      </c>
      <c r="BG23" s="37" t="str">
        <f>IF(LEFT(_xll.BView($DO23,BG$19,"headers=false"),1)&lt;&gt;"#",_xll.BView($DO23,BG$19,"headers=false"),"-")</f>
        <v>-</v>
      </c>
      <c r="BH23" s="37" t="str">
        <f>IF(LEFT(_xll.BView($DO23,BH$19,"headers=false"),1)&lt;&gt;"#",_xll.BView($DO23,BH$19,"headers=false"),"-")</f>
        <v>-</v>
      </c>
      <c r="BI23" s="27" t="str">
        <f>IF(LEFT(_xll.BView($DO23,BI$19,"headers=false"),1)&lt;&gt;"#",_xll.BView($DO23,BI$19,"headers=false"),"-")</f>
        <v>-</v>
      </c>
      <c r="BJ23" s="21"/>
      <c r="BK23" s="27" t="str">
        <f>IF(LEFT(_xll.BView($DO23,BK$19,"headers=false"),1)&lt;&gt;"#",_xll.BView($DO23,BK$19,"headers=false"),"-")</f>
        <v>-</v>
      </c>
      <c r="BL23" s="27" t="str">
        <f>IF(LEFT(_xll.BView($DO23,BL$19,"headers=false"),1)&lt;&gt;"#",_xll.BView($DO23,BL$19,"headers=false"),"-")</f>
        <v>-</v>
      </c>
      <c r="BM23" s="27" t="str">
        <f>IF(LEFT(_xll.BView($DO23,BM$19,"headers=false"),1)&lt;&gt;"#",_xll.BView($DO23,BM$19,"headers=false"),"-")</f>
        <v>-</v>
      </c>
      <c r="BN23" s="38" t="str">
        <f>IF(LEFT(_xll.BView($DO23,BN$19,"headers=false"),1)&lt;&gt;"#",_xll.BView($DO23,BN$19,"headers=false"),"-")</f>
        <v>-</v>
      </c>
      <c r="BO23" s="27" t="str">
        <f>IF(LEFT(_xll.BView($DO23,BO$19,"headers=false"),1)&lt;&gt;"#",_xll.BView($DO23,BO$19,"headers=false"),"-")</f>
        <v>-</v>
      </c>
      <c r="BP23" s="27" t="str">
        <f>IF(LEFT(_xll.BView($DO23,BP$19,"headers=false"),1)&lt;&gt;"#",_xll.BView($DO23,BP$19,"headers=false"),"-")</f>
        <v>-</v>
      </c>
      <c r="BQ23" s="27" t="str">
        <f>IF(LEFT(_xll.BView($DO23,BQ$19,"headers=false"),1)&lt;&gt;"#",_xll.BView($DO23,BQ$19,"headers=false"),"-")</f>
        <v>-</v>
      </c>
      <c r="BR23" s="22"/>
      <c r="BS23" s="27" t="str">
        <f>IF(LEFT(_xll.BView($DO23,BS$19,"headers=false"),1)&lt;&gt;"#",_xll.BView($DO23,BS$19,"headers=false"),"-")</f>
        <v>-</v>
      </c>
      <c r="BT23" s="27" t="str">
        <f>IF(LEFT(_xll.BView($DO23,BT$19,"headers=false"),1)&lt;&gt;"#",_xll.BView($DO23,BT$19,"headers=false"),"-")</f>
        <v>-</v>
      </c>
      <c r="BU23" s="27" t="str">
        <f>IF(LEFT(_xll.BView($DO23,BU$19,"headers=false"),1)&lt;&gt;"#",_xll.BView($DO23,BU$19,"headers=false"),"-")</f>
        <v>-</v>
      </c>
      <c r="BV23" s="27" t="str">
        <f>IF(LEFT(_xll.BView($DO23,BV$19,"headers=false"),1)&lt;&gt;"#",_xll.BView($DO23,BV$19,"headers=false"),"-")</f>
        <v>-</v>
      </c>
      <c r="BW23" s="27" t="str">
        <f>IF(LEFT(_xll.BView($DO23,BW$19,"headers=false"),1)&lt;&gt;"#",_xll.BView($DO23,BW$19,"headers=false"),"-")</f>
        <v>-</v>
      </c>
      <c r="BX23" s="27" t="str">
        <f>IF(LEFT(_xll.BView($DO23,BX$19,"headers=false"),1)&lt;&gt;"#",_xll.BView($DO23,BX$19,"headers=false"),"-")</f>
        <v>-</v>
      </c>
      <c r="BY23" s="27" t="str">
        <f>IF(LEFT(_xll.BView($DO23,BY$19,"headers=false"),1)&lt;&gt;"#",_xll.BView($DO23,BY$19,"headers=false"),"-")</f>
        <v>-</v>
      </c>
      <c r="BZ23" s="27" t="str">
        <f>IF(LEFT(_xll.BView($DO23,BZ$19,"headers=false"),1)&lt;&gt;"#",_xll.BView($DO23,BZ$19,"headers=false"),"-")</f>
        <v>-</v>
      </c>
      <c r="CA23" s="22" t="s">
        <v>153</v>
      </c>
      <c r="CB23" s="27" t="str">
        <f>IF(LEFT(_xll.BView($DO23,CB$19,"headers=false"),1)&lt;&gt;"#",_xll.BView($DO23,CB$19,"headers=false"),"-")</f>
        <v>-</v>
      </c>
      <c r="CC23" s="22"/>
      <c r="CD23" s="27" t="str">
        <f>IF(LEFT(_xll.BView($DO23,CD$19,"headers=false"),1)&lt;&gt;"#",_xll.BView($DO23,CD$19,"headers=false"),"-")</f>
        <v>-</v>
      </c>
      <c r="CE23" s="20"/>
      <c r="CF23" s="28" t="str">
        <f>IFERROR(INDEX(_xll.BMARKETPARAM($DO23,"array=true"),2,1),"")</f>
        <v/>
      </c>
      <c r="CG23" s="28" t="str">
        <f>IFERROR(INDEX(_xll.BMARKETPARAM($DO23,"array=true"),2,3),"")</f>
        <v/>
      </c>
      <c r="CH23" s="28" t="str">
        <f>IFERROR(INDEX(_xll.BMARKETPARAM($DO23,"array=true"),3,1),"")</f>
        <v/>
      </c>
      <c r="CI23" s="28" t="str">
        <f>IFERROR(INDEX(_xll.BMARKETPARAM($DO23,"array=true"),3,3),"")</f>
        <v/>
      </c>
      <c r="CJ23" s="28" t="str">
        <f>IFERROR(INDEX(_xll.BMARKETPARAM($DO23,"array=true"),4,1),"")</f>
        <v/>
      </c>
      <c r="CK23" s="28" t="str">
        <f>IFERROR(INDEX(_xll.BMARKETPARAM($DO23,"array=true"),4,3),"")</f>
        <v/>
      </c>
      <c r="CL23" s="20"/>
      <c r="CM23" s="40" t="s">
        <v>1</v>
      </c>
      <c r="CN23" s="40"/>
      <c r="CO23" s="91"/>
      <c r="CP23" s="28" t="str">
        <f t="shared" si="1"/>
        <v/>
      </c>
      <c r="CQ23" s="92"/>
      <c r="CR23" s="93" t="str">
        <f>IF(CQ23&lt;&gt;"",_xll.BCurveStrip(CQ23,"CurveDate",SwaptionMarketDate,"ApplyDC",$CN23,"ParallelShift",$CO23),"")</f>
        <v/>
      </c>
      <c r="CS23" s="93" t="str">
        <f t="shared" si="2"/>
        <v/>
      </c>
      <c r="CT23" s="40"/>
      <c r="CU23" s="93" t="str">
        <f>IF(CT23&lt;&gt;"",_xll.BCurveStrip(CT23,"CurveDate",SwaptionMarketDate,"ApplyDC",$CN23,"ParallelShift",$CO23),"")</f>
        <v/>
      </c>
      <c r="CV23" s="20"/>
      <c r="CW23" s="56" t="str">
        <f>IF(LEFT(_xll.BView($DP23,CW$19,"headers=false"),1)&lt;&gt;"#",_xll.BView($DP23,CW$19,"headers=false"),"-")</f>
        <v>-</v>
      </c>
      <c r="CX23" s="56" t="str">
        <f>IF(LEFT(_xll.BView($DP23,CX$19,"headers=false"),1)&lt;&gt;"#",_xll.BView($DP23,CX$19,"headers=false"),"-")</f>
        <v>-</v>
      </c>
      <c r="CY23" s="56" t="str">
        <f>IF(LEFT(_xll.BView($DP23,CY$19,"headers=false"),1)&lt;&gt;"#",_xll.BView($DP23,CY$19,"headers=false"),"-")</f>
        <v>-</v>
      </c>
      <c r="CZ23" s="56" t="str">
        <f>IF(LEFT(_xll.BView($DP23,CZ$19,"headers=false"),1)&lt;&gt;"#",_xll.BView($DP23,CZ$19,"headers=false"),"-")</f>
        <v>-</v>
      </c>
      <c r="DA23" s="56" t="str">
        <f>IF(LEFT(_xll.BView($DP23,DA$19,"headers=false"),1)&lt;&gt;"#",_xll.BView($DP23,DA$19,"headers=false"),"-")</f>
        <v>-</v>
      </c>
      <c r="DB23" s="56" t="str">
        <f>IF(LEFT(_xll.BView($DP23,DB$19,"headers=false"),1)&lt;&gt;"#",_xll.BView($DP23,DB$19,"headers=false"),"-")</f>
        <v>-</v>
      </c>
      <c r="DC23" s="56" t="str">
        <f>IF(LEFT(_xll.BView($DP23,DC$19,"headers=false"),1)&lt;&gt;"#",_xll.BView($DP23,DC$19,"headers=false"),"-")</f>
        <v>-</v>
      </c>
      <c r="DD23" s="56" t="str">
        <f>IF(LEFT(_xll.BView($DP23,DD$19,"headers=false"),1)&lt;&gt;"#",_xll.BView($DP23,DD$19,"headers=false"),"-")</f>
        <v>-</v>
      </c>
      <c r="DE23" s="56" t="str">
        <f>IF(LEFT(_xll.BView($DP23,DE$19,"headers=false"),1)&lt;&gt;"#",_xll.BView($DP23,DE$19,"headers=false"),"-")</f>
        <v>-</v>
      </c>
      <c r="DF23" s="56" t="str">
        <f>IF(LEFT(_xll.BView($DP23,DF$19,"headers=false"),1)&lt;&gt;"#",_xll.BView($DP23,DF$19,"headers=false"),"-")</f>
        <v>-</v>
      </c>
      <c r="DG23" s="56" t="str">
        <f>IF(LEFT(_xll.BView($DP23,DG$19,"headers=false"),1)&lt;&gt;"#",_xll.BView($DP23,DG$19,"headers=false"),"-")</f>
        <v>-</v>
      </c>
      <c r="DH23" s="56" t="str">
        <f>IF(LEFT(_xll.BView($DP23,DH$19,"headers=false"),1)&lt;&gt;"#",_xll.BView($DP23,DH$19,"headers=false"),"-")</f>
        <v>-</v>
      </c>
      <c r="DI23" s="56" t="str">
        <f>IF(LEFT(_xll.BView($DP23,DI$19,"headers=false"),1)&lt;&gt;"#",_xll.BView($DP23,DI$19,"headers=false"),"-")</f>
        <v>-</v>
      </c>
      <c r="DJ23" s="56" t="str">
        <f>IF(LEFT(_xll.BView($DP23,DJ$19,"headers=false"),1)&lt;&gt;"#",_xll.BView($DP23,DJ$19,"headers=false"),"-")</f>
        <v>-</v>
      </c>
      <c r="DK23" s="56" t="str">
        <f>IF(LEFT(_xll.BView($DP23,DK$19,"headers=false"),1)&lt;&gt;"#",_xll.BView($DP23,DK$19,"headers=false"),"-")</f>
        <v>-</v>
      </c>
      <c r="DL23" s="56" t="str">
        <f>IF(LEFT(_xll.BView($DP23,DL$19,"headers=false"),1)&lt;&gt;"#",_xll.BView($DP23,DL$19,"headers=false"),"-")</f>
        <v>-</v>
      </c>
      <c r="DN23" s="75" t="str">
        <f>IF(Y23&lt;&gt;"",IF(ISERROR(RIGHT(Y23,1)*1)," "&amp;Y23&amp;"x"&amp;IF(AA23&lt;&gt;"",AA23,Y23)," E"&amp;usdate(Y23)&amp;" "&amp;IF(AA23&lt;&gt;"",usdate(AA23),usdate(Y23+3653))),IF(AA23&lt;&gt;"",IF(ISERROR(RIGHT(AA23,1)*1)," "&amp;AA23," "&amp;usdate(AA23)),""))</f>
        <v/>
      </c>
      <c r="DO23" s="75" t="str">
        <f>IF(OR(H23&lt;&gt;"",N23&lt;&gt;""),_xll.BSTRUCTURE(IF(H23&lt;&gt;"",H23,O23&amp;DN23),$Q$19:$W$19,Q23:W23,$AB$19:$AC$19,AB23:AC23,$AH$19:$AK$19,AH23:AK23,$AM$19:$AQ$19,AM23:AQ23,$AS$19,AS23,$AU$19,AU23,$Z$19,Z23,$Y$19,IF(ISERROR(RIGHT(Y23,1)*1),"",Y23),$AA$19,IF(ISERROR(RIGHT(AA23,1)*1),"",AA23),"ignoreinvalidparams=true"),"Enter deal type or saved ID.")</f>
        <v>Enter deal type or saved ID.</v>
      </c>
      <c r="DP23" s="75" t="str">
        <f>IF(LEFT(DO23,1)="E","",IF(CM23="No",_xll.BPRICE(DO23,"MarketDate",SwaptionMarketDate,"ValuationDate",SwaptionValuationDate,$AE$19:$AF$19,AE23:AF23,"alwaysrefresh"),_xll.BPRICE(DO23,"MarketDate",SwaptionMarketDate,"ValuationDate",SwaptionValuationDate,CP23,CR23,CS23,CU23,$AE$19:$AF$19,AE23:AF23,"alwaysrefresh")))</f>
        <v/>
      </c>
      <c r="DU23" s="24"/>
      <c r="DX23" s="24"/>
    </row>
    <row r="24" spans="2:128" x14ac:dyDescent="0.25">
      <c r="B24" s="27" t="str">
        <f>IF(OR(H24&lt;&gt;"",N24&lt;&gt;""),IF(OR(DO24="#N/A Requesting Data...",DO24="#N/A Waiting For Data...",DP24="#N/A Requesting Data...",DP24="#N/A Waiting For Data..."),"Loading ….",IF(OR(LEFT(DO24,1)="#",LEFT(DP24,1)="#"),"Check Inputs",_xll.BView(DP24,B$19,"headers=false"))),"Select Deal Type")</f>
        <v>Select Deal Type</v>
      </c>
      <c r="C24" s="57" t="str">
        <f>IFERROR(1*_xll.BView($DP24,C$19,"headers=false"),"-")</f>
        <v>-</v>
      </c>
      <c r="D24" s="57" t="str">
        <f>IFERROR(1*_xll.BView($DP24,D$19,"headers=false"),"-")</f>
        <v>-</v>
      </c>
      <c r="E24" s="56" t="str">
        <f>IFERROR(1*_xll.BView($DP24,E$19,"headers=false"),"-")</f>
        <v>-</v>
      </c>
      <c r="F24" s="56" t="str">
        <f>IFERROR(1*_xll.BView($DP24,F$19,"headers=false"),"-")</f>
        <v>-</v>
      </c>
      <c r="H24" s="40"/>
      <c r="I24" s="40" t="s">
        <v>1</v>
      </c>
      <c r="J24" s="20"/>
      <c r="K24" s="96" t="str">
        <f t="shared" si="3"/>
        <v/>
      </c>
      <c r="L24" s="40"/>
      <c r="M24" s="20"/>
      <c r="N24" s="58"/>
      <c r="O24" s="52" t="e">
        <f t="shared" si="0"/>
        <v>#N/A</v>
      </c>
      <c r="P24" s="20"/>
      <c r="Q24" s="40"/>
      <c r="R24" s="106"/>
      <c r="S24" s="106"/>
      <c r="T24" s="106"/>
      <c r="U24" s="106"/>
      <c r="V24" s="106"/>
      <c r="W24" s="106"/>
      <c r="X24" s="78"/>
      <c r="Y24" s="36"/>
      <c r="Z24" s="81"/>
      <c r="AA24" s="36"/>
      <c r="AB24" s="40"/>
      <c r="AC24" s="106"/>
      <c r="AD24" s="78"/>
      <c r="AE24" s="40"/>
      <c r="AF24" s="77"/>
      <c r="AG24" s="20"/>
      <c r="AH24" s="40"/>
      <c r="AI24" s="40"/>
      <c r="AJ24" s="40"/>
      <c r="AK24" s="40"/>
      <c r="AL24" s="20"/>
      <c r="AM24" s="40"/>
      <c r="AN24" s="40"/>
      <c r="AO24" s="40"/>
      <c r="AP24" s="40"/>
      <c r="AQ24" s="40"/>
      <c r="AR24" s="20"/>
      <c r="AS24" s="40"/>
      <c r="AT24" s="20"/>
      <c r="AU24" s="40"/>
      <c r="AV24" s="20"/>
      <c r="AW24" s="48" t="str">
        <f>IF(LEFT(_xll.BView($DO24,AW$19,"headers=false"),1)&lt;&gt;"#",_xll.BView($DO24,AW$19,"headers=false"),"-")</f>
        <v>-</v>
      </c>
      <c r="AX24" s="48" t="str">
        <f>IF(LEFT(_xll.BView($DO24,AX$19,"headers=false"),1)&lt;&gt;"#",_xll.BView($DO24,AX$19,"headers=false"),"-")</f>
        <v>-</v>
      </c>
      <c r="AY24" s="56" t="str">
        <f>IF(LEFT(_xll.BView($DO24,AY$19,"headers=false"),1)&lt;&gt;"#",_xll.BView($DO24,AY$19,"headers=false"),"-")</f>
        <v>-</v>
      </c>
      <c r="AZ24" s="49" t="str">
        <f>IF(LEFT(_xll.BView($DO24,AZ$19,"headers=false"),1)&lt;&gt;"#",_xll.BView($DO24,AZ$19,"headers=false"),"-")</f>
        <v>-</v>
      </c>
      <c r="BA24" s="48" t="str">
        <f>IF(LEFT(_xll.BView($DO24,BA$19,"headers=false"),1)&lt;&gt;"#",_xll.BView($DO24,BA$19,"headers=false"),"-")</f>
        <v>-</v>
      </c>
      <c r="BB24" s="48" t="str">
        <f>IF(LEFT(_xll.BView($DO24,BB$19,"headers=false"),1)&lt;&gt;"#",_xll.BView($DO24,BB$19,"headers=false"),"-")</f>
        <v>-</v>
      </c>
      <c r="BC24" s="48" t="str">
        <f>IF(LEFT(_xll.BView($DO24,BC$19,"headers=false"),1)&lt;&gt;"#",_xll.BView($DO24,BC$19,"headers=false"),"-")</f>
        <v>-</v>
      </c>
      <c r="BD24" s="20"/>
      <c r="BE24" s="37" t="str">
        <f>IF(LEFT(_xll.BView($DO24,BE$19,"headers=false"),1)&lt;&gt;"#",_xll.BView($DO24,BE$19,"headers=false"),"-")</f>
        <v>-</v>
      </c>
      <c r="BF24" s="37" t="str">
        <f>IF(LEFT(_xll.BView($DO24,BF$19,"headers=false"),1)&lt;&gt;"#",_xll.BView($DO24,BF$19,"headers=false"),"-")</f>
        <v>-</v>
      </c>
      <c r="BG24" s="37" t="str">
        <f>IF(LEFT(_xll.BView($DO24,BG$19,"headers=false"),1)&lt;&gt;"#",_xll.BView($DO24,BG$19,"headers=false"),"-")</f>
        <v>-</v>
      </c>
      <c r="BH24" s="37" t="str">
        <f>IF(LEFT(_xll.BView($DO24,BH$19,"headers=false"),1)&lt;&gt;"#",_xll.BView($DO24,BH$19,"headers=false"),"-")</f>
        <v>-</v>
      </c>
      <c r="BI24" s="27" t="str">
        <f>IF(LEFT(_xll.BView($DO24,BI$19,"headers=false"),1)&lt;&gt;"#",_xll.BView($DO24,BI$19,"headers=false"),"-")</f>
        <v>-</v>
      </c>
      <c r="BJ24" s="21"/>
      <c r="BK24" s="27" t="str">
        <f>IF(LEFT(_xll.BView($DO24,BK$19,"headers=false"),1)&lt;&gt;"#",_xll.BView($DO24,BK$19,"headers=false"),"-")</f>
        <v>-</v>
      </c>
      <c r="BL24" s="27" t="str">
        <f>IF(LEFT(_xll.BView($DO24,BL$19,"headers=false"),1)&lt;&gt;"#",_xll.BView($DO24,BL$19,"headers=false"),"-")</f>
        <v>-</v>
      </c>
      <c r="BM24" s="27" t="str">
        <f>IF(LEFT(_xll.BView($DO24,BM$19,"headers=false"),1)&lt;&gt;"#",_xll.BView($DO24,BM$19,"headers=false"),"-")</f>
        <v>-</v>
      </c>
      <c r="BN24" s="38" t="str">
        <f>IF(LEFT(_xll.BView($DO24,BN$19,"headers=false"),1)&lt;&gt;"#",_xll.BView($DO24,BN$19,"headers=false"),"-")</f>
        <v>-</v>
      </c>
      <c r="BO24" s="27" t="str">
        <f>IF(LEFT(_xll.BView($DO24,BO$19,"headers=false"),1)&lt;&gt;"#",_xll.BView($DO24,BO$19,"headers=false"),"-")</f>
        <v>-</v>
      </c>
      <c r="BP24" s="27" t="str">
        <f>IF(LEFT(_xll.BView($DO24,BP$19,"headers=false"),1)&lt;&gt;"#",_xll.BView($DO24,BP$19,"headers=false"),"-")</f>
        <v>-</v>
      </c>
      <c r="BQ24" s="27" t="str">
        <f>IF(LEFT(_xll.BView($DO24,BQ$19,"headers=false"),1)&lt;&gt;"#",_xll.BView($DO24,BQ$19,"headers=false"),"-")</f>
        <v>-</v>
      </c>
      <c r="BR24" s="22"/>
      <c r="BS24" s="27" t="str">
        <f>IF(LEFT(_xll.BView($DO24,BS$19,"headers=false"),1)&lt;&gt;"#",_xll.BView($DO24,BS$19,"headers=false"),"-")</f>
        <v>-</v>
      </c>
      <c r="BT24" s="27" t="str">
        <f>IF(LEFT(_xll.BView($DO24,BT$19,"headers=false"),1)&lt;&gt;"#",_xll.BView($DO24,BT$19,"headers=false"),"-")</f>
        <v>-</v>
      </c>
      <c r="BU24" s="27" t="str">
        <f>IF(LEFT(_xll.BView($DO24,BU$19,"headers=false"),1)&lt;&gt;"#",_xll.BView($DO24,BU$19,"headers=false"),"-")</f>
        <v>-</v>
      </c>
      <c r="BV24" s="27" t="str">
        <f>IF(LEFT(_xll.BView($DO24,BV$19,"headers=false"),1)&lt;&gt;"#",_xll.BView($DO24,BV$19,"headers=false"),"-")</f>
        <v>-</v>
      </c>
      <c r="BW24" s="27" t="str">
        <f>IF(LEFT(_xll.BView($DO24,BW$19,"headers=false"),1)&lt;&gt;"#",_xll.BView($DO24,BW$19,"headers=false"),"-")</f>
        <v>-</v>
      </c>
      <c r="BX24" s="27" t="str">
        <f>IF(LEFT(_xll.BView($DO24,BX$19,"headers=false"),1)&lt;&gt;"#",_xll.BView($DO24,BX$19,"headers=false"),"-")</f>
        <v>-</v>
      </c>
      <c r="BY24" s="27" t="str">
        <f>IF(LEFT(_xll.BView($DO24,BY$19,"headers=false"),1)&lt;&gt;"#",_xll.BView($DO24,BY$19,"headers=false"),"-")</f>
        <v>-</v>
      </c>
      <c r="BZ24" s="27" t="str">
        <f>IF(LEFT(_xll.BView($DO24,BZ$19,"headers=false"),1)&lt;&gt;"#",_xll.BView($DO24,BZ$19,"headers=false"),"-")</f>
        <v>-</v>
      </c>
      <c r="CA24" s="22"/>
      <c r="CB24" s="27" t="str">
        <f>IF(LEFT(_xll.BView($DO24,CB$19,"headers=false"),1)&lt;&gt;"#",_xll.BView($DO24,CB$19,"headers=false"),"-")</f>
        <v>-</v>
      </c>
      <c r="CC24" s="22"/>
      <c r="CD24" s="27" t="str">
        <f>IF(LEFT(_xll.BView($DO24,CD$19,"headers=false"),1)&lt;&gt;"#",_xll.BView($DO24,CD$19,"headers=false"),"-")</f>
        <v>-</v>
      </c>
      <c r="CE24" s="20"/>
      <c r="CF24" s="28" t="str">
        <f>IFERROR(INDEX(_xll.BMARKETPARAM($DO24,"array=true"),2,1),"")</f>
        <v/>
      </c>
      <c r="CG24" s="28" t="str">
        <f>IFERROR(INDEX(_xll.BMARKETPARAM($DO24,"array=true"),2,3),"")</f>
        <v/>
      </c>
      <c r="CH24" s="28" t="str">
        <f>IFERROR(INDEX(_xll.BMARKETPARAM($DO24,"array=true"),3,1),"")</f>
        <v/>
      </c>
      <c r="CI24" s="28" t="str">
        <f>IFERROR(INDEX(_xll.BMARKETPARAM($DO24,"array=true"),3,3),"")</f>
        <v/>
      </c>
      <c r="CJ24" s="28" t="str">
        <f>IFERROR(INDEX(_xll.BMARKETPARAM($DO24,"array=true"),4,1),"")</f>
        <v/>
      </c>
      <c r="CK24" s="28" t="str">
        <f>IFERROR(INDEX(_xll.BMARKETPARAM($DO24,"array=true"),4,3),"")</f>
        <v/>
      </c>
      <c r="CL24" s="20"/>
      <c r="CM24" s="40" t="s">
        <v>1</v>
      </c>
      <c r="CN24" s="40"/>
      <c r="CO24" s="91"/>
      <c r="CP24" s="28" t="str">
        <f t="shared" si="1"/>
        <v/>
      </c>
      <c r="CQ24" s="92"/>
      <c r="CR24" s="93" t="str">
        <f>IF(CQ24&lt;&gt;"",_xll.BCurveStrip(CQ24,"CurveDate",SwaptionMarketDate,"ApplyDC",$CN24,"ParallelShift",$CO24),"")</f>
        <v/>
      </c>
      <c r="CS24" s="93" t="str">
        <f t="shared" si="2"/>
        <v/>
      </c>
      <c r="CT24" s="40"/>
      <c r="CU24" s="93" t="str">
        <f>IF(CT24&lt;&gt;"",_xll.BCurveStrip(CT24,"CurveDate",SwaptionMarketDate,"ApplyDC",$CN24,"ParallelShift",$CO24),"")</f>
        <v/>
      </c>
      <c r="CV24" s="20"/>
      <c r="CW24" s="56" t="str">
        <f>IF(LEFT(_xll.BView($DP24,CW$19,"headers=false"),1)&lt;&gt;"#",_xll.BView($DP24,CW$19,"headers=false"),"-")</f>
        <v>-</v>
      </c>
      <c r="CX24" s="56" t="str">
        <f>IF(LEFT(_xll.BView($DP24,CX$19,"headers=false"),1)&lt;&gt;"#",_xll.BView($DP24,CX$19,"headers=false"),"-")</f>
        <v>-</v>
      </c>
      <c r="CY24" s="56" t="str">
        <f>IF(LEFT(_xll.BView($DP24,CY$19,"headers=false"),1)&lt;&gt;"#",_xll.BView($DP24,CY$19,"headers=false"),"-")</f>
        <v>-</v>
      </c>
      <c r="CZ24" s="56" t="str">
        <f>IF(LEFT(_xll.BView($DP24,CZ$19,"headers=false"),1)&lt;&gt;"#",_xll.BView($DP24,CZ$19,"headers=false"),"-")</f>
        <v>-</v>
      </c>
      <c r="DA24" s="56" t="str">
        <f>IF(LEFT(_xll.BView($DP24,DA$19,"headers=false"),1)&lt;&gt;"#",_xll.BView($DP24,DA$19,"headers=false"),"-")</f>
        <v>-</v>
      </c>
      <c r="DB24" s="56" t="str">
        <f>IF(LEFT(_xll.BView($DP24,DB$19,"headers=false"),1)&lt;&gt;"#",_xll.BView($DP24,DB$19,"headers=false"),"-")</f>
        <v>-</v>
      </c>
      <c r="DC24" s="56" t="str">
        <f>IF(LEFT(_xll.BView($DP24,DC$19,"headers=false"),1)&lt;&gt;"#",_xll.BView($DP24,DC$19,"headers=false"),"-")</f>
        <v>-</v>
      </c>
      <c r="DD24" s="56" t="str">
        <f>IF(LEFT(_xll.BView($DP24,DD$19,"headers=false"),1)&lt;&gt;"#",_xll.BView($DP24,DD$19,"headers=false"),"-")</f>
        <v>-</v>
      </c>
      <c r="DE24" s="56" t="str">
        <f>IF(LEFT(_xll.BView($DP24,DE$19,"headers=false"),1)&lt;&gt;"#",_xll.BView($DP24,DE$19,"headers=false"),"-")</f>
        <v>-</v>
      </c>
      <c r="DF24" s="56" t="str">
        <f>IF(LEFT(_xll.BView($DP24,DF$19,"headers=false"),1)&lt;&gt;"#",_xll.BView($DP24,DF$19,"headers=false"),"-")</f>
        <v>-</v>
      </c>
      <c r="DG24" s="56" t="str">
        <f>IF(LEFT(_xll.BView($DP24,DG$19,"headers=false"),1)&lt;&gt;"#",_xll.BView($DP24,DG$19,"headers=false"),"-")</f>
        <v>-</v>
      </c>
      <c r="DH24" s="56" t="str">
        <f>IF(LEFT(_xll.BView($DP24,DH$19,"headers=false"),1)&lt;&gt;"#",_xll.BView($DP24,DH$19,"headers=false"),"-")</f>
        <v>-</v>
      </c>
      <c r="DI24" s="56" t="str">
        <f>IF(LEFT(_xll.BView($DP24,DI$19,"headers=false"),1)&lt;&gt;"#",_xll.BView($DP24,DI$19,"headers=false"),"-")</f>
        <v>-</v>
      </c>
      <c r="DJ24" s="56" t="str">
        <f>IF(LEFT(_xll.BView($DP24,DJ$19,"headers=false"),1)&lt;&gt;"#",_xll.BView($DP24,DJ$19,"headers=false"),"-")</f>
        <v>-</v>
      </c>
      <c r="DK24" s="56" t="str">
        <f>IF(LEFT(_xll.BView($DP24,DK$19,"headers=false"),1)&lt;&gt;"#",_xll.BView($DP24,DK$19,"headers=false"),"-")</f>
        <v>-</v>
      </c>
      <c r="DL24" s="56" t="str">
        <f>IF(LEFT(_xll.BView($DP24,DL$19,"headers=false"),1)&lt;&gt;"#",_xll.BView($DP24,DL$19,"headers=false"),"-")</f>
        <v>-</v>
      </c>
      <c r="DN24" s="75" t="str">
        <f>IF(Y24&lt;&gt;"",IF(ISERROR(RIGHT(Y24,1)*1)," "&amp;Y24&amp;"x"&amp;IF(AA24&lt;&gt;"",AA24,Y24)," E"&amp;usdate(Y24)&amp;" "&amp;IF(AA24&lt;&gt;"",usdate(AA24),usdate(Y24+3653))),IF(AA24&lt;&gt;"",IF(ISERROR(RIGHT(AA24,1)*1)," "&amp;AA24," "&amp;usdate(AA24)),""))</f>
        <v/>
      </c>
      <c r="DO24" s="75" t="str">
        <f>IF(OR(H24&lt;&gt;"",N24&lt;&gt;""),_xll.BSTRUCTURE(IF(H24&lt;&gt;"",H24,O24&amp;DN24),$Q$19:$W$19,Q24:W24,$AB$19:$AC$19,AB24:AC24,$AH$19:$AK$19,AH24:AK24,$AM$19:$AQ$19,AM24:AQ24,$AS$19,AS24,$AU$19,AU24,$Z$19,Z24,$Y$19,IF(ISERROR(RIGHT(Y24,1)*1),"",Y24),$AA$19,IF(ISERROR(RIGHT(AA24,1)*1),"",AA24),"ignoreinvalidparams=true"),"Enter deal type or saved ID.")</f>
        <v>Enter deal type or saved ID.</v>
      </c>
      <c r="DP24" s="75" t="str">
        <f>IF(LEFT(DO24,1)="E","",IF(CM24="No",_xll.BPRICE(DO24,"MarketDate",SwaptionMarketDate,"ValuationDate",SwaptionValuationDate,$AE$19:$AF$19,AE24:AF24,"alwaysrefresh"),_xll.BPRICE(DO24,"MarketDate",SwaptionMarketDate,"ValuationDate",SwaptionValuationDate,CP24,CR24,CS24,CU24,$AE$19:$AF$19,AE24:AF24,"alwaysrefresh")))</f>
        <v/>
      </c>
      <c r="DU24" s="25"/>
      <c r="DX24" s="25"/>
    </row>
    <row r="25" spans="2:128" x14ac:dyDescent="0.25">
      <c r="B25" s="27" t="str">
        <f>IF(OR(H25&lt;&gt;"",N25&lt;&gt;""),IF(OR(DO25="#N/A Requesting Data...",DO25="#N/A Waiting For Data...",DP25="#N/A Requesting Data...",DP25="#N/A Waiting For Data..."),"Loading ….",IF(OR(LEFT(DO25,1)="#",LEFT(DP25,1)="#"),"Check Inputs",_xll.BView(DP25,B$19,"headers=false"))),"Select Deal Type")</f>
        <v>Select Deal Type</v>
      </c>
      <c r="C25" s="57" t="str">
        <f>IFERROR(1*_xll.BView($DP25,C$19,"headers=false"),"-")</f>
        <v>-</v>
      </c>
      <c r="D25" s="57" t="str">
        <f>IFERROR(1*_xll.BView($DP25,D$19,"headers=false"),"-")</f>
        <v>-</v>
      </c>
      <c r="E25" s="56" t="str">
        <f>IFERROR(1*_xll.BView($DP25,E$19,"headers=false"),"-")</f>
        <v>-</v>
      </c>
      <c r="F25" s="56" t="str">
        <f>IFERROR(1*_xll.BView($DP25,F$19,"headers=false"),"-")</f>
        <v>-</v>
      </c>
      <c r="H25" s="40"/>
      <c r="I25" s="40" t="s">
        <v>1</v>
      </c>
      <c r="J25" s="20"/>
      <c r="K25" s="96" t="str">
        <f t="shared" si="3"/>
        <v/>
      </c>
      <c r="L25" s="40"/>
      <c r="M25" s="20"/>
      <c r="N25" s="58"/>
      <c r="O25" s="52" t="e">
        <f t="shared" si="0"/>
        <v>#N/A</v>
      </c>
      <c r="P25" s="20"/>
      <c r="Q25" s="40"/>
      <c r="R25" s="106"/>
      <c r="S25" s="106"/>
      <c r="T25" s="106"/>
      <c r="U25" s="106"/>
      <c r="V25" s="106"/>
      <c r="W25" s="106"/>
      <c r="X25" s="78"/>
      <c r="Y25" s="36"/>
      <c r="Z25" s="81"/>
      <c r="AA25" s="36"/>
      <c r="AB25" s="40"/>
      <c r="AC25" s="106"/>
      <c r="AD25" s="78"/>
      <c r="AE25" s="40"/>
      <c r="AF25" s="77"/>
      <c r="AG25" s="20"/>
      <c r="AH25" s="40"/>
      <c r="AI25" s="40"/>
      <c r="AJ25" s="40"/>
      <c r="AK25" s="40"/>
      <c r="AL25" s="20"/>
      <c r="AM25" s="40"/>
      <c r="AN25" s="40"/>
      <c r="AO25" s="40"/>
      <c r="AP25" s="40"/>
      <c r="AQ25" s="40"/>
      <c r="AR25" s="20"/>
      <c r="AS25" s="40"/>
      <c r="AT25" s="20"/>
      <c r="AU25" s="40"/>
      <c r="AV25" s="20"/>
      <c r="AW25" s="48" t="str">
        <f>IF(LEFT(_xll.BView($DO25,AW$19,"headers=false"),1)&lt;&gt;"#",_xll.BView($DO25,AW$19,"headers=false"),"-")</f>
        <v>-</v>
      </c>
      <c r="AX25" s="48" t="str">
        <f>IF(LEFT(_xll.BView($DO25,AX$19,"headers=false"),1)&lt;&gt;"#",_xll.BView($DO25,AX$19,"headers=false"),"-")</f>
        <v>-</v>
      </c>
      <c r="AY25" s="56" t="str">
        <f>IF(LEFT(_xll.BView($DO25,AY$19,"headers=false"),1)&lt;&gt;"#",_xll.BView($DO25,AY$19,"headers=false"),"-")</f>
        <v>-</v>
      </c>
      <c r="AZ25" s="49" t="str">
        <f>IF(LEFT(_xll.BView($DO25,AZ$19,"headers=false"),1)&lt;&gt;"#",_xll.BView($DO25,AZ$19,"headers=false"),"-")</f>
        <v>-</v>
      </c>
      <c r="BA25" s="48" t="str">
        <f>IF(LEFT(_xll.BView($DO25,BA$19,"headers=false"),1)&lt;&gt;"#",_xll.BView($DO25,BA$19,"headers=false"),"-")</f>
        <v>-</v>
      </c>
      <c r="BB25" s="48" t="str">
        <f>IF(LEFT(_xll.BView($DO25,BB$19,"headers=false"),1)&lt;&gt;"#",_xll.BView($DO25,BB$19,"headers=false"),"-")</f>
        <v>-</v>
      </c>
      <c r="BC25" s="48" t="str">
        <f>IF(LEFT(_xll.BView($DO25,BC$19,"headers=false"),1)&lt;&gt;"#",_xll.BView($DO25,BC$19,"headers=false"),"-")</f>
        <v>-</v>
      </c>
      <c r="BD25" s="20"/>
      <c r="BE25" s="37" t="str">
        <f>IF(LEFT(_xll.BView($DO25,BE$19,"headers=false"),1)&lt;&gt;"#",_xll.BView($DO25,BE$19,"headers=false"),"-")</f>
        <v>-</v>
      </c>
      <c r="BF25" s="37" t="str">
        <f>IF(LEFT(_xll.BView($DO25,BF$19,"headers=false"),1)&lt;&gt;"#",_xll.BView($DO25,BF$19,"headers=false"),"-")</f>
        <v>-</v>
      </c>
      <c r="BG25" s="37" t="str">
        <f>IF(LEFT(_xll.BView($DO25,BG$19,"headers=false"),1)&lt;&gt;"#",_xll.BView($DO25,BG$19,"headers=false"),"-")</f>
        <v>-</v>
      </c>
      <c r="BH25" s="37" t="str">
        <f>IF(LEFT(_xll.BView($DO25,BH$19,"headers=false"),1)&lt;&gt;"#",_xll.BView($DO25,BH$19,"headers=false"),"-")</f>
        <v>-</v>
      </c>
      <c r="BI25" s="27" t="str">
        <f>IF(LEFT(_xll.BView($DO25,BI$19,"headers=false"),1)&lt;&gt;"#",_xll.BView($DO25,BI$19,"headers=false"),"-")</f>
        <v>-</v>
      </c>
      <c r="BJ25" s="21"/>
      <c r="BK25" s="27" t="str">
        <f>IF(LEFT(_xll.BView($DO25,BK$19,"headers=false"),1)&lt;&gt;"#",_xll.BView($DO25,BK$19,"headers=false"),"-")</f>
        <v>-</v>
      </c>
      <c r="BL25" s="27" t="str">
        <f>IF(LEFT(_xll.BView($DO25,BL$19,"headers=false"),1)&lt;&gt;"#",_xll.BView($DO25,BL$19,"headers=false"),"-")</f>
        <v>-</v>
      </c>
      <c r="BM25" s="27" t="str">
        <f>IF(LEFT(_xll.BView($DO25,BM$19,"headers=false"),1)&lt;&gt;"#",_xll.BView($DO25,BM$19,"headers=false"),"-")</f>
        <v>-</v>
      </c>
      <c r="BN25" s="38" t="str">
        <f>IF(LEFT(_xll.BView($DO25,BN$19,"headers=false"),1)&lt;&gt;"#",_xll.BView($DO25,BN$19,"headers=false"),"-")</f>
        <v>-</v>
      </c>
      <c r="BO25" s="27" t="str">
        <f>IF(LEFT(_xll.BView($DO25,BO$19,"headers=false"),1)&lt;&gt;"#",_xll.BView($DO25,BO$19,"headers=false"),"-")</f>
        <v>-</v>
      </c>
      <c r="BP25" s="27" t="str">
        <f>IF(LEFT(_xll.BView($DO25,BP$19,"headers=false"),1)&lt;&gt;"#",_xll.BView($DO25,BP$19,"headers=false"),"-")</f>
        <v>-</v>
      </c>
      <c r="BQ25" s="27" t="str">
        <f>IF(LEFT(_xll.BView($DO25,BQ$19,"headers=false"),1)&lt;&gt;"#",_xll.BView($DO25,BQ$19,"headers=false"),"-")</f>
        <v>-</v>
      </c>
      <c r="BR25" s="22"/>
      <c r="BS25" s="27" t="str">
        <f>IF(LEFT(_xll.BView($DO25,BS$19,"headers=false"),1)&lt;&gt;"#",_xll.BView($DO25,BS$19,"headers=false"),"-")</f>
        <v>-</v>
      </c>
      <c r="BT25" s="27" t="str">
        <f>IF(LEFT(_xll.BView($DO25,BT$19,"headers=false"),1)&lt;&gt;"#",_xll.BView($DO25,BT$19,"headers=false"),"-")</f>
        <v>-</v>
      </c>
      <c r="BU25" s="27" t="str">
        <f>IF(LEFT(_xll.BView($DO25,BU$19,"headers=false"),1)&lt;&gt;"#",_xll.BView($DO25,BU$19,"headers=false"),"-")</f>
        <v>-</v>
      </c>
      <c r="BV25" s="27" t="str">
        <f>IF(LEFT(_xll.BView($DO25,BV$19,"headers=false"),1)&lt;&gt;"#",_xll.BView($DO25,BV$19,"headers=false"),"-")</f>
        <v>-</v>
      </c>
      <c r="BW25" s="27" t="str">
        <f>IF(LEFT(_xll.BView($DO25,BW$19,"headers=false"),1)&lt;&gt;"#",_xll.BView($DO25,BW$19,"headers=false"),"-")</f>
        <v>-</v>
      </c>
      <c r="BX25" s="27" t="str">
        <f>IF(LEFT(_xll.BView($DO25,BX$19,"headers=false"),1)&lt;&gt;"#",_xll.BView($DO25,BX$19,"headers=false"),"-")</f>
        <v>-</v>
      </c>
      <c r="BY25" s="27" t="str">
        <f>IF(LEFT(_xll.BView($DO25,BY$19,"headers=false"),1)&lt;&gt;"#",_xll.BView($DO25,BY$19,"headers=false"),"-")</f>
        <v>-</v>
      </c>
      <c r="BZ25" s="27" t="str">
        <f>IF(LEFT(_xll.BView($DO25,BZ$19,"headers=false"),1)&lt;&gt;"#",_xll.BView($DO25,BZ$19,"headers=false"),"-")</f>
        <v>-</v>
      </c>
      <c r="CA25" s="22"/>
      <c r="CB25" s="27" t="str">
        <f>IF(LEFT(_xll.BView($DO25,CB$19,"headers=false"),1)&lt;&gt;"#",_xll.BView($DO25,CB$19,"headers=false"),"-")</f>
        <v>-</v>
      </c>
      <c r="CC25" s="22"/>
      <c r="CD25" s="27" t="str">
        <f>IF(LEFT(_xll.BView($DO25,CD$19,"headers=false"),1)&lt;&gt;"#",_xll.BView($DO25,CD$19,"headers=false"),"-")</f>
        <v>-</v>
      </c>
      <c r="CE25" s="20"/>
      <c r="CF25" s="28" t="str">
        <f>IFERROR(INDEX(_xll.BMARKETPARAM($DO25,"array=true"),2,1),"")</f>
        <v/>
      </c>
      <c r="CG25" s="28" t="str">
        <f>IFERROR(INDEX(_xll.BMARKETPARAM($DO25,"array=true"),2,3),"")</f>
        <v/>
      </c>
      <c r="CH25" s="28" t="str">
        <f>IFERROR(INDEX(_xll.BMARKETPARAM($DO25,"array=true"),3,1),"")</f>
        <v/>
      </c>
      <c r="CI25" s="28" t="str">
        <f>IFERROR(INDEX(_xll.BMARKETPARAM($DO25,"array=true"),3,3),"")</f>
        <v/>
      </c>
      <c r="CJ25" s="28" t="str">
        <f>IFERROR(INDEX(_xll.BMARKETPARAM($DO25,"array=true"),4,1),"")</f>
        <v/>
      </c>
      <c r="CK25" s="28" t="str">
        <f>IFERROR(INDEX(_xll.BMARKETPARAM($DO25,"array=true"),4,3),"")</f>
        <v/>
      </c>
      <c r="CL25" s="20"/>
      <c r="CM25" s="40" t="s">
        <v>1</v>
      </c>
      <c r="CN25" s="40"/>
      <c r="CO25" s="91"/>
      <c r="CP25" s="28" t="str">
        <f t="shared" si="1"/>
        <v/>
      </c>
      <c r="CQ25" s="92"/>
      <c r="CR25" s="93" t="str">
        <f>IF(CQ25&lt;&gt;"",_xll.BCurveStrip(CQ25,"CurveDate",SwaptionMarketDate,"ApplyDC",$CN25,"ParallelShift",$CO25),"")</f>
        <v/>
      </c>
      <c r="CS25" s="93" t="str">
        <f t="shared" si="2"/>
        <v/>
      </c>
      <c r="CT25" s="40"/>
      <c r="CU25" s="93" t="str">
        <f>IF(CT25&lt;&gt;"",_xll.BCurveStrip(CT25,"CurveDate",SwaptionMarketDate,"ApplyDC",$CN25,"ParallelShift",$CO25),"")</f>
        <v/>
      </c>
      <c r="CV25" s="20"/>
      <c r="CW25" s="56" t="str">
        <f>IF(LEFT(_xll.BView($DP25,CW$19,"headers=false"),1)&lt;&gt;"#",_xll.BView($DP25,CW$19,"headers=false"),"-")</f>
        <v>-</v>
      </c>
      <c r="CX25" s="56" t="str">
        <f>IF(LEFT(_xll.BView($DP25,CX$19,"headers=false"),1)&lt;&gt;"#",_xll.BView($DP25,CX$19,"headers=false"),"-")</f>
        <v>-</v>
      </c>
      <c r="CY25" s="56" t="str">
        <f>IF(LEFT(_xll.BView($DP25,CY$19,"headers=false"),1)&lt;&gt;"#",_xll.BView($DP25,CY$19,"headers=false"),"-")</f>
        <v>-</v>
      </c>
      <c r="CZ25" s="56" t="str">
        <f>IF(LEFT(_xll.BView($DP25,CZ$19,"headers=false"),1)&lt;&gt;"#",_xll.BView($DP25,CZ$19,"headers=false"),"-")</f>
        <v>-</v>
      </c>
      <c r="DA25" s="56" t="str">
        <f>IF(LEFT(_xll.BView($DP25,DA$19,"headers=false"),1)&lt;&gt;"#",_xll.BView($DP25,DA$19,"headers=false"),"-")</f>
        <v>-</v>
      </c>
      <c r="DB25" s="56" t="str">
        <f>IF(LEFT(_xll.BView($DP25,DB$19,"headers=false"),1)&lt;&gt;"#",_xll.BView($DP25,DB$19,"headers=false"),"-")</f>
        <v>-</v>
      </c>
      <c r="DC25" s="56" t="str">
        <f>IF(LEFT(_xll.BView($DP25,DC$19,"headers=false"),1)&lt;&gt;"#",_xll.BView($DP25,DC$19,"headers=false"),"-")</f>
        <v>-</v>
      </c>
      <c r="DD25" s="56" t="str">
        <f>IF(LEFT(_xll.BView($DP25,DD$19,"headers=false"),1)&lt;&gt;"#",_xll.BView($DP25,DD$19,"headers=false"),"-")</f>
        <v>-</v>
      </c>
      <c r="DE25" s="56" t="str">
        <f>IF(LEFT(_xll.BView($DP25,DE$19,"headers=false"),1)&lt;&gt;"#",_xll.BView($DP25,DE$19,"headers=false"),"-")</f>
        <v>-</v>
      </c>
      <c r="DF25" s="56" t="str">
        <f>IF(LEFT(_xll.BView($DP25,DF$19,"headers=false"),1)&lt;&gt;"#",_xll.BView($DP25,DF$19,"headers=false"),"-")</f>
        <v>-</v>
      </c>
      <c r="DG25" s="56" t="str">
        <f>IF(LEFT(_xll.BView($DP25,DG$19,"headers=false"),1)&lt;&gt;"#",_xll.BView($DP25,DG$19,"headers=false"),"-")</f>
        <v>-</v>
      </c>
      <c r="DH25" s="56" t="str">
        <f>IF(LEFT(_xll.BView($DP25,DH$19,"headers=false"),1)&lt;&gt;"#",_xll.BView($DP25,DH$19,"headers=false"),"-")</f>
        <v>-</v>
      </c>
      <c r="DI25" s="56" t="str">
        <f>IF(LEFT(_xll.BView($DP25,DI$19,"headers=false"),1)&lt;&gt;"#",_xll.BView($DP25,DI$19,"headers=false"),"-")</f>
        <v>-</v>
      </c>
      <c r="DJ25" s="56" t="str">
        <f>IF(LEFT(_xll.BView($DP25,DJ$19,"headers=false"),1)&lt;&gt;"#",_xll.BView($DP25,DJ$19,"headers=false"),"-")</f>
        <v>-</v>
      </c>
      <c r="DK25" s="56" t="str">
        <f>IF(LEFT(_xll.BView($DP25,DK$19,"headers=false"),1)&lt;&gt;"#",_xll.BView($DP25,DK$19,"headers=false"),"-")</f>
        <v>-</v>
      </c>
      <c r="DL25" s="56" t="str">
        <f>IF(LEFT(_xll.BView($DP25,DL$19,"headers=false"),1)&lt;&gt;"#",_xll.BView($DP25,DL$19,"headers=false"),"-")</f>
        <v>-</v>
      </c>
      <c r="DN25" s="75" t="str">
        <f>IF(Y25&lt;&gt;"",IF(ISERROR(RIGHT(Y25,1)*1)," "&amp;Y25&amp;"x"&amp;IF(AA25&lt;&gt;"",AA25,Y25)," E"&amp;usdate(Y25)&amp;" "&amp;IF(AA25&lt;&gt;"",usdate(AA25),usdate(Y25+3653))),IF(AA25&lt;&gt;"",IF(ISERROR(RIGHT(AA25,1)*1)," "&amp;AA25," "&amp;usdate(AA25)),""))</f>
        <v/>
      </c>
      <c r="DO25" s="75" t="str">
        <f>IF(OR(H25&lt;&gt;"",N25&lt;&gt;""),_xll.BSTRUCTURE(IF(H25&lt;&gt;"",H25,O25&amp;DN25),$Q$19:$W$19,Q25:W25,$AB$19:$AC$19,AB25:AC25,$AH$19:$AK$19,AH25:AK25,$AM$19:$AQ$19,AM25:AQ25,$AS$19,AS25,$AU$19,AU25,$Z$19,Z25,$Y$19,IF(ISERROR(RIGHT(Y25,1)*1),"",Y25),$AA$19,IF(ISERROR(RIGHT(AA25,1)*1),"",AA25),"ignoreinvalidparams=true"),"Enter deal type or saved ID.")</f>
        <v>Enter deal type or saved ID.</v>
      </c>
      <c r="DP25" s="75" t="str">
        <f>IF(LEFT(DO25,1)="E","",IF(CM25="No",_xll.BPRICE(DO25,"MarketDate",SwaptionMarketDate,"ValuationDate",SwaptionValuationDate,$AE$19:$AF$19,AE25:AF25,"alwaysrefresh"),_xll.BPRICE(DO25,"MarketDate",SwaptionMarketDate,"ValuationDate",SwaptionValuationDate,CP25,CR25,CS25,CU25,$AE$19:$AF$19,AE25:AF25,"alwaysrefresh")))</f>
        <v/>
      </c>
    </row>
    <row r="26" spans="2:128" x14ac:dyDescent="0.25">
      <c r="B26" s="27" t="str">
        <f>IF(OR(H26&lt;&gt;"",N26&lt;&gt;""),IF(OR(DO26="#N/A Requesting Data...",DO26="#N/A Waiting For Data...",DP26="#N/A Requesting Data...",DP26="#N/A Waiting For Data..."),"Loading ….",IF(OR(LEFT(DO26,1)="#",LEFT(DP26,1)="#"),"Check Inputs",_xll.BView(DP26,B$19,"headers=false"))),"Select Deal Type")</f>
        <v>Select Deal Type</v>
      </c>
      <c r="C26" s="57" t="str">
        <f>IFERROR(1*_xll.BView($DP26,C$19,"headers=false"),"-")</f>
        <v>-</v>
      </c>
      <c r="D26" s="57" t="str">
        <f>IFERROR(1*_xll.BView($DP26,D$19,"headers=false"),"-")</f>
        <v>-</v>
      </c>
      <c r="E26" s="56" t="str">
        <f>IFERROR(1*_xll.BView($DP26,E$19,"headers=false"),"-")</f>
        <v>-</v>
      </c>
      <c r="F26" s="56" t="str">
        <f>IFERROR(1*_xll.BView($DP26,F$19,"headers=false"),"-")</f>
        <v>-</v>
      </c>
      <c r="H26" s="40"/>
      <c r="I26" s="40" t="s">
        <v>1</v>
      </c>
      <c r="J26" s="20"/>
      <c r="K26" s="96" t="str">
        <f t="shared" si="3"/>
        <v/>
      </c>
      <c r="L26" s="40"/>
      <c r="M26" s="20"/>
      <c r="N26" s="58"/>
      <c r="O26" s="52" t="e">
        <f t="shared" si="0"/>
        <v>#N/A</v>
      </c>
      <c r="P26" s="20"/>
      <c r="Q26" s="40"/>
      <c r="R26" s="106"/>
      <c r="S26" s="106"/>
      <c r="T26" s="106"/>
      <c r="U26" s="106"/>
      <c r="V26" s="106"/>
      <c r="W26" s="106"/>
      <c r="X26" s="78"/>
      <c r="Y26" s="36"/>
      <c r="Z26" s="81"/>
      <c r="AA26" s="36"/>
      <c r="AB26" s="40"/>
      <c r="AC26" s="106"/>
      <c r="AD26" s="78"/>
      <c r="AE26" s="40"/>
      <c r="AF26" s="77"/>
      <c r="AG26" s="20"/>
      <c r="AH26" s="40"/>
      <c r="AI26" s="40"/>
      <c r="AJ26" s="40"/>
      <c r="AK26" s="40"/>
      <c r="AL26" s="20"/>
      <c r="AM26" s="40"/>
      <c r="AN26" s="40"/>
      <c r="AO26" s="40"/>
      <c r="AP26" s="40"/>
      <c r="AQ26" s="40"/>
      <c r="AR26" s="20"/>
      <c r="AS26" s="40"/>
      <c r="AT26" s="20"/>
      <c r="AU26" s="40"/>
      <c r="AV26" s="20"/>
      <c r="AW26" s="48" t="str">
        <f>IF(LEFT(_xll.BView($DO26,AW$19,"headers=false"),1)&lt;&gt;"#",_xll.BView($DO26,AW$19,"headers=false"),"-")</f>
        <v>-</v>
      </c>
      <c r="AX26" s="48" t="str">
        <f>IF(LEFT(_xll.BView($DO26,AX$19,"headers=false"),1)&lt;&gt;"#",_xll.BView($DO26,AX$19,"headers=false"),"-")</f>
        <v>-</v>
      </c>
      <c r="AY26" s="56" t="str">
        <f>IF(LEFT(_xll.BView($DO26,AY$19,"headers=false"),1)&lt;&gt;"#",_xll.BView($DO26,AY$19,"headers=false"),"-")</f>
        <v>-</v>
      </c>
      <c r="AZ26" s="49" t="str">
        <f>IF(LEFT(_xll.BView($DO26,AZ$19,"headers=false"),1)&lt;&gt;"#",_xll.BView($DO26,AZ$19,"headers=false"),"-")</f>
        <v>-</v>
      </c>
      <c r="BA26" s="48" t="str">
        <f>IF(LEFT(_xll.BView($DO26,BA$19,"headers=false"),1)&lt;&gt;"#",_xll.BView($DO26,BA$19,"headers=false"),"-")</f>
        <v>-</v>
      </c>
      <c r="BB26" s="48" t="str">
        <f>IF(LEFT(_xll.BView($DO26,BB$19,"headers=false"),1)&lt;&gt;"#",_xll.BView($DO26,BB$19,"headers=false"),"-")</f>
        <v>-</v>
      </c>
      <c r="BC26" s="48" t="str">
        <f>IF(LEFT(_xll.BView($DO26,BC$19,"headers=false"),1)&lt;&gt;"#",_xll.BView($DO26,BC$19,"headers=false"),"-")</f>
        <v>-</v>
      </c>
      <c r="BD26" s="20"/>
      <c r="BE26" s="37" t="str">
        <f>IF(LEFT(_xll.BView($DO26,BE$19,"headers=false"),1)&lt;&gt;"#",_xll.BView($DO26,BE$19,"headers=false"),"-")</f>
        <v>-</v>
      </c>
      <c r="BF26" s="37" t="str">
        <f>IF(LEFT(_xll.BView($DO26,BF$19,"headers=false"),1)&lt;&gt;"#",_xll.BView($DO26,BF$19,"headers=false"),"-")</f>
        <v>-</v>
      </c>
      <c r="BG26" s="37" t="str">
        <f>IF(LEFT(_xll.BView($DO26,BG$19,"headers=false"),1)&lt;&gt;"#",_xll.BView($DO26,BG$19,"headers=false"),"-")</f>
        <v>-</v>
      </c>
      <c r="BH26" s="37" t="str">
        <f>IF(LEFT(_xll.BView($DO26,BH$19,"headers=false"),1)&lt;&gt;"#",_xll.BView($DO26,BH$19,"headers=false"),"-")</f>
        <v>-</v>
      </c>
      <c r="BI26" s="27" t="str">
        <f>IF(LEFT(_xll.BView($DO26,BI$19,"headers=false"),1)&lt;&gt;"#",_xll.BView($DO26,BI$19,"headers=false"),"-")</f>
        <v>-</v>
      </c>
      <c r="BJ26" s="21"/>
      <c r="BK26" s="27" t="str">
        <f>IF(LEFT(_xll.BView($DO26,BK$19,"headers=false"),1)&lt;&gt;"#",_xll.BView($DO26,BK$19,"headers=false"),"-")</f>
        <v>-</v>
      </c>
      <c r="BL26" s="27" t="str">
        <f>IF(LEFT(_xll.BView($DO26,BL$19,"headers=false"),1)&lt;&gt;"#",_xll.BView($DO26,BL$19,"headers=false"),"-")</f>
        <v>-</v>
      </c>
      <c r="BM26" s="27" t="str">
        <f>IF(LEFT(_xll.BView($DO26,BM$19,"headers=false"),1)&lt;&gt;"#",_xll.BView($DO26,BM$19,"headers=false"),"-")</f>
        <v>-</v>
      </c>
      <c r="BN26" s="38" t="str">
        <f>IF(LEFT(_xll.BView($DO26,BN$19,"headers=false"),1)&lt;&gt;"#",_xll.BView($DO26,BN$19,"headers=false"),"-")</f>
        <v>-</v>
      </c>
      <c r="BO26" s="27" t="str">
        <f>IF(LEFT(_xll.BView($DO26,BO$19,"headers=false"),1)&lt;&gt;"#",_xll.BView($DO26,BO$19,"headers=false"),"-")</f>
        <v>-</v>
      </c>
      <c r="BP26" s="27" t="str">
        <f>IF(LEFT(_xll.BView($DO26,BP$19,"headers=false"),1)&lt;&gt;"#",_xll.BView($DO26,BP$19,"headers=false"),"-")</f>
        <v>-</v>
      </c>
      <c r="BQ26" s="27" t="str">
        <f>IF(LEFT(_xll.BView($DO26,BQ$19,"headers=false"),1)&lt;&gt;"#",_xll.BView($DO26,BQ$19,"headers=false"),"-")</f>
        <v>-</v>
      </c>
      <c r="BR26" s="22"/>
      <c r="BS26" s="27" t="str">
        <f>IF(LEFT(_xll.BView($DO26,BS$19,"headers=false"),1)&lt;&gt;"#",_xll.BView($DO26,BS$19,"headers=false"),"-")</f>
        <v>-</v>
      </c>
      <c r="BT26" s="27" t="str">
        <f>IF(LEFT(_xll.BView($DO26,BT$19,"headers=false"),1)&lt;&gt;"#",_xll.BView($DO26,BT$19,"headers=false"),"-")</f>
        <v>-</v>
      </c>
      <c r="BU26" s="27" t="str">
        <f>IF(LEFT(_xll.BView($DO26,BU$19,"headers=false"),1)&lt;&gt;"#",_xll.BView($DO26,BU$19,"headers=false"),"-")</f>
        <v>-</v>
      </c>
      <c r="BV26" s="27" t="str">
        <f>IF(LEFT(_xll.BView($DO26,BV$19,"headers=false"),1)&lt;&gt;"#",_xll.BView($DO26,BV$19,"headers=false"),"-")</f>
        <v>-</v>
      </c>
      <c r="BW26" s="27" t="str">
        <f>IF(LEFT(_xll.BView($DO26,BW$19,"headers=false"),1)&lt;&gt;"#",_xll.BView($DO26,BW$19,"headers=false"),"-")</f>
        <v>-</v>
      </c>
      <c r="BX26" s="27" t="str">
        <f>IF(LEFT(_xll.BView($DO26,BX$19,"headers=false"),1)&lt;&gt;"#",_xll.BView($DO26,BX$19,"headers=false"),"-")</f>
        <v>-</v>
      </c>
      <c r="BY26" s="27" t="str">
        <f>IF(LEFT(_xll.BView($DO26,BY$19,"headers=false"),1)&lt;&gt;"#",_xll.BView($DO26,BY$19,"headers=false"),"-")</f>
        <v>-</v>
      </c>
      <c r="BZ26" s="27" t="str">
        <f>IF(LEFT(_xll.BView($DO26,BZ$19,"headers=false"),1)&lt;&gt;"#",_xll.BView($DO26,BZ$19,"headers=false"),"-")</f>
        <v>-</v>
      </c>
      <c r="CA26" s="22"/>
      <c r="CB26" s="27" t="str">
        <f>IF(LEFT(_xll.BView($DO26,CB$19,"headers=false"),1)&lt;&gt;"#",_xll.BView($DO26,CB$19,"headers=false"),"-")</f>
        <v>-</v>
      </c>
      <c r="CC26" s="22"/>
      <c r="CD26" s="27" t="str">
        <f>IF(LEFT(_xll.BView($DO26,CD$19,"headers=false"),1)&lt;&gt;"#",_xll.BView($DO26,CD$19,"headers=false"),"-")</f>
        <v>-</v>
      </c>
      <c r="CE26" s="20"/>
      <c r="CF26" s="28" t="str">
        <f>IFERROR(INDEX(_xll.BMARKETPARAM($DO26,"array=true"),2,1),"")</f>
        <v/>
      </c>
      <c r="CG26" s="28" t="str">
        <f>IFERROR(INDEX(_xll.BMARKETPARAM($DO26,"array=true"),2,3),"")</f>
        <v/>
      </c>
      <c r="CH26" s="28" t="str">
        <f>IFERROR(INDEX(_xll.BMARKETPARAM($DO26,"array=true"),3,1),"")</f>
        <v/>
      </c>
      <c r="CI26" s="28" t="str">
        <f>IFERROR(INDEX(_xll.BMARKETPARAM($DO26,"array=true"),3,3),"")</f>
        <v/>
      </c>
      <c r="CJ26" s="28" t="str">
        <f>IFERROR(INDEX(_xll.BMARKETPARAM($DO26,"array=true"),4,1),"")</f>
        <v/>
      </c>
      <c r="CK26" s="28" t="str">
        <f>IFERROR(INDEX(_xll.BMARKETPARAM($DO26,"array=true"),4,3),"")</f>
        <v/>
      </c>
      <c r="CL26" s="20"/>
      <c r="CM26" s="40" t="s">
        <v>1</v>
      </c>
      <c r="CN26" s="40"/>
      <c r="CO26" s="91"/>
      <c r="CP26" s="28" t="str">
        <f t="shared" si="1"/>
        <v/>
      </c>
      <c r="CQ26" s="92"/>
      <c r="CR26" s="93" t="str">
        <f>IF(CQ26&lt;&gt;"",_xll.BCurveStrip(CQ26,"CurveDate",SwaptionMarketDate,"ApplyDC",$CN26,"ParallelShift",$CO26),"")</f>
        <v/>
      </c>
      <c r="CS26" s="93" t="str">
        <f t="shared" si="2"/>
        <v/>
      </c>
      <c r="CT26" s="40"/>
      <c r="CU26" s="93" t="str">
        <f>IF(CT26&lt;&gt;"",_xll.BCurveStrip(CT26,"CurveDate",SwaptionMarketDate,"ApplyDC",$CN26,"ParallelShift",$CO26),"")</f>
        <v/>
      </c>
      <c r="CV26" s="20"/>
      <c r="CW26" s="56" t="str">
        <f>IF(LEFT(_xll.BView($DP26,CW$19,"headers=false"),1)&lt;&gt;"#",_xll.BView($DP26,CW$19,"headers=false"),"-")</f>
        <v>-</v>
      </c>
      <c r="CX26" s="56" t="str">
        <f>IF(LEFT(_xll.BView($DP26,CX$19,"headers=false"),1)&lt;&gt;"#",_xll.BView($DP26,CX$19,"headers=false"),"-")</f>
        <v>-</v>
      </c>
      <c r="CY26" s="56" t="str">
        <f>IF(LEFT(_xll.BView($DP26,CY$19,"headers=false"),1)&lt;&gt;"#",_xll.BView($DP26,CY$19,"headers=false"),"-")</f>
        <v>-</v>
      </c>
      <c r="CZ26" s="56" t="str">
        <f>IF(LEFT(_xll.BView($DP26,CZ$19,"headers=false"),1)&lt;&gt;"#",_xll.BView($DP26,CZ$19,"headers=false"),"-")</f>
        <v>-</v>
      </c>
      <c r="DA26" s="56" t="str">
        <f>IF(LEFT(_xll.BView($DP26,DA$19,"headers=false"),1)&lt;&gt;"#",_xll.BView($DP26,DA$19,"headers=false"),"-")</f>
        <v>-</v>
      </c>
      <c r="DB26" s="56" t="str">
        <f>IF(LEFT(_xll.BView($DP26,DB$19,"headers=false"),1)&lt;&gt;"#",_xll.BView($DP26,DB$19,"headers=false"),"-")</f>
        <v>-</v>
      </c>
      <c r="DC26" s="56" t="str">
        <f>IF(LEFT(_xll.BView($DP26,DC$19,"headers=false"),1)&lt;&gt;"#",_xll.BView($DP26,DC$19,"headers=false"),"-")</f>
        <v>-</v>
      </c>
      <c r="DD26" s="56" t="str">
        <f>IF(LEFT(_xll.BView($DP26,DD$19,"headers=false"),1)&lt;&gt;"#",_xll.BView($DP26,DD$19,"headers=false"),"-")</f>
        <v>-</v>
      </c>
      <c r="DE26" s="56" t="str">
        <f>IF(LEFT(_xll.BView($DP26,DE$19,"headers=false"),1)&lt;&gt;"#",_xll.BView($DP26,DE$19,"headers=false"),"-")</f>
        <v>-</v>
      </c>
      <c r="DF26" s="56" t="str">
        <f>IF(LEFT(_xll.BView($DP26,DF$19,"headers=false"),1)&lt;&gt;"#",_xll.BView($DP26,DF$19,"headers=false"),"-")</f>
        <v>-</v>
      </c>
      <c r="DG26" s="56" t="str">
        <f>IF(LEFT(_xll.BView($DP26,DG$19,"headers=false"),1)&lt;&gt;"#",_xll.BView($DP26,DG$19,"headers=false"),"-")</f>
        <v>-</v>
      </c>
      <c r="DH26" s="56" t="str">
        <f>IF(LEFT(_xll.BView($DP26,DH$19,"headers=false"),1)&lt;&gt;"#",_xll.BView($DP26,DH$19,"headers=false"),"-")</f>
        <v>-</v>
      </c>
      <c r="DI26" s="56" t="str">
        <f>IF(LEFT(_xll.BView($DP26,DI$19,"headers=false"),1)&lt;&gt;"#",_xll.BView($DP26,DI$19,"headers=false"),"-")</f>
        <v>-</v>
      </c>
      <c r="DJ26" s="56" t="str">
        <f>IF(LEFT(_xll.BView($DP26,DJ$19,"headers=false"),1)&lt;&gt;"#",_xll.BView($DP26,DJ$19,"headers=false"),"-")</f>
        <v>-</v>
      </c>
      <c r="DK26" s="56" t="str">
        <f>IF(LEFT(_xll.BView($DP26,DK$19,"headers=false"),1)&lt;&gt;"#",_xll.BView($DP26,DK$19,"headers=false"),"-")</f>
        <v>-</v>
      </c>
      <c r="DL26" s="56" t="str">
        <f>IF(LEFT(_xll.BView($DP26,DL$19,"headers=false"),1)&lt;&gt;"#",_xll.BView($DP26,DL$19,"headers=false"),"-")</f>
        <v>-</v>
      </c>
      <c r="DN26" s="75" t="str">
        <f>IF(Y26&lt;&gt;"",IF(ISERROR(RIGHT(Y26,1)*1)," "&amp;Y26&amp;"x"&amp;IF(AA26&lt;&gt;"",AA26,Y26)," E"&amp;usdate(Y26)&amp;" "&amp;IF(AA26&lt;&gt;"",usdate(AA26),usdate(Y26+3653))),IF(AA26&lt;&gt;"",IF(ISERROR(RIGHT(AA26,1)*1)," "&amp;AA26," "&amp;usdate(AA26)),""))</f>
        <v/>
      </c>
      <c r="DO26" s="75" t="str">
        <f>IF(OR(H26&lt;&gt;"",N26&lt;&gt;""),_xll.BSTRUCTURE(IF(H26&lt;&gt;"",H26,O26&amp;DN26),$Q$19:$W$19,Q26:W26,$AB$19:$AC$19,AB26:AC26,$AH$19:$AK$19,AH26:AK26,$AM$19:$AQ$19,AM26:AQ26,$AS$19,AS26,$AU$19,AU26,$Z$19,Z26,$Y$19,IF(ISERROR(RIGHT(Y26,1)*1),"",Y26),$AA$19,IF(ISERROR(RIGHT(AA26,1)*1),"",AA26),"ignoreinvalidparams=true"),"Enter deal type or saved ID.")</f>
        <v>Enter deal type or saved ID.</v>
      </c>
      <c r="DP26" s="75" t="str">
        <f>IF(LEFT(DO26,1)="E","",IF(CM26="No",_xll.BPRICE(DO26,"MarketDate",SwaptionMarketDate,"ValuationDate",SwaptionValuationDate,$AE$19:$AF$19,AE26:AF26,"alwaysrefresh"),_xll.BPRICE(DO26,"MarketDate",SwaptionMarketDate,"ValuationDate",SwaptionValuationDate,CP26,CR26,CS26,CU26,$AE$19:$AF$19,AE26:AF26,"alwaysrefresh")))</f>
        <v/>
      </c>
      <c r="DU26" s="25"/>
      <c r="DX26" s="25"/>
    </row>
    <row r="27" spans="2:128" x14ac:dyDescent="0.25">
      <c r="B27" s="27" t="str">
        <f>IF(OR(H27&lt;&gt;"",N27&lt;&gt;""),IF(OR(DO27="#N/A Requesting Data...",DO27="#N/A Waiting For Data...",DP27="#N/A Requesting Data...",DP27="#N/A Waiting For Data..."),"Loading ….",IF(OR(LEFT(DO27,1)="#",LEFT(DP27,1)="#"),"Check Inputs",_xll.BView(DP27,B$19,"headers=false"))),"Select Deal Type")</f>
        <v>Select Deal Type</v>
      </c>
      <c r="C27" s="57" t="str">
        <f>IFERROR(1*_xll.BView($DP27,C$19,"headers=false"),"-")</f>
        <v>-</v>
      </c>
      <c r="D27" s="57" t="str">
        <f>IFERROR(1*_xll.BView($DP27,D$19,"headers=false"),"-")</f>
        <v>-</v>
      </c>
      <c r="E27" s="56" t="str">
        <f>IFERROR(1*_xll.BView($DP27,E$19,"headers=false"),"-")</f>
        <v>-</v>
      </c>
      <c r="F27" s="56" t="str">
        <f>IFERROR(1*_xll.BView($DP27,F$19,"headers=false"),"-")</f>
        <v>-</v>
      </c>
      <c r="H27" s="40"/>
      <c r="I27" s="40" t="s">
        <v>1</v>
      </c>
      <c r="J27" s="20"/>
      <c r="K27" s="96" t="str">
        <f t="shared" si="3"/>
        <v/>
      </c>
      <c r="L27" s="40"/>
      <c r="M27" s="20"/>
      <c r="N27" s="58"/>
      <c r="O27" s="52" t="e">
        <f t="shared" si="0"/>
        <v>#N/A</v>
      </c>
      <c r="P27" s="20"/>
      <c r="Q27" s="40"/>
      <c r="R27" s="106"/>
      <c r="S27" s="106"/>
      <c r="T27" s="106"/>
      <c r="U27" s="106"/>
      <c r="V27" s="106"/>
      <c r="W27" s="106"/>
      <c r="X27" s="78"/>
      <c r="Y27" s="36"/>
      <c r="Z27" s="81"/>
      <c r="AA27" s="36"/>
      <c r="AB27" s="40"/>
      <c r="AC27" s="106"/>
      <c r="AD27" s="78"/>
      <c r="AE27" s="40"/>
      <c r="AF27" s="77"/>
      <c r="AG27" s="20"/>
      <c r="AH27" s="40"/>
      <c r="AI27" s="40"/>
      <c r="AJ27" s="40"/>
      <c r="AK27" s="40"/>
      <c r="AL27" s="20"/>
      <c r="AM27" s="40"/>
      <c r="AN27" s="40"/>
      <c r="AO27" s="40"/>
      <c r="AP27" s="40"/>
      <c r="AQ27" s="40"/>
      <c r="AR27" s="20"/>
      <c r="AS27" s="40"/>
      <c r="AT27" s="20"/>
      <c r="AU27" s="40"/>
      <c r="AV27" s="20"/>
      <c r="AW27" s="48" t="str">
        <f>IF(LEFT(_xll.BView($DO27,AW$19,"headers=false"),1)&lt;&gt;"#",_xll.BView($DO27,AW$19,"headers=false"),"-")</f>
        <v>-</v>
      </c>
      <c r="AX27" s="48" t="str">
        <f>IF(LEFT(_xll.BView($DO27,AX$19,"headers=false"),1)&lt;&gt;"#",_xll.BView($DO27,AX$19,"headers=false"),"-")</f>
        <v>-</v>
      </c>
      <c r="AY27" s="56" t="str">
        <f>IF(LEFT(_xll.BView($DO27,AY$19,"headers=false"),1)&lt;&gt;"#",_xll.BView($DO27,AY$19,"headers=false"),"-")</f>
        <v>-</v>
      </c>
      <c r="AZ27" s="49" t="str">
        <f>IF(LEFT(_xll.BView($DO27,AZ$19,"headers=false"),1)&lt;&gt;"#",_xll.BView($DO27,AZ$19,"headers=false"),"-")</f>
        <v>-</v>
      </c>
      <c r="BA27" s="48" t="str">
        <f>IF(LEFT(_xll.BView($DO27,BA$19,"headers=false"),1)&lt;&gt;"#",_xll.BView($DO27,BA$19,"headers=false"),"-")</f>
        <v>-</v>
      </c>
      <c r="BB27" s="48" t="str">
        <f>IF(LEFT(_xll.BView($DO27,BB$19,"headers=false"),1)&lt;&gt;"#",_xll.BView($DO27,BB$19,"headers=false"),"-")</f>
        <v>-</v>
      </c>
      <c r="BC27" s="48" t="str">
        <f>IF(LEFT(_xll.BView($DO27,BC$19,"headers=false"),1)&lt;&gt;"#",_xll.BView($DO27,BC$19,"headers=false"),"-")</f>
        <v>-</v>
      </c>
      <c r="BD27" s="20"/>
      <c r="BE27" s="37" t="str">
        <f>IF(LEFT(_xll.BView($DO27,BE$19,"headers=false"),1)&lt;&gt;"#",_xll.BView($DO27,BE$19,"headers=false"),"-")</f>
        <v>-</v>
      </c>
      <c r="BF27" s="37" t="str">
        <f>IF(LEFT(_xll.BView($DO27,BF$19,"headers=false"),1)&lt;&gt;"#",_xll.BView($DO27,BF$19,"headers=false"),"-")</f>
        <v>-</v>
      </c>
      <c r="BG27" s="37" t="str">
        <f>IF(LEFT(_xll.BView($DO27,BG$19,"headers=false"),1)&lt;&gt;"#",_xll.BView($DO27,BG$19,"headers=false"),"-")</f>
        <v>-</v>
      </c>
      <c r="BH27" s="37" t="str">
        <f>IF(LEFT(_xll.BView($DO27,BH$19,"headers=false"),1)&lt;&gt;"#",_xll.BView($DO27,BH$19,"headers=false"),"-")</f>
        <v>-</v>
      </c>
      <c r="BI27" s="27" t="str">
        <f>IF(LEFT(_xll.BView($DO27,BI$19,"headers=false"),1)&lt;&gt;"#",_xll.BView($DO27,BI$19,"headers=false"),"-")</f>
        <v>-</v>
      </c>
      <c r="BJ27" s="21"/>
      <c r="BK27" s="27" t="str">
        <f>IF(LEFT(_xll.BView($DO27,BK$19,"headers=false"),1)&lt;&gt;"#",_xll.BView($DO27,BK$19,"headers=false"),"-")</f>
        <v>-</v>
      </c>
      <c r="BL27" s="27" t="str">
        <f>IF(LEFT(_xll.BView($DO27,BL$19,"headers=false"),1)&lt;&gt;"#",_xll.BView($DO27,BL$19,"headers=false"),"-")</f>
        <v>-</v>
      </c>
      <c r="BM27" s="27" t="str">
        <f>IF(LEFT(_xll.BView($DO27,BM$19,"headers=false"),1)&lt;&gt;"#",_xll.BView($DO27,BM$19,"headers=false"),"-")</f>
        <v>-</v>
      </c>
      <c r="BN27" s="38" t="str">
        <f>IF(LEFT(_xll.BView($DO27,BN$19,"headers=false"),1)&lt;&gt;"#",_xll.BView($DO27,BN$19,"headers=false"),"-")</f>
        <v>-</v>
      </c>
      <c r="BO27" s="27" t="str">
        <f>IF(LEFT(_xll.BView($DO27,BO$19,"headers=false"),1)&lt;&gt;"#",_xll.BView($DO27,BO$19,"headers=false"),"-")</f>
        <v>-</v>
      </c>
      <c r="BP27" s="27" t="str">
        <f>IF(LEFT(_xll.BView($DO27,BP$19,"headers=false"),1)&lt;&gt;"#",_xll.BView($DO27,BP$19,"headers=false"),"-")</f>
        <v>-</v>
      </c>
      <c r="BQ27" s="27" t="str">
        <f>IF(LEFT(_xll.BView($DO27,BQ$19,"headers=false"),1)&lt;&gt;"#",_xll.BView($DO27,BQ$19,"headers=false"),"-")</f>
        <v>-</v>
      </c>
      <c r="BR27" s="22"/>
      <c r="BS27" s="27" t="str">
        <f>IF(LEFT(_xll.BView($DO27,BS$19,"headers=false"),1)&lt;&gt;"#",_xll.BView($DO27,BS$19,"headers=false"),"-")</f>
        <v>-</v>
      </c>
      <c r="BT27" s="27" t="str">
        <f>IF(LEFT(_xll.BView($DO27,BT$19,"headers=false"),1)&lt;&gt;"#",_xll.BView($DO27,BT$19,"headers=false"),"-")</f>
        <v>-</v>
      </c>
      <c r="BU27" s="27" t="str">
        <f>IF(LEFT(_xll.BView($DO27,BU$19,"headers=false"),1)&lt;&gt;"#",_xll.BView($DO27,BU$19,"headers=false"),"-")</f>
        <v>-</v>
      </c>
      <c r="BV27" s="27" t="str">
        <f>IF(LEFT(_xll.BView($DO27,BV$19,"headers=false"),1)&lt;&gt;"#",_xll.BView($DO27,BV$19,"headers=false"),"-")</f>
        <v>-</v>
      </c>
      <c r="BW27" s="27" t="str">
        <f>IF(LEFT(_xll.BView($DO27,BW$19,"headers=false"),1)&lt;&gt;"#",_xll.BView($DO27,BW$19,"headers=false"),"-")</f>
        <v>-</v>
      </c>
      <c r="BX27" s="27" t="str">
        <f>IF(LEFT(_xll.BView($DO27,BX$19,"headers=false"),1)&lt;&gt;"#",_xll.BView($DO27,BX$19,"headers=false"),"-")</f>
        <v>-</v>
      </c>
      <c r="BY27" s="27" t="str">
        <f>IF(LEFT(_xll.BView($DO27,BY$19,"headers=false"),1)&lt;&gt;"#",_xll.BView($DO27,BY$19,"headers=false"),"-")</f>
        <v>-</v>
      </c>
      <c r="BZ27" s="27" t="str">
        <f>IF(LEFT(_xll.BView($DO27,BZ$19,"headers=false"),1)&lt;&gt;"#",_xll.BView($DO27,BZ$19,"headers=false"),"-")</f>
        <v>-</v>
      </c>
      <c r="CA27" s="22"/>
      <c r="CB27" s="27" t="str">
        <f>IF(LEFT(_xll.BView($DO27,CB$19,"headers=false"),1)&lt;&gt;"#",_xll.BView($DO27,CB$19,"headers=false"),"-")</f>
        <v>-</v>
      </c>
      <c r="CC27" s="22"/>
      <c r="CD27" s="27" t="str">
        <f>IF(LEFT(_xll.BView($DO27,CD$19,"headers=false"),1)&lt;&gt;"#",_xll.BView($DO27,CD$19,"headers=false"),"-")</f>
        <v>-</v>
      </c>
      <c r="CE27" s="20"/>
      <c r="CF27" s="28" t="str">
        <f>IFERROR(INDEX(_xll.BMARKETPARAM($DO27,"array=true"),2,1),"")</f>
        <v/>
      </c>
      <c r="CG27" s="28" t="str">
        <f>IFERROR(INDEX(_xll.BMARKETPARAM($DO27,"array=true"),2,3),"")</f>
        <v/>
      </c>
      <c r="CH27" s="28" t="str">
        <f>IFERROR(INDEX(_xll.BMARKETPARAM($DO27,"array=true"),3,1),"")</f>
        <v/>
      </c>
      <c r="CI27" s="28" t="str">
        <f>IFERROR(INDEX(_xll.BMARKETPARAM($DO27,"array=true"),3,3),"")</f>
        <v/>
      </c>
      <c r="CJ27" s="28" t="str">
        <f>IFERROR(INDEX(_xll.BMARKETPARAM($DO27,"array=true"),4,1),"")</f>
        <v/>
      </c>
      <c r="CK27" s="28" t="str">
        <f>IFERROR(INDEX(_xll.BMARKETPARAM($DO27,"array=true"),4,3),"")</f>
        <v/>
      </c>
      <c r="CL27" s="20"/>
      <c r="CM27" s="40" t="s">
        <v>1</v>
      </c>
      <c r="CN27" s="40"/>
      <c r="CO27" s="91"/>
      <c r="CP27" s="28" t="str">
        <f t="shared" si="1"/>
        <v/>
      </c>
      <c r="CQ27" s="92"/>
      <c r="CR27" s="93" t="str">
        <f>IF(CQ27&lt;&gt;"",_xll.BCurveStrip(CQ27,"CurveDate",SwaptionMarketDate,"ApplyDC",$CN27,"ParallelShift",$CO27),"")</f>
        <v/>
      </c>
      <c r="CS27" s="93" t="str">
        <f t="shared" si="2"/>
        <v/>
      </c>
      <c r="CT27" s="40"/>
      <c r="CU27" s="93" t="str">
        <f>IF(CT27&lt;&gt;"",_xll.BCurveStrip(CT27,"CurveDate",SwaptionMarketDate,"ApplyDC",$CN27,"ParallelShift",$CO27),"")</f>
        <v/>
      </c>
      <c r="CV27" s="20"/>
      <c r="CW27" s="56" t="str">
        <f>IF(LEFT(_xll.BView($DP27,CW$19,"headers=false"),1)&lt;&gt;"#",_xll.BView($DP27,CW$19,"headers=false"),"-")</f>
        <v>-</v>
      </c>
      <c r="CX27" s="56" t="str">
        <f>IF(LEFT(_xll.BView($DP27,CX$19,"headers=false"),1)&lt;&gt;"#",_xll.BView($DP27,CX$19,"headers=false"),"-")</f>
        <v>-</v>
      </c>
      <c r="CY27" s="56" t="str">
        <f>IF(LEFT(_xll.BView($DP27,CY$19,"headers=false"),1)&lt;&gt;"#",_xll.BView($DP27,CY$19,"headers=false"),"-")</f>
        <v>-</v>
      </c>
      <c r="CZ27" s="56" t="str">
        <f>IF(LEFT(_xll.BView($DP27,CZ$19,"headers=false"),1)&lt;&gt;"#",_xll.BView($DP27,CZ$19,"headers=false"),"-")</f>
        <v>-</v>
      </c>
      <c r="DA27" s="56" t="str">
        <f>IF(LEFT(_xll.BView($DP27,DA$19,"headers=false"),1)&lt;&gt;"#",_xll.BView($DP27,DA$19,"headers=false"),"-")</f>
        <v>-</v>
      </c>
      <c r="DB27" s="56" t="str">
        <f>IF(LEFT(_xll.BView($DP27,DB$19,"headers=false"),1)&lt;&gt;"#",_xll.BView($DP27,DB$19,"headers=false"),"-")</f>
        <v>-</v>
      </c>
      <c r="DC27" s="56" t="str">
        <f>IF(LEFT(_xll.BView($DP27,DC$19,"headers=false"),1)&lt;&gt;"#",_xll.BView($DP27,DC$19,"headers=false"),"-")</f>
        <v>-</v>
      </c>
      <c r="DD27" s="56" t="str">
        <f>IF(LEFT(_xll.BView($DP27,DD$19,"headers=false"),1)&lt;&gt;"#",_xll.BView($DP27,DD$19,"headers=false"),"-")</f>
        <v>-</v>
      </c>
      <c r="DE27" s="56" t="str">
        <f>IF(LEFT(_xll.BView($DP27,DE$19,"headers=false"),1)&lt;&gt;"#",_xll.BView($DP27,DE$19,"headers=false"),"-")</f>
        <v>-</v>
      </c>
      <c r="DF27" s="56" t="str">
        <f>IF(LEFT(_xll.BView($DP27,DF$19,"headers=false"),1)&lt;&gt;"#",_xll.BView($DP27,DF$19,"headers=false"),"-")</f>
        <v>-</v>
      </c>
      <c r="DG27" s="56" t="str">
        <f>IF(LEFT(_xll.BView($DP27,DG$19,"headers=false"),1)&lt;&gt;"#",_xll.BView($DP27,DG$19,"headers=false"),"-")</f>
        <v>-</v>
      </c>
      <c r="DH27" s="56" t="str">
        <f>IF(LEFT(_xll.BView($DP27,DH$19,"headers=false"),1)&lt;&gt;"#",_xll.BView($DP27,DH$19,"headers=false"),"-")</f>
        <v>-</v>
      </c>
      <c r="DI27" s="56" t="str">
        <f>IF(LEFT(_xll.BView($DP27,DI$19,"headers=false"),1)&lt;&gt;"#",_xll.BView($DP27,DI$19,"headers=false"),"-")</f>
        <v>-</v>
      </c>
      <c r="DJ27" s="56" t="str">
        <f>IF(LEFT(_xll.BView($DP27,DJ$19,"headers=false"),1)&lt;&gt;"#",_xll.BView($DP27,DJ$19,"headers=false"),"-")</f>
        <v>-</v>
      </c>
      <c r="DK27" s="56" t="str">
        <f>IF(LEFT(_xll.BView($DP27,DK$19,"headers=false"),1)&lt;&gt;"#",_xll.BView($DP27,DK$19,"headers=false"),"-")</f>
        <v>-</v>
      </c>
      <c r="DL27" s="56" t="str">
        <f>IF(LEFT(_xll.BView($DP27,DL$19,"headers=false"),1)&lt;&gt;"#",_xll.BView($DP27,DL$19,"headers=false"),"-")</f>
        <v>-</v>
      </c>
      <c r="DN27" s="75" t="str">
        <f>IF(Y27&lt;&gt;"",IF(ISERROR(RIGHT(Y27,1)*1)," "&amp;Y27&amp;"x"&amp;IF(AA27&lt;&gt;"",AA27,Y27)," E"&amp;usdate(Y27)&amp;" "&amp;IF(AA27&lt;&gt;"",usdate(AA27),usdate(Y27+3653))),IF(AA27&lt;&gt;"",IF(ISERROR(RIGHT(AA27,1)*1)," "&amp;AA27," "&amp;usdate(AA27)),""))</f>
        <v/>
      </c>
      <c r="DO27" s="75" t="str">
        <f>IF(OR(H27&lt;&gt;"",N27&lt;&gt;""),_xll.BSTRUCTURE(IF(H27&lt;&gt;"",H27,O27&amp;DN27),$Q$19:$W$19,Q27:W27,$AB$19:$AC$19,AB27:AC27,$AH$19:$AK$19,AH27:AK27,$AM$19:$AQ$19,AM27:AQ27,$AS$19,AS27,$AU$19,AU27,$Z$19,Z27,$Y$19,IF(ISERROR(RIGHT(Y27,1)*1),"",Y27),$AA$19,IF(ISERROR(RIGHT(AA27,1)*1),"",AA27),"ignoreinvalidparams=true"),"Enter deal type or saved ID.")</f>
        <v>Enter deal type or saved ID.</v>
      </c>
      <c r="DP27" s="75" t="str">
        <f>IF(LEFT(DO27,1)="E","",IF(CM27="No",_xll.BPRICE(DO27,"MarketDate",SwaptionMarketDate,"ValuationDate",SwaptionValuationDate,$AE$19:$AF$19,AE27:AF27,"alwaysrefresh"),_xll.BPRICE(DO27,"MarketDate",SwaptionMarketDate,"ValuationDate",SwaptionValuationDate,CP27,CR27,CS27,CU27,$AE$19:$AF$19,AE27:AF27,"alwaysrefresh")))</f>
        <v/>
      </c>
      <c r="DU27" s="25"/>
      <c r="DX27" s="25"/>
    </row>
    <row r="28" spans="2:128" x14ac:dyDescent="0.25">
      <c r="B28" s="27" t="str">
        <f>IF(OR(H28&lt;&gt;"",N28&lt;&gt;""),IF(OR(DO28="#N/A Requesting Data...",DO28="#N/A Waiting For Data...",DP28="#N/A Requesting Data...",DP28="#N/A Waiting For Data..."),"Loading ….",IF(OR(LEFT(DO28,1)="#",LEFT(DP28,1)="#"),"Check Inputs",_xll.BView(DP28,B$19,"headers=false"))),"Select Deal Type")</f>
        <v>Select Deal Type</v>
      </c>
      <c r="C28" s="57" t="str">
        <f>IFERROR(1*_xll.BView($DP28,C$19,"headers=false"),"-")</f>
        <v>-</v>
      </c>
      <c r="D28" s="57" t="str">
        <f>IFERROR(1*_xll.BView($DP28,D$19,"headers=false"),"-")</f>
        <v>-</v>
      </c>
      <c r="E28" s="56" t="str">
        <f>IFERROR(1*_xll.BView($DP28,E$19,"headers=false"),"-")</f>
        <v>-</v>
      </c>
      <c r="F28" s="56" t="str">
        <f>IFERROR(1*_xll.BView($DP28,F$19,"headers=false"),"-")</f>
        <v>-</v>
      </c>
      <c r="H28" s="40"/>
      <c r="I28" s="40" t="s">
        <v>1</v>
      </c>
      <c r="J28" s="20"/>
      <c r="K28" s="96" t="str">
        <f t="shared" si="3"/>
        <v/>
      </c>
      <c r="L28" s="40"/>
      <c r="M28" s="20"/>
      <c r="N28" s="58"/>
      <c r="O28" s="52" t="e">
        <f t="shared" si="0"/>
        <v>#N/A</v>
      </c>
      <c r="P28" s="20"/>
      <c r="Q28" s="40"/>
      <c r="R28" s="106"/>
      <c r="S28" s="106"/>
      <c r="T28" s="106"/>
      <c r="U28" s="106"/>
      <c r="V28" s="106"/>
      <c r="W28" s="106"/>
      <c r="X28" s="78"/>
      <c r="Y28" s="36"/>
      <c r="Z28" s="81"/>
      <c r="AA28" s="36"/>
      <c r="AB28" s="40"/>
      <c r="AC28" s="106"/>
      <c r="AD28" s="78"/>
      <c r="AE28" s="40"/>
      <c r="AF28" s="77"/>
      <c r="AG28" s="20"/>
      <c r="AH28" s="40"/>
      <c r="AI28" s="40"/>
      <c r="AJ28" s="40"/>
      <c r="AK28" s="40"/>
      <c r="AL28" s="20"/>
      <c r="AM28" s="40"/>
      <c r="AN28" s="40"/>
      <c r="AO28" s="40"/>
      <c r="AP28" s="40"/>
      <c r="AQ28" s="40"/>
      <c r="AR28" s="20"/>
      <c r="AS28" s="40"/>
      <c r="AT28" s="20"/>
      <c r="AU28" s="40"/>
      <c r="AV28" s="20"/>
      <c r="AW28" s="48" t="str">
        <f>IF(LEFT(_xll.BView($DO28,AW$19,"headers=false"),1)&lt;&gt;"#",_xll.BView($DO28,AW$19,"headers=false"),"-")</f>
        <v>-</v>
      </c>
      <c r="AX28" s="48" t="str">
        <f>IF(LEFT(_xll.BView($DO28,AX$19,"headers=false"),1)&lt;&gt;"#",_xll.BView($DO28,AX$19,"headers=false"),"-")</f>
        <v>-</v>
      </c>
      <c r="AY28" s="56" t="str">
        <f>IF(LEFT(_xll.BView($DO28,AY$19,"headers=false"),1)&lt;&gt;"#",_xll.BView($DO28,AY$19,"headers=false"),"-")</f>
        <v>-</v>
      </c>
      <c r="AZ28" s="49" t="str">
        <f>IF(LEFT(_xll.BView($DO28,AZ$19,"headers=false"),1)&lt;&gt;"#",_xll.BView($DO28,AZ$19,"headers=false"),"-")</f>
        <v>-</v>
      </c>
      <c r="BA28" s="48" t="str">
        <f>IF(LEFT(_xll.BView($DO28,BA$19,"headers=false"),1)&lt;&gt;"#",_xll.BView($DO28,BA$19,"headers=false"),"-")</f>
        <v>-</v>
      </c>
      <c r="BB28" s="48" t="str">
        <f>IF(LEFT(_xll.BView($DO28,BB$19,"headers=false"),1)&lt;&gt;"#",_xll.BView($DO28,BB$19,"headers=false"),"-")</f>
        <v>-</v>
      </c>
      <c r="BC28" s="48" t="str">
        <f>IF(LEFT(_xll.BView($DO28,BC$19,"headers=false"),1)&lt;&gt;"#",_xll.BView($DO28,BC$19,"headers=false"),"-")</f>
        <v>-</v>
      </c>
      <c r="BD28" s="20"/>
      <c r="BE28" s="37" t="str">
        <f>IF(LEFT(_xll.BView($DO28,BE$19,"headers=false"),1)&lt;&gt;"#",_xll.BView($DO28,BE$19,"headers=false"),"-")</f>
        <v>-</v>
      </c>
      <c r="BF28" s="37" t="str">
        <f>IF(LEFT(_xll.BView($DO28,BF$19,"headers=false"),1)&lt;&gt;"#",_xll.BView($DO28,BF$19,"headers=false"),"-")</f>
        <v>-</v>
      </c>
      <c r="BG28" s="37" t="str">
        <f>IF(LEFT(_xll.BView($DO28,BG$19,"headers=false"),1)&lt;&gt;"#",_xll.BView($DO28,BG$19,"headers=false"),"-")</f>
        <v>-</v>
      </c>
      <c r="BH28" s="37" t="str">
        <f>IF(LEFT(_xll.BView($DO28,BH$19,"headers=false"),1)&lt;&gt;"#",_xll.BView($DO28,BH$19,"headers=false"),"-")</f>
        <v>-</v>
      </c>
      <c r="BI28" s="27" t="str">
        <f>IF(LEFT(_xll.BView($DO28,BI$19,"headers=false"),1)&lt;&gt;"#",_xll.BView($DO28,BI$19,"headers=false"),"-")</f>
        <v>-</v>
      </c>
      <c r="BJ28" s="21"/>
      <c r="BK28" s="27" t="str">
        <f>IF(LEFT(_xll.BView($DO28,BK$19,"headers=false"),1)&lt;&gt;"#",_xll.BView($DO28,BK$19,"headers=false"),"-")</f>
        <v>-</v>
      </c>
      <c r="BL28" s="27" t="str">
        <f>IF(LEFT(_xll.BView($DO28,BL$19,"headers=false"),1)&lt;&gt;"#",_xll.BView($DO28,BL$19,"headers=false"),"-")</f>
        <v>-</v>
      </c>
      <c r="BM28" s="27" t="str">
        <f>IF(LEFT(_xll.BView($DO28,BM$19,"headers=false"),1)&lt;&gt;"#",_xll.BView($DO28,BM$19,"headers=false"),"-")</f>
        <v>-</v>
      </c>
      <c r="BN28" s="38" t="str">
        <f>IF(LEFT(_xll.BView($DO28,BN$19,"headers=false"),1)&lt;&gt;"#",_xll.BView($DO28,BN$19,"headers=false"),"-")</f>
        <v>-</v>
      </c>
      <c r="BO28" s="27" t="str">
        <f>IF(LEFT(_xll.BView($DO28,BO$19,"headers=false"),1)&lt;&gt;"#",_xll.BView($DO28,BO$19,"headers=false"),"-")</f>
        <v>-</v>
      </c>
      <c r="BP28" s="27" t="str">
        <f>IF(LEFT(_xll.BView($DO28,BP$19,"headers=false"),1)&lt;&gt;"#",_xll.BView($DO28,BP$19,"headers=false"),"-")</f>
        <v>-</v>
      </c>
      <c r="BQ28" s="27" t="str">
        <f>IF(LEFT(_xll.BView($DO28,BQ$19,"headers=false"),1)&lt;&gt;"#",_xll.BView($DO28,BQ$19,"headers=false"),"-")</f>
        <v>-</v>
      </c>
      <c r="BR28" s="22"/>
      <c r="BS28" s="27" t="str">
        <f>IF(LEFT(_xll.BView($DO28,BS$19,"headers=false"),1)&lt;&gt;"#",_xll.BView($DO28,BS$19,"headers=false"),"-")</f>
        <v>-</v>
      </c>
      <c r="BT28" s="27" t="str">
        <f>IF(LEFT(_xll.BView($DO28,BT$19,"headers=false"),1)&lt;&gt;"#",_xll.BView($DO28,BT$19,"headers=false"),"-")</f>
        <v>-</v>
      </c>
      <c r="BU28" s="27" t="str">
        <f>IF(LEFT(_xll.BView($DO28,BU$19,"headers=false"),1)&lt;&gt;"#",_xll.BView($DO28,BU$19,"headers=false"),"-")</f>
        <v>-</v>
      </c>
      <c r="BV28" s="27" t="str">
        <f>IF(LEFT(_xll.BView($DO28,BV$19,"headers=false"),1)&lt;&gt;"#",_xll.BView($DO28,BV$19,"headers=false"),"-")</f>
        <v>-</v>
      </c>
      <c r="BW28" s="27" t="str">
        <f>IF(LEFT(_xll.BView($DO28,BW$19,"headers=false"),1)&lt;&gt;"#",_xll.BView($DO28,BW$19,"headers=false"),"-")</f>
        <v>-</v>
      </c>
      <c r="BX28" s="27" t="str">
        <f>IF(LEFT(_xll.BView($DO28,BX$19,"headers=false"),1)&lt;&gt;"#",_xll.BView($DO28,BX$19,"headers=false"),"-")</f>
        <v>-</v>
      </c>
      <c r="BY28" s="27" t="str">
        <f>IF(LEFT(_xll.BView($DO28,BY$19,"headers=false"),1)&lt;&gt;"#",_xll.BView($DO28,BY$19,"headers=false"),"-")</f>
        <v>-</v>
      </c>
      <c r="BZ28" s="27" t="str">
        <f>IF(LEFT(_xll.BView($DO28,BZ$19,"headers=false"),1)&lt;&gt;"#",_xll.BView($DO28,BZ$19,"headers=false"),"-")</f>
        <v>-</v>
      </c>
      <c r="CA28" s="22"/>
      <c r="CB28" s="27" t="str">
        <f>IF(LEFT(_xll.BView($DO28,CB$19,"headers=false"),1)&lt;&gt;"#",_xll.BView($DO28,CB$19,"headers=false"),"-")</f>
        <v>-</v>
      </c>
      <c r="CC28" s="22"/>
      <c r="CD28" s="27" t="str">
        <f>IF(LEFT(_xll.BView($DO28,CD$19,"headers=false"),1)&lt;&gt;"#",_xll.BView($DO28,CD$19,"headers=false"),"-")</f>
        <v>-</v>
      </c>
      <c r="CE28" s="20"/>
      <c r="CF28" s="28" t="str">
        <f>IFERROR(INDEX(_xll.BMARKETPARAM($DO28,"array=true"),2,1),"")</f>
        <v/>
      </c>
      <c r="CG28" s="28" t="str">
        <f>IFERROR(INDEX(_xll.BMARKETPARAM($DO28,"array=true"),2,3),"")</f>
        <v/>
      </c>
      <c r="CH28" s="28" t="str">
        <f>IFERROR(INDEX(_xll.BMARKETPARAM($DO28,"array=true"),3,1),"")</f>
        <v/>
      </c>
      <c r="CI28" s="28" t="str">
        <f>IFERROR(INDEX(_xll.BMARKETPARAM($DO28,"array=true"),3,3),"")</f>
        <v/>
      </c>
      <c r="CJ28" s="28" t="str">
        <f>IFERROR(INDEX(_xll.BMARKETPARAM($DO28,"array=true"),4,1),"")</f>
        <v/>
      </c>
      <c r="CK28" s="28" t="str">
        <f>IFERROR(INDEX(_xll.BMARKETPARAM($DO28,"array=true"),4,3),"")</f>
        <v/>
      </c>
      <c r="CL28" s="20"/>
      <c r="CM28" s="40" t="s">
        <v>1</v>
      </c>
      <c r="CN28" s="40"/>
      <c r="CO28" s="91"/>
      <c r="CP28" s="28" t="str">
        <f t="shared" si="1"/>
        <v/>
      </c>
      <c r="CQ28" s="92"/>
      <c r="CR28" s="93" t="str">
        <f>IF(CQ28&lt;&gt;"",_xll.BCurveStrip(CQ28,"CurveDate",SwaptionMarketDate,"ApplyDC",$CN28,"ParallelShift",$CO28),"")</f>
        <v/>
      </c>
      <c r="CS28" s="93" t="str">
        <f t="shared" si="2"/>
        <v/>
      </c>
      <c r="CT28" s="40"/>
      <c r="CU28" s="93" t="str">
        <f>IF(CT28&lt;&gt;"",_xll.BCurveStrip(CT28,"CurveDate",SwaptionMarketDate,"ApplyDC",$CN28,"ParallelShift",$CO28),"")</f>
        <v/>
      </c>
      <c r="CV28" s="20"/>
      <c r="CW28" s="56" t="str">
        <f>IF(LEFT(_xll.BView($DP28,CW$19,"headers=false"),1)&lt;&gt;"#",_xll.BView($DP28,CW$19,"headers=false"),"-")</f>
        <v>-</v>
      </c>
      <c r="CX28" s="56" t="str">
        <f>IF(LEFT(_xll.BView($DP28,CX$19,"headers=false"),1)&lt;&gt;"#",_xll.BView($DP28,CX$19,"headers=false"),"-")</f>
        <v>-</v>
      </c>
      <c r="CY28" s="56" t="str">
        <f>IF(LEFT(_xll.BView($DP28,CY$19,"headers=false"),1)&lt;&gt;"#",_xll.BView($DP28,CY$19,"headers=false"),"-")</f>
        <v>-</v>
      </c>
      <c r="CZ28" s="56" t="str">
        <f>IF(LEFT(_xll.BView($DP28,CZ$19,"headers=false"),1)&lt;&gt;"#",_xll.BView($DP28,CZ$19,"headers=false"),"-")</f>
        <v>-</v>
      </c>
      <c r="DA28" s="56" t="str">
        <f>IF(LEFT(_xll.BView($DP28,DA$19,"headers=false"),1)&lt;&gt;"#",_xll.BView($DP28,DA$19,"headers=false"),"-")</f>
        <v>-</v>
      </c>
      <c r="DB28" s="56" t="str">
        <f>IF(LEFT(_xll.BView($DP28,DB$19,"headers=false"),1)&lt;&gt;"#",_xll.BView($DP28,DB$19,"headers=false"),"-")</f>
        <v>-</v>
      </c>
      <c r="DC28" s="56" t="str">
        <f>IF(LEFT(_xll.BView($DP28,DC$19,"headers=false"),1)&lt;&gt;"#",_xll.BView($DP28,DC$19,"headers=false"),"-")</f>
        <v>-</v>
      </c>
      <c r="DD28" s="56" t="str">
        <f>IF(LEFT(_xll.BView($DP28,DD$19,"headers=false"),1)&lt;&gt;"#",_xll.BView($DP28,DD$19,"headers=false"),"-")</f>
        <v>-</v>
      </c>
      <c r="DE28" s="56" t="str">
        <f>IF(LEFT(_xll.BView($DP28,DE$19,"headers=false"),1)&lt;&gt;"#",_xll.BView($DP28,DE$19,"headers=false"),"-")</f>
        <v>-</v>
      </c>
      <c r="DF28" s="56" t="str">
        <f>IF(LEFT(_xll.BView($DP28,DF$19,"headers=false"),1)&lt;&gt;"#",_xll.BView($DP28,DF$19,"headers=false"),"-")</f>
        <v>-</v>
      </c>
      <c r="DG28" s="56" t="str">
        <f>IF(LEFT(_xll.BView($DP28,DG$19,"headers=false"),1)&lt;&gt;"#",_xll.BView($DP28,DG$19,"headers=false"),"-")</f>
        <v>-</v>
      </c>
      <c r="DH28" s="56" t="str">
        <f>IF(LEFT(_xll.BView($DP28,DH$19,"headers=false"),1)&lt;&gt;"#",_xll.BView($DP28,DH$19,"headers=false"),"-")</f>
        <v>-</v>
      </c>
      <c r="DI28" s="56" t="str">
        <f>IF(LEFT(_xll.BView($DP28,DI$19,"headers=false"),1)&lt;&gt;"#",_xll.BView($DP28,DI$19,"headers=false"),"-")</f>
        <v>-</v>
      </c>
      <c r="DJ28" s="56" t="str">
        <f>IF(LEFT(_xll.BView($DP28,DJ$19,"headers=false"),1)&lt;&gt;"#",_xll.BView($DP28,DJ$19,"headers=false"),"-")</f>
        <v>-</v>
      </c>
      <c r="DK28" s="56" t="str">
        <f>IF(LEFT(_xll.BView($DP28,DK$19,"headers=false"),1)&lt;&gt;"#",_xll.BView($DP28,DK$19,"headers=false"),"-")</f>
        <v>-</v>
      </c>
      <c r="DL28" s="56" t="str">
        <f>IF(LEFT(_xll.BView($DP28,DL$19,"headers=false"),1)&lt;&gt;"#",_xll.BView($DP28,DL$19,"headers=false"),"-")</f>
        <v>-</v>
      </c>
      <c r="DN28" s="75" t="str">
        <f>IF(Y28&lt;&gt;"",IF(ISERROR(RIGHT(Y28,1)*1)," "&amp;Y28&amp;"x"&amp;IF(AA28&lt;&gt;"",AA28,Y28)," E"&amp;usdate(Y28)&amp;" "&amp;IF(AA28&lt;&gt;"",usdate(AA28),usdate(Y28+3653))),IF(AA28&lt;&gt;"",IF(ISERROR(RIGHT(AA28,1)*1)," "&amp;AA28," "&amp;usdate(AA28)),""))</f>
        <v/>
      </c>
      <c r="DO28" s="75" t="str">
        <f>IF(OR(H28&lt;&gt;"",N28&lt;&gt;""),_xll.BSTRUCTURE(IF(H28&lt;&gt;"",H28,O28&amp;DN28),$Q$19:$W$19,Q28:W28,$AB$19:$AC$19,AB28:AC28,$AH$19:$AK$19,AH28:AK28,$AM$19:$AQ$19,AM28:AQ28,$AS$19,AS28,$AU$19,AU28,$Z$19,Z28,$Y$19,IF(ISERROR(RIGHT(Y28,1)*1),"",Y28),$AA$19,IF(ISERROR(RIGHT(AA28,1)*1),"",AA28),"ignoreinvalidparams=true"),"Enter deal type or saved ID.")</f>
        <v>Enter deal type or saved ID.</v>
      </c>
      <c r="DP28" s="75" t="str">
        <f>IF(LEFT(DO28,1)="E","",IF(CM28="No",_xll.BPRICE(DO28,"MarketDate",SwaptionMarketDate,"ValuationDate",SwaptionValuationDate,$AE$19:$AF$19,AE28:AF28,"alwaysrefresh"),_xll.BPRICE(DO28,"MarketDate",SwaptionMarketDate,"ValuationDate",SwaptionValuationDate,CP28,CR28,CS28,CU28,$AE$19:$AF$19,AE28:AF28,"alwaysrefresh")))</f>
        <v/>
      </c>
      <c r="DU28" s="25"/>
      <c r="DX28" s="25"/>
    </row>
    <row r="29" spans="2:128" x14ac:dyDescent="0.25">
      <c r="B29" s="27" t="str">
        <f>IF(OR(H29&lt;&gt;"",N29&lt;&gt;""),IF(OR(DO29="#N/A Requesting Data...",DO29="#N/A Waiting For Data...",DP29="#N/A Requesting Data...",DP29="#N/A Waiting For Data..."),"Loading ….",IF(OR(LEFT(DO29,1)="#",LEFT(DP29,1)="#"),"Check Inputs",_xll.BView(DP29,B$19,"headers=false"))),"Select Deal Type")</f>
        <v>Select Deal Type</v>
      </c>
      <c r="C29" s="57" t="str">
        <f>IFERROR(1*_xll.BView($DP29,C$19,"headers=false"),"-")</f>
        <v>-</v>
      </c>
      <c r="D29" s="57" t="str">
        <f>IFERROR(1*_xll.BView($DP29,D$19,"headers=false"),"-")</f>
        <v>-</v>
      </c>
      <c r="E29" s="56" t="str">
        <f>IFERROR(1*_xll.BView($DP29,E$19,"headers=false"),"-")</f>
        <v>-</v>
      </c>
      <c r="F29" s="56" t="str">
        <f>IFERROR(1*_xll.BView($DP29,F$19,"headers=false"),"-")</f>
        <v>-</v>
      </c>
      <c r="H29" s="40"/>
      <c r="I29" s="40" t="s">
        <v>1</v>
      </c>
      <c r="J29" s="20"/>
      <c r="K29" s="96" t="str">
        <f t="shared" si="3"/>
        <v/>
      </c>
      <c r="L29" s="40"/>
      <c r="M29" s="20"/>
      <c r="N29" s="58"/>
      <c r="O29" s="52" t="e">
        <f t="shared" si="0"/>
        <v>#N/A</v>
      </c>
      <c r="P29" s="20"/>
      <c r="Q29" s="40"/>
      <c r="R29" s="106"/>
      <c r="S29" s="106"/>
      <c r="T29" s="106"/>
      <c r="U29" s="106"/>
      <c r="V29" s="106"/>
      <c r="W29" s="106"/>
      <c r="X29" s="78"/>
      <c r="Y29" s="36"/>
      <c r="Z29" s="81"/>
      <c r="AA29" s="36"/>
      <c r="AB29" s="40"/>
      <c r="AC29" s="106"/>
      <c r="AD29" s="78"/>
      <c r="AE29" s="40"/>
      <c r="AF29" s="77"/>
      <c r="AG29" s="20"/>
      <c r="AH29" s="40"/>
      <c r="AI29" s="40"/>
      <c r="AJ29" s="40"/>
      <c r="AK29" s="40"/>
      <c r="AL29" s="20"/>
      <c r="AM29" s="40"/>
      <c r="AN29" s="40"/>
      <c r="AO29" s="40"/>
      <c r="AP29" s="40"/>
      <c r="AQ29" s="40"/>
      <c r="AR29" s="20"/>
      <c r="AS29" s="40"/>
      <c r="AT29" s="20"/>
      <c r="AU29" s="40"/>
      <c r="AV29" s="20"/>
      <c r="AW29" s="48" t="str">
        <f>IF(LEFT(_xll.BView($DO29,AW$19,"headers=false"),1)&lt;&gt;"#",_xll.BView($DO29,AW$19,"headers=false"),"-")</f>
        <v>-</v>
      </c>
      <c r="AX29" s="48" t="str">
        <f>IF(LEFT(_xll.BView($DO29,AX$19,"headers=false"),1)&lt;&gt;"#",_xll.BView($DO29,AX$19,"headers=false"),"-")</f>
        <v>-</v>
      </c>
      <c r="AY29" s="56" t="str">
        <f>IF(LEFT(_xll.BView($DO29,AY$19,"headers=false"),1)&lt;&gt;"#",_xll.BView($DO29,AY$19,"headers=false"),"-")</f>
        <v>-</v>
      </c>
      <c r="AZ29" s="49" t="str">
        <f>IF(LEFT(_xll.BView($DO29,AZ$19,"headers=false"),1)&lt;&gt;"#",_xll.BView($DO29,AZ$19,"headers=false"),"-")</f>
        <v>-</v>
      </c>
      <c r="BA29" s="48" t="str">
        <f>IF(LEFT(_xll.BView($DO29,BA$19,"headers=false"),1)&lt;&gt;"#",_xll.BView($DO29,BA$19,"headers=false"),"-")</f>
        <v>-</v>
      </c>
      <c r="BB29" s="48" t="str">
        <f>IF(LEFT(_xll.BView($DO29,BB$19,"headers=false"),1)&lt;&gt;"#",_xll.BView($DO29,BB$19,"headers=false"),"-")</f>
        <v>-</v>
      </c>
      <c r="BC29" s="48" t="str">
        <f>IF(LEFT(_xll.BView($DO29,BC$19,"headers=false"),1)&lt;&gt;"#",_xll.BView($DO29,BC$19,"headers=false"),"-")</f>
        <v>-</v>
      </c>
      <c r="BD29" s="20"/>
      <c r="BE29" s="37" t="str">
        <f>IF(LEFT(_xll.BView($DO29,BE$19,"headers=false"),1)&lt;&gt;"#",_xll.BView($DO29,BE$19,"headers=false"),"-")</f>
        <v>-</v>
      </c>
      <c r="BF29" s="37" t="str">
        <f>IF(LEFT(_xll.BView($DO29,BF$19,"headers=false"),1)&lt;&gt;"#",_xll.BView($DO29,BF$19,"headers=false"),"-")</f>
        <v>-</v>
      </c>
      <c r="BG29" s="37" t="str">
        <f>IF(LEFT(_xll.BView($DO29,BG$19,"headers=false"),1)&lt;&gt;"#",_xll.BView($DO29,BG$19,"headers=false"),"-")</f>
        <v>-</v>
      </c>
      <c r="BH29" s="37" t="str">
        <f>IF(LEFT(_xll.BView($DO29,BH$19,"headers=false"),1)&lt;&gt;"#",_xll.BView($DO29,BH$19,"headers=false"),"-")</f>
        <v>-</v>
      </c>
      <c r="BI29" s="27" t="str">
        <f>IF(LEFT(_xll.BView($DO29,BI$19,"headers=false"),1)&lt;&gt;"#",_xll.BView($DO29,BI$19,"headers=false"),"-")</f>
        <v>-</v>
      </c>
      <c r="BJ29" s="21"/>
      <c r="BK29" s="27" t="str">
        <f>IF(LEFT(_xll.BView($DO29,BK$19,"headers=false"),1)&lt;&gt;"#",_xll.BView($DO29,BK$19,"headers=false"),"-")</f>
        <v>-</v>
      </c>
      <c r="BL29" s="27" t="str">
        <f>IF(LEFT(_xll.BView($DO29,BL$19,"headers=false"),1)&lt;&gt;"#",_xll.BView($DO29,BL$19,"headers=false"),"-")</f>
        <v>-</v>
      </c>
      <c r="BM29" s="27" t="str">
        <f>IF(LEFT(_xll.BView($DO29,BM$19,"headers=false"),1)&lt;&gt;"#",_xll.BView($DO29,BM$19,"headers=false"),"-")</f>
        <v>-</v>
      </c>
      <c r="BN29" s="38" t="str">
        <f>IF(LEFT(_xll.BView($DO29,BN$19,"headers=false"),1)&lt;&gt;"#",_xll.BView($DO29,BN$19,"headers=false"),"-")</f>
        <v>-</v>
      </c>
      <c r="BO29" s="27" t="str">
        <f>IF(LEFT(_xll.BView($DO29,BO$19,"headers=false"),1)&lt;&gt;"#",_xll.BView($DO29,BO$19,"headers=false"),"-")</f>
        <v>-</v>
      </c>
      <c r="BP29" s="27" t="str">
        <f>IF(LEFT(_xll.BView($DO29,BP$19,"headers=false"),1)&lt;&gt;"#",_xll.BView($DO29,BP$19,"headers=false"),"-")</f>
        <v>-</v>
      </c>
      <c r="BQ29" s="27" t="str">
        <f>IF(LEFT(_xll.BView($DO29,BQ$19,"headers=false"),1)&lt;&gt;"#",_xll.BView($DO29,BQ$19,"headers=false"),"-")</f>
        <v>-</v>
      </c>
      <c r="BR29" s="22"/>
      <c r="BS29" s="27" t="str">
        <f>IF(LEFT(_xll.BView($DO29,BS$19,"headers=false"),1)&lt;&gt;"#",_xll.BView($DO29,BS$19,"headers=false"),"-")</f>
        <v>-</v>
      </c>
      <c r="BT29" s="27" t="str">
        <f>IF(LEFT(_xll.BView($DO29,BT$19,"headers=false"),1)&lt;&gt;"#",_xll.BView($DO29,BT$19,"headers=false"),"-")</f>
        <v>-</v>
      </c>
      <c r="BU29" s="27" t="str">
        <f>IF(LEFT(_xll.BView($DO29,BU$19,"headers=false"),1)&lt;&gt;"#",_xll.BView($DO29,BU$19,"headers=false"),"-")</f>
        <v>-</v>
      </c>
      <c r="BV29" s="27" t="str">
        <f>IF(LEFT(_xll.BView($DO29,BV$19,"headers=false"),1)&lt;&gt;"#",_xll.BView($DO29,BV$19,"headers=false"),"-")</f>
        <v>-</v>
      </c>
      <c r="BW29" s="27" t="str">
        <f>IF(LEFT(_xll.BView($DO29,BW$19,"headers=false"),1)&lt;&gt;"#",_xll.BView($DO29,BW$19,"headers=false"),"-")</f>
        <v>-</v>
      </c>
      <c r="BX29" s="27" t="str">
        <f>IF(LEFT(_xll.BView($DO29,BX$19,"headers=false"),1)&lt;&gt;"#",_xll.BView($DO29,BX$19,"headers=false"),"-")</f>
        <v>-</v>
      </c>
      <c r="BY29" s="27" t="str">
        <f>IF(LEFT(_xll.BView($DO29,BY$19,"headers=false"),1)&lt;&gt;"#",_xll.BView($DO29,BY$19,"headers=false"),"-")</f>
        <v>-</v>
      </c>
      <c r="BZ29" s="27" t="str">
        <f>IF(LEFT(_xll.BView($DO29,BZ$19,"headers=false"),1)&lt;&gt;"#",_xll.BView($DO29,BZ$19,"headers=false"),"-")</f>
        <v>-</v>
      </c>
      <c r="CA29" s="22"/>
      <c r="CB29" s="27" t="str">
        <f>IF(LEFT(_xll.BView($DO29,CB$19,"headers=false"),1)&lt;&gt;"#",_xll.BView($DO29,CB$19,"headers=false"),"-")</f>
        <v>-</v>
      </c>
      <c r="CC29" s="22"/>
      <c r="CD29" s="27" t="str">
        <f>IF(LEFT(_xll.BView($DO29,CD$19,"headers=false"),1)&lt;&gt;"#",_xll.BView($DO29,CD$19,"headers=false"),"-")</f>
        <v>-</v>
      </c>
      <c r="CE29" s="20"/>
      <c r="CF29" s="28" t="str">
        <f>IFERROR(INDEX(_xll.BMARKETPARAM($DO29,"array=true"),2,1),"")</f>
        <v/>
      </c>
      <c r="CG29" s="28" t="str">
        <f>IFERROR(INDEX(_xll.BMARKETPARAM($DO29,"array=true"),2,3),"")</f>
        <v/>
      </c>
      <c r="CH29" s="28" t="str">
        <f>IFERROR(INDEX(_xll.BMARKETPARAM($DO29,"array=true"),3,1),"")</f>
        <v/>
      </c>
      <c r="CI29" s="28" t="str">
        <f>IFERROR(INDEX(_xll.BMARKETPARAM($DO29,"array=true"),3,3),"")</f>
        <v/>
      </c>
      <c r="CJ29" s="28" t="str">
        <f>IFERROR(INDEX(_xll.BMARKETPARAM($DO29,"array=true"),4,1),"")</f>
        <v/>
      </c>
      <c r="CK29" s="28" t="str">
        <f>IFERROR(INDEX(_xll.BMARKETPARAM($DO29,"array=true"),4,3),"")</f>
        <v/>
      </c>
      <c r="CL29" s="20"/>
      <c r="CM29" s="40" t="s">
        <v>1</v>
      </c>
      <c r="CN29" s="40"/>
      <c r="CO29" s="91"/>
      <c r="CP29" s="28" t="str">
        <f t="shared" si="1"/>
        <v/>
      </c>
      <c r="CQ29" s="92"/>
      <c r="CR29" s="93" t="str">
        <f>IF(CQ29&lt;&gt;"",_xll.BCurveStrip(CQ29,"CurveDate",SwaptionMarketDate,"ApplyDC",$CN29,"ParallelShift",$CO29),"")</f>
        <v/>
      </c>
      <c r="CS29" s="93" t="str">
        <f t="shared" si="2"/>
        <v/>
      </c>
      <c r="CT29" s="40"/>
      <c r="CU29" s="93" t="str">
        <f>IF(CT29&lt;&gt;"",_xll.BCurveStrip(CT29,"CurveDate",SwaptionMarketDate,"ApplyDC",$CN29,"ParallelShift",$CO29),"")</f>
        <v/>
      </c>
      <c r="CV29" s="20"/>
      <c r="CW29" s="56" t="str">
        <f>IF(LEFT(_xll.BView($DP29,CW$19,"headers=false"),1)&lt;&gt;"#",_xll.BView($DP29,CW$19,"headers=false"),"-")</f>
        <v>-</v>
      </c>
      <c r="CX29" s="56" t="str">
        <f>IF(LEFT(_xll.BView($DP29,CX$19,"headers=false"),1)&lt;&gt;"#",_xll.BView($DP29,CX$19,"headers=false"),"-")</f>
        <v>-</v>
      </c>
      <c r="CY29" s="56" t="str">
        <f>IF(LEFT(_xll.BView($DP29,CY$19,"headers=false"),1)&lt;&gt;"#",_xll.BView($DP29,CY$19,"headers=false"),"-")</f>
        <v>-</v>
      </c>
      <c r="CZ29" s="56" t="str">
        <f>IF(LEFT(_xll.BView($DP29,CZ$19,"headers=false"),1)&lt;&gt;"#",_xll.BView($DP29,CZ$19,"headers=false"),"-")</f>
        <v>-</v>
      </c>
      <c r="DA29" s="56" t="str">
        <f>IF(LEFT(_xll.BView($DP29,DA$19,"headers=false"),1)&lt;&gt;"#",_xll.BView($DP29,DA$19,"headers=false"),"-")</f>
        <v>-</v>
      </c>
      <c r="DB29" s="56" t="str">
        <f>IF(LEFT(_xll.BView($DP29,DB$19,"headers=false"),1)&lt;&gt;"#",_xll.BView($DP29,DB$19,"headers=false"),"-")</f>
        <v>-</v>
      </c>
      <c r="DC29" s="56" t="str">
        <f>IF(LEFT(_xll.BView($DP29,DC$19,"headers=false"),1)&lt;&gt;"#",_xll.BView($DP29,DC$19,"headers=false"),"-")</f>
        <v>-</v>
      </c>
      <c r="DD29" s="56" t="str">
        <f>IF(LEFT(_xll.BView($DP29,DD$19,"headers=false"),1)&lt;&gt;"#",_xll.BView($DP29,DD$19,"headers=false"),"-")</f>
        <v>-</v>
      </c>
      <c r="DE29" s="56" t="str">
        <f>IF(LEFT(_xll.BView($DP29,DE$19,"headers=false"),1)&lt;&gt;"#",_xll.BView($DP29,DE$19,"headers=false"),"-")</f>
        <v>-</v>
      </c>
      <c r="DF29" s="56" t="str">
        <f>IF(LEFT(_xll.BView($DP29,DF$19,"headers=false"),1)&lt;&gt;"#",_xll.BView($DP29,DF$19,"headers=false"),"-")</f>
        <v>-</v>
      </c>
      <c r="DG29" s="56" t="str">
        <f>IF(LEFT(_xll.BView($DP29,DG$19,"headers=false"),1)&lt;&gt;"#",_xll.BView($DP29,DG$19,"headers=false"),"-")</f>
        <v>-</v>
      </c>
      <c r="DH29" s="56" t="str">
        <f>IF(LEFT(_xll.BView($DP29,DH$19,"headers=false"),1)&lt;&gt;"#",_xll.BView($DP29,DH$19,"headers=false"),"-")</f>
        <v>-</v>
      </c>
      <c r="DI29" s="56" t="str">
        <f>IF(LEFT(_xll.BView($DP29,DI$19,"headers=false"),1)&lt;&gt;"#",_xll.BView($DP29,DI$19,"headers=false"),"-")</f>
        <v>-</v>
      </c>
      <c r="DJ29" s="56" t="str">
        <f>IF(LEFT(_xll.BView($DP29,DJ$19,"headers=false"),1)&lt;&gt;"#",_xll.BView($DP29,DJ$19,"headers=false"),"-")</f>
        <v>-</v>
      </c>
      <c r="DK29" s="56" t="str">
        <f>IF(LEFT(_xll.BView($DP29,DK$19,"headers=false"),1)&lt;&gt;"#",_xll.BView($DP29,DK$19,"headers=false"),"-")</f>
        <v>-</v>
      </c>
      <c r="DL29" s="56" t="str">
        <f>IF(LEFT(_xll.BView($DP29,DL$19,"headers=false"),1)&lt;&gt;"#",_xll.BView($DP29,DL$19,"headers=false"),"-")</f>
        <v>-</v>
      </c>
      <c r="DN29" s="75" t="str">
        <f>IF(Y29&lt;&gt;"",IF(ISERROR(RIGHT(Y29,1)*1)," "&amp;Y29&amp;"x"&amp;IF(AA29&lt;&gt;"",AA29,Y29)," E"&amp;usdate(Y29)&amp;" "&amp;IF(AA29&lt;&gt;"",usdate(AA29),usdate(Y29+3653))),IF(AA29&lt;&gt;"",IF(ISERROR(RIGHT(AA29,1)*1)," "&amp;AA29," "&amp;usdate(AA29)),""))</f>
        <v/>
      </c>
      <c r="DO29" s="75" t="str">
        <f>IF(OR(H29&lt;&gt;"",N29&lt;&gt;""),_xll.BSTRUCTURE(IF(H29&lt;&gt;"",H29,O29&amp;DN29),$Q$19:$W$19,Q29:W29,$AB$19:$AC$19,AB29:AC29,$AH$19:$AK$19,AH29:AK29,$AM$19:$AQ$19,AM29:AQ29,$AS$19,AS29,$AU$19,AU29,$Z$19,Z29,$Y$19,IF(ISERROR(RIGHT(Y29,1)*1),"",Y29),$AA$19,IF(ISERROR(RIGHT(AA29,1)*1),"",AA29),"ignoreinvalidparams=true"),"Enter deal type or saved ID.")</f>
        <v>Enter deal type or saved ID.</v>
      </c>
      <c r="DP29" s="75" t="str">
        <f>IF(LEFT(DO29,1)="E","",IF(CM29="No",_xll.BPRICE(DO29,"MarketDate",SwaptionMarketDate,"ValuationDate",SwaptionValuationDate,$AE$19:$AF$19,AE29:AF29,"alwaysrefresh"),_xll.BPRICE(DO29,"MarketDate",SwaptionMarketDate,"ValuationDate",SwaptionValuationDate,CP29,CR29,CS29,CU29,$AE$19:$AF$19,AE29:AF29,"alwaysrefresh")))</f>
        <v/>
      </c>
      <c r="DU29" s="25"/>
      <c r="DX29" s="25"/>
    </row>
    <row r="30" spans="2:128" x14ac:dyDescent="0.25">
      <c r="B30" s="27" t="str">
        <f>IF(OR(H30&lt;&gt;"",N30&lt;&gt;""),IF(OR(DO30="#N/A Requesting Data...",DO30="#N/A Waiting For Data...",DP30="#N/A Requesting Data...",DP30="#N/A Waiting For Data..."),"Loading ….",IF(OR(LEFT(DO30,1)="#",LEFT(DP30,1)="#"),"Check Inputs",_xll.BView(DP30,B$19,"headers=false"))),"Select Deal Type")</f>
        <v>Select Deal Type</v>
      </c>
      <c r="C30" s="57" t="str">
        <f>IFERROR(1*_xll.BView($DP30,C$19,"headers=false"),"-")</f>
        <v>-</v>
      </c>
      <c r="D30" s="57" t="str">
        <f>IFERROR(1*_xll.BView($DP30,D$19,"headers=false"),"-")</f>
        <v>-</v>
      </c>
      <c r="E30" s="56" t="str">
        <f>IFERROR(1*_xll.BView($DP30,E$19,"headers=false"),"-")</f>
        <v>-</v>
      </c>
      <c r="F30" s="56" t="str">
        <f>IFERROR(1*_xll.BView($DP30,F$19,"headers=false"),"-")</f>
        <v>-</v>
      </c>
      <c r="H30" s="40"/>
      <c r="I30" s="40" t="s">
        <v>1</v>
      </c>
      <c r="J30" s="20"/>
      <c r="K30" s="96" t="str">
        <f t="shared" si="3"/>
        <v/>
      </c>
      <c r="L30" s="40"/>
      <c r="M30" s="20"/>
      <c r="N30" s="58"/>
      <c r="O30" s="52" t="e">
        <f t="shared" si="0"/>
        <v>#N/A</v>
      </c>
      <c r="P30" s="20"/>
      <c r="Q30" s="40"/>
      <c r="R30" s="106"/>
      <c r="S30" s="106"/>
      <c r="T30" s="106"/>
      <c r="U30" s="106"/>
      <c r="V30" s="106"/>
      <c r="W30" s="106"/>
      <c r="X30" s="78"/>
      <c r="Y30" s="36"/>
      <c r="Z30" s="81"/>
      <c r="AA30" s="36"/>
      <c r="AB30" s="40"/>
      <c r="AC30" s="106"/>
      <c r="AD30" s="78"/>
      <c r="AE30" s="40"/>
      <c r="AF30" s="77"/>
      <c r="AG30" s="20"/>
      <c r="AH30" s="40"/>
      <c r="AI30" s="40"/>
      <c r="AJ30" s="40"/>
      <c r="AK30" s="40"/>
      <c r="AL30" s="20"/>
      <c r="AM30" s="40"/>
      <c r="AN30" s="40"/>
      <c r="AO30" s="40"/>
      <c r="AP30" s="40"/>
      <c r="AQ30" s="40"/>
      <c r="AR30" s="20"/>
      <c r="AS30" s="40"/>
      <c r="AT30" s="20"/>
      <c r="AU30" s="40"/>
      <c r="AV30" s="20"/>
      <c r="AW30" s="48" t="str">
        <f>IF(LEFT(_xll.BView($DO30,AW$19,"headers=false"),1)&lt;&gt;"#",_xll.BView($DO30,AW$19,"headers=false"),"-")</f>
        <v>-</v>
      </c>
      <c r="AX30" s="48" t="str">
        <f>IF(LEFT(_xll.BView($DO30,AX$19,"headers=false"),1)&lt;&gt;"#",_xll.BView($DO30,AX$19,"headers=false"),"-")</f>
        <v>-</v>
      </c>
      <c r="AY30" s="56" t="str">
        <f>IF(LEFT(_xll.BView($DO30,AY$19,"headers=false"),1)&lt;&gt;"#",_xll.BView($DO30,AY$19,"headers=false"),"-")</f>
        <v>-</v>
      </c>
      <c r="AZ30" s="49" t="str">
        <f>IF(LEFT(_xll.BView($DO30,AZ$19,"headers=false"),1)&lt;&gt;"#",_xll.BView($DO30,AZ$19,"headers=false"),"-")</f>
        <v>-</v>
      </c>
      <c r="BA30" s="48" t="str">
        <f>IF(LEFT(_xll.BView($DO30,BA$19,"headers=false"),1)&lt;&gt;"#",_xll.BView($DO30,BA$19,"headers=false"),"-")</f>
        <v>-</v>
      </c>
      <c r="BB30" s="48" t="str">
        <f>IF(LEFT(_xll.BView($DO30,BB$19,"headers=false"),1)&lt;&gt;"#",_xll.BView($DO30,BB$19,"headers=false"),"-")</f>
        <v>-</v>
      </c>
      <c r="BC30" s="48" t="str">
        <f>IF(LEFT(_xll.BView($DO30,BC$19,"headers=false"),1)&lt;&gt;"#",_xll.BView($DO30,BC$19,"headers=false"),"-")</f>
        <v>-</v>
      </c>
      <c r="BD30" s="20"/>
      <c r="BE30" s="37" t="str">
        <f>IF(LEFT(_xll.BView($DO30,BE$19,"headers=false"),1)&lt;&gt;"#",_xll.BView($DO30,BE$19,"headers=false"),"-")</f>
        <v>-</v>
      </c>
      <c r="BF30" s="37" t="str">
        <f>IF(LEFT(_xll.BView($DO30,BF$19,"headers=false"),1)&lt;&gt;"#",_xll.BView($DO30,BF$19,"headers=false"),"-")</f>
        <v>-</v>
      </c>
      <c r="BG30" s="37" t="str">
        <f>IF(LEFT(_xll.BView($DO30,BG$19,"headers=false"),1)&lt;&gt;"#",_xll.BView($DO30,BG$19,"headers=false"),"-")</f>
        <v>-</v>
      </c>
      <c r="BH30" s="37" t="str">
        <f>IF(LEFT(_xll.BView($DO30,BH$19,"headers=false"),1)&lt;&gt;"#",_xll.BView($DO30,BH$19,"headers=false"),"-")</f>
        <v>-</v>
      </c>
      <c r="BI30" s="27" t="str">
        <f>IF(LEFT(_xll.BView($DO30,BI$19,"headers=false"),1)&lt;&gt;"#",_xll.BView($DO30,BI$19,"headers=false"),"-")</f>
        <v>-</v>
      </c>
      <c r="BJ30" s="21"/>
      <c r="BK30" s="27" t="str">
        <f>IF(LEFT(_xll.BView($DO30,BK$19,"headers=false"),1)&lt;&gt;"#",_xll.BView($DO30,BK$19,"headers=false"),"-")</f>
        <v>-</v>
      </c>
      <c r="BL30" s="27" t="str">
        <f>IF(LEFT(_xll.BView($DO30,BL$19,"headers=false"),1)&lt;&gt;"#",_xll.BView($DO30,BL$19,"headers=false"),"-")</f>
        <v>-</v>
      </c>
      <c r="BM30" s="27" t="str">
        <f>IF(LEFT(_xll.BView($DO30,BM$19,"headers=false"),1)&lt;&gt;"#",_xll.BView($DO30,BM$19,"headers=false"),"-")</f>
        <v>-</v>
      </c>
      <c r="BN30" s="38" t="str">
        <f>IF(LEFT(_xll.BView($DO30,BN$19,"headers=false"),1)&lt;&gt;"#",_xll.BView($DO30,BN$19,"headers=false"),"-")</f>
        <v>-</v>
      </c>
      <c r="BO30" s="27" t="str">
        <f>IF(LEFT(_xll.BView($DO30,BO$19,"headers=false"),1)&lt;&gt;"#",_xll.BView($DO30,BO$19,"headers=false"),"-")</f>
        <v>-</v>
      </c>
      <c r="BP30" s="27" t="str">
        <f>IF(LEFT(_xll.BView($DO30,BP$19,"headers=false"),1)&lt;&gt;"#",_xll.BView($DO30,BP$19,"headers=false"),"-")</f>
        <v>-</v>
      </c>
      <c r="BQ30" s="27" t="str">
        <f>IF(LEFT(_xll.BView($DO30,BQ$19,"headers=false"),1)&lt;&gt;"#",_xll.BView($DO30,BQ$19,"headers=false"),"-")</f>
        <v>-</v>
      </c>
      <c r="BR30" s="22"/>
      <c r="BS30" s="27" t="str">
        <f>IF(LEFT(_xll.BView($DO30,BS$19,"headers=false"),1)&lt;&gt;"#",_xll.BView($DO30,BS$19,"headers=false"),"-")</f>
        <v>-</v>
      </c>
      <c r="BT30" s="27" t="str">
        <f>IF(LEFT(_xll.BView($DO30,BT$19,"headers=false"),1)&lt;&gt;"#",_xll.BView($DO30,BT$19,"headers=false"),"-")</f>
        <v>-</v>
      </c>
      <c r="BU30" s="27" t="str">
        <f>IF(LEFT(_xll.BView($DO30,BU$19,"headers=false"),1)&lt;&gt;"#",_xll.BView($DO30,BU$19,"headers=false"),"-")</f>
        <v>-</v>
      </c>
      <c r="BV30" s="27" t="str">
        <f>IF(LEFT(_xll.BView($DO30,BV$19,"headers=false"),1)&lt;&gt;"#",_xll.BView($DO30,BV$19,"headers=false"),"-")</f>
        <v>-</v>
      </c>
      <c r="BW30" s="27" t="str">
        <f>IF(LEFT(_xll.BView($DO30,BW$19,"headers=false"),1)&lt;&gt;"#",_xll.BView($DO30,BW$19,"headers=false"),"-")</f>
        <v>-</v>
      </c>
      <c r="BX30" s="27" t="str">
        <f>IF(LEFT(_xll.BView($DO30,BX$19,"headers=false"),1)&lt;&gt;"#",_xll.BView($DO30,BX$19,"headers=false"),"-")</f>
        <v>-</v>
      </c>
      <c r="BY30" s="27" t="str">
        <f>IF(LEFT(_xll.BView($DO30,BY$19,"headers=false"),1)&lt;&gt;"#",_xll.BView($DO30,BY$19,"headers=false"),"-")</f>
        <v>-</v>
      </c>
      <c r="BZ30" s="27" t="str">
        <f>IF(LEFT(_xll.BView($DO30,BZ$19,"headers=false"),1)&lt;&gt;"#",_xll.BView($DO30,BZ$19,"headers=false"),"-")</f>
        <v>-</v>
      </c>
      <c r="CA30" s="22"/>
      <c r="CB30" s="27" t="str">
        <f>IF(LEFT(_xll.BView($DO30,CB$19,"headers=false"),1)&lt;&gt;"#",_xll.BView($DO30,CB$19,"headers=false"),"-")</f>
        <v>-</v>
      </c>
      <c r="CC30" s="22"/>
      <c r="CD30" s="27" t="str">
        <f>IF(LEFT(_xll.BView($DO30,CD$19,"headers=false"),1)&lt;&gt;"#",_xll.BView($DO30,CD$19,"headers=false"),"-")</f>
        <v>-</v>
      </c>
      <c r="CE30" s="20"/>
      <c r="CF30" s="28" t="str">
        <f>IFERROR(INDEX(_xll.BMARKETPARAM($DO30,"array=true"),2,1),"")</f>
        <v/>
      </c>
      <c r="CG30" s="28" t="str">
        <f>IFERROR(INDEX(_xll.BMARKETPARAM($DO30,"array=true"),2,3),"")</f>
        <v/>
      </c>
      <c r="CH30" s="28" t="str">
        <f>IFERROR(INDEX(_xll.BMARKETPARAM($DO30,"array=true"),3,1),"")</f>
        <v/>
      </c>
      <c r="CI30" s="28" t="str">
        <f>IFERROR(INDEX(_xll.BMARKETPARAM($DO30,"array=true"),3,3),"")</f>
        <v/>
      </c>
      <c r="CJ30" s="28" t="str">
        <f>IFERROR(INDEX(_xll.BMARKETPARAM($DO30,"array=true"),4,1),"")</f>
        <v/>
      </c>
      <c r="CK30" s="28" t="str">
        <f>IFERROR(INDEX(_xll.BMARKETPARAM($DO30,"array=true"),4,3),"")</f>
        <v/>
      </c>
      <c r="CL30" s="20"/>
      <c r="CM30" s="40" t="s">
        <v>1</v>
      </c>
      <c r="CN30" s="40"/>
      <c r="CO30" s="91"/>
      <c r="CP30" s="28" t="str">
        <f t="shared" si="1"/>
        <v/>
      </c>
      <c r="CQ30" s="92"/>
      <c r="CR30" s="93" t="str">
        <f>IF(CQ30&lt;&gt;"",_xll.BCurveStrip(CQ30,"CurveDate",SwaptionMarketDate,"ApplyDC",$CN30,"ParallelShift",$CO30),"")</f>
        <v/>
      </c>
      <c r="CS30" s="93" t="str">
        <f t="shared" si="2"/>
        <v/>
      </c>
      <c r="CT30" s="40"/>
      <c r="CU30" s="93" t="str">
        <f>IF(CT30&lt;&gt;"",_xll.BCurveStrip(CT30,"CurveDate",SwaptionMarketDate,"ApplyDC",$CN30,"ParallelShift",$CO30),"")</f>
        <v/>
      </c>
      <c r="CV30" s="20"/>
      <c r="CW30" s="56" t="str">
        <f>IF(LEFT(_xll.BView($DP30,CW$19,"headers=false"),1)&lt;&gt;"#",_xll.BView($DP30,CW$19,"headers=false"),"-")</f>
        <v>-</v>
      </c>
      <c r="CX30" s="56" t="str">
        <f>IF(LEFT(_xll.BView($DP30,CX$19,"headers=false"),1)&lt;&gt;"#",_xll.BView($DP30,CX$19,"headers=false"),"-")</f>
        <v>-</v>
      </c>
      <c r="CY30" s="56" t="str">
        <f>IF(LEFT(_xll.BView($DP30,CY$19,"headers=false"),1)&lt;&gt;"#",_xll.BView($DP30,CY$19,"headers=false"),"-")</f>
        <v>-</v>
      </c>
      <c r="CZ30" s="56" t="str">
        <f>IF(LEFT(_xll.BView($DP30,CZ$19,"headers=false"),1)&lt;&gt;"#",_xll.BView($DP30,CZ$19,"headers=false"),"-")</f>
        <v>-</v>
      </c>
      <c r="DA30" s="56" t="str">
        <f>IF(LEFT(_xll.BView($DP30,DA$19,"headers=false"),1)&lt;&gt;"#",_xll.BView($DP30,DA$19,"headers=false"),"-")</f>
        <v>-</v>
      </c>
      <c r="DB30" s="56" t="str">
        <f>IF(LEFT(_xll.BView($DP30,DB$19,"headers=false"),1)&lt;&gt;"#",_xll.BView($DP30,DB$19,"headers=false"),"-")</f>
        <v>-</v>
      </c>
      <c r="DC30" s="56" t="str">
        <f>IF(LEFT(_xll.BView($DP30,DC$19,"headers=false"),1)&lt;&gt;"#",_xll.BView($DP30,DC$19,"headers=false"),"-")</f>
        <v>-</v>
      </c>
      <c r="DD30" s="56" t="str">
        <f>IF(LEFT(_xll.BView($DP30,DD$19,"headers=false"),1)&lt;&gt;"#",_xll.BView($DP30,DD$19,"headers=false"),"-")</f>
        <v>-</v>
      </c>
      <c r="DE30" s="56" t="str">
        <f>IF(LEFT(_xll.BView($DP30,DE$19,"headers=false"),1)&lt;&gt;"#",_xll.BView($DP30,DE$19,"headers=false"),"-")</f>
        <v>-</v>
      </c>
      <c r="DF30" s="56" t="str">
        <f>IF(LEFT(_xll.BView($DP30,DF$19,"headers=false"),1)&lt;&gt;"#",_xll.BView($DP30,DF$19,"headers=false"),"-")</f>
        <v>-</v>
      </c>
      <c r="DG30" s="56" t="str">
        <f>IF(LEFT(_xll.BView($DP30,DG$19,"headers=false"),1)&lt;&gt;"#",_xll.BView($DP30,DG$19,"headers=false"),"-")</f>
        <v>-</v>
      </c>
      <c r="DH30" s="56" t="str">
        <f>IF(LEFT(_xll.BView($DP30,DH$19,"headers=false"),1)&lt;&gt;"#",_xll.BView($DP30,DH$19,"headers=false"),"-")</f>
        <v>-</v>
      </c>
      <c r="DI30" s="56" t="str">
        <f>IF(LEFT(_xll.BView($DP30,DI$19,"headers=false"),1)&lt;&gt;"#",_xll.BView($DP30,DI$19,"headers=false"),"-")</f>
        <v>-</v>
      </c>
      <c r="DJ30" s="56" t="str">
        <f>IF(LEFT(_xll.BView($DP30,DJ$19,"headers=false"),1)&lt;&gt;"#",_xll.BView($DP30,DJ$19,"headers=false"),"-")</f>
        <v>-</v>
      </c>
      <c r="DK30" s="56" t="str">
        <f>IF(LEFT(_xll.BView($DP30,DK$19,"headers=false"),1)&lt;&gt;"#",_xll.BView($DP30,DK$19,"headers=false"),"-")</f>
        <v>-</v>
      </c>
      <c r="DL30" s="56" t="str">
        <f>IF(LEFT(_xll.BView($DP30,DL$19,"headers=false"),1)&lt;&gt;"#",_xll.BView($DP30,DL$19,"headers=false"),"-")</f>
        <v>-</v>
      </c>
      <c r="DN30" s="75" t="str">
        <f>IF(Y30&lt;&gt;"",IF(ISERROR(RIGHT(Y30,1)*1)," "&amp;Y30&amp;"x"&amp;IF(AA30&lt;&gt;"",AA30,Y30)," E"&amp;usdate(Y30)&amp;" "&amp;IF(AA30&lt;&gt;"",usdate(AA30),usdate(Y30+3653))),IF(AA30&lt;&gt;"",IF(ISERROR(RIGHT(AA30,1)*1)," "&amp;AA30," "&amp;usdate(AA30)),""))</f>
        <v/>
      </c>
      <c r="DO30" s="75" t="str">
        <f>IF(OR(H30&lt;&gt;"",N30&lt;&gt;""),_xll.BSTRUCTURE(IF(H30&lt;&gt;"",H30,O30&amp;DN30),$Q$19:$W$19,Q30:W30,$AB$19:$AC$19,AB30:AC30,$AH$19:$AK$19,AH30:AK30,$AM$19:$AQ$19,AM30:AQ30,$AS$19,AS30,$AU$19,AU30,$Z$19,Z30,$Y$19,IF(ISERROR(RIGHT(Y30,1)*1),"",Y30),$AA$19,IF(ISERROR(RIGHT(AA30,1)*1),"",AA30),"ignoreinvalidparams=true"),"Enter deal type or saved ID.")</f>
        <v>Enter deal type or saved ID.</v>
      </c>
      <c r="DP30" s="75" t="str">
        <f>IF(LEFT(DO30,1)="E","",IF(CM30="No",_xll.BPRICE(DO30,"MarketDate",SwaptionMarketDate,"ValuationDate",SwaptionValuationDate,$AE$19:$AF$19,AE30:AF30,"alwaysrefresh"),_xll.BPRICE(DO30,"MarketDate",SwaptionMarketDate,"ValuationDate",SwaptionValuationDate,CP30,CR30,CS30,CU30,$AE$19:$AF$19,AE30:AF30,"alwaysrefresh")))</f>
        <v/>
      </c>
      <c r="DU30" s="25"/>
      <c r="DX30" s="25"/>
    </row>
    <row r="31" spans="2:128" x14ac:dyDescent="0.25">
      <c r="B31" s="27" t="str">
        <f>IF(OR(H31&lt;&gt;"",N31&lt;&gt;""),IF(OR(DO31="#N/A Requesting Data...",DO31="#N/A Waiting For Data...",DP31="#N/A Requesting Data...",DP31="#N/A Waiting For Data..."),"Loading ….",IF(OR(LEFT(DO31,1)="#",LEFT(DP31,1)="#"),"Check Inputs",_xll.BView(DP31,B$19,"headers=false"))),"Select Deal Type")</f>
        <v>Select Deal Type</v>
      </c>
      <c r="C31" s="57" t="str">
        <f>IFERROR(1*_xll.BView($DP31,C$19,"headers=false"),"-")</f>
        <v>-</v>
      </c>
      <c r="D31" s="57" t="str">
        <f>IFERROR(1*_xll.BView($DP31,D$19,"headers=false"),"-")</f>
        <v>-</v>
      </c>
      <c r="E31" s="56" t="str">
        <f>IFERROR(1*_xll.BView($DP31,E$19,"headers=false"),"-")</f>
        <v>-</v>
      </c>
      <c r="F31" s="56" t="str">
        <f>IFERROR(1*_xll.BView($DP31,F$19,"headers=false"),"-")</f>
        <v>-</v>
      </c>
      <c r="H31" s="40"/>
      <c r="I31" s="40" t="s">
        <v>1</v>
      </c>
      <c r="J31" s="20"/>
      <c r="K31" s="96" t="str">
        <f t="shared" si="3"/>
        <v/>
      </c>
      <c r="L31" s="40"/>
      <c r="M31" s="20"/>
      <c r="N31" s="58"/>
      <c r="O31" s="52" t="e">
        <f t="shared" si="0"/>
        <v>#N/A</v>
      </c>
      <c r="P31" s="20"/>
      <c r="Q31" s="40"/>
      <c r="R31" s="106"/>
      <c r="S31" s="106"/>
      <c r="T31" s="106"/>
      <c r="U31" s="106"/>
      <c r="V31" s="106"/>
      <c r="W31" s="106"/>
      <c r="X31" s="78"/>
      <c r="Y31" s="36"/>
      <c r="Z31" s="81"/>
      <c r="AA31" s="36"/>
      <c r="AB31" s="40"/>
      <c r="AC31" s="106"/>
      <c r="AD31" s="78"/>
      <c r="AE31" s="40"/>
      <c r="AF31" s="77"/>
      <c r="AG31" s="20"/>
      <c r="AH31" s="40"/>
      <c r="AI31" s="40"/>
      <c r="AJ31" s="40"/>
      <c r="AK31" s="40"/>
      <c r="AL31" s="20"/>
      <c r="AM31" s="40"/>
      <c r="AN31" s="40"/>
      <c r="AO31" s="40"/>
      <c r="AP31" s="40"/>
      <c r="AQ31" s="40"/>
      <c r="AR31" s="20"/>
      <c r="AS31" s="40"/>
      <c r="AT31" s="20"/>
      <c r="AU31" s="40"/>
      <c r="AV31" s="20"/>
      <c r="AW31" s="48" t="str">
        <f>IF(LEFT(_xll.BView($DO31,AW$19,"headers=false"),1)&lt;&gt;"#",_xll.BView($DO31,AW$19,"headers=false"),"-")</f>
        <v>-</v>
      </c>
      <c r="AX31" s="48" t="str">
        <f>IF(LEFT(_xll.BView($DO31,AX$19,"headers=false"),1)&lt;&gt;"#",_xll.BView($DO31,AX$19,"headers=false"),"-")</f>
        <v>-</v>
      </c>
      <c r="AY31" s="56" t="str">
        <f>IF(LEFT(_xll.BView($DO31,AY$19,"headers=false"),1)&lt;&gt;"#",_xll.BView($DO31,AY$19,"headers=false"),"-")</f>
        <v>-</v>
      </c>
      <c r="AZ31" s="49" t="str">
        <f>IF(LEFT(_xll.BView($DO31,AZ$19,"headers=false"),1)&lt;&gt;"#",_xll.BView($DO31,AZ$19,"headers=false"),"-")</f>
        <v>-</v>
      </c>
      <c r="BA31" s="48" t="str">
        <f>IF(LEFT(_xll.BView($DO31,BA$19,"headers=false"),1)&lt;&gt;"#",_xll.BView($DO31,BA$19,"headers=false"),"-")</f>
        <v>-</v>
      </c>
      <c r="BB31" s="48" t="str">
        <f>IF(LEFT(_xll.BView($DO31,BB$19,"headers=false"),1)&lt;&gt;"#",_xll.BView($DO31,BB$19,"headers=false"),"-")</f>
        <v>-</v>
      </c>
      <c r="BC31" s="48" t="str">
        <f>IF(LEFT(_xll.BView($DO31,BC$19,"headers=false"),1)&lt;&gt;"#",_xll.BView($DO31,BC$19,"headers=false"),"-")</f>
        <v>-</v>
      </c>
      <c r="BD31" s="20"/>
      <c r="BE31" s="37" t="str">
        <f>IF(LEFT(_xll.BView($DO31,BE$19,"headers=false"),1)&lt;&gt;"#",_xll.BView($DO31,BE$19,"headers=false"),"-")</f>
        <v>-</v>
      </c>
      <c r="BF31" s="37" t="str">
        <f>IF(LEFT(_xll.BView($DO31,BF$19,"headers=false"),1)&lt;&gt;"#",_xll.BView($DO31,BF$19,"headers=false"),"-")</f>
        <v>-</v>
      </c>
      <c r="BG31" s="37" t="str">
        <f>IF(LEFT(_xll.BView($DO31,BG$19,"headers=false"),1)&lt;&gt;"#",_xll.BView($DO31,BG$19,"headers=false"),"-")</f>
        <v>-</v>
      </c>
      <c r="BH31" s="37" t="str">
        <f>IF(LEFT(_xll.BView($DO31,BH$19,"headers=false"),1)&lt;&gt;"#",_xll.BView($DO31,BH$19,"headers=false"),"-")</f>
        <v>-</v>
      </c>
      <c r="BI31" s="27" t="str">
        <f>IF(LEFT(_xll.BView($DO31,BI$19,"headers=false"),1)&lt;&gt;"#",_xll.BView($DO31,BI$19,"headers=false"),"-")</f>
        <v>-</v>
      </c>
      <c r="BJ31" s="21"/>
      <c r="BK31" s="27" t="str">
        <f>IF(LEFT(_xll.BView($DO31,BK$19,"headers=false"),1)&lt;&gt;"#",_xll.BView($DO31,BK$19,"headers=false"),"-")</f>
        <v>-</v>
      </c>
      <c r="BL31" s="27" t="str">
        <f>IF(LEFT(_xll.BView($DO31,BL$19,"headers=false"),1)&lt;&gt;"#",_xll.BView($DO31,BL$19,"headers=false"),"-")</f>
        <v>-</v>
      </c>
      <c r="BM31" s="27" t="str">
        <f>IF(LEFT(_xll.BView($DO31,BM$19,"headers=false"),1)&lt;&gt;"#",_xll.BView($DO31,BM$19,"headers=false"),"-")</f>
        <v>-</v>
      </c>
      <c r="BN31" s="38" t="str">
        <f>IF(LEFT(_xll.BView($DO31,BN$19,"headers=false"),1)&lt;&gt;"#",_xll.BView($DO31,BN$19,"headers=false"),"-")</f>
        <v>-</v>
      </c>
      <c r="BO31" s="27" t="str">
        <f>IF(LEFT(_xll.BView($DO31,BO$19,"headers=false"),1)&lt;&gt;"#",_xll.BView($DO31,BO$19,"headers=false"),"-")</f>
        <v>-</v>
      </c>
      <c r="BP31" s="27" t="str">
        <f>IF(LEFT(_xll.BView($DO31,BP$19,"headers=false"),1)&lt;&gt;"#",_xll.BView($DO31,BP$19,"headers=false"),"-")</f>
        <v>-</v>
      </c>
      <c r="BQ31" s="27" t="str">
        <f>IF(LEFT(_xll.BView($DO31,BQ$19,"headers=false"),1)&lt;&gt;"#",_xll.BView($DO31,BQ$19,"headers=false"),"-")</f>
        <v>-</v>
      </c>
      <c r="BR31" s="22"/>
      <c r="BS31" s="27" t="str">
        <f>IF(LEFT(_xll.BView($DO31,BS$19,"headers=false"),1)&lt;&gt;"#",_xll.BView($DO31,BS$19,"headers=false"),"-")</f>
        <v>-</v>
      </c>
      <c r="BT31" s="27" t="str">
        <f>IF(LEFT(_xll.BView($DO31,BT$19,"headers=false"),1)&lt;&gt;"#",_xll.BView($DO31,BT$19,"headers=false"),"-")</f>
        <v>-</v>
      </c>
      <c r="BU31" s="27" t="str">
        <f>IF(LEFT(_xll.BView($DO31,BU$19,"headers=false"),1)&lt;&gt;"#",_xll.BView($DO31,BU$19,"headers=false"),"-")</f>
        <v>-</v>
      </c>
      <c r="BV31" s="27" t="str">
        <f>IF(LEFT(_xll.BView($DO31,BV$19,"headers=false"),1)&lt;&gt;"#",_xll.BView($DO31,BV$19,"headers=false"),"-")</f>
        <v>-</v>
      </c>
      <c r="BW31" s="27" t="str">
        <f>IF(LEFT(_xll.BView($DO31,BW$19,"headers=false"),1)&lt;&gt;"#",_xll.BView($DO31,BW$19,"headers=false"),"-")</f>
        <v>-</v>
      </c>
      <c r="BX31" s="27" t="str">
        <f>IF(LEFT(_xll.BView($DO31,BX$19,"headers=false"),1)&lt;&gt;"#",_xll.BView($DO31,BX$19,"headers=false"),"-")</f>
        <v>-</v>
      </c>
      <c r="BY31" s="27" t="str">
        <f>IF(LEFT(_xll.BView($DO31,BY$19,"headers=false"),1)&lt;&gt;"#",_xll.BView($DO31,BY$19,"headers=false"),"-")</f>
        <v>-</v>
      </c>
      <c r="BZ31" s="27" t="str">
        <f>IF(LEFT(_xll.BView($DO31,BZ$19,"headers=false"),1)&lt;&gt;"#",_xll.BView($DO31,BZ$19,"headers=false"),"-")</f>
        <v>-</v>
      </c>
      <c r="CA31" s="22"/>
      <c r="CB31" s="27" t="str">
        <f>IF(LEFT(_xll.BView($DO31,CB$19,"headers=false"),1)&lt;&gt;"#",_xll.BView($DO31,CB$19,"headers=false"),"-")</f>
        <v>-</v>
      </c>
      <c r="CC31" s="22"/>
      <c r="CD31" s="27" t="str">
        <f>IF(LEFT(_xll.BView($DO31,CD$19,"headers=false"),1)&lt;&gt;"#",_xll.BView($DO31,CD$19,"headers=false"),"-")</f>
        <v>-</v>
      </c>
      <c r="CE31" s="20"/>
      <c r="CF31" s="28" t="str">
        <f>IFERROR(INDEX(_xll.BMARKETPARAM($DO31,"array=true"),2,1),"")</f>
        <v/>
      </c>
      <c r="CG31" s="28" t="str">
        <f>IFERROR(INDEX(_xll.BMARKETPARAM($DO31,"array=true"),2,3),"")</f>
        <v/>
      </c>
      <c r="CH31" s="28" t="str">
        <f>IFERROR(INDEX(_xll.BMARKETPARAM($DO31,"array=true"),3,1),"")</f>
        <v/>
      </c>
      <c r="CI31" s="28" t="str">
        <f>IFERROR(INDEX(_xll.BMARKETPARAM($DO31,"array=true"),3,3),"")</f>
        <v/>
      </c>
      <c r="CJ31" s="28" t="str">
        <f>IFERROR(INDEX(_xll.BMARKETPARAM($DO31,"array=true"),4,1),"")</f>
        <v/>
      </c>
      <c r="CK31" s="28" t="str">
        <f>IFERROR(INDEX(_xll.BMARKETPARAM($DO31,"array=true"),4,3),"")</f>
        <v/>
      </c>
      <c r="CL31" s="20"/>
      <c r="CM31" s="40" t="s">
        <v>1</v>
      </c>
      <c r="CN31" s="40"/>
      <c r="CO31" s="91"/>
      <c r="CP31" s="28" t="str">
        <f t="shared" si="1"/>
        <v/>
      </c>
      <c r="CQ31" s="92"/>
      <c r="CR31" s="93" t="str">
        <f>IF(CQ31&lt;&gt;"",_xll.BCurveStrip(CQ31,"CurveDate",SwaptionMarketDate,"ApplyDC",$CN31,"ParallelShift",$CO31),"")</f>
        <v/>
      </c>
      <c r="CS31" s="93" t="str">
        <f t="shared" si="2"/>
        <v/>
      </c>
      <c r="CT31" s="40"/>
      <c r="CU31" s="93" t="str">
        <f>IF(CT31&lt;&gt;"",_xll.BCurveStrip(CT31,"CurveDate",SwaptionMarketDate,"ApplyDC",$CN31,"ParallelShift",$CO31),"")</f>
        <v/>
      </c>
      <c r="CV31" s="20"/>
      <c r="CW31" s="56" t="str">
        <f>IF(LEFT(_xll.BView($DP31,CW$19,"headers=false"),1)&lt;&gt;"#",_xll.BView($DP31,CW$19,"headers=false"),"-")</f>
        <v>-</v>
      </c>
      <c r="CX31" s="56" t="str">
        <f>IF(LEFT(_xll.BView($DP31,CX$19,"headers=false"),1)&lt;&gt;"#",_xll.BView($DP31,CX$19,"headers=false"),"-")</f>
        <v>-</v>
      </c>
      <c r="CY31" s="56" t="str">
        <f>IF(LEFT(_xll.BView($DP31,CY$19,"headers=false"),1)&lt;&gt;"#",_xll.BView($DP31,CY$19,"headers=false"),"-")</f>
        <v>-</v>
      </c>
      <c r="CZ31" s="56" t="str">
        <f>IF(LEFT(_xll.BView($DP31,CZ$19,"headers=false"),1)&lt;&gt;"#",_xll.BView($DP31,CZ$19,"headers=false"),"-")</f>
        <v>-</v>
      </c>
      <c r="DA31" s="56" t="str">
        <f>IF(LEFT(_xll.BView($DP31,DA$19,"headers=false"),1)&lt;&gt;"#",_xll.BView($DP31,DA$19,"headers=false"),"-")</f>
        <v>-</v>
      </c>
      <c r="DB31" s="56" t="str">
        <f>IF(LEFT(_xll.BView($DP31,DB$19,"headers=false"),1)&lt;&gt;"#",_xll.BView($DP31,DB$19,"headers=false"),"-")</f>
        <v>-</v>
      </c>
      <c r="DC31" s="56" t="str">
        <f>IF(LEFT(_xll.BView($DP31,DC$19,"headers=false"),1)&lt;&gt;"#",_xll.BView($DP31,DC$19,"headers=false"),"-")</f>
        <v>-</v>
      </c>
      <c r="DD31" s="56" t="str">
        <f>IF(LEFT(_xll.BView($DP31,DD$19,"headers=false"),1)&lt;&gt;"#",_xll.BView($DP31,DD$19,"headers=false"),"-")</f>
        <v>-</v>
      </c>
      <c r="DE31" s="56" t="str">
        <f>IF(LEFT(_xll.BView($DP31,DE$19,"headers=false"),1)&lt;&gt;"#",_xll.BView($DP31,DE$19,"headers=false"),"-")</f>
        <v>-</v>
      </c>
      <c r="DF31" s="56" t="str">
        <f>IF(LEFT(_xll.BView($DP31,DF$19,"headers=false"),1)&lt;&gt;"#",_xll.BView($DP31,DF$19,"headers=false"),"-")</f>
        <v>-</v>
      </c>
      <c r="DG31" s="56" t="str">
        <f>IF(LEFT(_xll.BView($DP31,DG$19,"headers=false"),1)&lt;&gt;"#",_xll.BView($DP31,DG$19,"headers=false"),"-")</f>
        <v>-</v>
      </c>
      <c r="DH31" s="56" t="str">
        <f>IF(LEFT(_xll.BView($DP31,DH$19,"headers=false"),1)&lt;&gt;"#",_xll.BView($DP31,DH$19,"headers=false"),"-")</f>
        <v>-</v>
      </c>
      <c r="DI31" s="56" t="str">
        <f>IF(LEFT(_xll.BView($DP31,DI$19,"headers=false"),1)&lt;&gt;"#",_xll.BView($DP31,DI$19,"headers=false"),"-")</f>
        <v>-</v>
      </c>
      <c r="DJ31" s="56" t="str">
        <f>IF(LEFT(_xll.BView($DP31,DJ$19,"headers=false"),1)&lt;&gt;"#",_xll.BView($DP31,DJ$19,"headers=false"),"-")</f>
        <v>-</v>
      </c>
      <c r="DK31" s="56" t="str">
        <f>IF(LEFT(_xll.BView($DP31,DK$19,"headers=false"),1)&lt;&gt;"#",_xll.BView($DP31,DK$19,"headers=false"),"-")</f>
        <v>-</v>
      </c>
      <c r="DL31" s="56" t="str">
        <f>IF(LEFT(_xll.BView($DP31,DL$19,"headers=false"),1)&lt;&gt;"#",_xll.BView($DP31,DL$19,"headers=false"),"-")</f>
        <v>-</v>
      </c>
      <c r="DN31" s="75" t="str">
        <f>IF(Y31&lt;&gt;"",IF(ISERROR(RIGHT(Y31,1)*1)," "&amp;Y31&amp;"x"&amp;IF(AA31&lt;&gt;"",AA31,Y31)," E"&amp;usdate(Y31)&amp;" "&amp;IF(AA31&lt;&gt;"",usdate(AA31),usdate(Y31+3653))),IF(AA31&lt;&gt;"",IF(ISERROR(RIGHT(AA31,1)*1)," "&amp;AA31," "&amp;usdate(AA31)),""))</f>
        <v/>
      </c>
      <c r="DO31" s="75" t="str">
        <f>IF(OR(H31&lt;&gt;"",N31&lt;&gt;""),_xll.BSTRUCTURE(IF(H31&lt;&gt;"",H31,O31&amp;DN31),$Q$19:$W$19,Q31:W31,$AB$19:$AC$19,AB31:AC31,$AH$19:$AK$19,AH31:AK31,$AM$19:$AQ$19,AM31:AQ31,$AS$19,AS31,$AU$19,AU31,$Z$19,Z31,$Y$19,IF(ISERROR(RIGHT(Y31,1)*1),"",Y31),$AA$19,IF(ISERROR(RIGHT(AA31,1)*1),"",AA31),"ignoreinvalidparams=true"),"Enter deal type or saved ID.")</f>
        <v>Enter deal type or saved ID.</v>
      </c>
      <c r="DP31" s="75" t="str">
        <f>IF(LEFT(DO31,1)="E","",IF(CM31="No",_xll.BPRICE(DO31,"MarketDate",SwaptionMarketDate,"ValuationDate",SwaptionValuationDate,$AE$19:$AF$19,AE31:AF31,"alwaysrefresh"),_xll.BPRICE(DO31,"MarketDate",SwaptionMarketDate,"ValuationDate",SwaptionValuationDate,CP31,CR31,CS31,CU31,$AE$19:$AF$19,AE31:AF31,"alwaysrefresh")))</f>
        <v/>
      </c>
      <c r="DU31" s="25"/>
      <c r="DX31" s="25"/>
    </row>
    <row r="32" spans="2:128" x14ac:dyDescent="0.25">
      <c r="B32" s="27" t="str">
        <f>IF(OR(H32&lt;&gt;"",N32&lt;&gt;""),IF(OR(DO32="#N/A Requesting Data...",DO32="#N/A Waiting For Data...",DP32="#N/A Requesting Data...",DP32="#N/A Waiting For Data..."),"Loading ….",IF(OR(LEFT(DO32,1)="#",LEFT(DP32,1)="#"),"Check Inputs",_xll.BView(DP32,B$19,"headers=false"))),"Select Deal Type")</f>
        <v>Select Deal Type</v>
      </c>
      <c r="C32" s="57" t="str">
        <f>IFERROR(1*_xll.BView($DP32,C$19,"headers=false"),"-")</f>
        <v>-</v>
      </c>
      <c r="D32" s="57" t="str">
        <f>IFERROR(1*_xll.BView($DP32,D$19,"headers=false"),"-")</f>
        <v>-</v>
      </c>
      <c r="E32" s="56" t="str">
        <f>IFERROR(1*_xll.BView($DP32,E$19,"headers=false"),"-")</f>
        <v>-</v>
      </c>
      <c r="F32" s="56" t="str">
        <f>IFERROR(1*_xll.BView($DP32,F$19,"headers=false"),"-")</f>
        <v>-</v>
      </c>
      <c r="H32" s="40"/>
      <c r="I32" s="40" t="s">
        <v>1</v>
      </c>
      <c r="J32" s="20"/>
      <c r="K32" s="96" t="str">
        <f t="shared" si="3"/>
        <v/>
      </c>
      <c r="L32" s="40"/>
      <c r="M32" s="20"/>
      <c r="N32" s="58"/>
      <c r="O32" s="52" t="e">
        <f t="shared" si="0"/>
        <v>#N/A</v>
      </c>
      <c r="P32" s="20"/>
      <c r="Q32" s="40"/>
      <c r="R32" s="106"/>
      <c r="S32" s="106"/>
      <c r="T32" s="106"/>
      <c r="U32" s="106"/>
      <c r="V32" s="106"/>
      <c r="W32" s="106"/>
      <c r="X32" s="78"/>
      <c r="Y32" s="36"/>
      <c r="Z32" s="81"/>
      <c r="AA32" s="36"/>
      <c r="AB32" s="40"/>
      <c r="AC32" s="106"/>
      <c r="AD32" s="78"/>
      <c r="AE32" s="40"/>
      <c r="AF32" s="77"/>
      <c r="AG32" s="20"/>
      <c r="AH32" s="40"/>
      <c r="AI32" s="40"/>
      <c r="AJ32" s="40"/>
      <c r="AK32" s="40"/>
      <c r="AL32" s="20"/>
      <c r="AM32" s="40"/>
      <c r="AN32" s="40"/>
      <c r="AO32" s="40"/>
      <c r="AP32" s="40"/>
      <c r="AQ32" s="40"/>
      <c r="AR32" s="20"/>
      <c r="AS32" s="40"/>
      <c r="AT32" s="20"/>
      <c r="AU32" s="40"/>
      <c r="AV32" s="20"/>
      <c r="AW32" s="48" t="str">
        <f>IF(LEFT(_xll.BView($DO32,AW$19,"headers=false"),1)&lt;&gt;"#",_xll.BView($DO32,AW$19,"headers=false"),"-")</f>
        <v>-</v>
      </c>
      <c r="AX32" s="48" t="str">
        <f>IF(LEFT(_xll.BView($DO32,AX$19,"headers=false"),1)&lt;&gt;"#",_xll.BView($DO32,AX$19,"headers=false"),"-")</f>
        <v>-</v>
      </c>
      <c r="AY32" s="56" t="str">
        <f>IF(LEFT(_xll.BView($DO32,AY$19,"headers=false"),1)&lt;&gt;"#",_xll.BView($DO32,AY$19,"headers=false"),"-")</f>
        <v>-</v>
      </c>
      <c r="AZ32" s="49" t="str">
        <f>IF(LEFT(_xll.BView($DO32,AZ$19,"headers=false"),1)&lt;&gt;"#",_xll.BView($DO32,AZ$19,"headers=false"),"-")</f>
        <v>-</v>
      </c>
      <c r="BA32" s="48" t="str">
        <f>IF(LEFT(_xll.BView($DO32,BA$19,"headers=false"),1)&lt;&gt;"#",_xll.BView($DO32,BA$19,"headers=false"),"-")</f>
        <v>-</v>
      </c>
      <c r="BB32" s="48" t="str">
        <f>IF(LEFT(_xll.BView($DO32,BB$19,"headers=false"),1)&lt;&gt;"#",_xll.BView($DO32,BB$19,"headers=false"),"-")</f>
        <v>-</v>
      </c>
      <c r="BC32" s="48" t="str">
        <f>IF(LEFT(_xll.BView($DO32,BC$19,"headers=false"),1)&lt;&gt;"#",_xll.BView($DO32,BC$19,"headers=false"),"-")</f>
        <v>-</v>
      </c>
      <c r="BD32" s="20"/>
      <c r="BE32" s="37" t="str">
        <f>IF(LEFT(_xll.BView($DO32,BE$19,"headers=false"),1)&lt;&gt;"#",_xll.BView($DO32,BE$19,"headers=false"),"-")</f>
        <v>-</v>
      </c>
      <c r="BF32" s="37" t="str">
        <f>IF(LEFT(_xll.BView($DO32,BF$19,"headers=false"),1)&lt;&gt;"#",_xll.BView($DO32,BF$19,"headers=false"),"-")</f>
        <v>-</v>
      </c>
      <c r="BG32" s="37" t="str">
        <f>IF(LEFT(_xll.BView($DO32,BG$19,"headers=false"),1)&lt;&gt;"#",_xll.BView($DO32,BG$19,"headers=false"),"-")</f>
        <v>-</v>
      </c>
      <c r="BH32" s="37" t="str">
        <f>IF(LEFT(_xll.BView($DO32,BH$19,"headers=false"),1)&lt;&gt;"#",_xll.BView($DO32,BH$19,"headers=false"),"-")</f>
        <v>-</v>
      </c>
      <c r="BI32" s="27" t="str">
        <f>IF(LEFT(_xll.BView($DO32,BI$19,"headers=false"),1)&lt;&gt;"#",_xll.BView($DO32,BI$19,"headers=false"),"-")</f>
        <v>-</v>
      </c>
      <c r="BJ32" s="21"/>
      <c r="BK32" s="27" t="str">
        <f>IF(LEFT(_xll.BView($DO32,BK$19,"headers=false"),1)&lt;&gt;"#",_xll.BView($DO32,BK$19,"headers=false"),"-")</f>
        <v>-</v>
      </c>
      <c r="BL32" s="27" t="str">
        <f>IF(LEFT(_xll.BView($DO32,BL$19,"headers=false"),1)&lt;&gt;"#",_xll.BView($DO32,BL$19,"headers=false"),"-")</f>
        <v>-</v>
      </c>
      <c r="BM32" s="27" t="str">
        <f>IF(LEFT(_xll.BView($DO32,BM$19,"headers=false"),1)&lt;&gt;"#",_xll.BView($DO32,BM$19,"headers=false"),"-")</f>
        <v>-</v>
      </c>
      <c r="BN32" s="38" t="str">
        <f>IF(LEFT(_xll.BView($DO32,BN$19,"headers=false"),1)&lt;&gt;"#",_xll.BView($DO32,BN$19,"headers=false"),"-")</f>
        <v>-</v>
      </c>
      <c r="BO32" s="27" t="str">
        <f>IF(LEFT(_xll.BView($DO32,BO$19,"headers=false"),1)&lt;&gt;"#",_xll.BView($DO32,BO$19,"headers=false"),"-")</f>
        <v>-</v>
      </c>
      <c r="BP32" s="27" t="str">
        <f>IF(LEFT(_xll.BView($DO32,BP$19,"headers=false"),1)&lt;&gt;"#",_xll.BView($DO32,BP$19,"headers=false"),"-")</f>
        <v>-</v>
      </c>
      <c r="BQ32" s="27" t="str">
        <f>IF(LEFT(_xll.BView($DO32,BQ$19,"headers=false"),1)&lt;&gt;"#",_xll.BView($DO32,BQ$19,"headers=false"),"-")</f>
        <v>-</v>
      </c>
      <c r="BR32" s="22"/>
      <c r="BS32" s="27" t="str">
        <f>IF(LEFT(_xll.BView($DO32,BS$19,"headers=false"),1)&lt;&gt;"#",_xll.BView($DO32,BS$19,"headers=false"),"-")</f>
        <v>-</v>
      </c>
      <c r="BT32" s="27" t="str">
        <f>IF(LEFT(_xll.BView($DO32,BT$19,"headers=false"),1)&lt;&gt;"#",_xll.BView($DO32,BT$19,"headers=false"),"-")</f>
        <v>-</v>
      </c>
      <c r="BU32" s="27" t="str">
        <f>IF(LEFT(_xll.BView($DO32,BU$19,"headers=false"),1)&lt;&gt;"#",_xll.BView($DO32,BU$19,"headers=false"),"-")</f>
        <v>-</v>
      </c>
      <c r="BV32" s="27" t="str">
        <f>IF(LEFT(_xll.BView($DO32,BV$19,"headers=false"),1)&lt;&gt;"#",_xll.BView($DO32,BV$19,"headers=false"),"-")</f>
        <v>-</v>
      </c>
      <c r="BW32" s="27" t="str">
        <f>IF(LEFT(_xll.BView($DO32,BW$19,"headers=false"),1)&lt;&gt;"#",_xll.BView($DO32,BW$19,"headers=false"),"-")</f>
        <v>-</v>
      </c>
      <c r="BX32" s="27" t="str">
        <f>IF(LEFT(_xll.BView($DO32,BX$19,"headers=false"),1)&lt;&gt;"#",_xll.BView($DO32,BX$19,"headers=false"),"-")</f>
        <v>-</v>
      </c>
      <c r="BY32" s="27" t="str">
        <f>IF(LEFT(_xll.BView($DO32,BY$19,"headers=false"),1)&lt;&gt;"#",_xll.BView($DO32,BY$19,"headers=false"),"-")</f>
        <v>-</v>
      </c>
      <c r="BZ32" s="27" t="str">
        <f>IF(LEFT(_xll.BView($DO32,BZ$19,"headers=false"),1)&lt;&gt;"#",_xll.BView($DO32,BZ$19,"headers=false"),"-")</f>
        <v>-</v>
      </c>
      <c r="CA32" s="22"/>
      <c r="CB32" s="27" t="str">
        <f>IF(LEFT(_xll.BView($DO32,CB$19,"headers=false"),1)&lt;&gt;"#",_xll.BView($DO32,CB$19,"headers=false"),"-")</f>
        <v>-</v>
      </c>
      <c r="CC32" s="22"/>
      <c r="CD32" s="27" t="str">
        <f>IF(LEFT(_xll.BView($DO32,CD$19,"headers=false"),1)&lt;&gt;"#",_xll.BView($DO32,CD$19,"headers=false"),"-")</f>
        <v>-</v>
      </c>
      <c r="CE32" s="20"/>
      <c r="CF32" s="28" t="str">
        <f>IFERROR(INDEX(_xll.BMARKETPARAM($DO32,"array=true"),2,1),"")</f>
        <v/>
      </c>
      <c r="CG32" s="28" t="str">
        <f>IFERROR(INDEX(_xll.BMARKETPARAM($DO32,"array=true"),2,3),"")</f>
        <v/>
      </c>
      <c r="CH32" s="28" t="str">
        <f>IFERROR(INDEX(_xll.BMARKETPARAM($DO32,"array=true"),3,1),"")</f>
        <v/>
      </c>
      <c r="CI32" s="28" t="str">
        <f>IFERROR(INDEX(_xll.BMARKETPARAM($DO32,"array=true"),3,3),"")</f>
        <v/>
      </c>
      <c r="CJ32" s="28" t="str">
        <f>IFERROR(INDEX(_xll.BMARKETPARAM($DO32,"array=true"),4,1),"")</f>
        <v/>
      </c>
      <c r="CK32" s="28" t="str">
        <f>IFERROR(INDEX(_xll.BMARKETPARAM($DO32,"array=true"),4,3),"")</f>
        <v/>
      </c>
      <c r="CL32" s="20"/>
      <c r="CM32" s="40" t="s">
        <v>1</v>
      </c>
      <c r="CN32" s="40"/>
      <c r="CO32" s="91"/>
      <c r="CP32" s="28" t="str">
        <f t="shared" si="1"/>
        <v/>
      </c>
      <c r="CQ32" s="92"/>
      <c r="CR32" s="93" t="str">
        <f>IF(CQ32&lt;&gt;"",_xll.BCurveStrip(CQ32,"CurveDate",SwaptionMarketDate,"ApplyDC",$CN32,"ParallelShift",$CO32),"")</f>
        <v/>
      </c>
      <c r="CS32" s="93" t="str">
        <f t="shared" si="2"/>
        <v/>
      </c>
      <c r="CT32" s="40"/>
      <c r="CU32" s="93" t="str">
        <f>IF(CT32&lt;&gt;"",_xll.BCurveStrip(CT32,"CurveDate",SwaptionMarketDate,"ApplyDC",$CN32,"ParallelShift",$CO32),"")</f>
        <v/>
      </c>
      <c r="CV32" s="20"/>
      <c r="CW32" s="56" t="str">
        <f>IF(LEFT(_xll.BView($DP32,CW$19,"headers=false"),1)&lt;&gt;"#",_xll.BView($DP32,CW$19,"headers=false"),"-")</f>
        <v>-</v>
      </c>
      <c r="CX32" s="56" t="str">
        <f>IF(LEFT(_xll.BView($DP32,CX$19,"headers=false"),1)&lt;&gt;"#",_xll.BView($DP32,CX$19,"headers=false"),"-")</f>
        <v>-</v>
      </c>
      <c r="CY32" s="56" t="str">
        <f>IF(LEFT(_xll.BView($DP32,CY$19,"headers=false"),1)&lt;&gt;"#",_xll.BView($DP32,CY$19,"headers=false"),"-")</f>
        <v>-</v>
      </c>
      <c r="CZ32" s="56" t="str">
        <f>IF(LEFT(_xll.BView($DP32,CZ$19,"headers=false"),1)&lt;&gt;"#",_xll.BView($DP32,CZ$19,"headers=false"),"-")</f>
        <v>-</v>
      </c>
      <c r="DA32" s="56" t="str">
        <f>IF(LEFT(_xll.BView($DP32,DA$19,"headers=false"),1)&lt;&gt;"#",_xll.BView($DP32,DA$19,"headers=false"),"-")</f>
        <v>-</v>
      </c>
      <c r="DB32" s="56" t="str">
        <f>IF(LEFT(_xll.BView($DP32,DB$19,"headers=false"),1)&lt;&gt;"#",_xll.BView($DP32,DB$19,"headers=false"),"-")</f>
        <v>-</v>
      </c>
      <c r="DC32" s="56" t="str">
        <f>IF(LEFT(_xll.BView($DP32,DC$19,"headers=false"),1)&lt;&gt;"#",_xll.BView($DP32,DC$19,"headers=false"),"-")</f>
        <v>-</v>
      </c>
      <c r="DD32" s="56" t="str">
        <f>IF(LEFT(_xll.BView($DP32,DD$19,"headers=false"),1)&lt;&gt;"#",_xll.BView($DP32,DD$19,"headers=false"),"-")</f>
        <v>-</v>
      </c>
      <c r="DE32" s="56" t="str">
        <f>IF(LEFT(_xll.BView($DP32,DE$19,"headers=false"),1)&lt;&gt;"#",_xll.BView($DP32,DE$19,"headers=false"),"-")</f>
        <v>-</v>
      </c>
      <c r="DF32" s="56" t="str">
        <f>IF(LEFT(_xll.BView($DP32,DF$19,"headers=false"),1)&lt;&gt;"#",_xll.BView($DP32,DF$19,"headers=false"),"-")</f>
        <v>-</v>
      </c>
      <c r="DG32" s="56" t="str">
        <f>IF(LEFT(_xll.BView($DP32,DG$19,"headers=false"),1)&lt;&gt;"#",_xll.BView($DP32,DG$19,"headers=false"),"-")</f>
        <v>-</v>
      </c>
      <c r="DH32" s="56" t="str">
        <f>IF(LEFT(_xll.BView($DP32,DH$19,"headers=false"),1)&lt;&gt;"#",_xll.BView($DP32,DH$19,"headers=false"),"-")</f>
        <v>-</v>
      </c>
      <c r="DI32" s="56" t="str">
        <f>IF(LEFT(_xll.BView($DP32,DI$19,"headers=false"),1)&lt;&gt;"#",_xll.BView($DP32,DI$19,"headers=false"),"-")</f>
        <v>-</v>
      </c>
      <c r="DJ32" s="56" t="str">
        <f>IF(LEFT(_xll.BView($DP32,DJ$19,"headers=false"),1)&lt;&gt;"#",_xll.BView($DP32,DJ$19,"headers=false"),"-")</f>
        <v>-</v>
      </c>
      <c r="DK32" s="56" t="str">
        <f>IF(LEFT(_xll.BView($DP32,DK$19,"headers=false"),1)&lt;&gt;"#",_xll.BView($DP32,DK$19,"headers=false"),"-")</f>
        <v>-</v>
      </c>
      <c r="DL32" s="56" t="str">
        <f>IF(LEFT(_xll.BView($DP32,DL$19,"headers=false"),1)&lt;&gt;"#",_xll.BView($DP32,DL$19,"headers=false"),"-")</f>
        <v>-</v>
      </c>
      <c r="DN32" s="75" t="str">
        <f>IF(Y32&lt;&gt;"",IF(ISERROR(RIGHT(Y32,1)*1)," "&amp;Y32&amp;"x"&amp;IF(AA32&lt;&gt;"",AA32,Y32)," E"&amp;usdate(Y32)&amp;" "&amp;IF(AA32&lt;&gt;"",usdate(AA32),usdate(Y32+3653))),IF(AA32&lt;&gt;"",IF(ISERROR(RIGHT(AA32,1)*1)," "&amp;AA32," "&amp;usdate(AA32)),""))</f>
        <v/>
      </c>
      <c r="DO32" s="75" t="str">
        <f>IF(OR(H32&lt;&gt;"",N32&lt;&gt;""),_xll.BSTRUCTURE(IF(H32&lt;&gt;"",H32,O32&amp;DN32),$Q$19:$W$19,Q32:W32,$AB$19:$AC$19,AB32:AC32,$AH$19:$AK$19,AH32:AK32,$AM$19:$AQ$19,AM32:AQ32,$AS$19,AS32,$AU$19,AU32,$Z$19,Z32,$Y$19,IF(ISERROR(RIGHT(Y32,1)*1),"",Y32),$AA$19,IF(ISERROR(RIGHT(AA32,1)*1),"",AA32),"ignoreinvalidparams=true"),"Enter deal type or saved ID.")</f>
        <v>Enter deal type or saved ID.</v>
      </c>
      <c r="DP32" s="75" t="str">
        <f>IF(LEFT(DO32,1)="E","",IF(CM32="No",_xll.BPRICE(DO32,"MarketDate",SwaptionMarketDate,"ValuationDate",SwaptionValuationDate,$AE$19:$AF$19,AE32:AF32,"alwaysrefresh"),_xll.BPRICE(DO32,"MarketDate",SwaptionMarketDate,"ValuationDate",SwaptionValuationDate,CP32,CR32,CS32,CU32,$AE$19:$AF$19,AE32:AF32,"alwaysrefresh")))</f>
        <v/>
      </c>
      <c r="DU32" s="25"/>
      <c r="DX32" s="25"/>
    </row>
    <row r="33" spans="2:128" x14ac:dyDescent="0.25">
      <c r="B33" s="27" t="str">
        <f>IF(OR(H33&lt;&gt;"",N33&lt;&gt;""),IF(OR(DO33="#N/A Requesting Data...",DO33="#N/A Waiting For Data...",DP33="#N/A Requesting Data...",DP33="#N/A Waiting For Data..."),"Loading ….",IF(OR(LEFT(DO33,1)="#",LEFT(DP33,1)="#"),"Check Inputs",_xll.BView(DP33,B$19,"headers=false"))),"Select Deal Type")</f>
        <v>Select Deal Type</v>
      </c>
      <c r="C33" s="57" t="str">
        <f>IFERROR(1*_xll.BView($DP33,C$19,"headers=false"),"-")</f>
        <v>-</v>
      </c>
      <c r="D33" s="57" t="str">
        <f>IFERROR(1*_xll.BView($DP33,D$19,"headers=false"),"-")</f>
        <v>-</v>
      </c>
      <c r="E33" s="56" t="str">
        <f>IFERROR(1*_xll.BView($DP33,E$19,"headers=false"),"-")</f>
        <v>-</v>
      </c>
      <c r="F33" s="56" t="str">
        <f>IFERROR(1*_xll.BView($DP33,F$19,"headers=false"),"-")</f>
        <v>-</v>
      </c>
      <c r="H33" s="40"/>
      <c r="I33" s="40" t="s">
        <v>1</v>
      </c>
      <c r="J33" s="20"/>
      <c r="K33" s="96" t="str">
        <f t="shared" si="3"/>
        <v/>
      </c>
      <c r="L33" s="40"/>
      <c r="M33" s="20"/>
      <c r="N33" s="58"/>
      <c r="O33" s="52" t="e">
        <f t="shared" si="0"/>
        <v>#N/A</v>
      </c>
      <c r="P33" s="20"/>
      <c r="Q33" s="40"/>
      <c r="R33" s="106"/>
      <c r="S33" s="106"/>
      <c r="T33" s="106"/>
      <c r="U33" s="106"/>
      <c r="V33" s="106"/>
      <c r="W33" s="106"/>
      <c r="X33" s="78"/>
      <c r="Y33" s="36"/>
      <c r="Z33" s="81"/>
      <c r="AA33" s="36"/>
      <c r="AB33" s="40"/>
      <c r="AC33" s="106"/>
      <c r="AD33" s="78"/>
      <c r="AE33" s="40"/>
      <c r="AF33" s="77"/>
      <c r="AG33" s="20"/>
      <c r="AH33" s="40"/>
      <c r="AI33" s="40"/>
      <c r="AJ33" s="40"/>
      <c r="AK33" s="40"/>
      <c r="AL33" s="20"/>
      <c r="AM33" s="40"/>
      <c r="AN33" s="40"/>
      <c r="AO33" s="40"/>
      <c r="AP33" s="40"/>
      <c r="AQ33" s="40"/>
      <c r="AR33" s="20"/>
      <c r="AS33" s="40"/>
      <c r="AT33" s="20"/>
      <c r="AU33" s="40"/>
      <c r="AV33" s="20"/>
      <c r="AW33" s="48" t="str">
        <f>IF(LEFT(_xll.BView($DO33,AW$19,"headers=false"),1)&lt;&gt;"#",_xll.BView($DO33,AW$19,"headers=false"),"-")</f>
        <v>-</v>
      </c>
      <c r="AX33" s="48" t="str">
        <f>IF(LEFT(_xll.BView($DO33,AX$19,"headers=false"),1)&lt;&gt;"#",_xll.BView($DO33,AX$19,"headers=false"),"-")</f>
        <v>-</v>
      </c>
      <c r="AY33" s="56" t="str">
        <f>IF(LEFT(_xll.BView($DO33,AY$19,"headers=false"),1)&lt;&gt;"#",_xll.BView($DO33,AY$19,"headers=false"),"-")</f>
        <v>-</v>
      </c>
      <c r="AZ33" s="49" t="str">
        <f>IF(LEFT(_xll.BView($DO33,AZ$19,"headers=false"),1)&lt;&gt;"#",_xll.BView($DO33,AZ$19,"headers=false"),"-")</f>
        <v>-</v>
      </c>
      <c r="BA33" s="48" t="str">
        <f>IF(LEFT(_xll.BView($DO33,BA$19,"headers=false"),1)&lt;&gt;"#",_xll.BView($DO33,BA$19,"headers=false"),"-")</f>
        <v>-</v>
      </c>
      <c r="BB33" s="48" t="str">
        <f>IF(LEFT(_xll.BView($DO33,BB$19,"headers=false"),1)&lt;&gt;"#",_xll.BView($DO33,BB$19,"headers=false"),"-")</f>
        <v>-</v>
      </c>
      <c r="BC33" s="48" t="str">
        <f>IF(LEFT(_xll.BView($DO33,BC$19,"headers=false"),1)&lt;&gt;"#",_xll.BView($DO33,BC$19,"headers=false"),"-")</f>
        <v>-</v>
      </c>
      <c r="BD33" s="20"/>
      <c r="BE33" s="37" t="str">
        <f>IF(LEFT(_xll.BView($DO33,BE$19,"headers=false"),1)&lt;&gt;"#",_xll.BView($DO33,BE$19,"headers=false"),"-")</f>
        <v>-</v>
      </c>
      <c r="BF33" s="37" t="str">
        <f>IF(LEFT(_xll.BView($DO33,BF$19,"headers=false"),1)&lt;&gt;"#",_xll.BView($DO33,BF$19,"headers=false"),"-")</f>
        <v>-</v>
      </c>
      <c r="BG33" s="37" t="str">
        <f>IF(LEFT(_xll.BView($DO33,BG$19,"headers=false"),1)&lt;&gt;"#",_xll.BView($DO33,BG$19,"headers=false"),"-")</f>
        <v>-</v>
      </c>
      <c r="BH33" s="37" t="str">
        <f>IF(LEFT(_xll.BView($DO33,BH$19,"headers=false"),1)&lt;&gt;"#",_xll.BView($DO33,BH$19,"headers=false"),"-")</f>
        <v>-</v>
      </c>
      <c r="BI33" s="27" t="str">
        <f>IF(LEFT(_xll.BView($DO33,BI$19,"headers=false"),1)&lt;&gt;"#",_xll.BView($DO33,BI$19,"headers=false"),"-")</f>
        <v>-</v>
      </c>
      <c r="BJ33" s="21"/>
      <c r="BK33" s="27" t="str">
        <f>IF(LEFT(_xll.BView($DO33,BK$19,"headers=false"),1)&lt;&gt;"#",_xll.BView($DO33,BK$19,"headers=false"),"-")</f>
        <v>-</v>
      </c>
      <c r="BL33" s="27" t="str">
        <f>IF(LEFT(_xll.BView($DO33,BL$19,"headers=false"),1)&lt;&gt;"#",_xll.BView($DO33,BL$19,"headers=false"),"-")</f>
        <v>-</v>
      </c>
      <c r="BM33" s="27" t="str">
        <f>IF(LEFT(_xll.BView($DO33,BM$19,"headers=false"),1)&lt;&gt;"#",_xll.BView($DO33,BM$19,"headers=false"),"-")</f>
        <v>-</v>
      </c>
      <c r="BN33" s="38" t="str">
        <f>IF(LEFT(_xll.BView($DO33,BN$19,"headers=false"),1)&lt;&gt;"#",_xll.BView($DO33,BN$19,"headers=false"),"-")</f>
        <v>-</v>
      </c>
      <c r="BO33" s="27" t="str">
        <f>IF(LEFT(_xll.BView($DO33,BO$19,"headers=false"),1)&lt;&gt;"#",_xll.BView($DO33,BO$19,"headers=false"),"-")</f>
        <v>-</v>
      </c>
      <c r="BP33" s="27" t="str">
        <f>IF(LEFT(_xll.BView($DO33,BP$19,"headers=false"),1)&lt;&gt;"#",_xll.BView($DO33,BP$19,"headers=false"),"-")</f>
        <v>-</v>
      </c>
      <c r="BQ33" s="27" t="str">
        <f>IF(LEFT(_xll.BView($DO33,BQ$19,"headers=false"),1)&lt;&gt;"#",_xll.BView($DO33,BQ$19,"headers=false"),"-")</f>
        <v>-</v>
      </c>
      <c r="BR33" s="22"/>
      <c r="BS33" s="27" t="str">
        <f>IF(LEFT(_xll.BView($DO33,BS$19,"headers=false"),1)&lt;&gt;"#",_xll.BView($DO33,BS$19,"headers=false"),"-")</f>
        <v>-</v>
      </c>
      <c r="BT33" s="27" t="str">
        <f>IF(LEFT(_xll.BView($DO33,BT$19,"headers=false"),1)&lt;&gt;"#",_xll.BView($DO33,BT$19,"headers=false"),"-")</f>
        <v>-</v>
      </c>
      <c r="BU33" s="27" t="str">
        <f>IF(LEFT(_xll.BView($DO33,BU$19,"headers=false"),1)&lt;&gt;"#",_xll.BView($DO33,BU$19,"headers=false"),"-")</f>
        <v>-</v>
      </c>
      <c r="BV33" s="27" t="str">
        <f>IF(LEFT(_xll.BView($DO33,BV$19,"headers=false"),1)&lt;&gt;"#",_xll.BView($DO33,BV$19,"headers=false"),"-")</f>
        <v>-</v>
      </c>
      <c r="BW33" s="27" t="str">
        <f>IF(LEFT(_xll.BView($DO33,BW$19,"headers=false"),1)&lt;&gt;"#",_xll.BView($DO33,BW$19,"headers=false"),"-")</f>
        <v>-</v>
      </c>
      <c r="BX33" s="27" t="str">
        <f>IF(LEFT(_xll.BView($DO33,BX$19,"headers=false"),1)&lt;&gt;"#",_xll.BView($DO33,BX$19,"headers=false"),"-")</f>
        <v>-</v>
      </c>
      <c r="BY33" s="27" t="str">
        <f>IF(LEFT(_xll.BView($DO33,BY$19,"headers=false"),1)&lt;&gt;"#",_xll.BView($DO33,BY$19,"headers=false"),"-")</f>
        <v>-</v>
      </c>
      <c r="BZ33" s="27" t="str">
        <f>IF(LEFT(_xll.BView($DO33,BZ$19,"headers=false"),1)&lt;&gt;"#",_xll.BView($DO33,BZ$19,"headers=false"),"-")</f>
        <v>-</v>
      </c>
      <c r="CA33" s="22"/>
      <c r="CB33" s="27" t="str">
        <f>IF(LEFT(_xll.BView($DO33,CB$19,"headers=false"),1)&lt;&gt;"#",_xll.BView($DO33,CB$19,"headers=false"),"-")</f>
        <v>-</v>
      </c>
      <c r="CC33" s="22"/>
      <c r="CD33" s="27" t="str">
        <f>IF(LEFT(_xll.BView($DO33,CD$19,"headers=false"),1)&lt;&gt;"#",_xll.BView($DO33,CD$19,"headers=false"),"-")</f>
        <v>-</v>
      </c>
      <c r="CE33" s="20"/>
      <c r="CF33" s="28" t="str">
        <f>IFERROR(INDEX(_xll.BMARKETPARAM($DO33,"array=true"),2,1),"")</f>
        <v/>
      </c>
      <c r="CG33" s="28" t="str">
        <f>IFERROR(INDEX(_xll.BMARKETPARAM($DO33,"array=true"),2,3),"")</f>
        <v/>
      </c>
      <c r="CH33" s="28" t="str">
        <f>IFERROR(INDEX(_xll.BMARKETPARAM($DO33,"array=true"),3,1),"")</f>
        <v/>
      </c>
      <c r="CI33" s="28" t="str">
        <f>IFERROR(INDEX(_xll.BMARKETPARAM($DO33,"array=true"),3,3),"")</f>
        <v/>
      </c>
      <c r="CJ33" s="28" t="str">
        <f>IFERROR(INDEX(_xll.BMARKETPARAM($DO33,"array=true"),4,1),"")</f>
        <v/>
      </c>
      <c r="CK33" s="28" t="str">
        <f>IFERROR(INDEX(_xll.BMARKETPARAM($DO33,"array=true"),4,3),"")</f>
        <v/>
      </c>
      <c r="CL33" s="20"/>
      <c r="CM33" s="40" t="s">
        <v>1</v>
      </c>
      <c r="CN33" s="40"/>
      <c r="CO33" s="91"/>
      <c r="CP33" s="28" t="str">
        <f t="shared" si="1"/>
        <v/>
      </c>
      <c r="CQ33" s="92"/>
      <c r="CR33" s="93" t="str">
        <f>IF(CQ33&lt;&gt;"",_xll.BCurveStrip(CQ33,"CurveDate",SwaptionMarketDate,"ApplyDC",$CN33,"ParallelShift",$CO33),"")</f>
        <v/>
      </c>
      <c r="CS33" s="93" t="str">
        <f t="shared" si="2"/>
        <v/>
      </c>
      <c r="CT33" s="40"/>
      <c r="CU33" s="93" t="str">
        <f>IF(CT33&lt;&gt;"",_xll.BCurveStrip(CT33,"CurveDate",SwaptionMarketDate,"ApplyDC",$CN33,"ParallelShift",$CO33),"")</f>
        <v/>
      </c>
      <c r="CV33" s="20"/>
      <c r="CW33" s="56" t="str">
        <f>IF(LEFT(_xll.BView($DP33,CW$19,"headers=false"),1)&lt;&gt;"#",_xll.BView($DP33,CW$19,"headers=false"),"-")</f>
        <v>-</v>
      </c>
      <c r="CX33" s="56" t="str">
        <f>IF(LEFT(_xll.BView($DP33,CX$19,"headers=false"),1)&lt;&gt;"#",_xll.BView($DP33,CX$19,"headers=false"),"-")</f>
        <v>-</v>
      </c>
      <c r="CY33" s="56" t="str">
        <f>IF(LEFT(_xll.BView($DP33,CY$19,"headers=false"),1)&lt;&gt;"#",_xll.BView($DP33,CY$19,"headers=false"),"-")</f>
        <v>-</v>
      </c>
      <c r="CZ33" s="56" t="str">
        <f>IF(LEFT(_xll.BView($DP33,CZ$19,"headers=false"),1)&lt;&gt;"#",_xll.BView($DP33,CZ$19,"headers=false"),"-")</f>
        <v>-</v>
      </c>
      <c r="DA33" s="56" t="str">
        <f>IF(LEFT(_xll.BView($DP33,DA$19,"headers=false"),1)&lt;&gt;"#",_xll.BView($DP33,DA$19,"headers=false"),"-")</f>
        <v>-</v>
      </c>
      <c r="DB33" s="56" t="str">
        <f>IF(LEFT(_xll.BView($DP33,DB$19,"headers=false"),1)&lt;&gt;"#",_xll.BView($DP33,DB$19,"headers=false"),"-")</f>
        <v>-</v>
      </c>
      <c r="DC33" s="56" t="str">
        <f>IF(LEFT(_xll.BView($DP33,DC$19,"headers=false"),1)&lt;&gt;"#",_xll.BView($DP33,DC$19,"headers=false"),"-")</f>
        <v>-</v>
      </c>
      <c r="DD33" s="56" t="str">
        <f>IF(LEFT(_xll.BView($DP33,DD$19,"headers=false"),1)&lt;&gt;"#",_xll.BView($DP33,DD$19,"headers=false"),"-")</f>
        <v>-</v>
      </c>
      <c r="DE33" s="56" t="str">
        <f>IF(LEFT(_xll.BView($DP33,DE$19,"headers=false"),1)&lt;&gt;"#",_xll.BView($DP33,DE$19,"headers=false"),"-")</f>
        <v>-</v>
      </c>
      <c r="DF33" s="56" t="str">
        <f>IF(LEFT(_xll.BView($DP33,DF$19,"headers=false"),1)&lt;&gt;"#",_xll.BView($DP33,DF$19,"headers=false"),"-")</f>
        <v>-</v>
      </c>
      <c r="DG33" s="56" t="str">
        <f>IF(LEFT(_xll.BView($DP33,DG$19,"headers=false"),1)&lt;&gt;"#",_xll.BView($DP33,DG$19,"headers=false"),"-")</f>
        <v>-</v>
      </c>
      <c r="DH33" s="56" t="str">
        <f>IF(LEFT(_xll.BView($DP33,DH$19,"headers=false"),1)&lt;&gt;"#",_xll.BView($DP33,DH$19,"headers=false"),"-")</f>
        <v>-</v>
      </c>
      <c r="DI33" s="56" t="str">
        <f>IF(LEFT(_xll.BView($DP33,DI$19,"headers=false"),1)&lt;&gt;"#",_xll.BView($DP33,DI$19,"headers=false"),"-")</f>
        <v>-</v>
      </c>
      <c r="DJ33" s="56" t="str">
        <f>IF(LEFT(_xll.BView($DP33,DJ$19,"headers=false"),1)&lt;&gt;"#",_xll.BView($DP33,DJ$19,"headers=false"),"-")</f>
        <v>-</v>
      </c>
      <c r="DK33" s="56" t="str">
        <f>IF(LEFT(_xll.BView($DP33,DK$19,"headers=false"),1)&lt;&gt;"#",_xll.BView($DP33,DK$19,"headers=false"),"-")</f>
        <v>-</v>
      </c>
      <c r="DL33" s="56" t="str">
        <f>IF(LEFT(_xll.BView($DP33,DL$19,"headers=false"),1)&lt;&gt;"#",_xll.BView($DP33,DL$19,"headers=false"),"-")</f>
        <v>-</v>
      </c>
      <c r="DN33" s="75" t="str">
        <f>IF(Y33&lt;&gt;"",IF(ISERROR(RIGHT(Y33,1)*1)," "&amp;Y33&amp;"x"&amp;IF(AA33&lt;&gt;"",AA33,Y33)," E"&amp;usdate(Y33)&amp;" "&amp;IF(AA33&lt;&gt;"",usdate(AA33),usdate(Y33+3653))),IF(AA33&lt;&gt;"",IF(ISERROR(RIGHT(AA33,1)*1)," "&amp;AA33," "&amp;usdate(AA33)),""))</f>
        <v/>
      </c>
      <c r="DO33" s="75" t="str">
        <f>IF(OR(H33&lt;&gt;"",N33&lt;&gt;""),_xll.BSTRUCTURE(IF(H33&lt;&gt;"",H33,O33&amp;DN33),$Q$19:$W$19,Q33:W33,$AB$19:$AC$19,AB33:AC33,$AH$19:$AK$19,AH33:AK33,$AM$19:$AQ$19,AM33:AQ33,$AS$19,AS33,$AU$19,AU33,$Z$19,Z33,$Y$19,IF(ISERROR(RIGHT(Y33,1)*1),"",Y33),$AA$19,IF(ISERROR(RIGHT(AA33,1)*1),"",AA33),"ignoreinvalidparams=true"),"Enter deal type or saved ID.")</f>
        <v>Enter deal type or saved ID.</v>
      </c>
      <c r="DP33" s="75" t="str">
        <f>IF(LEFT(DO33,1)="E","",IF(CM33="No",_xll.BPRICE(DO33,"MarketDate",SwaptionMarketDate,"ValuationDate",SwaptionValuationDate,$AE$19:$AF$19,AE33:AF33,"alwaysrefresh"),_xll.BPRICE(DO33,"MarketDate",SwaptionMarketDate,"ValuationDate",SwaptionValuationDate,CP33,CR33,CS33,CU33,$AE$19:$AF$19,AE33:AF33,"alwaysrefresh")))</f>
        <v/>
      </c>
      <c r="DU33" s="25"/>
      <c r="DX33" s="25"/>
    </row>
    <row r="34" spans="2:128" x14ac:dyDescent="0.25">
      <c r="B34" s="27" t="str">
        <f>IF(OR(H34&lt;&gt;"",N34&lt;&gt;""),IF(OR(DO34="#N/A Requesting Data...",DO34="#N/A Waiting For Data...",DP34="#N/A Requesting Data...",DP34="#N/A Waiting For Data..."),"Loading ….",IF(OR(LEFT(DO34,1)="#",LEFT(DP34,1)="#"),"Check Inputs",_xll.BView(DP34,B$19,"headers=false"))),"Select Deal Type")</f>
        <v>Select Deal Type</v>
      </c>
      <c r="C34" s="57" t="str">
        <f>IFERROR(1*_xll.BView($DP34,C$19,"headers=false"),"-")</f>
        <v>-</v>
      </c>
      <c r="D34" s="57" t="str">
        <f>IFERROR(1*_xll.BView($DP34,D$19,"headers=false"),"-")</f>
        <v>-</v>
      </c>
      <c r="E34" s="56" t="str">
        <f>IFERROR(1*_xll.BView($DP34,E$19,"headers=false"),"-")</f>
        <v>-</v>
      </c>
      <c r="F34" s="56" t="str">
        <f>IFERROR(1*_xll.BView($DP34,F$19,"headers=false"),"-")</f>
        <v>-</v>
      </c>
      <c r="H34" s="40"/>
      <c r="I34" s="40" t="s">
        <v>1</v>
      </c>
      <c r="J34" s="20"/>
      <c r="K34" s="96" t="str">
        <f t="shared" si="3"/>
        <v/>
      </c>
      <c r="L34" s="40"/>
      <c r="M34" s="20"/>
      <c r="N34" s="58"/>
      <c r="O34" s="52" t="e">
        <f t="shared" si="0"/>
        <v>#N/A</v>
      </c>
      <c r="P34" s="20"/>
      <c r="Q34" s="40"/>
      <c r="R34" s="106"/>
      <c r="S34" s="106"/>
      <c r="T34" s="106"/>
      <c r="U34" s="106"/>
      <c r="V34" s="106"/>
      <c r="W34" s="106"/>
      <c r="X34" s="78"/>
      <c r="Y34" s="36"/>
      <c r="Z34" s="81"/>
      <c r="AA34" s="36"/>
      <c r="AB34" s="40"/>
      <c r="AC34" s="106"/>
      <c r="AD34" s="78"/>
      <c r="AE34" s="40"/>
      <c r="AF34" s="77"/>
      <c r="AG34" s="20"/>
      <c r="AH34" s="40"/>
      <c r="AI34" s="40"/>
      <c r="AJ34" s="40"/>
      <c r="AK34" s="40"/>
      <c r="AL34" s="20"/>
      <c r="AM34" s="40"/>
      <c r="AN34" s="40"/>
      <c r="AO34" s="40"/>
      <c r="AP34" s="40"/>
      <c r="AQ34" s="40"/>
      <c r="AR34" s="20"/>
      <c r="AS34" s="40"/>
      <c r="AT34" s="20"/>
      <c r="AU34" s="40"/>
      <c r="AV34" s="20"/>
      <c r="AW34" s="48" t="str">
        <f>IF(LEFT(_xll.BView($DO34,AW$19,"headers=false"),1)&lt;&gt;"#",_xll.BView($DO34,AW$19,"headers=false"),"-")</f>
        <v>-</v>
      </c>
      <c r="AX34" s="48" t="str">
        <f>IF(LEFT(_xll.BView($DO34,AX$19,"headers=false"),1)&lt;&gt;"#",_xll.BView($DO34,AX$19,"headers=false"),"-")</f>
        <v>-</v>
      </c>
      <c r="AY34" s="56" t="str">
        <f>IF(LEFT(_xll.BView($DO34,AY$19,"headers=false"),1)&lt;&gt;"#",_xll.BView($DO34,AY$19,"headers=false"),"-")</f>
        <v>-</v>
      </c>
      <c r="AZ34" s="49" t="str">
        <f>IF(LEFT(_xll.BView($DO34,AZ$19,"headers=false"),1)&lt;&gt;"#",_xll.BView($DO34,AZ$19,"headers=false"),"-")</f>
        <v>-</v>
      </c>
      <c r="BA34" s="48" t="str">
        <f>IF(LEFT(_xll.BView($DO34,BA$19,"headers=false"),1)&lt;&gt;"#",_xll.BView($DO34,BA$19,"headers=false"),"-")</f>
        <v>-</v>
      </c>
      <c r="BB34" s="48" t="str">
        <f>IF(LEFT(_xll.BView($DO34,BB$19,"headers=false"),1)&lt;&gt;"#",_xll.BView($DO34,BB$19,"headers=false"),"-")</f>
        <v>-</v>
      </c>
      <c r="BC34" s="48" t="str">
        <f>IF(LEFT(_xll.BView($DO34,BC$19,"headers=false"),1)&lt;&gt;"#",_xll.BView($DO34,BC$19,"headers=false"),"-")</f>
        <v>-</v>
      </c>
      <c r="BD34" s="20"/>
      <c r="BE34" s="37" t="str">
        <f>IF(LEFT(_xll.BView($DO34,BE$19,"headers=false"),1)&lt;&gt;"#",_xll.BView($DO34,BE$19,"headers=false"),"-")</f>
        <v>-</v>
      </c>
      <c r="BF34" s="37" t="str">
        <f>IF(LEFT(_xll.BView($DO34,BF$19,"headers=false"),1)&lt;&gt;"#",_xll.BView($DO34,BF$19,"headers=false"),"-")</f>
        <v>-</v>
      </c>
      <c r="BG34" s="37" t="str">
        <f>IF(LEFT(_xll.BView($DO34,BG$19,"headers=false"),1)&lt;&gt;"#",_xll.BView($DO34,BG$19,"headers=false"),"-")</f>
        <v>-</v>
      </c>
      <c r="BH34" s="37" t="str">
        <f>IF(LEFT(_xll.BView($DO34,BH$19,"headers=false"),1)&lt;&gt;"#",_xll.BView($DO34,BH$19,"headers=false"),"-")</f>
        <v>-</v>
      </c>
      <c r="BI34" s="27" t="str">
        <f>IF(LEFT(_xll.BView($DO34,BI$19,"headers=false"),1)&lt;&gt;"#",_xll.BView($DO34,BI$19,"headers=false"),"-")</f>
        <v>-</v>
      </c>
      <c r="BJ34" s="21"/>
      <c r="BK34" s="27" t="str">
        <f>IF(LEFT(_xll.BView($DO34,BK$19,"headers=false"),1)&lt;&gt;"#",_xll.BView($DO34,BK$19,"headers=false"),"-")</f>
        <v>-</v>
      </c>
      <c r="BL34" s="27" t="str">
        <f>IF(LEFT(_xll.BView($DO34,BL$19,"headers=false"),1)&lt;&gt;"#",_xll.BView($DO34,BL$19,"headers=false"),"-")</f>
        <v>-</v>
      </c>
      <c r="BM34" s="27" t="str">
        <f>IF(LEFT(_xll.BView($DO34,BM$19,"headers=false"),1)&lt;&gt;"#",_xll.BView($DO34,BM$19,"headers=false"),"-")</f>
        <v>-</v>
      </c>
      <c r="BN34" s="38" t="str">
        <f>IF(LEFT(_xll.BView($DO34,BN$19,"headers=false"),1)&lt;&gt;"#",_xll.BView($DO34,BN$19,"headers=false"),"-")</f>
        <v>-</v>
      </c>
      <c r="BO34" s="27" t="str">
        <f>IF(LEFT(_xll.BView($DO34,BO$19,"headers=false"),1)&lt;&gt;"#",_xll.BView($DO34,BO$19,"headers=false"),"-")</f>
        <v>-</v>
      </c>
      <c r="BP34" s="27" t="str">
        <f>IF(LEFT(_xll.BView($DO34,BP$19,"headers=false"),1)&lt;&gt;"#",_xll.BView($DO34,BP$19,"headers=false"),"-")</f>
        <v>-</v>
      </c>
      <c r="BQ34" s="27" t="str">
        <f>IF(LEFT(_xll.BView($DO34,BQ$19,"headers=false"),1)&lt;&gt;"#",_xll.BView($DO34,BQ$19,"headers=false"),"-")</f>
        <v>-</v>
      </c>
      <c r="BR34" s="22"/>
      <c r="BS34" s="27" t="str">
        <f>IF(LEFT(_xll.BView($DO34,BS$19,"headers=false"),1)&lt;&gt;"#",_xll.BView($DO34,BS$19,"headers=false"),"-")</f>
        <v>-</v>
      </c>
      <c r="BT34" s="27" t="str">
        <f>IF(LEFT(_xll.BView($DO34,BT$19,"headers=false"),1)&lt;&gt;"#",_xll.BView($DO34,BT$19,"headers=false"),"-")</f>
        <v>-</v>
      </c>
      <c r="BU34" s="27" t="str">
        <f>IF(LEFT(_xll.BView($DO34,BU$19,"headers=false"),1)&lt;&gt;"#",_xll.BView($DO34,BU$19,"headers=false"),"-")</f>
        <v>-</v>
      </c>
      <c r="BV34" s="27" t="str">
        <f>IF(LEFT(_xll.BView($DO34,BV$19,"headers=false"),1)&lt;&gt;"#",_xll.BView($DO34,BV$19,"headers=false"),"-")</f>
        <v>-</v>
      </c>
      <c r="BW34" s="27" t="str">
        <f>IF(LEFT(_xll.BView($DO34,BW$19,"headers=false"),1)&lt;&gt;"#",_xll.BView($DO34,BW$19,"headers=false"),"-")</f>
        <v>-</v>
      </c>
      <c r="BX34" s="27" t="str">
        <f>IF(LEFT(_xll.BView($DO34,BX$19,"headers=false"),1)&lt;&gt;"#",_xll.BView($DO34,BX$19,"headers=false"),"-")</f>
        <v>-</v>
      </c>
      <c r="BY34" s="27" t="str">
        <f>IF(LEFT(_xll.BView($DO34,BY$19,"headers=false"),1)&lt;&gt;"#",_xll.BView($DO34,BY$19,"headers=false"),"-")</f>
        <v>-</v>
      </c>
      <c r="BZ34" s="27" t="str">
        <f>IF(LEFT(_xll.BView($DO34,BZ$19,"headers=false"),1)&lt;&gt;"#",_xll.BView($DO34,BZ$19,"headers=false"),"-")</f>
        <v>-</v>
      </c>
      <c r="CA34" s="22"/>
      <c r="CB34" s="27" t="str">
        <f>IF(LEFT(_xll.BView($DO34,CB$19,"headers=false"),1)&lt;&gt;"#",_xll.BView($DO34,CB$19,"headers=false"),"-")</f>
        <v>-</v>
      </c>
      <c r="CC34" s="22"/>
      <c r="CD34" s="27" t="str">
        <f>IF(LEFT(_xll.BView($DO34,CD$19,"headers=false"),1)&lt;&gt;"#",_xll.BView($DO34,CD$19,"headers=false"),"-")</f>
        <v>-</v>
      </c>
      <c r="CE34" s="20"/>
      <c r="CF34" s="28" t="str">
        <f>IFERROR(INDEX(_xll.BMARKETPARAM($DO34,"array=true"),2,1),"")</f>
        <v/>
      </c>
      <c r="CG34" s="28" t="str">
        <f>IFERROR(INDEX(_xll.BMARKETPARAM($DO34,"array=true"),2,3),"")</f>
        <v/>
      </c>
      <c r="CH34" s="28" t="str">
        <f>IFERROR(INDEX(_xll.BMARKETPARAM($DO34,"array=true"),3,1),"")</f>
        <v/>
      </c>
      <c r="CI34" s="28" t="str">
        <f>IFERROR(INDEX(_xll.BMARKETPARAM($DO34,"array=true"),3,3),"")</f>
        <v/>
      </c>
      <c r="CJ34" s="28" t="str">
        <f>IFERROR(INDEX(_xll.BMARKETPARAM($DO34,"array=true"),4,1),"")</f>
        <v/>
      </c>
      <c r="CK34" s="28" t="str">
        <f>IFERROR(INDEX(_xll.BMARKETPARAM($DO34,"array=true"),4,3),"")</f>
        <v/>
      </c>
      <c r="CL34" s="20"/>
      <c r="CM34" s="40" t="s">
        <v>1</v>
      </c>
      <c r="CN34" s="40"/>
      <c r="CO34" s="91"/>
      <c r="CP34" s="28" t="str">
        <f t="shared" si="1"/>
        <v/>
      </c>
      <c r="CQ34" s="92"/>
      <c r="CR34" s="93" t="str">
        <f>IF(CQ34&lt;&gt;"",_xll.BCurveStrip(CQ34,"CurveDate",SwaptionMarketDate,"ApplyDC",$CN34,"ParallelShift",$CO34),"")</f>
        <v/>
      </c>
      <c r="CS34" s="93" t="str">
        <f t="shared" si="2"/>
        <v/>
      </c>
      <c r="CT34" s="40"/>
      <c r="CU34" s="93" t="str">
        <f>IF(CT34&lt;&gt;"",_xll.BCurveStrip(CT34,"CurveDate",SwaptionMarketDate,"ApplyDC",$CN34,"ParallelShift",$CO34),"")</f>
        <v/>
      </c>
      <c r="CV34" s="20"/>
      <c r="CW34" s="56" t="str">
        <f>IF(LEFT(_xll.BView($DP34,CW$19,"headers=false"),1)&lt;&gt;"#",_xll.BView($DP34,CW$19,"headers=false"),"-")</f>
        <v>-</v>
      </c>
      <c r="CX34" s="56" t="str">
        <f>IF(LEFT(_xll.BView($DP34,CX$19,"headers=false"),1)&lt;&gt;"#",_xll.BView($DP34,CX$19,"headers=false"),"-")</f>
        <v>-</v>
      </c>
      <c r="CY34" s="56" t="str">
        <f>IF(LEFT(_xll.BView($DP34,CY$19,"headers=false"),1)&lt;&gt;"#",_xll.BView($DP34,CY$19,"headers=false"),"-")</f>
        <v>-</v>
      </c>
      <c r="CZ34" s="56" t="str">
        <f>IF(LEFT(_xll.BView($DP34,CZ$19,"headers=false"),1)&lt;&gt;"#",_xll.BView($DP34,CZ$19,"headers=false"),"-")</f>
        <v>-</v>
      </c>
      <c r="DA34" s="56" t="str">
        <f>IF(LEFT(_xll.BView($DP34,DA$19,"headers=false"),1)&lt;&gt;"#",_xll.BView($DP34,DA$19,"headers=false"),"-")</f>
        <v>-</v>
      </c>
      <c r="DB34" s="56" t="str">
        <f>IF(LEFT(_xll.BView($DP34,DB$19,"headers=false"),1)&lt;&gt;"#",_xll.BView($DP34,DB$19,"headers=false"),"-")</f>
        <v>-</v>
      </c>
      <c r="DC34" s="56" t="str">
        <f>IF(LEFT(_xll.BView($DP34,DC$19,"headers=false"),1)&lt;&gt;"#",_xll.BView($DP34,DC$19,"headers=false"),"-")</f>
        <v>-</v>
      </c>
      <c r="DD34" s="56" t="str">
        <f>IF(LEFT(_xll.BView($DP34,DD$19,"headers=false"),1)&lt;&gt;"#",_xll.BView($DP34,DD$19,"headers=false"),"-")</f>
        <v>-</v>
      </c>
      <c r="DE34" s="56" t="str">
        <f>IF(LEFT(_xll.BView($DP34,DE$19,"headers=false"),1)&lt;&gt;"#",_xll.BView($DP34,DE$19,"headers=false"),"-")</f>
        <v>-</v>
      </c>
      <c r="DF34" s="56" t="str">
        <f>IF(LEFT(_xll.BView($DP34,DF$19,"headers=false"),1)&lt;&gt;"#",_xll.BView($DP34,DF$19,"headers=false"),"-")</f>
        <v>-</v>
      </c>
      <c r="DG34" s="56" t="str">
        <f>IF(LEFT(_xll.BView($DP34,DG$19,"headers=false"),1)&lt;&gt;"#",_xll.BView($DP34,DG$19,"headers=false"),"-")</f>
        <v>-</v>
      </c>
      <c r="DH34" s="56" t="str">
        <f>IF(LEFT(_xll.BView($DP34,DH$19,"headers=false"),1)&lt;&gt;"#",_xll.BView($DP34,DH$19,"headers=false"),"-")</f>
        <v>-</v>
      </c>
      <c r="DI34" s="56" t="str">
        <f>IF(LEFT(_xll.BView($DP34,DI$19,"headers=false"),1)&lt;&gt;"#",_xll.BView($DP34,DI$19,"headers=false"),"-")</f>
        <v>-</v>
      </c>
      <c r="DJ34" s="56" t="str">
        <f>IF(LEFT(_xll.BView($DP34,DJ$19,"headers=false"),1)&lt;&gt;"#",_xll.BView($DP34,DJ$19,"headers=false"),"-")</f>
        <v>-</v>
      </c>
      <c r="DK34" s="56" t="str">
        <f>IF(LEFT(_xll.BView($DP34,DK$19,"headers=false"),1)&lt;&gt;"#",_xll.BView($DP34,DK$19,"headers=false"),"-")</f>
        <v>-</v>
      </c>
      <c r="DL34" s="56" t="str">
        <f>IF(LEFT(_xll.BView($DP34,DL$19,"headers=false"),1)&lt;&gt;"#",_xll.BView($DP34,DL$19,"headers=false"),"-")</f>
        <v>-</v>
      </c>
      <c r="DN34" s="75" t="str">
        <f>IF(Y34&lt;&gt;"",IF(ISERROR(RIGHT(Y34,1)*1)," "&amp;Y34&amp;"x"&amp;IF(AA34&lt;&gt;"",AA34,Y34)," E"&amp;usdate(Y34)&amp;" "&amp;IF(AA34&lt;&gt;"",usdate(AA34),usdate(Y34+3653))),IF(AA34&lt;&gt;"",IF(ISERROR(RIGHT(AA34,1)*1)," "&amp;AA34," "&amp;usdate(AA34)),""))</f>
        <v/>
      </c>
      <c r="DO34" s="75" t="str">
        <f>IF(OR(H34&lt;&gt;"",N34&lt;&gt;""),_xll.BSTRUCTURE(IF(H34&lt;&gt;"",H34,O34&amp;DN34),$Q$19:$W$19,Q34:W34,$AB$19:$AC$19,AB34:AC34,$AH$19:$AK$19,AH34:AK34,$AM$19:$AQ$19,AM34:AQ34,$AS$19,AS34,$AU$19,AU34,$Z$19,Z34,$Y$19,IF(ISERROR(RIGHT(Y34,1)*1),"",Y34),$AA$19,IF(ISERROR(RIGHT(AA34,1)*1),"",AA34),"ignoreinvalidparams=true"),"Enter deal type or saved ID.")</f>
        <v>Enter deal type or saved ID.</v>
      </c>
      <c r="DP34" s="75" t="str">
        <f>IF(LEFT(DO34,1)="E","",IF(CM34="No",_xll.BPRICE(DO34,"MarketDate",SwaptionMarketDate,"ValuationDate",SwaptionValuationDate,$AE$19:$AF$19,AE34:AF34,"alwaysrefresh"),_xll.BPRICE(DO34,"MarketDate",SwaptionMarketDate,"ValuationDate",SwaptionValuationDate,CP34,CR34,CS34,CU34,$AE$19:$AF$19,AE34:AF34,"alwaysrefresh")))</f>
        <v/>
      </c>
      <c r="DU34" s="25"/>
      <c r="DX34" s="25"/>
    </row>
    <row r="35" spans="2:128" x14ac:dyDescent="0.25">
      <c r="B35" s="27" t="str">
        <f>IF(OR(H35&lt;&gt;"",N35&lt;&gt;""),IF(OR(DO35="#N/A Requesting Data...",DO35="#N/A Waiting For Data...",DP35="#N/A Requesting Data...",DP35="#N/A Waiting For Data..."),"Loading ….",IF(OR(LEFT(DO35,1)="#",LEFT(DP35,1)="#"),"Check Inputs",_xll.BView(DP35,B$19,"headers=false"))),"Select Deal Type")</f>
        <v>Select Deal Type</v>
      </c>
      <c r="C35" s="57" t="str">
        <f>IFERROR(1*_xll.BView($DP35,C$19,"headers=false"),"-")</f>
        <v>-</v>
      </c>
      <c r="D35" s="57" t="str">
        <f>IFERROR(1*_xll.BView($DP35,D$19,"headers=false"),"-")</f>
        <v>-</v>
      </c>
      <c r="E35" s="56" t="str">
        <f>IFERROR(1*_xll.BView($DP35,E$19,"headers=false"),"-")</f>
        <v>-</v>
      </c>
      <c r="F35" s="56" t="str">
        <f>IFERROR(1*_xll.BView($DP35,F$19,"headers=false"),"-")</f>
        <v>-</v>
      </c>
      <c r="H35" s="40"/>
      <c r="I35" s="40" t="s">
        <v>1</v>
      </c>
      <c r="J35" s="20"/>
      <c r="K35" s="96" t="str">
        <f t="shared" si="3"/>
        <v/>
      </c>
      <c r="L35" s="40"/>
      <c r="M35" s="20"/>
      <c r="N35" s="58"/>
      <c r="O35" s="52" t="e">
        <f t="shared" si="0"/>
        <v>#N/A</v>
      </c>
      <c r="P35" s="20"/>
      <c r="Q35" s="40"/>
      <c r="R35" s="106"/>
      <c r="S35" s="106"/>
      <c r="T35" s="106"/>
      <c r="U35" s="106"/>
      <c r="V35" s="106"/>
      <c r="W35" s="106"/>
      <c r="X35" s="78"/>
      <c r="Y35" s="36"/>
      <c r="Z35" s="81"/>
      <c r="AA35" s="36"/>
      <c r="AB35" s="40"/>
      <c r="AC35" s="106"/>
      <c r="AD35" s="78"/>
      <c r="AE35" s="40"/>
      <c r="AF35" s="77"/>
      <c r="AG35" s="20"/>
      <c r="AH35" s="40"/>
      <c r="AI35" s="40"/>
      <c r="AJ35" s="40"/>
      <c r="AK35" s="40"/>
      <c r="AL35" s="20"/>
      <c r="AM35" s="40"/>
      <c r="AN35" s="40"/>
      <c r="AO35" s="40"/>
      <c r="AP35" s="40"/>
      <c r="AQ35" s="40"/>
      <c r="AR35" s="20"/>
      <c r="AS35" s="40"/>
      <c r="AT35" s="20"/>
      <c r="AU35" s="40"/>
      <c r="AV35" s="20"/>
      <c r="AW35" s="48" t="str">
        <f>IF(LEFT(_xll.BView($DO35,AW$19,"headers=false"),1)&lt;&gt;"#",_xll.BView($DO35,AW$19,"headers=false"),"-")</f>
        <v>-</v>
      </c>
      <c r="AX35" s="48" t="str">
        <f>IF(LEFT(_xll.BView($DO35,AX$19,"headers=false"),1)&lt;&gt;"#",_xll.BView($DO35,AX$19,"headers=false"),"-")</f>
        <v>-</v>
      </c>
      <c r="AY35" s="56" t="str">
        <f>IF(LEFT(_xll.BView($DO35,AY$19,"headers=false"),1)&lt;&gt;"#",_xll.BView($DO35,AY$19,"headers=false"),"-")</f>
        <v>-</v>
      </c>
      <c r="AZ35" s="49" t="str">
        <f>IF(LEFT(_xll.BView($DO35,AZ$19,"headers=false"),1)&lt;&gt;"#",_xll.BView($DO35,AZ$19,"headers=false"),"-")</f>
        <v>-</v>
      </c>
      <c r="BA35" s="48" t="str">
        <f>IF(LEFT(_xll.BView($DO35,BA$19,"headers=false"),1)&lt;&gt;"#",_xll.BView($DO35,BA$19,"headers=false"),"-")</f>
        <v>-</v>
      </c>
      <c r="BB35" s="48" t="str">
        <f>IF(LEFT(_xll.BView($DO35,BB$19,"headers=false"),1)&lt;&gt;"#",_xll.BView($DO35,BB$19,"headers=false"),"-")</f>
        <v>-</v>
      </c>
      <c r="BC35" s="48" t="str">
        <f>IF(LEFT(_xll.BView($DO35,BC$19,"headers=false"),1)&lt;&gt;"#",_xll.BView($DO35,BC$19,"headers=false"),"-")</f>
        <v>-</v>
      </c>
      <c r="BD35" s="20"/>
      <c r="BE35" s="37" t="str">
        <f>IF(LEFT(_xll.BView($DO35,BE$19,"headers=false"),1)&lt;&gt;"#",_xll.BView($DO35,BE$19,"headers=false"),"-")</f>
        <v>-</v>
      </c>
      <c r="BF35" s="37" t="str">
        <f>IF(LEFT(_xll.BView($DO35,BF$19,"headers=false"),1)&lt;&gt;"#",_xll.BView($DO35,BF$19,"headers=false"),"-")</f>
        <v>-</v>
      </c>
      <c r="BG35" s="37" t="str">
        <f>IF(LEFT(_xll.BView($DO35,BG$19,"headers=false"),1)&lt;&gt;"#",_xll.BView($DO35,BG$19,"headers=false"),"-")</f>
        <v>-</v>
      </c>
      <c r="BH35" s="37" t="str">
        <f>IF(LEFT(_xll.BView($DO35,BH$19,"headers=false"),1)&lt;&gt;"#",_xll.BView($DO35,BH$19,"headers=false"),"-")</f>
        <v>-</v>
      </c>
      <c r="BI35" s="27" t="str">
        <f>IF(LEFT(_xll.BView($DO35,BI$19,"headers=false"),1)&lt;&gt;"#",_xll.BView($DO35,BI$19,"headers=false"),"-")</f>
        <v>-</v>
      </c>
      <c r="BJ35" s="21"/>
      <c r="BK35" s="27" t="str">
        <f>IF(LEFT(_xll.BView($DO35,BK$19,"headers=false"),1)&lt;&gt;"#",_xll.BView($DO35,BK$19,"headers=false"),"-")</f>
        <v>-</v>
      </c>
      <c r="BL35" s="27" t="str">
        <f>IF(LEFT(_xll.BView($DO35,BL$19,"headers=false"),1)&lt;&gt;"#",_xll.BView($DO35,BL$19,"headers=false"),"-")</f>
        <v>-</v>
      </c>
      <c r="BM35" s="27" t="str">
        <f>IF(LEFT(_xll.BView($DO35,BM$19,"headers=false"),1)&lt;&gt;"#",_xll.BView($DO35,BM$19,"headers=false"),"-")</f>
        <v>-</v>
      </c>
      <c r="BN35" s="38" t="str">
        <f>IF(LEFT(_xll.BView($DO35,BN$19,"headers=false"),1)&lt;&gt;"#",_xll.BView($DO35,BN$19,"headers=false"),"-")</f>
        <v>-</v>
      </c>
      <c r="BO35" s="27" t="str">
        <f>IF(LEFT(_xll.BView($DO35,BO$19,"headers=false"),1)&lt;&gt;"#",_xll.BView($DO35,BO$19,"headers=false"),"-")</f>
        <v>-</v>
      </c>
      <c r="BP35" s="27" t="str">
        <f>IF(LEFT(_xll.BView($DO35,BP$19,"headers=false"),1)&lt;&gt;"#",_xll.BView($DO35,BP$19,"headers=false"),"-")</f>
        <v>-</v>
      </c>
      <c r="BQ35" s="27" t="str">
        <f>IF(LEFT(_xll.BView($DO35,BQ$19,"headers=false"),1)&lt;&gt;"#",_xll.BView($DO35,BQ$19,"headers=false"),"-")</f>
        <v>-</v>
      </c>
      <c r="BR35" s="22"/>
      <c r="BS35" s="27" t="str">
        <f>IF(LEFT(_xll.BView($DO35,BS$19,"headers=false"),1)&lt;&gt;"#",_xll.BView($DO35,BS$19,"headers=false"),"-")</f>
        <v>-</v>
      </c>
      <c r="BT35" s="27" t="str">
        <f>IF(LEFT(_xll.BView($DO35,BT$19,"headers=false"),1)&lt;&gt;"#",_xll.BView($DO35,BT$19,"headers=false"),"-")</f>
        <v>-</v>
      </c>
      <c r="BU35" s="27" t="str">
        <f>IF(LEFT(_xll.BView($DO35,BU$19,"headers=false"),1)&lt;&gt;"#",_xll.BView($DO35,BU$19,"headers=false"),"-")</f>
        <v>-</v>
      </c>
      <c r="BV35" s="27" t="str">
        <f>IF(LEFT(_xll.BView($DO35,BV$19,"headers=false"),1)&lt;&gt;"#",_xll.BView($DO35,BV$19,"headers=false"),"-")</f>
        <v>-</v>
      </c>
      <c r="BW35" s="27" t="str">
        <f>IF(LEFT(_xll.BView($DO35,BW$19,"headers=false"),1)&lt;&gt;"#",_xll.BView($DO35,BW$19,"headers=false"),"-")</f>
        <v>-</v>
      </c>
      <c r="BX35" s="27" t="str">
        <f>IF(LEFT(_xll.BView($DO35,BX$19,"headers=false"),1)&lt;&gt;"#",_xll.BView($DO35,BX$19,"headers=false"),"-")</f>
        <v>-</v>
      </c>
      <c r="BY35" s="27" t="str">
        <f>IF(LEFT(_xll.BView($DO35,BY$19,"headers=false"),1)&lt;&gt;"#",_xll.BView($DO35,BY$19,"headers=false"),"-")</f>
        <v>-</v>
      </c>
      <c r="BZ35" s="27" t="str">
        <f>IF(LEFT(_xll.BView($DO35,BZ$19,"headers=false"),1)&lt;&gt;"#",_xll.BView($DO35,BZ$19,"headers=false"),"-")</f>
        <v>-</v>
      </c>
      <c r="CA35" s="22"/>
      <c r="CB35" s="27" t="str">
        <f>IF(LEFT(_xll.BView($DO35,CB$19,"headers=false"),1)&lt;&gt;"#",_xll.BView($DO35,CB$19,"headers=false"),"-")</f>
        <v>-</v>
      </c>
      <c r="CC35" s="22"/>
      <c r="CD35" s="27" t="str">
        <f>IF(LEFT(_xll.BView($DO35,CD$19,"headers=false"),1)&lt;&gt;"#",_xll.BView($DO35,CD$19,"headers=false"),"-")</f>
        <v>-</v>
      </c>
      <c r="CE35" s="20"/>
      <c r="CF35" s="28" t="str">
        <f>IFERROR(INDEX(_xll.BMARKETPARAM($DO35,"array=true"),2,1),"")</f>
        <v/>
      </c>
      <c r="CG35" s="28" t="str">
        <f>IFERROR(INDEX(_xll.BMARKETPARAM($DO35,"array=true"),2,3),"")</f>
        <v/>
      </c>
      <c r="CH35" s="28" t="str">
        <f>IFERROR(INDEX(_xll.BMARKETPARAM($DO35,"array=true"),3,1),"")</f>
        <v/>
      </c>
      <c r="CI35" s="28" t="str">
        <f>IFERROR(INDEX(_xll.BMARKETPARAM($DO35,"array=true"),3,3),"")</f>
        <v/>
      </c>
      <c r="CJ35" s="28" t="str">
        <f>IFERROR(INDEX(_xll.BMARKETPARAM($DO35,"array=true"),4,1),"")</f>
        <v/>
      </c>
      <c r="CK35" s="28" t="str">
        <f>IFERROR(INDEX(_xll.BMARKETPARAM($DO35,"array=true"),4,3),"")</f>
        <v/>
      </c>
      <c r="CL35" s="20"/>
      <c r="CM35" s="40" t="s">
        <v>1</v>
      </c>
      <c r="CN35" s="40"/>
      <c r="CO35" s="91"/>
      <c r="CP35" s="28" t="str">
        <f t="shared" si="1"/>
        <v/>
      </c>
      <c r="CQ35" s="92"/>
      <c r="CR35" s="93" t="str">
        <f>IF(CQ35&lt;&gt;"",_xll.BCurveStrip(CQ35,"CurveDate",SwaptionMarketDate,"ApplyDC",$CN35,"ParallelShift",$CO35),"")</f>
        <v/>
      </c>
      <c r="CS35" s="93" t="str">
        <f t="shared" si="2"/>
        <v/>
      </c>
      <c r="CT35" s="40"/>
      <c r="CU35" s="93" t="str">
        <f>IF(CT35&lt;&gt;"",_xll.BCurveStrip(CT35,"CurveDate",SwaptionMarketDate,"ApplyDC",$CN35,"ParallelShift",$CO35),"")</f>
        <v/>
      </c>
      <c r="CV35" s="20"/>
      <c r="CW35" s="56" t="str">
        <f>IF(LEFT(_xll.BView($DP35,CW$19,"headers=false"),1)&lt;&gt;"#",_xll.BView($DP35,CW$19,"headers=false"),"-")</f>
        <v>-</v>
      </c>
      <c r="CX35" s="56" t="str">
        <f>IF(LEFT(_xll.BView($DP35,CX$19,"headers=false"),1)&lt;&gt;"#",_xll.BView($DP35,CX$19,"headers=false"),"-")</f>
        <v>-</v>
      </c>
      <c r="CY35" s="56" t="str">
        <f>IF(LEFT(_xll.BView($DP35,CY$19,"headers=false"),1)&lt;&gt;"#",_xll.BView($DP35,CY$19,"headers=false"),"-")</f>
        <v>-</v>
      </c>
      <c r="CZ35" s="56" t="str">
        <f>IF(LEFT(_xll.BView($DP35,CZ$19,"headers=false"),1)&lt;&gt;"#",_xll.BView($DP35,CZ$19,"headers=false"),"-")</f>
        <v>-</v>
      </c>
      <c r="DA35" s="56" t="str">
        <f>IF(LEFT(_xll.BView($DP35,DA$19,"headers=false"),1)&lt;&gt;"#",_xll.BView($DP35,DA$19,"headers=false"),"-")</f>
        <v>-</v>
      </c>
      <c r="DB35" s="56" t="str">
        <f>IF(LEFT(_xll.BView($DP35,DB$19,"headers=false"),1)&lt;&gt;"#",_xll.BView($DP35,DB$19,"headers=false"),"-")</f>
        <v>-</v>
      </c>
      <c r="DC35" s="56" t="str">
        <f>IF(LEFT(_xll.BView($DP35,DC$19,"headers=false"),1)&lt;&gt;"#",_xll.BView($DP35,DC$19,"headers=false"),"-")</f>
        <v>-</v>
      </c>
      <c r="DD35" s="56" t="str">
        <f>IF(LEFT(_xll.BView($DP35,DD$19,"headers=false"),1)&lt;&gt;"#",_xll.BView($DP35,DD$19,"headers=false"),"-")</f>
        <v>-</v>
      </c>
      <c r="DE35" s="56" t="str">
        <f>IF(LEFT(_xll.BView($DP35,DE$19,"headers=false"),1)&lt;&gt;"#",_xll.BView($DP35,DE$19,"headers=false"),"-")</f>
        <v>-</v>
      </c>
      <c r="DF35" s="56" t="str">
        <f>IF(LEFT(_xll.BView($DP35,DF$19,"headers=false"),1)&lt;&gt;"#",_xll.BView($DP35,DF$19,"headers=false"),"-")</f>
        <v>-</v>
      </c>
      <c r="DG35" s="56" t="str">
        <f>IF(LEFT(_xll.BView($DP35,DG$19,"headers=false"),1)&lt;&gt;"#",_xll.BView($DP35,DG$19,"headers=false"),"-")</f>
        <v>-</v>
      </c>
      <c r="DH35" s="56" t="str">
        <f>IF(LEFT(_xll.BView($DP35,DH$19,"headers=false"),1)&lt;&gt;"#",_xll.BView($DP35,DH$19,"headers=false"),"-")</f>
        <v>-</v>
      </c>
      <c r="DI35" s="56" t="str">
        <f>IF(LEFT(_xll.BView($DP35,DI$19,"headers=false"),1)&lt;&gt;"#",_xll.BView($DP35,DI$19,"headers=false"),"-")</f>
        <v>-</v>
      </c>
      <c r="DJ35" s="56" t="str">
        <f>IF(LEFT(_xll.BView($DP35,DJ$19,"headers=false"),1)&lt;&gt;"#",_xll.BView($DP35,DJ$19,"headers=false"),"-")</f>
        <v>-</v>
      </c>
      <c r="DK35" s="56" t="str">
        <f>IF(LEFT(_xll.BView($DP35,DK$19,"headers=false"),1)&lt;&gt;"#",_xll.BView($DP35,DK$19,"headers=false"),"-")</f>
        <v>-</v>
      </c>
      <c r="DL35" s="56" t="str">
        <f>IF(LEFT(_xll.BView($DP35,DL$19,"headers=false"),1)&lt;&gt;"#",_xll.BView($DP35,DL$19,"headers=false"),"-")</f>
        <v>-</v>
      </c>
      <c r="DN35" s="75" t="str">
        <f>IF(Y35&lt;&gt;"",IF(ISERROR(RIGHT(Y35,1)*1)," "&amp;Y35&amp;"x"&amp;IF(AA35&lt;&gt;"",AA35,Y35)," E"&amp;usdate(Y35)&amp;" "&amp;IF(AA35&lt;&gt;"",usdate(AA35),usdate(Y35+3653))),IF(AA35&lt;&gt;"",IF(ISERROR(RIGHT(AA35,1)*1)," "&amp;AA35," "&amp;usdate(AA35)),""))</f>
        <v/>
      </c>
      <c r="DO35" s="75" t="str">
        <f>IF(OR(H35&lt;&gt;"",N35&lt;&gt;""),_xll.BSTRUCTURE(IF(H35&lt;&gt;"",H35,O35&amp;DN35),$Q$19:$W$19,Q35:W35,$AB$19:$AC$19,AB35:AC35,$AH$19:$AK$19,AH35:AK35,$AM$19:$AQ$19,AM35:AQ35,$AS$19,AS35,$AU$19,AU35,$Z$19,Z35,$Y$19,IF(ISERROR(RIGHT(Y35,1)*1),"",Y35),$AA$19,IF(ISERROR(RIGHT(AA35,1)*1),"",AA35),"ignoreinvalidparams=true"),"Enter deal type or saved ID.")</f>
        <v>Enter deal type or saved ID.</v>
      </c>
      <c r="DP35" s="75" t="str">
        <f>IF(LEFT(DO35,1)="E","",IF(CM35="No",_xll.BPRICE(DO35,"MarketDate",SwaptionMarketDate,"ValuationDate",SwaptionValuationDate,$AE$19:$AF$19,AE35:AF35,"alwaysrefresh"),_xll.BPRICE(DO35,"MarketDate",SwaptionMarketDate,"ValuationDate",SwaptionValuationDate,CP35,CR35,CS35,CU35,$AE$19:$AF$19,AE35:AF35,"alwaysrefresh")))</f>
        <v/>
      </c>
      <c r="DU35" s="25"/>
      <c r="DX35" s="25"/>
    </row>
    <row r="36" spans="2:128" x14ac:dyDescent="0.25">
      <c r="B36" s="27" t="str">
        <f>IF(OR(H36&lt;&gt;"",N36&lt;&gt;""),IF(OR(DO36="#N/A Requesting Data...",DO36="#N/A Waiting For Data...",DP36="#N/A Requesting Data...",DP36="#N/A Waiting For Data..."),"Loading ….",IF(OR(LEFT(DO36,1)="#",LEFT(DP36,1)="#"),"Check Inputs",_xll.BView(DP36,B$19,"headers=false"))),"Select Deal Type")</f>
        <v>Select Deal Type</v>
      </c>
      <c r="C36" s="57" t="str">
        <f>IFERROR(1*_xll.BView($DP36,C$19,"headers=false"),"-")</f>
        <v>-</v>
      </c>
      <c r="D36" s="57" t="str">
        <f>IFERROR(1*_xll.BView($DP36,D$19,"headers=false"),"-")</f>
        <v>-</v>
      </c>
      <c r="E36" s="56" t="str">
        <f>IFERROR(1*_xll.BView($DP36,E$19,"headers=false"),"-")</f>
        <v>-</v>
      </c>
      <c r="F36" s="56" t="str">
        <f>IFERROR(1*_xll.BView($DP36,F$19,"headers=false"),"-")</f>
        <v>-</v>
      </c>
      <c r="H36" s="40"/>
      <c r="I36" s="40" t="s">
        <v>1</v>
      </c>
      <c r="J36" s="20"/>
      <c r="K36" s="96" t="str">
        <f t="shared" si="3"/>
        <v/>
      </c>
      <c r="L36" s="40"/>
      <c r="M36" s="20"/>
      <c r="N36" s="58"/>
      <c r="O36" s="52" t="e">
        <f t="shared" si="0"/>
        <v>#N/A</v>
      </c>
      <c r="P36" s="20"/>
      <c r="Q36" s="40"/>
      <c r="R36" s="106"/>
      <c r="S36" s="106"/>
      <c r="T36" s="106"/>
      <c r="U36" s="106"/>
      <c r="V36" s="106"/>
      <c r="W36" s="106"/>
      <c r="X36" s="78"/>
      <c r="Y36" s="36"/>
      <c r="Z36" s="81"/>
      <c r="AA36" s="36"/>
      <c r="AB36" s="40"/>
      <c r="AC36" s="106"/>
      <c r="AD36" s="78"/>
      <c r="AE36" s="40"/>
      <c r="AF36" s="77"/>
      <c r="AG36" s="20"/>
      <c r="AH36" s="40"/>
      <c r="AI36" s="40"/>
      <c r="AJ36" s="40"/>
      <c r="AK36" s="40"/>
      <c r="AL36" s="20"/>
      <c r="AM36" s="40"/>
      <c r="AN36" s="40"/>
      <c r="AO36" s="40"/>
      <c r="AP36" s="40"/>
      <c r="AQ36" s="40"/>
      <c r="AR36" s="20"/>
      <c r="AS36" s="40"/>
      <c r="AT36" s="20"/>
      <c r="AU36" s="40"/>
      <c r="AV36" s="20"/>
      <c r="AW36" s="48" t="str">
        <f>IF(LEFT(_xll.BView($DO36,AW$19,"headers=false"),1)&lt;&gt;"#",_xll.BView($DO36,AW$19,"headers=false"),"-")</f>
        <v>-</v>
      </c>
      <c r="AX36" s="48" t="str">
        <f>IF(LEFT(_xll.BView($DO36,AX$19,"headers=false"),1)&lt;&gt;"#",_xll.BView($DO36,AX$19,"headers=false"),"-")</f>
        <v>-</v>
      </c>
      <c r="AY36" s="56" t="str">
        <f>IF(LEFT(_xll.BView($DO36,AY$19,"headers=false"),1)&lt;&gt;"#",_xll.BView($DO36,AY$19,"headers=false"),"-")</f>
        <v>-</v>
      </c>
      <c r="AZ36" s="49" t="str">
        <f>IF(LEFT(_xll.BView($DO36,AZ$19,"headers=false"),1)&lt;&gt;"#",_xll.BView($DO36,AZ$19,"headers=false"),"-")</f>
        <v>-</v>
      </c>
      <c r="BA36" s="48" t="str">
        <f>IF(LEFT(_xll.BView($DO36,BA$19,"headers=false"),1)&lt;&gt;"#",_xll.BView($DO36,BA$19,"headers=false"),"-")</f>
        <v>-</v>
      </c>
      <c r="BB36" s="48" t="str">
        <f>IF(LEFT(_xll.BView($DO36,BB$19,"headers=false"),1)&lt;&gt;"#",_xll.BView($DO36,BB$19,"headers=false"),"-")</f>
        <v>-</v>
      </c>
      <c r="BC36" s="48" t="str">
        <f>IF(LEFT(_xll.BView($DO36,BC$19,"headers=false"),1)&lt;&gt;"#",_xll.BView($DO36,BC$19,"headers=false"),"-")</f>
        <v>-</v>
      </c>
      <c r="BD36" s="20"/>
      <c r="BE36" s="37" t="str">
        <f>IF(LEFT(_xll.BView($DO36,BE$19,"headers=false"),1)&lt;&gt;"#",_xll.BView($DO36,BE$19,"headers=false"),"-")</f>
        <v>-</v>
      </c>
      <c r="BF36" s="37" t="str">
        <f>IF(LEFT(_xll.BView($DO36,BF$19,"headers=false"),1)&lt;&gt;"#",_xll.BView($DO36,BF$19,"headers=false"),"-")</f>
        <v>-</v>
      </c>
      <c r="BG36" s="37" t="str">
        <f>IF(LEFT(_xll.BView($DO36,BG$19,"headers=false"),1)&lt;&gt;"#",_xll.BView($DO36,BG$19,"headers=false"),"-")</f>
        <v>-</v>
      </c>
      <c r="BH36" s="37" t="str">
        <f>IF(LEFT(_xll.BView($DO36,BH$19,"headers=false"),1)&lt;&gt;"#",_xll.BView($DO36,BH$19,"headers=false"),"-")</f>
        <v>-</v>
      </c>
      <c r="BI36" s="27" t="str">
        <f>IF(LEFT(_xll.BView($DO36,BI$19,"headers=false"),1)&lt;&gt;"#",_xll.BView($DO36,BI$19,"headers=false"),"-")</f>
        <v>-</v>
      </c>
      <c r="BJ36" s="21"/>
      <c r="BK36" s="27" t="str">
        <f>IF(LEFT(_xll.BView($DO36,BK$19,"headers=false"),1)&lt;&gt;"#",_xll.BView($DO36,BK$19,"headers=false"),"-")</f>
        <v>-</v>
      </c>
      <c r="BL36" s="27" t="str">
        <f>IF(LEFT(_xll.BView($DO36,BL$19,"headers=false"),1)&lt;&gt;"#",_xll.BView($DO36,BL$19,"headers=false"),"-")</f>
        <v>-</v>
      </c>
      <c r="BM36" s="27" t="str">
        <f>IF(LEFT(_xll.BView($DO36,BM$19,"headers=false"),1)&lt;&gt;"#",_xll.BView($DO36,BM$19,"headers=false"),"-")</f>
        <v>-</v>
      </c>
      <c r="BN36" s="38" t="str">
        <f>IF(LEFT(_xll.BView($DO36,BN$19,"headers=false"),1)&lt;&gt;"#",_xll.BView($DO36,BN$19,"headers=false"),"-")</f>
        <v>-</v>
      </c>
      <c r="BO36" s="27" t="str">
        <f>IF(LEFT(_xll.BView($DO36,BO$19,"headers=false"),1)&lt;&gt;"#",_xll.BView($DO36,BO$19,"headers=false"),"-")</f>
        <v>-</v>
      </c>
      <c r="BP36" s="27" t="str">
        <f>IF(LEFT(_xll.BView($DO36,BP$19,"headers=false"),1)&lt;&gt;"#",_xll.BView($DO36,BP$19,"headers=false"),"-")</f>
        <v>-</v>
      </c>
      <c r="BQ36" s="27" t="str">
        <f>IF(LEFT(_xll.BView($DO36,BQ$19,"headers=false"),1)&lt;&gt;"#",_xll.BView($DO36,BQ$19,"headers=false"),"-")</f>
        <v>-</v>
      </c>
      <c r="BR36" s="22"/>
      <c r="BS36" s="27" t="str">
        <f>IF(LEFT(_xll.BView($DO36,BS$19,"headers=false"),1)&lt;&gt;"#",_xll.BView($DO36,BS$19,"headers=false"),"-")</f>
        <v>-</v>
      </c>
      <c r="BT36" s="27" t="str">
        <f>IF(LEFT(_xll.BView($DO36,BT$19,"headers=false"),1)&lt;&gt;"#",_xll.BView($DO36,BT$19,"headers=false"),"-")</f>
        <v>-</v>
      </c>
      <c r="BU36" s="27" t="str">
        <f>IF(LEFT(_xll.BView($DO36,BU$19,"headers=false"),1)&lt;&gt;"#",_xll.BView($DO36,BU$19,"headers=false"),"-")</f>
        <v>-</v>
      </c>
      <c r="BV36" s="27" t="str">
        <f>IF(LEFT(_xll.BView($DO36,BV$19,"headers=false"),1)&lt;&gt;"#",_xll.BView($DO36,BV$19,"headers=false"),"-")</f>
        <v>-</v>
      </c>
      <c r="BW36" s="27" t="str">
        <f>IF(LEFT(_xll.BView($DO36,BW$19,"headers=false"),1)&lt;&gt;"#",_xll.BView($DO36,BW$19,"headers=false"),"-")</f>
        <v>-</v>
      </c>
      <c r="BX36" s="27" t="str">
        <f>IF(LEFT(_xll.BView($DO36,BX$19,"headers=false"),1)&lt;&gt;"#",_xll.BView($DO36,BX$19,"headers=false"),"-")</f>
        <v>-</v>
      </c>
      <c r="BY36" s="27" t="str">
        <f>IF(LEFT(_xll.BView($DO36,BY$19,"headers=false"),1)&lt;&gt;"#",_xll.BView($DO36,BY$19,"headers=false"),"-")</f>
        <v>-</v>
      </c>
      <c r="BZ36" s="27" t="str">
        <f>IF(LEFT(_xll.BView($DO36,BZ$19,"headers=false"),1)&lt;&gt;"#",_xll.BView($DO36,BZ$19,"headers=false"),"-")</f>
        <v>-</v>
      </c>
      <c r="CA36" s="22"/>
      <c r="CB36" s="27" t="str">
        <f>IF(LEFT(_xll.BView($DO36,CB$19,"headers=false"),1)&lt;&gt;"#",_xll.BView($DO36,CB$19,"headers=false"),"-")</f>
        <v>-</v>
      </c>
      <c r="CC36" s="22"/>
      <c r="CD36" s="27" t="str">
        <f>IF(LEFT(_xll.BView($DO36,CD$19,"headers=false"),1)&lt;&gt;"#",_xll.BView($DO36,CD$19,"headers=false"),"-")</f>
        <v>-</v>
      </c>
      <c r="CE36" s="20"/>
      <c r="CF36" s="28" t="str">
        <f>IFERROR(INDEX(_xll.BMARKETPARAM($DO36,"array=true"),2,1),"")</f>
        <v/>
      </c>
      <c r="CG36" s="28" t="str">
        <f>IFERROR(INDEX(_xll.BMARKETPARAM($DO36,"array=true"),2,3),"")</f>
        <v/>
      </c>
      <c r="CH36" s="28" t="str">
        <f>IFERROR(INDEX(_xll.BMARKETPARAM($DO36,"array=true"),3,1),"")</f>
        <v/>
      </c>
      <c r="CI36" s="28" t="str">
        <f>IFERROR(INDEX(_xll.BMARKETPARAM($DO36,"array=true"),3,3),"")</f>
        <v/>
      </c>
      <c r="CJ36" s="28" t="str">
        <f>IFERROR(INDEX(_xll.BMARKETPARAM($DO36,"array=true"),4,1),"")</f>
        <v/>
      </c>
      <c r="CK36" s="28" t="str">
        <f>IFERROR(INDEX(_xll.BMARKETPARAM($DO36,"array=true"),4,3),"")</f>
        <v/>
      </c>
      <c r="CL36" s="20"/>
      <c r="CM36" s="40" t="s">
        <v>1</v>
      </c>
      <c r="CN36" s="40"/>
      <c r="CO36" s="91"/>
      <c r="CP36" s="28" t="str">
        <f t="shared" si="1"/>
        <v/>
      </c>
      <c r="CQ36" s="92"/>
      <c r="CR36" s="93" t="str">
        <f>IF(CQ36&lt;&gt;"",_xll.BCurveStrip(CQ36,"CurveDate",SwaptionMarketDate,"ApplyDC",$CN36,"ParallelShift",$CO36),"")</f>
        <v/>
      </c>
      <c r="CS36" s="93" t="str">
        <f t="shared" si="2"/>
        <v/>
      </c>
      <c r="CT36" s="40"/>
      <c r="CU36" s="93" t="str">
        <f>IF(CT36&lt;&gt;"",_xll.BCurveStrip(CT36,"CurveDate",SwaptionMarketDate,"ApplyDC",$CN36,"ParallelShift",$CO36),"")</f>
        <v/>
      </c>
      <c r="CV36" s="20"/>
      <c r="CW36" s="56" t="str">
        <f>IF(LEFT(_xll.BView($DP36,CW$19,"headers=false"),1)&lt;&gt;"#",_xll.BView($DP36,CW$19,"headers=false"),"-")</f>
        <v>-</v>
      </c>
      <c r="CX36" s="56" t="str">
        <f>IF(LEFT(_xll.BView($DP36,CX$19,"headers=false"),1)&lt;&gt;"#",_xll.BView($DP36,CX$19,"headers=false"),"-")</f>
        <v>-</v>
      </c>
      <c r="CY36" s="56" t="str">
        <f>IF(LEFT(_xll.BView($DP36,CY$19,"headers=false"),1)&lt;&gt;"#",_xll.BView($DP36,CY$19,"headers=false"),"-")</f>
        <v>-</v>
      </c>
      <c r="CZ36" s="56" t="str">
        <f>IF(LEFT(_xll.BView($DP36,CZ$19,"headers=false"),1)&lt;&gt;"#",_xll.BView($DP36,CZ$19,"headers=false"),"-")</f>
        <v>-</v>
      </c>
      <c r="DA36" s="56" t="str">
        <f>IF(LEFT(_xll.BView($DP36,DA$19,"headers=false"),1)&lt;&gt;"#",_xll.BView($DP36,DA$19,"headers=false"),"-")</f>
        <v>-</v>
      </c>
      <c r="DB36" s="56" t="str">
        <f>IF(LEFT(_xll.BView($DP36,DB$19,"headers=false"),1)&lt;&gt;"#",_xll.BView($DP36,DB$19,"headers=false"),"-")</f>
        <v>-</v>
      </c>
      <c r="DC36" s="56" t="str">
        <f>IF(LEFT(_xll.BView($DP36,DC$19,"headers=false"),1)&lt;&gt;"#",_xll.BView($DP36,DC$19,"headers=false"),"-")</f>
        <v>-</v>
      </c>
      <c r="DD36" s="56" t="str">
        <f>IF(LEFT(_xll.BView($DP36,DD$19,"headers=false"),1)&lt;&gt;"#",_xll.BView($DP36,DD$19,"headers=false"),"-")</f>
        <v>-</v>
      </c>
      <c r="DE36" s="56" t="str">
        <f>IF(LEFT(_xll.BView($DP36,DE$19,"headers=false"),1)&lt;&gt;"#",_xll.BView($DP36,DE$19,"headers=false"),"-")</f>
        <v>-</v>
      </c>
      <c r="DF36" s="56" t="str">
        <f>IF(LEFT(_xll.BView($DP36,DF$19,"headers=false"),1)&lt;&gt;"#",_xll.BView($DP36,DF$19,"headers=false"),"-")</f>
        <v>-</v>
      </c>
      <c r="DG36" s="56" t="str">
        <f>IF(LEFT(_xll.BView($DP36,DG$19,"headers=false"),1)&lt;&gt;"#",_xll.BView($DP36,DG$19,"headers=false"),"-")</f>
        <v>-</v>
      </c>
      <c r="DH36" s="56" t="str">
        <f>IF(LEFT(_xll.BView($DP36,DH$19,"headers=false"),1)&lt;&gt;"#",_xll.BView($DP36,DH$19,"headers=false"),"-")</f>
        <v>-</v>
      </c>
      <c r="DI36" s="56" t="str">
        <f>IF(LEFT(_xll.BView($DP36,DI$19,"headers=false"),1)&lt;&gt;"#",_xll.BView($DP36,DI$19,"headers=false"),"-")</f>
        <v>-</v>
      </c>
      <c r="DJ36" s="56" t="str">
        <f>IF(LEFT(_xll.BView($DP36,DJ$19,"headers=false"),1)&lt;&gt;"#",_xll.BView($DP36,DJ$19,"headers=false"),"-")</f>
        <v>-</v>
      </c>
      <c r="DK36" s="56" t="str">
        <f>IF(LEFT(_xll.BView($DP36,DK$19,"headers=false"),1)&lt;&gt;"#",_xll.BView($DP36,DK$19,"headers=false"),"-")</f>
        <v>-</v>
      </c>
      <c r="DL36" s="56" t="str">
        <f>IF(LEFT(_xll.BView($DP36,DL$19,"headers=false"),1)&lt;&gt;"#",_xll.BView($DP36,DL$19,"headers=false"),"-")</f>
        <v>-</v>
      </c>
      <c r="DN36" s="75" t="str">
        <f>IF(Y36&lt;&gt;"",IF(ISERROR(RIGHT(Y36,1)*1)," "&amp;Y36&amp;"x"&amp;IF(AA36&lt;&gt;"",AA36,Y36)," E"&amp;usdate(Y36)&amp;" "&amp;IF(AA36&lt;&gt;"",usdate(AA36),usdate(Y36+3653))),IF(AA36&lt;&gt;"",IF(ISERROR(RIGHT(AA36,1)*1)," "&amp;AA36," "&amp;usdate(AA36)),""))</f>
        <v/>
      </c>
      <c r="DO36" s="75" t="str">
        <f>IF(OR(H36&lt;&gt;"",N36&lt;&gt;""),_xll.BSTRUCTURE(IF(H36&lt;&gt;"",H36,O36&amp;DN36),$Q$19:$W$19,Q36:W36,$AB$19:$AC$19,AB36:AC36,$AH$19:$AK$19,AH36:AK36,$AM$19:$AQ$19,AM36:AQ36,$AS$19,AS36,$AU$19,AU36,$Z$19,Z36,$Y$19,IF(ISERROR(RIGHT(Y36,1)*1),"",Y36),$AA$19,IF(ISERROR(RIGHT(AA36,1)*1),"",AA36),"ignoreinvalidparams=true"),"Enter deal type or saved ID.")</f>
        <v>Enter deal type or saved ID.</v>
      </c>
      <c r="DP36" s="75" t="str">
        <f>IF(LEFT(DO36,1)="E","",IF(CM36="No",_xll.BPRICE(DO36,"MarketDate",SwaptionMarketDate,"ValuationDate",SwaptionValuationDate,$AE$19:$AF$19,AE36:AF36,"alwaysrefresh"),_xll.BPRICE(DO36,"MarketDate",SwaptionMarketDate,"ValuationDate",SwaptionValuationDate,CP36,CR36,CS36,CU36,$AE$19:$AF$19,AE36:AF36,"alwaysrefresh")))</f>
        <v/>
      </c>
      <c r="DU36" s="24"/>
      <c r="DX36" s="24"/>
    </row>
    <row r="37" spans="2:128" x14ac:dyDescent="0.25">
      <c r="B37" s="27" t="str">
        <f>IF(OR(H37&lt;&gt;"",N37&lt;&gt;""),IF(OR(DO37="#N/A Requesting Data...",DO37="#N/A Waiting For Data...",DP37="#N/A Requesting Data...",DP37="#N/A Waiting For Data..."),"Loading ….",IF(OR(LEFT(DO37,1)="#",LEFT(DP37,1)="#"),"Check Inputs",_xll.BView(DP37,B$19,"headers=false"))),"Select Deal Type")</f>
        <v>Select Deal Type</v>
      </c>
      <c r="C37" s="57" t="str">
        <f>IFERROR(1*_xll.BView($DP37,C$19,"headers=false"),"-")</f>
        <v>-</v>
      </c>
      <c r="D37" s="57" t="str">
        <f>IFERROR(1*_xll.BView($DP37,D$19,"headers=false"),"-")</f>
        <v>-</v>
      </c>
      <c r="E37" s="56" t="str">
        <f>IFERROR(1*_xll.BView($DP37,E$19,"headers=false"),"-")</f>
        <v>-</v>
      </c>
      <c r="F37" s="56" t="str">
        <f>IFERROR(1*_xll.BView($DP37,F$19,"headers=false"),"-")</f>
        <v>-</v>
      </c>
      <c r="H37" s="40"/>
      <c r="I37" s="40" t="s">
        <v>1</v>
      </c>
      <c r="J37" s="20"/>
      <c r="K37" s="96" t="str">
        <f t="shared" si="3"/>
        <v/>
      </c>
      <c r="L37" s="40"/>
      <c r="M37" s="20"/>
      <c r="N37" s="58"/>
      <c r="O37" s="52" t="e">
        <f t="shared" si="0"/>
        <v>#N/A</v>
      </c>
      <c r="P37" s="20"/>
      <c r="Q37" s="40"/>
      <c r="R37" s="106"/>
      <c r="S37" s="106"/>
      <c r="T37" s="106"/>
      <c r="U37" s="106"/>
      <c r="V37" s="106"/>
      <c r="W37" s="106"/>
      <c r="X37" s="78"/>
      <c r="Y37" s="36"/>
      <c r="Z37" s="81"/>
      <c r="AA37" s="36"/>
      <c r="AB37" s="40"/>
      <c r="AC37" s="106"/>
      <c r="AD37" s="78"/>
      <c r="AE37" s="40"/>
      <c r="AF37" s="77"/>
      <c r="AG37" s="20"/>
      <c r="AH37" s="40"/>
      <c r="AI37" s="40"/>
      <c r="AJ37" s="40"/>
      <c r="AK37" s="40"/>
      <c r="AL37" s="20"/>
      <c r="AM37" s="40"/>
      <c r="AN37" s="40"/>
      <c r="AO37" s="40"/>
      <c r="AP37" s="40"/>
      <c r="AQ37" s="40"/>
      <c r="AR37" s="20"/>
      <c r="AS37" s="40"/>
      <c r="AT37" s="20"/>
      <c r="AU37" s="40"/>
      <c r="AV37" s="20"/>
      <c r="AW37" s="48" t="str">
        <f>IF(LEFT(_xll.BView($DO37,AW$19,"headers=false"),1)&lt;&gt;"#",_xll.BView($DO37,AW$19,"headers=false"),"-")</f>
        <v>-</v>
      </c>
      <c r="AX37" s="48" t="str">
        <f>IF(LEFT(_xll.BView($DO37,AX$19,"headers=false"),1)&lt;&gt;"#",_xll.BView($DO37,AX$19,"headers=false"),"-")</f>
        <v>-</v>
      </c>
      <c r="AY37" s="56" t="str">
        <f>IF(LEFT(_xll.BView($DO37,AY$19,"headers=false"),1)&lt;&gt;"#",_xll.BView($DO37,AY$19,"headers=false"),"-")</f>
        <v>-</v>
      </c>
      <c r="AZ37" s="49" t="str">
        <f>IF(LEFT(_xll.BView($DO37,AZ$19,"headers=false"),1)&lt;&gt;"#",_xll.BView($DO37,AZ$19,"headers=false"),"-")</f>
        <v>-</v>
      </c>
      <c r="BA37" s="48" t="str">
        <f>IF(LEFT(_xll.BView($DO37,BA$19,"headers=false"),1)&lt;&gt;"#",_xll.BView($DO37,BA$19,"headers=false"),"-")</f>
        <v>-</v>
      </c>
      <c r="BB37" s="48" t="str">
        <f>IF(LEFT(_xll.BView($DO37,BB$19,"headers=false"),1)&lt;&gt;"#",_xll.BView($DO37,BB$19,"headers=false"),"-")</f>
        <v>-</v>
      </c>
      <c r="BC37" s="48" t="str">
        <f>IF(LEFT(_xll.BView($DO37,BC$19,"headers=false"),1)&lt;&gt;"#",_xll.BView($DO37,BC$19,"headers=false"),"-")</f>
        <v>-</v>
      </c>
      <c r="BD37" s="20"/>
      <c r="BE37" s="37" t="str">
        <f>IF(LEFT(_xll.BView($DO37,BE$19,"headers=false"),1)&lt;&gt;"#",_xll.BView($DO37,BE$19,"headers=false"),"-")</f>
        <v>-</v>
      </c>
      <c r="BF37" s="37" t="str">
        <f>IF(LEFT(_xll.BView($DO37,BF$19,"headers=false"),1)&lt;&gt;"#",_xll.BView($DO37,BF$19,"headers=false"),"-")</f>
        <v>-</v>
      </c>
      <c r="BG37" s="37" t="str">
        <f>IF(LEFT(_xll.BView($DO37,BG$19,"headers=false"),1)&lt;&gt;"#",_xll.BView($DO37,BG$19,"headers=false"),"-")</f>
        <v>-</v>
      </c>
      <c r="BH37" s="37" t="str">
        <f>IF(LEFT(_xll.BView($DO37,BH$19,"headers=false"),1)&lt;&gt;"#",_xll.BView($DO37,BH$19,"headers=false"),"-")</f>
        <v>-</v>
      </c>
      <c r="BI37" s="27" t="str">
        <f>IF(LEFT(_xll.BView($DO37,BI$19,"headers=false"),1)&lt;&gt;"#",_xll.BView($DO37,BI$19,"headers=false"),"-")</f>
        <v>-</v>
      </c>
      <c r="BJ37" s="21"/>
      <c r="BK37" s="27" t="str">
        <f>IF(LEFT(_xll.BView($DO37,BK$19,"headers=false"),1)&lt;&gt;"#",_xll.BView($DO37,BK$19,"headers=false"),"-")</f>
        <v>-</v>
      </c>
      <c r="BL37" s="27" t="str">
        <f>IF(LEFT(_xll.BView($DO37,BL$19,"headers=false"),1)&lt;&gt;"#",_xll.BView($DO37,BL$19,"headers=false"),"-")</f>
        <v>-</v>
      </c>
      <c r="BM37" s="27" t="str">
        <f>IF(LEFT(_xll.BView($DO37,BM$19,"headers=false"),1)&lt;&gt;"#",_xll.BView($DO37,BM$19,"headers=false"),"-")</f>
        <v>-</v>
      </c>
      <c r="BN37" s="38" t="str">
        <f>IF(LEFT(_xll.BView($DO37,BN$19,"headers=false"),1)&lt;&gt;"#",_xll.BView($DO37,BN$19,"headers=false"),"-")</f>
        <v>-</v>
      </c>
      <c r="BO37" s="27" t="str">
        <f>IF(LEFT(_xll.BView($DO37,BO$19,"headers=false"),1)&lt;&gt;"#",_xll.BView($DO37,BO$19,"headers=false"),"-")</f>
        <v>-</v>
      </c>
      <c r="BP37" s="27" t="str">
        <f>IF(LEFT(_xll.BView($DO37,BP$19,"headers=false"),1)&lt;&gt;"#",_xll.BView($DO37,BP$19,"headers=false"),"-")</f>
        <v>-</v>
      </c>
      <c r="BQ37" s="27" t="str">
        <f>IF(LEFT(_xll.BView($DO37,BQ$19,"headers=false"),1)&lt;&gt;"#",_xll.BView($DO37,BQ$19,"headers=false"),"-")</f>
        <v>-</v>
      </c>
      <c r="BR37" s="22"/>
      <c r="BS37" s="27" t="str">
        <f>IF(LEFT(_xll.BView($DO37,BS$19,"headers=false"),1)&lt;&gt;"#",_xll.BView($DO37,BS$19,"headers=false"),"-")</f>
        <v>-</v>
      </c>
      <c r="BT37" s="27" t="str">
        <f>IF(LEFT(_xll.BView($DO37,BT$19,"headers=false"),1)&lt;&gt;"#",_xll.BView($DO37,BT$19,"headers=false"),"-")</f>
        <v>-</v>
      </c>
      <c r="BU37" s="27" t="str">
        <f>IF(LEFT(_xll.BView($DO37,BU$19,"headers=false"),1)&lt;&gt;"#",_xll.BView($DO37,BU$19,"headers=false"),"-")</f>
        <v>-</v>
      </c>
      <c r="BV37" s="27" t="str">
        <f>IF(LEFT(_xll.BView($DO37,BV$19,"headers=false"),1)&lt;&gt;"#",_xll.BView($DO37,BV$19,"headers=false"),"-")</f>
        <v>-</v>
      </c>
      <c r="BW37" s="27" t="str">
        <f>IF(LEFT(_xll.BView($DO37,BW$19,"headers=false"),1)&lt;&gt;"#",_xll.BView($DO37,BW$19,"headers=false"),"-")</f>
        <v>-</v>
      </c>
      <c r="BX37" s="27" t="str">
        <f>IF(LEFT(_xll.BView($DO37,BX$19,"headers=false"),1)&lt;&gt;"#",_xll.BView($DO37,BX$19,"headers=false"),"-")</f>
        <v>-</v>
      </c>
      <c r="BY37" s="27" t="str">
        <f>IF(LEFT(_xll.BView($DO37,BY$19,"headers=false"),1)&lt;&gt;"#",_xll.BView($DO37,BY$19,"headers=false"),"-")</f>
        <v>-</v>
      </c>
      <c r="BZ37" s="27" t="str">
        <f>IF(LEFT(_xll.BView($DO37,BZ$19,"headers=false"),1)&lt;&gt;"#",_xll.BView($DO37,BZ$19,"headers=false"),"-")</f>
        <v>-</v>
      </c>
      <c r="CA37" s="22"/>
      <c r="CB37" s="27" t="str">
        <f>IF(LEFT(_xll.BView($DO37,CB$19,"headers=false"),1)&lt;&gt;"#",_xll.BView($DO37,CB$19,"headers=false"),"-")</f>
        <v>-</v>
      </c>
      <c r="CC37" s="22"/>
      <c r="CD37" s="27" t="str">
        <f>IF(LEFT(_xll.BView($DO37,CD$19,"headers=false"),1)&lt;&gt;"#",_xll.BView($DO37,CD$19,"headers=false"),"-")</f>
        <v>-</v>
      </c>
      <c r="CE37" s="20"/>
      <c r="CF37" s="28" t="str">
        <f>IFERROR(INDEX(_xll.BMARKETPARAM($DO37,"array=true"),2,1),"")</f>
        <v/>
      </c>
      <c r="CG37" s="28" t="str">
        <f>IFERROR(INDEX(_xll.BMARKETPARAM($DO37,"array=true"),2,3),"")</f>
        <v/>
      </c>
      <c r="CH37" s="28" t="str">
        <f>IFERROR(INDEX(_xll.BMARKETPARAM($DO37,"array=true"),3,1),"")</f>
        <v/>
      </c>
      <c r="CI37" s="28" t="str">
        <f>IFERROR(INDEX(_xll.BMARKETPARAM($DO37,"array=true"),3,3),"")</f>
        <v/>
      </c>
      <c r="CJ37" s="28" t="str">
        <f>IFERROR(INDEX(_xll.BMARKETPARAM($DO37,"array=true"),4,1),"")</f>
        <v/>
      </c>
      <c r="CK37" s="28" t="str">
        <f>IFERROR(INDEX(_xll.BMARKETPARAM($DO37,"array=true"),4,3),"")</f>
        <v/>
      </c>
      <c r="CL37" s="20"/>
      <c r="CM37" s="40" t="s">
        <v>1</v>
      </c>
      <c r="CN37" s="40"/>
      <c r="CO37" s="91"/>
      <c r="CP37" s="28" t="str">
        <f t="shared" si="1"/>
        <v/>
      </c>
      <c r="CQ37" s="92"/>
      <c r="CR37" s="93" t="str">
        <f>IF(CQ37&lt;&gt;"",_xll.BCurveStrip(CQ37,"CurveDate",SwaptionMarketDate,"ApplyDC",$CN37,"ParallelShift",$CO37),"")</f>
        <v/>
      </c>
      <c r="CS37" s="93" t="str">
        <f t="shared" si="2"/>
        <v/>
      </c>
      <c r="CT37" s="40"/>
      <c r="CU37" s="93" t="str">
        <f>IF(CT37&lt;&gt;"",_xll.BCurveStrip(CT37,"CurveDate",SwaptionMarketDate,"ApplyDC",$CN37,"ParallelShift",$CO37),"")</f>
        <v/>
      </c>
      <c r="CV37" s="20"/>
      <c r="CW37" s="56" t="str">
        <f>IF(LEFT(_xll.BView($DP37,CW$19,"headers=false"),1)&lt;&gt;"#",_xll.BView($DP37,CW$19,"headers=false"),"-")</f>
        <v>-</v>
      </c>
      <c r="CX37" s="56" t="str">
        <f>IF(LEFT(_xll.BView($DP37,CX$19,"headers=false"),1)&lt;&gt;"#",_xll.BView($DP37,CX$19,"headers=false"),"-")</f>
        <v>-</v>
      </c>
      <c r="CY37" s="56" t="str">
        <f>IF(LEFT(_xll.BView($DP37,CY$19,"headers=false"),1)&lt;&gt;"#",_xll.BView($DP37,CY$19,"headers=false"),"-")</f>
        <v>-</v>
      </c>
      <c r="CZ37" s="56" t="str">
        <f>IF(LEFT(_xll.BView($DP37,CZ$19,"headers=false"),1)&lt;&gt;"#",_xll.BView($DP37,CZ$19,"headers=false"),"-")</f>
        <v>-</v>
      </c>
      <c r="DA37" s="56" t="str">
        <f>IF(LEFT(_xll.BView($DP37,DA$19,"headers=false"),1)&lt;&gt;"#",_xll.BView($DP37,DA$19,"headers=false"),"-")</f>
        <v>-</v>
      </c>
      <c r="DB37" s="56" t="str">
        <f>IF(LEFT(_xll.BView($DP37,DB$19,"headers=false"),1)&lt;&gt;"#",_xll.BView($DP37,DB$19,"headers=false"),"-")</f>
        <v>-</v>
      </c>
      <c r="DC37" s="56" t="str">
        <f>IF(LEFT(_xll.BView($DP37,DC$19,"headers=false"),1)&lt;&gt;"#",_xll.BView($DP37,DC$19,"headers=false"),"-")</f>
        <v>-</v>
      </c>
      <c r="DD37" s="56" t="str">
        <f>IF(LEFT(_xll.BView($DP37,DD$19,"headers=false"),1)&lt;&gt;"#",_xll.BView($DP37,DD$19,"headers=false"),"-")</f>
        <v>-</v>
      </c>
      <c r="DE37" s="56" t="str">
        <f>IF(LEFT(_xll.BView($DP37,DE$19,"headers=false"),1)&lt;&gt;"#",_xll.BView($DP37,DE$19,"headers=false"),"-")</f>
        <v>-</v>
      </c>
      <c r="DF37" s="56" t="str">
        <f>IF(LEFT(_xll.BView($DP37,DF$19,"headers=false"),1)&lt;&gt;"#",_xll.BView($DP37,DF$19,"headers=false"),"-")</f>
        <v>-</v>
      </c>
      <c r="DG37" s="56" t="str">
        <f>IF(LEFT(_xll.BView($DP37,DG$19,"headers=false"),1)&lt;&gt;"#",_xll.BView($DP37,DG$19,"headers=false"),"-")</f>
        <v>-</v>
      </c>
      <c r="DH37" s="56" t="str">
        <f>IF(LEFT(_xll.BView($DP37,DH$19,"headers=false"),1)&lt;&gt;"#",_xll.BView($DP37,DH$19,"headers=false"),"-")</f>
        <v>-</v>
      </c>
      <c r="DI37" s="56" t="str">
        <f>IF(LEFT(_xll.BView($DP37,DI$19,"headers=false"),1)&lt;&gt;"#",_xll.BView($DP37,DI$19,"headers=false"),"-")</f>
        <v>-</v>
      </c>
      <c r="DJ37" s="56" t="str">
        <f>IF(LEFT(_xll.BView($DP37,DJ$19,"headers=false"),1)&lt;&gt;"#",_xll.BView($DP37,DJ$19,"headers=false"),"-")</f>
        <v>-</v>
      </c>
      <c r="DK37" s="56" t="str">
        <f>IF(LEFT(_xll.BView($DP37,DK$19,"headers=false"),1)&lt;&gt;"#",_xll.BView($DP37,DK$19,"headers=false"),"-")</f>
        <v>-</v>
      </c>
      <c r="DL37" s="56" t="str">
        <f>IF(LEFT(_xll.BView($DP37,DL$19,"headers=false"),1)&lt;&gt;"#",_xll.BView($DP37,DL$19,"headers=false"),"-")</f>
        <v>-</v>
      </c>
      <c r="DN37" s="75" t="str">
        <f>IF(Y37&lt;&gt;"",IF(ISERROR(RIGHT(Y37,1)*1)," "&amp;Y37&amp;"x"&amp;IF(AA37&lt;&gt;"",AA37,Y37)," E"&amp;usdate(Y37)&amp;" "&amp;IF(AA37&lt;&gt;"",usdate(AA37),usdate(Y37+3653))),IF(AA37&lt;&gt;"",IF(ISERROR(RIGHT(AA37,1)*1)," "&amp;AA37," "&amp;usdate(AA37)),""))</f>
        <v/>
      </c>
      <c r="DO37" s="75" t="str">
        <f>IF(OR(H37&lt;&gt;"",N37&lt;&gt;""),_xll.BSTRUCTURE(IF(H37&lt;&gt;"",H37,O37&amp;DN37),$Q$19:$W$19,Q37:W37,$AB$19:$AC$19,AB37:AC37,$AH$19:$AK$19,AH37:AK37,$AM$19:$AQ$19,AM37:AQ37,$AS$19,AS37,$AU$19,AU37,$Z$19,Z37,$Y$19,IF(ISERROR(RIGHT(Y37,1)*1),"",Y37),$AA$19,IF(ISERROR(RIGHT(AA37,1)*1),"",AA37),"ignoreinvalidparams=true"),"Enter deal type or saved ID.")</f>
        <v>Enter deal type or saved ID.</v>
      </c>
      <c r="DP37" s="75" t="str">
        <f>IF(LEFT(DO37,1)="E","",IF(CM37="No",_xll.BPRICE(DO37,"MarketDate",SwaptionMarketDate,"ValuationDate",SwaptionValuationDate,$AE$19:$AF$19,AE37:AF37,"alwaysrefresh"),_xll.BPRICE(DO37,"MarketDate",SwaptionMarketDate,"ValuationDate",SwaptionValuationDate,CP37,CR37,CS37,CU37,$AE$19:$AF$19,AE37:AF37,"alwaysrefresh")))</f>
        <v/>
      </c>
      <c r="DU37" s="25"/>
      <c r="DX37" s="25"/>
    </row>
    <row r="38" spans="2:128" x14ac:dyDescent="0.25">
      <c r="B38" s="27" t="str">
        <f>IF(OR(H38&lt;&gt;"",N38&lt;&gt;""),IF(OR(DO38="#N/A Requesting Data...",DO38="#N/A Waiting For Data...",DP38="#N/A Requesting Data...",DP38="#N/A Waiting For Data..."),"Loading ….",IF(OR(LEFT(DO38,1)="#",LEFT(DP38,1)="#"),"Check Inputs",_xll.BView(DP38,B$19,"headers=false"))),"Select Deal Type")</f>
        <v>Select Deal Type</v>
      </c>
      <c r="C38" s="57" t="str">
        <f>IFERROR(1*_xll.BView($DP38,C$19,"headers=false"),"-")</f>
        <v>-</v>
      </c>
      <c r="D38" s="57" t="str">
        <f>IFERROR(1*_xll.BView($DP38,D$19,"headers=false"),"-")</f>
        <v>-</v>
      </c>
      <c r="E38" s="56" t="str">
        <f>IFERROR(1*_xll.BView($DP38,E$19,"headers=false"),"-")</f>
        <v>-</v>
      </c>
      <c r="F38" s="56" t="str">
        <f>IFERROR(1*_xll.BView($DP38,F$19,"headers=false"),"-")</f>
        <v>-</v>
      </c>
      <c r="H38" s="40"/>
      <c r="I38" s="40" t="s">
        <v>1</v>
      </c>
      <c r="J38" s="20"/>
      <c r="K38" s="96" t="str">
        <f t="shared" si="3"/>
        <v/>
      </c>
      <c r="L38" s="40"/>
      <c r="M38" s="20"/>
      <c r="N38" s="58"/>
      <c r="O38" s="52" t="e">
        <f t="shared" si="0"/>
        <v>#N/A</v>
      </c>
      <c r="P38" s="20"/>
      <c r="Q38" s="40"/>
      <c r="R38" s="106"/>
      <c r="S38" s="106"/>
      <c r="T38" s="106"/>
      <c r="U38" s="106"/>
      <c r="V38" s="106"/>
      <c r="W38" s="106"/>
      <c r="X38" s="78"/>
      <c r="Y38" s="36"/>
      <c r="Z38" s="81"/>
      <c r="AA38" s="36"/>
      <c r="AB38" s="40"/>
      <c r="AC38" s="106"/>
      <c r="AD38" s="78"/>
      <c r="AE38" s="40"/>
      <c r="AF38" s="77"/>
      <c r="AG38" s="20"/>
      <c r="AH38" s="40"/>
      <c r="AI38" s="40"/>
      <c r="AJ38" s="40"/>
      <c r="AK38" s="40"/>
      <c r="AL38" s="20"/>
      <c r="AM38" s="40"/>
      <c r="AN38" s="40"/>
      <c r="AO38" s="40"/>
      <c r="AP38" s="40"/>
      <c r="AQ38" s="40"/>
      <c r="AR38" s="20"/>
      <c r="AS38" s="40"/>
      <c r="AT38" s="20"/>
      <c r="AU38" s="40"/>
      <c r="AV38" s="20"/>
      <c r="AW38" s="48" t="str">
        <f>IF(LEFT(_xll.BView($DO38,AW$19,"headers=false"),1)&lt;&gt;"#",_xll.BView($DO38,AW$19,"headers=false"),"-")</f>
        <v>-</v>
      </c>
      <c r="AX38" s="48" t="str">
        <f>IF(LEFT(_xll.BView($DO38,AX$19,"headers=false"),1)&lt;&gt;"#",_xll.BView($DO38,AX$19,"headers=false"),"-")</f>
        <v>-</v>
      </c>
      <c r="AY38" s="56" t="str">
        <f>IF(LEFT(_xll.BView($DO38,AY$19,"headers=false"),1)&lt;&gt;"#",_xll.BView($DO38,AY$19,"headers=false"),"-")</f>
        <v>-</v>
      </c>
      <c r="AZ38" s="49" t="str">
        <f>IF(LEFT(_xll.BView($DO38,AZ$19,"headers=false"),1)&lt;&gt;"#",_xll.BView($DO38,AZ$19,"headers=false"),"-")</f>
        <v>-</v>
      </c>
      <c r="BA38" s="48" t="str">
        <f>IF(LEFT(_xll.BView($DO38,BA$19,"headers=false"),1)&lt;&gt;"#",_xll.BView($DO38,BA$19,"headers=false"),"-")</f>
        <v>-</v>
      </c>
      <c r="BB38" s="48" t="str">
        <f>IF(LEFT(_xll.BView($DO38,BB$19,"headers=false"),1)&lt;&gt;"#",_xll.BView($DO38,BB$19,"headers=false"),"-")</f>
        <v>-</v>
      </c>
      <c r="BC38" s="48" t="str">
        <f>IF(LEFT(_xll.BView($DO38,BC$19,"headers=false"),1)&lt;&gt;"#",_xll.BView($DO38,BC$19,"headers=false"),"-")</f>
        <v>-</v>
      </c>
      <c r="BD38" s="20"/>
      <c r="BE38" s="37" t="str">
        <f>IF(LEFT(_xll.BView($DO38,BE$19,"headers=false"),1)&lt;&gt;"#",_xll.BView($DO38,BE$19,"headers=false"),"-")</f>
        <v>-</v>
      </c>
      <c r="BF38" s="37" t="str">
        <f>IF(LEFT(_xll.BView($DO38,BF$19,"headers=false"),1)&lt;&gt;"#",_xll.BView($DO38,BF$19,"headers=false"),"-")</f>
        <v>-</v>
      </c>
      <c r="BG38" s="37" t="str">
        <f>IF(LEFT(_xll.BView($DO38,BG$19,"headers=false"),1)&lt;&gt;"#",_xll.BView($DO38,BG$19,"headers=false"),"-")</f>
        <v>-</v>
      </c>
      <c r="BH38" s="37" t="str">
        <f>IF(LEFT(_xll.BView($DO38,BH$19,"headers=false"),1)&lt;&gt;"#",_xll.BView($DO38,BH$19,"headers=false"),"-")</f>
        <v>-</v>
      </c>
      <c r="BI38" s="27" t="str">
        <f>IF(LEFT(_xll.BView($DO38,BI$19,"headers=false"),1)&lt;&gt;"#",_xll.BView($DO38,BI$19,"headers=false"),"-")</f>
        <v>-</v>
      </c>
      <c r="BJ38" s="21"/>
      <c r="BK38" s="27" t="str">
        <f>IF(LEFT(_xll.BView($DO38,BK$19,"headers=false"),1)&lt;&gt;"#",_xll.BView($DO38,BK$19,"headers=false"),"-")</f>
        <v>-</v>
      </c>
      <c r="BL38" s="27" t="str">
        <f>IF(LEFT(_xll.BView($DO38,BL$19,"headers=false"),1)&lt;&gt;"#",_xll.BView($DO38,BL$19,"headers=false"),"-")</f>
        <v>-</v>
      </c>
      <c r="BM38" s="27" t="str">
        <f>IF(LEFT(_xll.BView($DO38,BM$19,"headers=false"),1)&lt;&gt;"#",_xll.BView($DO38,BM$19,"headers=false"),"-")</f>
        <v>-</v>
      </c>
      <c r="BN38" s="38" t="str">
        <f>IF(LEFT(_xll.BView($DO38,BN$19,"headers=false"),1)&lt;&gt;"#",_xll.BView($DO38,BN$19,"headers=false"),"-")</f>
        <v>-</v>
      </c>
      <c r="BO38" s="27" t="str">
        <f>IF(LEFT(_xll.BView($DO38,BO$19,"headers=false"),1)&lt;&gt;"#",_xll.BView($DO38,BO$19,"headers=false"),"-")</f>
        <v>-</v>
      </c>
      <c r="BP38" s="27" t="str">
        <f>IF(LEFT(_xll.BView($DO38,BP$19,"headers=false"),1)&lt;&gt;"#",_xll.BView($DO38,BP$19,"headers=false"),"-")</f>
        <v>-</v>
      </c>
      <c r="BQ38" s="27" t="str">
        <f>IF(LEFT(_xll.BView($DO38,BQ$19,"headers=false"),1)&lt;&gt;"#",_xll.BView($DO38,BQ$19,"headers=false"),"-")</f>
        <v>-</v>
      </c>
      <c r="BR38" s="22"/>
      <c r="BS38" s="27" t="str">
        <f>IF(LEFT(_xll.BView($DO38,BS$19,"headers=false"),1)&lt;&gt;"#",_xll.BView($DO38,BS$19,"headers=false"),"-")</f>
        <v>-</v>
      </c>
      <c r="BT38" s="27" t="str">
        <f>IF(LEFT(_xll.BView($DO38,BT$19,"headers=false"),1)&lt;&gt;"#",_xll.BView($DO38,BT$19,"headers=false"),"-")</f>
        <v>-</v>
      </c>
      <c r="BU38" s="27" t="str">
        <f>IF(LEFT(_xll.BView($DO38,BU$19,"headers=false"),1)&lt;&gt;"#",_xll.BView($DO38,BU$19,"headers=false"),"-")</f>
        <v>-</v>
      </c>
      <c r="BV38" s="27" t="str">
        <f>IF(LEFT(_xll.BView($DO38,BV$19,"headers=false"),1)&lt;&gt;"#",_xll.BView($DO38,BV$19,"headers=false"),"-")</f>
        <v>-</v>
      </c>
      <c r="BW38" s="27" t="str">
        <f>IF(LEFT(_xll.BView($DO38,BW$19,"headers=false"),1)&lt;&gt;"#",_xll.BView($DO38,BW$19,"headers=false"),"-")</f>
        <v>-</v>
      </c>
      <c r="BX38" s="27" t="str">
        <f>IF(LEFT(_xll.BView($DO38,BX$19,"headers=false"),1)&lt;&gt;"#",_xll.BView($DO38,BX$19,"headers=false"),"-")</f>
        <v>-</v>
      </c>
      <c r="BY38" s="27" t="str">
        <f>IF(LEFT(_xll.BView($DO38,BY$19,"headers=false"),1)&lt;&gt;"#",_xll.BView($DO38,BY$19,"headers=false"),"-")</f>
        <v>-</v>
      </c>
      <c r="BZ38" s="27" t="str">
        <f>IF(LEFT(_xll.BView($DO38,BZ$19,"headers=false"),1)&lt;&gt;"#",_xll.BView($DO38,BZ$19,"headers=false"),"-")</f>
        <v>-</v>
      </c>
      <c r="CA38" s="22"/>
      <c r="CB38" s="27" t="str">
        <f>IF(LEFT(_xll.BView($DO38,CB$19,"headers=false"),1)&lt;&gt;"#",_xll.BView($DO38,CB$19,"headers=false"),"-")</f>
        <v>-</v>
      </c>
      <c r="CC38" s="22"/>
      <c r="CD38" s="27" t="str">
        <f>IF(LEFT(_xll.BView($DO38,CD$19,"headers=false"),1)&lt;&gt;"#",_xll.BView($DO38,CD$19,"headers=false"),"-")</f>
        <v>-</v>
      </c>
      <c r="CE38" s="20"/>
      <c r="CF38" s="28" t="str">
        <f>IFERROR(INDEX(_xll.BMARKETPARAM($DO38,"array=true"),2,1),"")</f>
        <v/>
      </c>
      <c r="CG38" s="28" t="str">
        <f>IFERROR(INDEX(_xll.BMARKETPARAM($DO38,"array=true"),2,3),"")</f>
        <v/>
      </c>
      <c r="CH38" s="28" t="str">
        <f>IFERROR(INDEX(_xll.BMARKETPARAM($DO38,"array=true"),3,1),"")</f>
        <v/>
      </c>
      <c r="CI38" s="28" t="str">
        <f>IFERROR(INDEX(_xll.BMARKETPARAM($DO38,"array=true"),3,3),"")</f>
        <v/>
      </c>
      <c r="CJ38" s="28" t="str">
        <f>IFERROR(INDEX(_xll.BMARKETPARAM($DO38,"array=true"),4,1),"")</f>
        <v/>
      </c>
      <c r="CK38" s="28" t="str">
        <f>IFERROR(INDEX(_xll.BMARKETPARAM($DO38,"array=true"),4,3),"")</f>
        <v/>
      </c>
      <c r="CL38" s="20"/>
      <c r="CM38" s="40" t="s">
        <v>1</v>
      </c>
      <c r="CN38" s="40"/>
      <c r="CO38" s="91"/>
      <c r="CP38" s="28" t="str">
        <f t="shared" si="1"/>
        <v/>
      </c>
      <c r="CQ38" s="92"/>
      <c r="CR38" s="93" t="str">
        <f>IF(CQ38&lt;&gt;"",_xll.BCurveStrip(CQ38,"CurveDate",SwaptionMarketDate,"ApplyDC",$CN38,"ParallelShift",$CO38),"")</f>
        <v/>
      </c>
      <c r="CS38" s="93" t="str">
        <f t="shared" si="2"/>
        <v/>
      </c>
      <c r="CT38" s="40"/>
      <c r="CU38" s="93" t="str">
        <f>IF(CT38&lt;&gt;"",_xll.BCurveStrip(CT38,"CurveDate",SwaptionMarketDate,"ApplyDC",$CN38,"ParallelShift",$CO38),"")</f>
        <v/>
      </c>
      <c r="CV38" s="20"/>
      <c r="CW38" s="56" t="str">
        <f>IF(LEFT(_xll.BView($DP38,CW$19,"headers=false"),1)&lt;&gt;"#",_xll.BView($DP38,CW$19,"headers=false"),"-")</f>
        <v>-</v>
      </c>
      <c r="CX38" s="56" t="str">
        <f>IF(LEFT(_xll.BView($DP38,CX$19,"headers=false"),1)&lt;&gt;"#",_xll.BView($DP38,CX$19,"headers=false"),"-")</f>
        <v>-</v>
      </c>
      <c r="CY38" s="56" t="str">
        <f>IF(LEFT(_xll.BView($DP38,CY$19,"headers=false"),1)&lt;&gt;"#",_xll.BView($DP38,CY$19,"headers=false"),"-")</f>
        <v>-</v>
      </c>
      <c r="CZ38" s="56" t="str">
        <f>IF(LEFT(_xll.BView($DP38,CZ$19,"headers=false"),1)&lt;&gt;"#",_xll.BView($DP38,CZ$19,"headers=false"),"-")</f>
        <v>-</v>
      </c>
      <c r="DA38" s="56" t="str">
        <f>IF(LEFT(_xll.BView($DP38,DA$19,"headers=false"),1)&lt;&gt;"#",_xll.BView($DP38,DA$19,"headers=false"),"-")</f>
        <v>-</v>
      </c>
      <c r="DB38" s="56" t="str">
        <f>IF(LEFT(_xll.BView($DP38,DB$19,"headers=false"),1)&lt;&gt;"#",_xll.BView($DP38,DB$19,"headers=false"),"-")</f>
        <v>-</v>
      </c>
      <c r="DC38" s="56" t="str">
        <f>IF(LEFT(_xll.BView($DP38,DC$19,"headers=false"),1)&lt;&gt;"#",_xll.BView($DP38,DC$19,"headers=false"),"-")</f>
        <v>-</v>
      </c>
      <c r="DD38" s="56" t="str">
        <f>IF(LEFT(_xll.BView($DP38,DD$19,"headers=false"),1)&lt;&gt;"#",_xll.BView($DP38,DD$19,"headers=false"),"-")</f>
        <v>-</v>
      </c>
      <c r="DE38" s="56" t="str">
        <f>IF(LEFT(_xll.BView($DP38,DE$19,"headers=false"),1)&lt;&gt;"#",_xll.BView($DP38,DE$19,"headers=false"),"-")</f>
        <v>-</v>
      </c>
      <c r="DF38" s="56" t="str">
        <f>IF(LEFT(_xll.BView($DP38,DF$19,"headers=false"),1)&lt;&gt;"#",_xll.BView($DP38,DF$19,"headers=false"),"-")</f>
        <v>-</v>
      </c>
      <c r="DG38" s="56" t="str">
        <f>IF(LEFT(_xll.BView($DP38,DG$19,"headers=false"),1)&lt;&gt;"#",_xll.BView($DP38,DG$19,"headers=false"),"-")</f>
        <v>-</v>
      </c>
      <c r="DH38" s="56" t="str">
        <f>IF(LEFT(_xll.BView($DP38,DH$19,"headers=false"),1)&lt;&gt;"#",_xll.BView($DP38,DH$19,"headers=false"),"-")</f>
        <v>-</v>
      </c>
      <c r="DI38" s="56" t="str">
        <f>IF(LEFT(_xll.BView($DP38,DI$19,"headers=false"),1)&lt;&gt;"#",_xll.BView($DP38,DI$19,"headers=false"),"-")</f>
        <v>-</v>
      </c>
      <c r="DJ38" s="56" t="str">
        <f>IF(LEFT(_xll.BView($DP38,DJ$19,"headers=false"),1)&lt;&gt;"#",_xll.BView($DP38,DJ$19,"headers=false"),"-")</f>
        <v>-</v>
      </c>
      <c r="DK38" s="56" t="str">
        <f>IF(LEFT(_xll.BView($DP38,DK$19,"headers=false"),1)&lt;&gt;"#",_xll.BView($DP38,DK$19,"headers=false"),"-")</f>
        <v>-</v>
      </c>
      <c r="DL38" s="56" t="str">
        <f>IF(LEFT(_xll.BView($DP38,DL$19,"headers=false"),1)&lt;&gt;"#",_xll.BView($DP38,DL$19,"headers=false"),"-")</f>
        <v>-</v>
      </c>
      <c r="DN38" s="75" t="str">
        <f>IF(Y38&lt;&gt;"",IF(ISERROR(RIGHT(Y38,1)*1)," "&amp;Y38&amp;"x"&amp;IF(AA38&lt;&gt;"",AA38,Y38)," E"&amp;usdate(Y38)&amp;" "&amp;IF(AA38&lt;&gt;"",usdate(AA38),usdate(Y38+3653))),IF(AA38&lt;&gt;"",IF(ISERROR(RIGHT(AA38,1)*1)," "&amp;AA38," "&amp;usdate(AA38)),""))</f>
        <v/>
      </c>
      <c r="DO38" s="75" t="str">
        <f>IF(OR(H38&lt;&gt;"",N38&lt;&gt;""),_xll.BSTRUCTURE(IF(H38&lt;&gt;"",H38,O38&amp;DN38),$Q$19:$W$19,Q38:W38,$AB$19:$AC$19,AB38:AC38,$AH$19:$AK$19,AH38:AK38,$AM$19:$AQ$19,AM38:AQ38,$AS$19,AS38,$AU$19,AU38,$Z$19,Z38,$Y$19,IF(ISERROR(RIGHT(Y38,1)*1),"",Y38),$AA$19,IF(ISERROR(RIGHT(AA38,1)*1),"",AA38),"ignoreinvalidparams=true"),"Enter deal type or saved ID.")</f>
        <v>Enter deal type or saved ID.</v>
      </c>
      <c r="DP38" s="75" t="str">
        <f>IF(LEFT(DO38,1)="E","",IF(CM38="No",_xll.BPRICE(DO38,"MarketDate",SwaptionMarketDate,"ValuationDate",SwaptionValuationDate,$AE$19:$AF$19,AE38:AF38,"alwaysrefresh"),_xll.BPRICE(DO38,"MarketDate",SwaptionMarketDate,"ValuationDate",SwaptionValuationDate,CP38,CR38,CS38,CU38,$AE$19:$AF$19,AE38:AF38,"alwaysrefresh")))</f>
        <v/>
      </c>
      <c r="DU38" s="25"/>
      <c r="DX38" s="25"/>
    </row>
    <row r="39" spans="2:128" x14ac:dyDescent="0.25">
      <c r="B39" s="27" t="str">
        <f>IF(OR(H39&lt;&gt;"",N39&lt;&gt;""),IF(OR(DO39="#N/A Requesting Data...",DO39="#N/A Waiting For Data...",DP39="#N/A Requesting Data...",DP39="#N/A Waiting For Data..."),"Loading ….",IF(OR(LEFT(DO39,1)="#",LEFT(DP39,1)="#"),"Check Inputs",_xll.BView(DP39,B$19,"headers=false"))),"Select Deal Type")</f>
        <v>Select Deal Type</v>
      </c>
      <c r="C39" s="57" t="str">
        <f>IFERROR(1*_xll.BView($DP39,C$19,"headers=false"),"-")</f>
        <v>-</v>
      </c>
      <c r="D39" s="57" t="str">
        <f>IFERROR(1*_xll.BView($DP39,D$19,"headers=false"),"-")</f>
        <v>-</v>
      </c>
      <c r="E39" s="56" t="str">
        <f>IFERROR(1*_xll.BView($DP39,E$19,"headers=false"),"-")</f>
        <v>-</v>
      </c>
      <c r="F39" s="56" t="str">
        <f>IFERROR(1*_xll.BView($DP39,F$19,"headers=false"),"-")</f>
        <v>-</v>
      </c>
      <c r="H39" s="40"/>
      <c r="I39" s="40" t="s">
        <v>1</v>
      </c>
      <c r="J39" s="20"/>
      <c r="K39" s="96" t="str">
        <f t="shared" si="3"/>
        <v/>
      </c>
      <c r="L39" s="40"/>
      <c r="M39" s="20"/>
      <c r="N39" s="58"/>
      <c r="O39" s="52" t="e">
        <f t="shared" si="0"/>
        <v>#N/A</v>
      </c>
      <c r="P39" s="20"/>
      <c r="Q39" s="40"/>
      <c r="R39" s="106"/>
      <c r="S39" s="106"/>
      <c r="T39" s="106"/>
      <c r="U39" s="106"/>
      <c r="V39" s="106"/>
      <c r="W39" s="106"/>
      <c r="X39" s="78"/>
      <c r="Y39" s="36"/>
      <c r="Z39" s="81"/>
      <c r="AA39" s="36"/>
      <c r="AB39" s="40"/>
      <c r="AC39" s="106"/>
      <c r="AD39" s="78"/>
      <c r="AE39" s="40"/>
      <c r="AF39" s="77"/>
      <c r="AG39" s="20"/>
      <c r="AH39" s="40"/>
      <c r="AI39" s="40"/>
      <c r="AJ39" s="40"/>
      <c r="AK39" s="40"/>
      <c r="AL39" s="20"/>
      <c r="AM39" s="40"/>
      <c r="AN39" s="40"/>
      <c r="AO39" s="40"/>
      <c r="AP39" s="40"/>
      <c r="AQ39" s="40"/>
      <c r="AR39" s="20"/>
      <c r="AS39" s="40"/>
      <c r="AT39" s="20"/>
      <c r="AU39" s="40"/>
      <c r="AV39" s="20"/>
      <c r="AW39" s="48" t="str">
        <f>IF(LEFT(_xll.BView($DO39,AW$19,"headers=false"),1)&lt;&gt;"#",_xll.BView($DO39,AW$19,"headers=false"),"-")</f>
        <v>-</v>
      </c>
      <c r="AX39" s="48" t="str">
        <f>IF(LEFT(_xll.BView($DO39,AX$19,"headers=false"),1)&lt;&gt;"#",_xll.BView($DO39,AX$19,"headers=false"),"-")</f>
        <v>-</v>
      </c>
      <c r="AY39" s="56" t="str">
        <f>IF(LEFT(_xll.BView($DO39,AY$19,"headers=false"),1)&lt;&gt;"#",_xll.BView($DO39,AY$19,"headers=false"),"-")</f>
        <v>-</v>
      </c>
      <c r="AZ39" s="49" t="str">
        <f>IF(LEFT(_xll.BView($DO39,AZ$19,"headers=false"),1)&lt;&gt;"#",_xll.BView($DO39,AZ$19,"headers=false"),"-")</f>
        <v>-</v>
      </c>
      <c r="BA39" s="48" t="str">
        <f>IF(LEFT(_xll.BView($DO39,BA$19,"headers=false"),1)&lt;&gt;"#",_xll.BView($DO39,BA$19,"headers=false"),"-")</f>
        <v>-</v>
      </c>
      <c r="BB39" s="48" t="str">
        <f>IF(LEFT(_xll.BView($DO39,BB$19,"headers=false"),1)&lt;&gt;"#",_xll.BView($DO39,BB$19,"headers=false"),"-")</f>
        <v>-</v>
      </c>
      <c r="BC39" s="48" t="str">
        <f>IF(LEFT(_xll.BView($DO39,BC$19,"headers=false"),1)&lt;&gt;"#",_xll.BView($DO39,BC$19,"headers=false"),"-")</f>
        <v>-</v>
      </c>
      <c r="BD39" s="20"/>
      <c r="BE39" s="37" t="str">
        <f>IF(LEFT(_xll.BView($DO39,BE$19,"headers=false"),1)&lt;&gt;"#",_xll.BView($DO39,BE$19,"headers=false"),"-")</f>
        <v>-</v>
      </c>
      <c r="BF39" s="37" t="str">
        <f>IF(LEFT(_xll.BView($DO39,BF$19,"headers=false"),1)&lt;&gt;"#",_xll.BView($DO39,BF$19,"headers=false"),"-")</f>
        <v>-</v>
      </c>
      <c r="BG39" s="37" t="str">
        <f>IF(LEFT(_xll.BView($DO39,BG$19,"headers=false"),1)&lt;&gt;"#",_xll.BView($DO39,BG$19,"headers=false"),"-")</f>
        <v>-</v>
      </c>
      <c r="BH39" s="37" t="str">
        <f>IF(LEFT(_xll.BView($DO39,BH$19,"headers=false"),1)&lt;&gt;"#",_xll.BView($DO39,BH$19,"headers=false"),"-")</f>
        <v>-</v>
      </c>
      <c r="BI39" s="27" t="str">
        <f>IF(LEFT(_xll.BView($DO39,BI$19,"headers=false"),1)&lt;&gt;"#",_xll.BView($DO39,BI$19,"headers=false"),"-")</f>
        <v>-</v>
      </c>
      <c r="BJ39" s="21"/>
      <c r="BK39" s="27" t="str">
        <f>IF(LEFT(_xll.BView($DO39,BK$19,"headers=false"),1)&lt;&gt;"#",_xll.BView($DO39,BK$19,"headers=false"),"-")</f>
        <v>-</v>
      </c>
      <c r="BL39" s="27" t="str">
        <f>IF(LEFT(_xll.BView($DO39,BL$19,"headers=false"),1)&lt;&gt;"#",_xll.BView($DO39,BL$19,"headers=false"),"-")</f>
        <v>-</v>
      </c>
      <c r="BM39" s="27" t="str">
        <f>IF(LEFT(_xll.BView($DO39,BM$19,"headers=false"),1)&lt;&gt;"#",_xll.BView($DO39,BM$19,"headers=false"),"-")</f>
        <v>-</v>
      </c>
      <c r="BN39" s="38" t="str">
        <f>IF(LEFT(_xll.BView($DO39,BN$19,"headers=false"),1)&lt;&gt;"#",_xll.BView($DO39,BN$19,"headers=false"),"-")</f>
        <v>-</v>
      </c>
      <c r="BO39" s="27" t="str">
        <f>IF(LEFT(_xll.BView($DO39,BO$19,"headers=false"),1)&lt;&gt;"#",_xll.BView($DO39,BO$19,"headers=false"),"-")</f>
        <v>-</v>
      </c>
      <c r="BP39" s="27" t="str">
        <f>IF(LEFT(_xll.BView($DO39,BP$19,"headers=false"),1)&lt;&gt;"#",_xll.BView($DO39,BP$19,"headers=false"),"-")</f>
        <v>-</v>
      </c>
      <c r="BQ39" s="27" t="str">
        <f>IF(LEFT(_xll.BView($DO39,BQ$19,"headers=false"),1)&lt;&gt;"#",_xll.BView($DO39,BQ$19,"headers=false"),"-")</f>
        <v>-</v>
      </c>
      <c r="BR39" s="22"/>
      <c r="BS39" s="27" t="str">
        <f>IF(LEFT(_xll.BView($DO39,BS$19,"headers=false"),1)&lt;&gt;"#",_xll.BView($DO39,BS$19,"headers=false"),"-")</f>
        <v>-</v>
      </c>
      <c r="BT39" s="27" t="str">
        <f>IF(LEFT(_xll.BView($DO39,BT$19,"headers=false"),1)&lt;&gt;"#",_xll.BView($DO39,BT$19,"headers=false"),"-")</f>
        <v>-</v>
      </c>
      <c r="BU39" s="27" t="str">
        <f>IF(LEFT(_xll.BView($DO39,BU$19,"headers=false"),1)&lt;&gt;"#",_xll.BView($DO39,BU$19,"headers=false"),"-")</f>
        <v>-</v>
      </c>
      <c r="BV39" s="27" t="str">
        <f>IF(LEFT(_xll.BView($DO39,BV$19,"headers=false"),1)&lt;&gt;"#",_xll.BView($DO39,BV$19,"headers=false"),"-")</f>
        <v>-</v>
      </c>
      <c r="BW39" s="27" t="str">
        <f>IF(LEFT(_xll.BView($DO39,BW$19,"headers=false"),1)&lt;&gt;"#",_xll.BView($DO39,BW$19,"headers=false"),"-")</f>
        <v>-</v>
      </c>
      <c r="BX39" s="27" t="str">
        <f>IF(LEFT(_xll.BView($DO39,BX$19,"headers=false"),1)&lt;&gt;"#",_xll.BView($DO39,BX$19,"headers=false"),"-")</f>
        <v>-</v>
      </c>
      <c r="BY39" s="27" t="str">
        <f>IF(LEFT(_xll.BView($DO39,BY$19,"headers=false"),1)&lt;&gt;"#",_xll.BView($DO39,BY$19,"headers=false"),"-")</f>
        <v>-</v>
      </c>
      <c r="BZ39" s="27" t="str">
        <f>IF(LEFT(_xll.BView($DO39,BZ$19,"headers=false"),1)&lt;&gt;"#",_xll.BView($DO39,BZ$19,"headers=false"),"-")</f>
        <v>-</v>
      </c>
      <c r="CA39" s="22"/>
      <c r="CB39" s="27" t="str">
        <f>IF(LEFT(_xll.BView($DO39,CB$19,"headers=false"),1)&lt;&gt;"#",_xll.BView($DO39,CB$19,"headers=false"),"-")</f>
        <v>-</v>
      </c>
      <c r="CC39" s="22"/>
      <c r="CD39" s="27" t="str">
        <f>IF(LEFT(_xll.BView($DO39,CD$19,"headers=false"),1)&lt;&gt;"#",_xll.BView($DO39,CD$19,"headers=false"),"-")</f>
        <v>-</v>
      </c>
      <c r="CE39" s="20"/>
      <c r="CF39" s="28" t="str">
        <f>IFERROR(INDEX(_xll.BMARKETPARAM($DO39,"array=true"),2,1),"")</f>
        <v/>
      </c>
      <c r="CG39" s="28" t="str">
        <f>IFERROR(INDEX(_xll.BMARKETPARAM($DO39,"array=true"),2,3),"")</f>
        <v/>
      </c>
      <c r="CH39" s="28" t="str">
        <f>IFERROR(INDEX(_xll.BMARKETPARAM($DO39,"array=true"),3,1),"")</f>
        <v/>
      </c>
      <c r="CI39" s="28" t="str">
        <f>IFERROR(INDEX(_xll.BMARKETPARAM($DO39,"array=true"),3,3),"")</f>
        <v/>
      </c>
      <c r="CJ39" s="28" t="str">
        <f>IFERROR(INDEX(_xll.BMARKETPARAM($DO39,"array=true"),4,1),"")</f>
        <v/>
      </c>
      <c r="CK39" s="28" t="str">
        <f>IFERROR(INDEX(_xll.BMARKETPARAM($DO39,"array=true"),4,3),"")</f>
        <v/>
      </c>
      <c r="CL39" s="20"/>
      <c r="CM39" s="40" t="s">
        <v>1</v>
      </c>
      <c r="CN39" s="40"/>
      <c r="CO39" s="91"/>
      <c r="CP39" s="28" t="str">
        <f t="shared" si="1"/>
        <v/>
      </c>
      <c r="CQ39" s="92"/>
      <c r="CR39" s="93" t="str">
        <f>IF(CQ39&lt;&gt;"",_xll.BCurveStrip(CQ39,"CurveDate",SwaptionMarketDate,"ApplyDC",$CN39,"ParallelShift",$CO39),"")</f>
        <v/>
      </c>
      <c r="CS39" s="93" t="str">
        <f t="shared" si="2"/>
        <v/>
      </c>
      <c r="CT39" s="40"/>
      <c r="CU39" s="93" t="str">
        <f>IF(CT39&lt;&gt;"",_xll.BCurveStrip(CT39,"CurveDate",SwaptionMarketDate,"ApplyDC",$CN39,"ParallelShift",$CO39),"")</f>
        <v/>
      </c>
      <c r="CV39" s="20"/>
      <c r="CW39" s="56" t="str">
        <f>IF(LEFT(_xll.BView($DP39,CW$19,"headers=false"),1)&lt;&gt;"#",_xll.BView($DP39,CW$19,"headers=false"),"-")</f>
        <v>-</v>
      </c>
      <c r="CX39" s="56" t="str">
        <f>IF(LEFT(_xll.BView($DP39,CX$19,"headers=false"),1)&lt;&gt;"#",_xll.BView($DP39,CX$19,"headers=false"),"-")</f>
        <v>-</v>
      </c>
      <c r="CY39" s="56" t="str">
        <f>IF(LEFT(_xll.BView($DP39,CY$19,"headers=false"),1)&lt;&gt;"#",_xll.BView($DP39,CY$19,"headers=false"),"-")</f>
        <v>-</v>
      </c>
      <c r="CZ39" s="56" t="str">
        <f>IF(LEFT(_xll.BView($DP39,CZ$19,"headers=false"),1)&lt;&gt;"#",_xll.BView($DP39,CZ$19,"headers=false"),"-")</f>
        <v>-</v>
      </c>
      <c r="DA39" s="56" t="str">
        <f>IF(LEFT(_xll.BView($DP39,DA$19,"headers=false"),1)&lt;&gt;"#",_xll.BView($DP39,DA$19,"headers=false"),"-")</f>
        <v>-</v>
      </c>
      <c r="DB39" s="56" t="str">
        <f>IF(LEFT(_xll.BView($DP39,DB$19,"headers=false"),1)&lt;&gt;"#",_xll.BView($DP39,DB$19,"headers=false"),"-")</f>
        <v>-</v>
      </c>
      <c r="DC39" s="56" t="str">
        <f>IF(LEFT(_xll.BView($DP39,DC$19,"headers=false"),1)&lt;&gt;"#",_xll.BView($DP39,DC$19,"headers=false"),"-")</f>
        <v>-</v>
      </c>
      <c r="DD39" s="56" t="str">
        <f>IF(LEFT(_xll.BView($DP39,DD$19,"headers=false"),1)&lt;&gt;"#",_xll.BView($DP39,DD$19,"headers=false"),"-")</f>
        <v>-</v>
      </c>
      <c r="DE39" s="56" t="str">
        <f>IF(LEFT(_xll.BView($DP39,DE$19,"headers=false"),1)&lt;&gt;"#",_xll.BView($DP39,DE$19,"headers=false"),"-")</f>
        <v>-</v>
      </c>
      <c r="DF39" s="56" t="str">
        <f>IF(LEFT(_xll.BView($DP39,DF$19,"headers=false"),1)&lt;&gt;"#",_xll.BView($DP39,DF$19,"headers=false"),"-")</f>
        <v>-</v>
      </c>
      <c r="DG39" s="56" t="str">
        <f>IF(LEFT(_xll.BView($DP39,DG$19,"headers=false"),1)&lt;&gt;"#",_xll.BView($DP39,DG$19,"headers=false"),"-")</f>
        <v>-</v>
      </c>
      <c r="DH39" s="56" t="str">
        <f>IF(LEFT(_xll.BView($DP39,DH$19,"headers=false"),1)&lt;&gt;"#",_xll.BView($DP39,DH$19,"headers=false"),"-")</f>
        <v>-</v>
      </c>
      <c r="DI39" s="56" t="str">
        <f>IF(LEFT(_xll.BView($DP39,DI$19,"headers=false"),1)&lt;&gt;"#",_xll.BView($DP39,DI$19,"headers=false"),"-")</f>
        <v>-</v>
      </c>
      <c r="DJ39" s="56" t="str">
        <f>IF(LEFT(_xll.BView($DP39,DJ$19,"headers=false"),1)&lt;&gt;"#",_xll.BView($DP39,DJ$19,"headers=false"),"-")</f>
        <v>-</v>
      </c>
      <c r="DK39" s="56" t="str">
        <f>IF(LEFT(_xll.BView($DP39,DK$19,"headers=false"),1)&lt;&gt;"#",_xll.BView($DP39,DK$19,"headers=false"),"-")</f>
        <v>-</v>
      </c>
      <c r="DL39" s="56" t="str">
        <f>IF(LEFT(_xll.BView($DP39,DL$19,"headers=false"),1)&lt;&gt;"#",_xll.BView($DP39,DL$19,"headers=false"),"-")</f>
        <v>-</v>
      </c>
      <c r="DN39" s="75" t="str">
        <f>IF(Y39&lt;&gt;"",IF(ISERROR(RIGHT(Y39,1)*1)," "&amp;Y39&amp;"x"&amp;IF(AA39&lt;&gt;"",AA39,Y39)," E"&amp;usdate(Y39)&amp;" "&amp;IF(AA39&lt;&gt;"",usdate(AA39),usdate(Y39+3653))),IF(AA39&lt;&gt;"",IF(ISERROR(RIGHT(AA39,1)*1)," "&amp;AA39," "&amp;usdate(AA39)),""))</f>
        <v/>
      </c>
      <c r="DO39" s="75" t="str">
        <f>IF(OR(H39&lt;&gt;"",N39&lt;&gt;""),_xll.BSTRUCTURE(IF(H39&lt;&gt;"",H39,O39&amp;DN39),$Q$19:$W$19,Q39:W39,$AB$19:$AC$19,AB39:AC39,$AH$19:$AK$19,AH39:AK39,$AM$19:$AQ$19,AM39:AQ39,$AS$19,AS39,$AU$19,AU39,$Z$19,Z39,$Y$19,IF(ISERROR(RIGHT(Y39,1)*1),"",Y39),$AA$19,IF(ISERROR(RIGHT(AA39,1)*1),"",AA39),"ignoreinvalidparams=true"),"Enter deal type or saved ID.")</f>
        <v>Enter deal type or saved ID.</v>
      </c>
      <c r="DP39" s="75" t="str">
        <f>IF(LEFT(DO39,1)="E","",IF(CM39="No",_xll.BPRICE(DO39,"MarketDate",SwaptionMarketDate,"ValuationDate",SwaptionValuationDate,$AE$19:$AF$19,AE39:AF39,"alwaysrefresh"),_xll.BPRICE(DO39,"MarketDate",SwaptionMarketDate,"ValuationDate",SwaptionValuationDate,CP39,CR39,CS39,CU39,$AE$19:$AF$19,AE39:AF39,"alwaysrefresh")))</f>
        <v/>
      </c>
      <c r="DU39" s="25"/>
      <c r="DX39" s="25"/>
    </row>
    <row r="40" spans="2:128" x14ac:dyDescent="0.25">
      <c r="DU40" s="25"/>
      <c r="DX40" s="25"/>
    </row>
    <row r="41" spans="2:128" x14ac:dyDescent="0.25">
      <c r="DU41" s="25"/>
      <c r="DX41" s="25"/>
    </row>
    <row r="42" spans="2:128" x14ac:dyDescent="0.25">
      <c r="DU42" s="25"/>
      <c r="DX42" s="25"/>
    </row>
    <row r="43" spans="2:128" x14ac:dyDescent="0.25">
      <c r="DU43" s="25"/>
      <c r="DX43" s="25"/>
    </row>
    <row r="45" spans="2:128" x14ac:dyDescent="0.25">
      <c r="DU45" s="24"/>
      <c r="DX45" s="24"/>
    </row>
  </sheetData>
  <mergeCells count="118">
    <mergeCell ref="Z17:Z18"/>
    <mergeCell ref="B16:F16"/>
    <mergeCell ref="H16:L16"/>
    <mergeCell ref="N16:N18"/>
    <mergeCell ref="AH16:AK16"/>
    <mergeCell ref="B17:B18"/>
    <mergeCell ref="C17:C18"/>
    <mergeCell ref="D17:D18"/>
    <mergeCell ref="Q16:W16"/>
    <mergeCell ref="Y16:AC16"/>
    <mergeCell ref="AE16:AF16"/>
    <mergeCell ref="F17:F18"/>
    <mergeCell ref="E17:E18"/>
    <mergeCell ref="AK17:AK18"/>
    <mergeCell ref="AH17:AH18"/>
    <mergeCell ref="AI17:AI18"/>
    <mergeCell ref="AJ17:AJ18"/>
    <mergeCell ref="H17:H18"/>
    <mergeCell ref="I17:I18"/>
    <mergeCell ref="K17:K18"/>
    <mergeCell ref="L17:L18"/>
    <mergeCell ref="Q17:Q18"/>
    <mergeCell ref="R17:R18"/>
    <mergeCell ref="S17:S18"/>
    <mergeCell ref="T17:T18"/>
    <mergeCell ref="CF16:CG16"/>
    <mergeCell ref="CH16:CI16"/>
    <mergeCell ref="CJ16:CK16"/>
    <mergeCell ref="CM16:CO16"/>
    <mergeCell ref="CP16:CR16"/>
    <mergeCell ref="AM16:AQ16"/>
    <mergeCell ref="AS16:AS18"/>
    <mergeCell ref="AU16:AU18"/>
    <mergeCell ref="BE16:BI16"/>
    <mergeCell ref="BK16:BQ16"/>
    <mergeCell ref="BS16:BZ16"/>
    <mergeCell ref="AN17:AN18"/>
    <mergeCell ref="AO17:AO18"/>
    <mergeCell ref="AP17:AP18"/>
    <mergeCell ref="AQ17:AQ18"/>
    <mergeCell ref="AW16:BC16"/>
    <mergeCell ref="AM17:AM18"/>
    <mergeCell ref="BN17:BN18"/>
    <mergeCell ref="BO17:BO18"/>
    <mergeCell ref="BP17:BP18"/>
    <mergeCell ref="BE17:BE18"/>
    <mergeCell ref="BI17:BI18"/>
    <mergeCell ref="BK17:BK18"/>
    <mergeCell ref="CS16:CU16"/>
    <mergeCell ref="DN16:DN18"/>
    <mergeCell ref="DO16:DO18"/>
    <mergeCell ref="DP16:DP18"/>
    <mergeCell ref="CW17:CW18"/>
    <mergeCell ref="CX17:CX18"/>
    <mergeCell ref="CY17:CY18"/>
    <mergeCell ref="DD17:DD18"/>
    <mergeCell ref="DE17:DE18"/>
    <mergeCell ref="DF17:DF18"/>
    <mergeCell ref="DG17:DG18"/>
    <mergeCell ref="DH17:DH18"/>
    <mergeCell ref="DI17:DI18"/>
    <mergeCell ref="CT17:CT18"/>
    <mergeCell ref="CU17:CU18"/>
    <mergeCell ref="DJ17:DJ18"/>
    <mergeCell ref="DK17:DK18"/>
    <mergeCell ref="DL17:DL18"/>
    <mergeCell ref="CW16:DL16"/>
    <mergeCell ref="DB17:DB18"/>
    <mergeCell ref="DC17:DC18"/>
    <mergeCell ref="CZ17:CZ18"/>
    <mergeCell ref="DA17:DA18"/>
    <mergeCell ref="BM17:BM18"/>
    <mergeCell ref="AW17:AW18"/>
    <mergeCell ref="AX17:AX18"/>
    <mergeCell ref="AY17:AY18"/>
    <mergeCell ref="AZ17:AZ18"/>
    <mergeCell ref="BA17:BA18"/>
    <mergeCell ref="BB17:BB18"/>
    <mergeCell ref="BC17:BC18"/>
    <mergeCell ref="BG17:BG18"/>
    <mergeCell ref="BH17:BH18"/>
    <mergeCell ref="BF17:BF18"/>
    <mergeCell ref="BL17:BL18"/>
    <mergeCell ref="CJ17:CJ18"/>
    <mergeCell ref="BW17:BW18"/>
    <mergeCell ref="BX17:BX18"/>
    <mergeCell ref="BY17:BY18"/>
    <mergeCell ref="BZ17:BZ18"/>
    <mergeCell ref="CB17:CB18"/>
    <mergeCell ref="BQ17:BQ18"/>
    <mergeCell ref="BS17:BS18"/>
    <mergeCell ref="BT17:BT18"/>
    <mergeCell ref="BU17:BU18"/>
    <mergeCell ref="BV17:BV18"/>
    <mergeCell ref="B12:C13"/>
    <mergeCell ref="D12:E13"/>
    <mergeCell ref="CP17:CP18"/>
    <mergeCell ref="CQ17:CQ18"/>
    <mergeCell ref="CR17:CR18"/>
    <mergeCell ref="CS17:CS18"/>
    <mergeCell ref="U17:U18"/>
    <mergeCell ref="V17:V18"/>
    <mergeCell ref="W17:W18"/>
    <mergeCell ref="Y17:Y18"/>
    <mergeCell ref="AB17:AB18"/>
    <mergeCell ref="AC17:AC18"/>
    <mergeCell ref="AE17:AE18"/>
    <mergeCell ref="AF17:AF18"/>
    <mergeCell ref="AA17:AA18"/>
    <mergeCell ref="CK17:CK18"/>
    <mergeCell ref="CM17:CM18"/>
    <mergeCell ref="CN17:CN18"/>
    <mergeCell ref="CO17:CO18"/>
    <mergeCell ref="CD17:CD18"/>
    <mergeCell ref="CF17:CF18"/>
    <mergeCell ref="CG17:CG18"/>
    <mergeCell ref="CH17:CH18"/>
    <mergeCell ref="CI17:CI18"/>
  </mergeCells>
  <conditionalFormatting sqref="AH20:AH39 AK20:AK39">
    <cfRule type="expression" dxfId="7" priority="3">
      <formula>IF($N20="Float-to-Float",1,0)</formula>
    </cfRule>
  </conditionalFormatting>
  <conditionalFormatting sqref="AM20:AN39 AQ20:AQ39">
    <cfRule type="expression" dxfId="6" priority="2">
      <formula>IF($N20="Fixed-to-Fixed",1,0)</formula>
    </cfRule>
  </conditionalFormatting>
  <conditionalFormatting sqref="Z20:Z39">
    <cfRule type="expression" dxfId="5" priority="1">
      <formula>IF($Q20="European FSS",FALSE,TRUE)</formula>
    </cfRule>
  </conditionalFormatting>
  <dataValidations count="18">
    <dataValidation type="list" allowBlank="1" showInputMessage="1" showErrorMessage="1" sqref="AU20:AU39">
      <formula1>CSACollateral</formula1>
    </dataValidation>
    <dataValidation type="list" allowBlank="1" showInputMessage="1" showErrorMessage="1" sqref="AS20:AS39">
      <formula1>PrincipalExchange</formula1>
    </dataValidation>
    <dataValidation type="list" allowBlank="1" showInputMessage="1" showErrorMessage="1" sqref="AK20:AK39">
      <formula1>CalcBasis</formula1>
    </dataValidation>
    <dataValidation type="list" allowBlank="1" showInputMessage="1" showErrorMessage="1" sqref="AJ20:AJ39 AP20:AP39">
      <formula1>DayCount</formula1>
    </dataValidation>
    <dataValidation type="list" allowBlank="1" showInputMessage="1" showErrorMessage="1" sqref="AI20:AI39 AO20:AO39 AQ20:AQ39">
      <formula1>PaymentFrequency</formula1>
    </dataValidation>
    <dataValidation type="list" allowBlank="1" showInputMessage="1" showErrorMessage="1" sqref="I20:I39 CM20:CM39">
      <formula1>"Yes,No"</formula1>
    </dataValidation>
    <dataValidation type="list" allowBlank="1" showInputMessage="1" showErrorMessage="1" sqref="Q20:Q39">
      <formula1>OptionStyle</formula1>
    </dataValidation>
    <dataValidation type="list" allowBlank="1" showInputMessage="1" showErrorMessage="1" sqref="N20:N39">
      <formula1>SwaptionDealName</formula1>
    </dataValidation>
    <dataValidation type="list" allowBlank="1" showInputMessage="1" showErrorMessage="1" sqref="R20:R39">
      <formula1>OptionPosition</formula1>
    </dataValidation>
    <dataValidation type="list" allowBlank="1" showInputMessage="1" showErrorMessage="1" sqref="U20:U39">
      <formula1>CurrencyList</formula1>
    </dataValidation>
    <dataValidation type="list" allowBlank="1" showInputMessage="1" showErrorMessage="1" sqref="V20:V39">
      <formula1>DeliveryMethod</formula1>
    </dataValidation>
    <dataValidation type="list" allowBlank="1" showInputMessage="1" showErrorMessage="1" sqref="W20:W39">
      <formula1>"True,False"</formula1>
    </dataValidation>
    <dataValidation type="list" allowBlank="1" showInputMessage="1" showErrorMessage="1" sqref="AB20:AB39">
      <formula1>CallFrequency</formula1>
    </dataValidation>
    <dataValidation type="list" allowBlank="1" showInputMessage="1" showErrorMessage="1" sqref="AE20:AE39">
      <formula1>ModelType</formula1>
    </dataValidation>
    <dataValidation type="list" allowBlank="1" showInputMessage="1" showErrorMessage="1" sqref="L20:L39">
      <formula1>FavouriteSwaptions</formula1>
    </dataValidation>
    <dataValidation allowBlank="1" showInputMessage="1" showErrorMessage="1" prompt="Please use one type of date format. Either use a rolling format i.e. &quot;6M&quot; &amp; &quot;1Y&quot; or use exact dates i.e &quot;1/5/2017&quot; &amp; 1/5/2023&quot;." sqref="Y20:Y39 AA20:AA39"/>
    <dataValidation type="list" allowBlank="1" showInputMessage="1" showErrorMessage="1" sqref="D12:E13">
      <formula1>SwaptionsJumpTo</formula1>
    </dataValidation>
    <dataValidation allowBlank="1" showInputMessage="1" showErrorMessage="1" prompt="Please enter the effective date as an exact date i.e &quot;1/5/2017&quot; or 1/5/2023&quot;." sqref="Z20:Z39"/>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SwapsClear">
              <controlPr defaultSize="0" print="0" autoFill="0" autoPict="0" macro="[0]!swaptionsClearAll">
                <anchor moveWithCells="1" sizeWithCells="1">
                  <from>
                    <xdr:col>7</xdr:col>
                    <xdr:colOff>9525</xdr:colOff>
                    <xdr:row>10</xdr:row>
                    <xdr:rowOff>9525</xdr:rowOff>
                  </from>
                  <to>
                    <xdr:col>9</xdr:col>
                    <xdr:colOff>0</xdr:colOff>
                    <xdr:row>11</xdr:row>
                    <xdr:rowOff>38100</xdr:rowOff>
                  </to>
                </anchor>
              </controlPr>
            </control>
          </mc:Choice>
        </mc:AlternateContent>
        <mc:AlternateContent xmlns:mc="http://schemas.openxmlformats.org/markup-compatibility/2006">
          <mc:Choice Requires="x14">
            <control shapeId="5123" r:id="rId5" name="ClearSelected">
              <controlPr defaultSize="0" print="0" autoFill="0" autoPict="0" macro="[0]!swaptionsClearSelected">
                <anchor moveWithCells="1" sizeWithCells="1">
                  <from>
                    <xdr:col>7</xdr:col>
                    <xdr:colOff>9525</xdr:colOff>
                    <xdr:row>11</xdr:row>
                    <xdr:rowOff>85725</xdr:rowOff>
                  </from>
                  <to>
                    <xdr:col>9</xdr:col>
                    <xdr:colOff>0</xdr:colOff>
                    <xdr:row>12</xdr:row>
                    <xdr:rowOff>104775</xdr:rowOff>
                  </to>
                </anchor>
              </controlPr>
            </control>
          </mc:Choice>
        </mc:AlternateContent>
        <mc:AlternateContent xmlns:mc="http://schemas.openxmlformats.org/markup-compatibility/2006">
          <mc:Choice Requires="x14">
            <control shapeId="5124" r:id="rId6" name="SaveId">
              <controlPr defaultSize="0" print="0" autoFill="0" autoPict="0" macro="[0]!swaptionsSave">
                <anchor moveWithCells="1" sizeWithCells="1">
                  <from>
                    <xdr:col>7</xdr:col>
                    <xdr:colOff>9525</xdr:colOff>
                    <xdr:row>12</xdr:row>
                    <xdr:rowOff>152400</xdr:rowOff>
                  </from>
                  <to>
                    <xdr:col>9</xdr:col>
                    <xdr:colOff>0</xdr:colOff>
                    <xdr:row>13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av"/>
  <dimension ref="B1:AJ61"/>
  <sheetViews>
    <sheetView showGridLines="0" workbookViewId="0">
      <pane xSplit="6" ySplit="5" topLeftCell="G6" activePane="bottomRight" state="frozen"/>
      <selection pane="topRight" activeCell="G1" sqref="G1"/>
      <selection pane="bottomLeft" activeCell="A6" sqref="A6"/>
      <selection pane="bottomRight" activeCell="B7" sqref="B7:D8"/>
    </sheetView>
  </sheetViews>
  <sheetFormatPr defaultRowHeight="15" x14ac:dyDescent="0.25"/>
  <cols>
    <col min="1" max="1" width="1.7109375" customWidth="1"/>
    <col min="2" max="2" width="55" customWidth="1"/>
    <col min="3" max="3" width="0.85546875" style="74" customWidth="1"/>
    <col min="4" max="4" width="14.140625" bestFit="1" customWidth="1"/>
    <col min="5" max="5" width="9.28515625" hidden="1" customWidth="1"/>
    <col min="6" max="6" width="0.85546875" customWidth="1"/>
    <col min="7" max="7" width="13.7109375" bestFit="1" customWidth="1"/>
    <col min="8" max="8" width="15.42578125" bestFit="1" customWidth="1"/>
    <col min="9" max="9" width="15.85546875" bestFit="1" customWidth="1"/>
    <col min="10" max="10" width="12" bestFit="1" customWidth="1"/>
    <col min="11" max="11" width="8.85546875" bestFit="1" customWidth="1"/>
    <col min="12" max="12" width="22" bestFit="1" customWidth="1"/>
    <col min="13" max="13" width="17.42578125" bestFit="1" customWidth="1"/>
    <col min="14" max="14" width="22.7109375" customWidth="1"/>
    <col min="15" max="15" width="22.28515625" bestFit="1" customWidth="1"/>
    <col min="16" max="16" width="15.85546875" bestFit="1" customWidth="1"/>
    <col min="17" max="17" width="14.85546875" bestFit="1" customWidth="1"/>
    <col min="18" max="18" width="20.140625" bestFit="1" customWidth="1"/>
    <col min="19" max="19" width="13.28515625" bestFit="1" customWidth="1"/>
    <col min="20" max="20" width="19.42578125" bestFit="1" customWidth="1"/>
    <col min="21" max="21" width="19.7109375" bestFit="1" customWidth="1"/>
    <col min="22" max="22" width="15.7109375" bestFit="1" customWidth="1"/>
    <col min="23" max="23" width="21.7109375" bestFit="1" customWidth="1"/>
    <col min="24" max="24" width="19.7109375" bestFit="1" customWidth="1"/>
    <col min="25" max="25" width="15.7109375" bestFit="1" customWidth="1"/>
    <col min="26" max="26" width="16.7109375" bestFit="1" customWidth="1"/>
    <col min="27" max="27" width="15" bestFit="1" customWidth="1"/>
    <col min="28" max="28" width="14.85546875" bestFit="1" customWidth="1"/>
    <col min="29" max="29" width="19.42578125" bestFit="1" customWidth="1"/>
    <col min="30" max="30" width="19.7109375" bestFit="1" customWidth="1"/>
    <col min="31" max="31" width="19.42578125" bestFit="1" customWidth="1"/>
    <col min="32" max="32" width="21.7109375" bestFit="1" customWidth="1"/>
    <col min="33" max="33" width="15.7109375" bestFit="1" customWidth="1"/>
    <col min="34" max="34" width="21.7109375" bestFit="1" customWidth="1"/>
    <col min="35" max="35" width="15.140625" bestFit="1" customWidth="1"/>
    <col min="36" max="36" width="20.7109375" bestFit="1" customWidth="1"/>
    <col min="37" max="37" width="17.7109375" bestFit="1" customWidth="1"/>
    <col min="38" max="38" width="0.85546875" customWidth="1"/>
    <col min="39" max="39" width="20.7109375" bestFit="1" customWidth="1"/>
  </cols>
  <sheetData>
    <row r="1" spans="2:36" ht="5.0999999999999996" customHeight="1" x14ac:dyDescent="0.25"/>
    <row r="2" spans="2:36" ht="15" customHeight="1" x14ac:dyDescent="0.25"/>
    <row r="3" spans="2:36" ht="15" customHeight="1" x14ac:dyDescent="0.25"/>
    <row r="4" spans="2:36" ht="15" customHeight="1" x14ac:dyDescent="0.25"/>
    <row r="5" spans="2:36" ht="5.0999999999999996" customHeight="1" x14ac:dyDescent="0.25"/>
    <row r="6" spans="2:36" ht="5.0999999999999996" customHeight="1" x14ac:dyDescent="0.25"/>
    <row r="7" spans="2:36" ht="15" customHeight="1" x14ac:dyDescent="0.25">
      <c r="B7" s="172" t="s">
        <v>291</v>
      </c>
      <c r="C7" s="169"/>
      <c r="D7" s="173"/>
    </row>
    <row r="8" spans="2:36" x14ac:dyDescent="0.25">
      <c r="B8" s="174"/>
      <c r="C8" s="175"/>
      <c r="D8" s="176"/>
    </row>
    <row r="10" spans="2:36" x14ac:dyDescent="0.25">
      <c r="B10" s="169" t="s">
        <v>221</v>
      </c>
      <c r="D10" s="139" t="s">
        <v>9</v>
      </c>
      <c r="E10" s="15"/>
      <c r="F10" s="15"/>
      <c r="G10" s="185" t="s">
        <v>22</v>
      </c>
      <c r="H10" s="186"/>
      <c r="I10" s="186"/>
      <c r="J10" s="72" t="s">
        <v>205</v>
      </c>
      <c r="K10" s="70"/>
      <c r="L10" s="72" t="s">
        <v>195</v>
      </c>
      <c r="M10" s="71"/>
      <c r="N10" s="71"/>
      <c r="O10" s="71"/>
      <c r="P10" s="71"/>
      <c r="Q10" s="71"/>
      <c r="R10" s="71"/>
      <c r="S10" s="71"/>
      <c r="T10" s="71"/>
      <c r="U10" s="70"/>
      <c r="V10" s="72" t="s">
        <v>196</v>
      </c>
      <c r="W10" s="71"/>
      <c r="X10" s="71"/>
      <c r="Y10" s="71"/>
      <c r="Z10" s="71"/>
      <c r="AA10" s="71"/>
      <c r="AB10" s="71"/>
      <c r="AC10" s="71"/>
      <c r="AD10" s="71"/>
      <c r="AE10" s="70"/>
      <c r="AF10" s="139" t="s">
        <v>149</v>
      </c>
      <c r="AG10" s="139" t="s">
        <v>193</v>
      </c>
      <c r="AH10" s="15"/>
      <c r="AJ10" s="15"/>
    </row>
    <row r="11" spans="2:36" ht="15" customHeight="1" x14ac:dyDescent="0.25">
      <c r="B11" s="170"/>
      <c r="D11" s="137"/>
      <c r="E11" s="15"/>
      <c r="F11" s="15"/>
      <c r="G11" s="121" t="s">
        <v>23</v>
      </c>
      <c r="H11" s="165" t="s">
        <v>24</v>
      </c>
      <c r="I11" s="125" t="s">
        <v>25</v>
      </c>
      <c r="J11" s="69" t="s">
        <v>11</v>
      </c>
      <c r="K11" s="66" t="s">
        <v>12</v>
      </c>
      <c r="L11" s="69" t="s">
        <v>14</v>
      </c>
      <c r="M11" s="67" t="s">
        <v>15</v>
      </c>
      <c r="N11" s="67" t="s">
        <v>16</v>
      </c>
      <c r="O11" s="67" t="s">
        <v>112</v>
      </c>
      <c r="P11" s="67" t="s">
        <v>113</v>
      </c>
      <c r="Q11" s="67" t="s">
        <v>114</v>
      </c>
      <c r="R11" s="67" t="s">
        <v>115</v>
      </c>
      <c r="S11" s="67" t="s">
        <v>116</v>
      </c>
      <c r="T11" s="67" t="s">
        <v>117</v>
      </c>
      <c r="U11" s="66" t="s">
        <v>118</v>
      </c>
      <c r="V11" s="69" t="s">
        <v>14</v>
      </c>
      <c r="W11" s="67" t="s">
        <v>15</v>
      </c>
      <c r="X11" s="67" t="s">
        <v>16</v>
      </c>
      <c r="Y11" s="67" t="s">
        <v>112</v>
      </c>
      <c r="Z11" s="67" t="s">
        <v>113</v>
      </c>
      <c r="AA11" s="67" t="s">
        <v>17</v>
      </c>
      <c r="AB11" s="67" t="s">
        <v>18</v>
      </c>
      <c r="AC11" s="67" t="s">
        <v>19</v>
      </c>
      <c r="AD11" s="67" t="s">
        <v>20</v>
      </c>
      <c r="AE11" s="66" t="s">
        <v>21</v>
      </c>
      <c r="AF11" s="184"/>
      <c r="AG11" s="137"/>
      <c r="AH11" s="15"/>
      <c r="AJ11" s="15"/>
    </row>
    <row r="12" spans="2:36" x14ac:dyDescent="0.25">
      <c r="B12" s="170"/>
      <c r="D12" s="138"/>
      <c r="E12" s="54"/>
      <c r="F12" s="54"/>
      <c r="G12" s="122"/>
      <c r="H12" s="124"/>
      <c r="I12" s="126"/>
      <c r="J12" s="68"/>
      <c r="K12" s="65"/>
      <c r="L12" s="68"/>
      <c r="M12" s="33"/>
      <c r="N12" s="33"/>
      <c r="O12" s="33"/>
      <c r="P12" s="33"/>
      <c r="Q12" s="33"/>
      <c r="R12" s="33"/>
      <c r="S12" s="33"/>
      <c r="T12" s="33"/>
      <c r="U12" s="65"/>
      <c r="V12" s="68"/>
      <c r="W12" s="33"/>
      <c r="X12" s="33"/>
      <c r="Y12" s="33"/>
      <c r="Z12" s="33"/>
      <c r="AA12" s="33"/>
      <c r="AB12" s="33"/>
      <c r="AC12" s="33"/>
      <c r="AD12" s="33"/>
      <c r="AE12" s="65"/>
      <c r="AF12" s="138"/>
      <c r="AG12" s="138"/>
      <c r="AH12" s="54"/>
      <c r="AJ12" s="54"/>
    </row>
    <row r="13" spans="2:36" ht="15" hidden="1" customHeight="1" x14ac:dyDescent="0.25">
      <c r="D13" s="84" t="s">
        <v>9</v>
      </c>
      <c r="E13" s="74"/>
      <c r="F13" s="74"/>
      <c r="G13" s="84" t="s">
        <v>23</v>
      </c>
      <c r="H13" s="84"/>
      <c r="I13" s="84" t="s">
        <v>25</v>
      </c>
      <c r="J13" s="84" t="s">
        <v>11</v>
      </c>
      <c r="K13" s="84" t="s">
        <v>12</v>
      </c>
      <c r="L13" s="84" t="s">
        <v>157</v>
      </c>
      <c r="M13" s="84" t="s">
        <v>158</v>
      </c>
      <c r="N13" s="84" t="s">
        <v>46</v>
      </c>
      <c r="O13" s="84" t="s">
        <v>37</v>
      </c>
      <c r="P13" s="84" t="s">
        <v>40</v>
      </c>
      <c r="Q13" s="84" t="s">
        <v>163</v>
      </c>
      <c r="R13" s="84" t="s">
        <v>159</v>
      </c>
      <c r="S13" s="84" t="s">
        <v>160</v>
      </c>
      <c r="T13" s="84" t="s">
        <v>161</v>
      </c>
      <c r="U13" s="84" t="s">
        <v>162</v>
      </c>
      <c r="V13" s="84"/>
      <c r="W13" s="84" t="s">
        <v>165</v>
      </c>
      <c r="X13" s="84" t="s">
        <v>48</v>
      </c>
      <c r="Y13" s="84" t="s">
        <v>42</v>
      </c>
      <c r="Z13" s="84" t="s">
        <v>44</v>
      </c>
      <c r="AA13" s="84" t="s">
        <v>166</v>
      </c>
      <c r="AB13" s="84" t="s">
        <v>167</v>
      </c>
      <c r="AC13" s="84" t="s">
        <v>168</v>
      </c>
      <c r="AD13" s="84" t="s">
        <v>169</v>
      </c>
      <c r="AE13" s="84" t="s">
        <v>170</v>
      </c>
      <c r="AF13" s="84" t="s">
        <v>148</v>
      </c>
      <c r="AG13" s="74" t="s">
        <v>155</v>
      </c>
      <c r="AH13" s="84"/>
      <c r="AJ13" s="74"/>
    </row>
    <row r="14" spans="2:36" x14ac:dyDescent="0.25">
      <c r="B14" s="81" t="s">
        <v>294</v>
      </c>
      <c r="D14" s="58" t="s">
        <v>207</v>
      </c>
      <c r="E14" s="42"/>
      <c r="F14" s="42"/>
      <c r="G14" s="44" t="s">
        <v>36</v>
      </c>
      <c r="H14" s="55" t="str">
        <f t="shared" ref="H14:H33" si="0">IF(G14&lt;&gt;"",INDEX(SolveFor,MATCH(IF(G14&lt;&gt;"",G14,"Empty"),SolverTargetName,0)),"")</f>
        <v>Premium</v>
      </c>
      <c r="I14" s="101"/>
      <c r="J14" s="81"/>
      <c r="K14" s="81" t="s">
        <v>296</v>
      </c>
      <c r="L14" s="44" t="s">
        <v>49</v>
      </c>
      <c r="M14" s="44" t="s">
        <v>58</v>
      </c>
      <c r="N14" s="44"/>
      <c r="O14" s="44"/>
      <c r="P14" s="44"/>
      <c r="Q14" s="44"/>
      <c r="R14" s="44"/>
      <c r="S14" s="44"/>
      <c r="T14" s="44"/>
      <c r="U14" s="44"/>
      <c r="V14" s="49" t="str">
        <f t="shared" ref="V14:V33" si="1">IF(L14&lt;&gt;"",IF(L14="Receive","Pay","Receive"),"")</f>
        <v>Pay</v>
      </c>
      <c r="W14" s="44" t="s">
        <v>58</v>
      </c>
      <c r="X14" s="44"/>
      <c r="Y14" s="44"/>
      <c r="Z14" s="44"/>
      <c r="AA14" s="44"/>
      <c r="AB14" s="44"/>
      <c r="AC14" s="44"/>
      <c r="AD14" s="44"/>
      <c r="AE14" s="44"/>
      <c r="AF14" s="44"/>
      <c r="AG14" s="44"/>
      <c r="AH14" s="42"/>
      <c r="AJ14" s="42"/>
    </row>
    <row r="15" spans="2:36" x14ac:dyDescent="0.25">
      <c r="B15" s="81" t="s">
        <v>293</v>
      </c>
      <c r="D15" s="59" t="s">
        <v>207</v>
      </c>
      <c r="E15" s="74"/>
      <c r="F15" s="74"/>
      <c r="G15" s="40" t="s">
        <v>36</v>
      </c>
      <c r="H15" s="28" t="str">
        <f t="shared" si="0"/>
        <v>Premium</v>
      </c>
      <c r="I15" s="102"/>
      <c r="J15" s="40"/>
      <c r="K15" s="40" t="s">
        <v>222</v>
      </c>
      <c r="L15" s="40" t="s">
        <v>49</v>
      </c>
      <c r="M15" s="40" t="s">
        <v>58</v>
      </c>
      <c r="N15" s="40"/>
      <c r="O15" s="40"/>
      <c r="P15" s="40"/>
      <c r="Q15" s="40"/>
      <c r="R15" s="40"/>
      <c r="S15" s="40"/>
      <c r="T15" s="40"/>
      <c r="U15" s="40"/>
      <c r="V15" s="27" t="str">
        <f t="shared" si="1"/>
        <v>Pay</v>
      </c>
      <c r="W15" s="40" t="s">
        <v>58</v>
      </c>
      <c r="X15" s="40"/>
      <c r="Y15" s="40"/>
      <c r="Z15" s="40"/>
      <c r="AA15" s="40"/>
      <c r="AB15" s="40"/>
      <c r="AC15" s="40"/>
      <c r="AD15" s="40"/>
      <c r="AE15" s="40"/>
      <c r="AF15" s="40"/>
      <c r="AG15" s="40"/>
      <c r="AH15" s="84"/>
      <c r="AJ15" s="74"/>
    </row>
    <row r="16" spans="2:36" x14ac:dyDescent="0.25">
      <c r="B16" s="81" t="s">
        <v>295</v>
      </c>
      <c r="D16" s="59" t="s">
        <v>207</v>
      </c>
      <c r="E16" s="74"/>
      <c r="F16" s="74"/>
      <c r="G16" s="40" t="s">
        <v>36</v>
      </c>
      <c r="H16" s="28" t="str">
        <f t="shared" si="0"/>
        <v>Premium</v>
      </c>
      <c r="I16" s="102"/>
      <c r="J16" s="36"/>
      <c r="K16" s="36" t="s">
        <v>297</v>
      </c>
      <c r="L16" s="40" t="s">
        <v>49</v>
      </c>
      <c r="M16" s="40" t="s">
        <v>58</v>
      </c>
      <c r="N16" s="40"/>
      <c r="O16" s="40"/>
      <c r="P16" s="40"/>
      <c r="Q16" s="40"/>
      <c r="R16" s="40"/>
      <c r="S16" s="40"/>
      <c r="T16" s="40"/>
      <c r="U16" s="40"/>
      <c r="V16" s="27" t="str">
        <f t="shared" si="1"/>
        <v>Pay</v>
      </c>
      <c r="W16" s="40" t="s">
        <v>58</v>
      </c>
      <c r="X16" s="40"/>
      <c r="Y16" s="40"/>
      <c r="Z16" s="40"/>
      <c r="AA16" s="40"/>
      <c r="AB16" s="40"/>
      <c r="AC16" s="40"/>
      <c r="AD16" s="40"/>
      <c r="AE16" s="40"/>
      <c r="AF16" s="40"/>
      <c r="AG16" s="40"/>
      <c r="AH16" s="84"/>
      <c r="AJ16" s="74"/>
    </row>
    <row r="17" spans="2:36" x14ac:dyDescent="0.25">
      <c r="B17" s="40"/>
      <c r="D17" s="59"/>
      <c r="E17" s="74"/>
      <c r="F17" s="74"/>
      <c r="G17" s="40"/>
      <c r="H17" s="28" t="str">
        <f t="shared" si="0"/>
        <v/>
      </c>
      <c r="I17" s="102"/>
      <c r="J17" s="40"/>
      <c r="K17" s="40"/>
      <c r="L17" s="40"/>
      <c r="M17" s="40"/>
      <c r="N17" s="40"/>
      <c r="O17" s="40"/>
      <c r="P17" s="40"/>
      <c r="Q17" s="40"/>
      <c r="R17" s="40"/>
      <c r="S17" s="40"/>
      <c r="T17" s="40"/>
      <c r="U17" s="40"/>
      <c r="V17" s="27" t="str">
        <f t="shared" si="1"/>
        <v/>
      </c>
      <c r="W17" s="40"/>
      <c r="X17" s="40"/>
      <c r="Y17" s="40"/>
      <c r="Z17" s="40"/>
      <c r="AA17" s="40"/>
      <c r="AB17" s="40"/>
      <c r="AC17" s="40"/>
      <c r="AD17" s="40"/>
      <c r="AE17" s="40"/>
      <c r="AF17" s="40"/>
      <c r="AG17" s="40"/>
      <c r="AH17" s="84"/>
      <c r="AJ17" s="74"/>
    </row>
    <row r="18" spans="2:36" x14ac:dyDescent="0.25">
      <c r="B18" s="40" t="s">
        <v>305</v>
      </c>
      <c r="D18" s="59" t="s">
        <v>207</v>
      </c>
      <c r="E18" s="74"/>
      <c r="F18" s="74"/>
      <c r="G18" s="40" t="s">
        <v>45</v>
      </c>
      <c r="H18" s="28" t="str">
        <f t="shared" si="0"/>
        <v>DV01</v>
      </c>
      <c r="I18" s="102">
        <v>100000</v>
      </c>
      <c r="J18" s="40" t="s">
        <v>299</v>
      </c>
      <c r="K18" s="36" t="s">
        <v>296</v>
      </c>
      <c r="L18" s="40" t="s">
        <v>49</v>
      </c>
      <c r="M18" s="40" t="s">
        <v>58</v>
      </c>
      <c r="N18" s="40"/>
      <c r="O18" s="40"/>
      <c r="P18" s="40"/>
      <c r="Q18" s="40"/>
      <c r="R18" s="40"/>
      <c r="S18" s="40"/>
      <c r="T18" s="40"/>
      <c r="U18" s="40"/>
      <c r="V18" s="27" t="str">
        <f t="shared" si="1"/>
        <v>Pay</v>
      </c>
      <c r="W18" s="40"/>
      <c r="X18" s="40"/>
      <c r="Y18" s="40"/>
      <c r="Z18" s="40"/>
      <c r="AA18" s="40"/>
      <c r="AB18" s="40"/>
      <c r="AC18" s="40"/>
      <c r="AD18" s="40"/>
      <c r="AE18" s="40"/>
      <c r="AF18" s="40"/>
      <c r="AG18" s="40"/>
      <c r="AH18" s="84"/>
      <c r="AJ18" s="74"/>
    </row>
    <row r="19" spans="2:36" x14ac:dyDescent="0.25">
      <c r="B19" s="40" t="s">
        <v>306</v>
      </c>
      <c r="D19" s="59" t="s">
        <v>207</v>
      </c>
      <c r="E19" s="74"/>
      <c r="F19" s="74"/>
      <c r="G19" s="40" t="s">
        <v>45</v>
      </c>
      <c r="H19" s="28" t="str">
        <f t="shared" si="0"/>
        <v>DV01</v>
      </c>
      <c r="I19" s="102">
        <v>-100000</v>
      </c>
      <c r="J19" s="40" t="s">
        <v>299</v>
      </c>
      <c r="K19" s="40" t="s">
        <v>297</v>
      </c>
      <c r="L19" s="40" t="s">
        <v>50</v>
      </c>
      <c r="M19" s="40" t="s">
        <v>58</v>
      </c>
      <c r="N19" s="40"/>
      <c r="O19" s="40"/>
      <c r="P19" s="40"/>
      <c r="Q19" s="40"/>
      <c r="R19" s="40"/>
      <c r="S19" s="40"/>
      <c r="T19" s="40"/>
      <c r="U19" s="40"/>
      <c r="V19" s="27" t="str">
        <f t="shared" si="1"/>
        <v>Receive</v>
      </c>
      <c r="W19" s="40"/>
      <c r="X19" s="40"/>
      <c r="Y19" s="40"/>
      <c r="Z19" s="40"/>
      <c r="AA19" s="40"/>
      <c r="AB19" s="40"/>
      <c r="AC19" s="40"/>
      <c r="AD19" s="40"/>
      <c r="AE19" s="40"/>
      <c r="AF19" s="40"/>
      <c r="AG19" s="40"/>
      <c r="AH19" s="84"/>
      <c r="AJ19" s="74"/>
    </row>
    <row r="20" spans="2:36" x14ac:dyDescent="0.25">
      <c r="B20" s="40"/>
      <c r="D20" s="59"/>
      <c r="E20" s="74"/>
      <c r="F20" s="74"/>
      <c r="G20" s="40"/>
      <c r="H20" s="28" t="str">
        <f t="shared" si="0"/>
        <v/>
      </c>
      <c r="I20" s="102"/>
      <c r="J20" s="40"/>
      <c r="K20" s="40"/>
      <c r="L20" s="40"/>
      <c r="M20" s="40"/>
      <c r="N20" s="40"/>
      <c r="O20" s="40"/>
      <c r="P20" s="40"/>
      <c r="Q20" s="40"/>
      <c r="R20" s="40"/>
      <c r="S20" s="40"/>
      <c r="T20" s="40"/>
      <c r="U20" s="40"/>
      <c r="V20" s="27" t="str">
        <f t="shared" si="1"/>
        <v/>
      </c>
      <c r="W20" s="40"/>
      <c r="X20" s="40"/>
      <c r="Y20" s="40"/>
      <c r="Z20" s="40"/>
      <c r="AA20" s="40"/>
      <c r="AB20" s="40"/>
      <c r="AC20" s="40"/>
      <c r="AD20" s="40"/>
      <c r="AE20" s="40"/>
      <c r="AF20" s="40"/>
      <c r="AG20" s="40"/>
      <c r="AH20" s="84"/>
      <c r="AJ20" s="74"/>
    </row>
    <row r="21" spans="2:36" x14ac:dyDescent="0.25">
      <c r="B21" s="40" t="s">
        <v>307</v>
      </c>
      <c r="D21" s="59" t="s">
        <v>208</v>
      </c>
      <c r="E21" s="74"/>
      <c r="F21" s="74"/>
      <c r="G21" s="40" t="s">
        <v>43</v>
      </c>
      <c r="H21" s="28" t="str">
        <f t="shared" si="0"/>
        <v>Premium</v>
      </c>
      <c r="I21" s="102">
        <v>0</v>
      </c>
      <c r="J21" s="40"/>
      <c r="K21" s="40" t="s">
        <v>296</v>
      </c>
      <c r="L21" s="40" t="s">
        <v>49</v>
      </c>
      <c r="M21" s="40" t="s">
        <v>58</v>
      </c>
      <c r="N21" s="40"/>
      <c r="O21" s="40"/>
      <c r="P21" s="40"/>
      <c r="Q21" s="40" t="s">
        <v>316</v>
      </c>
      <c r="R21" s="40" t="s">
        <v>121</v>
      </c>
      <c r="S21" s="40" t="s">
        <v>126</v>
      </c>
      <c r="T21" s="40" t="s">
        <v>121</v>
      </c>
      <c r="U21" s="40"/>
      <c r="V21" s="27" t="str">
        <f t="shared" si="1"/>
        <v>Pay</v>
      </c>
      <c r="W21" s="40" t="s">
        <v>54</v>
      </c>
      <c r="X21" s="40"/>
      <c r="Y21" s="40"/>
      <c r="Z21" s="40"/>
      <c r="AA21" s="40" t="s">
        <v>317</v>
      </c>
      <c r="AB21" s="40" t="s">
        <v>121</v>
      </c>
      <c r="AC21" s="40"/>
      <c r="AD21" s="40"/>
      <c r="AE21" s="40"/>
      <c r="AF21" s="40"/>
      <c r="AG21" s="40"/>
      <c r="AH21" s="84"/>
      <c r="AJ21" s="74"/>
    </row>
    <row r="22" spans="2:36" x14ac:dyDescent="0.25">
      <c r="B22" s="40" t="s">
        <v>308</v>
      </c>
      <c r="D22" s="59" t="s">
        <v>208</v>
      </c>
      <c r="E22" s="74"/>
      <c r="F22" s="74"/>
      <c r="G22" s="40" t="s">
        <v>43</v>
      </c>
      <c r="H22" s="28" t="str">
        <f t="shared" si="0"/>
        <v>Premium</v>
      </c>
      <c r="I22" s="102">
        <v>0</v>
      </c>
      <c r="J22" s="40"/>
      <c r="K22" s="40" t="s">
        <v>296</v>
      </c>
      <c r="L22" s="40" t="s">
        <v>49</v>
      </c>
      <c r="M22" s="40" t="s">
        <v>58</v>
      </c>
      <c r="N22" s="40"/>
      <c r="O22" s="40"/>
      <c r="P22" s="40"/>
      <c r="Q22" s="40" t="s">
        <v>316</v>
      </c>
      <c r="R22" s="40" t="s">
        <v>121</v>
      </c>
      <c r="S22" s="40" t="s">
        <v>126</v>
      </c>
      <c r="T22" s="40" t="s">
        <v>121</v>
      </c>
      <c r="U22" s="40"/>
      <c r="V22" s="27" t="str">
        <f t="shared" si="1"/>
        <v>Pay</v>
      </c>
      <c r="W22" s="40" t="s">
        <v>56</v>
      </c>
      <c r="X22" s="40"/>
      <c r="Y22" s="40"/>
      <c r="Z22" s="40"/>
      <c r="AA22" s="40" t="s">
        <v>318</v>
      </c>
      <c r="AB22" s="40" t="s">
        <v>121</v>
      </c>
      <c r="AC22" s="40"/>
      <c r="AD22" s="40"/>
      <c r="AE22" s="40"/>
      <c r="AF22" s="40"/>
      <c r="AG22" s="40"/>
      <c r="AH22" s="84"/>
      <c r="AJ22" s="74"/>
    </row>
    <row r="23" spans="2:36" x14ac:dyDescent="0.25">
      <c r="B23" s="40" t="s">
        <v>309</v>
      </c>
      <c r="D23" s="59" t="s">
        <v>208</v>
      </c>
      <c r="E23" s="74"/>
      <c r="F23" s="74"/>
      <c r="G23" s="40" t="s">
        <v>43</v>
      </c>
      <c r="H23" s="28" t="str">
        <f t="shared" si="0"/>
        <v>Premium</v>
      </c>
      <c r="I23" s="102">
        <v>0</v>
      </c>
      <c r="J23" s="40"/>
      <c r="K23" s="40" t="s">
        <v>296</v>
      </c>
      <c r="L23" s="40" t="s">
        <v>49</v>
      </c>
      <c r="M23" s="40" t="s">
        <v>54</v>
      </c>
      <c r="N23" s="40"/>
      <c r="O23" s="40"/>
      <c r="P23" s="40"/>
      <c r="Q23" s="40" t="s">
        <v>317</v>
      </c>
      <c r="R23" s="40" t="s">
        <v>121</v>
      </c>
      <c r="S23" s="40" t="s">
        <v>126</v>
      </c>
      <c r="T23" s="40" t="s">
        <v>121</v>
      </c>
      <c r="U23" s="40"/>
      <c r="V23" s="27" t="str">
        <f t="shared" si="1"/>
        <v>Pay</v>
      </c>
      <c r="W23" s="40" t="s">
        <v>56</v>
      </c>
      <c r="X23" s="40"/>
      <c r="Y23" s="40"/>
      <c r="Z23" s="40"/>
      <c r="AA23" s="40" t="s">
        <v>318</v>
      </c>
      <c r="AB23" s="40" t="s">
        <v>121</v>
      </c>
      <c r="AC23" s="40"/>
      <c r="AD23" s="40"/>
      <c r="AE23" s="40"/>
      <c r="AF23" s="40"/>
      <c r="AG23" s="40"/>
      <c r="AH23" s="84"/>
      <c r="AJ23" s="74"/>
    </row>
    <row r="24" spans="2:36" x14ac:dyDescent="0.25">
      <c r="B24" s="40"/>
      <c r="D24" s="59"/>
      <c r="E24" s="74"/>
      <c r="F24" s="74"/>
      <c r="G24" s="40"/>
      <c r="H24" s="28" t="str">
        <f t="shared" si="0"/>
        <v/>
      </c>
      <c r="I24" s="102"/>
      <c r="J24" s="40"/>
      <c r="K24" s="40"/>
      <c r="L24" s="40"/>
      <c r="M24" s="40"/>
      <c r="N24" s="40"/>
      <c r="O24" s="40"/>
      <c r="P24" s="40"/>
      <c r="Q24" s="40"/>
      <c r="R24" s="40"/>
      <c r="S24" s="40"/>
      <c r="T24" s="40"/>
      <c r="U24" s="40"/>
      <c r="V24" s="27" t="str">
        <f t="shared" si="1"/>
        <v/>
      </c>
      <c r="W24" s="40"/>
      <c r="X24" s="40"/>
      <c r="Y24" s="40"/>
      <c r="Z24" s="40"/>
      <c r="AA24" s="40"/>
      <c r="AB24" s="40"/>
      <c r="AC24" s="40"/>
      <c r="AD24" s="40"/>
      <c r="AE24" s="40"/>
      <c r="AF24" s="40"/>
      <c r="AG24" s="40"/>
      <c r="AH24" s="84"/>
      <c r="AJ24" s="74"/>
    </row>
    <row r="25" spans="2:36" x14ac:dyDescent="0.25">
      <c r="B25" s="40" t="s">
        <v>310</v>
      </c>
      <c r="D25" s="59" t="s">
        <v>207</v>
      </c>
      <c r="E25" s="74"/>
      <c r="F25" s="74"/>
      <c r="G25" s="40" t="s">
        <v>45</v>
      </c>
      <c r="H25" s="28" t="str">
        <f t="shared" si="0"/>
        <v>DV01</v>
      </c>
      <c r="I25" s="102">
        <v>10000</v>
      </c>
      <c r="J25" s="40"/>
      <c r="K25" s="40" t="s">
        <v>296</v>
      </c>
      <c r="L25" s="40" t="s">
        <v>49</v>
      </c>
      <c r="M25" s="40" t="s">
        <v>58</v>
      </c>
      <c r="N25" s="40"/>
      <c r="O25" s="40"/>
      <c r="P25" s="40"/>
      <c r="Q25" s="40"/>
      <c r="R25" s="40"/>
      <c r="S25" s="40"/>
      <c r="T25" s="40"/>
      <c r="U25" s="40" t="s">
        <v>146</v>
      </c>
      <c r="V25" s="27" t="str">
        <f t="shared" si="1"/>
        <v>Pay</v>
      </c>
      <c r="W25" s="40" t="s">
        <v>58</v>
      </c>
      <c r="X25" s="40"/>
      <c r="Y25" s="40"/>
      <c r="Z25" s="40"/>
      <c r="AA25" s="40" t="s">
        <v>316</v>
      </c>
      <c r="AB25" s="40" t="s">
        <v>121</v>
      </c>
      <c r="AC25" s="40"/>
      <c r="AD25" s="40"/>
      <c r="AE25" s="40"/>
      <c r="AF25" s="40"/>
      <c r="AG25" s="40"/>
      <c r="AH25" s="84"/>
      <c r="AJ25" s="74"/>
    </row>
    <row r="26" spans="2:36" x14ac:dyDescent="0.25">
      <c r="B26" s="40" t="s">
        <v>311</v>
      </c>
      <c r="D26" s="59" t="s">
        <v>207</v>
      </c>
      <c r="E26" s="74"/>
      <c r="F26" s="74"/>
      <c r="G26" s="40" t="s">
        <v>45</v>
      </c>
      <c r="H26" s="28" t="str">
        <f t="shared" si="0"/>
        <v>DV01</v>
      </c>
      <c r="I26" s="102">
        <v>-10000</v>
      </c>
      <c r="J26" s="40"/>
      <c r="K26" s="40" t="s">
        <v>297</v>
      </c>
      <c r="L26" s="40" t="s">
        <v>50</v>
      </c>
      <c r="M26" s="40" t="s">
        <v>58</v>
      </c>
      <c r="N26" s="40"/>
      <c r="O26" s="40"/>
      <c r="P26" s="40"/>
      <c r="Q26" s="40"/>
      <c r="R26" s="40"/>
      <c r="S26" s="40"/>
      <c r="T26" s="40"/>
      <c r="U26" s="40" t="s">
        <v>146</v>
      </c>
      <c r="V26" s="27" t="str">
        <f t="shared" si="1"/>
        <v>Receive</v>
      </c>
      <c r="W26" s="40" t="s">
        <v>58</v>
      </c>
      <c r="X26" s="40"/>
      <c r="Y26" s="40"/>
      <c r="Z26" s="40"/>
      <c r="AA26" s="40" t="s">
        <v>316</v>
      </c>
      <c r="AB26" s="40" t="s">
        <v>121</v>
      </c>
      <c r="AC26" s="40"/>
      <c r="AD26" s="40"/>
      <c r="AE26" s="40"/>
      <c r="AF26" s="40"/>
      <c r="AG26" s="40"/>
      <c r="AH26" s="84"/>
      <c r="AJ26" s="74"/>
    </row>
    <row r="27" spans="2:36" x14ac:dyDescent="0.25">
      <c r="B27" s="40"/>
      <c r="D27" s="59"/>
      <c r="E27" s="74"/>
      <c r="F27" s="74"/>
      <c r="G27" s="40"/>
      <c r="H27" s="28" t="str">
        <f t="shared" si="0"/>
        <v/>
      </c>
      <c r="I27" s="102"/>
      <c r="J27" s="40"/>
      <c r="K27" s="40"/>
      <c r="L27" s="40"/>
      <c r="M27" s="40"/>
      <c r="N27" s="40"/>
      <c r="O27" s="40"/>
      <c r="P27" s="40"/>
      <c r="Q27" s="40"/>
      <c r="R27" s="40"/>
      <c r="S27" s="40"/>
      <c r="T27" s="40"/>
      <c r="U27" s="40"/>
      <c r="V27" s="27" t="str">
        <f t="shared" si="1"/>
        <v/>
      </c>
      <c r="W27" s="40"/>
      <c r="X27" s="40"/>
      <c r="Y27" s="40"/>
      <c r="Z27" s="40"/>
      <c r="AA27" s="40"/>
      <c r="AB27" s="40"/>
      <c r="AC27" s="40"/>
      <c r="AD27" s="40"/>
      <c r="AE27" s="40"/>
      <c r="AF27" s="40"/>
      <c r="AG27" s="40"/>
      <c r="AH27" s="84"/>
      <c r="AJ27" s="74"/>
    </row>
    <row r="28" spans="2:36" x14ac:dyDescent="0.25">
      <c r="B28" s="40" t="s">
        <v>312</v>
      </c>
      <c r="D28" s="59" t="s">
        <v>207</v>
      </c>
      <c r="E28" s="74"/>
      <c r="F28" s="74"/>
      <c r="G28" s="40" t="s">
        <v>45</v>
      </c>
      <c r="H28" s="28" t="str">
        <f t="shared" si="0"/>
        <v>DV01</v>
      </c>
      <c r="I28" s="102">
        <v>10000</v>
      </c>
      <c r="J28" s="40"/>
      <c r="K28" s="40" t="s">
        <v>315</v>
      </c>
      <c r="L28" s="40" t="s">
        <v>49</v>
      </c>
      <c r="M28" s="40" t="s">
        <v>58</v>
      </c>
      <c r="N28" s="40"/>
      <c r="O28" s="40"/>
      <c r="P28" s="40"/>
      <c r="Q28" s="40"/>
      <c r="R28" s="40" t="s">
        <v>120</v>
      </c>
      <c r="S28" s="40" t="s">
        <v>129</v>
      </c>
      <c r="T28" s="40"/>
      <c r="U28" s="40" t="s">
        <v>146</v>
      </c>
      <c r="V28" s="27" t="str">
        <f t="shared" si="1"/>
        <v>Pay</v>
      </c>
      <c r="W28" s="40" t="s">
        <v>58</v>
      </c>
      <c r="X28" s="40"/>
      <c r="Y28" s="40"/>
      <c r="Z28" s="40"/>
      <c r="AA28" s="40" t="s">
        <v>316</v>
      </c>
      <c r="AB28" s="40" t="s">
        <v>121</v>
      </c>
      <c r="AC28" s="40"/>
      <c r="AD28" s="40"/>
      <c r="AE28" s="40"/>
      <c r="AF28" s="40"/>
      <c r="AG28" s="40"/>
      <c r="AH28" s="84"/>
      <c r="AJ28" s="74"/>
    </row>
    <row r="29" spans="2:36" x14ac:dyDescent="0.25">
      <c r="B29" s="40" t="s">
        <v>313</v>
      </c>
      <c r="D29" s="59" t="s">
        <v>207</v>
      </c>
      <c r="E29" s="74"/>
      <c r="F29" s="74"/>
      <c r="G29" s="40" t="s">
        <v>45</v>
      </c>
      <c r="H29" s="28" t="str">
        <f t="shared" si="0"/>
        <v>DV01</v>
      </c>
      <c r="I29" s="102">
        <v>-10000</v>
      </c>
      <c r="J29" s="40"/>
      <c r="K29" s="40" t="s">
        <v>296</v>
      </c>
      <c r="L29" s="40" t="s">
        <v>50</v>
      </c>
      <c r="M29" s="40" t="s">
        <v>58</v>
      </c>
      <c r="N29" s="40"/>
      <c r="O29" s="40"/>
      <c r="P29" s="40"/>
      <c r="Q29" s="40"/>
      <c r="R29" s="40" t="s">
        <v>120</v>
      </c>
      <c r="S29" s="40" t="s">
        <v>129</v>
      </c>
      <c r="T29" s="40"/>
      <c r="U29" s="40" t="s">
        <v>146</v>
      </c>
      <c r="V29" s="27" t="str">
        <f t="shared" si="1"/>
        <v>Receive</v>
      </c>
      <c r="W29" s="40" t="s">
        <v>58</v>
      </c>
      <c r="X29" s="40"/>
      <c r="Y29" s="40"/>
      <c r="Z29" s="40"/>
      <c r="AA29" s="40" t="s">
        <v>316</v>
      </c>
      <c r="AB29" s="40" t="s">
        <v>121</v>
      </c>
      <c r="AC29" s="40"/>
      <c r="AD29" s="40"/>
      <c r="AE29" s="40"/>
      <c r="AF29" s="40"/>
      <c r="AG29" s="40"/>
      <c r="AH29" s="84"/>
      <c r="AJ29" s="74"/>
    </row>
    <row r="30" spans="2:36" x14ac:dyDescent="0.25">
      <c r="B30" s="40"/>
      <c r="D30" s="59"/>
      <c r="E30" s="74"/>
      <c r="F30" s="74"/>
      <c r="G30" s="40"/>
      <c r="H30" s="28" t="str">
        <f t="shared" si="0"/>
        <v/>
      </c>
      <c r="I30" s="102"/>
      <c r="J30" s="40"/>
      <c r="K30" s="40"/>
      <c r="L30" s="40"/>
      <c r="M30" s="40"/>
      <c r="N30" s="40"/>
      <c r="O30" s="40"/>
      <c r="P30" s="40"/>
      <c r="Q30" s="40"/>
      <c r="R30" s="40"/>
      <c r="S30" s="40"/>
      <c r="T30" s="40"/>
      <c r="U30" s="40"/>
      <c r="V30" s="27" t="str">
        <f t="shared" si="1"/>
        <v/>
      </c>
      <c r="W30" s="40"/>
      <c r="X30" s="40"/>
      <c r="Y30" s="40"/>
      <c r="Z30" s="40"/>
      <c r="AA30" s="40"/>
      <c r="AB30" s="40"/>
      <c r="AC30" s="40"/>
      <c r="AD30" s="40"/>
      <c r="AE30" s="40"/>
      <c r="AF30" s="40"/>
      <c r="AG30" s="40"/>
      <c r="AH30" s="84"/>
      <c r="AJ30" s="74"/>
    </row>
    <row r="31" spans="2:36" x14ac:dyDescent="0.25">
      <c r="B31" s="40" t="s">
        <v>314</v>
      </c>
      <c r="D31" s="59" t="s">
        <v>208</v>
      </c>
      <c r="E31" s="74"/>
      <c r="F31" s="74"/>
      <c r="G31" s="40" t="s">
        <v>43</v>
      </c>
      <c r="H31" s="28" t="str">
        <f t="shared" si="0"/>
        <v>Premium</v>
      </c>
      <c r="I31" s="102">
        <v>0</v>
      </c>
      <c r="J31" s="40"/>
      <c r="K31" s="40" t="s">
        <v>222</v>
      </c>
      <c r="L31" s="40" t="s">
        <v>49</v>
      </c>
      <c r="M31" s="40" t="s">
        <v>58</v>
      </c>
      <c r="N31" s="40"/>
      <c r="O31" s="40"/>
      <c r="P31" s="40"/>
      <c r="Q31" s="40" t="s">
        <v>316</v>
      </c>
      <c r="R31" s="40" t="s">
        <v>121</v>
      </c>
      <c r="S31" s="40" t="s">
        <v>126</v>
      </c>
      <c r="T31" s="40" t="s">
        <v>121</v>
      </c>
      <c r="U31" s="40"/>
      <c r="V31" s="27" t="str">
        <f t="shared" si="1"/>
        <v>Pay</v>
      </c>
      <c r="W31" s="40" t="s">
        <v>58</v>
      </c>
      <c r="X31" s="40"/>
      <c r="Y31" s="40"/>
      <c r="Z31" s="40"/>
      <c r="AA31" s="40" t="s">
        <v>319</v>
      </c>
      <c r="AB31" s="40" t="s">
        <v>122</v>
      </c>
      <c r="AC31" s="40"/>
      <c r="AD31" s="40"/>
      <c r="AE31" s="40"/>
      <c r="AF31" s="40"/>
      <c r="AG31" s="40"/>
      <c r="AH31" s="84"/>
      <c r="AJ31" s="74"/>
    </row>
    <row r="32" spans="2:36" x14ac:dyDescent="0.25">
      <c r="B32" s="40"/>
      <c r="D32" s="59"/>
      <c r="E32" s="74"/>
      <c r="F32" s="74"/>
      <c r="G32" s="40"/>
      <c r="H32" s="28" t="str">
        <f t="shared" si="0"/>
        <v/>
      </c>
      <c r="I32" s="102"/>
      <c r="J32" s="40"/>
      <c r="K32" s="40"/>
      <c r="L32" s="40"/>
      <c r="M32" s="40"/>
      <c r="N32" s="40"/>
      <c r="O32" s="40"/>
      <c r="P32" s="40"/>
      <c r="Q32" s="40"/>
      <c r="R32" s="40"/>
      <c r="S32" s="40"/>
      <c r="T32" s="40"/>
      <c r="U32" s="40"/>
      <c r="V32" s="27" t="str">
        <f t="shared" si="1"/>
        <v/>
      </c>
      <c r="W32" s="40"/>
      <c r="X32" s="40"/>
      <c r="Y32" s="40"/>
      <c r="Z32" s="40"/>
      <c r="AA32" s="40"/>
      <c r="AB32" s="40"/>
      <c r="AC32" s="40"/>
      <c r="AD32" s="40"/>
      <c r="AE32" s="40"/>
      <c r="AF32" s="40"/>
      <c r="AG32" s="40"/>
      <c r="AH32" s="84"/>
      <c r="AJ32" s="74"/>
    </row>
    <row r="33" spans="2:36" x14ac:dyDescent="0.25">
      <c r="B33" s="40"/>
      <c r="D33" s="59"/>
      <c r="E33" s="74"/>
      <c r="F33" s="74"/>
      <c r="G33" s="40"/>
      <c r="H33" s="28" t="str">
        <f t="shared" si="0"/>
        <v/>
      </c>
      <c r="I33" s="102"/>
      <c r="J33" s="40"/>
      <c r="K33" s="40"/>
      <c r="L33" s="40"/>
      <c r="M33" s="40"/>
      <c r="N33" s="40"/>
      <c r="O33" s="40"/>
      <c r="P33" s="40"/>
      <c r="Q33" s="40"/>
      <c r="R33" s="40"/>
      <c r="S33" s="40"/>
      <c r="T33" s="40"/>
      <c r="U33" s="40"/>
      <c r="V33" s="27" t="str">
        <f t="shared" si="1"/>
        <v/>
      </c>
      <c r="W33" s="40"/>
      <c r="X33" s="40"/>
      <c r="Y33" s="40"/>
      <c r="Z33" s="40"/>
      <c r="AA33" s="40"/>
      <c r="AB33" s="40"/>
      <c r="AC33" s="40"/>
      <c r="AD33" s="40"/>
      <c r="AE33" s="40"/>
      <c r="AF33" s="40"/>
      <c r="AG33" s="40"/>
      <c r="AH33" s="84"/>
      <c r="AJ33" s="74"/>
    </row>
    <row r="35" spans="2:36" x14ac:dyDescent="0.25">
      <c r="B35" s="172" t="s">
        <v>292</v>
      </c>
      <c r="C35" s="169"/>
      <c r="D35" s="173"/>
    </row>
    <row r="36" spans="2:36" x14ac:dyDescent="0.25">
      <c r="B36" s="174"/>
      <c r="C36" s="175"/>
      <c r="D36" s="176"/>
    </row>
    <row r="38" spans="2:36" x14ac:dyDescent="0.25">
      <c r="B38" s="169" t="s">
        <v>221</v>
      </c>
      <c r="D38" s="139" t="s">
        <v>9</v>
      </c>
      <c r="E38" s="15"/>
      <c r="F38" s="15"/>
      <c r="G38" s="180" t="s">
        <v>230</v>
      </c>
      <c r="H38" s="181"/>
      <c r="I38" s="181"/>
      <c r="J38" s="181"/>
      <c r="K38" s="181"/>
      <c r="L38" s="181"/>
      <c r="M38" s="182"/>
      <c r="N38" s="146" t="s">
        <v>10</v>
      </c>
      <c r="O38" s="146"/>
      <c r="P38" s="146"/>
      <c r="Q38" s="146"/>
      <c r="R38" s="146"/>
      <c r="S38" s="189" t="s">
        <v>234</v>
      </c>
      <c r="T38" s="182"/>
      <c r="U38" s="189" t="s">
        <v>13</v>
      </c>
      <c r="V38" s="181"/>
      <c r="W38" s="181"/>
      <c r="X38" s="182"/>
      <c r="Y38" s="189" t="s">
        <v>184</v>
      </c>
      <c r="Z38" s="181"/>
      <c r="AA38" s="181"/>
      <c r="AB38" s="181"/>
      <c r="AC38" s="182"/>
      <c r="AD38" s="179" t="s">
        <v>149</v>
      </c>
      <c r="AE38" s="187" t="s">
        <v>193</v>
      </c>
      <c r="AG38" s="15"/>
      <c r="AI38" s="15"/>
    </row>
    <row r="39" spans="2:36" ht="15" customHeight="1" x14ac:dyDescent="0.25">
      <c r="B39" s="170"/>
      <c r="D39" s="137"/>
      <c r="E39" s="15"/>
      <c r="F39" s="15"/>
      <c r="G39" s="149" t="s">
        <v>223</v>
      </c>
      <c r="H39" s="151" t="s">
        <v>224</v>
      </c>
      <c r="I39" s="151" t="s">
        <v>231</v>
      </c>
      <c r="J39" s="151" t="s">
        <v>16</v>
      </c>
      <c r="K39" s="151" t="s">
        <v>15</v>
      </c>
      <c r="L39" s="151" t="s">
        <v>225</v>
      </c>
      <c r="M39" s="151" t="s">
        <v>226</v>
      </c>
      <c r="N39" s="151" t="s">
        <v>227</v>
      </c>
      <c r="O39" s="177" t="s">
        <v>334</v>
      </c>
      <c r="P39" s="177" t="s">
        <v>220</v>
      </c>
      <c r="Q39" s="177" t="s">
        <v>228</v>
      </c>
      <c r="R39" s="177" t="s">
        <v>219</v>
      </c>
      <c r="S39" s="177" t="s">
        <v>217</v>
      </c>
      <c r="T39" s="177" t="s">
        <v>218</v>
      </c>
      <c r="U39" s="177" t="s">
        <v>112</v>
      </c>
      <c r="V39" s="177" t="s">
        <v>115</v>
      </c>
      <c r="W39" s="177" t="s">
        <v>116</v>
      </c>
      <c r="X39" s="177" t="s">
        <v>118</v>
      </c>
      <c r="Y39" s="177" t="s">
        <v>113</v>
      </c>
      <c r="Z39" s="177" t="s">
        <v>17</v>
      </c>
      <c r="AA39" s="177" t="s">
        <v>18</v>
      </c>
      <c r="AB39" s="177" t="s">
        <v>19</v>
      </c>
      <c r="AC39" s="177" t="s">
        <v>20</v>
      </c>
      <c r="AD39" s="123"/>
      <c r="AE39" s="125"/>
      <c r="AG39" s="15"/>
      <c r="AI39" s="15"/>
    </row>
    <row r="40" spans="2:36" x14ac:dyDescent="0.25">
      <c r="B40" s="170"/>
      <c r="D40" s="138"/>
      <c r="E40" s="54"/>
      <c r="F40" s="54"/>
      <c r="G40" s="183"/>
      <c r="H40" s="171"/>
      <c r="I40" s="171"/>
      <c r="J40" s="171"/>
      <c r="K40" s="171"/>
      <c r="L40" s="171"/>
      <c r="M40" s="171"/>
      <c r="N40" s="171"/>
      <c r="O40" s="178"/>
      <c r="P40" s="178"/>
      <c r="Q40" s="178"/>
      <c r="R40" s="178"/>
      <c r="S40" s="178"/>
      <c r="T40" s="178"/>
      <c r="U40" s="178"/>
      <c r="V40" s="178"/>
      <c r="W40" s="178"/>
      <c r="X40" s="178"/>
      <c r="Y40" s="178"/>
      <c r="Z40" s="178"/>
      <c r="AA40" s="178"/>
      <c r="AB40" s="178"/>
      <c r="AC40" s="178"/>
      <c r="AD40" s="178"/>
      <c r="AE40" s="188"/>
      <c r="AG40" s="54"/>
      <c r="AI40" s="54"/>
    </row>
    <row r="41" spans="2:36" hidden="1" x14ac:dyDescent="0.25">
      <c r="B41" s="84"/>
      <c r="D41" s="84" t="s">
        <v>9</v>
      </c>
      <c r="E41" s="84"/>
      <c r="F41" s="84"/>
      <c r="G41" s="20" t="s">
        <v>212</v>
      </c>
      <c r="H41" s="20" t="s">
        <v>211</v>
      </c>
      <c r="I41" s="62" t="s">
        <v>232</v>
      </c>
      <c r="J41" s="20" t="s">
        <v>16</v>
      </c>
      <c r="K41" s="62" t="s">
        <v>15</v>
      </c>
      <c r="L41" s="62" t="s">
        <v>213</v>
      </c>
      <c r="M41" s="62" t="s">
        <v>214</v>
      </c>
      <c r="N41" s="20" t="s">
        <v>215</v>
      </c>
      <c r="O41" s="20" t="s">
        <v>171</v>
      </c>
      <c r="P41" s="20" t="s">
        <v>172</v>
      </c>
      <c r="Q41" s="20" t="s">
        <v>229</v>
      </c>
      <c r="R41" s="20" t="s">
        <v>216</v>
      </c>
      <c r="S41" s="78" t="s">
        <v>209</v>
      </c>
      <c r="T41" s="78" t="s">
        <v>210</v>
      </c>
      <c r="U41" s="20" t="s">
        <v>37</v>
      </c>
      <c r="V41" s="20" t="s">
        <v>159</v>
      </c>
      <c r="W41" s="20" t="s">
        <v>160</v>
      </c>
      <c r="X41" s="20" t="s">
        <v>162</v>
      </c>
      <c r="Y41" s="20" t="s">
        <v>44</v>
      </c>
      <c r="Z41" s="20" t="s">
        <v>166</v>
      </c>
      <c r="AA41" s="20" t="s">
        <v>167</v>
      </c>
      <c r="AB41" s="20" t="s">
        <v>168</v>
      </c>
      <c r="AC41" s="20" t="s">
        <v>169</v>
      </c>
      <c r="AD41" s="20" t="s">
        <v>148</v>
      </c>
      <c r="AE41" s="20" t="s">
        <v>155</v>
      </c>
      <c r="AG41" s="84"/>
      <c r="AI41" s="84"/>
    </row>
    <row r="42" spans="2:36" x14ac:dyDescent="0.25">
      <c r="B42" s="81" t="s">
        <v>320</v>
      </c>
      <c r="D42" s="58" t="s">
        <v>242</v>
      </c>
      <c r="E42" s="42"/>
      <c r="F42" s="42"/>
      <c r="G42" s="44" t="s">
        <v>236</v>
      </c>
      <c r="H42" s="44" t="s">
        <v>244</v>
      </c>
      <c r="I42" s="105"/>
      <c r="J42" s="79">
        <v>10000000</v>
      </c>
      <c r="K42" s="44" t="s">
        <v>58</v>
      </c>
      <c r="L42" s="44"/>
      <c r="M42" s="44"/>
      <c r="N42" s="81" t="s">
        <v>299</v>
      </c>
      <c r="O42" s="81"/>
      <c r="P42" s="81" t="s">
        <v>296</v>
      </c>
      <c r="Q42" s="44"/>
      <c r="R42" s="105"/>
      <c r="S42" s="44"/>
      <c r="T42" s="44"/>
      <c r="U42" s="44"/>
      <c r="V42" s="44"/>
      <c r="W42" s="44"/>
      <c r="X42" s="44"/>
      <c r="Y42" s="44"/>
      <c r="Z42" s="44"/>
      <c r="AA42" s="44"/>
      <c r="AB42" s="44"/>
      <c r="AC42" s="44"/>
      <c r="AD42" s="44"/>
      <c r="AE42" s="44"/>
      <c r="AG42" s="52"/>
      <c r="AI42" s="52"/>
    </row>
    <row r="43" spans="2:36" x14ac:dyDescent="0.25">
      <c r="B43" s="40"/>
      <c r="D43" s="58"/>
      <c r="E43" s="42"/>
      <c r="F43" s="84"/>
      <c r="G43" s="40"/>
      <c r="H43" s="40"/>
      <c r="I43" s="106"/>
      <c r="J43" s="76"/>
      <c r="K43" s="40"/>
      <c r="L43" s="40"/>
      <c r="M43" s="40"/>
      <c r="N43" s="36"/>
      <c r="O43" s="36"/>
      <c r="P43" s="36"/>
      <c r="Q43" s="40"/>
      <c r="R43" s="106"/>
      <c r="S43" s="40"/>
      <c r="T43" s="40"/>
      <c r="U43" s="40"/>
      <c r="V43" s="40"/>
      <c r="W43" s="40"/>
      <c r="X43" s="40"/>
      <c r="Y43" s="40"/>
      <c r="Z43" s="40"/>
      <c r="AA43" s="40"/>
      <c r="AB43" s="40"/>
      <c r="AC43" s="40"/>
      <c r="AD43" s="40"/>
      <c r="AE43" s="40"/>
      <c r="AG43" s="20"/>
      <c r="AI43" s="20"/>
    </row>
    <row r="44" spans="2:36" x14ac:dyDescent="0.25">
      <c r="B44" s="36" t="s">
        <v>335</v>
      </c>
      <c r="D44" s="58" t="s">
        <v>242</v>
      </c>
      <c r="E44" s="42"/>
      <c r="F44" s="84"/>
      <c r="G44" s="40" t="s">
        <v>236</v>
      </c>
      <c r="H44" s="40" t="s">
        <v>245</v>
      </c>
      <c r="I44" s="106">
        <f>_xll.BView(_xll.BPRICE(_xll.BSTRUCTURE("FXFL USD 1YX5Y")),"Parcoupon","headers=false")-0.25</f>
        <v>1.2206649438919888</v>
      </c>
      <c r="J44" s="76"/>
      <c r="K44" s="40" t="s">
        <v>58</v>
      </c>
      <c r="L44" s="40"/>
      <c r="M44" s="40"/>
      <c r="N44" s="36" t="s">
        <v>299</v>
      </c>
      <c r="O44" s="36"/>
      <c r="P44" s="36" t="s">
        <v>296</v>
      </c>
      <c r="Q44" s="40"/>
      <c r="R44" s="106"/>
      <c r="S44" s="40" t="s">
        <v>269</v>
      </c>
      <c r="T44" s="77"/>
      <c r="U44" s="40"/>
      <c r="V44" s="40"/>
      <c r="W44" s="40"/>
      <c r="X44" s="40"/>
      <c r="Y44" s="40"/>
      <c r="Z44" s="40"/>
      <c r="AA44" s="40"/>
      <c r="AB44" s="40"/>
      <c r="AC44" s="40"/>
      <c r="AD44" s="40"/>
      <c r="AE44" s="40"/>
      <c r="AG44" s="20"/>
      <c r="AI44" s="20"/>
    </row>
    <row r="45" spans="2:36" x14ac:dyDescent="0.25">
      <c r="B45" s="40" t="s">
        <v>336</v>
      </c>
      <c r="D45" s="58" t="s">
        <v>242</v>
      </c>
      <c r="E45" s="42"/>
      <c r="F45" s="84"/>
      <c r="G45" s="40" t="s">
        <v>236</v>
      </c>
      <c r="H45" s="40" t="s">
        <v>246</v>
      </c>
      <c r="I45" s="106">
        <f>_xll.BView(_xll.BPRICE(_xll.BSTRUCTURE("FXFL USD 1YX5Y")),"Parcoupon","headers=false")+0.25</f>
        <v>1.7206649438919888</v>
      </c>
      <c r="J45" s="76"/>
      <c r="K45" s="40" t="s">
        <v>58</v>
      </c>
      <c r="L45" s="40"/>
      <c r="M45" s="40"/>
      <c r="N45" s="36" t="s">
        <v>299</v>
      </c>
      <c r="O45" s="36"/>
      <c r="P45" s="36" t="s">
        <v>296</v>
      </c>
      <c r="Q45" s="40"/>
      <c r="R45" s="106"/>
      <c r="S45" s="40" t="s">
        <v>269</v>
      </c>
      <c r="T45" s="77"/>
      <c r="U45" s="40"/>
      <c r="V45" s="40"/>
      <c r="W45" s="40"/>
      <c r="X45" s="40"/>
      <c r="Y45" s="40"/>
      <c r="Z45" s="40"/>
      <c r="AA45" s="40"/>
      <c r="AB45" s="40"/>
      <c r="AC45" s="40"/>
      <c r="AD45" s="40"/>
      <c r="AE45" s="40"/>
      <c r="AG45" s="20"/>
      <c r="AI45" s="20"/>
    </row>
    <row r="46" spans="2:36" x14ac:dyDescent="0.25">
      <c r="B46" s="40"/>
      <c r="D46" s="58"/>
      <c r="E46" s="42"/>
      <c r="F46" s="84"/>
      <c r="G46" s="40"/>
      <c r="H46" s="40"/>
      <c r="I46" s="106"/>
      <c r="J46" s="76"/>
      <c r="K46" s="40"/>
      <c r="L46" s="40"/>
      <c r="M46" s="40"/>
      <c r="N46" s="36"/>
      <c r="O46" s="36"/>
      <c r="P46" s="36"/>
      <c r="Q46" s="40"/>
      <c r="R46" s="106"/>
      <c r="S46" s="40"/>
      <c r="T46" s="77"/>
      <c r="U46" s="40"/>
      <c r="V46" s="40"/>
      <c r="W46" s="40"/>
      <c r="X46" s="40"/>
      <c r="Y46" s="40"/>
      <c r="Z46" s="40"/>
      <c r="AA46" s="40"/>
      <c r="AB46" s="40"/>
      <c r="AC46" s="40"/>
      <c r="AD46" s="40"/>
      <c r="AE46" s="40"/>
      <c r="AG46" s="20"/>
      <c r="AI46" s="20"/>
    </row>
    <row r="47" spans="2:36" x14ac:dyDescent="0.25">
      <c r="B47" s="40" t="s">
        <v>337</v>
      </c>
      <c r="D47" s="58" t="s">
        <v>242</v>
      </c>
      <c r="E47" s="42"/>
      <c r="F47" s="84"/>
      <c r="G47" s="40"/>
      <c r="H47" s="40" t="s">
        <v>247</v>
      </c>
      <c r="I47" s="106"/>
      <c r="J47" s="76"/>
      <c r="K47" s="40"/>
      <c r="L47" s="40"/>
      <c r="M47" s="40"/>
      <c r="N47" s="36" t="s">
        <v>299</v>
      </c>
      <c r="O47" s="36"/>
      <c r="P47" s="36" t="s">
        <v>296</v>
      </c>
      <c r="Q47" s="40"/>
      <c r="R47" s="106"/>
      <c r="S47" s="40"/>
      <c r="T47" s="77"/>
      <c r="U47" s="40"/>
      <c r="V47" s="40"/>
      <c r="W47" s="40"/>
      <c r="X47" s="40"/>
      <c r="Y47" s="40"/>
      <c r="Z47" s="40"/>
      <c r="AA47" s="40"/>
      <c r="AB47" s="40"/>
      <c r="AC47" s="40"/>
      <c r="AD47" s="40"/>
      <c r="AE47" s="40"/>
      <c r="AG47" s="20"/>
      <c r="AI47" s="20"/>
    </row>
    <row r="48" spans="2:36" x14ac:dyDescent="0.25">
      <c r="B48" s="40" t="s">
        <v>338</v>
      </c>
      <c r="D48" s="58" t="s">
        <v>242</v>
      </c>
      <c r="E48" s="42"/>
      <c r="F48" s="84"/>
      <c r="G48" s="40"/>
      <c r="H48" s="40" t="s">
        <v>246</v>
      </c>
      <c r="I48" s="106"/>
      <c r="J48" s="76"/>
      <c r="K48" s="40"/>
      <c r="L48" s="40"/>
      <c r="M48" s="40"/>
      <c r="N48" s="36" t="s">
        <v>299</v>
      </c>
      <c r="O48" s="36"/>
      <c r="P48" s="36" t="s">
        <v>296</v>
      </c>
      <c r="Q48" s="40"/>
      <c r="R48" s="106"/>
      <c r="S48" s="40"/>
      <c r="T48" s="77"/>
      <c r="U48" s="40"/>
      <c r="V48" s="40"/>
      <c r="W48" s="40"/>
      <c r="X48" s="40"/>
      <c r="Y48" s="40"/>
      <c r="Z48" s="40"/>
      <c r="AA48" s="40"/>
      <c r="AB48" s="40"/>
      <c r="AC48" s="40"/>
      <c r="AD48" s="40"/>
      <c r="AE48" s="40"/>
      <c r="AG48" s="20"/>
      <c r="AI48" s="20"/>
    </row>
    <row r="49" spans="2:35" x14ac:dyDescent="0.25">
      <c r="B49" s="40"/>
      <c r="D49" s="58"/>
      <c r="E49" s="42"/>
      <c r="F49" s="84"/>
      <c r="G49" s="40"/>
      <c r="H49" s="40"/>
      <c r="I49" s="106"/>
      <c r="J49" s="76"/>
      <c r="K49" s="40"/>
      <c r="L49" s="40"/>
      <c r="M49" s="40"/>
      <c r="N49" s="36"/>
      <c r="O49" s="36"/>
      <c r="P49" s="36"/>
      <c r="Q49" s="40"/>
      <c r="R49" s="106"/>
      <c r="S49" s="40"/>
      <c r="T49" s="77"/>
      <c r="U49" s="40"/>
      <c r="V49" s="40"/>
      <c r="W49" s="40"/>
      <c r="X49" s="40"/>
      <c r="Y49" s="40"/>
      <c r="Z49" s="40"/>
      <c r="AA49" s="40"/>
      <c r="AB49" s="40"/>
      <c r="AC49" s="40"/>
      <c r="AD49" s="40"/>
      <c r="AE49" s="40"/>
      <c r="AG49" s="20"/>
      <c r="AI49" s="20"/>
    </row>
    <row r="50" spans="2:35" x14ac:dyDescent="0.25">
      <c r="B50" s="40" t="s">
        <v>339</v>
      </c>
      <c r="D50" s="58" t="s">
        <v>242</v>
      </c>
      <c r="E50" s="42"/>
      <c r="F50" s="84"/>
      <c r="G50" s="40" t="s">
        <v>237</v>
      </c>
      <c r="H50" s="40" t="s">
        <v>244</v>
      </c>
      <c r="I50" s="106">
        <v>4.25</v>
      </c>
      <c r="J50" s="76"/>
      <c r="K50" s="40"/>
      <c r="L50" s="40"/>
      <c r="M50" s="40"/>
      <c r="N50" s="36">
        <v>45638</v>
      </c>
      <c r="O50" s="36">
        <v>45642</v>
      </c>
      <c r="P50" s="36">
        <v>52947</v>
      </c>
      <c r="Q50" s="40"/>
      <c r="R50" s="106"/>
      <c r="S50" s="40"/>
      <c r="T50" s="77"/>
      <c r="U50" s="40"/>
      <c r="V50" s="40" t="s">
        <v>120</v>
      </c>
      <c r="W50" s="40" t="s">
        <v>129</v>
      </c>
      <c r="X50" s="40" t="s">
        <v>146</v>
      </c>
      <c r="Y50" s="40"/>
      <c r="Z50" s="40" t="s">
        <v>316</v>
      </c>
      <c r="AA50" s="40" t="s">
        <v>121</v>
      </c>
      <c r="AB50" s="40" t="s">
        <v>126</v>
      </c>
      <c r="AC50" s="40" t="s">
        <v>121</v>
      </c>
      <c r="AD50" s="40" t="s">
        <v>150</v>
      </c>
      <c r="AE50" s="40"/>
      <c r="AG50" s="20"/>
      <c r="AI50" s="20"/>
    </row>
    <row r="51" spans="2:35" x14ac:dyDescent="0.25">
      <c r="B51" s="40" t="s">
        <v>340</v>
      </c>
      <c r="D51" s="58" t="s">
        <v>242</v>
      </c>
      <c r="E51" s="42"/>
      <c r="F51" s="84"/>
      <c r="G51" s="40" t="s">
        <v>237</v>
      </c>
      <c r="H51" s="40" t="s">
        <v>246</v>
      </c>
      <c r="I51" s="106">
        <v>4.25</v>
      </c>
      <c r="J51" s="76"/>
      <c r="K51" s="40"/>
      <c r="L51" s="40"/>
      <c r="M51" s="40"/>
      <c r="N51" s="36">
        <v>42716</v>
      </c>
      <c r="O51" s="36">
        <v>45642</v>
      </c>
      <c r="P51" s="36">
        <v>52947</v>
      </c>
      <c r="Q51" s="40"/>
      <c r="R51" s="106"/>
      <c r="S51" s="40"/>
      <c r="T51" s="77"/>
      <c r="U51" s="40"/>
      <c r="V51" s="40" t="s">
        <v>120</v>
      </c>
      <c r="W51" s="40" t="s">
        <v>129</v>
      </c>
      <c r="X51" s="40" t="s">
        <v>146</v>
      </c>
      <c r="Y51" s="40"/>
      <c r="Z51" s="40" t="s">
        <v>316</v>
      </c>
      <c r="AA51" s="40" t="s">
        <v>121</v>
      </c>
      <c r="AB51" s="40" t="s">
        <v>126</v>
      </c>
      <c r="AC51" s="40" t="s">
        <v>121</v>
      </c>
      <c r="AD51" s="40" t="s">
        <v>150</v>
      </c>
      <c r="AE51" s="40"/>
      <c r="AG51" s="20"/>
      <c r="AI51" s="20"/>
    </row>
    <row r="52" spans="2:35" x14ac:dyDescent="0.25">
      <c r="B52" s="40"/>
      <c r="D52" s="58"/>
      <c r="E52" s="42"/>
      <c r="F52" s="84"/>
      <c r="G52" s="40"/>
      <c r="H52" s="40"/>
      <c r="I52" s="106"/>
      <c r="J52" s="76"/>
      <c r="K52" s="40"/>
      <c r="L52" s="40"/>
      <c r="M52" s="40"/>
      <c r="N52" s="36"/>
      <c r="O52" s="36"/>
      <c r="P52" s="36"/>
      <c r="Q52" s="40"/>
      <c r="R52" s="106"/>
      <c r="S52" s="40"/>
      <c r="T52" s="77"/>
      <c r="U52" s="40"/>
      <c r="V52" s="40"/>
      <c r="W52" s="40"/>
      <c r="X52" s="40"/>
      <c r="Y52" s="40"/>
      <c r="Z52" s="40"/>
      <c r="AA52" s="40"/>
      <c r="AB52" s="40"/>
      <c r="AC52" s="40"/>
      <c r="AD52" s="40"/>
      <c r="AE52" s="40"/>
      <c r="AG52" s="20"/>
      <c r="AI52" s="20"/>
    </row>
    <row r="53" spans="2:35" x14ac:dyDescent="0.25">
      <c r="B53" s="40" t="s">
        <v>341</v>
      </c>
      <c r="D53" s="58" t="s">
        <v>242</v>
      </c>
      <c r="E53" s="42"/>
      <c r="F53" s="84"/>
      <c r="G53" s="40" t="s">
        <v>239</v>
      </c>
      <c r="H53" s="40" t="s">
        <v>244</v>
      </c>
      <c r="I53" s="106"/>
      <c r="J53" s="76"/>
      <c r="K53" s="40" t="s">
        <v>58</v>
      </c>
      <c r="L53" s="40"/>
      <c r="M53" s="40"/>
      <c r="N53" s="36"/>
      <c r="O53" s="36"/>
      <c r="P53" s="36"/>
      <c r="Q53" s="40"/>
      <c r="R53" s="106">
        <v>2</v>
      </c>
      <c r="S53" s="40"/>
      <c r="T53" s="77"/>
      <c r="U53" s="40"/>
      <c r="V53" s="40"/>
      <c r="W53" s="40"/>
      <c r="X53" s="40"/>
      <c r="Y53" s="40"/>
      <c r="Z53" s="40"/>
      <c r="AA53" s="40"/>
      <c r="AB53" s="40"/>
      <c r="AC53" s="40"/>
      <c r="AD53" s="40"/>
      <c r="AE53" s="40"/>
      <c r="AG53" s="20"/>
      <c r="AI53" s="20"/>
    </row>
    <row r="54" spans="2:35" x14ac:dyDescent="0.25">
      <c r="B54" s="40"/>
      <c r="D54" s="58"/>
      <c r="E54" s="42"/>
      <c r="F54" s="84"/>
      <c r="G54" s="40"/>
      <c r="H54" s="40"/>
      <c r="I54" s="106"/>
      <c r="J54" s="76"/>
      <c r="K54" s="40"/>
      <c r="L54" s="40"/>
      <c r="M54" s="40"/>
      <c r="N54" s="36"/>
      <c r="O54" s="36"/>
      <c r="P54" s="36"/>
      <c r="Q54" s="40"/>
      <c r="R54" s="106"/>
      <c r="S54" s="40"/>
      <c r="T54" s="77"/>
      <c r="U54" s="40"/>
      <c r="V54" s="40"/>
      <c r="W54" s="40"/>
      <c r="X54" s="40"/>
      <c r="Y54" s="40"/>
      <c r="Z54" s="40"/>
      <c r="AA54" s="40"/>
      <c r="AB54" s="40"/>
      <c r="AC54" s="40"/>
      <c r="AD54" s="40"/>
      <c r="AE54" s="40"/>
      <c r="AG54" s="20"/>
      <c r="AI54" s="20"/>
    </row>
    <row r="55" spans="2:35" x14ac:dyDescent="0.25">
      <c r="B55" s="40"/>
      <c r="D55" s="58"/>
      <c r="E55" s="42"/>
      <c r="F55" s="84"/>
      <c r="G55" s="40"/>
      <c r="H55" s="40"/>
      <c r="I55" s="106"/>
      <c r="J55" s="76"/>
      <c r="K55" s="40"/>
      <c r="L55" s="40"/>
      <c r="M55" s="40"/>
      <c r="N55" s="36"/>
      <c r="O55" s="36"/>
      <c r="P55" s="36"/>
      <c r="Q55" s="40"/>
      <c r="R55" s="106"/>
      <c r="S55" s="40"/>
      <c r="T55" s="77"/>
      <c r="U55" s="40"/>
      <c r="V55" s="40"/>
      <c r="W55" s="40"/>
      <c r="X55" s="40"/>
      <c r="Y55" s="40"/>
      <c r="Z55" s="40"/>
      <c r="AA55" s="40"/>
      <c r="AB55" s="40"/>
      <c r="AC55" s="40"/>
      <c r="AD55" s="40"/>
      <c r="AE55" s="40"/>
      <c r="AG55" s="20"/>
      <c r="AI55" s="20"/>
    </row>
    <row r="56" spans="2:35" x14ac:dyDescent="0.25">
      <c r="B56" s="40"/>
      <c r="D56" s="58"/>
      <c r="E56" s="42"/>
      <c r="F56" s="84"/>
      <c r="G56" s="40"/>
      <c r="H56" s="40"/>
      <c r="I56" s="106"/>
      <c r="J56" s="76"/>
      <c r="K56" s="40"/>
      <c r="L56" s="40"/>
      <c r="M56" s="40"/>
      <c r="N56" s="36"/>
      <c r="O56" s="36"/>
      <c r="P56" s="36"/>
      <c r="Q56" s="40"/>
      <c r="R56" s="106"/>
      <c r="S56" s="40"/>
      <c r="T56" s="77"/>
      <c r="U56" s="40"/>
      <c r="V56" s="40"/>
      <c r="W56" s="40"/>
      <c r="X56" s="40"/>
      <c r="Y56" s="40"/>
      <c r="Z56" s="40"/>
      <c r="AA56" s="40"/>
      <c r="AB56" s="40"/>
      <c r="AC56" s="40"/>
      <c r="AD56" s="40"/>
      <c r="AE56" s="40"/>
      <c r="AG56" s="20"/>
      <c r="AI56" s="20"/>
    </row>
    <row r="57" spans="2:35" x14ac:dyDescent="0.25">
      <c r="B57" s="40"/>
      <c r="D57" s="58"/>
      <c r="E57" s="42"/>
      <c r="F57" s="84"/>
      <c r="G57" s="40"/>
      <c r="H57" s="40"/>
      <c r="I57" s="106"/>
      <c r="J57" s="76"/>
      <c r="K57" s="40"/>
      <c r="L57" s="40"/>
      <c r="M57" s="40"/>
      <c r="N57" s="36"/>
      <c r="O57" s="36"/>
      <c r="P57" s="36"/>
      <c r="Q57" s="40"/>
      <c r="R57" s="106"/>
      <c r="S57" s="40"/>
      <c r="T57" s="77"/>
      <c r="U57" s="40"/>
      <c r="V57" s="40"/>
      <c r="W57" s="40"/>
      <c r="X57" s="40"/>
      <c r="Y57" s="40"/>
      <c r="Z57" s="40"/>
      <c r="AA57" s="40"/>
      <c r="AB57" s="40"/>
      <c r="AC57" s="40"/>
      <c r="AD57" s="40"/>
      <c r="AE57" s="40"/>
      <c r="AG57" s="20"/>
      <c r="AI57" s="20"/>
    </row>
    <row r="58" spans="2:35" x14ac:dyDescent="0.25">
      <c r="B58" s="40"/>
      <c r="D58" s="58"/>
      <c r="E58" s="42"/>
      <c r="F58" s="84"/>
      <c r="G58" s="40"/>
      <c r="H58" s="40"/>
      <c r="I58" s="106"/>
      <c r="J58" s="76"/>
      <c r="K58" s="40"/>
      <c r="L58" s="40"/>
      <c r="M58" s="40"/>
      <c r="N58" s="36"/>
      <c r="O58" s="36"/>
      <c r="P58" s="36"/>
      <c r="Q58" s="40"/>
      <c r="R58" s="106"/>
      <c r="S58" s="40"/>
      <c r="T58" s="77"/>
      <c r="U58" s="40"/>
      <c r="V58" s="40"/>
      <c r="W58" s="40"/>
      <c r="X58" s="40"/>
      <c r="Y58" s="40"/>
      <c r="Z58" s="40"/>
      <c r="AA58" s="40"/>
      <c r="AB58" s="40"/>
      <c r="AC58" s="40"/>
      <c r="AD58" s="40"/>
      <c r="AE58" s="40"/>
      <c r="AG58" s="20"/>
      <c r="AI58" s="20"/>
    </row>
    <row r="59" spans="2:35" x14ac:dyDescent="0.25">
      <c r="B59" s="40"/>
      <c r="D59" s="58"/>
      <c r="E59" s="42"/>
      <c r="F59" s="84"/>
      <c r="G59" s="40"/>
      <c r="H59" s="40"/>
      <c r="I59" s="106"/>
      <c r="J59" s="76"/>
      <c r="K59" s="40"/>
      <c r="L59" s="40"/>
      <c r="M59" s="40"/>
      <c r="N59" s="36"/>
      <c r="O59" s="36"/>
      <c r="P59" s="36"/>
      <c r="Q59" s="40"/>
      <c r="R59" s="106"/>
      <c r="S59" s="40"/>
      <c r="T59" s="77"/>
      <c r="U59" s="40"/>
      <c r="V59" s="40"/>
      <c r="W59" s="40"/>
      <c r="X59" s="40"/>
      <c r="Y59" s="40"/>
      <c r="Z59" s="40"/>
      <c r="AA59" s="40"/>
      <c r="AB59" s="40"/>
      <c r="AC59" s="40"/>
      <c r="AD59" s="40"/>
      <c r="AE59" s="40"/>
      <c r="AG59" s="20"/>
      <c r="AI59" s="20"/>
    </row>
    <row r="60" spans="2:35" x14ac:dyDescent="0.25">
      <c r="B60" s="40"/>
      <c r="D60" s="58"/>
      <c r="E60" s="42"/>
      <c r="F60" s="84"/>
      <c r="G60" s="40"/>
      <c r="H60" s="40"/>
      <c r="I60" s="106"/>
      <c r="J60" s="76"/>
      <c r="K60" s="40"/>
      <c r="L60" s="40"/>
      <c r="M60" s="40"/>
      <c r="N60" s="36"/>
      <c r="O60" s="36"/>
      <c r="P60" s="36"/>
      <c r="Q60" s="40"/>
      <c r="R60" s="106"/>
      <c r="S60" s="40"/>
      <c r="T60" s="77"/>
      <c r="U60" s="40"/>
      <c r="V60" s="40"/>
      <c r="W60" s="40"/>
      <c r="X60" s="40"/>
      <c r="Y60" s="40"/>
      <c r="Z60" s="40"/>
      <c r="AA60" s="40"/>
      <c r="AB60" s="40"/>
      <c r="AC60" s="40"/>
      <c r="AD60" s="40"/>
      <c r="AE60" s="40"/>
      <c r="AG60" s="20"/>
      <c r="AI60" s="20"/>
    </row>
    <row r="61" spans="2:35" x14ac:dyDescent="0.25">
      <c r="B61" s="40"/>
      <c r="D61" s="58"/>
      <c r="E61" s="42"/>
      <c r="F61" s="84"/>
      <c r="G61" s="40"/>
      <c r="H61" s="40"/>
      <c r="I61" s="106"/>
      <c r="J61" s="76"/>
      <c r="K61" s="40"/>
      <c r="L61" s="40"/>
      <c r="M61" s="40"/>
      <c r="N61" s="36"/>
      <c r="O61" s="36"/>
      <c r="P61" s="36"/>
      <c r="Q61" s="40"/>
      <c r="R61" s="106"/>
      <c r="S61" s="40"/>
      <c r="T61" s="77"/>
      <c r="U61" s="40"/>
      <c r="V61" s="40"/>
      <c r="W61" s="40"/>
      <c r="X61" s="40"/>
      <c r="Y61" s="40"/>
      <c r="Z61" s="40"/>
      <c r="AA61" s="40"/>
      <c r="AB61" s="40"/>
      <c r="AC61" s="40"/>
      <c r="AD61" s="40"/>
      <c r="AE61" s="40"/>
      <c r="AG61" s="20"/>
      <c r="AI61" s="20"/>
    </row>
  </sheetData>
  <mergeCells count="42">
    <mergeCell ref="X39:X40"/>
    <mergeCell ref="O39:O40"/>
    <mergeCell ref="P39:P40"/>
    <mergeCell ref="Q39:Q40"/>
    <mergeCell ref="AE38:AE40"/>
    <mergeCell ref="Y38:AC38"/>
    <mergeCell ref="U38:X38"/>
    <mergeCell ref="S38:T38"/>
    <mergeCell ref="Y39:Y40"/>
    <mergeCell ref="Z39:Z40"/>
    <mergeCell ref="AA39:AA40"/>
    <mergeCell ref="AB39:AB40"/>
    <mergeCell ref="AC39:AC40"/>
    <mergeCell ref="T39:T40"/>
    <mergeCell ref="U39:U40"/>
    <mergeCell ref="V39:V40"/>
    <mergeCell ref="W39:W40"/>
    <mergeCell ref="AG10:AG12"/>
    <mergeCell ref="G11:G12"/>
    <mergeCell ref="I11:I12"/>
    <mergeCell ref="D10:D12"/>
    <mergeCell ref="AD38:AD40"/>
    <mergeCell ref="L39:L40"/>
    <mergeCell ref="R39:R40"/>
    <mergeCell ref="D38:D40"/>
    <mergeCell ref="G38:M38"/>
    <mergeCell ref="S39:S40"/>
    <mergeCell ref="G39:G40"/>
    <mergeCell ref="AF10:AF12"/>
    <mergeCell ref="H11:H12"/>
    <mergeCell ref="G10:I10"/>
    <mergeCell ref="N39:N40"/>
    <mergeCell ref="N38:R38"/>
    <mergeCell ref="B38:B40"/>
    <mergeCell ref="K39:K40"/>
    <mergeCell ref="M39:M40"/>
    <mergeCell ref="B7:D8"/>
    <mergeCell ref="B10:B12"/>
    <mergeCell ref="H39:H40"/>
    <mergeCell ref="I39:I40"/>
    <mergeCell ref="J39:J40"/>
    <mergeCell ref="B35:D36"/>
  </mergeCells>
  <conditionalFormatting sqref="T14:T33 Y14:Y33 AE14:AE33 P14:Q33">
    <cfRule type="expression" dxfId="4" priority="5">
      <formula>IF($D14="Fixed-to-Float",1,0)</formula>
    </cfRule>
  </conditionalFormatting>
  <conditionalFormatting sqref="O14:O33 U14:U33 Y14:Y33 AE14:AE33">
    <cfRule type="expression" dxfId="3" priority="4">
      <formula>IF($D14="Float-to-Float",1,0)</formula>
    </cfRule>
  </conditionalFormatting>
  <conditionalFormatting sqref="T14:T33 AD14:AD33 P14:Q33 Z14:AA33">
    <cfRule type="expression" dxfId="2" priority="3">
      <formula>IF($D14="Fixed-to-Fixed",1,0)</formula>
    </cfRule>
  </conditionalFormatting>
  <conditionalFormatting sqref="AC42:AC61 Y42:Z61">
    <cfRule type="expression" dxfId="1" priority="6">
      <formula>IF(#REF!="Fixed-to-Fixed",1,0)</formula>
    </cfRule>
  </conditionalFormatting>
  <conditionalFormatting sqref="U42:U61 X42:X61">
    <cfRule type="expression" dxfId="0" priority="8">
      <formula>IF(#REF!="Float-to-Float",1,0)</formula>
    </cfRule>
  </conditionalFormatting>
  <dataValidations count="16">
    <dataValidation type="list" allowBlank="1" showInputMessage="1" showErrorMessage="1" sqref="AG14:AG33 AE42:AE61">
      <formula1>CSACollateral</formula1>
    </dataValidation>
    <dataValidation type="list" allowBlank="1" showInputMessage="1" showErrorMessage="1" sqref="AF14:AF33 AD42:AD61">
      <formula1>PrincipalExchange</formula1>
    </dataValidation>
    <dataValidation type="list" allowBlank="1" showInputMessage="1" showErrorMessage="1" sqref="AE14:AE33 U14:U33 X42:X61">
      <formula1>CalcBasis</formula1>
    </dataValidation>
    <dataValidation type="list" allowBlank="1" showInputMessage="1" showErrorMessage="1" sqref="S14:S33 AC14:AC33 W42:W61 AB42:AB61">
      <formula1>DayCount</formula1>
    </dataValidation>
    <dataValidation type="list" allowBlank="1" showInputMessage="1" showErrorMessage="1" sqref="R14:R33 AB14:AB33 T14:T33 AD14:AD33 V42:V61 AA42:AA61 AC42:AC61">
      <formula1>PaymentFrequency</formula1>
    </dataValidation>
    <dataValidation type="list" allowBlank="1" showInputMessage="1" showErrorMessage="1" sqref="W14:W33 M14:M33 K42:K61">
      <formula1>CurrencyList</formula1>
    </dataValidation>
    <dataValidation type="list" allowBlank="1" showInputMessage="1" showErrorMessage="1" sqref="L14:L33">
      <formula1>RecievePay</formula1>
    </dataValidation>
    <dataValidation type="list" allowBlank="1" showInputMessage="1" showErrorMessage="1" sqref="G14:G33">
      <formula1>SolverTargetName</formula1>
    </dataValidation>
    <dataValidation type="list" allowBlank="1" showInputMessage="1" showErrorMessage="1" sqref="D14:D33">
      <formula1>SwapDealTypeName</formula1>
    </dataValidation>
    <dataValidation type="list" allowBlank="1" showInputMessage="1" showErrorMessage="1" sqref="S42:S61">
      <formula1>ModelType</formula1>
    </dataValidation>
    <dataValidation type="list" allowBlank="1" showInputMessage="1" showErrorMessage="1" sqref="Q42:Q61">
      <formula1>CallFrequency</formula1>
    </dataValidation>
    <dataValidation type="list" allowBlank="1" showInputMessage="1" showErrorMessage="1" sqref="M42:M61">
      <formula1>"True,False"</formula1>
    </dataValidation>
    <dataValidation type="list" allowBlank="1" showInputMessage="1" showErrorMessage="1" sqref="L42:L61">
      <formula1>DeliveryMethod</formula1>
    </dataValidation>
    <dataValidation type="list" allowBlank="1" showInputMessage="1" showErrorMessage="1" sqref="H42:H61">
      <formula1>OptionPosition</formula1>
    </dataValidation>
    <dataValidation type="list" allowBlank="1" showInputMessage="1" showErrorMessage="1" sqref="D42:D61">
      <formula1>SwaptionDealName</formula1>
    </dataValidation>
    <dataValidation type="list" allowBlank="1" showInputMessage="1" showErrorMessage="1" sqref="G42:G61">
      <formula1>OptionStyle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Val"/>
  <dimension ref="A1:O133"/>
  <sheetViews>
    <sheetView topLeftCell="J20" workbookViewId="0">
      <selection activeCell="N35" sqref="N35"/>
    </sheetView>
  </sheetViews>
  <sheetFormatPr defaultRowHeight="15" x14ac:dyDescent="0.25"/>
  <cols>
    <col min="2" max="2" width="15.85546875" bestFit="1" customWidth="1"/>
    <col min="3" max="3" width="19" bestFit="1" customWidth="1"/>
    <col min="5" max="5" width="15.7109375" bestFit="1" customWidth="1"/>
    <col min="6" max="6" width="19" bestFit="1" customWidth="1"/>
    <col min="7" max="7" width="14.5703125" bestFit="1" customWidth="1"/>
    <col min="8" max="8" width="11" bestFit="1" customWidth="1"/>
    <col min="9" max="9" width="22" bestFit="1" customWidth="1"/>
    <col min="10" max="10" width="17.28515625" bestFit="1" customWidth="1"/>
    <col min="11" max="11" width="12.85546875" bestFit="1" customWidth="1"/>
    <col min="12" max="12" width="20.7109375" bestFit="1" customWidth="1"/>
    <col min="14" max="14" width="15.28515625" bestFit="1" customWidth="1"/>
  </cols>
  <sheetData>
    <row r="1" spans="2:7" ht="5.0999999999999996" customHeight="1" x14ac:dyDescent="0.25"/>
    <row r="2" spans="2:7" ht="15" customHeight="1" x14ac:dyDescent="0.25"/>
    <row r="3" spans="2:7" ht="15" customHeight="1" x14ac:dyDescent="0.25"/>
    <row r="4" spans="2:7" ht="15" customHeight="1" x14ac:dyDescent="0.25"/>
    <row r="5" spans="2:7" ht="5.0999999999999996" customHeight="1" x14ac:dyDescent="0.25"/>
    <row r="7" spans="2:7" s="17" customFormat="1" ht="18.75" x14ac:dyDescent="0.3">
      <c r="B7" s="10" t="s">
        <v>51</v>
      </c>
    </row>
    <row r="8" spans="2:7" ht="15.75" thickBot="1" x14ac:dyDescent="0.3"/>
    <row r="9" spans="2:7" ht="15.75" thickBot="1" x14ac:dyDescent="0.3">
      <c r="B9" s="3" t="s">
        <v>32</v>
      </c>
      <c r="C9" s="4"/>
      <c r="E9" s="3" t="s">
        <v>28</v>
      </c>
      <c r="F9" s="16"/>
      <c r="G9" s="4"/>
    </row>
    <row r="10" spans="2:7" x14ac:dyDescent="0.25">
      <c r="B10" s="3" t="s">
        <v>206</v>
      </c>
      <c r="C10" s="4" t="s">
        <v>31</v>
      </c>
      <c r="E10" s="5" t="s">
        <v>36</v>
      </c>
      <c r="F10" s="15" t="s">
        <v>37</v>
      </c>
      <c r="G10" s="6" t="s">
        <v>38</v>
      </c>
    </row>
    <row r="11" spans="2:7" x14ac:dyDescent="0.25">
      <c r="B11" s="5" t="s">
        <v>207</v>
      </c>
      <c r="C11" s="6" t="s">
        <v>33</v>
      </c>
      <c r="E11" s="5" t="s">
        <v>39</v>
      </c>
      <c r="F11" s="15" t="s">
        <v>40</v>
      </c>
      <c r="G11" s="6" t="s">
        <v>38</v>
      </c>
    </row>
    <row r="12" spans="2:7" x14ac:dyDescent="0.25">
      <c r="B12" s="5" t="s">
        <v>208</v>
      </c>
      <c r="C12" s="6" t="s">
        <v>34</v>
      </c>
      <c r="E12" s="5" t="s">
        <v>41</v>
      </c>
      <c r="F12" s="15" t="s">
        <v>42</v>
      </c>
      <c r="G12" s="6" t="s">
        <v>38</v>
      </c>
    </row>
    <row r="13" spans="2:7" x14ac:dyDescent="0.25">
      <c r="B13" s="108" t="s">
        <v>343</v>
      </c>
      <c r="C13" s="109" t="s">
        <v>342</v>
      </c>
      <c r="E13" s="5" t="s">
        <v>43</v>
      </c>
      <c r="F13" s="15" t="s">
        <v>44</v>
      </c>
      <c r="G13" s="6" t="s">
        <v>38</v>
      </c>
    </row>
    <row r="14" spans="2:7" ht="15.75" thickBot="1" x14ac:dyDescent="0.3">
      <c r="B14" s="110" t="s">
        <v>344</v>
      </c>
      <c r="C14" s="111" t="s">
        <v>345</v>
      </c>
      <c r="E14" s="5" t="s">
        <v>45</v>
      </c>
      <c r="F14" s="15" t="s">
        <v>46</v>
      </c>
      <c r="G14" s="6" t="s">
        <v>3</v>
      </c>
    </row>
    <row r="15" spans="2:7" s="19" customFormat="1" ht="15.75" thickBot="1" x14ac:dyDescent="0.3">
      <c r="B15" s="107"/>
      <c r="C15" s="107"/>
      <c r="E15" s="7" t="s">
        <v>47</v>
      </c>
      <c r="F15" s="14" t="s">
        <v>48</v>
      </c>
      <c r="G15" s="8" t="s">
        <v>3</v>
      </c>
    </row>
    <row r="19" spans="2:15" x14ac:dyDescent="0.25">
      <c r="E19" s="17"/>
    </row>
    <row r="20" spans="2:15" x14ac:dyDescent="0.25">
      <c r="E20" s="17"/>
    </row>
    <row r="21" spans="2:15" x14ac:dyDescent="0.25">
      <c r="E21" s="17"/>
    </row>
    <row r="22" spans="2:15" ht="15.75" thickBot="1" x14ac:dyDescent="0.3">
      <c r="E22" s="17"/>
    </row>
    <row r="23" spans="2:15" x14ac:dyDescent="0.25">
      <c r="B23" s="13" t="s">
        <v>14</v>
      </c>
      <c r="E23" s="17"/>
    </row>
    <row r="24" spans="2:15" x14ac:dyDescent="0.25">
      <c r="B24" s="12" t="s">
        <v>49</v>
      </c>
      <c r="E24" s="17"/>
    </row>
    <row r="25" spans="2:15" ht="15.75" thickBot="1" x14ac:dyDescent="0.3">
      <c r="B25" s="11" t="s">
        <v>50</v>
      </c>
      <c r="E25" s="17"/>
    </row>
    <row r="26" spans="2:15" x14ac:dyDescent="0.25">
      <c r="B26" s="17"/>
      <c r="C26" s="17"/>
      <c r="D26" s="17"/>
      <c r="E26" s="17"/>
    </row>
    <row r="27" spans="2:15" ht="15.75" thickBot="1" x14ac:dyDescent="0.3">
      <c r="B27" s="17"/>
      <c r="C27" s="17"/>
      <c r="D27" s="17"/>
      <c r="E27" s="17"/>
    </row>
    <row r="28" spans="2:15" x14ac:dyDescent="0.25">
      <c r="B28" s="9" t="s">
        <v>111</v>
      </c>
      <c r="D28" s="13" t="s">
        <v>18</v>
      </c>
      <c r="F28" s="13" t="s">
        <v>19</v>
      </c>
      <c r="H28" s="13" t="s">
        <v>118</v>
      </c>
      <c r="J28" s="13" t="s">
        <v>148</v>
      </c>
      <c r="L28" s="13" t="s">
        <v>155</v>
      </c>
      <c r="N28" s="104" t="s">
        <v>358</v>
      </c>
      <c r="O28" s="104" t="s">
        <v>355</v>
      </c>
    </row>
    <row r="29" spans="2:15" x14ac:dyDescent="0.25">
      <c r="B29" s="12" t="s">
        <v>59</v>
      </c>
      <c r="D29" s="12" t="s">
        <v>119</v>
      </c>
      <c r="F29" s="12" t="s">
        <v>125</v>
      </c>
      <c r="H29" s="12" t="s">
        <v>146</v>
      </c>
      <c r="J29" s="12" t="s">
        <v>150</v>
      </c>
      <c r="L29" s="12" t="s">
        <v>61</v>
      </c>
      <c r="N29" t="s">
        <v>3</v>
      </c>
      <c r="O29" s="104" t="s">
        <v>272</v>
      </c>
    </row>
    <row r="30" spans="2:15" ht="15.75" thickBot="1" x14ac:dyDescent="0.3">
      <c r="B30" s="12" t="s">
        <v>60</v>
      </c>
      <c r="D30" s="12" t="s">
        <v>120</v>
      </c>
      <c r="F30" s="12" t="s">
        <v>126</v>
      </c>
      <c r="H30" s="11" t="s">
        <v>147</v>
      </c>
      <c r="J30" s="12" t="s">
        <v>151</v>
      </c>
      <c r="L30" s="12" t="s">
        <v>64</v>
      </c>
      <c r="N30" s="104" t="s">
        <v>287</v>
      </c>
      <c r="O30" s="104" t="s">
        <v>273</v>
      </c>
    </row>
    <row r="31" spans="2:15" x14ac:dyDescent="0.25">
      <c r="B31" s="12" t="s">
        <v>61</v>
      </c>
      <c r="D31" s="12" t="s">
        <v>121</v>
      </c>
      <c r="F31" s="12" t="s">
        <v>127</v>
      </c>
      <c r="J31" s="12" t="s">
        <v>152</v>
      </c>
      <c r="L31" s="12" t="s">
        <v>52</v>
      </c>
      <c r="N31" s="104" t="s">
        <v>4</v>
      </c>
      <c r="O31" s="104" t="s">
        <v>30</v>
      </c>
    </row>
    <row r="32" spans="2:15" x14ac:dyDescent="0.25">
      <c r="B32" s="12" t="s">
        <v>62</v>
      </c>
      <c r="D32" s="12" t="s">
        <v>122</v>
      </c>
      <c r="F32" s="12" t="s">
        <v>128</v>
      </c>
      <c r="J32" s="12" t="s">
        <v>153</v>
      </c>
      <c r="L32" s="12" t="s">
        <v>53</v>
      </c>
      <c r="N32" s="104" t="s">
        <v>38</v>
      </c>
      <c r="O32" s="104" t="s">
        <v>38</v>
      </c>
    </row>
    <row r="33" spans="2:15" ht="15.75" thickBot="1" x14ac:dyDescent="0.3">
      <c r="B33" s="12" t="s">
        <v>63</v>
      </c>
      <c r="D33" s="12" t="s">
        <v>123</v>
      </c>
      <c r="F33" s="12" t="s">
        <v>129</v>
      </c>
      <c r="J33" s="11" t="s">
        <v>154</v>
      </c>
      <c r="L33" s="12" t="s">
        <v>72</v>
      </c>
      <c r="N33" s="104" t="s">
        <v>356</v>
      </c>
      <c r="O33" s="104" t="s">
        <v>356</v>
      </c>
    </row>
    <row r="34" spans="2:15" ht="15.75" thickBot="1" x14ac:dyDescent="0.3">
      <c r="B34" s="12" t="s">
        <v>64</v>
      </c>
      <c r="D34" s="11" t="s">
        <v>124</v>
      </c>
      <c r="F34" s="12" t="s">
        <v>130</v>
      </c>
      <c r="L34" s="12" t="s">
        <v>54</v>
      </c>
      <c r="N34" t="s">
        <v>359</v>
      </c>
      <c r="O34" s="104" t="s">
        <v>357</v>
      </c>
    </row>
    <row r="35" spans="2:15" x14ac:dyDescent="0.25">
      <c r="B35" s="12" t="s">
        <v>52</v>
      </c>
      <c r="F35" s="12" t="s">
        <v>131</v>
      </c>
      <c r="L35" s="12" t="s">
        <v>55</v>
      </c>
      <c r="O35" s="25"/>
    </row>
    <row r="36" spans="2:15" x14ac:dyDescent="0.25">
      <c r="B36" s="12" t="s">
        <v>53</v>
      </c>
      <c r="F36" s="12" t="s">
        <v>132</v>
      </c>
      <c r="L36" s="12" t="s">
        <v>56</v>
      </c>
      <c r="O36" s="25"/>
    </row>
    <row r="37" spans="2:15" x14ac:dyDescent="0.25">
      <c r="B37" s="12" t="s">
        <v>65</v>
      </c>
      <c r="F37" s="12" t="s">
        <v>133</v>
      </c>
      <c r="L37" s="12" t="s">
        <v>156</v>
      </c>
      <c r="O37" s="25"/>
    </row>
    <row r="38" spans="2:15" x14ac:dyDescent="0.25">
      <c r="B38" s="12" t="s">
        <v>66</v>
      </c>
      <c r="F38" s="12" t="s">
        <v>134</v>
      </c>
      <c r="L38" s="12" t="s">
        <v>57</v>
      </c>
      <c r="O38" s="25"/>
    </row>
    <row r="39" spans="2:15" ht="15.75" thickBot="1" x14ac:dyDescent="0.3">
      <c r="B39" s="12" t="s">
        <v>67</v>
      </c>
      <c r="F39" s="12" t="s">
        <v>135</v>
      </c>
      <c r="L39" s="11" t="s">
        <v>58</v>
      </c>
      <c r="O39" s="25"/>
    </row>
    <row r="40" spans="2:15" x14ac:dyDescent="0.25">
      <c r="B40" s="12" t="s">
        <v>68</v>
      </c>
      <c r="F40" s="12" t="s">
        <v>136</v>
      </c>
      <c r="O40" s="25"/>
    </row>
    <row r="41" spans="2:15" x14ac:dyDescent="0.25">
      <c r="B41" s="12" t="s">
        <v>69</v>
      </c>
      <c r="F41" s="12" t="s">
        <v>137</v>
      </c>
      <c r="O41" s="24"/>
    </row>
    <row r="42" spans="2:15" x14ac:dyDescent="0.25">
      <c r="B42" s="12" t="s">
        <v>70</v>
      </c>
      <c r="F42" s="12" t="s">
        <v>138</v>
      </c>
      <c r="O42" s="25"/>
    </row>
    <row r="43" spans="2:15" x14ac:dyDescent="0.25">
      <c r="B43" s="12" t="s">
        <v>71</v>
      </c>
      <c r="F43" s="12" t="s">
        <v>139</v>
      </c>
      <c r="O43" s="25"/>
    </row>
    <row r="44" spans="2:15" x14ac:dyDescent="0.25">
      <c r="B44" s="12" t="s">
        <v>72</v>
      </c>
      <c r="F44" s="12" t="s">
        <v>140</v>
      </c>
      <c r="O44" s="25"/>
    </row>
    <row r="45" spans="2:15" x14ac:dyDescent="0.25">
      <c r="B45" s="12" t="s">
        <v>73</v>
      </c>
      <c r="F45" s="12" t="s">
        <v>141</v>
      </c>
      <c r="O45" s="25"/>
    </row>
    <row r="46" spans="2:15" x14ac:dyDescent="0.25">
      <c r="B46" s="12" t="s">
        <v>74</v>
      </c>
      <c r="F46" s="12" t="s">
        <v>142</v>
      </c>
      <c r="O46" s="25"/>
    </row>
    <row r="47" spans="2:15" x14ac:dyDescent="0.25">
      <c r="B47" s="12" t="s">
        <v>54</v>
      </c>
      <c r="F47" s="12" t="s">
        <v>143</v>
      </c>
      <c r="O47" s="25"/>
    </row>
    <row r="48" spans="2:15" x14ac:dyDescent="0.25">
      <c r="B48" s="12" t="s">
        <v>55</v>
      </c>
      <c r="F48" s="12" t="s">
        <v>144</v>
      </c>
      <c r="O48" s="25"/>
    </row>
    <row r="49" spans="2:15" ht="15.75" thickBot="1" x14ac:dyDescent="0.3">
      <c r="B49" s="12" t="s">
        <v>75</v>
      </c>
      <c r="F49" s="11" t="s">
        <v>145</v>
      </c>
    </row>
    <row r="50" spans="2:15" x14ac:dyDescent="0.25">
      <c r="B50" s="12" t="s">
        <v>76</v>
      </c>
      <c r="O50" s="24"/>
    </row>
    <row r="51" spans="2:15" x14ac:dyDescent="0.25">
      <c r="B51" s="12" t="s">
        <v>77</v>
      </c>
    </row>
    <row r="52" spans="2:15" x14ac:dyDescent="0.25">
      <c r="B52" s="12" t="s">
        <v>78</v>
      </c>
    </row>
    <row r="53" spans="2:15" x14ac:dyDescent="0.25">
      <c r="B53" s="12" t="s">
        <v>79</v>
      </c>
    </row>
    <row r="54" spans="2:15" x14ac:dyDescent="0.25">
      <c r="B54" s="12" t="s">
        <v>80</v>
      </c>
    </row>
    <row r="55" spans="2:15" x14ac:dyDescent="0.25">
      <c r="B55" s="12" t="s">
        <v>81</v>
      </c>
    </row>
    <row r="56" spans="2:15" x14ac:dyDescent="0.25">
      <c r="B56" s="12" t="s">
        <v>56</v>
      </c>
    </row>
    <row r="57" spans="2:15" x14ac:dyDescent="0.25">
      <c r="B57" s="12" t="s">
        <v>82</v>
      </c>
    </row>
    <row r="58" spans="2:15" x14ac:dyDescent="0.25">
      <c r="B58" s="12" t="s">
        <v>83</v>
      </c>
    </row>
    <row r="59" spans="2:15" x14ac:dyDescent="0.25">
      <c r="B59" s="12" t="s">
        <v>84</v>
      </c>
    </row>
    <row r="60" spans="2:15" x14ac:dyDescent="0.25">
      <c r="B60" s="12" t="s">
        <v>85</v>
      </c>
    </row>
    <row r="61" spans="2:15" x14ac:dyDescent="0.25">
      <c r="B61" s="12" t="s">
        <v>86</v>
      </c>
    </row>
    <row r="62" spans="2:15" x14ac:dyDescent="0.25">
      <c r="B62" s="12" t="s">
        <v>87</v>
      </c>
    </row>
    <row r="63" spans="2:15" x14ac:dyDescent="0.25">
      <c r="B63" s="12" t="s">
        <v>88</v>
      </c>
    </row>
    <row r="64" spans="2:15" x14ac:dyDescent="0.25">
      <c r="B64" s="12" t="s">
        <v>89</v>
      </c>
    </row>
    <row r="65" spans="2:2" x14ac:dyDescent="0.25">
      <c r="B65" s="12" t="s">
        <v>90</v>
      </c>
    </row>
    <row r="66" spans="2:2" x14ac:dyDescent="0.25">
      <c r="B66" s="12" t="s">
        <v>91</v>
      </c>
    </row>
    <row r="67" spans="2:2" x14ac:dyDescent="0.25">
      <c r="B67" s="12" t="s">
        <v>92</v>
      </c>
    </row>
    <row r="68" spans="2:2" x14ac:dyDescent="0.25">
      <c r="B68" s="12" t="s">
        <v>93</v>
      </c>
    </row>
    <row r="69" spans="2:2" x14ac:dyDescent="0.25">
      <c r="B69" s="12" t="s">
        <v>94</v>
      </c>
    </row>
    <row r="70" spans="2:2" x14ac:dyDescent="0.25">
      <c r="B70" s="12" t="s">
        <v>95</v>
      </c>
    </row>
    <row r="71" spans="2:2" x14ac:dyDescent="0.25">
      <c r="B71" s="12" t="s">
        <v>96</v>
      </c>
    </row>
    <row r="72" spans="2:2" x14ac:dyDescent="0.25">
      <c r="B72" s="12" t="s">
        <v>97</v>
      </c>
    </row>
    <row r="73" spans="2:2" x14ac:dyDescent="0.25">
      <c r="B73" s="12" t="s">
        <v>98</v>
      </c>
    </row>
    <row r="74" spans="2:2" x14ac:dyDescent="0.25">
      <c r="B74" s="12" t="s">
        <v>99</v>
      </c>
    </row>
    <row r="75" spans="2:2" x14ac:dyDescent="0.25">
      <c r="B75" s="12" t="s">
        <v>100</v>
      </c>
    </row>
    <row r="76" spans="2:2" x14ac:dyDescent="0.25">
      <c r="B76" s="12" t="s">
        <v>57</v>
      </c>
    </row>
    <row r="77" spans="2:2" x14ac:dyDescent="0.25">
      <c r="B77" s="12" t="s">
        <v>101</v>
      </c>
    </row>
    <row r="78" spans="2:2" x14ac:dyDescent="0.25">
      <c r="B78" s="12" t="s">
        <v>102</v>
      </c>
    </row>
    <row r="79" spans="2:2" x14ac:dyDescent="0.25">
      <c r="B79" s="12" t="s">
        <v>103</v>
      </c>
    </row>
    <row r="80" spans="2:2" x14ac:dyDescent="0.25">
      <c r="B80" s="12" t="s">
        <v>104</v>
      </c>
    </row>
    <row r="81" spans="2:2" x14ac:dyDescent="0.25">
      <c r="B81" s="12" t="s">
        <v>105</v>
      </c>
    </row>
    <row r="82" spans="2:2" x14ac:dyDescent="0.25">
      <c r="B82" s="12" t="s">
        <v>106</v>
      </c>
    </row>
    <row r="83" spans="2:2" x14ac:dyDescent="0.25">
      <c r="B83" s="12" t="s">
        <v>107</v>
      </c>
    </row>
    <row r="84" spans="2:2" x14ac:dyDescent="0.25">
      <c r="B84" s="12" t="s">
        <v>58</v>
      </c>
    </row>
    <row r="85" spans="2:2" x14ac:dyDescent="0.25">
      <c r="B85" s="12" t="s">
        <v>108</v>
      </c>
    </row>
    <row r="86" spans="2:2" x14ac:dyDescent="0.25">
      <c r="B86" s="12" t="s">
        <v>109</v>
      </c>
    </row>
    <row r="87" spans="2:2" ht="15.75" thickBot="1" x14ac:dyDescent="0.3">
      <c r="B87" s="11" t="s">
        <v>110</v>
      </c>
    </row>
    <row r="100" spans="2:11" x14ac:dyDescent="0.25">
      <c r="B100" t="s">
        <v>235</v>
      </c>
    </row>
    <row r="101" spans="2:11" ht="15.75" thickBot="1" x14ac:dyDescent="0.3"/>
    <row r="102" spans="2:11" x14ac:dyDescent="0.25">
      <c r="B102" s="3" t="s">
        <v>241</v>
      </c>
      <c r="C102" s="4"/>
      <c r="E102" s="13" t="s">
        <v>240</v>
      </c>
      <c r="G102" s="13" t="s">
        <v>248</v>
      </c>
      <c r="I102" s="13" t="s">
        <v>213</v>
      </c>
      <c r="K102" s="13" t="s">
        <v>229</v>
      </c>
    </row>
    <row r="103" spans="2:11" ht="15.75" thickBot="1" x14ac:dyDescent="0.3">
      <c r="B103" s="7" t="s">
        <v>242</v>
      </c>
      <c r="C103" s="8" t="s">
        <v>243</v>
      </c>
      <c r="E103" s="12" t="s">
        <v>236</v>
      </c>
      <c r="G103" s="12" t="s">
        <v>244</v>
      </c>
      <c r="I103" s="12" t="s">
        <v>249</v>
      </c>
      <c r="K103" s="12" t="s">
        <v>253</v>
      </c>
    </row>
    <row r="104" spans="2:11" x14ac:dyDescent="0.25">
      <c r="E104" s="12" t="s">
        <v>237</v>
      </c>
      <c r="G104" s="12" t="s">
        <v>245</v>
      </c>
      <c r="I104" s="12" t="s">
        <v>250</v>
      </c>
      <c r="K104" s="12" t="s">
        <v>254</v>
      </c>
    </row>
    <row r="105" spans="2:11" x14ac:dyDescent="0.25">
      <c r="E105" s="12" t="s">
        <v>238</v>
      </c>
      <c r="G105" s="12" t="s">
        <v>246</v>
      </c>
      <c r="I105" s="12" t="s">
        <v>251</v>
      </c>
      <c r="K105" s="12" t="s">
        <v>255</v>
      </c>
    </row>
    <row r="106" spans="2:11" ht="15.75" thickBot="1" x14ac:dyDescent="0.3">
      <c r="E106" s="11" t="s">
        <v>239</v>
      </c>
      <c r="G106" s="11" t="s">
        <v>247</v>
      </c>
      <c r="I106" s="11" t="s">
        <v>252</v>
      </c>
      <c r="K106" s="12" t="s">
        <v>256</v>
      </c>
    </row>
    <row r="107" spans="2:11" x14ac:dyDescent="0.25">
      <c r="K107" s="12" t="s">
        <v>257</v>
      </c>
    </row>
    <row r="108" spans="2:11" x14ac:dyDescent="0.25">
      <c r="K108" s="12" t="s">
        <v>258</v>
      </c>
    </row>
    <row r="109" spans="2:11" ht="15.75" thickBot="1" x14ac:dyDescent="0.3">
      <c r="K109" s="12" t="s">
        <v>259</v>
      </c>
    </row>
    <row r="110" spans="2:11" x14ac:dyDescent="0.25">
      <c r="B110" s="13" t="s">
        <v>209</v>
      </c>
      <c r="K110" s="12" t="s">
        <v>260</v>
      </c>
    </row>
    <row r="111" spans="2:11" x14ac:dyDescent="0.25">
      <c r="B111" s="12" t="s">
        <v>268</v>
      </c>
      <c r="K111" s="12" t="s">
        <v>261</v>
      </c>
    </row>
    <row r="112" spans="2:11" x14ac:dyDescent="0.25">
      <c r="B112" s="12" t="s">
        <v>269</v>
      </c>
      <c r="K112" s="12" t="s">
        <v>262</v>
      </c>
    </row>
    <row r="113" spans="1:11" ht="15.75" thickBot="1" x14ac:dyDescent="0.3">
      <c r="B113" s="11" t="s">
        <v>270</v>
      </c>
      <c r="K113" s="12" t="s">
        <v>263</v>
      </c>
    </row>
    <row r="114" spans="1:11" x14ac:dyDescent="0.25">
      <c r="K114" s="12" t="s">
        <v>264</v>
      </c>
    </row>
    <row r="115" spans="1:11" x14ac:dyDescent="0.25">
      <c r="K115" s="12" t="s">
        <v>265</v>
      </c>
    </row>
    <row r="116" spans="1:11" x14ac:dyDescent="0.25">
      <c r="K116" s="12" t="s">
        <v>266</v>
      </c>
    </row>
    <row r="117" spans="1:11" ht="15.75" thickBot="1" x14ac:dyDescent="0.3">
      <c r="K117" s="11" t="s">
        <v>267</v>
      </c>
    </row>
    <row r="120" spans="1:11" ht="15.75" thickBot="1" x14ac:dyDescent="0.3"/>
    <row r="121" spans="1:11" x14ac:dyDescent="0.25">
      <c r="B121" s="13" t="s">
        <v>325</v>
      </c>
      <c r="E121" s="13" t="s">
        <v>325</v>
      </c>
    </row>
    <row r="122" spans="1:11" x14ac:dyDescent="0.25">
      <c r="A122" s="104"/>
      <c r="B122" s="12" t="s">
        <v>326</v>
      </c>
      <c r="C122" s="104"/>
      <c r="E122" s="12" t="s">
        <v>230</v>
      </c>
    </row>
    <row r="123" spans="1:11" x14ac:dyDescent="0.25">
      <c r="A123" s="104"/>
      <c r="B123" s="12" t="s">
        <v>10</v>
      </c>
      <c r="C123" s="104"/>
      <c r="E123" s="12" t="s">
        <v>10</v>
      </c>
    </row>
    <row r="124" spans="1:11" x14ac:dyDescent="0.25">
      <c r="A124" s="104"/>
      <c r="B124" s="12" t="s">
        <v>195</v>
      </c>
      <c r="C124" s="104"/>
      <c r="E124" s="12" t="s">
        <v>330</v>
      </c>
    </row>
    <row r="125" spans="1:11" x14ac:dyDescent="0.25">
      <c r="A125" s="104"/>
      <c r="B125" s="12" t="s">
        <v>196</v>
      </c>
      <c r="C125" s="104"/>
      <c r="E125" s="12" t="s">
        <v>195</v>
      </c>
    </row>
    <row r="126" spans="1:11" x14ac:dyDescent="0.25">
      <c r="A126" s="104"/>
      <c r="B126" s="12" t="s">
        <v>327</v>
      </c>
      <c r="C126" s="104"/>
      <c r="E126" s="12" t="s">
        <v>196</v>
      </c>
    </row>
    <row r="127" spans="1:11" x14ac:dyDescent="0.25">
      <c r="B127" s="12" t="s">
        <v>188</v>
      </c>
      <c r="E127" s="12" t="s">
        <v>327</v>
      </c>
    </row>
    <row r="128" spans="1:11" x14ac:dyDescent="0.25">
      <c r="B128" s="12" t="s">
        <v>328</v>
      </c>
      <c r="E128" s="12" t="s">
        <v>271</v>
      </c>
    </row>
    <row r="129" spans="2:5" x14ac:dyDescent="0.25">
      <c r="B129" s="12" t="s">
        <v>178</v>
      </c>
      <c r="E129" s="12" t="s">
        <v>331</v>
      </c>
    </row>
    <row r="130" spans="2:5" ht="15.75" thickBot="1" x14ac:dyDescent="0.3">
      <c r="B130" s="11" t="s">
        <v>329</v>
      </c>
      <c r="E130" s="12" t="s">
        <v>332</v>
      </c>
    </row>
    <row r="131" spans="2:5" x14ac:dyDescent="0.25">
      <c r="E131" s="12" t="s">
        <v>328</v>
      </c>
    </row>
    <row r="132" spans="2:5" x14ac:dyDescent="0.25">
      <c r="E132" s="12" t="s">
        <v>178</v>
      </c>
    </row>
    <row r="133" spans="2:5" ht="15.75" thickBot="1" x14ac:dyDescent="0.3">
      <c r="E133" s="11" t="s">
        <v>284</v>
      </c>
    </row>
  </sheetData>
  <sortState ref="L28:L38">
    <sortCondition ref="L28"/>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
    <tabColor rgb="FF00B050"/>
  </sheetPr>
  <dimension ref="B1:X168"/>
  <sheetViews>
    <sheetView showGridLines="0" workbookViewId="0">
      <pane ySplit="5" topLeftCell="A6" activePane="bottomLeft" state="frozenSplit"/>
      <selection pane="bottomLeft" activeCell="E21" sqref="E21"/>
    </sheetView>
  </sheetViews>
  <sheetFormatPr defaultRowHeight="15" x14ac:dyDescent="0.25"/>
  <cols>
    <col min="1" max="1" width="1.7109375" customWidth="1"/>
  </cols>
  <sheetData>
    <row r="1" spans="2:24" ht="5.0999999999999996" customHeight="1" x14ac:dyDescent="0.25"/>
    <row r="2" spans="2:24" ht="15" customHeight="1" x14ac:dyDescent="0.25"/>
    <row r="3" spans="2:24" ht="15" customHeight="1" x14ac:dyDescent="0.25"/>
    <row r="4" spans="2:24" ht="15" customHeight="1" x14ac:dyDescent="0.25"/>
    <row r="5" spans="2:24" ht="5.0999999999999996" customHeight="1" x14ac:dyDescent="0.25"/>
    <row r="6" spans="2:24" x14ac:dyDescent="0.25">
      <c r="B6" s="196"/>
      <c r="C6" s="191"/>
      <c r="D6" s="193"/>
      <c r="E6" s="191"/>
      <c r="F6" s="191"/>
      <c r="G6" s="191"/>
      <c r="H6" s="191"/>
      <c r="I6" s="191"/>
      <c r="J6" s="191"/>
      <c r="K6" s="191"/>
      <c r="L6" s="191"/>
      <c r="M6" s="191"/>
      <c r="N6" s="191"/>
      <c r="O6" s="191"/>
      <c r="P6" s="191"/>
      <c r="Q6" s="191"/>
      <c r="R6" s="191"/>
      <c r="S6" s="197"/>
      <c r="T6" s="191"/>
      <c r="U6" s="192"/>
      <c r="V6" s="191"/>
      <c r="W6" s="191"/>
      <c r="X6" s="191"/>
    </row>
    <row r="7" spans="2:24" x14ac:dyDescent="0.25">
      <c r="B7" s="191"/>
      <c r="C7" s="191"/>
      <c r="D7" s="191"/>
      <c r="E7" s="191"/>
      <c r="F7" s="191"/>
      <c r="G7" s="191"/>
      <c r="H7" s="191"/>
      <c r="I7" s="191"/>
      <c r="J7" s="191"/>
      <c r="K7" s="191"/>
      <c r="L7" s="191"/>
      <c r="M7" s="191"/>
      <c r="N7" s="191"/>
      <c r="O7" s="191"/>
      <c r="P7" s="191"/>
      <c r="Q7" s="191"/>
      <c r="R7" s="191"/>
      <c r="S7" s="191"/>
      <c r="T7" s="191"/>
      <c r="U7" s="191"/>
      <c r="V7" s="191"/>
      <c r="W7" s="191"/>
      <c r="X7" s="191"/>
    </row>
    <row r="8" spans="2:24" x14ac:dyDescent="0.25">
      <c r="B8" s="191"/>
      <c r="C8" s="191"/>
      <c r="D8" s="191"/>
      <c r="E8" s="191"/>
      <c r="F8" s="191"/>
      <c r="G8" s="191"/>
      <c r="H8" s="191"/>
      <c r="I8" s="191"/>
      <c r="J8" s="191"/>
      <c r="K8" s="191"/>
      <c r="L8" s="191"/>
      <c r="M8" s="191"/>
      <c r="N8" s="191"/>
      <c r="O8" s="191"/>
      <c r="P8" s="191"/>
      <c r="Q8" s="191"/>
      <c r="R8" s="191"/>
      <c r="S8" s="191"/>
      <c r="T8" s="191"/>
      <c r="U8" s="191"/>
      <c r="V8" s="191"/>
      <c r="W8" s="191"/>
      <c r="X8" s="191"/>
    </row>
    <row r="9" spans="2:24" x14ac:dyDescent="0.25">
      <c r="B9" s="191"/>
      <c r="C9" s="191"/>
      <c r="D9" s="191"/>
      <c r="E9" s="191"/>
      <c r="F9" s="191"/>
      <c r="G9" s="191"/>
      <c r="H9" s="191"/>
      <c r="I9" s="191"/>
      <c r="J9" s="191"/>
      <c r="K9" s="191"/>
      <c r="L9" s="191"/>
      <c r="M9" s="191"/>
      <c r="N9" s="191"/>
      <c r="O9" s="191"/>
      <c r="P9" s="191"/>
      <c r="Q9" s="191"/>
      <c r="R9" s="191"/>
      <c r="S9" s="191"/>
      <c r="T9" s="191"/>
      <c r="U9" s="191"/>
      <c r="V9" s="191"/>
      <c r="W9" s="191"/>
      <c r="X9" s="191"/>
    </row>
    <row r="10" spans="2:24" x14ac:dyDescent="0.25">
      <c r="B10" s="192"/>
      <c r="C10" s="191"/>
      <c r="D10" s="195" t="s">
        <v>298</v>
      </c>
      <c r="E10" s="195"/>
      <c r="F10" s="195"/>
      <c r="G10" s="195"/>
      <c r="H10" s="195"/>
      <c r="I10" s="195"/>
      <c r="J10" s="195"/>
      <c r="K10" s="195"/>
      <c r="L10" s="195"/>
      <c r="M10" s="195"/>
      <c r="N10" s="195"/>
      <c r="O10" s="195"/>
      <c r="P10" s="195"/>
      <c r="Q10" s="195"/>
      <c r="R10" s="195"/>
      <c r="S10" s="194"/>
      <c r="T10" s="191"/>
      <c r="U10" s="191"/>
      <c r="V10" s="191"/>
      <c r="W10" s="191"/>
      <c r="X10" s="191"/>
    </row>
    <row r="11" spans="2:24" x14ac:dyDescent="0.25">
      <c r="B11" s="191"/>
      <c r="C11" s="191"/>
      <c r="D11" s="195"/>
      <c r="E11" s="195"/>
      <c r="F11" s="195"/>
      <c r="G11" s="195"/>
      <c r="H11" s="195"/>
      <c r="I11" s="195"/>
      <c r="J11" s="195"/>
      <c r="K11" s="195"/>
      <c r="L11" s="195"/>
      <c r="M11" s="195"/>
      <c r="N11" s="195"/>
      <c r="O11" s="195"/>
      <c r="P11" s="195"/>
      <c r="Q11" s="195"/>
      <c r="R11" s="195"/>
      <c r="S11" s="191"/>
      <c r="T11" s="191"/>
      <c r="U11" s="191"/>
      <c r="V11" s="191"/>
      <c r="W11" s="191"/>
      <c r="X11" s="191"/>
    </row>
    <row r="12" spans="2:24" x14ac:dyDescent="0.25">
      <c r="B12" s="191"/>
      <c r="C12" s="191"/>
      <c r="D12" s="195"/>
      <c r="E12" s="195"/>
      <c r="F12" s="195"/>
      <c r="G12" s="195"/>
      <c r="H12" s="195"/>
      <c r="I12" s="195"/>
      <c r="J12" s="195"/>
      <c r="K12" s="195"/>
      <c r="L12" s="195"/>
      <c r="M12" s="195"/>
      <c r="N12" s="195"/>
      <c r="O12" s="195"/>
      <c r="P12" s="195"/>
      <c r="Q12" s="195"/>
      <c r="R12" s="195"/>
      <c r="S12" s="191"/>
      <c r="T12" s="191"/>
      <c r="U12" s="191"/>
      <c r="V12" s="191"/>
      <c r="W12" s="191"/>
      <c r="X12" s="191"/>
    </row>
    <row r="13" spans="2:24" x14ac:dyDescent="0.25">
      <c r="B13" s="191"/>
      <c r="C13" s="191"/>
      <c r="S13" s="191"/>
      <c r="T13" s="191"/>
      <c r="U13" s="191"/>
      <c r="V13" s="191"/>
      <c r="W13" s="191"/>
      <c r="X13" s="191"/>
    </row>
    <row r="14" spans="2:24" ht="15.75" thickBot="1" x14ac:dyDescent="0.3">
      <c r="B14" s="191"/>
      <c r="C14" s="191"/>
      <c r="D14" s="98" t="s">
        <v>300</v>
      </c>
      <c r="E14" s="99"/>
      <c r="F14" s="99"/>
      <c r="G14" s="99"/>
      <c r="H14" s="99"/>
      <c r="I14" s="99"/>
      <c r="J14" s="99"/>
      <c r="K14" s="99"/>
      <c r="L14" s="99"/>
      <c r="M14" s="99"/>
      <c r="N14" s="99"/>
      <c r="O14" s="99"/>
      <c r="P14" s="99"/>
      <c r="Q14" s="99"/>
      <c r="R14" s="100"/>
      <c r="S14" s="191"/>
      <c r="T14" s="191"/>
      <c r="U14" s="191"/>
      <c r="V14" s="191"/>
      <c r="W14" s="191"/>
      <c r="X14" s="191"/>
    </row>
    <row r="15" spans="2:24" x14ac:dyDescent="0.25">
      <c r="B15" s="191"/>
      <c r="C15" s="191"/>
      <c r="E15" s="84"/>
      <c r="S15" s="191"/>
      <c r="T15" s="191"/>
      <c r="U15" s="191"/>
      <c r="V15" s="191"/>
      <c r="W15" s="191"/>
      <c r="X15" s="191"/>
    </row>
    <row r="16" spans="2:24" x14ac:dyDescent="0.25">
      <c r="B16" s="191"/>
      <c r="C16" s="191"/>
      <c r="S16" s="191"/>
      <c r="T16" s="191"/>
      <c r="U16" s="191"/>
      <c r="V16" s="191"/>
      <c r="W16" s="191"/>
      <c r="X16" s="191"/>
    </row>
    <row r="17" spans="2:24" x14ac:dyDescent="0.25">
      <c r="B17" s="191"/>
      <c r="C17" s="191"/>
      <c r="S17" s="191"/>
      <c r="T17" s="191"/>
      <c r="U17" s="191"/>
      <c r="V17" s="191"/>
      <c r="W17" s="191"/>
      <c r="X17" s="191"/>
    </row>
    <row r="18" spans="2:24" x14ac:dyDescent="0.25">
      <c r="B18" s="191"/>
      <c r="C18" s="191"/>
      <c r="S18" s="191"/>
      <c r="T18" s="191"/>
      <c r="U18" s="191"/>
      <c r="V18" s="191"/>
      <c r="W18" s="191"/>
      <c r="X18" s="191"/>
    </row>
    <row r="19" spans="2:24" x14ac:dyDescent="0.25">
      <c r="B19" s="191"/>
      <c r="C19" s="191"/>
      <c r="S19" s="191"/>
      <c r="T19" s="191"/>
      <c r="U19" s="191"/>
      <c r="V19" s="191"/>
      <c r="W19" s="191"/>
      <c r="X19" s="191"/>
    </row>
    <row r="20" spans="2:24" x14ac:dyDescent="0.25">
      <c r="B20" s="191"/>
      <c r="C20" s="191"/>
      <c r="S20" s="191"/>
      <c r="T20" s="191"/>
      <c r="U20" s="191"/>
      <c r="V20" s="191"/>
      <c r="W20" s="191"/>
      <c r="X20" s="191"/>
    </row>
    <row r="21" spans="2:24" x14ac:dyDescent="0.25">
      <c r="B21" s="191"/>
      <c r="C21" s="191"/>
      <c r="S21" s="191"/>
      <c r="T21" s="191"/>
      <c r="U21" s="191"/>
      <c r="V21" s="191"/>
      <c r="W21" s="191"/>
      <c r="X21" s="191"/>
    </row>
    <row r="22" spans="2:24" x14ac:dyDescent="0.25">
      <c r="B22" s="191"/>
      <c r="C22" s="191"/>
      <c r="S22" s="191"/>
      <c r="T22" s="191"/>
      <c r="U22" s="191"/>
      <c r="V22" s="191"/>
      <c r="W22" s="191"/>
      <c r="X22" s="191"/>
    </row>
    <row r="23" spans="2:24" x14ac:dyDescent="0.25">
      <c r="B23" s="191"/>
      <c r="C23" s="191"/>
      <c r="S23" s="191"/>
      <c r="T23" s="191"/>
      <c r="U23" s="191"/>
      <c r="V23" s="191"/>
      <c r="W23" s="191"/>
      <c r="X23" s="191"/>
    </row>
    <row r="24" spans="2:24" x14ac:dyDescent="0.25">
      <c r="B24" s="191"/>
      <c r="C24" s="191"/>
      <c r="S24" s="191"/>
      <c r="T24" s="191"/>
      <c r="U24" s="191"/>
      <c r="V24" s="191"/>
      <c r="W24" s="191"/>
      <c r="X24" s="191"/>
    </row>
    <row r="25" spans="2:24" x14ac:dyDescent="0.25">
      <c r="B25" s="191"/>
      <c r="C25" s="191"/>
      <c r="S25" s="191"/>
      <c r="T25" s="191"/>
      <c r="U25" s="191"/>
      <c r="V25" s="191"/>
      <c r="W25" s="191"/>
      <c r="X25" s="191"/>
    </row>
    <row r="26" spans="2:24" x14ac:dyDescent="0.25">
      <c r="B26" s="191"/>
      <c r="C26" s="191"/>
      <c r="S26" s="191"/>
      <c r="T26" s="191"/>
      <c r="U26" s="191"/>
      <c r="V26" s="191"/>
      <c r="W26" s="191"/>
      <c r="X26" s="191"/>
    </row>
    <row r="27" spans="2:24" x14ac:dyDescent="0.25">
      <c r="B27" s="191"/>
      <c r="C27" s="191"/>
      <c r="S27" s="191"/>
      <c r="T27" s="191"/>
      <c r="U27" s="191"/>
      <c r="V27" s="191"/>
      <c r="W27" s="191"/>
      <c r="X27" s="191"/>
    </row>
    <row r="28" spans="2:24" x14ac:dyDescent="0.25">
      <c r="B28" s="191"/>
      <c r="C28" s="191"/>
      <c r="S28" s="191"/>
      <c r="T28" s="191"/>
      <c r="U28" s="191"/>
      <c r="V28" s="191"/>
      <c r="W28" s="191"/>
      <c r="X28" s="191"/>
    </row>
    <row r="29" spans="2:24" x14ac:dyDescent="0.25">
      <c r="B29" s="191"/>
      <c r="C29" s="191"/>
      <c r="S29" s="191"/>
      <c r="T29" s="191"/>
      <c r="U29" s="191"/>
      <c r="V29" s="191"/>
      <c r="W29" s="191"/>
      <c r="X29" s="191"/>
    </row>
    <row r="30" spans="2:24" x14ac:dyDescent="0.25">
      <c r="B30" s="191"/>
      <c r="C30" s="191"/>
      <c r="S30" s="191"/>
      <c r="T30" s="191"/>
      <c r="U30" s="191"/>
      <c r="V30" s="191"/>
      <c r="W30" s="191"/>
      <c r="X30" s="191"/>
    </row>
    <row r="31" spans="2:24" x14ac:dyDescent="0.25">
      <c r="B31" s="191"/>
      <c r="C31" s="191"/>
      <c r="S31" s="191"/>
      <c r="T31" s="191"/>
      <c r="U31" s="191"/>
      <c r="V31" s="191"/>
      <c r="W31" s="191"/>
      <c r="X31" s="191"/>
    </row>
    <row r="32" spans="2:24" x14ac:dyDescent="0.25">
      <c r="B32" s="191"/>
      <c r="C32" s="191"/>
      <c r="S32" s="191"/>
      <c r="T32" s="191"/>
      <c r="U32" s="191"/>
      <c r="V32" s="191"/>
      <c r="W32" s="191"/>
      <c r="X32" s="191"/>
    </row>
    <row r="33" spans="2:24" x14ac:dyDescent="0.25">
      <c r="B33" s="191"/>
      <c r="C33" s="191"/>
      <c r="S33" s="191"/>
      <c r="T33" s="191"/>
      <c r="U33" s="191"/>
      <c r="V33" s="191"/>
      <c r="W33" s="191"/>
      <c r="X33" s="191"/>
    </row>
    <row r="34" spans="2:24" ht="15.75" thickBot="1" x14ac:dyDescent="0.3">
      <c r="B34" s="191"/>
      <c r="C34" s="191"/>
      <c r="D34" s="98" t="s">
        <v>301</v>
      </c>
      <c r="E34" s="99"/>
      <c r="F34" s="99"/>
      <c r="G34" s="99"/>
      <c r="H34" s="99"/>
      <c r="I34" s="99"/>
      <c r="J34" s="99"/>
      <c r="K34" s="99"/>
      <c r="L34" s="99"/>
      <c r="M34" s="99"/>
      <c r="N34" s="99"/>
      <c r="O34" s="99"/>
      <c r="P34" s="99"/>
      <c r="Q34" s="99"/>
      <c r="R34" s="100"/>
      <c r="S34" s="191"/>
      <c r="T34" s="191"/>
      <c r="U34" s="191"/>
      <c r="V34" s="191"/>
      <c r="W34" s="191"/>
      <c r="X34" s="191"/>
    </row>
    <row r="35" spans="2:24" x14ac:dyDescent="0.25">
      <c r="B35" s="191"/>
      <c r="C35" s="191"/>
      <c r="S35" s="191"/>
      <c r="T35" s="191"/>
      <c r="U35" s="191"/>
      <c r="V35" s="191"/>
      <c r="W35" s="191"/>
      <c r="X35" s="191"/>
    </row>
    <row r="36" spans="2:24" x14ac:dyDescent="0.25">
      <c r="B36" s="191"/>
      <c r="C36" s="191"/>
      <c r="S36" s="191"/>
      <c r="T36" s="191"/>
      <c r="U36" s="191"/>
      <c r="V36" s="191"/>
      <c r="W36" s="191"/>
      <c r="X36" s="191"/>
    </row>
    <row r="37" spans="2:24" x14ac:dyDescent="0.25">
      <c r="B37" s="191"/>
      <c r="C37" s="191"/>
      <c r="S37" s="191"/>
      <c r="T37" s="191"/>
      <c r="U37" s="191"/>
      <c r="V37" s="191"/>
      <c r="W37" s="191"/>
      <c r="X37" s="191"/>
    </row>
    <row r="38" spans="2:24" x14ac:dyDescent="0.25">
      <c r="B38" s="191"/>
      <c r="C38" s="191"/>
      <c r="S38" s="191"/>
      <c r="T38" s="191"/>
      <c r="U38" s="191"/>
      <c r="V38" s="191"/>
      <c r="W38" s="191"/>
      <c r="X38" s="191"/>
    </row>
    <row r="39" spans="2:24" x14ac:dyDescent="0.25">
      <c r="B39" s="191"/>
      <c r="C39" s="191"/>
      <c r="S39" s="191"/>
      <c r="T39" s="191"/>
      <c r="U39" s="191"/>
      <c r="V39" s="191"/>
      <c r="W39" s="191"/>
      <c r="X39" s="191"/>
    </row>
    <row r="40" spans="2:24" x14ac:dyDescent="0.25">
      <c r="B40" s="191"/>
      <c r="C40" s="191"/>
      <c r="S40" s="191"/>
      <c r="T40" s="191"/>
      <c r="U40" s="191"/>
      <c r="V40" s="191"/>
      <c r="W40" s="191"/>
      <c r="X40" s="191"/>
    </row>
    <row r="41" spans="2:24" x14ac:dyDescent="0.25">
      <c r="B41" s="191"/>
      <c r="C41" s="191"/>
      <c r="S41" s="191"/>
      <c r="T41" s="191"/>
      <c r="U41" s="191"/>
      <c r="V41" s="191"/>
      <c r="W41" s="191"/>
      <c r="X41" s="191"/>
    </row>
    <row r="42" spans="2:24" x14ac:dyDescent="0.25">
      <c r="B42" s="191"/>
      <c r="C42" s="191"/>
      <c r="S42" s="191"/>
      <c r="T42" s="191"/>
      <c r="U42" s="191"/>
      <c r="V42" s="191"/>
      <c r="W42" s="191"/>
      <c r="X42" s="191"/>
    </row>
    <row r="43" spans="2:24" x14ac:dyDescent="0.25">
      <c r="B43" s="191"/>
      <c r="C43" s="191"/>
      <c r="S43" s="191"/>
      <c r="T43" s="191"/>
      <c r="U43" s="191"/>
      <c r="V43" s="191"/>
      <c r="W43" s="191"/>
      <c r="X43" s="191"/>
    </row>
    <row r="44" spans="2:24" x14ac:dyDescent="0.25">
      <c r="B44" s="191"/>
      <c r="C44" s="191"/>
      <c r="S44" s="191"/>
      <c r="T44" s="191"/>
      <c r="U44" s="191"/>
      <c r="V44" s="191"/>
      <c r="W44" s="191"/>
      <c r="X44" s="191"/>
    </row>
    <row r="45" spans="2:24" x14ac:dyDescent="0.25">
      <c r="B45" s="191"/>
      <c r="C45" s="191"/>
      <c r="S45" s="191"/>
      <c r="T45" s="191"/>
      <c r="U45" s="191"/>
      <c r="V45" s="191"/>
      <c r="W45" s="191"/>
      <c r="X45" s="191"/>
    </row>
    <row r="46" spans="2:24" x14ac:dyDescent="0.25">
      <c r="B46" s="191"/>
      <c r="C46" s="191"/>
      <c r="S46" s="191"/>
      <c r="T46" s="191"/>
      <c r="U46" s="191"/>
      <c r="V46" s="191"/>
      <c r="W46" s="191"/>
      <c r="X46" s="191"/>
    </row>
    <row r="47" spans="2:24" x14ac:dyDescent="0.25">
      <c r="B47" s="191"/>
      <c r="C47" s="191"/>
      <c r="S47" s="191"/>
      <c r="T47" s="191"/>
      <c r="U47" s="191"/>
      <c r="V47" s="191"/>
      <c r="W47" s="191"/>
      <c r="X47" s="191"/>
    </row>
    <row r="48" spans="2:24" x14ac:dyDescent="0.25">
      <c r="B48" s="191"/>
      <c r="C48" s="191"/>
      <c r="S48" s="191"/>
      <c r="T48" s="191"/>
      <c r="U48" s="191"/>
      <c r="V48" s="191"/>
      <c r="W48" s="191"/>
      <c r="X48" s="191"/>
    </row>
    <row r="49" spans="2:24" x14ac:dyDescent="0.25">
      <c r="B49" s="191"/>
      <c r="C49" s="191"/>
      <c r="S49" s="191"/>
      <c r="T49" s="191"/>
      <c r="U49" s="191"/>
      <c r="V49" s="191"/>
      <c r="W49" s="191"/>
      <c r="X49" s="191"/>
    </row>
    <row r="50" spans="2:24" x14ac:dyDescent="0.25">
      <c r="B50" s="191"/>
      <c r="C50" s="191"/>
      <c r="S50" s="191"/>
      <c r="T50" s="191"/>
      <c r="U50" s="191"/>
      <c r="V50" s="191"/>
      <c r="W50" s="191"/>
      <c r="X50" s="191"/>
    </row>
    <row r="51" spans="2:24" ht="15.75" thickBot="1" x14ac:dyDescent="0.3">
      <c r="B51" s="191"/>
      <c r="C51" s="191"/>
      <c r="D51" s="98" t="s">
        <v>304</v>
      </c>
      <c r="E51" s="99"/>
      <c r="F51" s="99"/>
      <c r="G51" s="99"/>
      <c r="H51" s="99"/>
      <c r="I51" s="99"/>
      <c r="J51" s="99"/>
      <c r="K51" s="99"/>
      <c r="L51" s="99"/>
      <c r="M51" s="99"/>
      <c r="N51" s="99"/>
      <c r="O51" s="99"/>
      <c r="P51" s="99"/>
      <c r="Q51" s="99"/>
      <c r="R51" s="100"/>
      <c r="S51" s="191"/>
      <c r="T51" s="191"/>
      <c r="U51" s="191"/>
      <c r="V51" s="191"/>
      <c r="W51" s="191"/>
      <c r="X51" s="191"/>
    </row>
    <row r="52" spans="2:24" x14ac:dyDescent="0.25">
      <c r="B52" s="191"/>
      <c r="C52" s="191"/>
      <c r="S52" s="191"/>
      <c r="T52" s="191"/>
      <c r="U52" s="191"/>
      <c r="V52" s="191"/>
      <c r="W52" s="191"/>
      <c r="X52" s="191"/>
    </row>
    <row r="53" spans="2:24" x14ac:dyDescent="0.25">
      <c r="B53" s="191"/>
      <c r="C53" s="191"/>
      <c r="S53" s="191"/>
      <c r="T53" s="191"/>
      <c r="U53" s="191"/>
      <c r="V53" s="191"/>
      <c r="W53" s="191"/>
      <c r="X53" s="191"/>
    </row>
    <row r="54" spans="2:24" x14ac:dyDescent="0.25">
      <c r="B54" s="191"/>
      <c r="C54" s="191"/>
      <c r="S54" s="191"/>
      <c r="T54" s="191"/>
      <c r="U54" s="191"/>
      <c r="V54" s="191"/>
      <c r="W54" s="191"/>
      <c r="X54" s="191"/>
    </row>
    <row r="55" spans="2:24" x14ac:dyDescent="0.25">
      <c r="B55" s="191"/>
      <c r="C55" s="191"/>
      <c r="S55" s="191"/>
      <c r="T55" s="191"/>
      <c r="U55" s="191"/>
      <c r="V55" s="191"/>
      <c r="W55" s="191"/>
      <c r="X55" s="191"/>
    </row>
    <row r="56" spans="2:24" x14ac:dyDescent="0.25">
      <c r="B56" s="191"/>
      <c r="C56" s="191"/>
      <c r="S56" s="191"/>
      <c r="T56" s="191"/>
      <c r="U56" s="191"/>
      <c r="V56" s="191"/>
      <c r="W56" s="191"/>
      <c r="X56" s="191"/>
    </row>
    <row r="57" spans="2:24" x14ac:dyDescent="0.25">
      <c r="B57" s="191"/>
      <c r="C57" s="191"/>
      <c r="S57" s="191"/>
      <c r="T57" s="191"/>
      <c r="U57" s="191"/>
      <c r="V57" s="191"/>
      <c r="W57" s="191"/>
      <c r="X57" s="191"/>
    </row>
    <row r="58" spans="2:24" x14ac:dyDescent="0.25">
      <c r="B58" s="191"/>
      <c r="C58" s="191"/>
      <c r="S58" s="191"/>
      <c r="T58" s="191"/>
      <c r="U58" s="191"/>
      <c r="V58" s="191"/>
      <c r="W58" s="191"/>
      <c r="X58" s="191"/>
    </row>
    <row r="59" spans="2:24" x14ac:dyDescent="0.25">
      <c r="B59" s="191"/>
      <c r="C59" s="191"/>
      <c r="S59" s="191"/>
      <c r="T59" s="191"/>
      <c r="U59" s="191"/>
      <c r="V59" s="191"/>
      <c r="W59" s="191"/>
      <c r="X59" s="191"/>
    </row>
    <row r="60" spans="2:24" x14ac:dyDescent="0.25">
      <c r="B60" s="191"/>
      <c r="C60" s="191"/>
      <c r="S60" s="191"/>
      <c r="T60" s="191"/>
      <c r="U60" s="191"/>
      <c r="V60" s="191"/>
      <c r="W60" s="191"/>
      <c r="X60" s="191"/>
    </row>
    <row r="61" spans="2:24" ht="15.75" thickBot="1" x14ac:dyDescent="0.3">
      <c r="B61" s="191"/>
      <c r="C61" s="191"/>
      <c r="D61" s="98" t="s">
        <v>302</v>
      </c>
      <c r="E61" s="99"/>
      <c r="F61" s="99"/>
      <c r="G61" s="99"/>
      <c r="H61" s="99"/>
      <c r="I61" s="99"/>
      <c r="J61" s="99"/>
      <c r="K61" s="99"/>
      <c r="L61" s="99"/>
      <c r="M61" s="99"/>
      <c r="N61" s="99"/>
      <c r="O61" s="99"/>
      <c r="P61" s="99"/>
      <c r="Q61" s="99"/>
      <c r="R61" s="100"/>
      <c r="S61" s="191"/>
      <c r="T61" s="191"/>
      <c r="U61" s="191"/>
      <c r="V61" s="191"/>
      <c r="W61" s="191"/>
      <c r="X61" s="191"/>
    </row>
    <row r="62" spans="2:24" x14ac:dyDescent="0.25">
      <c r="B62" s="191"/>
      <c r="C62" s="191"/>
      <c r="S62" s="191"/>
      <c r="T62" s="191"/>
      <c r="U62" s="191"/>
      <c r="V62" s="191"/>
      <c r="W62" s="191"/>
      <c r="X62" s="191"/>
    </row>
    <row r="63" spans="2:24" x14ac:dyDescent="0.25">
      <c r="B63" s="191"/>
      <c r="C63" s="191"/>
      <c r="S63" s="191"/>
      <c r="T63" s="191"/>
      <c r="U63" s="191"/>
      <c r="V63" s="191"/>
      <c r="W63" s="191"/>
      <c r="X63" s="191"/>
    </row>
    <row r="64" spans="2:24" x14ac:dyDescent="0.25">
      <c r="B64" s="191"/>
      <c r="C64" s="191"/>
      <c r="S64" s="191"/>
      <c r="T64" s="191"/>
      <c r="U64" s="191"/>
      <c r="V64" s="191"/>
      <c r="W64" s="191"/>
      <c r="X64" s="191"/>
    </row>
    <row r="65" spans="2:24" x14ac:dyDescent="0.25">
      <c r="B65" s="191"/>
      <c r="C65" s="191"/>
      <c r="S65" s="191"/>
      <c r="T65" s="191"/>
      <c r="U65" s="191"/>
      <c r="V65" s="191"/>
      <c r="W65" s="191"/>
      <c r="X65" s="191"/>
    </row>
    <row r="66" spans="2:24" x14ac:dyDescent="0.25">
      <c r="B66" s="191"/>
      <c r="C66" s="191"/>
      <c r="S66" s="191"/>
      <c r="T66" s="191"/>
      <c r="U66" s="191"/>
      <c r="V66" s="191"/>
      <c r="W66" s="191"/>
      <c r="X66" s="191"/>
    </row>
    <row r="67" spans="2:24" x14ac:dyDescent="0.25">
      <c r="B67" s="191"/>
      <c r="C67" s="191"/>
      <c r="S67" s="191"/>
      <c r="T67" s="191"/>
      <c r="U67" s="191"/>
      <c r="V67" s="191"/>
      <c r="W67" s="191"/>
      <c r="X67" s="191"/>
    </row>
    <row r="68" spans="2:24" x14ac:dyDescent="0.25">
      <c r="B68" s="191"/>
      <c r="C68" s="191"/>
      <c r="S68" s="191"/>
      <c r="T68" s="191"/>
      <c r="U68" s="191"/>
      <c r="V68" s="191"/>
      <c r="W68" s="191"/>
      <c r="X68" s="191"/>
    </row>
    <row r="69" spans="2:24" x14ac:dyDescent="0.25">
      <c r="B69" s="191"/>
      <c r="C69" s="191"/>
      <c r="S69" s="191"/>
      <c r="T69" s="191"/>
      <c r="U69" s="191"/>
      <c r="V69" s="191"/>
      <c r="W69" s="191"/>
      <c r="X69" s="191"/>
    </row>
    <row r="70" spans="2:24" x14ac:dyDescent="0.25">
      <c r="B70" s="191"/>
      <c r="C70" s="191"/>
      <c r="S70" s="191"/>
      <c r="T70" s="191"/>
      <c r="U70" s="191"/>
      <c r="V70" s="191"/>
      <c r="W70" s="191"/>
      <c r="X70" s="191"/>
    </row>
    <row r="71" spans="2:24" x14ac:dyDescent="0.25">
      <c r="B71" s="191"/>
      <c r="C71" s="191"/>
      <c r="S71" s="191"/>
      <c r="T71" s="191"/>
      <c r="U71" s="191"/>
      <c r="V71" s="191"/>
      <c r="W71" s="191"/>
      <c r="X71" s="191"/>
    </row>
    <row r="72" spans="2:24" x14ac:dyDescent="0.25">
      <c r="B72" s="191"/>
      <c r="C72" s="191"/>
      <c r="S72" s="191"/>
      <c r="T72" s="191"/>
      <c r="U72" s="191"/>
      <c r="V72" s="191"/>
      <c r="W72" s="191"/>
      <c r="X72" s="191"/>
    </row>
    <row r="73" spans="2:24" x14ac:dyDescent="0.25">
      <c r="B73" s="191"/>
      <c r="C73" s="191"/>
      <c r="S73" s="191"/>
      <c r="T73" s="191"/>
      <c r="U73" s="191"/>
      <c r="V73" s="191"/>
      <c r="W73" s="191"/>
      <c r="X73" s="191"/>
    </row>
    <row r="74" spans="2:24" x14ac:dyDescent="0.25">
      <c r="B74" s="191"/>
      <c r="C74" s="191"/>
      <c r="S74" s="191"/>
      <c r="T74" s="191"/>
      <c r="U74" s="191"/>
      <c r="V74" s="191"/>
      <c r="W74" s="191"/>
      <c r="X74" s="191"/>
    </row>
    <row r="75" spans="2:24" x14ac:dyDescent="0.25">
      <c r="B75" s="191"/>
      <c r="C75" s="191"/>
      <c r="S75" s="191"/>
      <c r="T75" s="191"/>
      <c r="U75" s="191"/>
      <c r="V75" s="191"/>
      <c r="W75" s="191"/>
      <c r="X75" s="191"/>
    </row>
    <row r="76" spans="2:24" x14ac:dyDescent="0.25">
      <c r="B76" s="191"/>
      <c r="C76" s="191"/>
      <c r="S76" s="191"/>
      <c r="T76" s="191"/>
      <c r="U76" s="191"/>
      <c r="V76" s="191"/>
      <c r="W76" s="191"/>
      <c r="X76" s="191"/>
    </row>
    <row r="77" spans="2:24" x14ac:dyDescent="0.25">
      <c r="B77" s="191"/>
      <c r="C77" s="191"/>
      <c r="S77" s="191"/>
      <c r="T77" s="191"/>
      <c r="U77" s="191"/>
      <c r="V77" s="191"/>
      <c r="W77" s="191"/>
      <c r="X77" s="191"/>
    </row>
    <row r="78" spans="2:24" x14ac:dyDescent="0.25">
      <c r="B78" s="191"/>
      <c r="C78" s="191"/>
      <c r="S78" s="191"/>
      <c r="T78" s="191"/>
      <c r="U78" s="191"/>
      <c r="V78" s="191"/>
      <c r="W78" s="191"/>
      <c r="X78" s="191"/>
    </row>
    <row r="79" spans="2:24" x14ac:dyDescent="0.25">
      <c r="B79" s="191"/>
      <c r="C79" s="191"/>
      <c r="S79" s="191"/>
      <c r="T79" s="191"/>
      <c r="U79" s="191"/>
      <c r="V79" s="191"/>
      <c r="W79" s="191"/>
      <c r="X79" s="191"/>
    </row>
    <row r="80" spans="2:24" x14ac:dyDescent="0.25">
      <c r="B80" s="191"/>
      <c r="C80" s="191"/>
      <c r="S80" s="191"/>
      <c r="T80" s="191"/>
      <c r="U80" s="191"/>
      <c r="V80" s="191"/>
      <c r="W80" s="191"/>
      <c r="X80" s="191"/>
    </row>
    <row r="81" spans="2:24" ht="15.75" thickBot="1" x14ac:dyDescent="0.3">
      <c r="B81" s="191"/>
      <c r="C81" s="191"/>
      <c r="D81" s="98" t="s">
        <v>303</v>
      </c>
      <c r="E81" s="99"/>
      <c r="F81" s="99"/>
      <c r="G81" s="99"/>
      <c r="H81" s="99"/>
      <c r="I81" s="99"/>
      <c r="J81" s="99"/>
      <c r="K81" s="99"/>
      <c r="L81" s="99"/>
      <c r="M81" s="99"/>
      <c r="N81" s="99"/>
      <c r="O81" s="99"/>
      <c r="P81" s="99"/>
      <c r="Q81" s="99"/>
      <c r="R81" s="100"/>
      <c r="S81" s="191"/>
      <c r="T81" s="191"/>
      <c r="U81" s="191"/>
      <c r="V81" s="191"/>
      <c r="W81" s="191"/>
      <c r="X81" s="191"/>
    </row>
    <row r="82" spans="2:24" x14ac:dyDescent="0.25">
      <c r="B82" s="191"/>
      <c r="C82" s="191"/>
      <c r="S82" s="191"/>
      <c r="T82" s="191"/>
      <c r="U82" s="191"/>
      <c r="V82" s="191"/>
      <c r="W82" s="191"/>
      <c r="X82" s="191"/>
    </row>
    <row r="83" spans="2:24" x14ac:dyDescent="0.25">
      <c r="B83" s="191"/>
      <c r="C83" s="191"/>
      <c r="S83" s="191"/>
      <c r="T83" s="191"/>
      <c r="U83" s="191"/>
      <c r="V83" s="191"/>
      <c r="W83" s="191"/>
      <c r="X83" s="191"/>
    </row>
    <row r="84" spans="2:24" x14ac:dyDescent="0.25">
      <c r="B84" s="191"/>
      <c r="C84" s="191"/>
      <c r="S84" s="191"/>
      <c r="T84" s="191"/>
      <c r="U84" s="191"/>
      <c r="V84" s="191"/>
      <c r="W84" s="191"/>
      <c r="X84" s="191"/>
    </row>
    <row r="85" spans="2:24" x14ac:dyDescent="0.25">
      <c r="B85" s="191"/>
      <c r="C85" s="191"/>
      <c r="S85" s="191"/>
      <c r="T85" s="191"/>
      <c r="U85" s="191"/>
      <c r="V85" s="191"/>
      <c r="W85" s="191"/>
      <c r="X85" s="191"/>
    </row>
    <row r="86" spans="2:24" x14ac:dyDescent="0.25">
      <c r="B86" s="191"/>
      <c r="C86" s="191"/>
      <c r="S86" s="191"/>
      <c r="T86" s="191"/>
      <c r="U86" s="191"/>
      <c r="V86" s="191"/>
      <c r="W86" s="191"/>
      <c r="X86" s="191"/>
    </row>
    <row r="87" spans="2:24" x14ac:dyDescent="0.25">
      <c r="B87" s="191"/>
      <c r="C87" s="191"/>
      <c r="S87" s="191"/>
      <c r="T87" s="191"/>
      <c r="U87" s="191"/>
      <c r="V87" s="191"/>
      <c r="W87" s="191"/>
      <c r="X87" s="191"/>
    </row>
    <row r="88" spans="2:24" x14ac:dyDescent="0.25">
      <c r="B88" s="191"/>
      <c r="C88" s="191"/>
      <c r="S88" s="191"/>
      <c r="T88" s="191"/>
      <c r="U88" s="191"/>
      <c r="V88" s="191"/>
      <c r="W88" s="191"/>
      <c r="X88" s="191"/>
    </row>
    <row r="89" spans="2:24" x14ac:dyDescent="0.25">
      <c r="B89" s="191"/>
      <c r="C89" s="191"/>
      <c r="S89" s="191"/>
      <c r="T89" s="191"/>
      <c r="U89" s="191"/>
      <c r="V89" s="191"/>
      <c r="W89" s="191"/>
      <c r="X89" s="191"/>
    </row>
    <row r="90" spans="2:24" x14ac:dyDescent="0.25">
      <c r="B90" s="191"/>
      <c r="C90" s="191"/>
      <c r="S90" s="191"/>
      <c r="T90" s="191"/>
      <c r="U90" s="191"/>
      <c r="V90" s="191"/>
      <c r="W90" s="191"/>
      <c r="X90" s="191"/>
    </row>
    <row r="91" spans="2:24" x14ac:dyDescent="0.25">
      <c r="B91" s="191"/>
      <c r="C91" s="191"/>
      <c r="S91" s="191"/>
      <c r="T91" s="191"/>
      <c r="U91" s="191"/>
      <c r="V91" s="191"/>
      <c r="W91" s="191"/>
      <c r="X91" s="191"/>
    </row>
    <row r="92" spans="2:24" x14ac:dyDescent="0.25">
      <c r="B92" s="191"/>
      <c r="C92" s="191"/>
      <c r="S92" s="191"/>
      <c r="T92" s="191"/>
      <c r="U92" s="191"/>
      <c r="V92" s="191"/>
      <c r="W92" s="191"/>
      <c r="X92" s="191"/>
    </row>
    <row r="93" spans="2:24" x14ac:dyDescent="0.25">
      <c r="B93" s="191"/>
      <c r="C93" s="191"/>
      <c r="S93" s="191"/>
      <c r="T93" s="191"/>
      <c r="U93" s="191"/>
      <c r="V93" s="191"/>
      <c r="W93" s="191"/>
      <c r="X93" s="191"/>
    </row>
    <row r="94" spans="2:24" x14ac:dyDescent="0.25">
      <c r="B94" s="191"/>
      <c r="C94" s="191"/>
      <c r="S94" s="191"/>
      <c r="T94" s="191"/>
      <c r="U94" s="191"/>
      <c r="V94" s="191"/>
      <c r="W94" s="191"/>
      <c r="X94" s="191"/>
    </row>
    <row r="95" spans="2:24" x14ac:dyDescent="0.25">
      <c r="B95" s="191"/>
      <c r="C95" s="191"/>
      <c r="S95" s="191"/>
      <c r="T95" s="191"/>
      <c r="U95" s="191"/>
      <c r="V95" s="191"/>
      <c r="W95" s="191"/>
      <c r="X95" s="191"/>
    </row>
    <row r="96" spans="2:24" x14ac:dyDescent="0.25">
      <c r="B96" s="191"/>
      <c r="C96" s="191"/>
      <c r="S96" s="191"/>
      <c r="T96" s="191"/>
      <c r="U96" s="191"/>
      <c r="V96" s="191"/>
      <c r="W96" s="191"/>
      <c r="X96" s="191"/>
    </row>
    <row r="97" spans="2:24" x14ac:dyDescent="0.25">
      <c r="B97" s="191"/>
      <c r="C97" s="191"/>
      <c r="S97" s="191"/>
      <c r="T97" s="191"/>
      <c r="U97" s="191"/>
      <c r="V97" s="191"/>
      <c r="W97" s="191"/>
      <c r="X97" s="191"/>
    </row>
    <row r="98" spans="2:24" x14ac:dyDescent="0.25">
      <c r="B98" s="191"/>
      <c r="C98" s="191"/>
      <c r="S98" s="191"/>
      <c r="T98" s="191"/>
      <c r="U98" s="191"/>
      <c r="V98" s="191"/>
      <c r="W98" s="191"/>
      <c r="X98" s="191"/>
    </row>
    <row r="99" spans="2:24" x14ac:dyDescent="0.25">
      <c r="B99" s="191"/>
      <c r="C99" s="191"/>
      <c r="S99" s="191"/>
      <c r="T99" s="191"/>
      <c r="U99" s="191"/>
      <c r="V99" s="191"/>
      <c r="W99" s="191"/>
      <c r="X99" s="191"/>
    </row>
    <row r="100" spans="2:24" x14ac:dyDescent="0.25">
      <c r="B100" s="191"/>
      <c r="C100" s="191"/>
      <c r="S100" s="191"/>
      <c r="T100" s="191"/>
      <c r="U100" s="191"/>
      <c r="V100" s="191"/>
      <c r="W100" s="191"/>
      <c r="X100" s="191"/>
    </row>
    <row r="101" spans="2:24" x14ac:dyDescent="0.25">
      <c r="B101" s="191"/>
      <c r="C101" s="191"/>
      <c r="S101" s="191"/>
      <c r="T101" s="191"/>
      <c r="U101" s="191"/>
      <c r="V101" s="191"/>
      <c r="W101" s="191"/>
      <c r="X101" s="191"/>
    </row>
    <row r="102" spans="2:24" x14ac:dyDescent="0.25">
      <c r="B102" s="191"/>
      <c r="C102" s="191"/>
      <c r="S102" s="191"/>
      <c r="T102" s="191"/>
      <c r="U102" s="191"/>
      <c r="V102" s="191"/>
      <c r="W102" s="191"/>
      <c r="X102" s="191"/>
    </row>
    <row r="103" spans="2:24" x14ac:dyDescent="0.25">
      <c r="B103" s="191"/>
      <c r="C103" s="191"/>
      <c r="S103" s="191"/>
      <c r="T103" s="191"/>
      <c r="U103" s="191"/>
      <c r="V103" s="191"/>
      <c r="W103" s="191"/>
      <c r="X103" s="191"/>
    </row>
    <row r="104" spans="2:24" x14ac:dyDescent="0.25">
      <c r="B104" s="191"/>
      <c r="C104" s="191"/>
      <c r="S104" s="191"/>
      <c r="T104" s="191"/>
      <c r="U104" s="191"/>
      <c r="V104" s="191"/>
      <c r="W104" s="191"/>
      <c r="X104" s="191"/>
    </row>
    <row r="105" spans="2:24" s="97" customFormat="1" ht="15.75" thickBot="1" x14ac:dyDescent="0.3">
      <c r="B105" s="191"/>
      <c r="C105" s="191"/>
      <c r="D105" s="98" t="s">
        <v>321</v>
      </c>
      <c r="E105" s="99"/>
      <c r="F105" s="99"/>
      <c r="G105" s="99"/>
      <c r="H105" s="99"/>
      <c r="I105" s="99"/>
      <c r="J105" s="99"/>
      <c r="K105" s="99"/>
      <c r="L105" s="99"/>
      <c r="M105" s="99"/>
      <c r="N105" s="99"/>
      <c r="O105" s="99"/>
      <c r="P105" s="99"/>
      <c r="Q105" s="99"/>
      <c r="R105" s="100"/>
      <c r="S105" s="191"/>
      <c r="T105" s="191"/>
      <c r="U105" s="191"/>
      <c r="V105" s="191"/>
      <c r="W105" s="191"/>
      <c r="X105" s="191"/>
    </row>
    <row r="106" spans="2:24" s="97" customFormat="1" x14ac:dyDescent="0.25">
      <c r="B106" s="191"/>
      <c r="C106" s="191"/>
      <c r="S106" s="191"/>
      <c r="T106" s="191"/>
      <c r="U106" s="191"/>
      <c r="V106" s="191"/>
      <c r="W106" s="191"/>
      <c r="X106" s="191"/>
    </row>
    <row r="107" spans="2:24" s="97" customFormat="1" x14ac:dyDescent="0.25">
      <c r="B107" s="191"/>
      <c r="C107" s="191"/>
      <c r="S107" s="191"/>
      <c r="T107" s="191"/>
      <c r="U107" s="191"/>
      <c r="V107" s="191"/>
      <c r="W107" s="191"/>
      <c r="X107" s="191"/>
    </row>
    <row r="108" spans="2:24" s="97" customFormat="1" x14ac:dyDescent="0.25">
      <c r="B108" s="191"/>
      <c r="C108" s="191"/>
      <c r="S108" s="191"/>
      <c r="T108" s="191"/>
      <c r="U108" s="191"/>
      <c r="V108" s="191"/>
      <c r="W108" s="191"/>
      <c r="X108" s="191"/>
    </row>
    <row r="109" spans="2:24" s="97" customFormat="1" x14ac:dyDescent="0.25">
      <c r="B109" s="191"/>
      <c r="C109" s="191"/>
      <c r="S109" s="191"/>
      <c r="T109" s="191"/>
      <c r="U109" s="191"/>
      <c r="V109" s="191"/>
      <c r="W109" s="191"/>
      <c r="X109" s="191"/>
    </row>
    <row r="110" spans="2:24" s="97" customFormat="1" x14ac:dyDescent="0.25">
      <c r="B110" s="191"/>
      <c r="C110" s="191"/>
      <c r="S110" s="191"/>
      <c r="T110" s="191"/>
      <c r="U110" s="191"/>
      <c r="V110" s="191"/>
      <c r="W110" s="191"/>
      <c r="X110" s="191"/>
    </row>
    <row r="111" spans="2:24" s="97" customFormat="1" x14ac:dyDescent="0.25">
      <c r="B111" s="191"/>
      <c r="C111" s="191"/>
      <c r="S111" s="191"/>
      <c r="T111" s="191"/>
      <c r="U111" s="191"/>
      <c r="V111" s="191"/>
      <c r="W111" s="191"/>
      <c r="X111" s="191"/>
    </row>
    <row r="112" spans="2:24" s="97" customFormat="1" x14ac:dyDescent="0.25">
      <c r="B112" s="191"/>
      <c r="C112" s="191"/>
      <c r="S112" s="191"/>
      <c r="T112" s="191"/>
      <c r="U112" s="191"/>
      <c r="V112" s="191"/>
      <c r="W112" s="191"/>
      <c r="X112" s="191"/>
    </row>
    <row r="113" spans="2:24" s="97" customFormat="1" x14ac:dyDescent="0.25">
      <c r="B113" s="191"/>
      <c r="C113" s="191"/>
      <c r="S113" s="191"/>
      <c r="T113" s="191"/>
      <c r="U113" s="191"/>
      <c r="V113" s="191"/>
      <c r="W113" s="191"/>
      <c r="X113" s="191"/>
    </row>
    <row r="114" spans="2:24" s="97" customFormat="1" x14ac:dyDescent="0.25">
      <c r="B114" s="191"/>
      <c r="C114" s="191"/>
      <c r="S114" s="191"/>
      <c r="T114" s="191"/>
      <c r="U114" s="191"/>
      <c r="V114" s="191"/>
      <c r="W114" s="191"/>
      <c r="X114" s="191"/>
    </row>
    <row r="115" spans="2:24" s="97" customFormat="1" x14ac:dyDescent="0.25">
      <c r="B115" s="191"/>
      <c r="C115" s="191"/>
      <c r="S115" s="191"/>
      <c r="T115" s="191"/>
      <c r="U115" s="191"/>
      <c r="V115" s="191"/>
      <c r="W115" s="191"/>
      <c r="X115" s="191"/>
    </row>
    <row r="116" spans="2:24" s="97" customFormat="1" x14ac:dyDescent="0.25">
      <c r="B116" s="191"/>
      <c r="C116" s="191"/>
      <c r="S116" s="191"/>
      <c r="T116" s="191"/>
      <c r="U116" s="191"/>
      <c r="V116" s="191"/>
      <c r="W116" s="191"/>
      <c r="X116" s="191"/>
    </row>
    <row r="117" spans="2:24" s="97" customFormat="1" x14ac:dyDescent="0.25">
      <c r="B117" s="191"/>
      <c r="C117" s="191"/>
      <c r="S117" s="191"/>
      <c r="T117" s="191"/>
      <c r="U117" s="191"/>
      <c r="V117" s="191"/>
      <c r="W117" s="191"/>
      <c r="X117" s="191"/>
    </row>
    <row r="118" spans="2:24" s="97" customFormat="1" x14ac:dyDescent="0.25">
      <c r="B118" s="191"/>
      <c r="C118" s="191"/>
      <c r="S118" s="191"/>
      <c r="T118" s="191"/>
      <c r="U118" s="191"/>
      <c r="V118" s="191"/>
      <c r="W118" s="191"/>
      <c r="X118" s="191"/>
    </row>
    <row r="119" spans="2:24" s="97" customFormat="1" x14ac:dyDescent="0.25">
      <c r="B119" s="191"/>
      <c r="C119" s="191"/>
      <c r="S119" s="191"/>
      <c r="T119" s="191"/>
      <c r="U119" s="191"/>
      <c r="V119" s="191"/>
      <c r="W119" s="191"/>
      <c r="X119" s="191"/>
    </row>
    <row r="120" spans="2:24" s="97" customFormat="1" x14ac:dyDescent="0.25">
      <c r="B120" s="191"/>
      <c r="C120" s="191"/>
      <c r="S120" s="191"/>
      <c r="T120" s="191"/>
      <c r="U120" s="191"/>
      <c r="V120" s="191"/>
      <c r="W120" s="191"/>
      <c r="X120" s="191"/>
    </row>
    <row r="121" spans="2:24" s="97" customFormat="1" x14ac:dyDescent="0.25">
      <c r="B121" s="191"/>
      <c r="C121" s="191"/>
      <c r="S121" s="191"/>
      <c r="T121" s="191"/>
      <c r="U121" s="191"/>
      <c r="V121" s="191"/>
      <c r="W121" s="191"/>
      <c r="X121" s="191"/>
    </row>
    <row r="122" spans="2:24" s="97" customFormat="1" x14ac:dyDescent="0.25">
      <c r="B122" s="191"/>
      <c r="C122" s="191"/>
      <c r="S122" s="191"/>
      <c r="T122" s="191"/>
      <c r="U122" s="191"/>
      <c r="V122" s="191"/>
      <c r="W122" s="191"/>
      <c r="X122" s="191"/>
    </row>
    <row r="123" spans="2:24" s="97" customFormat="1" x14ac:dyDescent="0.25">
      <c r="B123" s="191"/>
      <c r="C123" s="191"/>
      <c r="S123" s="191"/>
      <c r="T123" s="191"/>
      <c r="U123" s="191"/>
      <c r="V123" s="191"/>
      <c r="W123" s="191"/>
      <c r="X123" s="191"/>
    </row>
    <row r="124" spans="2:24" s="97" customFormat="1" x14ac:dyDescent="0.25">
      <c r="B124" s="191"/>
      <c r="C124" s="191"/>
      <c r="S124" s="191"/>
      <c r="T124" s="191"/>
      <c r="U124" s="191"/>
      <c r="V124" s="191"/>
      <c r="W124" s="191"/>
      <c r="X124" s="191"/>
    </row>
    <row r="125" spans="2:24" s="97" customFormat="1" x14ac:dyDescent="0.25">
      <c r="B125" s="191"/>
      <c r="C125" s="191"/>
      <c r="S125" s="191"/>
      <c r="T125" s="191"/>
      <c r="U125" s="191"/>
      <c r="V125" s="191"/>
      <c r="W125" s="191"/>
      <c r="X125" s="191"/>
    </row>
    <row r="126" spans="2:24" s="97" customFormat="1" x14ac:dyDescent="0.25">
      <c r="B126" s="191"/>
      <c r="C126" s="191"/>
      <c r="S126" s="191"/>
      <c r="T126" s="191"/>
      <c r="U126" s="191"/>
      <c r="V126" s="191"/>
      <c r="W126" s="191"/>
      <c r="X126" s="191"/>
    </row>
    <row r="127" spans="2:24" s="97" customFormat="1" x14ac:dyDescent="0.25">
      <c r="B127" s="191"/>
      <c r="C127" s="191"/>
      <c r="S127" s="191"/>
      <c r="T127" s="191"/>
      <c r="U127" s="191"/>
      <c r="V127" s="191"/>
      <c r="W127" s="191"/>
      <c r="X127" s="191"/>
    </row>
    <row r="128" spans="2:24" s="97" customFormat="1" x14ac:dyDescent="0.25">
      <c r="B128" s="191"/>
      <c r="C128" s="191"/>
      <c r="S128" s="191"/>
      <c r="T128" s="191"/>
      <c r="U128" s="191"/>
      <c r="V128" s="191"/>
      <c r="W128" s="191"/>
      <c r="X128" s="191"/>
    </row>
    <row r="129" spans="2:24" x14ac:dyDescent="0.25">
      <c r="B129" s="191"/>
      <c r="C129" s="191"/>
      <c r="S129" s="191"/>
      <c r="T129" s="191"/>
      <c r="U129" s="191"/>
      <c r="V129" s="191"/>
      <c r="W129" s="191"/>
      <c r="X129" s="191"/>
    </row>
    <row r="130" spans="2:24" x14ac:dyDescent="0.25">
      <c r="B130" s="191"/>
      <c r="C130" s="191"/>
      <c r="S130" s="191"/>
      <c r="T130" s="191"/>
      <c r="U130" s="191"/>
      <c r="V130" s="191"/>
      <c r="W130" s="191"/>
      <c r="X130" s="191"/>
    </row>
    <row r="131" spans="2:24" s="97" customFormat="1" x14ac:dyDescent="0.25">
      <c r="B131" s="191"/>
      <c r="C131" s="191"/>
      <c r="S131" s="191"/>
      <c r="T131" s="191"/>
      <c r="U131" s="191"/>
      <c r="V131" s="191"/>
      <c r="W131" s="191"/>
      <c r="X131" s="191"/>
    </row>
    <row r="132" spans="2:24" s="97" customFormat="1" x14ac:dyDescent="0.25">
      <c r="B132" s="191"/>
      <c r="C132" s="191"/>
      <c r="S132" s="191"/>
      <c r="T132" s="191"/>
      <c r="U132" s="191"/>
      <c r="V132" s="191"/>
      <c r="W132" s="191"/>
      <c r="X132" s="191"/>
    </row>
    <row r="133" spans="2:24" s="97" customFormat="1" x14ac:dyDescent="0.25">
      <c r="B133" s="191"/>
      <c r="C133" s="191"/>
      <c r="S133" s="191"/>
      <c r="T133" s="191"/>
      <c r="U133" s="191"/>
      <c r="V133" s="191"/>
      <c r="W133" s="191"/>
      <c r="X133" s="191"/>
    </row>
    <row r="134" spans="2:24" s="97" customFormat="1" x14ac:dyDescent="0.25">
      <c r="B134" s="191"/>
      <c r="C134" s="191"/>
      <c r="S134" s="191"/>
      <c r="T134" s="191"/>
      <c r="U134" s="191"/>
      <c r="V134" s="191"/>
      <c r="W134" s="191"/>
      <c r="X134" s="191"/>
    </row>
    <row r="135" spans="2:24" s="97" customFormat="1" x14ac:dyDescent="0.25">
      <c r="B135" s="191"/>
      <c r="C135" s="191"/>
      <c r="S135" s="191"/>
      <c r="T135" s="191"/>
      <c r="U135" s="191"/>
      <c r="V135" s="191"/>
      <c r="W135" s="191"/>
      <c r="X135" s="191"/>
    </row>
    <row r="136" spans="2:24" s="97" customFormat="1" ht="15.75" thickBot="1" x14ac:dyDescent="0.3">
      <c r="B136" s="191"/>
      <c r="C136" s="191"/>
      <c r="D136" s="98" t="s">
        <v>322</v>
      </c>
      <c r="E136" s="99"/>
      <c r="F136" s="99"/>
      <c r="G136" s="99"/>
      <c r="H136" s="99"/>
      <c r="I136" s="99"/>
      <c r="J136" s="99"/>
      <c r="K136" s="99"/>
      <c r="L136" s="99"/>
      <c r="M136" s="99"/>
      <c r="N136" s="99"/>
      <c r="O136" s="99"/>
      <c r="P136" s="99"/>
      <c r="Q136" s="99"/>
      <c r="R136" s="100"/>
      <c r="S136" s="191"/>
      <c r="T136" s="191"/>
      <c r="U136" s="191"/>
      <c r="V136" s="191"/>
      <c r="W136" s="191"/>
      <c r="X136" s="191"/>
    </row>
    <row r="137" spans="2:24" s="97" customFormat="1" x14ac:dyDescent="0.25">
      <c r="B137" s="191"/>
      <c r="C137" s="191"/>
      <c r="S137" s="191"/>
      <c r="T137" s="191"/>
      <c r="U137" s="191"/>
      <c r="V137" s="191"/>
      <c r="W137" s="191"/>
      <c r="X137" s="191"/>
    </row>
    <row r="138" spans="2:24" s="97" customFormat="1" x14ac:dyDescent="0.25">
      <c r="B138" s="191"/>
      <c r="C138" s="191"/>
      <c r="S138" s="191"/>
      <c r="T138" s="191"/>
      <c r="U138" s="191"/>
      <c r="V138" s="191"/>
      <c r="W138" s="191"/>
      <c r="X138" s="191"/>
    </row>
    <row r="139" spans="2:24" s="97" customFormat="1" x14ac:dyDescent="0.25">
      <c r="B139" s="191"/>
      <c r="C139" s="191"/>
      <c r="S139" s="191"/>
      <c r="T139" s="191"/>
      <c r="U139" s="191"/>
      <c r="V139" s="191"/>
      <c r="W139" s="191"/>
      <c r="X139" s="191"/>
    </row>
    <row r="140" spans="2:24" s="97" customFormat="1" x14ac:dyDescent="0.25">
      <c r="B140" s="191"/>
      <c r="C140" s="191"/>
      <c r="S140" s="191"/>
      <c r="T140" s="191"/>
      <c r="U140" s="191"/>
      <c r="V140" s="191"/>
      <c r="W140" s="191"/>
      <c r="X140" s="191"/>
    </row>
    <row r="141" spans="2:24" s="97" customFormat="1" x14ac:dyDescent="0.25">
      <c r="B141" s="191"/>
      <c r="C141" s="191"/>
      <c r="S141" s="191"/>
      <c r="T141" s="191"/>
      <c r="U141" s="191"/>
      <c r="V141" s="191"/>
      <c r="W141" s="191"/>
      <c r="X141" s="191"/>
    </row>
    <row r="142" spans="2:24" s="97" customFormat="1" x14ac:dyDescent="0.25">
      <c r="B142" s="191"/>
      <c r="C142" s="191"/>
      <c r="S142" s="191"/>
      <c r="T142" s="191"/>
      <c r="U142" s="191"/>
      <c r="V142" s="191"/>
      <c r="W142" s="191"/>
      <c r="X142" s="191"/>
    </row>
    <row r="143" spans="2:24" s="97" customFormat="1" x14ac:dyDescent="0.25">
      <c r="B143" s="191"/>
      <c r="C143" s="191"/>
      <c r="S143" s="191"/>
      <c r="T143" s="191"/>
      <c r="U143" s="191"/>
      <c r="V143" s="191"/>
      <c r="W143" s="191"/>
      <c r="X143" s="191"/>
    </row>
    <row r="144" spans="2:24" s="97" customFormat="1" x14ac:dyDescent="0.25">
      <c r="B144" s="191"/>
      <c r="C144" s="191"/>
      <c r="S144" s="191"/>
      <c r="T144" s="191"/>
      <c r="U144" s="191"/>
      <c r="V144" s="191"/>
      <c r="W144" s="191"/>
      <c r="X144" s="191"/>
    </row>
    <row r="145" spans="2:24" s="97" customFormat="1" x14ac:dyDescent="0.25">
      <c r="B145" s="191"/>
      <c r="C145" s="191"/>
      <c r="S145" s="191"/>
      <c r="T145" s="191"/>
      <c r="U145" s="191"/>
      <c r="V145" s="191"/>
      <c r="W145" s="191"/>
      <c r="X145" s="191"/>
    </row>
    <row r="146" spans="2:24" s="97" customFormat="1" x14ac:dyDescent="0.25">
      <c r="B146" s="191"/>
      <c r="C146" s="191"/>
      <c r="S146" s="191"/>
      <c r="T146" s="191"/>
      <c r="U146" s="191"/>
      <c r="V146" s="191"/>
      <c r="W146" s="191"/>
      <c r="X146" s="191"/>
    </row>
    <row r="147" spans="2:24" s="97" customFormat="1" x14ac:dyDescent="0.25">
      <c r="B147" s="191"/>
      <c r="C147" s="191"/>
      <c r="S147" s="191"/>
      <c r="T147" s="191"/>
      <c r="U147" s="191"/>
      <c r="V147" s="191"/>
      <c r="W147" s="191"/>
      <c r="X147" s="191"/>
    </row>
    <row r="148" spans="2:24" s="97" customFormat="1" x14ac:dyDescent="0.25">
      <c r="B148" s="191"/>
      <c r="C148" s="191"/>
      <c r="S148" s="191"/>
      <c r="T148" s="191"/>
      <c r="U148" s="191"/>
      <c r="V148" s="191"/>
      <c r="W148" s="191"/>
      <c r="X148" s="191"/>
    </row>
    <row r="149" spans="2:24" s="97" customFormat="1" x14ac:dyDescent="0.25">
      <c r="B149" s="191"/>
      <c r="C149" s="191"/>
      <c r="S149" s="191"/>
      <c r="T149" s="191"/>
      <c r="U149" s="191"/>
      <c r="V149" s="191"/>
      <c r="W149" s="191"/>
      <c r="X149" s="191"/>
    </row>
    <row r="150" spans="2:24" s="97" customFormat="1" x14ac:dyDescent="0.25">
      <c r="B150" s="191"/>
      <c r="C150" s="191"/>
      <c r="S150" s="191"/>
      <c r="T150" s="191"/>
      <c r="U150" s="191"/>
      <c r="V150" s="191"/>
      <c r="W150" s="191"/>
      <c r="X150" s="191"/>
    </row>
    <row r="151" spans="2:24" s="97" customFormat="1" x14ac:dyDescent="0.25">
      <c r="B151" s="191"/>
      <c r="C151" s="191"/>
      <c r="S151" s="191"/>
      <c r="T151" s="191"/>
      <c r="U151" s="191"/>
      <c r="V151" s="191"/>
      <c r="W151" s="191"/>
      <c r="X151" s="191"/>
    </row>
    <row r="152" spans="2:24" s="97" customFormat="1" x14ac:dyDescent="0.25">
      <c r="B152" s="191"/>
      <c r="C152" s="191"/>
      <c r="S152" s="191"/>
      <c r="T152" s="191"/>
      <c r="U152" s="191"/>
      <c r="V152" s="191"/>
      <c r="W152" s="191"/>
      <c r="X152" s="191"/>
    </row>
    <row r="153" spans="2:24" x14ac:dyDescent="0.25">
      <c r="B153" s="191"/>
      <c r="C153" s="191"/>
      <c r="S153" s="191"/>
      <c r="T153" s="191"/>
      <c r="U153" s="191"/>
      <c r="V153" s="191"/>
      <c r="W153" s="191"/>
      <c r="X153" s="191"/>
    </row>
    <row r="154" spans="2:24" x14ac:dyDescent="0.25">
      <c r="B154" s="191"/>
      <c r="C154" s="191"/>
      <c r="S154" s="191"/>
      <c r="T154" s="191"/>
      <c r="U154" s="191"/>
      <c r="V154" s="191"/>
      <c r="W154" s="191"/>
      <c r="X154" s="191"/>
    </row>
    <row r="155" spans="2:24" x14ac:dyDescent="0.25">
      <c r="B155" s="191"/>
      <c r="C155" s="191"/>
      <c r="S155" s="191"/>
      <c r="T155" s="191"/>
      <c r="U155" s="191"/>
      <c r="V155" s="191"/>
      <c r="W155" s="191"/>
      <c r="X155" s="191"/>
    </row>
    <row r="156" spans="2:24" x14ac:dyDescent="0.25">
      <c r="B156" s="199"/>
      <c r="C156" s="191"/>
      <c r="D156" s="198"/>
      <c r="E156" s="191"/>
      <c r="F156" s="191"/>
      <c r="G156" s="191"/>
      <c r="H156" s="191"/>
      <c r="I156" s="191"/>
      <c r="J156" s="191"/>
      <c r="K156" s="191"/>
      <c r="L156" s="191"/>
      <c r="M156" s="191"/>
      <c r="N156" s="191"/>
      <c r="O156" s="191"/>
      <c r="P156" s="191"/>
      <c r="Q156" s="191"/>
      <c r="R156" s="191"/>
      <c r="S156" s="200"/>
      <c r="T156" s="191"/>
      <c r="U156" s="191"/>
      <c r="V156" s="191"/>
      <c r="W156" s="191"/>
      <c r="X156" s="191"/>
    </row>
    <row r="157" spans="2:24" x14ac:dyDescent="0.25">
      <c r="B157" s="191"/>
      <c r="C157" s="191"/>
      <c r="D157" s="191"/>
      <c r="E157" s="191"/>
      <c r="F157" s="191"/>
      <c r="G157" s="191"/>
      <c r="H157" s="191"/>
      <c r="I157" s="191"/>
      <c r="J157" s="191"/>
      <c r="K157" s="191"/>
      <c r="L157" s="191"/>
      <c r="M157" s="191"/>
      <c r="N157" s="191"/>
      <c r="O157" s="191"/>
      <c r="P157" s="191"/>
      <c r="Q157" s="191"/>
      <c r="R157" s="191"/>
      <c r="S157" s="191"/>
      <c r="T157" s="191"/>
      <c r="U157" s="191"/>
      <c r="V157" s="191"/>
      <c r="W157" s="191"/>
      <c r="X157" s="191"/>
    </row>
    <row r="158" spans="2:24" x14ac:dyDescent="0.25">
      <c r="B158" s="191"/>
      <c r="C158" s="191"/>
      <c r="D158" s="191"/>
      <c r="E158" s="191"/>
      <c r="F158" s="191"/>
      <c r="G158" s="191"/>
      <c r="H158" s="191"/>
      <c r="I158" s="191"/>
      <c r="J158" s="191"/>
      <c r="K158" s="191"/>
      <c r="L158" s="191"/>
      <c r="M158" s="191"/>
      <c r="N158" s="191"/>
      <c r="O158" s="191"/>
      <c r="P158" s="191"/>
      <c r="Q158" s="191"/>
      <c r="R158" s="191"/>
      <c r="S158" s="191"/>
      <c r="T158" s="191"/>
      <c r="U158" s="191"/>
      <c r="V158" s="191"/>
      <c r="W158" s="191"/>
      <c r="X158" s="191"/>
    </row>
    <row r="159" spans="2:24" x14ac:dyDescent="0.25">
      <c r="B159" s="191"/>
      <c r="C159" s="191"/>
      <c r="D159" s="191"/>
      <c r="E159" s="191"/>
      <c r="F159" s="191"/>
      <c r="G159" s="191"/>
      <c r="H159" s="191"/>
      <c r="I159" s="191"/>
      <c r="J159" s="191"/>
      <c r="K159" s="191"/>
      <c r="L159" s="191"/>
      <c r="M159" s="191"/>
      <c r="N159" s="191"/>
      <c r="O159" s="191"/>
      <c r="P159" s="191"/>
      <c r="Q159" s="191"/>
      <c r="R159" s="191"/>
      <c r="S159" s="191"/>
      <c r="T159" s="191"/>
      <c r="U159" s="191"/>
      <c r="V159" s="191"/>
      <c r="W159" s="191"/>
      <c r="X159" s="191"/>
    </row>
    <row r="160" spans="2:24" x14ac:dyDescent="0.25">
      <c r="B160" s="193"/>
      <c r="C160" s="191"/>
      <c r="D160" s="191"/>
      <c r="E160" s="191"/>
      <c r="F160" s="191"/>
      <c r="G160" s="191"/>
      <c r="H160" s="191"/>
      <c r="I160" s="191"/>
      <c r="J160" s="191"/>
      <c r="K160" s="191"/>
      <c r="L160" s="191"/>
      <c r="M160" s="191"/>
      <c r="N160" s="191"/>
      <c r="O160" s="191"/>
      <c r="P160" s="191"/>
      <c r="Q160" s="191"/>
      <c r="R160" s="191"/>
      <c r="S160" s="191"/>
      <c r="T160" s="191"/>
      <c r="U160" s="190"/>
      <c r="V160" s="191"/>
      <c r="W160" s="191"/>
      <c r="X160" s="191"/>
    </row>
    <row r="161" spans="2:24" x14ac:dyDescent="0.25">
      <c r="B161" s="191"/>
      <c r="C161" s="191"/>
      <c r="D161" s="191"/>
      <c r="E161" s="191"/>
      <c r="F161" s="191"/>
      <c r="G161" s="191"/>
      <c r="H161" s="191"/>
      <c r="I161" s="191"/>
      <c r="J161" s="191"/>
      <c r="K161" s="191"/>
      <c r="L161" s="191"/>
      <c r="M161" s="191"/>
      <c r="N161" s="191"/>
      <c r="O161" s="191"/>
      <c r="P161" s="191"/>
      <c r="Q161" s="191"/>
      <c r="R161" s="191"/>
      <c r="S161" s="191"/>
      <c r="T161" s="191"/>
      <c r="U161" s="191"/>
      <c r="V161" s="191"/>
      <c r="W161" s="191"/>
      <c r="X161" s="191"/>
    </row>
    <row r="162" spans="2:24" x14ac:dyDescent="0.25">
      <c r="B162" s="191"/>
      <c r="C162" s="191"/>
      <c r="D162" s="191"/>
      <c r="E162" s="191"/>
      <c r="F162" s="191"/>
      <c r="G162" s="191"/>
      <c r="H162" s="191"/>
      <c r="I162" s="191"/>
      <c r="J162" s="191"/>
      <c r="K162" s="191"/>
      <c r="L162" s="191"/>
      <c r="M162" s="191"/>
      <c r="N162" s="191"/>
      <c r="O162" s="191"/>
      <c r="P162" s="191"/>
      <c r="Q162" s="191"/>
      <c r="R162" s="191"/>
      <c r="S162" s="191"/>
      <c r="T162" s="191"/>
      <c r="U162" s="191"/>
      <c r="V162" s="191"/>
      <c r="W162" s="191"/>
      <c r="X162" s="191"/>
    </row>
    <row r="163" spans="2:24" x14ac:dyDescent="0.25">
      <c r="B163" s="191"/>
      <c r="C163" s="191"/>
      <c r="D163" s="191"/>
      <c r="E163" s="191"/>
      <c r="F163" s="191"/>
      <c r="G163" s="191"/>
      <c r="H163" s="191"/>
      <c r="I163" s="191"/>
      <c r="J163" s="191"/>
      <c r="K163" s="191"/>
      <c r="L163" s="191"/>
      <c r="M163" s="191"/>
      <c r="N163" s="191"/>
      <c r="O163" s="191"/>
      <c r="P163" s="191"/>
      <c r="Q163" s="191"/>
      <c r="R163" s="191"/>
      <c r="S163" s="191"/>
      <c r="T163" s="191"/>
      <c r="U163" s="191"/>
      <c r="V163" s="191"/>
      <c r="W163" s="191"/>
      <c r="X163" s="191"/>
    </row>
    <row r="164" spans="2:24" x14ac:dyDescent="0.25">
      <c r="B164" s="191"/>
      <c r="C164" s="191"/>
      <c r="D164" s="191"/>
      <c r="E164" s="191"/>
      <c r="F164" s="191"/>
      <c r="G164" s="191"/>
      <c r="H164" s="191"/>
      <c r="I164" s="191"/>
      <c r="J164" s="191"/>
      <c r="K164" s="191"/>
      <c r="L164" s="191"/>
      <c r="M164" s="191"/>
      <c r="N164" s="191"/>
      <c r="O164" s="191"/>
      <c r="P164" s="191"/>
      <c r="Q164" s="191"/>
      <c r="R164" s="191"/>
      <c r="S164" s="191"/>
      <c r="T164" s="191"/>
      <c r="U164" s="191"/>
      <c r="V164" s="191"/>
      <c r="W164" s="191"/>
      <c r="X164" s="191"/>
    </row>
    <row r="165" spans="2:24" x14ac:dyDescent="0.25">
      <c r="B165" s="191"/>
      <c r="C165" s="191"/>
      <c r="D165" s="191"/>
      <c r="E165" s="191"/>
      <c r="F165" s="191"/>
      <c r="G165" s="191"/>
      <c r="H165" s="191"/>
      <c r="I165" s="191"/>
      <c r="J165" s="191"/>
      <c r="K165" s="191"/>
      <c r="L165" s="191"/>
      <c r="M165" s="191"/>
      <c r="N165" s="191"/>
      <c r="O165" s="191"/>
      <c r="P165" s="191"/>
      <c r="Q165" s="191"/>
      <c r="R165" s="191"/>
      <c r="S165" s="191"/>
      <c r="T165" s="191"/>
      <c r="U165" s="191"/>
      <c r="V165" s="191"/>
      <c r="W165" s="191"/>
      <c r="X165" s="191"/>
    </row>
    <row r="166" spans="2:24" x14ac:dyDescent="0.25">
      <c r="B166" s="191"/>
      <c r="C166" s="191"/>
      <c r="D166" s="191"/>
      <c r="E166" s="191"/>
      <c r="F166" s="191"/>
      <c r="G166" s="191"/>
      <c r="H166" s="191"/>
      <c r="I166" s="191"/>
      <c r="J166" s="191"/>
      <c r="K166" s="191"/>
      <c r="L166" s="191"/>
      <c r="M166" s="191"/>
      <c r="N166" s="191"/>
      <c r="O166" s="191"/>
      <c r="P166" s="191"/>
      <c r="Q166" s="191"/>
      <c r="R166" s="191"/>
      <c r="S166" s="191"/>
      <c r="T166" s="191"/>
      <c r="U166" s="191"/>
      <c r="V166" s="191"/>
      <c r="W166" s="191"/>
      <c r="X166" s="191"/>
    </row>
    <row r="167" spans="2:24" x14ac:dyDescent="0.25">
      <c r="B167" s="191"/>
      <c r="C167" s="191"/>
      <c r="D167" s="191"/>
      <c r="E167" s="191"/>
      <c r="F167" s="191"/>
      <c r="G167" s="191"/>
      <c r="H167" s="191"/>
      <c r="I167" s="191"/>
      <c r="J167" s="191"/>
      <c r="K167" s="191"/>
      <c r="L167" s="191"/>
      <c r="M167" s="191"/>
      <c r="N167" s="191"/>
      <c r="O167" s="191"/>
      <c r="P167" s="191"/>
      <c r="Q167" s="191"/>
      <c r="R167" s="191"/>
      <c r="S167" s="191"/>
      <c r="T167" s="191"/>
      <c r="U167" s="191"/>
      <c r="V167" s="191"/>
      <c r="W167" s="191"/>
      <c r="X167" s="191"/>
    </row>
    <row r="168" spans="2:24" x14ac:dyDescent="0.25">
      <c r="B168" s="191"/>
      <c r="C168" s="191"/>
      <c r="D168" s="191"/>
      <c r="E168" s="191"/>
      <c r="F168" s="191"/>
      <c r="G168" s="191"/>
      <c r="H168" s="191"/>
      <c r="I168" s="191"/>
      <c r="J168" s="191"/>
      <c r="K168" s="191"/>
      <c r="L168" s="191"/>
      <c r="M168" s="191"/>
      <c r="N168" s="191"/>
      <c r="O168" s="191"/>
      <c r="P168" s="191"/>
      <c r="Q168" s="191"/>
      <c r="R168" s="191"/>
      <c r="S168" s="191"/>
      <c r="T168" s="191"/>
      <c r="U168" s="191"/>
      <c r="V168" s="191"/>
      <c r="W168" s="191"/>
      <c r="X168" s="191"/>
    </row>
  </sheetData>
  <sheetProtection sheet="1" objects="1" scenarios="1" selectLockedCells="1" selectUnlockedCells="1"/>
  <mergeCells count="12">
    <mergeCell ref="U160:X168"/>
    <mergeCell ref="U6:X159"/>
    <mergeCell ref="B160:T168"/>
    <mergeCell ref="B10:C155"/>
    <mergeCell ref="S10:T155"/>
    <mergeCell ref="D10:R12"/>
    <mergeCell ref="D6:R9"/>
    <mergeCell ref="B6:C9"/>
    <mergeCell ref="S6:T9"/>
    <mergeCell ref="D156:R159"/>
    <mergeCell ref="B156:C159"/>
    <mergeCell ref="S156:T159"/>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81</vt:i4>
      </vt:variant>
    </vt:vector>
  </HeadingPairs>
  <TitlesOfParts>
    <vt:vector size="86" baseType="lpstr">
      <vt:lpstr>Swaps</vt:lpstr>
      <vt:lpstr>Swaptions</vt:lpstr>
      <vt:lpstr>Favourites</vt:lpstr>
      <vt:lpstr>Valuation</vt:lpstr>
      <vt:lpstr>Help</vt:lpstr>
      <vt:lpstr>Swaptions!BStructureBPrice</vt:lpstr>
      <vt:lpstr>BStructureBPrice</vt:lpstr>
      <vt:lpstr>Swaptions!BStructureRange</vt:lpstr>
      <vt:lpstr>BStructureRange</vt:lpstr>
      <vt:lpstr>CalcBasis</vt:lpstr>
      <vt:lpstr>CallFrequency</vt:lpstr>
      <vt:lpstr>CSACollateral</vt:lpstr>
      <vt:lpstr>CurrencyList</vt:lpstr>
      <vt:lpstr>Swaptions!Curves</vt:lpstr>
      <vt:lpstr>Curves</vt:lpstr>
      <vt:lpstr>DateInputs</vt:lpstr>
      <vt:lpstr>Swaptions!DateOutputs</vt:lpstr>
      <vt:lpstr>Dates</vt:lpstr>
      <vt:lpstr>DayCount</vt:lpstr>
      <vt:lpstr>DealType</vt:lpstr>
      <vt:lpstr>DeliveryMethod</vt:lpstr>
      <vt:lpstr>FavouriteSwaps</vt:lpstr>
      <vt:lpstr>FavouriteSwaptions</vt:lpstr>
      <vt:lpstr>FavSwapMap</vt:lpstr>
      <vt:lpstr>FavSwaptionMap</vt:lpstr>
      <vt:lpstr>HLPBRD_IB</vt:lpstr>
      <vt:lpstr>HLPBRD_IR</vt:lpstr>
      <vt:lpstr>HLPBRD_OBR</vt:lpstr>
      <vt:lpstr>Leg1Input</vt:lpstr>
      <vt:lpstr>Leg1Inputs</vt:lpstr>
      <vt:lpstr>Leg1Outputs</vt:lpstr>
      <vt:lpstr>Leg2Input</vt:lpstr>
      <vt:lpstr>Leg2Inputs</vt:lpstr>
      <vt:lpstr>Leg2Outputs</vt:lpstr>
      <vt:lpstr>LegNotional</vt:lpstr>
      <vt:lpstr>Swaptions!LoadSaveClear</vt:lpstr>
      <vt:lpstr>LoadSaveClear</vt:lpstr>
      <vt:lpstr>ModelType</vt:lpstr>
      <vt:lpstr>NoCurves</vt:lpstr>
      <vt:lpstr>NoCurvesSwaptions</vt:lpstr>
      <vt:lpstr>OptionInputs</vt:lpstr>
      <vt:lpstr>OptionOutputs</vt:lpstr>
      <vt:lpstr>OptionPosition</vt:lpstr>
      <vt:lpstr>OptionStyle</vt:lpstr>
      <vt:lpstr>Outputs</vt:lpstr>
      <vt:lpstr>Swaptions!OverrideCurve</vt:lpstr>
      <vt:lpstr>OverrideCurve</vt:lpstr>
      <vt:lpstr>PaymentFrequency</vt:lpstr>
      <vt:lpstr>Swaptions!PrincipalCSA</vt:lpstr>
      <vt:lpstr>PrincipalCSA</vt:lpstr>
      <vt:lpstr>PrincipalExchange</vt:lpstr>
      <vt:lpstr>RecievePay</vt:lpstr>
      <vt:lpstr>SolveFor</vt:lpstr>
      <vt:lpstr>SolverInput</vt:lpstr>
      <vt:lpstr>SolverTarget</vt:lpstr>
      <vt:lpstr>SolverTargetName</vt:lpstr>
      <vt:lpstr>SwapDealType</vt:lpstr>
      <vt:lpstr>SwapDealTypeName</vt:lpstr>
      <vt:lpstr>SwapInputMap</vt:lpstr>
      <vt:lpstr>SwapLoadFav</vt:lpstr>
      <vt:lpstr>SwapsClearRange</vt:lpstr>
      <vt:lpstr>SwapSelectedJumpTo</vt:lpstr>
      <vt:lpstr>SwapsJumpTo</vt:lpstr>
      <vt:lpstr>SwapsLoad</vt:lpstr>
      <vt:lpstr>SwapsMarketDate</vt:lpstr>
      <vt:lpstr>SwapSolverResult</vt:lpstr>
      <vt:lpstr>SwapsSavedID</vt:lpstr>
      <vt:lpstr>SwapsSelected</vt:lpstr>
      <vt:lpstr>SwapsSolveFor</vt:lpstr>
      <vt:lpstr>SwapStructureInputs</vt:lpstr>
      <vt:lpstr>SwapStructureOutputs</vt:lpstr>
      <vt:lpstr>SwapsValuationDate</vt:lpstr>
      <vt:lpstr>SwaptionDealName</vt:lpstr>
      <vt:lpstr>SwaptionDealType</vt:lpstr>
      <vt:lpstr>Swaptions!SwaptionMarketDate</vt:lpstr>
      <vt:lpstr>Swaptions!SwaptionsClearRange</vt:lpstr>
      <vt:lpstr>SwaptionsInputMap</vt:lpstr>
      <vt:lpstr>SwaptionsJumpTo</vt:lpstr>
      <vt:lpstr>Swaptions!SwaptionsLoad</vt:lpstr>
      <vt:lpstr>SwaptionsLoadFav</vt:lpstr>
      <vt:lpstr>Swaptions!SwaptionsSavedID</vt:lpstr>
      <vt:lpstr>Swaptions!SwaptionsSelected</vt:lpstr>
      <vt:lpstr>SwaptionsSelectedJumpTo</vt:lpstr>
      <vt:lpstr>Swaptions!SwaptionValuationDate</vt:lpstr>
      <vt:lpstr>ValuationInputs</vt:lpstr>
      <vt:lpstr>ValuationOutputs</vt:lpstr>
    </vt:vector>
  </TitlesOfParts>
  <Company>Bloomberg L.P.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awilmott</dc:creator>
  <cp:lastModifiedBy>Nicholas Burgess</cp:lastModifiedBy>
  <dcterms:created xsi:type="dcterms:W3CDTF">2015-05-18T14:21:32Z</dcterms:created>
  <dcterms:modified xsi:type="dcterms:W3CDTF">2016-10-11T09:38:29Z</dcterms:modified>
</cp:coreProperties>
</file>