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55635" windowHeight="13095"/>
  </bookViews>
  <sheets>
    <sheet name="Sheet1" sheetId="1" r:id="rId1"/>
    <sheet name="Sheet2" sheetId="2" r:id="rId2"/>
    <sheet name="Sheet3" sheetId="3" r:id="rId3"/>
  </sheets>
  <calcPr calcId="145621" calcMode="manual" calcCompleted="0" calcOnSave="0" concurrentCalc="0"/>
</workbook>
</file>

<file path=xl/calcChain.xml><?xml version="1.0" encoding="utf-8"?>
<calcChain xmlns="http://schemas.openxmlformats.org/spreadsheetml/2006/main">
  <c r="D12" i="1" l="1"/>
  <c r="D11" i="1"/>
  <c r="D10" i="1"/>
  <c r="D9" i="1"/>
  <c r="D17" i="1"/>
  <c r="D18" i="1"/>
  <c r="D19" i="1"/>
  <c r="D20" i="1"/>
  <c r="D21" i="1"/>
  <c r="D22" i="1"/>
  <c r="D23" i="1"/>
  <c r="D24" i="1"/>
  <c r="D25" i="1"/>
  <c r="D26" i="1"/>
  <c r="C18" i="1"/>
  <c r="C26" i="1"/>
  <c r="C25" i="1"/>
  <c r="C24" i="1"/>
  <c r="C23" i="1"/>
  <c r="C22" i="1"/>
  <c r="C21" i="1"/>
  <c r="C20" i="1"/>
  <c r="C19" i="1"/>
  <c r="C17" i="1"/>
  <c r="C10" i="1"/>
  <c r="C11" i="1"/>
  <c r="C12" i="1"/>
  <c r="C9" i="1"/>
</calcChain>
</file>

<file path=xl/sharedStrings.xml><?xml version="1.0" encoding="utf-8"?>
<sst xmlns="http://schemas.openxmlformats.org/spreadsheetml/2006/main" count="14" uniqueCount="12">
  <si>
    <t>Next</t>
  </si>
  <si>
    <t>Active</t>
  </si>
  <si>
    <t>Previous</t>
  </si>
  <si>
    <t>First</t>
  </si>
  <si>
    <t>Start Date</t>
  </si>
  <si>
    <t>Ticker</t>
  </si>
  <si>
    <t>Type</t>
  </si>
  <si>
    <t>#</t>
  </si>
  <si>
    <t>Reference Date</t>
  </si>
  <si>
    <t>IMM Futures Contracts</t>
  </si>
  <si>
    <t>IMM Futures Contract Tables</t>
  </si>
  <si>
    <t>UseTwoDigitYearFormat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</si>
</sst>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\,\ d\-mmm\-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5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4" fontId="1" fillId="0" borderId="0" xfId="0" applyNumberFormat="1" applyFont="1"/>
    <xf numFmtId="164" fontId="0" fillId="3" borderId="1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0"/>
  <sheetViews>
    <sheetView showGridLines="0" tabSelected="1" workbookViewId="0"/>
  </sheetViews>
  <sheetFormatPr defaultRowHeight="15" x14ac:dyDescent="0.25"/>
  <cols>
    <col min="2" max="2" width="27" bestFit="1" customWidth="1"/>
    <col min="3" max="3" width="17.85546875" style="11" customWidth="1"/>
    <col min="4" max="4" width="12.85546875" customWidth="1"/>
    <col min="5" max="5" width="9.85546875" bestFit="1" customWidth="1"/>
    <col min="7" max="7" width="9.85546875" bestFit="1" customWidth="1"/>
    <col min="8" max="8" width="9.42578125" bestFit="1" customWidth="1"/>
    <col min="9" max="10" width="9.7109375" bestFit="1" customWidth="1"/>
    <col min="11" max="11" width="9.85546875" bestFit="1" customWidth="1"/>
    <col min="13" max="14" width="9.7109375" bestFit="1" customWidth="1"/>
    <col min="15" max="15" width="9.85546875" bestFit="1" customWidth="1"/>
  </cols>
  <sheetData>
    <row r="3" spans="2:4" x14ac:dyDescent="0.25">
      <c r="B3" s="16" t="s">
        <v>8</v>
      </c>
      <c r="C3" s="19">
        <v>43504</v>
      </c>
    </row>
    <row r="4" spans="2:4" x14ac:dyDescent="0.25">
      <c r="B4" s="18" t="s">
        <v>11</v>
      </c>
      <c r="C4" s="20" t="b">
        <v>1</v>
      </c>
    </row>
    <row r="5" spans="2:4" x14ac:dyDescent="0.25">
      <c r="B5" s="1"/>
    </row>
    <row r="6" spans="2:4" x14ac:dyDescent="0.25">
      <c r="B6" s="1"/>
    </row>
    <row r="7" spans="2:4" x14ac:dyDescent="0.25">
      <c r="B7" s="17" t="s">
        <v>9</v>
      </c>
    </row>
    <row r="8" spans="2:4" x14ac:dyDescent="0.25">
      <c r="B8" s="4" t="s">
        <v>6</v>
      </c>
      <c r="C8" s="12" t="s">
        <v>4</v>
      </c>
      <c r="D8" s="4" t="s">
        <v>5</v>
      </c>
    </row>
    <row r="9" spans="2:4" x14ac:dyDescent="0.25">
      <c r="B9" s="5" t="s">
        <v>1</v>
      </c>
      <c r="C9" s="13">
        <f ca="1">_xll.meDateIMMCurrent(C3)</f>
        <v>43453</v>
      </c>
      <c r="D9" s="8" t="str">
        <f ca="1">_xll.meFuturesTickerIMMCurrent(C3,,$C$4)</f>
        <v>Z18</v>
      </c>
    </row>
    <row r="10" spans="2:4" x14ac:dyDescent="0.25">
      <c r="B10" s="6" t="s">
        <v>3</v>
      </c>
      <c r="C10" s="14">
        <f ca="1">_xll.meDateIMMNext(C3)</f>
        <v>43544</v>
      </c>
      <c r="D10" s="9" t="str">
        <f ca="1">_xll.meFuturesTickerIMMNext(C3,$C$4)</f>
        <v>H19</v>
      </c>
    </row>
    <row r="11" spans="2:4" x14ac:dyDescent="0.25">
      <c r="B11" s="6" t="s">
        <v>0</v>
      </c>
      <c r="C11" s="14">
        <f ca="1">_xll.meDateIMMNext(C10)</f>
        <v>43635</v>
      </c>
      <c r="D11" s="9" t="str">
        <f ca="1">_xll.meFuturesTickerIMMNext(C10,$C$4)</f>
        <v>M19</v>
      </c>
    </row>
    <row r="12" spans="2:4" x14ac:dyDescent="0.25">
      <c r="B12" s="7" t="s">
        <v>2</v>
      </c>
      <c r="C12" s="15">
        <f ca="1">_xll.meDateIMMPrevious(C11)</f>
        <v>43544</v>
      </c>
      <c r="D12" s="10" t="str">
        <f ca="1">_xll.meFuturesTickerIMMPrevious(C11,$C$4)</f>
        <v>H19</v>
      </c>
    </row>
    <row r="15" spans="2:4" x14ac:dyDescent="0.25">
      <c r="B15" s="17" t="s">
        <v>10</v>
      </c>
    </row>
    <row r="16" spans="2:4" x14ac:dyDescent="0.25">
      <c r="B16" s="3" t="s">
        <v>7</v>
      </c>
      <c r="C16" s="12" t="s">
        <v>4</v>
      </c>
      <c r="D16" s="4" t="s">
        <v>5</v>
      </c>
    </row>
    <row r="17" spans="2:16" x14ac:dyDescent="0.25">
      <c r="B17" s="5">
        <v>1</v>
      </c>
      <c r="C17" s="13">
        <f ca="1">_xll.meDateIMMNth($C$3,B17)</f>
        <v>43544</v>
      </c>
      <c r="D17" s="8" t="str">
        <f ca="1">_xll.meFuturesTickerIMMNth($C$3,B17,,$C$4)</f>
        <v>H19</v>
      </c>
      <c r="G17" s="2"/>
    </row>
    <row r="18" spans="2:16" x14ac:dyDescent="0.25">
      <c r="B18" s="6">
        <v>2</v>
      </c>
      <c r="C18" s="14">
        <f ca="1">_xll.meDateIMMNth($C$3,B18)</f>
        <v>43635</v>
      </c>
      <c r="D18" s="9" t="str">
        <f ca="1">_xll.meFuturesTickerIMMNth($C$3,B18,,$C$4)</f>
        <v>M19</v>
      </c>
    </row>
    <row r="19" spans="2:16" x14ac:dyDescent="0.25">
      <c r="B19" s="6">
        <v>3</v>
      </c>
      <c r="C19" s="14">
        <f ca="1">_xll.meDateIMMNth($C$3,B19)</f>
        <v>43726</v>
      </c>
      <c r="D19" s="9" t="str">
        <f ca="1">_xll.meFuturesTickerIMMNth($C$3,B19,,$C$4)</f>
        <v>U19</v>
      </c>
    </row>
    <row r="20" spans="2:16" x14ac:dyDescent="0.25">
      <c r="B20" s="6">
        <v>4</v>
      </c>
      <c r="C20" s="14">
        <f ca="1">_xll.meDateIMMNth($C$3,B20)</f>
        <v>43817</v>
      </c>
      <c r="D20" s="9" t="str">
        <f ca="1">_xll.meFuturesTickerIMMNth($C$3,B20,,$C$4)</f>
        <v>Z19</v>
      </c>
    </row>
    <row r="21" spans="2:16" x14ac:dyDescent="0.25">
      <c r="B21" s="6">
        <v>5</v>
      </c>
      <c r="C21" s="14">
        <f ca="1">_xll.meDateIMMNth($C$3,B21)</f>
        <v>43908</v>
      </c>
      <c r="D21" s="9" t="str">
        <f ca="1">_xll.meFuturesTickerIMMNth($C$3,B21,,$C$4)</f>
        <v>H20</v>
      </c>
    </row>
    <row r="22" spans="2:16" x14ac:dyDescent="0.25">
      <c r="B22" s="6">
        <v>6</v>
      </c>
      <c r="C22" s="14">
        <f ca="1">_xll.meDateIMMNth($C$3,B22)</f>
        <v>43999</v>
      </c>
      <c r="D22" s="9" t="str">
        <f ca="1">_xll.meFuturesTickerIMMNth($C$3,B22,,$C$4)</f>
        <v>M20</v>
      </c>
    </row>
    <row r="23" spans="2:16" x14ac:dyDescent="0.25">
      <c r="B23" s="6">
        <v>7</v>
      </c>
      <c r="C23" s="14">
        <f ca="1">_xll.meDateIMMNth($C$3,B23)</f>
        <v>44090</v>
      </c>
      <c r="D23" s="9" t="str">
        <f ca="1">_xll.meFuturesTickerIMMNth($C$3,B23,,$C$4)</f>
        <v>U20</v>
      </c>
    </row>
    <row r="24" spans="2:16" x14ac:dyDescent="0.25">
      <c r="B24" s="6">
        <v>8</v>
      </c>
      <c r="C24" s="14">
        <f ca="1">_xll.meDateIMMNth($C$3,B24)</f>
        <v>44181</v>
      </c>
      <c r="D24" s="9" t="str">
        <f ca="1">_xll.meFuturesTickerIMMNth($C$3,B24,,$C$4)</f>
        <v>Z20</v>
      </c>
    </row>
    <row r="25" spans="2:16" x14ac:dyDescent="0.25">
      <c r="B25" s="6">
        <v>9</v>
      </c>
      <c r="C25" s="14">
        <f ca="1">_xll.meDateIMMNth($C$3,B25)</f>
        <v>44272</v>
      </c>
      <c r="D25" s="9" t="str">
        <f ca="1">_xll.meFuturesTickerIMMNth($C$3,B25,,$C$4)</f>
        <v>H21</v>
      </c>
    </row>
    <row r="26" spans="2:16" x14ac:dyDescent="0.25">
      <c r="B26" s="7">
        <v>10</v>
      </c>
      <c r="C26" s="15">
        <f ca="1">_xll.meDateIMMNth($C$3,B26)</f>
        <v>44363</v>
      </c>
      <c r="D26" s="10" t="str">
        <f ca="1">_xll.meFuturesTickerIMMNth($C$3,B26,,$C$4)</f>
        <v>M21</v>
      </c>
    </row>
    <row r="28" spans="2:16" x14ac:dyDescent="0.25"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 x14ac:dyDescent="0.25">
      <c r="B29" s="2"/>
      <c r="D29" s="2"/>
      <c r="E29" s="2"/>
    </row>
    <row r="30" spans="2:16" x14ac:dyDescent="0.25">
      <c r="B30" s="2"/>
      <c r="D30" s="2"/>
      <c r="E30" s="2"/>
    </row>
  </sheetData>
  <dataValidations count="1">
    <dataValidation type="list" allowBlank="1" showInputMessage="1" showErrorMessage="1" sqref="C4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2019-02-08T14:51:53Z</dcterms:created>
  <dcterms:modified xsi:type="dcterms:W3CDTF">2019-02-08T18:29:57Z</dcterms:modified>
</cp:coreProperties>
</file>