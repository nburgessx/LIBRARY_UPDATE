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240" yWindow="60" windowWidth="27795" windowHeight="14115"/>
  </bookViews>
  <sheets>
    <sheet name="Sheet1" sheetId="1" r:id="rId1"/>
    <sheet name="Sheet2" sheetId="2" r:id="rId2"/>
    <sheet name="Sheet3" sheetId="3" r:id="rId3"/>
  </sheets>
  <calcPr calcId="145621" calcMode="manual" calcOnSave="0"/>
</workbook>
</file>

<file path=xl/calcChain.xml><?xml version="1.0" encoding="utf-8"?>
<calcChain xmlns="http://schemas.openxmlformats.org/spreadsheetml/2006/main">
  <c r="E4" i="1" l="1"/>
  <c r="I4" i="1"/>
  <c r="E5" i="1"/>
  <c r="I5" i="1"/>
  <c r="E6" i="1"/>
  <c r="I6" i="1"/>
  <c r="E7" i="1"/>
  <c r="I7" i="1"/>
  <c r="E8" i="1"/>
  <c r="I8" i="1"/>
  <c r="E9" i="1"/>
  <c r="I9" i="1"/>
  <c r="E10" i="1"/>
  <c r="I10" i="1"/>
  <c r="E11" i="1"/>
  <c r="I11" i="1"/>
  <c r="E12" i="1"/>
  <c r="I12" i="1"/>
  <c r="E13" i="1"/>
  <c r="I13" i="1"/>
  <c r="E14" i="1"/>
  <c r="I14" i="1"/>
  <c r="E15" i="1"/>
  <c r="I15" i="1"/>
  <c r="E16" i="1"/>
  <c r="I16" i="1"/>
  <c r="E17" i="1"/>
  <c r="I17" i="1"/>
  <c r="E18" i="1"/>
  <c r="I18" i="1"/>
  <c r="E19" i="1"/>
  <c r="I19" i="1"/>
  <c r="E20" i="1"/>
  <c r="I20" i="1"/>
  <c r="E21" i="1"/>
  <c r="I21" i="1"/>
  <c r="E22" i="1"/>
  <c r="I22" i="1"/>
  <c r="E23" i="1"/>
  <c r="I23" i="1"/>
  <c r="E24" i="1"/>
  <c r="I24" i="1"/>
  <c r="E25" i="1"/>
  <c r="I25" i="1"/>
  <c r="E26" i="1"/>
  <c r="I26" i="1"/>
  <c r="E27" i="1"/>
  <c r="I27" i="1"/>
  <c r="E28" i="1"/>
  <c r="I28" i="1"/>
  <c r="E29" i="1"/>
  <c r="I29" i="1"/>
  <c r="E30" i="1"/>
  <c r="I30" i="1"/>
  <c r="E31" i="1"/>
  <c r="I31" i="1"/>
  <c r="E32" i="1"/>
  <c r="I32" i="1"/>
  <c r="E33" i="1"/>
  <c r="I33" i="1"/>
  <c r="E34" i="1"/>
  <c r="I34" i="1"/>
  <c r="E35" i="1"/>
  <c r="I35" i="1"/>
  <c r="E36" i="1"/>
  <c r="I36" i="1"/>
  <c r="E37" i="1"/>
  <c r="I37" i="1"/>
  <c r="E38" i="1"/>
  <c r="I38" i="1"/>
  <c r="E39" i="1"/>
  <c r="I39" i="1"/>
  <c r="J4" i="1"/>
  <c r="J12" i="1"/>
  <c r="J16" i="1"/>
  <c r="J20" i="1"/>
  <c r="J24" i="1"/>
  <c r="J26" i="1"/>
  <c r="J30" i="1"/>
  <c r="J34" i="1"/>
  <c r="J38" i="1"/>
  <c r="J23" i="1"/>
  <c r="J35" i="1"/>
  <c r="F4" i="1"/>
  <c r="F6" i="1"/>
  <c r="F8" i="1"/>
  <c r="F10" i="1"/>
  <c r="F12" i="1"/>
  <c r="F14" i="1"/>
  <c r="F16" i="1"/>
  <c r="F18" i="1"/>
  <c r="F20" i="1"/>
  <c r="F22" i="1"/>
  <c r="F24" i="1"/>
  <c r="F26" i="1"/>
  <c r="F28" i="1"/>
  <c r="F30" i="1"/>
  <c r="F32" i="1"/>
  <c r="F34" i="1"/>
  <c r="F36" i="1"/>
  <c r="F38" i="1"/>
  <c r="J8" i="1"/>
  <c r="J10" i="1"/>
  <c r="J14" i="1"/>
  <c r="J18" i="1"/>
  <c r="J22" i="1"/>
  <c r="J28" i="1"/>
  <c r="J36" i="1"/>
  <c r="J29" i="1"/>
  <c r="J6" i="1"/>
  <c r="J32" i="1"/>
  <c r="J19" i="1"/>
  <c r="J27" i="1"/>
  <c r="J33" i="1"/>
  <c r="J39" i="1"/>
  <c r="F5" i="1"/>
  <c r="F7" i="1"/>
  <c r="F9" i="1"/>
  <c r="F11" i="1"/>
  <c r="F13" i="1"/>
  <c r="F15" i="1"/>
  <c r="F17" i="1"/>
  <c r="F19" i="1"/>
  <c r="F21" i="1"/>
  <c r="F23" i="1"/>
  <c r="F25" i="1"/>
  <c r="F27" i="1"/>
  <c r="F29" i="1"/>
  <c r="F31" i="1"/>
  <c r="F33" i="1"/>
  <c r="F35" i="1"/>
  <c r="F37" i="1"/>
  <c r="F39" i="1"/>
  <c r="J5" i="1"/>
  <c r="J7" i="1"/>
  <c r="J9" i="1"/>
  <c r="J11" i="1"/>
  <c r="J13" i="1"/>
  <c r="J15" i="1"/>
  <c r="J17" i="1"/>
  <c r="J21" i="1"/>
  <c r="J25" i="1"/>
  <c r="J31" i="1"/>
  <c r="J37" i="1"/>
</calcChain>
</file>

<file path=xl/sharedStrings.xml><?xml version="1.0" encoding="utf-8"?>
<sst xmlns="http://schemas.openxmlformats.org/spreadsheetml/2006/main" count="57" uniqueCount="15">
  <si>
    <t>Z</t>
  </si>
  <si>
    <t>X</t>
  </si>
  <si>
    <t>V</t>
  </si>
  <si>
    <t>U</t>
  </si>
  <si>
    <t>Q</t>
  </si>
  <si>
    <t>N</t>
  </si>
  <si>
    <t>M</t>
  </si>
  <si>
    <t>K</t>
  </si>
  <si>
    <t>J</t>
  </si>
  <si>
    <t>H</t>
  </si>
  <si>
    <t>G</t>
  </si>
  <si>
    <t>F</t>
  </si>
  <si>
    <t>Expired</t>
  </si>
  <si>
    <t>Rollover</t>
  </si>
  <si>
    <t>meDateFuturesContract( FuturesTicker 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</si>
</sst>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d\,\ d\-mmm\-yy"/>
  </numFmts>
  <fonts count="8" x14ac:knownFonts="1">
    <font>
      <sz val="11"/>
      <color theme="1"/>
      <name val="Calibri"/>
      <family val="2"/>
      <scheme val="minor"/>
    </font>
    <font>
      <sz val="12"/>
      <color rgb="FF006600"/>
      <name val="Calibri"/>
      <family val="2"/>
      <scheme val="minor"/>
    </font>
    <font>
      <sz val="12"/>
      <name val="Calibri"/>
      <family val="2"/>
      <scheme val="minor"/>
    </font>
    <font>
      <sz val="12"/>
      <color rgb="FFC0000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rgb="FF0000FF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rgb="FF00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164" fontId="6" fillId="2" borderId="0" xfId="0" applyNumberFormat="1" applyFont="1" applyFill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4" fontId="4" fillId="3" borderId="0" xfId="0" applyNumberFormat="1" applyFont="1" applyFill="1" applyAlignment="1">
      <alignment horizontal="center" vertical="center"/>
    </xf>
    <xf numFmtId="0" fontId="7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  <color rgb="FF0066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K39"/>
  <sheetViews>
    <sheetView showGridLines="0" tabSelected="1" workbookViewId="0"/>
  </sheetViews>
  <sheetFormatPr defaultRowHeight="15" x14ac:dyDescent="0.25"/>
  <cols>
    <col min="6" max="6" width="16.5703125" bestFit="1" customWidth="1"/>
    <col min="10" max="10" width="18.28515625" customWidth="1"/>
  </cols>
  <sheetData>
    <row r="2" spans="2:11" x14ac:dyDescent="0.25">
      <c r="B2" s="11" t="s">
        <v>14</v>
      </c>
    </row>
    <row r="4" spans="2:11" ht="15.75" x14ac:dyDescent="0.25">
      <c r="B4" s="5" t="s">
        <v>11</v>
      </c>
      <c r="C4" s="5">
        <v>2016</v>
      </c>
      <c r="D4" s="5"/>
      <c r="E4" s="5" t="str">
        <f t="shared" ref="E4:E39" si="0">B4&amp;RIGHT(C4,1)</f>
        <v>F6</v>
      </c>
      <c r="F4" s="10">
        <f ca="1">_xll.meDateFuturesContract(E4)</f>
        <v>46043</v>
      </c>
      <c r="G4" s="9" t="s">
        <v>13</v>
      </c>
      <c r="H4" s="5"/>
      <c r="I4" s="5" t="str">
        <f t="shared" ref="I4:I39" si="1">B4&amp;C4</f>
        <v>F2016</v>
      </c>
      <c r="J4" s="8">
        <f ca="1">_xll.meDateFuturesContract(I4)</f>
        <v>42389</v>
      </c>
      <c r="K4" s="7" t="s">
        <v>12</v>
      </c>
    </row>
    <row r="5" spans="2:11" ht="15.75" x14ac:dyDescent="0.25">
      <c r="B5" s="5" t="s">
        <v>10</v>
      </c>
      <c r="C5" s="5">
        <v>2016</v>
      </c>
      <c r="D5" s="5"/>
      <c r="E5" s="5" t="str">
        <f t="shared" si="0"/>
        <v>G6</v>
      </c>
      <c r="F5" s="10">
        <f ca="1">_xll.meDateFuturesContract(E5)</f>
        <v>46071</v>
      </c>
      <c r="G5" s="9" t="s">
        <v>13</v>
      </c>
      <c r="H5" s="5"/>
      <c r="I5" s="5" t="str">
        <f t="shared" si="1"/>
        <v>G2016</v>
      </c>
      <c r="J5" s="8">
        <f ca="1">_xll.meDateFuturesContract(I5)</f>
        <v>42417</v>
      </c>
      <c r="K5" s="7" t="s">
        <v>12</v>
      </c>
    </row>
    <row r="6" spans="2:11" ht="15.75" x14ac:dyDescent="0.25">
      <c r="B6" s="5" t="s">
        <v>9</v>
      </c>
      <c r="C6" s="5">
        <v>2016</v>
      </c>
      <c r="D6" s="5"/>
      <c r="E6" s="5" t="str">
        <f t="shared" si="0"/>
        <v>H6</v>
      </c>
      <c r="F6" s="10">
        <f ca="1">_xll.meDateFuturesContract(E6)</f>
        <v>46099</v>
      </c>
      <c r="G6" s="9" t="s">
        <v>13</v>
      </c>
      <c r="H6" s="5"/>
      <c r="I6" s="5" t="str">
        <f t="shared" si="1"/>
        <v>H2016</v>
      </c>
      <c r="J6" s="8">
        <f ca="1">_xll.meDateFuturesContract(I6)</f>
        <v>42445</v>
      </c>
      <c r="K6" s="7" t="s">
        <v>12</v>
      </c>
    </row>
    <row r="7" spans="2:11" ht="15.75" x14ac:dyDescent="0.25">
      <c r="B7" s="5" t="s">
        <v>8</v>
      </c>
      <c r="C7" s="5">
        <v>2016</v>
      </c>
      <c r="D7" s="5"/>
      <c r="E7" s="5" t="str">
        <f t="shared" si="0"/>
        <v>J6</v>
      </c>
      <c r="F7" s="10">
        <f ca="1">_xll.meDateFuturesContract(E7)</f>
        <v>46127</v>
      </c>
      <c r="G7" s="9" t="s">
        <v>13</v>
      </c>
      <c r="H7" s="5"/>
      <c r="I7" s="5" t="str">
        <f t="shared" si="1"/>
        <v>J2016</v>
      </c>
      <c r="J7" s="8">
        <f ca="1">_xll.meDateFuturesContract(I7)</f>
        <v>42480</v>
      </c>
      <c r="K7" s="7" t="s">
        <v>12</v>
      </c>
    </row>
    <row r="8" spans="2:11" ht="15.75" x14ac:dyDescent="0.25">
      <c r="B8" s="5" t="s">
        <v>7</v>
      </c>
      <c r="C8" s="5">
        <v>2016</v>
      </c>
      <c r="D8" s="5"/>
      <c r="E8" s="5" t="str">
        <f t="shared" si="0"/>
        <v>K6</v>
      </c>
      <c r="F8" s="10">
        <f ca="1">_xll.meDateFuturesContract(E8)</f>
        <v>46162</v>
      </c>
      <c r="G8" s="9" t="s">
        <v>13</v>
      </c>
      <c r="H8" s="5"/>
      <c r="I8" s="5" t="str">
        <f t="shared" si="1"/>
        <v>K2016</v>
      </c>
      <c r="J8" s="8">
        <f ca="1">_xll.meDateFuturesContract(I8)</f>
        <v>42508</v>
      </c>
      <c r="K8" s="7" t="s">
        <v>12</v>
      </c>
    </row>
    <row r="9" spans="2:11" ht="15.75" x14ac:dyDescent="0.25">
      <c r="B9" s="5" t="s">
        <v>6</v>
      </c>
      <c r="C9" s="5">
        <v>2016</v>
      </c>
      <c r="D9" s="5"/>
      <c r="E9" s="5" t="str">
        <f t="shared" si="0"/>
        <v>M6</v>
      </c>
      <c r="F9" s="10">
        <f ca="1">_xll.meDateFuturesContract(E9)</f>
        <v>46190</v>
      </c>
      <c r="G9" s="9" t="s">
        <v>13</v>
      </c>
      <c r="H9" s="5"/>
      <c r="I9" s="5" t="str">
        <f t="shared" si="1"/>
        <v>M2016</v>
      </c>
      <c r="J9" s="8">
        <f ca="1">_xll.meDateFuturesContract(I9)</f>
        <v>42536</v>
      </c>
      <c r="K9" s="7" t="s">
        <v>12</v>
      </c>
    </row>
    <row r="10" spans="2:11" ht="15.75" x14ac:dyDescent="0.25">
      <c r="B10" s="5" t="s">
        <v>5</v>
      </c>
      <c r="C10" s="5">
        <v>2016</v>
      </c>
      <c r="D10" s="5"/>
      <c r="E10" s="5" t="str">
        <f t="shared" si="0"/>
        <v>N6</v>
      </c>
      <c r="F10" s="10">
        <f ca="1">_xll.meDateFuturesContract(E10)</f>
        <v>46218</v>
      </c>
      <c r="G10" s="9" t="s">
        <v>13</v>
      </c>
      <c r="H10" s="5"/>
      <c r="I10" s="5" t="str">
        <f t="shared" si="1"/>
        <v>N2016</v>
      </c>
      <c r="J10" s="8">
        <f ca="1">_xll.meDateFuturesContract(I10)</f>
        <v>42571</v>
      </c>
      <c r="K10" s="7" t="s">
        <v>12</v>
      </c>
    </row>
    <row r="11" spans="2:11" ht="15.75" x14ac:dyDescent="0.25">
      <c r="B11" s="5" t="s">
        <v>4</v>
      </c>
      <c r="C11" s="5">
        <v>2016</v>
      </c>
      <c r="D11" s="5"/>
      <c r="E11" s="5" t="str">
        <f t="shared" si="0"/>
        <v>Q6</v>
      </c>
      <c r="F11" s="10">
        <f ca="1">_xll.meDateFuturesContract(E11)</f>
        <v>46253</v>
      </c>
      <c r="G11" s="9" t="s">
        <v>13</v>
      </c>
      <c r="H11" s="5"/>
      <c r="I11" s="5" t="str">
        <f t="shared" si="1"/>
        <v>Q2016</v>
      </c>
      <c r="J11" s="8">
        <f ca="1">_xll.meDateFuturesContract(I11)</f>
        <v>42599</v>
      </c>
      <c r="K11" s="7" t="s">
        <v>12</v>
      </c>
    </row>
    <row r="12" spans="2:11" ht="15.75" x14ac:dyDescent="0.25">
      <c r="B12" s="5" t="s">
        <v>3</v>
      </c>
      <c r="C12" s="5">
        <v>2016</v>
      </c>
      <c r="D12" s="5"/>
      <c r="E12" s="5" t="str">
        <f t="shared" si="0"/>
        <v>U6</v>
      </c>
      <c r="F12" s="10">
        <f ca="1">_xll.meDateFuturesContract(E12)</f>
        <v>46281</v>
      </c>
      <c r="G12" s="9" t="s">
        <v>13</v>
      </c>
      <c r="H12" s="5"/>
      <c r="I12" s="5" t="str">
        <f t="shared" si="1"/>
        <v>U2016</v>
      </c>
      <c r="J12" s="8">
        <f ca="1">_xll.meDateFuturesContract(I12)</f>
        <v>42634</v>
      </c>
      <c r="K12" s="7" t="s">
        <v>12</v>
      </c>
    </row>
    <row r="13" spans="2:11" ht="15.75" x14ac:dyDescent="0.25">
      <c r="B13" s="5" t="s">
        <v>2</v>
      </c>
      <c r="C13" s="5">
        <v>2016</v>
      </c>
      <c r="D13" s="5"/>
      <c r="E13" s="5" t="str">
        <f t="shared" si="0"/>
        <v>V6</v>
      </c>
      <c r="F13" s="10">
        <f ca="1">_xll.meDateFuturesContract(E13)</f>
        <v>46316</v>
      </c>
      <c r="G13" s="9" t="s">
        <v>13</v>
      </c>
      <c r="H13" s="5"/>
      <c r="I13" s="5" t="str">
        <f t="shared" si="1"/>
        <v>V2016</v>
      </c>
      <c r="J13" s="8">
        <f ca="1">_xll.meDateFuturesContract(I13)</f>
        <v>42662</v>
      </c>
      <c r="K13" s="7" t="s">
        <v>12</v>
      </c>
    </row>
    <row r="14" spans="2:11" ht="15.75" x14ac:dyDescent="0.25">
      <c r="B14" s="5" t="s">
        <v>1</v>
      </c>
      <c r="C14" s="5">
        <v>2016</v>
      </c>
      <c r="D14" s="5"/>
      <c r="E14" s="5" t="str">
        <f t="shared" si="0"/>
        <v>X6</v>
      </c>
      <c r="F14" s="6">
        <f ca="1">_xll.meDateFuturesContract(E14)</f>
        <v>42690</v>
      </c>
      <c r="G14" s="6"/>
      <c r="H14" s="5"/>
      <c r="I14" s="5" t="str">
        <f t="shared" si="1"/>
        <v>X2016</v>
      </c>
      <c r="J14" s="6">
        <f ca="1">_xll.meDateFuturesContract(I14)</f>
        <v>42690</v>
      </c>
      <c r="K14" s="5"/>
    </row>
    <row r="15" spans="2:11" ht="15.75" x14ac:dyDescent="0.25">
      <c r="B15" s="3" t="s">
        <v>0</v>
      </c>
      <c r="C15" s="3">
        <v>2016</v>
      </c>
      <c r="D15" s="3"/>
      <c r="E15" s="3" t="str">
        <f t="shared" si="0"/>
        <v>Z6</v>
      </c>
      <c r="F15" s="2">
        <f ca="1">_xll.meDateFuturesContract(E15)</f>
        <v>42725</v>
      </c>
      <c r="G15" s="2"/>
      <c r="H15" s="3"/>
      <c r="I15" s="3" t="str">
        <f t="shared" si="1"/>
        <v>Z2016</v>
      </c>
      <c r="J15" s="2">
        <f ca="1">_xll.meDateFuturesContract(I15)</f>
        <v>42725</v>
      </c>
      <c r="K15" s="5"/>
    </row>
    <row r="16" spans="2:11" ht="15.75" x14ac:dyDescent="0.25">
      <c r="B16" s="4" t="s">
        <v>11</v>
      </c>
      <c r="C16" s="4">
        <v>2017</v>
      </c>
      <c r="D16" s="3"/>
      <c r="E16" s="3" t="str">
        <f t="shared" si="0"/>
        <v>F7</v>
      </c>
      <c r="F16" s="2">
        <f ca="1">_xll.meDateFuturesContract(E16)</f>
        <v>42753</v>
      </c>
      <c r="G16" s="2"/>
      <c r="H16" s="3"/>
      <c r="I16" s="3" t="str">
        <f t="shared" si="1"/>
        <v>F2017</v>
      </c>
      <c r="J16" s="2">
        <f ca="1">_xll.meDateFuturesContract(I16)</f>
        <v>42753</v>
      </c>
      <c r="K16" s="4"/>
    </row>
    <row r="17" spans="2:11" ht="15.75" x14ac:dyDescent="0.25">
      <c r="B17" s="4" t="s">
        <v>10</v>
      </c>
      <c r="C17" s="4">
        <v>2017</v>
      </c>
      <c r="D17" s="3"/>
      <c r="E17" s="3" t="str">
        <f t="shared" si="0"/>
        <v>G7</v>
      </c>
      <c r="F17" s="2">
        <f ca="1">_xll.meDateFuturesContract(E17)</f>
        <v>42781</v>
      </c>
      <c r="G17" s="2"/>
      <c r="H17" s="3"/>
      <c r="I17" s="3" t="str">
        <f t="shared" si="1"/>
        <v>G2017</v>
      </c>
      <c r="J17" s="2">
        <f ca="1">_xll.meDateFuturesContract(I17)</f>
        <v>42781</v>
      </c>
      <c r="K17" s="4"/>
    </row>
    <row r="18" spans="2:11" ht="15.75" x14ac:dyDescent="0.25">
      <c r="B18" s="4" t="s">
        <v>9</v>
      </c>
      <c r="C18" s="4">
        <v>2017</v>
      </c>
      <c r="D18" s="3"/>
      <c r="E18" s="3" t="str">
        <f t="shared" si="0"/>
        <v>H7</v>
      </c>
      <c r="F18" s="2">
        <f ca="1">_xll.meDateFuturesContract(E18)</f>
        <v>42809</v>
      </c>
      <c r="G18" s="2"/>
      <c r="H18" s="3"/>
      <c r="I18" s="3" t="str">
        <f t="shared" si="1"/>
        <v>H2017</v>
      </c>
      <c r="J18" s="2">
        <f ca="1">_xll.meDateFuturesContract(I18)</f>
        <v>42809</v>
      </c>
      <c r="K18" s="4"/>
    </row>
    <row r="19" spans="2:11" ht="15.75" x14ac:dyDescent="0.25">
      <c r="B19" s="4" t="s">
        <v>8</v>
      </c>
      <c r="C19" s="4">
        <v>2017</v>
      </c>
      <c r="D19" s="3"/>
      <c r="E19" s="3" t="str">
        <f t="shared" si="0"/>
        <v>J7</v>
      </c>
      <c r="F19" s="2">
        <f ca="1">_xll.meDateFuturesContract(E19)</f>
        <v>42844</v>
      </c>
      <c r="G19" s="2"/>
      <c r="H19" s="3"/>
      <c r="I19" s="3" t="str">
        <f t="shared" si="1"/>
        <v>J2017</v>
      </c>
      <c r="J19" s="2">
        <f ca="1">_xll.meDateFuturesContract(I19)</f>
        <v>42844</v>
      </c>
      <c r="K19" s="4"/>
    </row>
    <row r="20" spans="2:11" ht="15.75" x14ac:dyDescent="0.25">
      <c r="B20" s="4" t="s">
        <v>7</v>
      </c>
      <c r="C20" s="4">
        <v>2017</v>
      </c>
      <c r="D20" s="3"/>
      <c r="E20" s="3" t="str">
        <f t="shared" si="0"/>
        <v>K7</v>
      </c>
      <c r="F20" s="2">
        <f ca="1">_xll.meDateFuturesContract(E20)</f>
        <v>42872</v>
      </c>
      <c r="G20" s="2"/>
      <c r="H20" s="3"/>
      <c r="I20" s="3" t="str">
        <f t="shared" si="1"/>
        <v>K2017</v>
      </c>
      <c r="J20" s="2">
        <f ca="1">_xll.meDateFuturesContract(I20)</f>
        <v>42872</v>
      </c>
      <c r="K20" s="4"/>
    </row>
    <row r="21" spans="2:11" ht="15.75" x14ac:dyDescent="0.25">
      <c r="B21" s="4" t="s">
        <v>6</v>
      </c>
      <c r="C21" s="4">
        <v>2017</v>
      </c>
      <c r="D21" s="3"/>
      <c r="E21" s="3" t="str">
        <f t="shared" si="0"/>
        <v>M7</v>
      </c>
      <c r="F21" s="2">
        <f ca="1">_xll.meDateFuturesContract(E21)</f>
        <v>42907</v>
      </c>
      <c r="G21" s="2"/>
      <c r="H21" s="3"/>
      <c r="I21" s="3" t="str">
        <f t="shared" si="1"/>
        <v>M2017</v>
      </c>
      <c r="J21" s="2">
        <f ca="1">_xll.meDateFuturesContract(I21)</f>
        <v>42907</v>
      </c>
      <c r="K21" s="4"/>
    </row>
    <row r="22" spans="2:11" ht="15.75" x14ac:dyDescent="0.25">
      <c r="B22" s="4" t="s">
        <v>5</v>
      </c>
      <c r="C22" s="4">
        <v>2017</v>
      </c>
      <c r="D22" s="3"/>
      <c r="E22" s="3" t="str">
        <f t="shared" si="0"/>
        <v>N7</v>
      </c>
      <c r="F22" s="2">
        <f ca="1">_xll.meDateFuturesContract(E22)</f>
        <v>42935</v>
      </c>
      <c r="G22" s="2"/>
      <c r="H22" s="3"/>
      <c r="I22" s="3" t="str">
        <f t="shared" si="1"/>
        <v>N2017</v>
      </c>
      <c r="J22" s="2">
        <f ca="1">_xll.meDateFuturesContract(I22)</f>
        <v>42935</v>
      </c>
      <c r="K22" s="4"/>
    </row>
    <row r="23" spans="2:11" ht="15.75" x14ac:dyDescent="0.25">
      <c r="B23" s="4" t="s">
        <v>4</v>
      </c>
      <c r="C23" s="4">
        <v>2017</v>
      </c>
      <c r="D23" s="3"/>
      <c r="E23" s="3" t="str">
        <f t="shared" si="0"/>
        <v>Q7</v>
      </c>
      <c r="F23" s="2">
        <f ca="1">_xll.meDateFuturesContract(E23)</f>
        <v>42963</v>
      </c>
      <c r="G23" s="2"/>
      <c r="H23" s="3"/>
      <c r="I23" s="3" t="str">
        <f t="shared" si="1"/>
        <v>Q2017</v>
      </c>
      <c r="J23" s="2">
        <f ca="1">_xll.meDateFuturesContract(I23)</f>
        <v>42963</v>
      </c>
      <c r="K23" s="4"/>
    </row>
    <row r="24" spans="2:11" ht="15.75" x14ac:dyDescent="0.25">
      <c r="B24" s="4" t="s">
        <v>3</v>
      </c>
      <c r="C24" s="4">
        <v>2017</v>
      </c>
      <c r="D24" s="3"/>
      <c r="E24" s="3" t="str">
        <f t="shared" si="0"/>
        <v>U7</v>
      </c>
      <c r="F24" s="2">
        <f ca="1">_xll.meDateFuturesContract(E24)</f>
        <v>42998</v>
      </c>
      <c r="G24" s="2"/>
      <c r="H24" s="3"/>
      <c r="I24" s="3" t="str">
        <f t="shared" si="1"/>
        <v>U2017</v>
      </c>
      <c r="J24" s="2">
        <f ca="1">_xll.meDateFuturesContract(I24)</f>
        <v>42998</v>
      </c>
      <c r="K24" s="4"/>
    </row>
    <row r="25" spans="2:11" ht="15.75" x14ac:dyDescent="0.25">
      <c r="B25" s="4" t="s">
        <v>2</v>
      </c>
      <c r="C25" s="4">
        <v>2017</v>
      </c>
      <c r="D25" s="3"/>
      <c r="E25" s="3" t="str">
        <f t="shared" si="0"/>
        <v>V7</v>
      </c>
      <c r="F25" s="2">
        <f ca="1">_xll.meDateFuturesContract(E25)</f>
        <v>43026</v>
      </c>
      <c r="G25" s="2"/>
      <c r="H25" s="3"/>
      <c r="I25" s="3" t="str">
        <f t="shared" si="1"/>
        <v>V2017</v>
      </c>
      <c r="J25" s="2">
        <f ca="1">_xll.meDateFuturesContract(I25)</f>
        <v>43026</v>
      </c>
      <c r="K25" s="4"/>
    </row>
    <row r="26" spans="2:11" ht="15.75" x14ac:dyDescent="0.25">
      <c r="B26" s="4" t="s">
        <v>1</v>
      </c>
      <c r="C26" s="4">
        <v>2017</v>
      </c>
      <c r="D26" s="3"/>
      <c r="E26" s="3" t="str">
        <f t="shared" si="0"/>
        <v>X7</v>
      </c>
      <c r="F26" s="2">
        <f ca="1">_xll.meDateFuturesContract(E26)</f>
        <v>43054</v>
      </c>
      <c r="G26" s="2"/>
      <c r="H26" s="3"/>
      <c r="I26" s="3" t="str">
        <f t="shared" si="1"/>
        <v>X2017</v>
      </c>
      <c r="J26" s="2">
        <f ca="1">_xll.meDateFuturesContract(I26)</f>
        <v>43054</v>
      </c>
      <c r="K26" s="4"/>
    </row>
    <row r="27" spans="2:11" ht="15.75" x14ac:dyDescent="0.25">
      <c r="B27" s="4" t="s">
        <v>0</v>
      </c>
      <c r="C27" s="4">
        <v>2017</v>
      </c>
      <c r="D27" s="3"/>
      <c r="E27" s="3" t="str">
        <f t="shared" si="0"/>
        <v>Z7</v>
      </c>
      <c r="F27" s="2">
        <f ca="1">_xll.meDateFuturesContract(E27)</f>
        <v>43089</v>
      </c>
      <c r="G27" s="2"/>
      <c r="H27" s="3"/>
      <c r="I27" s="3" t="str">
        <f t="shared" si="1"/>
        <v>Z2017</v>
      </c>
      <c r="J27" s="2">
        <f ca="1">_xll.meDateFuturesContract(I27)</f>
        <v>43089</v>
      </c>
      <c r="K27" s="4"/>
    </row>
    <row r="28" spans="2:11" ht="15.75" x14ac:dyDescent="0.25">
      <c r="B28" s="1" t="s">
        <v>11</v>
      </c>
      <c r="C28" s="1">
        <v>2018</v>
      </c>
      <c r="D28" s="3"/>
      <c r="E28" s="3" t="str">
        <f t="shared" si="0"/>
        <v>F8</v>
      </c>
      <c r="F28" s="2">
        <f ca="1">_xll.meDateFuturesContract(E28)</f>
        <v>43117</v>
      </c>
      <c r="G28" s="2"/>
      <c r="H28" s="3"/>
      <c r="I28" s="3" t="str">
        <f t="shared" si="1"/>
        <v>F2018</v>
      </c>
      <c r="J28" s="2">
        <f ca="1">_xll.meDateFuturesContract(I28)</f>
        <v>43117</v>
      </c>
      <c r="K28" s="1"/>
    </row>
    <row r="29" spans="2:11" ht="15.75" x14ac:dyDescent="0.25">
      <c r="B29" s="1" t="s">
        <v>10</v>
      </c>
      <c r="C29" s="1">
        <v>2018</v>
      </c>
      <c r="D29" s="3"/>
      <c r="E29" s="3" t="str">
        <f t="shared" si="0"/>
        <v>G8</v>
      </c>
      <c r="F29" s="2">
        <f ca="1">_xll.meDateFuturesContract(E29)</f>
        <v>43152</v>
      </c>
      <c r="G29" s="2"/>
      <c r="H29" s="3"/>
      <c r="I29" s="3" t="str">
        <f t="shared" si="1"/>
        <v>G2018</v>
      </c>
      <c r="J29" s="2">
        <f ca="1">_xll.meDateFuturesContract(I29)</f>
        <v>43152</v>
      </c>
      <c r="K29" s="1"/>
    </row>
    <row r="30" spans="2:11" ht="15.75" x14ac:dyDescent="0.25">
      <c r="B30" s="1" t="s">
        <v>9</v>
      </c>
      <c r="C30" s="1">
        <v>2018</v>
      </c>
      <c r="D30" s="3"/>
      <c r="E30" s="3" t="str">
        <f t="shared" si="0"/>
        <v>H8</v>
      </c>
      <c r="F30" s="2">
        <f ca="1">_xll.meDateFuturesContract(E30)</f>
        <v>43180</v>
      </c>
      <c r="G30" s="2"/>
      <c r="H30" s="3"/>
      <c r="I30" s="3" t="str">
        <f t="shared" si="1"/>
        <v>H2018</v>
      </c>
      <c r="J30" s="2">
        <f ca="1">_xll.meDateFuturesContract(I30)</f>
        <v>43180</v>
      </c>
      <c r="K30" s="1"/>
    </row>
    <row r="31" spans="2:11" ht="15.75" x14ac:dyDescent="0.25">
      <c r="B31" s="1" t="s">
        <v>8</v>
      </c>
      <c r="C31" s="1">
        <v>2018</v>
      </c>
      <c r="D31" s="3"/>
      <c r="E31" s="3" t="str">
        <f t="shared" si="0"/>
        <v>J8</v>
      </c>
      <c r="F31" s="2">
        <f ca="1">_xll.meDateFuturesContract(E31)</f>
        <v>43208</v>
      </c>
      <c r="G31" s="2"/>
      <c r="H31" s="3"/>
      <c r="I31" s="3" t="str">
        <f t="shared" si="1"/>
        <v>J2018</v>
      </c>
      <c r="J31" s="2">
        <f ca="1">_xll.meDateFuturesContract(I31)</f>
        <v>43208</v>
      </c>
      <c r="K31" s="1"/>
    </row>
    <row r="32" spans="2:11" ht="15.75" x14ac:dyDescent="0.25">
      <c r="B32" s="1" t="s">
        <v>7</v>
      </c>
      <c r="C32" s="1">
        <v>2018</v>
      </c>
      <c r="D32" s="3"/>
      <c r="E32" s="3" t="str">
        <f t="shared" si="0"/>
        <v>K8</v>
      </c>
      <c r="F32" s="2">
        <f ca="1">_xll.meDateFuturesContract(E32)</f>
        <v>43236</v>
      </c>
      <c r="G32" s="2"/>
      <c r="H32" s="3"/>
      <c r="I32" s="3" t="str">
        <f t="shared" si="1"/>
        <v>K2018</v>
      </c>
      <c r="J32" s="2">
        <f ca="1">_xll.meDateFuturesContract(I32)</f>
        <v>43236</v>
      </c>
      <c r="K32" s="1"/>
    </row>
    <row r="33" spans="2:11" ht="15.75" x14ac:dyDescent="0.25">
      <c r="B33" s="1" t="s">
        <v>6</v>
      </c>
      <c r="C33" s="1">
        <v>2018</v>
      </c>
      <c r="D33" s="3"/>
      <c r="E33" s="3" t="str">
        <f t="shared" si="0"/>
        <v>M8</v>
      </c>
      <c r="F33" s="2">
        <f ca="1">_xll.meDateFuturesContract(E33)</f>
        <v>43271</v>
      </c>
      <c r="G33" s="2"/>
      <c r="H33" s="3"/>
      <c r="I33" s="3" t="str">
        <f t="shared" si="1"/>
        <v>M2018</v>
      </c>
      <c r="J33" s="2">
        <f ca="1">_xll.meDateFuturesContract(I33)</f>
        <v>43271</v>
      </c>
      <c r="K33" s="1"/>
    </row>
    <row r="34" spans="2:11" ht="15.75" x14ac:dyDescent="0.25">
      <c r="B34" s="1" t="s">
        <v>5</v>
      </c>
      <c r="C34" s="1">
        <v>2018</v>
      </c>
      <c r="D34" s="3"/>
      <c r="E34" s="3" t="str">
        <f t="shared" si="0"/>
        <v>N8</v>
      </c>
      <c r="F34" s="2">
        <f ca="1">_xll.meDateFuturesContract(E34)</f>
        <v>43299</v>
      </c>
      <c r="G34" s="2"/>
      <c r="H34" s="3"/>
      <c r="I34" s="3" t="str">
        <f t="shared" si="1"/>
        <v>N2018</v>
      </c>
      <c r="J34" s="2">
        <f ca="1">_xll.meDateFuturesContract(I34)</f>
        <v>43299</v>
      </c>
      <c r="K34" s="1"/>
    </row>
    <row r="35" spans="2:11" ht="15.75" x14ac:dyDescent="0.25">
      <c r="B35" s="1" t="s">
        <v>4</v>
      </c>
      <c r="C35" s="1">
        <v>2018</v>
      </c>
      <c r="D35" s="3"/>
      <c r="E35" s="3" t="str">
        <f t="shared" si="0"/>
        <v>Q8</v>
      </c>
      <c r="F35" s="2">
        <f ca="1">_xll.meDateFuturesContract(E35)</f>
        <v>43327</v>
      </c>
      <c r="G35" s="2"/>
      <c r="H35" s="3"/>
      <c r="I35" s="3" t="str">
        <f t="shared" si="1"/>
        <v>Q2018</v>
      </c>
      <c r="J35" s="2">
        <f ca="1">_xll.meDateFuturesContract(I35)</f>
        <v>43327</v>
      </c>
      <c r="K35" s="1"/>
    </row>
    <row r="36" spans="2:11" ht="15.75" x14ac:dyDescent="0.25">
      <c r="B36" s="1" t="s">
        <v>3</v>
      </c>
      <c r="C36" s="1">
        <v>2018</v>
      </c>
      <c r="D36" s="3"/>
      <c r="E36" s="3" t="str">
        <f t="shared" si="0"/>
        <v>U8</v>
      </c>
      <c r="F36" s="2">
        <f ca="1">_xll.meDateFuturesContract(E36)</f>
        <v>43362</v>
      </c>
      <c r="G36" s="2"/>
      <c r="H36" s="3"/>
      <c r="I36" s="3" t="str">
        <f t="shared" si="1"/>
        <v>U2018</v>
      </c>
      <c r="J36" s="2">
        <f ca="1">_xll.meDateFuturesContract(I36)</f>
        <v>43362</v>
      </c>
      <c r="K36" s="1"/>
    </row>
    <row r="37" spans="2:11" ht="15.75" x14ac:dyDescent="0.25">
      <c r="B37" s="1" t="s">
        <v>2</v>
      </c>
      <c r="C37" s="1">
        <v>2018</v>
      </c>
      <c r="D37" s="3"/>
      <c r="E37" s="3" t="str">
        <f t="shared" si="0"/>
        <v>V8</v>
      </c>
      <c r="F37" s="2">
        <f ca="1">_xll.meDateFuturesContract(E37)</f>
        <v>43390</v>
      </c>
      <c r="G37" s="2"/>
      <c r="H37" s="3"/>
      <c r="I37" s="3" t="str">
        <f t="shared" si="1"/>
        <v>V2018</v>
      </c>
      <c r="J37" s="2">
        <f ca="1">_xll.meDateFuturesContract(I37)</f>
        <v>43390</v>
      </c>
      <c r="K37" s="1"/>
    </row>
    <row r="38" spans="2:11" ht="15.75" x14ac:dyDescent="0.25">
      <c r="B38" s="1" t="s">
        <v>1</v>
      </c>
      <c r="C38" s="1">
        <v>2018</v>
      </c>
      <c r="D38" s="3"/>
      <c r="E38" s="3" t="str">
        <f t="shared" si="0"/>
        <v>X8</v>
      </c>
      <c r="F38" s="2">
        <f ca="1">_xll.meDateFuturesContract(E38)</f>
        <v>43425</v>
      </c>
      <c r="G38" s="2"/>
      <c r="H38" s="3"/>
      <c r="I38" s="3" t="str">
        <f t="shared" si="1"/>
        <v>X2018</v>
      </c>
      <c r="J38" s="2">
        <f ca="1">_xll.meDateFuturesContract(I38)</f>
        <v>43425</v>
      </c>
      <c r="K38" s="1"/>
    </row>
    <row r="39" spans="2:11" ht="15.75" x14ac:dyDescent="0.25">
      <c r="B39" s="1" t="s">
        <v>0</v>
      </c>
      <c r="C39" s="1">
        <v>2018</v>
      </c>
      <c r="D39" s="3"/>
      <c r="E39" s="3" t="str">
        <f t="shared" si="0"/>
        <v>Z8</v>
      </c>
      <c r="F39" s="2">
        <f ca="1">_xll.meDateFuturesContract(E39)</f>
        <v>43453</v>
      </c>
      <c r="G39" s="2"/>
      <c r="H39" s="3"/>
      <c r="I39" s="3" t="str">
        <f t="shared" si="1"/>
        <v>Z2018</v>
      </c>
      <c r="J39" s="2">
        <f ca="1">_xll.meDateFuturesContract(I39)</f>
        <v>43453</v>
      </c>
      <c r="K39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2016-11-03T18:27:12Z</dcterms:created>
  <dcterms:modified xsi:type="dcterms:W3CDTF">2016-11-03T18:42:49Z</dcterms:modified>
</cp:coreProperties>
</file>