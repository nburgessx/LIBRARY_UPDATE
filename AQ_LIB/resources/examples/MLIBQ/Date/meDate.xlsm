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760" activeTab="3"/>
  </bookViews>
  <sheets>
    <sheet name="meDateBusinessDays" sheetId="1" r:id="rId1"/>
    <sheet name="meDateFromTenor" sheetId="2" r:id="rId2"/>
    <sheet name="meDateFromYearFraction" sheetId="3" r:id="rId3"/>
    <sheet name="meDateYearFraction" sheetId="8" r:id="rId4"/>
    <sheet name="meDateECB functions" sheetId="5" r:id="rId5"/>
    <sheet name="meDateCentralBank" sheetId="6" r:id="rId6"/>
    <sheet name="meDateIMM functions" sheetId="7" r:id="rId7"/>
  </sheets>
  <functionGroups builtInGroupCount="17"/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2" i="8" l="1"/>
  <c r="D13" i="8"/>
  <c r="E12" i="8"/>
  <c r="F12" i="8"/>
  <c r="E13" i="8"/>
  <c r="F13" i="8"/>
  <c r="D14" i="8"/>
  <c r="E14" i="8"/>
  <c r="F14" i="8"/>
  <c r="D15" i="8"/>
  <c r="E15" i="8"/>
  <c r="F15" i="8"/>
  <c r="D16" i="8"/>
  <c r="E16" i="8"/>
  <c r="F16" i="8"/>
  <c r="D17" i="8"/>
  <c r="E17" i="8"/>
  <c r="F17" i="8"/>
  <c r="D18" i="8"/>
  <c r="E18" i="8"/>
  <c r="F18" i="8"/>
  <c r="D19" i="8"/>
  <c r="E19" i="8"/>
  <c r="F19" i="8"/>
  <c r="E8" i="3" l="1"/>
  <c r="E17" i="2" a="1"/>
  <c r="C7" i="8"/>
  <c r="E4" i="3"/>
  <c r="E20" i="2" l="1"/>
  <c r="E18" i="2"/>
  <c r="E21" i="2"/>
  <c r="E17" i="2"/>
  <c r="E19" i="2"/>
  <c r="B8" i="6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19" i="6"/>
  <c r="C7" i="1"/>
  <c r="C14" i="6"/>
  <c r="C16" i="6"/>
  <c r="C12" i="6"/>
  <c r="C8" i="6"/>
  <c r="C18" i="6"/>
  <c r="C15" i="6"/>
  <c r="C27" i="6"/>
  <c r="C10" i="6"/>
  <c r="C20" i="6"/>
  <c r="E4" i="2"/>
  <c r="C9" i="7"/>
  <c r="C7" i="6"/>
  <c r="C2" i="7"/>
  <c r="C26" i="6"/>
  <c r="C22" i="6"/>
  <c r="C13" i="6"/>
  <c r="C24" i="6"/>
  <c r="C25" i="6"/>
  <c r="C23" i="6"/>
  <c r="C17" i="6"/>
  <c r="C21" i="6"/>
  <c r="C9" i="6"/>
  <c r="C11" i="6"/>
  <c r="C16" i="7"/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C20" i="5"/>
  <c r="C16" i="5"/>
  <c r="D22" i="5"/>
  <c r="D10" i="5"/>
  <c r="E4" i="5"/>
  <c r="E12" i="5"/>
  <c r="E19" i="5"/>
  <c r="C12" i="5"/>
  <c r="E9" i="5"/>
  <c r="C8" i="5"/>
  <c r="D4" i="2"/>
  <c r="D9" i="5"/>
  <c r="E21" i="5"/>
  <c r="D20" i="5"/>
  <c r="C19" i="5"/>
  <c r="D13" i="5"/>
  <c r="D7" i="5"/>
  <c r="E10" i="5"/>
  <c r="C4" i="5"/>
  <c r="D17" i="5"/>
  <c r="D4" i="5"/>
  <c r="D14" i="5"/>
  <c r="D4" i="3"/>
  <c r="E17" i="5"/>
  <c r="D19" i="5"/>
  <c r="C3" i="5"/>
  <c r="C6" i="5"/>
  <c r="C9" i="5"/>
  <c r="E23" i="5"/>
  <c r="C17" i="5"/>
  <c r="C14" i="5"/>
  <c r="C7" i="5"/>
  <c r="D16" i="5"/>
  <c r="E3" i="5"/>
  <c r="E11" i="5"/>
  <c r="D21" i="5"/>
  <c r="D23" i="5"/>
  <c r="C22" i="5"/>
  <c r="D12" i="5"/>
  <c r="E5" i="5"/>
  <c r="E8" i="5"/>
  <c r="E14" i="5"/>
  <c r="E13" i="5"/>
  <c r="C10" i="5"/>
  <c r="D18" i="5"/>
  <c r="C15" i="5"/>
  <c r="E20" i="5"/>
  <c r="E22" i="5"/>
  <c r="C21" i="5"/>
  <c r="D15" i="5"/>
  <c r="C23" i="5"/>
  <c r="D8" i="5"/>
  <c r="E15" i="5"/>
  <c r="E18" i="5"/>
  <c r="D5" i="5"/>
  <c r="D3" i="5"/>
  <c r="C11" i="5"/>
  <c r="D6" i="5"/>
  <c r="C18" i="5"/>
  <c r="C5" i="5"/>
  <c r="C13" i="5"/>
  <c r="E6" i="5"/>
  <c r="E16" i="5"/>
  <c r="E7" i="5"/>
  <c r="D11" i="5"/>
</calcChain>
</file>

<file path=xl/sharedStrings.xml><?xml version="1.0" encoding="utf-8"?>
<sst xmlns="http://schemas.openxmlformats.org/spreadsheetml/2006/main" count="125" uniqueCount="93">
  <si>
    <t>Calendar</t>
    <phoneticPr fontId="8"/>
  </si>
  <si>
    <t>Parameters</t>
  </si>
  <si>
    <t>FromDate</t>
  </si>
  <si>
    <t>ToDate</t>
  </si>
  <si>
    <t>TKB</t>
  </si>
  <si>
    <t>meDateBusinessDays</t>
  </si>
  <si>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</si>
  <si>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</si>
  <si>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</si>
  <si>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</si>
  <si>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</si>
  <si>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</si>
  <si>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</si>
  <si>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</si>
  <si>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</si>
  <si>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</si>
  <si>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</si>
  <si>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</si>
  <si>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</si>
  <si>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</si>
  <si>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</si>
  <si>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</si>
  <si>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</si>
  <si>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</si>
  <si>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</si>
  <si>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</si>
  <si>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</si>
  <si>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</si>
  <si>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</si>
  <si>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</si>
  <si>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</si>
  <si>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</si>
  <si>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</si>
  <si>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</si>
  <si>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</si>
  <si>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</si>
  <si>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</si>
  <si>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</si>
  <si>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</si>
  <si>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</si>
  <si>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</si>
  <si>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</si>
  <si>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</si>
  <si>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</si>
  <si>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</si>
  <si>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</si>
  <si>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</si>
  <si>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</si>
  <si>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</si>
  <si>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</si>
  <si>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</si>
  <si>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</si>
  <si>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</si>
  <si>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</si>
  <si>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</si>
  <si>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</si>
  <si>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</si>
  <si>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</si>
  <si>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</si>
  <si>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Daycount Fractions</t>
  </si>
  <si>
    <t>ACT/ACT</t>
  </si>
  <si>
    <t>ACT/365</t>
  </si>
  <si>
    <t>ACT/360</t>
  </si>
  <si>
    <t>ACT/365_ISDA</t>
  </si>
  <si>
    <t>Term (YearFraction)</t>
  </si>
  <si>
    <t>Daycount</t>
  </si>
  <si>
    <t>meDateFromYearFraction</t>
  </si>
  <si>
    <t>meECBSwapStartDate</t>
  </si>
  <si>
    <t>meECBSwapEndDate</t>
  </si>
  <si>
    <t>meECBDate</t>
  </si>
  <si>
    <t>CentralBankID</t>
  </si>
  <si>
    <t>ECB</t>
  </si>
  <si>
    <t>meDateCentralBank</t>
  </si>
  <si>
    <t>Year</t>
  </si>
  <si>
    <t>Month</t>
  </si>
  <si>
    <t>meDateIMMFromMonth</t>
  </si>
  <si>
    <t>Nth</t>
  </si>
  <si>
    <t>meDateNthIMM</t>
  </si>
  <si>
    <t>meDateNthIMMFromStartDate</t>
  </si>
  <si>
    <t>DayCount</t>
  </si>
  <si>
    <t>meDateYearFraction</t>
  </si>
  <si>
    <t>meDateFromTenor</t>
  </si>
  <si>
    <t>meDateFromTenor with multiple startDates</t>
  </si>
  <si>
    <t>StartDates</t>
  </si>
  <si>
    <t>AsOfDate</t>
  </si>
  <si>
    <t>isStrictlyAfter</t>
  </si>
  <si>
    <t>Expected days from Bloomberg</t>
  </si>
  <si>
    <t>Match?</t>
  </si>
  <si>
    <t>mirGetTerm</t>
  </si>
  <si>
    <t>toDate</t>
  </si>
  <si>
    <t>fromDate</t>
  </si>
  <si>
    <t>ACT/365FJ</t>
  </si>
  <si>
    <t>NoLeapDays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</si>
</sst>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\,\ d\-mmm\-yy"/>
    <numFmt numFmtId="165" formatCode="#,##0.0000"/>
    <numFmt numFmtId="166" formatCode="dddd\,\ d\-mmm\-yy"/>
    <numFmt numFmtId="167" formatCode="0.0000000000000000"/>
  </numFmts>
  <fonts count="18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9" fillId="0" borderId="0"/>
  </cellStyleXfs>
  <cellXfs count="95">
    <xf numFmtId="0" fontId="0" fillId="0" borderId="0" xfId="0">
      <alignment vertical="center"/>
    </xf>
    <xf numFmtId="0" fontId="4" fillId="0" borderId="0" xfId="0" applyFont="1">
      <alignment vertical="center"/>
    </xf>
    <xf numFmtId="0" fontId="10" fillId="3" borderId="2" xfId="2" applyFont="1" applyFill="1" applyBorder="1">
      <alignment vertical="center"/>
    </xf>
    <xf numFmtId="0" fontId="10" fillId="2" borderId="3" xfId="2" applyFont="1" applyFill="1" applyBorder="1">
      <alignment vertical="center"/>
    </xf>
    <xf numFmtId="38" fontId="10" fillId="4" borderId="3" xfId="1" applyFont="1" applyFill="1" applyBorder="1" applyAlignment="1">
      <alignment horizontal="center" vertical="center"/>
    </xf>
    <xf numFmtId="15" fontId="10" fillId="4" borderId="2" xfId="2" applyNumberFormat="1" applyFont="1" applyFill="1" applyBorder="1" applyAlignment="1">
      <alignment horizontal="center" vertical="center"/>
    </xf>
    <xf numFmtId="38" fontId="10" fillId="4" borderId="0" xfId="1" applyFont="1" applyFill="1" applyBorder="1" applyAlignment="1">
      <alignment horizontal="center" vertical="center"/>
    </xf>
    <xf numFmtId="0" fontId="10" fillId="3" borderId="1" xfId="3" applyFont="1" applyFill="1" applyBorder="1"/>
    <xf numFmtId="15" fontId="10" fillId="4" borderId="1" xfId="2" applyNumberFormat="1" applyFont="1" applyFill="1" applyBorder="1" applyAlignment="1">
      <alignment horizontal="center" vertical="center"/>
    </xf>
    <xf numFmtId="0" fontId="10" fillId="3" borderId="4" xfId="3" applyFont="1" applyFill="1" applyBorder="1"/>
    <xf numFmtId="0" fontId="10" fillId="4" borderId="4" xfId="2" applyNumberFormat="1" applyFont="1" applyFill="1" applyBorder="1" applyAlignment="1">
      <alignment horizontal="center" vertical="center"/>
    </xf>
    <xf numFmtId="0" fontId="11" fillId="0" borderId="0" xfId="0" applyFont="1" applyAlignment="1"/>
    <xf numFmtId="0" fontId="0" fillId="0" borderId="0" xfId="0" applyAlignment="1"/>
    <xf numFmtId="0" fontId="10" fillId="4" borderId="0" xfId="0" applyFont="1" applyFill="1" applyAlignment="1"/>
    <xf numFmtId="0" fontId="0" fillId="5" borderId="5" xfId="0" applyFill="1" applyBorder="1" applyAlignment="1"/>
    <xf numFmtId="0" fontId="12" fillId="5" borderId="6" xfId="0" applyFont="1" applyFill="1" applyBorder="1" applyAlignment="1"/>
    <xf numFmtId="0" fontId="13" fillId="5" borderId="6" xfId="0" applyFont="1" applyFill="1" applyBorder="1" applyAlignment="1">
      <alignment horizontal="center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0" fontId="10" fillId="5" borderId="5" xfId="0" applyFont="1" applyFill="1" applyBorder="1" applyAlignment="1"/>
    <xf numFmtId="0" fontId="10" fillId="5" borderId="6" xfId="0" applyFont="1" applyFill="1" applyBorder="1" applyAlignment="1"/>
    <xf numFmtId="0" fontId="10" fillId="5" borderId="7" xfId="0" applyFont="1" applyFill="1" applyBorder="1" applyAlignment="1"/>
    <xf numFmtId="0" fontId="0" fillId="5" borderId="8" xfId="0" applyFill="1" applyBorder="1" applyAlignment="1"/>
    <xf numFmtId="0" fontId="14" fillId="0" borderId="4" xfId="0" quotePrefix="1" applyFont="1" applyFill="1" applyBorder="1" applyAlignment="1"/>
    <xf numFmtId="0" fontId="15" fillId="0" borderId="9" xfId="0" applyFont="1" applyFill="1" applyBorder="1" applyAlignment="1">
      <alignment horizontal="left" vertical="center"/>
    </xf>
    <xf numFmtId="164" fontId="16" fillId="0" borderId="4" xfId="0" quotePrefix="1" applyNumberFormat="1" applyFont="1" applyFill="1" applyBorder="1" applyAlignment="1">
      <alignment horizontal="center" vertical="center"/>
    </xf>
    <xf numFmtId="0" fontId="0" fillId="5" borderId="10" xfId="0" applyFill="1" applyBorder="1" applyAlignment="1"/>
    <xf numFmtId="0" fontId="10" fillId="5" borderId="0" xfId="0" applyFont="1" applyFill="1" applyBorder="1" applyAlignment="1">
      <alignment vertical="center"/>
    </xf>
    <xf numFmtId="0" fontId="10" fillId="5" borderId="8" xfId="0" applyFont="1" applyFill="1" applyBorder="1" applyAlignment="1"/>
    <xf numFmtId="0" fontId="10" fillId="5" borderId="0" xfId="0" applyFont="1" applyFill="1" applyBorder="1" applyAlignment="1">
      <alignment horizontal="center" vertical="center"/>
    </xf>
    <xf numFmtId="0" fontId="10" fillId="5" borderId="10" xfId="0" applyFont="1" applyFill="1" applyBorder="1" applyAlignment="1"/>
    <xf numFmtId="0" fontId="12" fillId="5" borderId="0" xfId="0" applyFont="1" applyFill="1" applyBorder="1" applyAlignment="1"/>
    <xf numFmtId="0" fontId="13" fillId="5" borderId="0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10" fillId="0" borderId="1" xfId="0" applyFont="1" applyFill="1" applyBorder="1" applyAlignment="1">
      <alignment vertical="center"/>
    </xf>
    <xf numFmtId="15" fontId="16" fillId="0" borderId="5" xfId="0" applyNumberFormat="1" applyFon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vertical="center"/>
    </xf>
    <xf numFmtId="15" fontId="16" fillId="0" borderId="8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0" fontId="0" fillId="5" borderId="11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164" fontId="10" fillId="4" borderId="0" xfId="0" applyNumberFormat="1" applyFont="1" applyFill="1" applyAlignment="1"/>
    <xf numFmtId="0" fontId="10" fillId="5" borderId="11" xfId="0" applyFont="1" applyFill="1" applyBorder="1" applyAlignment="1"/>
    <xf numFmtId="0" fontId="10" fillId="5" borderId="12" xfId="0" applyFont="1" applyFill="1" applyBorder="1" applyAlignment="1"/>
    <xf numFmtId="0" fontId="10" fillId="5" borderId="13" xfId="0" applyFont="1" applyFill="1" applyBorder="1" applyAlignment="1"/>
    <xf numFmtId="0" fontId="14" fillId="0" borderId="4" xfId="0" applyFont="1" applyFill="1" applyBorder="1" applyAlignment="1"/>
    <xf numFmtId="164" fontId="16" fillId="0" borderId="4" xfId="0" applyNumberFormat="1" applyFont="1" applyFill="1" applyBorder="1" applyAlignment="1">
      <alignment horizontal="center" vertical="center"/>
    </xf>
    <xf numFmtId="16" fontId="10" fillId="5" borderId="0" xfId="0" quotePrefix="1" applyNumberFormat="1" applyFont="1" applyFill="1" applyBorder="1" applyAlignment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1" fillId="0" borderId="0" xfId="0" applyFont="1" applyBorder="1" applyAlignment="1">
      <alignment horizontal="center"/>
    </xf>
    <xf numFmtId="0" fontId="1" fillId="0" borderId="0" xfId="0" applyFont="1">
      <alignment vertical="center"/>
    </xf>
    <xf numFmtId="0" fontId="10" fillId="2" borderId="2" xfId="2" applyFont="1" applyFill="1" applyBorder="1">
      <alignment vertical="center"/>
    </xf>
    <xf numFmtId="15" fontId="16" fillId="0" borderId="1" xfId="0" applyNumberFormat="1" applyFont="1" applyFill="1" applyBorder="1" applyAlignment="1">
      <alignment horizontal="center" vertical="center"/>
    </xf>
    <xf numFmtId="15" fontId="16" fillId="0" borderId="2" xfId="0" applyNumberFormat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4" fontId="16" fillId="0" borderId="8" xfId="0" applyNumberFormat="1" applyFont="1" applyFill="1" applyBorder="1" applyAlignment="1">
      <alignment horizontal="center" vertical="center"/>
    </xf>
    <xf numFmtId="164" fontId="16" fillId="0" borderId="0" xfId="0" applyNumberFormat="1" applyFont="1" applyFill="1" applyBorder="1" applyAlignment="1">
      <alignment horizontal="center" vertical="center"/>
    </xf>
    <xf numFmtId="164" fontId="16" fillId="0" borderId="10" xfId="0" applyNumberFormat="1" applyFont="1" applyFill="1" applyBorder="1" applyAlignment="1">
      <alignment horizontal="center" vertical="center"/>
    </xf>
    <xf numFmtId="164" fontId="16" fillId="0" borderId="11" xfId="0" applyNumberFormat="1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164" fontId="16" fillId="0" borderId="13" xfId="0" applyNumberFormat="1" applyFont="1" applyFill="1" applyBorder="1" applyAlignment="1">
      <alignment horizontal="center" vertical="center"/>
    </xf>
    <xf numFmtId="0" fontId="14" fillId="0" borderId="9" xfId="0" quotePrefix="1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7" fillId="0" borderId="15" xfId="0" quotePrefix="1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0" fillId="3" borderId="1" xfId="3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10" fillId="0" borderId="4" xfId="3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0" fillId="3" borderId="3" xfId="3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15" fontId="2" fillId="0" borderId="17" xfId="0" applyNumberFormat="1" applyFont="1" applyBorder="1" applyAlignment="1">
      <alignment horizontal="center" vertical="center"/>
    </xf>
    <xf numFmtId="15" fontId="2" fillId="0" borderId="18" xfId="0" applyNumberFormat="1" applyFont="1" applyBorder="1" applyAlignment="1">
      <alignment horizontal="center" vertical="center"/>
    </xf>
    <xf numFmtId="0" fontId="10" fillId="0" borderId="16" xfId="3" applyFont="1" applyFill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0" fillId="3" borderId="2" xfId="3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0" fillId="2" borderId="2" xfId="2" applyFont="1" applyFill="1" applyBorder="1" applyAlignment="1">
      <alignment horizontal="center" vertical="center"/>
    </xf>
    <xf numFmtId="38" fontId="10" fillId="4" borderId="2" xfId="1" applyFont="1" applyFill="1" applyBorder="1" applyAlignment="1">
      <alignment horizontal="center" vertical="center"/>
    </xf>
    <xf numFmtId="15" fontId="2" fillId="0" borderId="1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166" fontId="3" fillId="0" borderId="0" xfId="0" applyNumberFormat="1" applyFont="1" applyBorder="1" applyAlignment="1">
      <alignment horizontal="center" vertical="center"/>
    </xf>
    <xf numFmtId="0" fontId="13" fillId="6" borderId="4" xfId="3" applyFont="1" applyFill="1" applyBorder="1"/>
    <xf numFmtId="0" fontId="0" fillId="7" borderId="0" xfId="0" applyFill="1" applyAlignment="1"/>
    <xf numFmtId="14" fontId="0" fillId="0" borderId="0" xfId="0" applyNumberFormat="1" applyAlignment="1"/>
    <xf numFmtId="0" fontId="0" fillId="0" borderId="0" xfId="0" applyFill="1" applyAlignment="1"/>
    <xf numFmtId="167" fontId="0" fillId="0" borderId="0" xfId="0" applyNumberFormat="1" applyAlignment="1"/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7"/>
  <sheetViews>
    <sheetView showGridLines="0" workbookViewId="0"/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1</v>
      </c>
    </row>
    <row r="3" spans="2:3">
      <c r="B3" s="7" t="s">
        <v>2</v>
      </c>
      <c r="C3" s="8">
        <v>42468</v>
      </c>
    </row>
    <row r="4" spans="2:3">
      <c r="B4" s="2" t="s">
        <v>3</v>
      </c>
      <c r="C4" s="5">
        <v>42835</v>
      </c>
    </row>
    <row r="5" spans="2:3">
      <c r="B5" s="3" t="s">
        <v>0</v>
      </c>
      <c r="C5" s="4" t="s">
        <v>4</v>
      </c>
    </row>
    <row r="6" spans="2:3">
      <c r="C6" s="6"/>
    </row>
    <row r="7" spans="2:3">
      <c r="B7" s="9" t="s">
        <v>5</v>
      </c>
      <c r="C7" s="10">
        <f>_xll.meDateBusinessDays(C3,C4,C5)</f>
        <v>245</v>
      </c>
    </row>
  </sheetData>
  <phoneticPr fontId="7"/>
  <dataValidations count="1">
    <dataValidation type="list" allowBlank="1" showInputMessage="1" showErrorMessage="1" sqref="C5:C6">
      <formula1>"TKB,NYB,TAR,LNB,SDB,ZUB,TRB,WEB,TKB:LNB,TKB:NYB,TKB:LNB:NYB,LNB:NYB"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40"/>
  <sheetViews>
    <sheetView showGridLines="0" workbookViewId="0"/>
  </sheetViews>
  <sheetFormatPr defaultRowHeight="15"/>
  <cols>
    <col min="1" max="1" width="9.140625" style="13"/>
    <col min="2" max="2" width="2.7109375" style="13" customWidth="1"/>
    <col min="3" max="3" width="23.7109375" style="13" customWidth="1"/>
    <col min="4" max="4" width="0" style="13" hidden="1" customWidth="1"/>
    <col min="5" max="5" width="20.7109375" style="13" customWidth="1"/>
    <col min="6" max="8" width="9.140625" style="13"/>
    <col min="9" max="9" width="18" style="13" bestFit="1" customWidth="1"/>
    <col min="10" max="16384" width="9.140625" style="13"/>
  </cols>
  <sheetData>
    <row r="2" spans="2:14">
      <c r="B2" s="11" t="s">
        <v>81</v>
      </c>
      <c r="C2" s="12"/>
      <c r="D2" s="12"/>
      <c r="E2" s="12"/>
      <c r="F2" s="12"/>
      <c r="H2" s="11" t="s">
        <v>6</v>
      </c>
      <c r="L2" s="11" t="s">
        <v>7</v>
      </c>
    </row>
    <row r="3" spans="2:14">
      <c r="B3" s="14"/>
      <c r="C3" s="15"/>
      <c r="D3" s="16"/>
      <c r="E3" s="17"/>
      <c r="F3" s="18"/>
      <c r="H3" s="14"/>
      <c r="I3" s="15"/>
      <c r="J3" s="18"/>
      <c r="L3" s="19"/>
      <c r="M3" s="20"/>
      <c r="N3" s="21"/>
    </row>
    <row r="4" spans="2:14">
      <c r="B4" s="22"/>
      <c r="C4" s="23" t="s">
        <v>81</v>
      </c>
      <c r="D4" s="24" t="e">
        <f>_xll.mirSetUpOISCurve(Curve.CollectionName,Curve.MarketDataTable,Curve.BuildProperties,OIS.Conventions,OIS.MarketData,Curve.OISIndexName,OIS.FixingTable,LiborOISBasis.MarketData,LiborSwap.Conventions,LiborSwap.MarketData,LiborOISBasis.Conventions)</f>
        <v>#VALUE!</v>
      </c>
      <c r="E4" s="25">
        <f>_xll.meDateFromTenor(E7,$E$8,$E$9,$E$10,$E$11)</f>
        <v>42794</v>
      </c>
      <c r="F4" s="26" t="s">
        <v>8</v>
      </c>
      <c r="H4" s="22"/>
      <c r="I4" s="27" t="s">
        <v>9</v>
      </c>
      <c r="J4" s="26"/>
      <c r="L4" s="28"/>
      <c r="M4" s="29" t="s">
        <v>10</v>
      </c>
      <c r="N4" s="30"/>
    </row>
    <row r="5" spans="2:14">
      <c r="B5" s="22"/>
      <c r="C5" s="31"/>
      <c r="D5" s="32"/>
      <c r="E5" s="33"/>
      <c r="F5" s="26"/>
      <c r="H5" s="22"/>
      <c r="I5" s="27" t="s">
        <v>11</v>
      </c>
      <c r="J5" s="26"/>
      <c r="L5" s="28"/>
      <c r="M5" s="29" t="s">
        <v>12</v>
      </c>
      <c r="N5" s="30"/>
    </row>
    <row r="6" spans="2:14">
      <c r="B6" s="22"/>
      <c r="C6" s="31"/>
      <c r="D6" s="32"/>
      <c r="E6" s="33"/>
      <c r="F6" s="26"/>
      <c r="H6" s="22"/>
      <c r="I6" s="27" t="s">
        <v>13</v>
      </c>
      <c r="J6" s="26"/>
      <c r="L6" s="28"/>
      <c r="M6" s="29" t="s">
        <v>14</v>
      </c>
      <c r="N6" s="30"/>
    </row>
    <row r="7" spans="2:14">
      <c r="B7" s="22"/>
      <c r="C7" s="34" t="s">
        <v>15</v>
      </c>
      <c r="D7" s="55" t="s">
        <v>16</v>
      </c>
      <c r="E7" s="36">
        <v>42429</v>
      </c>
      <c r="F7" s="26"/>
      <c r="H7" s="22"/>
      <c r="I7" s="27" t="s">
        <v>17</v>
      </c>
      <c r="J7" s="26"/>
      <c r="L7" s="28"/>
      <c r="M7" s="29" t="s">
        <v>18</v>
      </c>
      <c r="N7" s="30"/>
    </row>
    <row r="8" spans="2:14">
      <c r="B8" s="22"/>
      <c r="C8" s="37" t="s">
        <v>58</v>
      </c>
      <c r="D8" s="56"/>
      <c r="E8" s="39" t="s">
        <v>19</v>
      </c>
      <c r="F8" s="26"/>
      <c r="H8" s="22"/>
      <c r="I8" s="27" t="s">
        <v>20</v>
      </c>
      <c r="J8" s="26"/>
      <c r="L8" s="28"/>
      <c r="M8" s="29" t="s">
        <v>21</v>
      </c>
      <c r="N8" s="30"/>
    </row>
    <row r="9" spans="2:14">
      <c r="B9" s="22"/>
      <c r="C9" s="37" t="s">
        <v>57</v>
      </c>
      <c r="D9" s="57" t="s">
        <v>22</v>
      </c>
      <c r="E9" s="39" t="s">
        <v>11</v>
      </c>
      <c r="F9" s="26"/>
      <c r="H9" s="22"/>
      <c r="I9" s="27"/>
      <c r="J9" s="26"/>
      <c r="L9" s="28"/>
      <c r="M9" s="29" t="s">
        <v>23</v>
      </c>
      <c r="N9" s="30"/>
    </row>
    <row r="10" spans="2:14">
      <c r="B10" s="22"/>
      <c r="C10" s="37" t="s">
        <v>56</v>
      </c>
      <c r="D10" s="57"/>
      <c r="E10" s="39" t="s">
        <v>24</v>
      </c>
      <c r="F10" s="26"/>
      <c r="H10" s="22"/>
      <c r="I10" s="27"/>
      <c r="J10" s="26"/>
      <c r="L10" s="28"/>
      <c r="M10" s="29" t="s">
        <v>25</v>
      </c>
      <c r="N10" s="30"/>
    </row>
    <row r="11" spans="2:14">
      <c r="B11" s="22"/>
      <c r="C11" s="58" t="s">
        <v>55</v>
      </c>
      <c r="D11" s="59"/>
      <c r="E11" s="60" t="s">
        <v>26</v>
      </c>
      <c r="F11" s="26"/>
      <c r="H11" s="22"/>
      <c r="I11" s="27"/>
      <c r="J11" s="26"/>
      <c r="L11" s="28"/>
      <c r="M11" s="29" t="s">
        <v>27</v>
      </c>
      <c r="N11" s="30"/>
    </row>
    <row r="12" spans="2:14">
      <c r="B12" s="40"/>
      <c r="C12" s="41"/>
      <c r="D12" s="41"/>
      <c r="E12" s="41"/>
      <c r="F12" s="42"/>
      <c r="H12" s="40"/>
      <c r="I12" s="41"/>
      <c r="J12" s="42"/>
      <c r="L12" s="28"/>
      <c r="M12" s="29" t="s">
        <v>28</v>
      </c>
      <c r="N12" s="30"/>
    </row>
    <row r="13" spans="2:14">
      <c r="L13" s="28"/>
      <c r="M13" s="29" t="s">
        <v>29</v>
      </c>
      <c r="N13" s="30"/>
    </row>
    <row r="14" spans="2:14">
      <c r="B14" s="11" t="s">
        <v>82</v>
      </c>
      <c r="L14" s="28"/>
      <c r="M14" s="29" t="s">
        <v>30</v>
      </c>
      <c r="N14" s="30"/>
    </row>
    <row r="15" spans="2:14">
      <c r="B15" s="14"/>
      <c r="C15" s="15"/>
      <c r="D15" s="16"/>
      <c r="E15" s="17"/>
      <c r="F15" s="18"/>
      <c r="L15" s="28"/>
      <c r="M15" s="29" t="s">
        <v>31</v>
      </c>
      <c r="N15" s="30"/>
    </row>
    <row r="16" spans="2:14">
      <c r="B16" s="22"/>
      <c r="C16" s="67" t="s">
        <v>83</v>
      </c>
      <c r="D16" s="68"/>
      <c r="E16" s="69" t="s">
        <v>81</v>
      </c>
      <c r="F16" s="26"/>
      <c r="L16" s="28"/>
      <c r="M16" s="29" t="s">
        <v>32</v>
      </c>
      <c r="N16" s="30"/>
    </row>
    <row r="17" spans="2:14">
      <c r="B17" s="22"/>
      <c r="C17" s="61">
        <v>42429</v>
      </c>
      <c r="D17" s="62"/>
      <c r="E17" s="63">
        <f t="array" ref="E17:E21">_xll.meDateFromTenor(C17:C21,$E$8,$E$9,$E$10,$E$11)</f>
        <v>42794</v>
      </c>
      <c r="F17" s="26"/>
      <c r="L17" s="28"/>
      <c r="M17" s="29" t="s">
        <v>33</v>
      </c>
      <c r="N17" s="30"/>
    </row>
    <row r="18" spans="2:14">
      <c r="B18" s="22"/>
      <c r="C18" s="61">
        <v>42430</v>
      </c>
      <c r="D18" s="62"/>
      <c r="E18" s="63">
        <v>42795</v>
      </c>
      <c r="F18" s="26"/>
      <c r="L18" s="28"/>
      <c r="M18" s="29" t="s">
        <v>34</v>
      </c>
      <c r="N18" s="30"/>
    </row>
    <row r="19" spans="2:14">
      <c r="B19" s="22"/>
      <c r="C19" s="61">
        <v>42431</v>
      </c>
      <c r="D19" s="62"/>
      <c r="E19" s="63">
        <v>42796</v>
      </c>
      <c r="F19" s="26"/>
      <c r="L19" s="28"/>
      <c r="M19" s="29" t="s">
        <v>35</v>
      </c>
      <c r="N19" s="30"/>
    </row>
    <row r="20" spans="2:14">
      <c r="B20" s="22"/>
      <c r="C20" s="61">
        <v>42432</v>
      </c>
      <c r="D20" s="62"/>
      <c r="E20" s="63">
        <v>42797</v>
      </c>
      <c r="F20" s="26"/>
      <c r="L20" s="28"/>
      <c r="M20" s="29" t="s">
        <v>36</v>
      </c>
      <c r="N20" s="30"/>
    </row>
    <row r="21" spans="2:14">
      <c r="B21" s="22"/>
      <c r="C21" s="64">
        <v>42433</v>
      </c>
      <c r="D21" s="65"/>
      <c r="E21" s="66">
        <v>42800</v>
      </c>
      <c r="F21" s="26"/>
      <c r="L21" s="28"/>
      <c r="M21" s="29" t="s">
        <v>37</v>
      </c>
      <c r="N21" s="30"/>
    </row>
    <row r="22" spans="2:14">
      <c r="B22" s="40"/>
      <c r="C22" s="41"/>
      <c r="D22" s="41"/>
      <c r="E22" s="41"/>
      <c r="F22" s="42"/>
      <c r="L22" s="28"/>
      <c r="M22" s="29" t="s">
        <v>38</v>
      </c>
      <c r="N22" s="30"/>
    </row>
    <row r="23" spans="2:14">
      <c r="L23" s="28"/>
      <c r="M23" s="29" t="s">
        <v>39</v>
      </c>
      <c r="N23" s="30"/>
    </row>
    <row r="24" spans="2:14">
      <c r="L24" s="28"/>
      <c r="M24" s="29" t="s">
        <v>40</v>
      </c>
      <c r="N24" s="30"/>
    </row>
    <row r="25" spans="2:14">
      <c r="L25" s="28"/>
      <c r="M25" s="29" t="s">
        <v>41</v>
      </c>
      <c r="N25" s="30"/>
    </row>
    <row r="26" spans="2:14">
      <c r="L26" s="28"/>
      <c r="M26" s="29" t="s">
        <v>42</v>
      </c>
      <c r="N26" s="30"/>
    </row>
    <row r="27" spans="2:14">
      <c r="E27" s="43"/>
      <c r="L27" s="28"/>
      <c r="M27" s="29" t="s">
        <v>43</v>
      </c>
      <c r="N27" s="30"/>
    </row>
    <row r="28" spans="2:14">
      <c r="L28" s="28"/>
      <c r="M28" s="29" t="s">
        <v>44</v>
      </c>
      <c r="N28" s="30"/>
    </row>
    <row r="29" spans="2:14">
      <c r="L29" s="28"/>
      <c r="M29" s="29" t="s">
        <v>45</v>
      </c>
      <c r="N29" s="30"/>
    </row>
    <row r="30" spans="2:14">
      <c r="L30" s="28"/>
      <c r="M30" s="29" t="s">
        <v>46</v>
      </c>
      <c r="N30" s="30"/>
    </row>
    <row r="31" spans="2:14">
      <c r="L31" s="28"/>
      <c r="M31" s="29" t="s">
        <v>38</v>
      </c>
      <c r="N31" s="30"/>
    </row>
    <row r="32" spans="2:14">
      <c r="L32" s="28"/>
      <c r="M32" s="29" t="s">
        <v>47</v>
      </c>
      <c r="N32" s="30"/>
    </row>
    <row r="33" spans="12:14">
      <c r="L33" s="28"/>
      <c r="M33" s="29" t="s">
        <v>48</v>
      </c>
      <c r="N33" s="30"/>
    </row>
    <row r="34" spans="12:14">
      <c r="L34" s="28"/>
      <c r="M34" s="29" t="s">
        <v>49</v>
      </c>
      <c r="N34" s="30"/>
    </row>
    <row r="35" spans="12:14">
      <c r="L35" s="28"/>
      <c r="M35" s="29" t="s">
        <v>50</v>
      </c>
      <c r="N35" s="30"/>
    </row>
    <row r="36" spans="12:14">
      <c r="L36" s="28"/>
      <c r="M36" s="29" t="s">
        <v>51</v>
      </c>
      <c r="N36" s="30"/>
    </row>
    <row r="37" spans="12:14">
      <c r="L37" s="28"/>
      <c r="M37" s="29" t="s">
        <v>52</v>
      </c>
      <c r="N37" s="30"/>
    </row>
    <row r="38" spans="12:14">
      <c r="L38" s="28"/>
      <c r="M38" s="29" t="s">
        <v>53</v>
      </c>
      <c r="N38" s="30"/>
    </row>
    <row r="39" spans="12:14">
      <c r="L39" s="28"/>
      <c r="M39" s="29" t="s">
        <v>54</v>
      </c>
      <c r="N39" s="30"/>
    </row>
    <row r="40" spans="12:14">
      <c r="L40" s="44"/>
      <c r="M40" s="45"/>
      <c r="N40" s="46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13"/>
  <sheetViews>
    <sheetView showGridLines="0" workbookViewId="0"/>
  </sheetViews>
  <sheetFormatPr defaultRowHeight="15"/>
  <cols>
    <col min="1" max="1" width="9.140625" style="13"/>
    <col min="2" max="2" width="2.7109375" style="13" customWidth="1"/>
    <col min="3" max="3" width="26.85546875" style="13" customWidth="1"/>
    <col min="4" max="4" width="0" style="13" hidden="1" customWidth="1"/>
    <col min="5" max="5" width="20.7109375" style="13" customWidth="1"/>
    <col min="6" max="8" width="9.140625" style="13"/>
    <col min="9" max="9" width="18" style="13" bestFit="1" customWidth="1"/>
    <col min="10" max="16384" width="9.140625" style="13"/>
  </cols>
  <sheetData>
    <row r="2" spans="2:10">
      <c r="B2" s="11" t="s">
        <v>66</v>
      </c>
      <c r="C2" s="12"/>
      <c r="D2" s="12"/>
      <c r="F2" s="12"/>
      <c r="H2" s="11" t="s">
        <v>59</v>
      </c>
    </row>
    <row r="3" spans="2:10">
      <c r="B3" s="14"/>
      <c r="C3" s="15"/>
      <c r="D3" s="16"/>
      <c r="E3" s="17"/>
      <c r="F3" s="18"/>
      <c r="H3" s="14"/>
      <c r="I3" s="15"/>
      <c r="J3" s="18"/>
    </row>
    <row r="4" spans="2:10">
      <c r="B4" s="22"/>
      <c r="C4" s="47" t="s">
        <v>66</v>
      </c>
      <c r="D4" s="24" t="e">
        <f>_xll.mirSetUpOISCurve(Curve.CollectionName,Curve.MarketDataTable,Curve.BuildProperties,OIS.Conventions,OIS.MarketData,Curve.OISIndexName,OIS.FixingTable,LiborOISBasis.MarketData,LiborSwap.Conventions,LiborSwap.MarketData,LiborOISBasis.Conventions)</f>
        <v>#VALUE!</v>
      </c>
      <c r="E4" s="48">
        <f>_xll.meDateFromYearFraction(E7,E8,E9)</f>
        <v>42371</v>
      </c>
      <c r="F4" s="26" t="s">
        <v>8</v>
      </c>
      <c r="H4" s="22"/>
      <c r="I4" s="27" t="s">
        <v>60</v>
      </c>
      <c r="J4" s="26"/>
    </row>
    <row r="5" spans="2:10">
      <c r="B5" s="22"/>
      <c r="C5" s="31"/>
      <c r="D5" s="32"/>
      <c r="E5" s="33"/>
      <c r="F5" s="26"/>
      <c r="H5" s="22"/>
      <c r="I5" s="27" t="s">
        <v>61</v>
      </c>
      <c r="J5" s="26"/>
    </row>
    <row r="6" spans="2:10">
      <c r="B6" s="22"/>
      <c r="C6" s="31"/>
      <c r="D6" s="32"/>
      <c r="E6" s="33"/>
      <c r="F6" s="26"/>
      <c r="H6" s="22"/>
      <c r="I6" s="27" t="s">
        <v>62</v>
      </c>
      <c r="J6" s="26"/>
    </row>
    <row r="7" spans="2:10">
      <c r="B7" s="22"/>
      <c r="C7" s="34" t="s">
        <v>15</v>
      </c>
      <c r="D7" s="35" t="s">
        <v>16</v>
      </c>
      <c r="E7" s="36">
        <v>42370</v>
      </c>
      <c r="F7" s="26"/>
      <c r="H7" s="22"/>
      <c r="I7" s="27" t="s">
        <v>63</v>
      </c>
      <c r="J7" s="26"/>
    </row>
    <row r="8" spans="2:10">
      <c r="B8" s="22"/>
      <c r="C8" s="37" t="s">
        <v>64</v>
      </c>
      <c r="D8" s="38"/>
      <c r="E8" s="39">
        <f>1/365</f>
        <v>2.7397260273972603E-3</v>
      </c>
      <c r="F8" s="26"/>
      <c r="H8" s="22"/>
      <c r="I8" s="49"/>
      <c r="J8" s="26"/>
    </row>
    <row r="9" spans="2:10">
      <c r="B9" s="22"/>
      <c r="C9" s="58" t="s">
        <v>65</v>
      </c>
      <c r="D9" s="70" t="s">
        <v>22</v>
      </c>
      <c r="E9" s="60" t="s">
        <v>61</v>
      </c>
      <c r="F9" s="26"/>
      <c r="H9" s="22"/>
      <c r="I9" s="49"/>
      <c r="J9" s="26"/>
    </row>
    <row r="10" spans="2:10">
      <c r="B10" s="40"/>
      <c r="C10" s="41"/>
      <c r="D10" s="41"/>
      <c r="E10" s="41"/>
      <c r="F10" s="42"/>
      <c r="H10" s="40"/>
      <c r="I10" s="41"/>
      <c r="J10" s="42"/>
    </row>
    <row r="13" spans="2:10">
      <c r="E13" s="43"/>
    </row>
  </sheetData>
  <dataValidations count="1">
    <dataValidation type="list" allowBlank="1" showInputMessage="1" showErrorMessage="1" sqref="E9">
      <formula1>$I$4:$I$7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9"/>
  <sheetViews>
    <sheetView showGridLines="0" tabSelected="1" workbookViewId="0">
      <selection activeCell="J17" sqref="J17"/>
    </sheetView>
  </sheetViews>
  <sheetFormatPr defaultRowHeight="15"/>
  <cols>
    <col min="2" max="2" width="22.42578125" customWidth="1"/>
    <col min="3" max="3" width="28" customWidth="1"/>
    <col min="4" max="4" width="14" customWidth="1"/>
    <col min="5" max="5" width="20.42578125" customWidth="1"/>
  </cols>
  <sheetData>
    <row r="1" spans="2:9">
      <c r="B1" s="53"/>
      <c r="C1" s="53"/>
    </row>
    <row r="2" spans="2:9">
      <c r="B2" s="53" t="s">
        <v>1</v>
      </c>
      <c r="C2" s="53"/>
    </row>
    <row r="3" spans="2:9">
      <c r="B3" s="7" t="s">
        <v>2</v>
      </c>
      <c r="C3" s="8">
        <v>42468</v>
      </c>
    </row>
    <row r="4" spans="2:9">
      <c r="B4" s="2" t="s">
        <v>3</v>
      </c>
      <c r="C4" s="5">
        <v>42835</v>
      </c>
    </row>
    <row r="5" spans="2:9">
      <c r="B5" s="54" t="s">
        <v>79</v>
      </c>
      <c r="C5" s="4" t="s">
        <v>62</v>
      </c>
    </row>
    <row r="6" spans="2:9">
      <c r="B6" s="53"/>
      <c r="C6" s="6"/>
    </row>
    <row r="7" spans="2:9">
      <c r="B7" s="90" t="s">
        <v>80</v>
      </c>
      <c r="C7" s="10">
        <f ca="1">_xll.meDateYearFraction(C3,C4,C5)</f>
        <v>1.0194444444444444</v>
      </c>
    </row>
    <row r="9" spans="2:9">
      <c r="B9" s="12" t="s">
        <v>92</v>
      </c>
      <c r="C9" s="12"/>
      <c r="D9" s="12"/>
      <c r="E9" s="12"/>
      <c r="F9" s="12"/>
      <c r="G9" s="12"/>
      <c r="H9" s="12"/>
      <c r="I9" s="12"/>
    </row>
    <row r="10" spans="2:9">
      <c r="B10" s="12" t="s">
        <v>65</v>
      </c>
      <c r="C10" s="12" t="s">
        <v>91</v>
      </c>
      <c r="D10" s="12"/>
      <c r="E10" s="12"/>
      <c r="F10" s="12"/>
      <c r="G10" s="12"/>
      <c r="H10" s="12"/>
      <c r="I10" s="12"/>
    </row>
    <row r="11" spans="2:9">
      <c r="B11" s="12" t="s">
        <v>90</v>
      </c>
      <c r="C11" s="94" t="s">
        <v>89</v>
      </c>
      <c r="D11" s="12" t="s">
        <v>88</v>
      </c>
      <c r="E11" s="12" t="s">
        <v>80</v>
      </c>
      <c r="F11" s="12" t="s">
        <v>87</v>
      </c>
      <c r="G11" s="12" t="s">
        <v>86</v>
      </c>
      <c r="H11" s="12"/>
      <c r="I11" s="12"/>
    </row>
    <row r="12" spans="2:9">
      <c r="B12" s="92">
        <v>36526</v>
      </c>
      <c r="C12" s="92">
        <v>36558</v>
      </c>
      <c r="D12" s="12">
        <f ca="1">_xll.mirGetTerm(B12,C12,$C$10,FALSE)*365</f>
        <v>31</v>
      </c>
      <c r="E12" s="93">
        <f ca="1">_xll.meDateYearFraction(B12,C12,$C$10,FALSE)*365</f>
        <v>32</v>
      </c>
      <c r="F12" s="91" t="b">
        <f ca="1">D12=E12</f>
        <v>0</v>
      </c>
      <c r="G12" s="12">
        <v>32</v>
      </c>
      <c r="H12" s="12"/>
      <c r="I12" s="12"/>
    </row>
    <row r="13" spans="2:9">
      <c r="B13" s="92">
        <v>36526</v>
      </c>
      <c r="C13" s="92">
        <v>36586</v>
      </c>
      <c r="D13" s="12">
        <f ca="1">_xll.mirGetTerm(B13,C13,$C$10,FALSE)*365</f>
        <v>59</v>
      </c>
      <c r="E13" s="12">
        <f ca="1">_xll.meDateYearFraction(B13,C13,$C$10,FALSE)*365</f>
        <v>59</v>
      </c>
      <c r="F13" s="12" t="b">
        <f ca="1">D13=E13</f>
        <v>1</v>
      </c>
      <c r="G13" s="12">
        <v>59</v>
      </c>
      <c r="H13" s="12"/>
      <c r="I13" s="12"/>
    </row>
    <row r="14" spans="2:9">
      <c r="B14" s="92">
        <v>36557</v>
      </c>
      <c r="C14" s="92">
        <v>36558</v>
      </c>
      <c r="D14" s="12">
        <f ca="1">_xll.mirGetTerm(B14,C14,$C$10,FALSE)*365</f>
        <v>0</v>
      </c>
      <c r="E14" s="12">
        <f ca="1">_xll.meDateYearFraction(B14,C14,$C$10,FALSE)*365</f>
        <v>1</v>
      </c>
      <c r="F14" s="91" t="b">
        <f ca="1">D14=E14</f>
        <v>0</v>
      </c>
      <c r="G14" s="12">
        <v>1</v>
      </c>
      <c r="H14" s="12"/>
      <c r="I14" s="12"/>
    </row>
    <row r="15" spans="2:9">
      <c r="B15" s="92">
        <v>36557</v>
      </c>
      <c r="C15" s="92">
        <v>36585</v>
      </c>
      <c r="D15" s="12">
        <f ca="1">_xll.mirGetTerm(B15,C15,$C$10,FALSE)*365</f>
        <v>28</v>
      </c>
      <c r="E15" s="93">
        <f ca="1">_xll.meDateYearFraction(B15,C15,$C$10,FALSE)*365</f>
        <v>28</v>
      </c>
      <c r="F15" s="12" t="b">
        <f ca="1">D15=E15</f>
        <v>1</v>
      </c>
      <c r="G15" s="12">
        <v>28</v>
      </c>
      <c r="H15" s="12"/>
      <c r="I15" s="12"/>
    </row>
    <row r="16" spans="2:9">
      <c r="B16" s="92">
        <v>36557</v>
      </c>
      <c r="C16" s="92">
        <v>36584</v>
      </c>
      <c r="D16" s="12">
        <f ca="1">_xll.mirGetTerm(B16,C16,$C$10,FALSE)*365</f>
        <v>26</v>
      </c>
      <c r="E16" s="12">
        <f ca="1">_xll.meDateYearFraction(B16,C16,$C$10,FALSE)*365</f>
        <v>27</v>
      </c>
      <c r="F16" s="91" t="b">
        <f ca="1">D16=E16</f>
        <v>0</v>
      </c>
      <c r="G16" s="12">
        <v>27</v>
      </c>
      <c r="H16" s="12"/>
      <c r="I16" s="12"/>
    </row>
    <row r="17" spans="2:9">
      <c r="B17" s="92">
        <v>36557</v>
      </c>
      <c r="C17" s="92">
        <v>36586</v>
      </c>
      <c r="D17" s="12">
        <f ca="1">_xll.mirGetTerm(B17,C17,$C$10,FALSE)*365</f>
        <v>28</v>
      </c>
      <c r="E17" s="12">
        <f ca="1">_xll.meDateYearFraction(B17,C17,$C$10,FALSE)*365</f>
        <v>28</v>
      </c>
      <c r="F17" s="12" t="b">
        <f ca="1">D17=E17</f>
        <v>1</v>
      </c>
      <c r="G17" s="12">
        <v>28</v>
      </c>
      <c r="H17" s="12"/>
      <c r="I17" s="12"/>
    </row>
    <row r="18" spans="2:9">
      <c r="B18" s="92">
        <v>42843</v>
      </c>
      <c r="C18" s="92">
        <v>44275</v>
      </c>
      <c r="D18" s="12">
        <f ca="1">_xll.mirGetTerm(B18,C18,$C$10,FALSE)*365</f>
        <v>1432</v>
      </c>
      <c r="E18" s="12">
        <f ca="1">_xll.meDateYearFraction(B18,C18,$C$10,FALSE)*365</f>
        <v>1431</v>
      </c>
      <c r="F18" s="91" t="b">
        <f ca="1">D18=E18</f>
        <v>0</v>
      </c>
      <c r="G18" s="12">
        <v>1431</v>
      </c>
      <c r="H18" s="12"/>
      <c r="I18" s="12"/>
    </row>
    <row r="19" spans="2:9">
      <c r="B19" s="92">
        <v>36585</v>
      </c>
      <c r="C19" s="92">
        <v>36586</v>
      </c>
      <c r="D19" s="12">
        <f ca="1">_xll.mirGetTerm(B19,C19,$C$10,FALSE)*365</f>
        <v>0</v>
      </c>
      <c r="E19" s="12">
        <f ca="1">_xll.meDateYearFraction(B19,C19,$C$10,FALSE)*365</f>
        <v>0</v>
      </c>
      <c r="F19" s="93" t="b">
        <f ca="1">D19=E19</f>
        <v>1</v>
      </c>
      <c r="G19" s="12"/>
      <c r="H19" s="12"/>
      <c r="I19" s="12"/>
    </row>
  </sheetData>
  <dataValidations count="2">
    <dataValidation type="list" allowBlank="1" showInputMessage="1" showErrorMessage="1" sqref="C5">
      <formula1>"ACT/ACT, ACT/365,ACT/360, '30/360, 30E/360, ACT/365FJ,ACT/365_ISDA"</formula1>
    </dataValidation>
    <dataValidation type="list" allowBlank="1" showInputMessage="1" showErrorMessage="1" sqref="C6">
      <formula1>"TKB,NYB,TAR,LNB,SDB,ZUB,TRB,WEB,TKB:LNB,TKB:NYB,TKB:LNB:NYB,LNB:NYB"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23"/>
  <sheetViews>
    <sheetView showGridLines="0" workbookViewId="0"/>
  </sheetViews>
  <sheetFormatPr defaultRowHeight="15"/>
  <cols>
    <col min="1" max="1" width="2.5703125" style="50" customWidth="1"/>
    <col min="2" max="2" width="22" style="50" bestFit="1" customWidth="1"/>
    <col min="3" max="3" width="24.28515625" style="50" customWidth="1"/>
    <col min="4" max="4" width="27.7109375" style="50" bestFit="1" customWidth="1"/>
    <col min="5" max="5" width="27.7109375" style="50" customWidth="1"/>
    <col min="6" max="6" width="23.42578125" style="50" bestFit="1" customWidth="1"/>
    <col min="7" max="7" width="22.5703125" style="50" customWidth="1"/>
    <col min="8" max="8" width="21.5703125" style="50" customWidth="1"/>
    <col min="9" max="9" width="21.7109375" style="50" customWidth="1"/>
    <col min="10" max="10" width="22.5703125" style="50" customWidth="1"/>
    <col min="11" max="11" width="9.140625" style="50"/>
    <col min="12" max="12" width="11" style="50" bestFit="1" customWidth="1"/>
    <col min="13" max="16384" width="9.140625" style="50"/>
  </cols>
  <sheetData>
    <row r="2" spans="2:5">
      <c r="B2" s="75" t="s">
        <v>84</v>
      </c>
      <c r="C2" s="72" t="s">
        <v>69</v>
      </c>
      <c r="D2" s="72" t="s">
        <v>67</v>
      </c>
      <c r="E2" s="72" t="s">
        <v>68</v>
      </c>
    </row>
    <row r="3" spans="2:5">
      <c r="B3" s="73">
        <v>42468</v>
      </c>
      <c r="C3" s="73">
        <f>_xll.meDateECB(B3,FALSE)</f>
        <v>42481</v>
      </c>
      <c r="D3" s="73">
        <f>_xll.meDateECBSwapStart(B3)</f>
        <v>42487</v>
      </c>
      <c r="E3" s="73">
        <f>_xll.meDateECBSwapEnd(B3)</f>
        <v>42528</v>
      </c>
    </row>
    <row r="4" spans="2:5">
      <c r="B4" s="73">
        <f>B3+1</f>
        <v>42469</v>
      </c>
      <c r="C4" s="73">
        <f>_xll.meDateECB(B4,FALSE)</f>
        <v>42481</v>
      </c>
      <c r="D4" s="73">
        <f>_xll.meDateECBSwapStart(B4)</f>
        <v>42487</v>
      </c>
      <c r="E4" s="73">
        <f>_xll.meDateECBSwapEnd(B4)</f>
        <v>42528</v>
      </c>
    </row>
    <row r="5" spans="2:5">
      <c r="B5" s="73">
        <f t="shared" ref="B5:B23" si="0">B4+1</f>
        <v>42470</v>
      </c>
      <c r="C5" s="73">
        <f>_xll.meDateECB(B5,FALSE)</f>
        <v>42481</v>
      </c>
      <c r="D5" s="73">
        <f>_xll.meDateECBSwapStart(B5)</f>
        <v>42487</v>
      </c>
      <c r="E5" s="73">
        <f>_xll.meDateECBSwapEnd(B5)</f>
        <v>42528</v>
      </c>
    </row>
    <row r="6" spans="2:5">
      <c r="B6" s="73">
        <f t="shared" si="0"/>
        <v>42471</v>
      </c>
      <c r="C6" s="73">
        <f>_xll.meDateECB(B6,FALSE)</f>
        <v>42481</v>
      </c>
      <c r="D6" s="73">
        <f>_xll.meDateECBSwapStart(B6)</f>
        <v>42487</v>
      </c>
      <c r="E6" s="73">
        <f>_xll.meDateECBSwapEnd(B6)</f>
        <v>42528</v>
      </c>
    </row>
    <row r="7" spans="2:5">
      <c r="B7" s="73">
        <f t="shared" si="0"/>
        <v>42472</v>
      </c>
      <c r="C7" s="73">
        <f>_xll.meDateECB(B7,FALSE)</f>
        <v>42481</v>
      </c>
      <c r="D7" s="73">
        <f>_xll.meDateECBSwapStart(B7)</f>
        <v>42487</v>
      </c>
      <c r="E7" s="73">
        <f>_xll.meDateECBSwapEnd(B7)</f>
        <v>42528</v>
      </c>
    </row>
    <row r="8" spans="2:5">
      <c r="B8" s="73">
        <f t="shared" si="0"/>
        <v>42473</v>
      </c>
      <c r="C8" s="73">
        <f>_xll.meDateECB(B8,FALSE)</f>
        <v>42481</v>
      </c>
      <c r="D8" s="73">
        <f>_xll.meDateECBSwapStart(B8)</f>
        <v>42487</v>
      </c>
      <c r="E8" s="73">
        <f>_xll.meDateECBSwapEnd(B8)</f>
        <v>42528</v>
      </c>
    </row>
    <row r="9" spans="2:5">
      <c r="B9" s="73">
        <f t="shared" si="0"/>
        <v>42474</v>
      </c>
      <c r="C9" s="73">
        <f>_xll.meDateECB(B9,FALSE)</f>
        <v>42481</v>
      </c>
      <c r="D9" s="73">
        <f>_xll.meDateECBSwapStart(B9)</f>
        <v>42487</v>
      </c>
      <c r="E9" s="73">
        <f>_xll.meDateECBSwapEnd(B9)</f>
        <v>42528</v>
      </c>
    </row>
    <row r="10" spans="2:5">
      <c r="B10" s="73">
        <f t="shared" si="0"/>
        <v>42475</v>
      </c>
      <c r="C10" s="73">
        <f>_xll.meDateECB(B10,FALSE)</f>
        <v>42481</v>
      </c>
      <c r="D10" s="73">
        <f>_xll.meDateECBSwapStart(B10)</f>
        <v>42487</v>
      </c>
      <c r="E10" s="73">
        <f>_xll.meDateECBSwapEnd(B10)</f>
        <v>42528</v>
      </c>
    </row>
    <row r="11" spans="2:5">
      <c r="B11" s="73">
        <f t="shared" si="0"/>
        <v>42476</v>
      </c>
      <c r="C11" s="73">
        <f>_xll.meDateECB(B11,FALSE)</f>
        <v>42481</v>
      </c>
      <c r="D11" s="73">
        <f>_xll.meDateECBSwapStart(B11)</f>
        <v>42487</v>
      </c>
      <c r="E11" s="73">
        <f>_xll.meDateECBSwapEnd(B11)</f>
        <v>42528</v>
      </c>
    </row>
    <row r="12" spans="2:5">
      <c r="B12" s="73">
        <f t="shared" si="0"/>
        <v>42477</v>
      </c>
      <c r="C12" s="73">
        <f>_xll.meDateECB(B12,FALSE)</f>
        <v>42481</v>
      </c>
      <c r="D12" s="73">
        <f>_xll.meDateECBSwapStart(B12)</f>
        <v>42487</v>
      </c>
      <c r="E12" s="73">
        <f>_xll.meDateECBSwapEnd(B12)</f>
        <v>42528</v>
      </c>
    </row>
    <row r="13" spans="2:5">
      <c r="B13" s="73">
        <f t="shared" si="0"/>
        <v>42478</v>
      </c>
      <c r="C13" s="73">
        <f>_xll.meDateECB(B13,FALSE)</f>
        <v>42481</v>
      </c>
      <c r="D13" s="73">
        <f>_xll.meDateECBSwapStart(B13)</f>
        <v>42487</v>
      </c>
      <c r="E13" s="73">
        <f>_xll.meDateECBSwapEnd(B13)</f>
        <v>42528</v>
      </c>
    </row>
    <row r="14" spans="2:5">
      <c r="B14" s="73">
        <f t="shared" si="0"/>
        <v>42479</v>
      </c>
      <c r="C14" s="73">
        <f>_xll.meDateECB(B14,FALSE)</f>
        <v>42481</v>
      </c>
      <c r="D14" s="73">
        <f>_xll.meDateECBSwapStart(B14)</f>
        <v>42487</v>
      </c>
      <c r="E14" s="73">
        <f>_xll.meDateECBSwapEnd(B14)</f>
        <v>42528</v>
      </c>
    </row>
    <row r="15" spans="2:5">
      <c r="B15" s="73">
        <f t="shared" si="0"/>
        <v>42480</v>
      </c>
      <c r="C15" s="73">
        <f>_xll.meDateECB(B15,FALSE)</f>
        <v>42481</v>
      </c>
      <c r="D15" s="73">
        <f>_xll.meDateECBSwapStart(B15)</f>
        <v>42487</v>
      </c>
      <c r="E15" s="73">
        <f>_xll.meDateECBSwapEnd(B15)</f>
        <v>42528</v>
      </c>
    </row>
    <row r="16" spans="2:5">
      <c r="B16" s="73">
        <f t="shared" si="0"/>
        <v>42481</v>
      </c>
      <c r="C16" s="73">
        <f>_xll.meDateECB(B16,FALSE)</f>
        <v>42481</v>
      </c>
      <c r="D16" s="73">
        <f>_xll.meDateECBSwapStart(B16)</f>
        <v>42487</v>
      </c>
      <c r="E16" s="73">
        <f>_xll.meDateECBSwapEnd(B16)</f>
        <v>42528</v>
      </c>
    </row>
    <row r="17" spans="2:5">
      <c r="B17" s="73">
        <f t="shared" si="0"/>
        <v>42482</v>
      </c>
      <c r="C17" s="73">
        <f>_xll.meDateECB(B17,FALSE)</f>
        <v>42523</v>
      </c>
      <c r="D17" s="73">
        <f>_xll.meDateECBSwapStart(B17)</f>
        <v>42529</v>
      </c>
      <c r="E17" s="73">
        <f>_xll.meDateECBSwapEnd(B17)</f>
        <v>42577</v>
      </c>
    </row>
    <row r="18" spans="2:5">
      <c r="B18" s="73">
        <f t="shared" si="0"/>
        <v>42483</v>
      </c>
      <c r="C18" s="73">
        <f>_xll.meDateECB(B18,FALSE)</f>
        <v>42523</v>
      </c>
      <c r="D18" s="73">
        <f>_xll.meDateECBSwapStart(B18)</f>
        <v>42529</v>
      </c>
      <c r="E18" s="73">
        <f>_xll.meDateECBSwapEnd(B18)</f>
        <v>42577</v>
      </c>
    </row>
    <row r="19" spans="2:5">
      <c r="B19" s="73">
        <f t="shared" si="0"/>
        <v>42484</v>
      </c>
      <c r="C19" s="73">
        <f>_xll.meDateECB(B19,FALSE)</f>
        <v>42523</v>
      </c>
      <c r="D19" s="73">
        <f>_xll.meDateECBSwapStart(B19)</f>
        <v>42529</v>
      </c>
      <c r="E19" s="73">
        <f>_xll.meDateECBSwapEnd(B19)</f>
        <v>42577</v>
      </c>
    </row>
    <row r="20" spans="2:5">
      <c r="B20" s="73">
        <f t="shared" si="0"/>
        <v>42485</v>
      </c>
      <c r="C20" s="73">
        <f>_xll.meDateECB(B20,FALSE)</f>
        <v>42523</v>
      </c>
      <c r="D20" s="73">
        <f>_xll.meDateECBSwapStart(B20)</f>
        <v>42529</v>
      </c>
      <c r="E20" s="73">
        <f>_xll.meDateECBSwapEnd(B20)</f>
        <v>42577</v>
      </c>
    </row>
    <row r="21" spans="2:5">
      <c r="B21" s="73">
        <f t="shared" si="0"/>
        <v>42486</v>
      </c>
      <c r="C21" s="73">
        <f>_xll.meDateECB(B21,FALSE)</f>
        <v>42523</v>
      </c>
      <c r="D21" s="73">
        <f>_xll.meDateECBSwapStart(B21)</f>
        <v>42529</v>
      </c>
      <c r="E21" s="73">
        <f>_xll.meDateECBSwapEnd(B21)</f>
        <v>42577</v>
      </c>
    </row>
    <row r="22" spans="2:5">
      <c r="B22" s="73">
        <f t="shared" si="0"/>
        <v>42487</v>
      </c>
      <c r="C22" s="73">
        <f>_xll.meDateECB(B22,FALSE)</f>
        <v>42523</v>
      </c>
      <c r="D22" s="73">
        <f>_xll.meDateECBSwapStart(B22)</f>
        <v>42529</v>
      </c>
      <c r="E22" s="73">
        <f>_xll.meDateECBSwapEnd(B22)</f>
        <v>42577</v>
      </c>
    </row>
    <row r="23" spans="2:5">
      <c r="B23" s="74">
        <f t="shared" si="0"/>
        <v>42488</v>
      </c>
      <c r="C23" s="74">
        <f>_xll.meDateECB(B23,FALSE)</f>
        <v>42523</v>
      </c>
      <c r="D23" s="74">
        <f>_xll.meDateECBSwapStart(B23)</f>
        <v>42529</v>
      </c>
      <c r="E23" s="74">
        <f>_xll.meDateECBSwapEnd(B23)</f>
        <v>42577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C27"/>
  <sheetViews>
    <sheetView showGridLines="0" workbookViewId="0"/>
  </sheetViews>
  <sheetFormatPr defaultRowHeight="15"/>
  <cols>
    <col min="1" max="1" width="2.5703125" style="51" customWidth="1"/>
    <col min="2" max="2" width="22" style="51" bestFit="1" customWidth="1"/>
    <col min="3" max="3" width="20.7109375" style="51" customWidth="1"/>
    <col min="4" max="4" width="24.28515625" style="51" customWidth="1"/>
    <col min="5" max="5" width="23.42578125" style="51" bestFit="1" customWidth="1"/>
    <col min="6" max="6" width="13.85546875" style="51" customWidth="1"/>
    <col min="7" max="7" width="21.5703125" style="51" customWidth="1"/>
    <col min="8" max="8" width="21.7109375" style="51" customWidth="1"/>
    <col min="9" max="9" width="22.5703125" style="51" customWidth="1"/>
    <col min="10" max="10" width="9.140625" style="51"/>
    <col min="11" max="11" width="11" style="51" bestFit="1" customWidth="1"/>
    <col min="12" max="16384" width="9.140625" style="51"/>
  </cols>
  <sheetData>
    <row r="3" spans="2:3">
      <c r="B3" s="71" t="s">
        <v>70</v>
      </c>
      <c r="C3" s="76" t="s">
        <v>71</v>
      </c>
    </row>
    <row r="4" spans="2:3">
      <c r="B4" s="77" t="s">
        <v>85</v>
      </c>
      <c r="C4" s="78" t="b">
        <v>1</v>
      </c>
    </row>
    <row r="6" spans="2:3">
      <c r="B6" s="81" t="s">
        <v>84</v>
      </c>
      <c r="C6" s="82" t="s">
        <v>72</v>
      </c>
    </row>
    <row r="7" spans="2:3">
      <c r="B7" s="79">
        <v>42468</v>
      </c>
      <c r="C7" s="79">
        <f>_xll.meDateCentralBank($C$3,B7,$C$4)</f>
        <v>42481</v>
      </c>
    </row>
    <row r="8" spans="2:3">
      <c r="B8" s="79">
        <f>B7+1</f>
        <v>42469</v>
      </c>
      <c r="C8" s="79">
        <f>_xll.meDateCentralBank($C$3,B8,$C$4)</f>
        <v>42481</v>
      </c>
    </row>
    <row r="9" spans="2:3">
      <c r="B9" s="79">
        <f t="shared" ref="B9:B27" si="0">B8+1</f>
        <v>42470</v>
      </c>
      <c r="C9" s="79">
        <f>_xll.meDateCentralBank($C$3,B9,$C$4)</f>
        <v>42481</v>
      </c>
    </row>
    <row r="10" spans="2:3">
      <c r="B10" s="79">
        <f t="shared" si="0"/>
        <v>42471</v>
      </c>
      <c r="C10" s="79">
        <f>_xll.meDateCentralBank($C$3,B10,$C$4)</f>
        <v>42481</v>
      </c>
    </row>
    <row r="11" spans="2:3">
      <c r="B11" s="79">
        <f t="shared" si="0"/>
        <v>42472</v>
      </c>
      <c r="C11" s="79">
        <f>_xll.meDateCentralBank($C$3,B11,$C$4)</f>
        <v>42481</v>
      </c>
    </row>
    <row r="12" spans="2:3">
      <c r="B12" s="79">
        <f t="shared" si="0"/>
        <v>42473</v>
      </c>
      <c r="C12" s="79">
        <f>_xll.meDateCentralBank($C$3,B12,$C$4)</f>
        <v>42481</v>
      </c>
    </row>
    <row r="13" spans="2:3">
      <c r="B13" s="79">
        <f t="shared" si="0"/>
        <v>42474</v>
      </c>
      <c r="C13" s="79">
        <f>_xll.meDateCentralBank($C$3,B13,$C$4)</f>
        <v>42481</v>
      </c>
    </row>
    <row r="14" spans="2:3">
      <c r="B14" s="79">
        <f t="shared" si="0"/>
        <v>42475</v>
      </c>
      <c r="C14" s="79">
        <f>_xll.meDateCentralBank($C$3,B14,$C$4)</f>
        <v>42481</v>
      </c>
    </row>
    <row r="15" spans="2:3">
      <c r="B15" s="79">
        <f t="shared" si="0"/>
        <v>42476</v>
      </c>
      <c r="C15" s="79">
        <f>_xll.meDateCentralBank($C$3,B15,$C$4)</f>
        <v>42481</v>
      </c>
    </row>
    <row r="16" spans="2:3">
      <c r="B16" s="79">
        <f t="shared" si="0"/>
        <v>42477</v>
      </c>
      <c r="C16" s="79">
        <f>_xll.meDateCentralBank($C$3,B16,$C$4)</f>
        <v>42481</v>
      </c>
    </row>
    <row r="17" spans="2:3">
      <c r="B17" s="79">
        <f t="shared" si="0"/>
        <v>42478</v>
      </c>
      <c r="C17" s="79">
        <f>_xll.meDateCentralBank($C$3,B17,$C$4)</f>
        <v>42481</v>
      </c>
    </row>
    <row r="18" spans="2:3">
      <c r="B18" s="79">
        <f t="shared" si="0"/>
        <v>42479</v>
      </c>
      <c r="C18" s="79">
        <f>_xll.meDateCentralBank($C$3,B18,$C$4)</f>
        <v>42481</v>
      </c>
    </row>
    <row r="19" spans="2:3">
      <c r="B19" s="79">
        <f t="shared" si="0"/>
        <v>42480</v>
      </c>
      <c r="C19" s="79">
        <f>_xll.meDateCentralBank($C$3,B19,$C$4)</f>
        <v>42481</v>
      </c>
    </row>
    <row r="20" spans="2:3">
      <c r="B20" s="79">
        <f t="shared" si="0"/>
        <v>42481</v>
      </c>
      <c r="C20" s="79">
        <f>_xll.meDateCentralBank($C$3,B20,$C$4)</f>
        <v>42523</v>
      </c>
    </row>
    <row r="21" spans="2:3">
      <c r="B21" s="79">
        <f t="shared" si="0"/>
        <v>42482</v>
      </c>
      <c r="C21" s="79">
        <f>_xll.meDateCentralBank($C$3,B21,$C$4)</f>
        <v>42523</v>
      </c>
    </row>
    <row r="22" spans="2:3">
      <c r="B22" s="79">
        <f t="shared" si="0"/>
        <v>42483</v>
      </c>
      <c r="C22" s="79">
        <f>_xll.meDateCentralBank($C$3,B22,$C$4)</f>
        <v>42523</v>
      </c>
    </row>
    <row r="23" spans="2:3">
      <c r="B23" s="79">
        <f t="shared" si="0"/>
        <v>42484</v>
      </c>
      <c r="C23" s="79">
        <f>_xll.meDateCentralBank($C$3,B23,$C$4)</f>
        <v>42523</v>
      </c>
    </row>
    <row r="24" spans="2:3">
      <c r="B24" s="79">
        <f t="shared" si="0"/>
        <v>42485</v>
      </c>
      <c r="C24" s="79">
        <f>_xll.meDateCentralBank($C$3,B24,$C$4)</f>
        <v>42523</v>
      </c>
    </row>
    <row r="25" spans="2:3">
      <c r="B25" s="79">
        <f t="shared" si="0"/>
        <v>42486</v>
      </c>
      <c r="C25" s="79">
        <f>_xll.meDateCentralBank($C$3,B25,$C$4)</f>
        <v>42523</v>
      </c>
    </row>
    <row r="26" spans="2:3">
      <c r="B26" s="79">
        <f t="shared" si="0"/>
        <v>42487</v>
      </c>
      <c r="C26" s="79">
        <f>_xll.meDateCentralBank($C$3,B26,$C$4)</f>
        <v>42523</v>
      </c>
    </row>
    <row r="27" spans="2:3">
      <c r="B27" s="80">
        <f t="shared" si="0"/>
        <v>42488</v>
      </c>
      <c r="C27" s="80">
        <f>_xll.meDateCentralBank($C$3,B27,$C$4)</f>
        <v>42523</v>
      </c>
    </row>
  </sheetData>
  <dataValidations count="2">
    <dataValidation type="list" allowBlank="1" showInputMessage="1" showErrorMessage="1" sqref="C3">
      <formula1>"ECB,BOE,FED"</formula1>
    </dataValidation>
    <dataValidation type="list" allowBlank="1" showInputMessage="1" showErrorMessage="1" sqref="C4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20"/>
  <sheetViews>
    <sheetView showGridLines="0" workbookViewId="0"/>
  </sheetViews>
  <sheetFormatPr defaultRowHeight="15"/>
  <cols>
    <col min="1" max="1" width="2.5703125" style="51" customWidth="1"/>
    <col min="2" max="2" width="32.42578125" style="51" customWidth="1"/>
    <col min="3" max="3" width="23.28515625" style="51" customWidth="1"/>
    <col min="4" max="4" width="24.28515625" style="51" customWidth="1"/>
    <col min="5" max="5" width="23.42578125" style="51" bestFit="1" customWidth="1"/>
    <col min="6" max="6" width="13.85546875" style="51" customWidth="1"/>
    <col min="7" max="7" width="21.5703125" style="51" customWidth="1"/>
    <col min="8" max="8" width="21.7109375" style="51" customWidth="1"/>
    <col min="9" max="9" width="22.5703125" style="51" customWidth="1"/>
    <col min="10" max="10" width="9.140625" style="51"/>
    <col min="11" max="11" width="11" style="51" bestFit="1" customWidth="1"/>
    <col min="12" max="16384" width="9.140625" style="51"/>
  </cols>
  <sheetData>
    <row r="2" spans="2:3">
      <c r="B2" s="88" t="s">
        <v>75</v>
      </c>
      <c r="C2" s="89">
        <f>_xll.meDateIMMFromMonth(C3,C4,C5,C6)</f>
        <v>42445</v>
      </c>
    </row>
    <row r="3" spans="2:3">
      <c r="B3" s="71" t="s">
        <v>73</v>
      </c>
      <c r="C3" s="76">
        <v>2016</v>
      </c>
    </row>
    <row r="4" spans="2:3">
      <c r="B4" s="83" t="s">
        <v>74</v>
      </c>
      <c r="C4" s="84">
        <v>3</v>
      </c>
    </row>
    <row r="5" spans="2:3">
      <c r="B5" s="85" t="s">
        <v>56</v>
      </c>
      <c r="C5" s="86" t="s">
        <v>4</v>
      </c>
    </row>
    <row r="6" spans="2:3">
      <c r="B6" s="77" t="s">
        <v>57</v>
      </c>
      <c r="C6" s="78" t="s">
        <v>11</v>
      </c>
    </row>
    <row r="9" spans="2:3">
      <c r="B9" s="52" t="s">
        <v>77</v>
      </c>
      <c r="C9" s="89">
        <f>_xll.meDateNthIMM(C10,C11,C12,C13)</f>
        <v>42445</v>
      </c>
    </row>
    <row r="10" spans="2:3">
      <c r="B10" s="71" t="s">
        <v>73</v>
      </c>
      <c r="C10" s="76">
        <v>2016</v>
      </c>
    </row>
    <row r="11" spans="2:3">
      <c r="B11" s="83" t="s">
        <v>76</v>
      </c>
      <c r="C11" s="84">
        <v>1</v>
      </c>
    </row>
    <row r="12" spans="2:3">
      <c r="B12" s="85" t="s">
        <v>56</v>
      </c>
      <c r="C12" s="86" t="s">
        <v>4</v>
      </c>
    </row>
    <row r="13" spans="2:3">
      <c r="B13" s="77" t="s">
        <v>57</v>
      </c>
      <c r="C13" s="78" t="s">
        <v>11</v>
      </c>
    </row>
    <row r="16" spans="2:3">
      <c r="B16" s="52" t="s">
        <v>78</v>
      </c>
      <c r="C16" s="89">
        <f>_xll.meDateNthIMMFromStartDate(C17,C18,C19,C20)</f>
        <v>42445</v>
      </c>
    </row>
    <row r="17" spans="2:3">
      <c r="B17" s="71" t="s">
        <v>15</v>
      </c>
      <c r="C17" s="87">
        <v>42370</v>
      </c>
    </row>
    <row r="18" spans="2:3">
      <c r="B18" s="83" t="s">
        <v>76</v>
      </c>
      <c r="C18" s="84">
        <v>1</v>
      </c>
    </row>
    <row r="19" spans="2:3">
      <c r="B19" s="85" t="s">
        <v>56</v>
      </c>
      <c r="C19" s="86" t="s">
        <v>4</v>
      </c>
    </row>
    <row r="20" spans="2:3">
      <c r="B20" s="77" t="s">
        <v>57</v>
      </c>
      <c r="C20" s="78" t="s">
        <v>11</v>
      </c>
    </row>
  </sheetData>
  <dataValidations count="2">
    <dataValidation type="list" allowBlank="1" showInputMessage="1" showErrorMessage="1" sqref="C5 C12 C19">
      <formula1>"TKB,NYB,TAR,LNB,SDB,ZUB,TRB,WEB,TKB:LNB,TKB:NYB,TKB:LNB:NYB,LNB:NYB"</formula1>
    </dataValidation>
    <dataValidation type="list" allowBlank="1" showInputMessage="1" showErrorMessage="1" sqref="C6 C13 C20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meDateBusinessDays</vt:lpstr>
      <vt:lpstr>meDateFromTenor</vt:lpstr>
      <vt:lpstr>meDateFromYearFraction</vt:lpstr>
      <vt:lpstr>meDateYearFraction</vt:lpstr>
      <vt:lpstr>meDateECB functions</vt:lpstr>
      <vt:lpstr>meDateCentralBank</vt:lpstr>
      <vt:lpstr>meDateIMM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2017-04-20T10:57:02Z</dcterms:modified>
</cp:coreProperties>
</file>