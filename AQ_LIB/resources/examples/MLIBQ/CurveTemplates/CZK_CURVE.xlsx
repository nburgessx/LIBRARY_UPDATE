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X:\Secure\DIR_MLib_Analytics\Examples\CurveTemplates\"/>
    </mc:Choice>
  </mc:AlternateContent>
  <bookViews>
    <workbookView xWindow="0" yWindow="0" windowWidth="20490" windowHeight="7095" activeTab="2"/>
  </bookViews>
  <sheets>
    <sheet name="TEMPLATES" sheetId="4" r:id="rId1"/>
    <sheet name="CZK_CURVES" sheetId="1" r:id="rId2"/>
    <sheet name="CZK SWAPS" sheetId="3" r:id="rId3"/>
  </sheets>
  <definedNames>
    <definedName name="COB">CZK_CURVES!$H$34</definedName>
    <definedName name="ExistsCZK12M">CZK_CURVES!$AI$48</definedName>
    <definedName name="ExistsCZK1M">CZK_CURVES!$AR$48</definedName>
    <definedName name="ExistsCZK3M">CZK_CURVES!$Z$48</definedName>
    <definedName name="ExistsCZK6M">CZK_CURVES!$Q$62</definedName>
    <definedName name="ExistsCZKOIS">CZK_CURVES!$H$52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M15" i="1"/>
  <c r="M8" i="1"/>
  <c r="V62" i="1"/>
  <c r="V8" i="1"/>
  <c r="AE8" i="1"/>
  <c r="AN8" i="1"/>
  <c r="Z30" i="1"/>
  <c r="AI30" i="1"/>
  <c r="AR30" i="1"/>
  <c r="Z34" i="1"/>
  <c r="AI34" i="1"/>
  <c r="AR34" i="1"/>
  <c r="H37" i="1"/>
  <c r="H38" i="1"/>
  <c r="Z38" i="1"/>
  <c r="AI38" i="1"/>
  <c r="AR38" i="1"/>
  <c r="H41" i="1"/>
  <c r="H42" i="1"/>
  <c r="Q43" i="1"/>
  <c r="H47" i="1" a="1"/>
  <c r="H47" i="1"/>
  <c r="H52" i="1"/>
  <c r="Q52" i="1"/>
  <c r="Q44" i="1"/>
  <c r="Q48" i="1"/>
  <c r="Q57" i="1" a="1"/>
  <c r="Q57" i="1"/>
  <c r="Q62" i="1"/>
  <c r="Z43" i="1" a="1"/>
  <c r="Z43" i="1"/>
  <c r="Z48" i="1"/>
  <c r="AI43" i="1" a="1"/>
  <c r="AI43" i="1"/>
  <c r="AR43" i="1" a="1"/>
  <c r="AR43" i="1"/>
  <c r="Z44" i="1"/>
  <c r="AI44" i="1"/>
  <c r="AR44" i="1"/>
  <c r="Z45" i="1"/>
  <c r="AI45" i="1"/>
  <c r="AR45" i="1"/>
  <c r="Z46" i="1"/>
  <c r="AI46" i="1"/>
  <c r="AR46" i="1"/>
  <c r="H48" i="1"/>
  <c r="AI48" i="1"/>
  <c r="AR48" i="1"/>
  <c r="H49" i="1"/>
  <c r="H50" i="1"/>
  <c r="Q58" i="1"/>
  <c r="Q59" i="1"/>
  <c r="Q60" i="1"/>
  <c r="G3" i="4"/>
  <c r="H14" i="3" l="1"/>
  <c r="R89" i="3"/>
  <c r="S89" i="3"/>
  <c r="R90" i="3"/>
  <c r="S90" i="3"/>
  <c r="R91" i="3"/>
  <c r="S91" i="3"/>
  <c r="R92" i="3"/>
  <c r="S92" i="3"/>
  <c r="R93" i="3"/>
  <c r="S93" i="3"/>
  <c r="R94" i="3"/>
  <c r="S94" i="3"/>
  <c r="R95" i="3"/>
  <c r="S95" i="3"/>
  <c r="R96" i="3"/>
  <c r="S96" i="3"/>
  <c r="R97" i="3"/>
  <c r="S97" i="3"/>
  <c r="R98" i="3"/>
  <c r="S98" i="3"/>
  <c r="R99" i="3"/>
  <c r="S99" i="3"/>
  <c r="R100" i="3"/>
  <c r="S100" i="3"/>
  <c r="R101" i="3"/>
  <c r="S101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C3" i="4"/>
  <c r="R71" i="3" l="1"/>
  <c r="S71" i="3"/>
  <c r="R72" i="3"/>
  <c r="S72" i="3"/>
  <c r="R73" i="3"/>
  <c r="S73" i="3"/>
  <c r="R74" i="3"/>
  <c r="S74" i="3"/>
  <c r="R75" i="3"/>
  <c r="S75" i="3"/>
  <c r="R76" i="3"/>
  <c r="S76" i="3"/>
  <c r="R77" i="3"/>
  <c r="S77" i="3"/>
  <c r="R78" i="3"/>
  <c r="S78" i="3"/>
  <c r="R79" i="3"/>
  <c r="S79" i="3"/>
  <c r="R80" i="3"/>
  <c r="S80" i="3"/>
  <c r="R81" i="3"/>
  <c r="S81" i="3"/>
  <c r="R82" i="3"/>
  <c r="S82" i="3"/>
  <c r="R83" i="3"/>
  <c r="S83" i="3"/>
  <c r="G83" i="3"/>
  <c r="G82" i="3"/>
  <c r="G71" i="3"/>
  <c r="G72" i="3"/>
  <c r="G73" i="3"/>
  <c r="G74" i="3"/>
  <c r="G75" i="3"/>
  <c r="G76" i="3"/>
  <c r="G77" i="3"/>
  <c r="G78" i="3"/>
  <c r="G79" i="3"/>
  <c r="G80" i="3"/>
  <c r="G81" i="3"/>
  <c r="B76" i="3"/>
  <c r="B74" i="3"/>
  <c r="B78" i="3"/>
  <c r="D76" i="3"/>
  <c r="N76" i="3" s="1"/>
  <c r="B92" i="3"/>
  <c r="B83" i="3"/>
  <c r="B95" i="3"/>
  <c r="B97" i="3"/>
  <c r="B82" i="3"/>
  <c r="B73" i="3"/>
  <c r="D92" i="3"/>
  <c r="N92" i="3" s="1"/>
  <c r="B99" i="3"/>
  <c r="D78" i="3"/>
  <c r="N78" i="3" s="1"/>
  <c r="B90" i="3"/>
  <c r="B81" i="3"/>
  <c r="B93" i="3"/>
  <c r="B101" i="3"/>
  <c r="B94" i="3"/>
  <c r="B89" i="3"/>
  <c r="B80" i="3"/>
  <c r="B79" i="3"/>
  <c r="B96" i="3"/>
  <c r="B71" i="3"/>
  <c r="B91" i="3"/>
  <c r="B72" i="3"/>
  <c r="B75" i="3"/>
  <c r="D73" i="3"/>
  <c r="N73" i="3" s="1"/>
  <c r="B98" i="3"/>
  <c r="B100" i="3"/>
  <c r="B77" i="3"/>
  <c r="D95" i="3"/>
  <c r="N95" i="3" s="1"/>
  <c r="D71" i="3"/>
  <c r="N71" i="3" s="1"/>
  <c r="W3" i="4"/>
  <c r="S3" i="4"/>
  <c r="D90" i="3"/>
  <c r="N90" i="3" s="1"/>
  <c r="D101" i="3"/>
  <c r="N101" i="3" s="1"/>
  <c r="D98" i="3"/>
  <c r="N98" i="3" s="1"/>
  <c r="D100" i="3"/>
  <c r="N100" i="3" s="1"/>
  <c r="H93" i="3" l="1"/>
  <c r="H101" i="3"/>
  <c r="H94" i="3"/>
  <c r="H95" i="3"/>
  <c r="H89" i="3"/>
  <c r="H90" i="3"/>
  <c r="H98" i="3"/>
  <c r="H99" i="3"/>
  <c r="H96" i="3"/>
  <c r="H97" i="3"/>
  <c r="H91" i="3"/>
  <c r="H92" i="3"/>
  <c r="H100" i="3"/>
  <c r="H83" i="3"/>
  <c r="H81" i="3"/>
  <c r="H82" i="3"/>
  <c r="H72" i="3"/>
  <c r="H80" i="3"/>
  <c r="H71" i="3"/>
  <c r="H73" i="3"/>
  <c r="H74" i="3"/>
  <c r="H78" i="3"/>
  <c r="H75" i="3"/>
  <c r="H79" i="3"/>
  <c r="H76" i="3"/>
  <c r="H77" i="3"/>
  <c r="R53" i="3"/>
  <c r="S53" i="3"/>
  <c r="R54" i="3"/>
  <c r="S54" i="3"/>
  <c r="R55" i="3"/>
  <c r="S55" i="3"/>
  <c r="R56" i="3"/>
  <c r="S56" i="3"/>
  <c r="R57" i="3"/>
  <c r="S57" i="3"/>
  <c r="R58" i="3"/>
  <c r="S58" i="3"/>
  <c r="R59" i="3"/>
  <c r="S59" i="3"/>
  <c r="R60" i="3"/>
  <c r="S60" i="3"/>
  <c r="R61" i="3"/>
  <c r="S61" i="3"/>
  <c r="R62" i="3"/>
  <c r="S62" i="3"/>
  <c r="R63" i="3"/>
  <c r="S63" i="3"/>
  <c r="R64" i="3"/>
  <c r="S64" i="3"/>
  <c r="R65" i="3"/>
  <c r="S65" i="3"/>
  <c r="G63" i="3"/>
  <c r="G64" i="3"/>
  <c r="G65" i="3"/>
  <c r="G53" i="3"/>
  <c r="G54" i="3"/>
  <c r="G55" i="3"/>
  <c r="G56" i="3"/>
  <c r="G57" i="3"/>
  <c r="G58" i="3"/>
  <c r="G59" i="3"/>
  <c r="G60" i="3"/>
  <c r="G61" i="3"/>
  <c r="G62" i="3"/>
  <c r="R36" i="3"/>
  <c r="S36" i="3"/>
  <c r="R37" i="3"/>
  <c r="S37" i="3"/>
  <c r="R38" i="3"/>
  <c r="S38" i="3"/>
  <c r="R39" i="3"/>
  <c r="S39" i="3"/>
  <c r="R40" i="3"/>
  <c r="S40" i="3"/>
  <c r="R41" i="3"/>
  <c r="S41" i="3"/>
  <c r="R42" i="3"/>
  <c r="S42" i="3"/>
  <c r="R43" i="3"/>
  <c r="S43" i="3"/>
  <c r="R44" i="3"/>
  <c r="S44" i="3"/>
  <c r="R45" i="3"/>
  <c r="S45" i="3"/>
  <c r="R46" i="3"/>
  <c r="S46" i="3"/>
  <c r="R47" i="3"/>
  <c r="S47" i="3"/>
  <c r="G46" i="3"/>
  <c r="G47" i="3"/>
  <c r="G36" i="3"/>
  <c r="G37" i="3"/>
  <c r="G38" i="3"/>
  <c r="G39" i="3"/>
  <c r="G40" i="3"/>
  <c r="G41" i="3"/>
  <c r="G42" i="3"/>
  <c r="G43" i="3"/>
  <c r="G44" i="3"/>
  <c r="G45" i="3"/>
  <c r="R6" i="3"/>
  <c r="S6" i="3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M7" i="3"/>
  <c r="M8" i="3" s="1"/>
  <c r="G30" i="3"/>
  <c r="G29" i="3"/>
  <c r="G28" i="3"/>
  <c r="G27" i="3"/>
  <c r="G26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D77" i="3"/>
  <c r="N77" i="3" s="1"/>
  <c r="D94" i="3"/>
  <c r="N94" i="3" s="1"/>
  <c r="B59" i="3"/>
  <c r="B57" i="3"/>
  <c r="B41" i="3"/>
  <c r="B6" i="3"/>
  <c r="B7" i="3"/>
  <c r="B40" i="3"/>
  <c r="B15" i="3"/>
  <c r="B29" i="3"/>
  <c r="D75" i="3"/>
  <c r="N75" i="3" s="1"/>
  <c r="D93" i="3"/>
  <c r="N93" i="3" s="1"/>
  <c r="B58" i="3"/>
  <c r="B36" i="3"/>
  <c r="B14" i="3"/>
  <c r="B19" i="3"/>
  <c r="B55" i="3"/>
  <c r="D72" i="3"/>
  <c r="N72" i="3" s="1"/>
  <c r="D81" i="3"/>
  <c r="N81" i="3" s="1"/>
  <c r="B65" i="3"/>
  <c r="D59" i="3"/>
  <c r="N59" i="3" s="1"/>
  <c r="B47" i="3"/>
  <c r="B39" i="3"/>
  <c r="B22" i="3"/>
  <c r="B23" i="3"/>
  <c r="D14" i="3"/>
  <c r="N14" i="3" s="1"/>
  <c r="B64" i="3"/>
  <c r="B27" i="3"/>
  <c r="B18" i="3"/>
  <c r="D6" i="3"/>
  <c r="N6" i="3" s="1"/>
  <c r="D91" i="3"/>
  <c r="N91" i="3" s="1"/>
  <c r="D99" i="3"/>
  <c r="N99" i="3" s="1"/>
  <c r="B62" i="3"/>
  <c r="B60" i="3"/>
  <c r="B46" i="3"/>
  <c r="B38" i="3"/>
  <c r="B30" i="3"/>
  <c r="B28" i="3"/>
  <c r="B9" i="3"/>
  <c r="B10" i="3"/>
  <c r="B37" i="3"/>
  <c r="B17" i="3"/>
  <c r="B21" i="3"/>
  <c r="D96" i="3"/>
  <c r="N96" i="3" s="1"/>
  <c r="D82" i="3"/>
  <c r="N82" i="3" s="1"/>
  <c r="B54" i="3"/>
  <c r="B45" i="3"/>
  <c r="D30" i="3"/>
  <c r="N30" i="3" s="1"/>
  <c r="B42" i="3"/>
  <c r="D79" i="3"/>
  <c r="N79" i="3" s="1"/>
  <c r="D97" i="3"/>
  <c r="N97" i="3" s="1"/>
  <c r="B63" i="3"/>
  <c r="B44" i="3"/>
  <c r="D36" i="3"/>
  <c r="N36" i="3" s="1"/>
  <c r="B20" i="3"/>
  <c r="B8" i="3"/>
  <c r="B25" i="3"/>
  <c r="B26" i="3"/>
  <c r="D74" i="3"/>
  <c r="N74" i="3" s="1"/>
  <c r="D65" i="3"/>
  <c r="N65" i="3" s="1"/>
  <c r="D8" i="3"/>
  <c r="N8" i="3" s="1"/>
  <c r="D80" i="3"/>
  <c r="N80" i="3" s="1"/>
  <c r="D83" i="3"/>
  <c r="N83" i="3" s="1"/>
  <c r="B61" i="3"/>
  <c r="B56" i="3"/>
  <c r="D58" i="3"/>
  <c r="N58" i="3" s="1"/>
  <c r="B43" i="3"/>
  <c r="B12" i="3"/>
  <c r="D22" i="3"/>
  <c r="N22" i="3" s="1"/>
  <c r="B16" i="3"/>
  <c r="B11" i="3"/>
  <c r="B13" i="3"/>
  <c r="D89" i="3"/>
  <c r="N89" i="3" s="1"/>
  <c r="B53" i="3"/>
  <c r="B24" i="3"/>
  <c r="K3" i="4"/>
  <c r="O3" i="4"/>
  <c r="D19" i="3"/>
  <c r="N19" i="3" s="1"/>
  <c r="D64" i="3"/>
  <c r="N64" i="3" s="1"/>
  <c r="D27" i="3"/>
  <c r="N27" i="3" s="1"/>
  <c r="D61" i="3"/>
  <c r="N61" i="3" s="1"/>
  <c r="D12" i="3"/>
  <c r="N12" i="3" s="1"/>
  <c r="D11" i="3"/>
  <c r="N11" i="3" s="1"/>
  <c r="D53" i="3"/>
  <c r="N53" i="3" s="1"/>
  <c r="H12" i="3" l="1"/>
  <c r="H13" i="3"/>
  <c r="H6" i="3"/>
  <c r="H10" i="3"/>
  <c r="H7" i="3"/>
  <c r="H8" i="3"/>
  <c r="H9" i="3"/>
  <c r="H11" i="3"/>
  <c r="H18" i="3"/>
  <c r="H26" i="3"/>
  <c r="H19" i="3"/>
  <c r="H27" i="3"/>
  <c r="H20" i="3"/>
  <c r="H28" i="3"/>
  <c r="H22" i="3"/>
  <c r="H15" i="3"/>
  <c r="H16" i="3"/>
  <c r="H24" i="3"/>
  <c r="H17" i="3"/>
  <c r="H21" i="3"/>
  <c r="H29" i="3"/>
  <c r="H30" i="3"/>
  <c r="H23" i="3"/>
  <c r="H25" i="3"/>
  <c r="H61" i="3"/>
  <c r="H54" i="3"/>
  <c r="H62" i="3"/>
  <c r="H55" i="3"/>
  <c r="H63" i="3"/>
  <c r="H56" i="3"/>
  <c r="H64" i="3"/>
  <c r="H60" i="3"/>
  <c r="H53" i="3"/>
  <c r="H57" i="3"/>
  <c r="H65" i="3"/>
  <c r="H58" i="3"/>
  <c r="H59" i="3"/>
  <c r="H43" i="3"/>
  <c r="H36" i="3"/>
  <c r="H44" i="3"/>
  <c r="H37" i="3"/>
  <c r="H45" i="3"/>
  <c r="H38" i="3"/>
  <c r="H46" i="3"/>
  <c r="H39" i="3"/>
  <c r="H47" i="3"/>
  <c r="H40" i="3"/>
  <c r="H41" i="3"/>
  <c r="H42" i="3"/>
  <c r="M9" i="3"/>
  <c r="D24" i="3"/>
  <c r="N24" i="3" s="1"/>
  <c r="D44" i="3"/>
  <c r="N44" i="3" s="1"/>
  <c r="D10" i="3"/>
  <c r="N10" i="3" s="1"/>
  <c r="D23" i="3"/>
  <c r="N23" i="3" s="1"/>
  <c r="D41" i="3"/>
  <c r="N41" i="3" s="1"/>
  <c r="D13" i="3"/>
  <c r="N13" i="3" s="1"/>
  <c r="D63" i="3"/>
  <c r="N63" i="3" s="1"/>
  <c r="D9" i="3"/>
  <c r="N9" i="3" s="1"/>
  <c r="D39" i="3"/>
  <c r="N39" i="3" s="1"/>
  <c r="D57" i="3"/>
  <c r="N57" i="3" s="1"/>
  <c r="D16" i="3"/>
  <c r="N16" i="3" s="1"/>
  <c r="D42" i="3"/>
  <c r="N42" i="3" s="1"/>
  <c r="D28" i="3"/>
  <c r="N28" i="3" s="1"/>
  <c r="D47" i="3"/>
  <c r="N47" i="3" s="1"/>
  <c r="D43" i="3"/>
  <c r="N43" i="3" s="1"/>
  <c r="D45" i="3"/>
  <c r="N45" i="3" s="1"/>
  <c r="D38" i="3"/>
  <c r="N38" i="3" s="1"/>
  <c r="D55" i="3"/>
  <c r="N55" i="3" s="1"/>
  <c r="D56" i="3"/>
  <c r="N56" i="3" s="1"/>
  <c r="D54" i="3"/>
  <c r="N54" i="3" s="1"/>
  <c r="D46" i="3"/>
  <c r="N46" i="3" s="1"/>
  <c r="D29" i="3"/>
  <c r="N29" i="3" s="1"/>
  <c r="D26" i="3"/>
  <c r="N26" i="3" s="1"/>
  <c r="D21" i="3"/>
  <c r="N21" i="3" s="1"/>
  <c r="D60" i="3"/>
  <c r="N60" i="3" s="1"/>
  <c r="D15" i="3"/>
  <c r="N15" i="3" s="1"/>
  <c r="D25" i="3"/>
  <c r="N25" i="3" s="1"/>
  <c r="D17" i="3"/>
  <c r="N17" i="3" s="1"/>
  <c r="D62" i="3"/>
  <c r="N62" i="3" s="1"/>
  <c r="D40" i="3"/>
  <c r="N40" i="3" s="1"/>
  <c r="D20" i="3"/>
  <c r="N20" i="3" s="1"/>
  <c r="D37" i="3"/>
  <c r="N37" i="3" s="1"/>
  <c r="D18" i="3"/>
  <c r="N18" i="3" s="1"/>
  <c r="D7" i="3"/>
  <c r="N7" i="3" s="1"/>
  <c r="P6" i="3"/>
  <c r="M10" i="3" l="1"/>
  <c r="P7" i="3"/>
  <c r="P8" i="3"/>
  <c r="P9" i="3"/>
  <c r="T6" i="3" l="1"/>
  <c r="T9" i="3"/>
  <c r="T8" i="3"/>
  <c r="T7" i="3"/>
  <c r="M11" i="3"/>
  <c r="P10" i="3"/>
  <c r="T10" i="3" l="1"/>
  <c r="M12" i="3"/>
  <c r="P11" i="3"/>
  <c r="T11" i="3" l="1"/>
  <c r="M13" i="3"/>
  <c r="P12" i="3"/>
  <c r="T12" i="3" l="1"/>
  <c r="M14" i="3"/>
  <c r="P13" i="3"/>
  <c r="T13" i="3" l="1"/>
  <c r="M15" i="3"/>
  <c r="P14" i="3"/>
  <c r="T14" i="3" l="1"/>
  <c r="M16" i="3"/>
  <c r="P15" i="3"/>
  <c r="T15" i="3" l="1"/>
  <c r="M17" i="3"/>
  <c r="P16" i="3"/>
  <c r="T16" i="3" l="1"/>
  <c r="M18" i="3"/>
  <c r="P17" i="3"/>
  <c r="T17" i="3" l="1"/>
  <c r="M19" i="3"/>
  <c r="P18" i="3"/>
  <c r="T18" i="3" l="1"/>
  <c r="M20" i="3"/>
  <c r="P19" i="3"/>
  <c r="T19" i="3" l="1"/>
  <c r="M21" i="3"/>
  <c r="P20" i="3"/>
  <c r="T20" i="3" l="1"/>
  <c r="M22" i="3"/>
  <c r="P21" i="3"/>
  <c r="T21" i="3" l="1"/>
  <c r="M23" i="3"/>
  <c r="P22" i="3"/>
  <c r="T22" i="3" l="1"/>
  <c r="M24" i="3"/>
  <c r="P23" i="3"/>
  <c r="T23" i="3" l="1"/>
  <c r="M25" i="3"/>
  <c r="P24" i="3"/>
  <c r="T24" i="3" l="1"/>
  <c r="M26" i="3"/>
  <c r="P25" i="3"/>
  <c r="T25" i="3" l="1"/>
  <c r="M27" i="3"/>
  <c r="P26" i="3"/>
  <c r="T26" i="3" l="1"/>
  <c r="M28" i="3"/>
  <c r="P27" i="3"/>
  <c r="T27" i="3" l="1"/>
  <c r="M29" i="3"/>
  <c r="P28" i="3"/>
  <c r="T28" i="3" l="1"/>
  <c r="M30" i="3"/>
  <c r="M36" i="3" s="1"/>
  <c r="P29" i="3"/>
  <c r="T29" i="3" l="1"/>
  <c r="M37" i="3"/>
  <c r="P30" i="3"/>
  <c r="P36" i="3"/>
  <c r="T36" i="3" l="1"/>
  <c r="T30" i="3"/>
  <c r="M38" i="3"/>
  <c r="P37" i="3"/>
  <c r="T37" i="3" l="1"/>
  <c r="M39" i="3"/>
  <c r="P38" i="3"/>
  <c r="T38" i="3" l="1"/>
  <c r="M40" i="3"/>
  <c r="P39" i="3"/>
  <c r="T39" i="3" l="1"/>
  <c r="M41" i="3"/>
  <c r="P40" i="3"/>
  <c r="T40" i="3" l="1"/>
  <c r="M42" i="3"/>
  <c r="P41" i="3"/>
  <c r="T41" i="3" l="1"/>
  <c r="M43" i="3"/>
  <c r="P42" i="3"/>
  <c r="T42" i="3" l="1"/>
  <c r="M44" i="3"/>
  <c r="P43" i="3"/>
  <c r="T43" i="3" l="1"/>
  <c r="M45" i="3"/>
  <c r="P44" i="3"/>
  <c r="T44" i="3" l="1"/>
  <c r="M46" i="3"/>
  <c r="P45" i="3"/>
  <c r="T45" i="3" l="1"/>
  <c r="M47" i="3"/>
  <c r="M53" i="3" s="1"/>
  <c r="P46" i="3"/>
  <c r="T46" i="3" l="1"/>
  <c r="M54" i="3"/>
  <c r="P47" i="3"/>
  <c r="T47" i="3" l="1"/>
  <c r="M55" i="3"/>
  <c r="P53" i="3"/>
  <c r="T53" i="3" l="1"/>
  <c r="M56" i="3"/>
  <c r="P54" i="3"/>
  <c r="T54" i="3" l="1"/>
  <c r="M57" i="3"/>
  <c r="P55" i="3"/>
  <c r="T55" i="3" l="1"/>
  <c r="M58" i="3"/>
  <c r="P56" i="3"/>
  <c r="T56" i="3" l="1"/>
  <c r="M59" i="3"/>
  <c r="P57" i="3"/>
  <c r="T57" i="3" l="1"/>
  <c r="M60" i="3"/>
  <c r="P58" i="3"/>
  <c r="T58" i="3" l="1"/>
  <c r="M61" i="3"/>
  <c r="P59" i="3"/>
  <c r="T59" i="3" l="1"/>
  <c r="M62" i="3"/>
  <c r="P60" i="3"/>
  <c r="T60" i="3" l="1"/>
  <c r="M63" i="3"/>
  <c r="P61" i="3"/>
  <c r="T61" i="3" l="1"/>
  <c r="M64" i="3"/>
  <c r="P62" i="3"/>
  <c r="T62" i="3" l="1"/>
  <c r="M65" i="3"/>
  <c r="M71" i="3" s="1"/>
  <c r="P63" i="3"/>
  <c r="T63" i="3" l="1"/>
  <c r="M72" i="3"/>
  <c r="P65" i="3"/>
  <c r="P64" i="3"/>
  <c r="T64" i="3" l="1"/>
  <c r="T65" i="3"/>
  <c r="M73" i="3"/>
  <c r="P71" i="3"/>
  <c r="P72" i="3"/>
  <c r="T72" i="3" l="1"/>
  <c r="T71" i="3"/>
  <c r="M74" i="3"/>
  <c r="P73" i="3"/>
  <c r="T73" i="3" l="1"/>
  <c r="M75" i="3"/>
  <c r="P74" i="3"/>
  <c r="T74" i="3" l="1"/>
  <c r="M76" i="3"/>
  <c r="P75" i="3"/>
  <c r="T75" i="3" l="1"/>
  <c r="M77" i="3"/>
  <c r="P76" i="3"/>
  <c r="T76" i="3" l="1"/>
  <c r="M78" i="3"/>
  <c r="P77" i="3"/>
  <c r="T77" i="3" l="1"/>
  <c r="M79" i="3"/>
  <c r="P78" i="3"/>
  <c r="T78" i="3" l="1"/>
  <c r="M80" i="3"/>
  <c r="M81" i="3" s="1"/>
  <c r="P79" i="3"/>
  <c r="T79" i="3" l="1"/>
  <c r="M82" i="3"/>
  <c r="P81" i="3"/>
  <c r="P80" i="3"/>
  <c r="T80" i="3" l="1"/>
  <c r="T81" i="3"/>
  <c r="M83" i="3"/>
  <c r="P82" i="3"/>
  <c r="T82" i="3" l="1"/>
  <c r="M89" i="3"/>
  <c r="P83" i="3"/>
  <c r="T83" i="3" l="1"/>
  <c r="M90" i="3"/>
  <c r="P89" i="3"/>
  <c r="T89" i="3" l="1"/>
  <c r="M91" i="3"/>
  <c r="P90" i="3"/>
  <c r="T90" i="3" l="1"/>
  <c r="M92" i="3"/>
  <c r="P91" i="3"/>
  <c r="T91" i="3" l="1"/>
  <c r="M93" i="3"/>
  <c r="P92" i="3"/>
  <c r="T92" i="3" l="1"/>
  <c r="M94" i="3"/>
  <c r="P93" i="3"/>
  <c r="T93" i="3" l="1"/>
  <c r="M95" i="3"/>
  <c r="P94" i="3"/>
  <c r="T94" i="3" l="1"/>
  <c r="M96" i="3"/>
  <c r="P95" i="3"/>
  <c r="T95" i="3" l="1"/>
  <c r="M97" i="3"/>
  <c r="P96" i="3"/>
  <c r="T96" i="3" l="1"/>
  <c r="M98" i="3"/>
  <c r="P97" i="3"/>
  <c r="T97" i="3" l="1"/>
  <c r="M99" i="3"/>
  <c r="P98" i="3"/>
  <c r="T98" i="3" l="1"/>
  <c r="M100" i="3"/>
  <c r="P99" i="3"/>
  <c r="T99" i="3" l="1"/>
  <c r="M101" i="3"/>
  <c r="P100" i="3"/>
  <c r="T100" i="3" l="1"/>
  <c r="P101" i="3"/>
  <c r="T101" i="3" l="1"/>
</calcChain>
</file>

<file path=xl/sharedStrings.xml><?xml version="1.0" encoding="utf-8"?>
<sst xmlns="http://schemas.openxmlformats.org/spreadsheetml/2006/main" count="1761" uniqueCount="286">
  <si>
    <t>CZK</t>
  </si>
  <si>
    <t>CREATE CURVE GENERATOR</t>
  </si>
  <si>
    <t>OIS CURVE</t>
  </si>
  <si>
    <t>SWAP CURVE</t>
  </si>
  <si>
    <t>TENOR BASIS CURVE</t>
  </si>
  <si>
    <t>Enable: CreateCurveGenerator</t>
  </si>
  <si>
    <t>Term</t>
  </si>
  <si>
    <t>Rate</t>
  </si>
  <si>
    <t>Use</t>
  </si>
  <si>
    <t>Spread</t>
  </si>
  <si>
    <t>Generator Name</t>
  </si>
  <si>
    <t>ON</t>
  </si>
  <si>
    <t>1Y</t>
  </si>
  <si>
    <t>Create Curve Generator</t>
  </si>
  <si>
    <t xml:space="preserve"> </t>
  </si>
  <si>
    <t>1W</t>
  </si>
  <si>
    <t>1M</t>
  </si>
  <si>
    <t>2Y</t>
  </si>
  <si>
    <t>2W</t>
  </si>
  <si>
    <t>3M</t>
  </si>
  <si>
    <t>3Y</t>
  </si>
  <si>
    <t>6M</t>
  </si>
  <si>
    <t>4Y</t>
  </si>
  <si>
    <t>CURVEPROPERTIES</t>
  </si>
  <si>
    <t>2M</t>
  </si>
  <si>
    <t/>
  </si>
  <si>
    <t>1x7</t>
  </si>
  <si>
    <t>5Y</t>
  </si>
  <si>
    <t>CurveType</t>
  </si>
  <si>
    <t>OIS</t>
  </si>
  <si>
    <t>SWAP</t>
  </si>
  <si>
    <t>2x8</t>
  </si>
  <si>
    <t>Currency</t>
  </si>
  <si>
    <t>6Y</t>
  </si>
  <si>
    <t>CurveIndexFrequency</t>
  </si>
  <si>
    <t>3x9</t>
  </si>
  <si>
    <t>TENORBASIS</t>
  </si>
  <si>
    <t>7Y</t>
  </si>
  <si>
    <t>QUARTERLY</t>
  </si>
  <si>
    <t>DfCurveName</t>
  </si>
  <si>
    <t>DAILY</t>
  </si>
  <si>
    <t>StaticDataTable</t>
  </si>
  <si>
    <t>9M</t>
  </si>
  <si>
    <t>STD</t>
  </si>
  <si>
    <t>4x10</t>
  </si>
  <si>
    <t>ANNUAL</t>
  </si>
  <si>
    <t>8Y</t>
  </si>
  <si>
    <t>MONTHLY</t>
  </si>
  <si>
    <t>IndexName</t>
  </si>
  <si>
    <t>5x11</t>
  </si>
  <si>
    <t>3M6MBasis</t>
  </si>
  <si>
    <t>3M12MBasis</t>
  </si>
  <si>
    <t>9Y</t>
  </si>
  <si>
    <t>1M3MBasis</t>
  </si>
  <si>
    <t>Interpolation</t>
  </si>
  <si>
    <t>3M6MBasis:PRB3M</t>
  </si>
  <si>
    <t>10Y</t>
  </si>
  <si>
    <t>1M3MBasis:PRB1M</t>
  </si>
  <si>
    <t>interpolation</t>
  </si>
  <si>
    <t>FN_SPLINEINTERPOLATION</t>
  </si>
  <si>
    <t>SPLINE</t>
  </si>
  <si>
    <t>12Y</t>
  </si>
  <si>
    <t>12M</t>
  </si>
  <si>
    <t>yieldgen.interpolation</t>
  </si>
  <si>
    <t>15Y</t>
  </si>
  <si>
    <t>future.interpolation</t>
  </si>
  <si>
    <t>basis.interpolation</t>
  </si>
  <si>
    <t>20Y</t>
  </si>
  <si>
    <t>isfrause</t>
  </si>
  <si>
    <t>TRUE</t>
  </si>
  <si>
    <t>isFwdBasis</t>
  </si>
  <si>
    <t>FALSE</t>
  </si>
  <si>
    <t>25Y</t>
  </si>
  <si>
    <t>Calendar</t>
  </si>
  <si>
    <t>dfCurveName</t>
  </si>
  <si>
    <t>isfutureuse</t>
  </si>
  <si>
    <t>isFRAUse</t>
  </si>
  <si>
    <t>30Y</t>
  </si>
  <si>
    <t>ResetLag</t>
  </si>
  <si>
    <t>Frequency</t>
  </si>
  <si>
    <t>SIMPLE</t>
  </si>
  <si>
    <t>40Y</t>
  </si>
  <si>
    <t>SlidingRule</t>
  </si>
  <si>
    <t>MOD_FOLLOWING</t>
  </si>
  <si>
    <t>calendar</t>
  </si>
  <si>
    <t>AlwaysCalcJoinDate</t>
  </si>
  <si>
    <t>50Y</t>
  </si>
  <si>
    <t>iseomroll</t>
  </si>
  <si>
    <t>daycount</t>
  </si>
  <si>
    <t>FastRebuild</t>
  </si>
  <si>
    <t>MONEYMARKET</t>
  </si>
  <si>
    <t>eomday</t>
  </si>
  <si>
    <t>frequency</t>
  </si>
  <si>
    <t>generatemethod</t>
  </si>
  <si>
    <t>DAILYCOMPOUNDING</t>
  </si>
  <si>
    <t>IsSwapTenorAdjust</t>
  </si>
  <si>
    <t>BASISSWAPS</t>
  </si>
  <si>
    <t>resetlag</t>
  </si>
  <si>
    <t>TenorSwapName</t>
  </si>
  <si>
    <t>slidingrule</t>
  </si>
  <si>
    <t>FOLLOWING</t>
  </si>
  <si>
    <t>MarketName</t>
  </si>
  <si>
    <t>firstrate</t>
  </si>
  <si>
    <t>SHORTMARKET</t>
  </si>
  <si>
    <t>IsLeg1Spread</t>
  </si>
  <si>
    <t>LIBORFIXINGS</t>
  </si>
  <si>
    <t>Leg1cashlet.calendar</t>
  </si>
  <si>
    <t>Leg1cashlet.daycount</t>
  </si>
  <si>
    <t>ACT/360</t>
  </si>
  <si>
    <t>Leg1cashlet.frequency</t>
  </si>
  <si>
    <t>Target</t>
  </si>
  <si>
    <t>shorttermconvention</t>
  </si>
  <si>
    <t>ARITHMETICAVERAGE</t>
  </si>
  <si>
    <t>simple</t>
  </si>
  <si>
    <t>Leg1cashlet.slidingrule</t>
  </si>
  <si>
    <t>longterm.generatemethod</t>
  </si>
  <si>
    <t>NONE</t>
  </si>
  <si>
    <t>Leg1cashlet.spotlag</t>
  </si>
  <si>
    <t>Epsilon</t>
  </si>
  <si>
    <t>Leg1forecast</t>
  </si>
  <si>
    <t>&lt;-- Initial Guess</t>
  </si>
  <si>
    <t>Leg1discount</t>
  </si>
  <si>
    <t>MaxLoop</t>
  </si>
  <si>
    <t>CompoundingMethod</t>
  </si>
  <si>
    <t>ARITHMETIC</t>
  </si>
  <si>
    <t>FRAS</t>
  </si>
  <si>
    <t>Leg1index.accessary</t>
  </si>
  <si>
    <t>SmoothShortEnd</t>
  </si>
  <si>
    <t>MarketDataProperties</t>
  </si>
  <si>
    <t>Leg1index.payment.calendar</t>
  </si>
  <si>
    <t>Leg1index.daycount</t>
  </si>
  <si>
    <t>DayCount</t>
  </si>
  <si>
    <t>Leg1index.resetlag</t>
  </si>
  <si>
    <t>Leg1index.fixing.calendar</t>
  </si>
  <si>
    <t>2d</t>
  </si>
  <si>
    <t>Leg1index.slidingrule</t>
  </si>
  <si>
    <t>Leg1index.frequency</t>
  </si>
  <si>
    <t>Leg2cashlet.calendar</t>
  </si>
  <si>
    <t>AsOfDate</t>
  </si>
  <si>
    <t>Leg2cashlet.daycount</t>
  </si>
  <si>
    <t>Leg2cashlet.frequency</t>
  </si>
  <si>
    <t>Create Market Data Handle</t>
  </si>
  <si>
    <t>Leg2cashlet.frequencycompound</t>
  </si>
  <si>
    <t>Handle Name</t>
  </si>
  <si>
    <t>0d</t>
  </si>
  <si>
    <t>Leg2cashlet.slidingrule</t>
  </si>
  <si>
    <t>Market Data Handle</t>
  </si>
  <si>
    <t>Leg2cashlet.spotlag</t>
  </si>
  <si>
    <t>Leg2forecast</t>
  </si>
  <si>
    <t>PRB3M</t>
  </si>
  <si>
    <t>SWAPS</t>
  </si>
  <si>
    <t>Curve Dictionary</t>
  </si>
  <si>
    <t>SEMI-ANNUAL</t>
  </si>
  <si>
    <t>Leg2discount</t>
  </si>
  <si>
    <t>Leg2index.accessary</t>
  </si>
  <si>
    <t>Curve Generator</t>
  </si>
  <si>
    <t>Leg2index.daycount</t>
  </si>
  <si>
    <t>Domestic Curve Collection</t>
  </si>
  <si>
    <t>DayCountFix</t>
  </si>
  <si>
    <t>PRB6M</t>
  </si>
  <si>
    <t>Leg2index.fixing.calendar</t>
  </si>
  <si>
    <t>CZKYC</t>
  </si>
  <si>
    <t>Foreign Curve Collection</t>
  </si>
  <si>
    <t>DayCountFloat</t>
  </si>
  <si>
    <t>Leg2index.frequency</t>
  </si>
  <si>
    <t>Leg2index.payment.calendar</t>
  </si>
  <si>
    <t>Curve Build</t>
  </si>
  <si>
    <t>FrequencyFix.1y</t>
  </si>
  <si>
    <t>Leg2index.resetlag</t>
  </si>
  <si>
    <t>FrequencyFloat</t>
  </si>
  <si>
    <t>Leg2index.slidingrule</t>
  </si>
  <si>
    <t>Curve Collection</t>
  </si>
  <si>
    <t>FrequencyFloat.1Y</t>
  </si>
  <si>
    <t>Leg1Forecast</t>
  </si>
  <si>
    <t>Curve Index</t>
  </si>
  <si>
    <t>isSimultaneousEq</t>
  </si>
  <si>
    <t>Time Taken</t>
  </si>
  <si>
    <t>fwdinterpolation</t>
  </si>
  <si>
    <t>IsEomRoll</t>
  </si>
  <si>
    <t>isSameGridIndex</t>
  </si>
  <si>
    <t>EomDay</t>
  </si>
  <si>
    <t>SpotRateTerm</t>
  </si>
  <si>
    <t>IsNewtonraphson</t>
  </si>
  <si>
    <t>isYieldSpreadCalc</t>
  </si>
  <si>
    <t>issimultaneouseq</t>
  </si>
  <si>
    <t>Resetlag</t>
  </si>
  <si>
    <t>isFwdInter</t>
  </si>
  <si>
    <t>IsEOMRoll</t>
  </si>
  <si>
    <t>BaseFrequencyFloat</t>
  </si>
  <si>
    <t>Semi-Annual</t>
  </si>
  <si>
    <t>Leg2Forecast</t>
  </si>
  <si>
    <t>1x4</t>
  </si>
  <si>
    <t>2x5</t>
  </si>
  <si>
    <t>3x6</t>
  </si>
  <si>
    <t>6x9</t>
  </si>
  <si>
    <t>PRB</t>
  </si>
  <si>
    <t>2D</t>
  </si>
  <si>
    <t>CZK_SWAP_6M_CURVE</t>
  </si>
  <si>
    <t>OIS:CZKOIS</t>
  </si>
  <si>
    <t>MARKET DATA</t>
  </si>
  <si>
    <t>Trade Dates</t>
  </si>
  <si>
    <t>Trade Booking &amp; Pricing</t>
  </si>
  <si>
    <t>Curve Calibration Check</t>
  </si>
  <si>
    <t>Unadjusted Date !</t>
  </si>
  <si>
    <t>Swap Template</t>
  </si>
  <si>
    <t>EffectiveDate</t>
  </si>
  <si>
    <t>MaturityDate</t>
  </si>
  <si>
    <t>Maturity</t>
  </si>
  <si>
    <t>Generator</t>
  </si>
  <si>
    <t>PayRec</t>
  </si>
  <si>
    <t>Notional</t>
  </si>
  <si>
    <t>FixedRate</t>
  </si>
  <si>
    <t>CreateSwap</t>
  </si>
  <si>
    <t>CurveCollection</t>
  </si>
  <si>
    <t>ParRate</t>
  </si>
  <si>
    <t>+/- Bps</t>
  </si>
  <si>
    <t>0D</t>
  </si>
  <si>
    <t>PAY</t>
  </si>
  <si>
    <t>NATURAL</t>
  </si>
  <si>
    <t>NORMAL</t>
  </si>
  <si>
    <t>Leg2:Float</t>
  </si>
  <si>
    <t>Leg1:Float</t>
  </si>
  <si>
    <t>LEGTYPE</t>
  </si>
  <si>
    <t>Leg1:Fixed</t>
  </si>
  <si>
    <t>LEVERAGE</t>
  </si>
  <si>
    <t>FORECASTCURVE</t>
  </si>
  <si>
    <t>COMPOUNDMETHOD</t>
  </si>
  <si>
    <t>GEOMETRIC</t>
  </si>
  <si>
    <t>NOTIONALEXCHANGE</t>
  </si>
  <si>
    <t>DISCOUNTCURVE</t>
  </si>
  <si>
    <t>VALUATIONCURRENCY</t>
  </si>
  <si>
    <t>CURRENCY</t>
  </si>
  <si>
    <t>ACCRUALFREQUENCY</t>
  </si>
  <si>
    <t>ACCRUALBUSINESSDAYADJUSTMENT</t>
  </si>
  <si>
    <t>ACCRUALCALENDAR</t>
  </si>
  <si>
    <t>ACCRUALDAYCOUNT</t>
  </si>
  <si>
    <t>PAYMENTFREQUENCY</t>
  </si>
  <si>
    <t>PAYMENTBUSINESSDAYADJUSTMENT</t>
  </si>
  <si>
    <t>PAYMENTCALENDAR</t>
  </si>
  <si>
    <t>PAYMENTLAG</t>
  </si>
  <si>
    <t>FIRSTSTUBDATE</t>
  </si>
  <si>
    <t>LASTSTUBDATE</t>
  </si>
  <si>
    <t>ROLLDAY</t>
  </si>
  <si>
    <t>STUBTYPE</t>
  </si>
  <si>
    <t>FIXINGBUSINESSDAYADJUSTMENT</t>
  </si>
  <si>
    <t>FIXINGCALENDAR</t>
  </si>
  <si>
    <t>FIXINGLAG</t>
  </si>
  <si>
    <t>FIXINGADVANCEORARREAR</t>
  </si>
  <si>
    <t>FIRSTSTUBCURVEINDEX</t>
  </si>
  <si>
    <t>LASTSTUBCURVEINDEX</t>
  </si>
  <si>
    <t>HandleName</t>
  </si>
  <si>
    <t>CreateSwapGenerator</t>
  </si>
  <si>
    <t>CZKOIS</t>
  </si>
  <si>
    <t>SHORTSTART</t>
  </si>
  <si>
    <t>&lt;--- Fix</t>
  </si>
  <si>
    <t>CZK_6M_MKT</t>
  </si>
  <si>
    <t>CZK_BASIS_3M_CURVE</t>
  </si>
  <si>
    <t>Spread1</t>
  </si>
  <si>
    <t>Spread2</t>
  </si>
  <si>
    <t>SWAPS: CZK_OIS</t>
  </si>
  <si>
    <t>SWAPS: CZK_SWAP_6M</t>
  </si>
  <si>
    <t>SWAPS: CZK_BASIS_3M</t>
  </si>
  <si>
    <t>PRB1M</t>
  </si>
  <si>
    <t>PRB12M</t>
  </si>
  <si>
    <t>SWAPS: CZK_BASIS_1M</t>
  </si>
  <si>
    <t>SWAPS: CZK_BASIS_12M</t>
  </si>
  <si>
    <t>CZK_3M_MKT</t>
  </si>
  <si>
    <t>CZK_12M_MKT</t>
  </si>
  <si>
    <t>CZK_BASIS_12M_CURVE</t>
  </si>
  <si>
    <t>AGAINST:CZKOIS</t>
  </si>
  <si>
    <t>AGAINST:PRB3M</t>
  </si>
  <si>
    <t>CZK_1M_MKT</t>
  </si>
  <si>
    <t>CZK_BASIS_1M_CURVE</t>
  </si>
  <si>
    <t>3M12MBasis:PRB12M</t>
  </si>
  <si>
    <t>EM_CZK_OIS</t>
  </si>
  <si>
    <t>EM_CZK_SWAP_6M</t>
  </si>
  <si>
    <t>EM_CZK_BASIS_3M</t>
  </si>
  <si>
    <t>EM_CZK_BASIS_12M</t>
  </si>
  <si>
    <t>EM_CZK_BASIS_1M</t>
  </si>
  <si>
    <t>EM_CZK_OIS_UNDER_1Y</t>
  </si>
  <si>
    <t>EM_CZK_6M</t>
  </si>
  <si>
    <t>EM_CZK_3M</t>
  </si>
  <si>
    <t>EM_CZK_1M</t>
  </si>
  <si>
    <t>EM_CZK_12M</t>
  </si>
  <si>
    <t>EM_CZK_CURVE_OIS</t>
  </si>
  <si>
    <t>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</si>
</sst>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%"/>
    <numFmt numFmtId="165" formatCode="0.0000%"/>
    <numFmt numFmtId="166" formatCode="0.00000%"/>
    <numFmt numFmtId="167" formatCode="#,##0.0000"/>
    <numFmt numFmtId="168" formatCode="ddd\,\ d\-mmm\-yy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66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Fill="1" applyBorder="1"/>
    <xf numFmtId="164" fontId="0" fillId="0" borderId="0" xfId="0" applyNumberFormat="1"/>
    <xf numFmtId="0" fontId="2" fillId="0" borderId="0" xfId="0" applyFont="1" applyFill="1" applyBorder="1"/>
    <xf numFmtId="0" fontId="2" fillId="0" borderId="0" xfId="0" applyFont="1"/>
    <xf numFmtId="0" fontId="0" fillId="0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2" fillId="2" borderId="0" xfId="0" applyFont="1" applyFill="1" applyBorder="1"/>
    <xf numFmtId="0" fontId="5" fillId="2" borderId="0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0" xfId="0" applyFill="1" applyBorder="1"/>
    <xf numFmtId="0" fontId="5" fillId="2" borderId="0" xfId="0" applyFont="1" applyFill="1" applyBorder="1"/>
    <xf numFmtId="0" fontId="0" fillId="2" borderId="0" xfId="0" applyFill="1"/>
    <xf numFmtId="0" fontId="0" fillId="3" borderId="6" xfId="0" applyFill="1" applyBorder="1"/>
    <xf numFmtId="0" fontId="0" fillId="4" borderId="6" xfId="0" applyFont="1" applyFill="1" applyBorder="1" applyAlignment="1">
      <alignment horizontal="center" vertical="center"/>
    </xf>
    <xf numFmtId="0" fontId="0" fillId="3" borderId="8" xfId="0" applyFill="1" applyBorder="1"/>
    <xf numFmtId="0" fontId="0" fillId="4" borderId="8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0" fillId="3" borderId="10" xfId="0" applyFill="1" applyBorder="1"/>
    <xf numFmtId="0" fontId="4" fillId="2" borderId="10" xfId="0" applyFont="1" applyFill="1" applyBorder="1" applyAlignment="1">
      <alignment horizontal="center" vertical="center"/>
    </xf>
    <xf numFmtId="165" fontId="0" fillId="0" borderId="0" xfId="0" applyNumberFormat="1" applyFill="1" applyBorder="1"/>
    <xf numFmtId="14" fontId="0" fillId="0" borderId="0" xfId="0" applyNumberFormat="1"/>
    <xf numFmtId="0" fontId="1" fillId="2" borderId="0" xfId="0" applyFont="1" applyFill="1" applyBorder="1"/>
    <xf numFmtId="0" fontId="7" fillId="2" borderId="0" xfId="0" applyFont="1" applyFill="1" applyBorder="1"/>
    <xf numFmtId="0" fontId="7" fillId="0" borderId="6" xfId="0" applyFont="1" applyFill="1" applyBorder="1"/>
    <xf numFmtId="15" fontId="7" fillId="0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8" xfId="0" applyFont="1" applyFill="1" applyBorder="1"/>
    <xf numFmtId="15" fontId="7" fillId="0" borderId="8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/>
    </xf>
    <xf numFmtId="0" fontId="8" fillId="0" borderId="8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/>
    </xf>
    <xf numFmtId="165" fontId="2" fillId="0" borderId="0" xfId="0" applyNumberFormat="1" applyFont="1" applyFill="1" applyBorder="1"/>
    <xf numFmtId="0" fontId="7" fillId="0" borderId="10" xfId="0" applyFont="1" applyFill="1" applyBorder="1"/>
    <xf numFmtId="0" fontId="5" fillId="0" borderId="10" xfId="0" applyFont="1" applyFill="1" applyBorder="1" applyAlignment="1">
      <alignment vertical="center"/>
    </xf>
    <xf numFmtId="0" fontId="8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8" fillId="0" borderId="6" xfId="0" applyFont="1" applyFill="1" applyBorder="1" applyAlignment="1">
      <alignment horizontal="center" vertical="center"/>
    </xf>
    <xf numFmtId="11" fontId="0" fillId="0" borderId="8" xfId="0" applyNumberFormat="1" applyFill="1" applyBorder="1" applyAlignment="1">
      <alignment horizontal="center" vertical="center"/>
    </xf>
    <xf numFmtId="0" fontId="6" fillId="2" borderId="5" xfId="0" applyFont="1" applyFill="1" applyBorder="1"/>
    <xf numFmtId="0" fontId="3" fillId="6" borderId="6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10" fontId="7" fillId="0" borderId="8" xfId="0" applyNumberFormat="1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1" fontId="8" fillId="0" borderId="8" xfId="0" applyNumberFormat="1" applyFont="1" applyFill="1" applyBorder="1" applyAlignment="1">
      <alignment horizontal="center" vertical="center"/>
    </xf>
    <xf numFmtId="11" fontId="7" fillId="0" borderId="10" xfId="0" applyNumberFormat="1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4" fontId="0" fillId="0" borderId="0" xfId="0" applyNumberFormat="1"/>
    <xf numFmtId="0" fontId="0" fillId="2" borderId="9" xfId="0" applyFill="1" applyBorder="1"/>
    <xf numFmtId="0" fontId="0" fillId="2" borderId="7" xfId="0" applyFill="1" applyBorder="1"/>
    <xf numFmtId="0" fontId="0" fillId="2" borderId="11" xfId="0" applyFill="1" applyBorder="1"/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left" vertical="center"/>
    </xf>
    <xf numFmtId="0" fontId="8" fillId="0" borderId="0" xfId="0" applyFont="1" applyAlignment="1">
      <alignment horizontal="left" vertical="center"/>
    </xf>
    <xf numFmtId="165" fontId="0" fillId="2" borderId="0" xfId="0" applyNumberForma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65" fontId="0" fillId="2" borderId="0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65" fontId="0" fillId="2" borderId="18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11" fillId="0" borderId="0" xfId="0" applyFont="1"/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5" fontId="0" fillId="0" borderId="0" xfId="0" applyNumberFormat="1"/>
    <xf numFmtId="0" fontId="0" fillId="0" borderId="0" xfId="0" quotePrefix="1" applyAlignment="1">
      <alignment horizontal="center" vertical="center"/>
    </xf>
    <xf numFmtId="0" fontId="8" fillId="0" borderId="0" xfId="0" applyFont="1"/>
    <xf numFmtId="168" fontId="12" fillId="4" borderId="2" xfId="0" applyNumberFormat="1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3" fontId="0" fillId="4" borderId="2" xfId="0" applyNumberFormat="1" applyFill="1" applyBorder="1" applyAlignment="1">
      <alignment horizontal="center" vertical="center"/>
    </xf>
    <xf numFmtId="166" fontId="0" fillId="4" borderId="2" xfId="0" applyNumberFormat="1" applyFill="1" applyBorder="1" applyAlignment="1">
      <alignment horizontal="center" vertical="center"/>
    </xf>
    <xf numFmtId="167" fontId="0" fillId="4" borderId="3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167" fontId="4" fillId="2" borderId="3" xfId="0" applyNumberFormat="1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3" fontId="0" fillId="4" borderId="0" xfId="0" applyNumberFormat="1" applyFill="1" applyBorder="1" applyAlignment="1">
      <alignment horizontal="center" vertical="center"/>
    </xf>
    <xf numFmtId="166" fontId="0" fillId="4" borderId="0" xfId="0" applyNumberFormat="1" applyFill="1" applyBorder="1" applyAlignment="1">
      <alignment horizontal="center" vertical="center"/>
    </xf>
    <xf numFmtId="167" fontId="0" fillId="4" borderId="5" xfId="0" applyNumberForma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165" fontId="4" fillId="2" borderId="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horizontal="center" vertical="center"/>
    </xf>
    <xf numFmtId="167" fontId="4" fillId="2" borderId="5" xfId="0" applyNumberFormat="1" applyFont="1" applyFill="1" applyBorder="1" applyAlignment="1">
      <alignment horizontal="center"/>
    </xf>
    <xf numFmtId="0" fontId="12" fillId="7" borderId="22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166" fontId="0" fillId="4" borderId="7" xfId="0" applyNumberFormat="1" applyFill="1" applyBorder="1" applyAlignment="1">
      <alignment horizontal="center" vertical="center"/>
    </xf>
    <xf numFmtId="167" fontId="0" fillId="4" borderId="11" xfId="0" applyNumberForma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165" fontId="4" fillId="2" borderId="11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center" vertical="center"/>
    </xf>
    <xf numFmtId="167" fontId="4" fillId="2" borderId="11" xfId="0" applyNumberFormat="1" applyFont="1" applyFill="1" applyBorder="1" applyAlignment="1">
      <alignment horizontal="center"/>
    </xf>
    <xf numFmtId="0" fontId="0" fillId="0" borderId="0" xfId="0" applyBorder="1"/>
    <xf numFmtId="0" fontId="5" fillId="0" borderId="0" xfId="0" applyFont="1"/>
    <xf numFmtId="0" fontId="0" fillId="2" borderId="0" xfId="0" applyFill="1" applyAlignment="1">
      <alignment horizontal="center" vertical="center"/>
    </xf>
    <xf numFmtId="0" fontId="12" fillId="0" borderId="0" xfId="0" applyFont="1" applyBorder="1" applyAlignment="1">
      <alignment horizontal="center"/>
    </xf>
    <xf numFmtId="168" fontId="7" fillId="2" borderId="1" xfId="0" applyNumberFormat="1" applyFont="1" applyFill="1" applyBorder="1" applyAlignment="1">
      <alignment horizontal="center" vertical="center"/>
    </xf>
    <xf numFmtId="168" fontId="7" fillId="2" borderId="2" xfId="0" applyNumberFormat="1" applyFont="1" applyFill="1" applyBorder="1" applyAlignment="1">
      <alignment horizontal="center" vertical="center"/>
    </xf>
    <xf numFmtId="168" fontId="7" fillId="2" borderId="3" xfId="0" applyNumberFormat="1" applyFont="1" applyFill="1" applyBorder="1" applyAlignment="1">
      <alignment horizontal="center" vertical="center"/>
    </xf>
    <xf numFmtId="168" fontId="7" fillId="2" borderId="4" xfId="0" applyNumberFormat="1" applyFont="1" applyFill="1" applyBorder="1" applyAlignment="1">
      <alignment horizontal="center" vertical="center"/>
    </xf>
    <xf numFmtId="168" fontId="7" fillId="2" borderId="0" xfId="0" applyNumberFormat="1" applyFont="1" applyFill="1" applyBorder="1" applyAlignment="1">
      <alignment horizontal="center" vertical="center"/>
    </xf>
    <xf numFmtId="168" fontId="7" fillId="2" borderId="5" xfId="0" applyNumberFormat="1" applyFont="1" applyFill="1" applyBorder="1" applyAlignment="1">
      <alignment horizontal="center" vertical="center"/>
    </xf>
    <xf numFmtId="168" fontId="7" fillId="2" borderId="9" xfId="0" applyNumberFormat="1" applyFont="1" applyFill="1" applyBorder="1" applyAlignment="1">
      <alignment horizontal="center" vertical="center"/>
    </xf>
    <xf numFmtId="168" fontId="7" fillId="2" borderId="7" xfId="0" applyNumberFormat="1" applyFont="1" applyFill="1" applyBorder="1" applyAlignment="1">
      <alignment horizontal="center" vertical="center"/>
    </xf>
    <xf numFmtId="168" fontId="7" fillId="2" borderId="11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168" fontId="7" fillId="4" borderId="1" xfId="0" quotePrefix="1" applyNumberFormat="1" applyFont="1" applyFill="1" applyBorder="1" applyAlignment="1">
      <alignment horizontal="center" vertical="center"/>
    </xf>
    <xf numFmtId="168" fontId="7" fillId="4" borderId="2" xfId="0" applyNumberFormat="1" applyFont="1" applyFill="1" applyBorder="1" applyAlignment="1">
      <alignment horizontal="center" vertical="center"/>
    </xf>
    <xf numFmtId="168" fontId="7" fillId="4" borderId="4" xfId="0" quotePrefix="1" applyNumberFormat="1" applyFont="1" applyFill="1" applyBorder="1" applyAlignment="1">
      <alignment horizontal="center" vertical="center"/>
    </xf>
    <xf numFmtId="168" fontId="7" fillId="4" borderId="0" xfId="0" applyNumberFormat="1" applyFont="1" applyFill="1" applyBorder="1" applyAlignment="1">
      <alignment horizontal="center" vertical="center"/>
    </xf>
    <xf numFmtId="168" fontId="7" fillId="4" borderId="9" xfId="0" quotePrefix="1" applyNumberFormat="1" applyFont="1" applyFill="1" applyBorder="1" applyAlignment="1">
      <alignment horizontal="center" vertical="center"/>
    </xf>
    <xf numFmtId="168" fontId="7" fillId="4" borderId="7" xfId="0" applyNumberFormat="1" applyFont="1" applyFill="1" applyBorder="1" applyAlignment="1">
      <alignment horizontal="center" vertical="center"/>
    </xf>
    <xf numFmtId="15" fontId="2" fillId="5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Fill="1" applyBorder="1" applyAlignment="1">
      <alignment vertical="center"/>
    </xf>
    <xf numFmtId="15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7" fontId="13" fillId="2" borderId="1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2" borderId="4" xfId="0" applyFont="1" applyFill="1" applyBorder="1"/>
    <xf numFmtId="166" fontId="0" fillId="2" borderId="0" xfId="0" applyNumberFormat="1" applyFont="1" applyFill="1" applyBorder="1"/>
    <xf numFmtId="0" fontId="0" fillId="2" borderId="5" xfId="0" applyFont="1" applyFill="1" applyBorder="1"/>
    <xf numFmtId="0" fontId="0" fillId="2" borderId="9" xfId="0" applyFont="1" applyFill="1" applyBorder="1"/>
    <xf numFmtId="166" fontId="0" fillId="2" borderId="7" xfId="0" applyNumberFormat="1" applyFont="1" applyFill="1" applyBorder="1"/>
    <xf numFmtId="0" fontId="0" fillId="2" borderId="11" xfId="0" applyFont="1" applyFill="1" applyBorder="1"/>
    <xf numFmtId="0" fontId="0" fillId="2" borderId="1" xfId="0" applyFont="1" applyFill="1" applyBorder="1"/>
    <xf numFmtId="166" fontId="0" fillId="2" borderId="2" xfId="0" applyNumberFormat="1" applyFont="1" applyFill="1" applyBorder="1"/>
    <xf numFmtId="0" fontId="0" fillId="2" borderId="3" xfId="0" applyFont="1" applyFill="1" applyBorder="1"/>
    <xf numFmtId="11" fontId="7" fillId="0" borderId="8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8" fontId="12" fillId="5" borderId="1" xfId="0" quotePrefix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0" fontId="0" fillId="2" borderId="0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0" fontId="0" fillId="2" borderId="7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X32"/>
  <sheetViews>
    <sheetView showGridLines="0" workbookViewId="0"/>
  </sheetViews>
  <sheetFormatPr defaultRowHeight="15" x14ac:dyDescent="0.25"/>
  <cols>
    <col min="2" max="2" width="22.7109375" customWidth="1"/>
    <col min="3" max="4" width="15.7109375" customWidth="1"/>
    <col min="6" max="6" width="21.140625" customWidth="1"/>
    <col min="7" max="8" width="15.7109375" customWidth="1"/>
    <col min="10" max="10" width="20.7109375" customWidth="1"/>
    <col min="11" max="12" width="17.42578125" bestFit="1" customWidth="1"/>
    <col min="14" max="14" width="20.7109375" customWidth="1"/>
    <col min="15" max="16" width="17.42578125" bestFit="1" customWidth="1"/>
    <col min="18" max="18" width="20.7109375" customWidth="1"/>
    <col min="19" max="20" width="17.42578125" bestFit="1" customWidth="1"/>
    <col min="22" max="22" width="20.7109375" customWidth="1"/>
    <col min="23" max="24" width="17.42578125" bestFit="1" customWidth="1"/>
  </cols>
  <sheetData>
    <row r="2" spans="2:24" x14ac:dyDescent="0.25">
      <c r="B2" t="s">
        <v>250</v>
      </c>
      <c r="C2" t="s">
        <v>279</v>
      </c>
      <c r="F2" t="s">
        <v>250</v>
      </c>
      <c r="G2" t="s">
        <v>274</v>
      </c>
      <c r="J2" t="s">
        <v>250</v>
      </c>
      <c r="K2" t="s">
        <v>280</v>
      </c>
      <c r="N2" t="s">
        <v>250</v>
      </c>
      <c r="O2" t="s">
        <v>281</v>
      </c>
      <c r="R2" t="s">
        <v>250</v>
      </c>
      <c r="S2" t="s">
        <v>282</v>
      </c>
      <c r="V2" t="s">
        <v>250</v>
      </c>
      <c r="W2" t="s">
        <v>283</v>
      </c>
    </row>
    <row r="3" spans="2:24" x14ac:dyDescent="0.25">
      <c r="B3" t="s">
        <v>251</v>
      </c>
      <c r="C3" s="123" t="str">
        <f>_xll.meLWOSwapGeneratorCreate(C2,B6:D31)</f>
        <v>EM_CZK_OIS_UNDER_1Y:1</v>
      </c>
      <c r="F3" t="s">
        <v>251</v>
      </c>
      <c r="G3" s="123" t="str">
        <f>_xll.meLWOSwapGeneratorCreate(G2,F6:H31)</f>
        <v>EM_CZK_OIS:1</v>
      </c>
      <c r="J3" t="s">
        <v>251</v>
      </c>
      <c r="K3" s="123" t="str">
        <f>_xll.meLWOSwapGeneratorCreate(K2,J6:L31)</f>
        <v>EM_CZK_6M:1</v>
      </c>
      <c r="N3" t="s">
        <v>251</v>
      </c>
      <c r="O3" s="123" t="str">
        <f>_xll.meLWOSwapGeneratorCreate(O2,N6:P31)</f>
        <v>EM_CZK_3M:1</v>
      </c>
      <c r="R3" t="s">
        <v>251</v>
      </c>
      <c r="S3" s="123" t="str">
        <f>_xll.meLWOSwapGeneratorCreate(S2,R6:T31)</f>
        <v>EM_CZK_1M:1</v>
      </c>
      <c r="V3" t="s">
        <v>251</v>
      </c>
      <c r="W3" s="123" t="str">
        <f>_xll.meLWOSwapGeneratorCreate(W2,V6:X31)</f>
        <v>EM_CZK_12M:1</v>
      </c>
    </row>
    <row r="4" spans="2:24" s="181" customFormat="1" x14ac:dyDescent="0.25">
      <c r="C4" s="182"/>
      <c r="G4" s="182"/>
      <c r="K4" s="182"/>
      <c r="O4" s="182"/>
      <c r="S4" s="182"/>
      <c r="W4" s="182"/>
    </row>
    <row r="6" spans="2:24" x14ac:dyDescent="0.25">
      <c r="B6" s="18" t="s">
        <v>222</v>
      </c>
      <c r="C6" s="124" t="s">
        <v>223</v>
      </c>
      <c r="D6" s="124" t="s">
        <v>220</v>
      </c>
      <c r="F6" s="18" t="s">
        <v>222</v>
      </c>
      <c r="G6" s="124" t="s">
        <v>223</v>
      </c>
      <c r="H6" s="124" t="s">
        <v>220</v>
      </c>
      <c r="J6" s="18" t="s">
        <v>222</v>
      </c>
      <c r="K6" s="124" t="s">
        <v>223</v>
      </c>
      <c r="L6" s="124" t="s">
        <v>220</v>
      </c>
      <c r="N6" s="18" t="s">
        <v>222</v>
      </c>
      <c r="O6" s="124" t="s">
        <v>221</v>
      </c>
      <c r="P6" s="124" t="s">
        <v>220</v>
      </c>
      <c r="R6" s="18" t="s">
        <v>222</v>
      </c>
      <c r="S6" s="124" t="s">
        <v>221</v>
      </c>
      <c r="T6" s="124" t="s">
        <v>220</v>
      </c>
      <c r="V6" s="18" t="s">
        <v>222</v>
      </c>
      <c r="W6" s="124" t="s">
        <v>221</v>
      </c>
      <c r="X6" s="124" t="s">
        <v>220</v>
      </c>
    </row>
    <row r="7" spans="2:24" x14ac:dyDescent="0.25">
      <c r="B7" s="18" t="s">
        <v>224</v>
      </c>
      <c r="C7" s="124">
        <v>1</v>
      </c>
      <c r="D7" s="124">
        <v>1</v>
      </c>
      <c r="F7" s="18" t="s">
        <v>224</v>
      </c>
      <c r="G7" s="124">
        <v>1</v>
      </c>
      <c r="H7" s="124">
        <v>1</v>
      </c>
      <c r="J7" s="18" t="s">
        <v>224</v>
      </c>
      <c r="K7" s="124">
        <v>1</v>
      </c>
      <c r="L7" s="124">
        <v>1</v>
      </c>
      <c r="N7" s="18" t="s">
        <v>224</v>
      </c>
      <c r="O7" s="124">
        <v>1</v>
      </c>
      <c r="P7" s="124">
        <v>1</v>
      </c>
      <c r="R7" s="18" t="s">
        <v>224</v>
      </c>
      <c r="S7" s="124">
        <v>1</v>
      </c>
      <c r="T7" s="124">
        <v>1</v>
      </c>
      <c r="V7" s="18" t="s">
        <v>224</v>
      </c>
      <c r="W7" s="124">
        <v>1</v>
      </c>
      <c r="X7" s="124">
        <v>1</v>
      </c>
    </row>
    <row r="8" spans="2:24" x14ac:dyDescent="0.25">
      <c r="B8" s="18" t="s">
        <v>225</v>
      </c>
      <c r="C8" s="124" t="s">
        <v>25</v>
      </c>
      <c r="D8" s="124" t="s">
        <v>252</v>
      </c>
      <c r="F8" s="18" t="s">
        <v>225</v>
      </c>
      <c r="G8" s="124" t="s">
        <v>25</v>
      </c>
      <c r="H8" s="124" t="s">
        <v>252</v>
      </c>
      <c r="J8" s="18" t="s">
        <v>225</v>
      </c>
      <c r="K8" s="124" t="s">
        <v>25</v>
      </c>
      <c r="L8" s="124" t="s">
        <v>159</v>
      </c>
      <c r="N8" s="18" t="s">
        <v>225</v>
      </c>
      <c r="O8" s="151" t="s">
        <v>159</v>
      </c>
      <c r="P8" s="151" t="s">
        <v>149</v>
      </c>
      <c r="R8" s="18" t="s">
        <v>225</v>
      </c>
      <c r="S8" s="151" t="s">
        <v>149</v>
      </c>
      <c r="T8" s="151" t="s">
        <v>262</v>
      </c>
      <c r="V8" s="18" t="s">
        <v>225</v>
      </c>
      <c r="W8" s="151" t="s">
        <v>149</v>
      </c>
      <c r="X8" s="151" t="s">
        <v>263</v>
      </c>
    </row>
    <row r="9" spans="2:24" x14ac:dyDescent="0.25">
      <c r="B9" s="18" t="s">
        <v>226</v>
      </c>
      <c r="C9" s="124" t="s">
        <v>116</v>
      </c>
      <c r="D9" s="151" t="s">
        <v>227</v>
      </c>
      <c r="F9" s="18" t="s">
        <v>226</v>
      </c>
      <c r="G9" s="124" t="s">
        <v>116</v>
      </c>
      <c r="H9" s="151" t="s">
        <v>124</v>
      </c>
      <c r="J9" s="18" t="s">
        <v>226</v>
      </c>
      <c r="K9" s="124" t="s">
        <v>116</v>
      </c>
      <c r="L9" s="124" t="s">
        <v>116</v>
      </c>
      <c r="N9" s="18" t="s">
        <v>226</v>
      </c>
      <c r="O9" s="124" t="s">
        <v>116</v>
      </c>
      <c r="P9" s="124" t="s">
        <v>116</v>
      </c>
      <c r="R9" s="18" t="s">
        <v>226</v>
      </c>
      <c r="S9" s="124" t="s">
        <v>116</v>
      </c>
      <c r="T9" s="124" t="s">
        <v>116</v>
      </c>
      <c r="V9" s="18" t="s">
        <v>226</v>
      </c>
      <c r="W9" s="124" t="s">
        <v>116</v>
      </c>
      <c r="X9" s="124" t="s">
        <v>116</v>
      </c>
    </row>
    <row r="10" spans="2:24" x14ac:dyDescent="0.25">
      <c r="B10" s="18" t="s">
        <v>228</v>
      </c>
      <c r="C10" s="124" t="s">
        <v>116</v>
      </c>
      <c r="D10" s="124" t="s">
        <v>116</v>
      </c>
      <c r="F10" s="18" t="s">
        <v>228</v>
      </c>
      <c r="G10" s="124" t="s">
        <v>116</v>
      </c>
      <c r="H10" s="124" t="s">
        <v>116</v>
      </c>
      <c r="J10" s="18" t="s">
        <v>228</v>
      </c>
      <c r="K10" s="124" t="s">
        <v>116</v>
      </c>
      <c r="L10" s="124" t="s">
        <v>116</v>
      </c>
      <c r="N10" s="18" t="s">
        <v>228</v>
      </c>
      <c r="O10" s="124" t="s">
        <v>116</v>
      </c>
      <c r="P10" s="124" t="s">
        <v>116</v>
      </c>
      <c r="R10" s="18" t="s">
        <v>228</v>
      </c>
      <c r="S10" s="124" t="s">
        <v>116</v>
      </c>
      <c r="T10" s="124" t="s">
        <v>116</v>
      </c>
      <c r="V10" s="18" t="s">
        <v>228</v>
      </c>
      <c r="W10" s="124" t="s">
        <v>116</v>
      </c>
      <c r="X10" s="124" t="s">
        <v>116</v>
      </c>
    </row>
    <row r="11" spans="2:24" x14ac:dyDescent="0.25">
      <c r="B11" s="18" t="s">
        <v>229</v>
      </c>
      <c r="C11" s="124" t="s">
        <v>252</v>
      </c>
      <c r="D11" s="124" t="s">
        <v>252</v>
      </c>
      <c r="F11" s="18" t="s">
        <v>229</v>
      </c>
      <c r="G11" s="124" t="s">
        <v>252</v>
      </c>
      <c r="H11" s="124" t="s">
        <v>252</v>
      </c>
      <c r="J11" s="18" t="s">
        <v>229</v>
      </c>
      <c r="K11" s="124" t="s">
        <v>252</v>
      </c>
      <c r="L11" s="124" t="s">
        <v>252</v>
      </c>
      <c r="N11" s="18" t="s">
        <v>229</v>
      </c>
      <c r="O11" s="124" t="s">
        <v>252</v>
      </c>
      <c r="P11" s="124" t="s">
        <v>252</v>
      </c>
      <c r="R11" s="18" t="s">
        <v>229</v>
      </c>
      <c r="S11" s="124" t="s">
        <v>252</v>
      </c>
      <c r="T11" s="124" t="s">
        <v>252</v>
      </c>
      <c r="V11" s="18" t="s">
        <v>229</v>
      </c>
      <c r="W11" s="124" t="s">
        <v>252</v>
      </c>
      <c r="X11" s="124" t="s">
        <v>252</v>
      </c>
    </row>
    <row r="12" spans="2:24" x14ac:dyDescent="0.25">
      <c r="B12" s="18" t="s">
        <v>230</v>
      </c>
      <c r="C12" s="124" t="s">
        <v>0</v>
      </c>
      <c r="D12" s="124" t="s">
        <v>0</v>
      </c>
      <c r="F12" s="18" t="s">
        <v>230</v>
      </c>
      <c r="G12" s="124" t="s">
        <v>0</v>
      </c>
      <c r="H12" s="124" t="s">
        <v>0</v>
      </c>
      <c r="J12" s="18" t="s">
        <v>230</v>
      </c>
      <c r="K12" s="124" t="s">
        <v>0</v>
      </c>
      <c r="L12" s="124" t="s">
        <v>0</v>
      </c>
      <c r="N12" s="18" t="s">
        <v>230</v>
      </c>
      <c r="O12" s="124" t="s">
        <v>0</v>
      </c>
      <c r="P12" s="124" t="s">
        <v>0</v>
      </c>
      <c r="R12" s="18" t="s">
        <v>230</v>
      </c>
      <c r="S12" s="124" t="s">
        <v>0</v>
      </c>
      <c r="T12" s="124" t="s">
        <v>0</v>
      </c>
      <c r="V12" s="18" t="s">
        <v>230</v>
      </c>
      <c r="W12" s="124" t="s">
        <v>0</v>
      </c>
      <c r="X12" s="124" t="s">
        <v>0</v>
      </c>
    </row>
    <row r="13" spans="2:24" x14ac:dyDescent="0.25">
      <c r="B13" s="18" t="s">
        <v>231</v>
      </c>
      <c r="C13" s="124" t="s">
        <v>0</v>
      </c>
      <c r="D13" s="124" t="s">
        <v>0</v>
      </c>
      <c r="F13" s="18" t="s">
        <v>231</v>
      </c>
      <c r="G13" s="124" t="s">
        <v>0</v>
      </c>
      <c r="H13" s="124" t="s">
        <v>0</v>
      </c>
      <c r="J13" s="18" t="s">
        <v>231</v>
      </c>
      <c r="K13" s="124" t="s">
        <v>0</v>
      </c>
      <c r="L13" s="124" t="s">
        <v>0</v>
      </c>
      <c r="N13" s="18" t="s">
        <v>231</v>
      </c>
      <c r="O13" s="124" t="s">
        <v>0</v>
      </c>
      <c r="P13" s="124" t="s">
        <v>0</v>
      </c>
      <c r="R13" s="18" t="s">
        <v>231</v>
      </c>
      <c r="S13" s="124" t="s">
        <v>0</v>
      </c>
      <c r="T13" s="124" t="s">
        <v>0</v>
      </c>
      <c r="V13" s="18" t="s">
        <v>231</v>
      </c>
      <c r="W13" s="124" t="s">
        <v>0</v>
      </c>
      <c r="X13" s="124" t="s">
        <v>0</v>
      </c>
    </row>
    <row r="14" spans="2:24" x14ac:dyDescent="0.25">
      <c r="B14" s="18" t="s">
        <v>232</v>
      </c>
      <c r="C14" s="124" t="s">
        <v>45</v>
      </c>
      <c r="D14" s="124" t="s">
        <v>45</v>
      </c>
      <c r="F14" s="18" t="s">
        <v>232</v>
      </c>
      <c r="G14" s="124" t="s">
        <v>45</v>
      </c>
      <c r="H14" s="124" t="s">
        <v>45</v>
      </c>
      <c r="J14" s="18" t="s">
        <v>232</v>
      </c>
      <c r="K14" s="124" t="s">
        <v>45</v>
      </c>
      <c r="L14" s="124" t="s">
        <v>152</v>
      </c>
      <c r="N14" s="18" t="s">
        <v>232</v>
      </c>
      <c r="O14" s="124" t="s">
        <v>152</v>
      </c>
      <c r="P14" s="124" t="s">
        <v>38</v>
      </c>
      <c r="R14" s="18" t="s">
        <v>232</v>
      </c>
      <c r="S14" s="124" t="s">
        <v>38</v>
      </c>
      <c r="T14" s="124" t="s">
        <v>47</v>
      </c>
      <c r="V14" s="18" t="s">
        <v>232</v>
      </c>
      <c r="W14" s="124" t="s">
        <v>38</v>
      </c>
      <c r="X14" s="124" t="s">
        <v>45</v>
      </c>
    </row>
    <row r="15" spans="2:24" x14ac:dyDescent="0.25">
      <c r="B15" s="18" t="s">
        <v>233</v>
      </c>
      <c r="C15" s="124" t="s">
        <v>83</v>
      </c>
      <c r="D15" s="124" t="s">
        <v>83</v>
      </c>
      <c r="F15" s="18" t="s">
        <v>233</v>
      </c>
      <c r="G15" s="124" t="s">
        <v>83</v>
      </c>
      <c r="H15" s="124" t="s">
        <v>83</v>
      </c>
      <c r="J15" s="18" t="s">
        <v>233</v>
      </c>
      <c r="K15" s="124" t="s">
        <v>83</v>
      </c>
      <c r="L15" s="124" t="s">
        <v>83</v>
      </c>
      <c r="N15" s="18" t="s">
        <v>233</v>
      </c>
      <c r="O15" s="124" t="s">
        <v>83</v>
      </c>
      <c r="P15" s="124" t="s">
        <v>83</v>
      </c>
      <c r="R15" s="18" t="s">
        <v>233</v>
      </c>
      <c r="S15" s="124" t="s">
        <v>83</v>
      </c>
      <c r="T15" s="124" t="s">
        <v>83</v>
      </c>
      <c r="V15" s="18" t="s">
        <v>233</v>
      </c>
      <c r="W15" s="124" t="s">
        <v>83</v>
      </c>
      <c r="X15" s="124" t="s">
        <v>83</v>
      </c>
    </row>
    <row r="16" spans="2:24" x14ac:dyDescent="0.25">
      <c r="B16" s="18" t="s">
        <v>234</v>
      </c>
      <c r="C16" s="124" t="s">
        <v>195</v>
      </c>
      <c r="D16" s="124" t="s">
        <v>195</v>
      </c>
      <c r="F16" s="18" t="s">
        <v>234</v>
      </c>
      <c r="G16" s="124" t="s">
        <v>195</v>
      </c>
      <c r="H16" s="124" t="s">
        <v>195</v>
      </c>
      <c r="J16" s="18" t="s">
        <v>234</v>
      </c>
      <c r="K16" s="124" t="s">
        <v>195</v>
      </c>
      <c r="L16" s="124" t="s">
        <v>195</v>
      </c>
      <c r="N16" s="18" t="s">
        <v>234</v>
      </c>
      <c r="O16" s="124" t="s">
        <v>195</v>
      </c>
      <c r="P16" s="124" t="s">
        <v>195</v>
      </c>
      <c r="R16" s="18" t="s">
        <v>234</v>
      </c>
      <c r="S16" s="124" t="s">
        <v>195</v>
      </c>
      <c r="T16" s="124" t="s">
        <v>195</v>
      </c>
      <c r="V16" s="18" t="s">
        <v>234</v>
      </c>
      <c r="W16" s="124" t="s">
        <v>195</v>
      </c>
      <c r="X16" s="124" t="s">
        <v>195</v>
      </c>
    </row>
    <row r="17" spans="2:24" x14ac:dyDescent="0.25">
      <c r="B17" s="18" t="s">
        <v>235</v>
      </c>
      <c r="C17" s="124" t="s">
        <v>108</v>
      </c>
      <c r="D17" s="124" t="s">
        <v>108</v>
      </c>
      <c r="F17" s="18" t="s">
        <v>235</v>
      </c>
      <c r="G17" s="124" t="s">
        <v>108</v>
      </c>
      <c r="H17" s="124" t="s">
        <v>108</v>
      </c>
      <c r="J17" s="18" t="s">
        <v>235</v>
      </c>
      <c r="K17" s="124" t="s">
        <v>108</v>
      </c>
      <c r="L17" s="124" t="s">
        <v>108</v>
      </c>
      <c r="N17" s="18" t="s">
        <v>235</v>
      </c>
      <c r="O17" s="124" t="s">
        <v>108</v>
      </c>
      <c r="P17" s="124" t="s">
        <v>108</v>
      </c>
      <c r="R17" s="18" t="s">
        <v>235</v>
      </c>
      <c r="S17" s="124" t="s">
        <v>108</v>
      </c>
      <c r="T17" s="124" t="s">
        <v>108</v>
      </c>
      <c r="V17" s="18" t="s">
        <v>235</v>
      </c>
      <c r="W17" s="124" t="s">
        <v>108</v>
      </c>
      <c r="X17" s="124" t="s">
        <v>108</v>
      </c>
    </row>
    <row r="18" spans="2:24" x14ac:dyDescent="0.25">
      <c r="B18" s="18" t="s">
        <v>236</v>
      </c>
      <c r="C18" s="124" t="s">
        <v>25</v>
      </c>
      <c r="D18" s="124" t="s">
        <v>25</v>
      </c>
      <c r="F18" s="18" t="s">
        <v>236</v>
      </c>
      <c r="G18" s="124" t="s">
        <v>25</v>
      </c>
      <c r="H18" s="124" t="s">
        <v>25</v>
      </c>
      <c r="J18" s="18" t="s">
        <v>236</v>
      </c>
      <c r="K18" s="124" t="s">
        <v>25</v>
      </c>
      <c r="L18" s="124" t="s">
        <v>25</v>
      </c>
      <c r="N18" s="18" t="s">
        <v>236</v>
      </c>
      <c r="O18" s="124" t="s">
        <v>25</v>
      </c>
      <c r="P18" s="124" t="s">
        <v>25</v>
      </c>
      <c r="R18" s="18" t="s">
        <v>236</v>
      </c>
      <c r="S18" s="124" t="s">
        <v>25</v>
      </c>
      <c r="T18" s="124" t="s">
        <v>25</v>
      </c>
      <c r="V18" s="18" t="s">
        <v>236</v>
      </c>
      <c r="W18" s="124" t="s">
        <v>25</v>
      </c>
      <c r="X18" s="124" t="s">
        <v>25</v>
      </c>
    </row>
    <row r="19" spans="2:24" x14ac:dyDescent="0.25">
      <c r="B19" s="18" t="s">
        <v>237</v>
      </c>
      <c r="C19" s="124" t="s">
        <v>83</v>
      </c>
      <c r="D19" s="124" t="s">
        <v>83</v>
      </c>
      <c r="F19" s="18" t="s">
        <v>237</v>
      </c>
      <c r="G19" s="124" t="s">
        <v>83</v>
      </c>
      <c r="H19" s="124" t="s">
        <v>83</v>
      </c>
      <c r="J19" s="18" t="s">
        <v>237</v>
      </c>
      <c r="K19" s="124" t="s">
        <v>83</v>
      </c>
      <c r="L19" s="124" t="s">
        <v>83</v>
      </c>
      <c r="N19" s="18" t="s">
        <v>237</v>
      </c>
      <c r="O19" s="124" t="s">
        <v>83</v>
      </c>
      <c r="P19" s="124" t="s">
        <v>83</v>
      </c>
      <c r="R19" s="18" t="s">
        <v>237</v>
      </c>
      <c r="S19" s="124" t="s">
        <v>83</v>
      </c>
      <c r="T19" s="124" t="s">
        <v>83</v>
      </c>
      <c r="V19" s="18" t="s">
        <v>237</v>
      </c>
      <c r="W19" s="124" t="s">
        <v>83</v>
      </c>
      <c r="X19" s="124" t="s">
        <v>83</v>
      </c>
    </row>
    <row r="20" spans="2:24" x14ac:dyDescent="0.25">
      <c r="B20" s="18" t="s">
        <v>238</v>
      </c>
      <c r="C20" s="124" t="s">
        <v>195</v>
      </c>
      <c r="D20" s="124" t="s">
        <v>195</v>
      </c>
      <c r="F20" s="18" t="s">
        <v>238</v>
      </c>
      <c r="G20" s="124" t="s">
        <v>195</v>
      </c>
      <c r="H20" s="124" t="s">
        <v>195</v>
      </c>
      <c r="J20" s="18" t="s">
        <v>238</v>
      </c>
      <c r="K20" s="124" t="s">
        <v>195</v>
      </c>
      <c r="L20" s="124" t="s">
        <v>195</v>
      </c>
      <c r="N20" s="18" t="s">
        <v>238</v>
      </c>
      <c r="O20" s="124" t="s">
        <v>195</v>
      </c>
      <c r="P20" s="124" t="s">
        <v>195</v>
      </c>
      <c r="R20" s="18" t="s">
        <v>238</v>
      </c>
      <c r="S20" s="124" t="s">
        <v>195</v>
      </c>
      <c r="T20" s="124" t="s">
        <v>195</v>
      </c>
      <c r="V20" s="18" t="s">
        <v>238</v>
      </c>
      <c r="W20" s="124" t="s">
        <v>195</v>
      </c>
      <c r="X20" s="124" t="s">
        <v>195</v>
      </c>
    </row>
    <row r="21" spans="2:24" x14ac:dyDescent="0.25">
      <c r="B21" s="18" t="s">
        <v>239</v>
      </c>
      <c r="C21" s="124" t="s">
        <v>216</v>
      </c>
      <c r="D21" s="124" t="s">
        <v>216</v>
      </c>
      <c r="F21" s="18" t="s">
        <v>239</v>
      </c>
      <c r="G21" s="124" t="s">
        <v>216</v>
      </c>
      <c r="H21" s="124" t="s">
        <v>216</v>
      </c>
      <c r="J21" s="18" t="s">
        <v>239</v>
      </c>
      <c r="K21" s="124" t="s">
        <v>216</v>
      </c>
      <c r="L21" s="124" t="s">
        <v>216</v>
      </c>
      <c r="N21" s="18" t="s">
        <v>239</v>
      </c>
      <c r="O21" s="124" t="s">
        <v>216</v>
      </c>
      <c r="P21" s="124" t="s">
        <v>216</v>
      </c>
      <c r="R21" s="18" t="s">
        <v>239</v>
      </c>
      <c r="S21" s="124" t="s">
        <v>216</v>
      </c>
      <c r="T21" s="124" t="s">
        <v>216</v>
      </c>
      <c r="V21" s="18" t="s">
        <v>239</v>
      </c>
      <c r="W21" s="124" t="s">
        <v>216</v>
      </c>
      <c r="X21" s="124" t="s">
        <v>216</v>
      </c>
    </row>
    <row r="22" spans="2:24" x14ac:dyDescent="0.25">
      <c r="B22" s="18" t="s">
        <v>240</v>
      </c>
      <c r="C22" s="124" t="s">
        <v>25</v>
      </c>
      <c r="D22" s="124" t="s">
        <v>25</v>
      </c>
      <c r="F22" s="18" t="s">
        <v>240</v>
      </c>
      <c r="G22" s="124" t="s">
        <v>25</v>
      </c>
      <c r="H22" s="124" t="s">
        <v>25</v>
      </c>
      <c r="J22" s="18" t="s">
        <v>240</v>
      </c>
      <c r="K22" s="124" t="s">
        <v>25</v>
      </c>
      <c r="L22" s="124" t="s">
        <v>25</v>
      </c>
      <c r="N22" s="18" t="s">
        <v>240</v>
      </c>
      <c r="O22" s="124" t="s">
        <v>25</v>
      </c>
      <c r="P22" s="124" t="s">
        <v>25</v>
      </c>
      <c r="R22" s="18" t="s">
        <v>240</v>
      </c>
      <c r="S22" s="124" t="s">
        <v>25</v>
      </c>
      <c r="T22" s="124" t="s">
        <v>25</v>
      </c>
      <c r="V22" s="18" t="s">
        <v>240</v>
      </c>
      <c r="W22" s="124" t="s">
        <v>25</v>
      </c>
      <c r="X22" s="124" t="s">
        <v>25</v>
      </c>
    </row>
    <row r="23" spans="2:24" x14ac:dyDescent="0.25">
      <c r="B23" s="18" t="s">
        <v>241</v>
      </c>
      <c r="C23" s="124" t="s">
        <v>25</v>
      </c>
      <c r="D23" s="124" t="s">
        <v>25</v>
      </c>
      <c r="F23" s="18" t="s">
        <v>241</v>
      </c>
      <c r="G23" s="124" t="s">
        <v>25</v>
      </c>
      <c r="H23" s="124" t="s">
        <v>25</v>
      </c>
      <c r="J23" s="18" t="s">
        <v>241</v>
      </c>
      <c r="K23" s="124" t="s">
        <v>25</v>
      </c>
      <c r="L23" s="124" t="s">
        <v>25</v>
      </c>
      <c r="N23" s="18" t="s">
        <v>241</v>
      </c>
      <c r="O23" s="124" t="s">
        <v>25</v>
      </c>
      <c r="P23" s="124" t="s">
        <v>25</v>
      </c>
      <c r="R23" s="18" t="s">
        <v>241</v>
      </c>
      <c r="S23" s="124" t="s">
        <v>25</v>
      </c>
      <c r="T23" s="124" t="s">
        <v>25</v>
      </c>
      <c r="V23" s="18" t="s">
        <v>241</v>
      </c>
      <c r="W23" s="124" t="s">
        <v>25</v>
      </c>
      <c r="X23" s="124" t="s">
        <v>25</v>
      </c>
    </row>
    <row r="24" spans="2:24" x14ac:dyDescent="0.25">
      <c r="B24" s="18" t="s">
        <v>242</v>
      </c>
      <c r="C24" s="124" t="s">
        <v>219</v>
      </c>
      <c r="D24" s="124" t="s">
        <v>219</v>
      </c>
      <c r="F24" s="18" t="s">
        <v>242</v>
      </c>
      <c r="G24" s="124" t="s">
        <v>219</v>
      </c>
      <c r="H24" s="124" t="s">
        <v>219</v>
      </c>
      <c r="J24" s="18" t="s">
        <v>242</v>
      </c>
      <c r="K24" s="124" t="s">
        <v>219</v>
      </c>
      <c r="L24" s="124" t="s">
        <v>219</v>
      </c>
      <c r="N24" s="18" t="s">
        <v>242</v>
      </c>
      <c r="O24" s="124" t="s">
        <v>219</v>
      </c>
      <c r="P24" s="124" t="s">
        <v>219</v>
      </c>
      <c r="R24" s="18" t="s">
        <v>242</v>
      </c>
      <c r="S24" s="124" t="s">
        <v>219</v>
      </c>
      <c r="T24" s="124" t="s">
        <v>219</v>
      </c>
      <c r="V24" s="18" t="s">
        <v>242</v>
      </c>
      <c r="W24" s="124" t="s">
        <v>219</v>
      </c>
      <c r="X24" s="124" t="s">
        <v>219</v>
      </c>
    </row>
    <row r="25" spans="2:24" x14ac:dyDescent="0.25">
      <c r="B25" s="18" t="s">
        <v>243</v>
      </c>
      <c r="C25" s="124" t="s">
        <v>253</v>
      </c>
      <c r="D25" s="124" t="s">
        <v>253</v>
      </c>
      <c r="F25" s="18" t="s">
        <v>243</v>
      </c>
      <c r="G25" s="124" t="s">
        <v>253</v>
      </c>
      <c r="H25" s="124" t="s">
        <v>253</v>
      </c>
      <c r="J25" s="18" t="s">
        <v>243</v>
      </c>
      <c r="K25" s="124" t="s">
        <v>253</v>
      </c>
      <c r="L25" s="124" t="s">
        <v>253</v>
      </c>
      <c r="N25" s="18" t="s">
        <v>243</v>
      </c>
      <c r="O25" s="124" t="s">
        <v>253</v>
      </c>
      <c r="P25" s="124" t="s">
        <v>253</v>
      </c>
      <c r="R25" s="18" t="s">
        <v>243</v>
      </c>
      <c r="S25" s="124" t="s">
        <v>253</v>
      </c>
      <c r="T25" s="124" t="s">
        <v>253</v>
      </c>
      <c r="V25" s="18" t="s">
        <v>243</v>
      </c>
      <c r="W25" s="124" t="s">
        <v>253</v>
      </c>
      <c r="X25" s="124" t="s">
        <v>253</v>
      </c>
    </row>
    <row r="26" spans="2:24" x14ac:dyDescent="0.25">
      <c r="B26" s="18" t="s">
        <v>244</v>
      </c>
      <c r="C26" s="124" t="s">
        <v>25</v>
      </c>
      <c r="D26" s="124" t="s">
        <v>83</v>
      </c>
      <c r="F26" s="18" t="s">
        <v>244</v>
      </c>
      <c r="G26" s="124" t="s">
        <v>25</v>
      </c>
      <c r="H26" s="124" t="s">
        <v>83</v>
      </c>
      <c r="J26" s="18" t="s">
        <v>244</v>
      </c>
      <c r="K26" s="124" t="s">
        <v>25</v>
      </c>
      <c r="L26" s="124" t="s">
        <v>83</v>
      </c>
      <c r="N26" s="18" t="s">
        <v>244</v>
      </c>
      <c r="O26" s="124" t="s">
        <v>83</v>
      </c>
      <c r="P26" s="124" t="s">
        <v>83</v>
      </c>
      <c r="R26" s="18" t="s">
        <v>244</v>
      </c>
      <c r="S26" s="124" t="s">
        <v>83</v>
      </c>
      <c r="T26" s="124" t="s">
        <v>83</v>
      </c>
      <c r="V26" s="18" t="s">
        <v>244</v>
      </c>
      <c r="W26" s="124" t="s">
        <v>83</v>
      </c>
      <c r="X26" s="124" t="s">
        <v>83</v>
      </c>
    </row>
    <row r="27" spans="2:24" x14ac:dyDescent="0.25">
      <c r="B27" s="18" t="s">
        <v>245</v>
      </c>
      <c r="C27" s="124" t="s">
        <v>25</v>
      </c>
      <c r="D27" s="124" t="s">
        <v>195</v>
      </c>
      <c r="F27" s="18" t="s">
        <v>245</v>
      </c>
      <c r="G27" s="124" t="s">
        <v>25</v>
      </c>
      <c r="H27" s="124" t="s">
        <v>195</v>
      </c>
      <c r="J27" s="18" t="s">
        <v>245</v>
      </c>
      <c r="K27" s="124" t="s">
        <v>25</v>
      </c>
      <c r="L27" s="124" t="s">
        <v>195</v>
      </c>
      <c r="N27" s="18" t="s">
        <v>245</v>
      </c>
      <c r="O27" s="124" t="s">
        <v>195</v>
      </c>
      <c r="P27" s="124" t="s">
        <v>195</v>
      </c>
      <c r="R27" s="18" t="s">
        <v>245</v>
      </c>
      <c r="S27" s="124" t="s">
        <v>195</v>
      </c>
      <c r="T27" s="124" t="s">
        <v>195</v>
      </c>
      <c r="V27" s="18" t="s">
        <v>245</v>
      </c>
      <c r="W27" s="124" t="s">
        <v>195</v>
      </c>
      <c r="X27" s="124" t="s">
        <v>195</v>
      </c>
    </row>
    <row r="28" spans="2:24" x14ac:dyDescent="0.25">
      <c r="B28" s="18" t="s">
        <v>246</v>
      </c>
      <c r="C28" s="124" t="s">
        <v>25</v>
      </c>
      <c r="D28" s="124" t="s">
        <v>216</v>
      </c>
      <c r="F28" s="18" t="s">
        <v>246</v>
      </c>
      <c r="G28" s="124" t="s">
        <v>25</v>
      </c>
      <c r="H28" s="124" t="s">
        <v>216</v>
      </c>
      <c r="J28" s="18" t="s">
        <v>246</v>
      </c>
      <c r="K28" s="124" t="s">
        <v>25</v>
      </c>
      <c r="L28" s="124" t="s">
        <v>216</v>
      </c>
      <c r="N28" s="18" t="s">
        <v>246</v>
      </c>
      <c r="O28" s="124" t="s">
        <v>216</v>
      </c>
      <c r="P28" s="124" t="s">
        <v>216</v>
      </c>
      <c r="R28" s="18" t="s">
        <v>246</v>
      </c>
      <c r="S28" s="124" t="s">
        <v>216</v>
      </c>
      <c r="T28" s="124" t="s">
        <v>216</v>
      </c>
      <c r="V28" s="18" t="s">
        <v>246</v>
      </c>
      <c r="W28" s="124" t="s">
        <v>216</v>
      </c>
      <c r="X28" s="124" t="s">
        <v>216</v>
      </c>
    </row>
    <row r="29" spans="2:24" x14ac:dyDescent="0.25">
      <c r="B29" s="18" t="s">
        <v>247</v>
      </c>
      <c r="C29" s="124" t="s">
        <v>25</v>
      </c>
      <c r="D29" s="124" t="s">
        <v>25</v>
      </c>
      <c r="F29" s="18" t="s">
        <v>247</v>
      </c>
      <c r="G29" s="124" t="s">
        <v>25</v>
      </c>
      <c r="H29" s="124" t="s">
        <v>25</v>
      </c>
      <c r="J29" s="18" t="s">
        <v>247</v>
      </c>
      <c r="K29" s="124" t="s">
        <v>25</v>
      </c>
      <c r="L29" s="124" t="s">
        <v>25</v>
      </c>
      <c r="N29" s="18" t="s">
        <v>247</v>
      </c>
      <c r="O29" s="124" t="s">
        <v>25</v>
      </c>
      <c r="P29" s="124" t="s">
        <v>25</v>
      </c>
      <c r="R29" s="18" t="s">
        <v>247</v>
      </c>
      <c r="S29" s="124" t="s">
        <v>25</v>
      </c>
      <c r="T29" s="124" t="s">
        <v>25</v>
      </c>
      <c r="V29" s="18" t="s">
        <v>247</v>
      </c>
      <c r="W29" s="124" t="s">
        <v>25</v>
      </c>
      <c r="X29" s="124" t="s">
        <v>25</v>
      </c>
    </row>
    <row r="30" spans="2:24" x14ac:dyDescent="0.25">
      <c r="B30" s="18" t="s">
        <v>248</v>
      </c>
      <c r="C30" s="124" t="s">
        <v>25</v>
      </c>
      <c r="D30" s="124" t="s">
        <v>218</v>
      </c>
      <c r="F30" s="18" t="s">
        <v>248</v>
      </c>
      <c r="G30" s="124" t="s">
        <v>25</v>
      </c>
      <c r="H30" s="124" t="s">
        <v>218</v>
      </c>
      <c r="J30" s="18" t="s">
        <v>248</v>
      </c>
      <c r="K30" s="124" t="s">
        <v>25</v>
      </c>
      <c r="L30" s="124" t="s">
        <v>218</v>
      </c>
      <c r="N30" s="18" t="s">
        <v>248</v>
      </c>
      <c r="O30" s="124" t="s">
        <v>218</v>
      </c>
      <c r="P30" s="124" t="s">
        <v>218</v>
      </c>
      <c r="R30" s="18" t="s">
        <v>248</v>
      </c>
      <c r="S30" s="124" t="s">
        <v>218</v>
      </c>
      <c r="T30" s="124" t="s">
        <v>218</v>
      </c>
      <c r="V30" s="18" t="s">
        <v>248</v>
      </c>
      <c r="W30" s="124" t="s">
        <v>218</v>
      </c>
      <c r="X30" s="124" t="s">
        <v>218</v>
      </c>
    </row>
    <row r="31" spans="2:24" x14ac:dyDescent="0.25">
      <c r="B31" s="18" t="s">
        <v>249</v>
      </c>
      <c r="C31" s="124" t="s">
        <v>25</v>
      </c>
      <c r="D31" s="124" t="s">
        <v>218</v>
      </c>
      <c r="F31" s="18" t="s">
        <v>249</v>
      </c>
      <c r="G31" s="124" t="s">
        <v>25</v>
      </c>
      <c r="H31" s="124" t="s">
        <v>218</v>
      </c>
      <c r="J31" s="18" t="s">
        <v>249</v>
      </c>
      <c r="K31" s="124" t="s">
        <v>25</v>
      </c>
      <c r="L31" s="124" t="s">
        <v>218</v>
      </c>
      <c r="N31" s="18" t="s">
        <v>249</v>
      </c>
      <c r="O31" s="124" t="s">
        <v>218</v>
      </c>
      <c r="P31" s="124" t="s">
        <v>218</v>
      </c>
      <c r="R31" s="18" t="s">
        <v>249</v>
      </c>
      <c r="S31" s="124" t="s">
        <v>218</v>
      </c>
      <c r="T31" s="124" t="s">
        <v>218</v>
      </c>
      <c r="V31" s="18" t="s">
        <v>249</v>
      </c>
      <c r="W31" s="124" t="s">
        <v>218</v>
      </c>
      <c r="X31" s="124" t="s">
        <v>218</v>
      </c>
    </row>
    <row r="32" spans="2:24" x14ac:dyDescent="0.25">
      <c r="G32" s="2"/>
      <c r="H3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B1:BD114"/>
  <sheetViews>
    <sheetView showGridLines="0" zoomScaleNormal="100" workbookViewId="0"/>
  </sheetViews>
  <sheetFormatPr defaultRowHeight="15" x14ac:dyDescent="0.25"/>
  <cols>
    <col min="1" max="2" width="9.140625" customWidth="1"/>
    <col min="3" max="3" width="28.5703125" bestFit="1" customWidth="1"/>
    <col min="4" max="4" width="36.7109375" bestFit="1" customWidth="1"/>
    <col min="5" max="6" width="9.140625" customWidth="1"/>
    <col min="7" max="7" width="25.28515625" bestFit="1" customWidth="1"/>
    <col min="8" max="8" width="22.5703125" customWidth="1"/>
    <col min="9" max="11" width="9.140625" customWidth="1"/>
    <col min="12" max="12" width="28.5703125" bestFit="1" customWidth="1"/>
    <col min="13" max="13" width="21" style="2" bestFit="1" customWidth="1"/>
    <col min="14" max="15" width="9.140625" customWidth="1"/>
    <col min="16" max="16" width="25.28515625" bestFit="1" customWidth="1"/>
    <col min="17" max="17" width="14.85546875" customWidth="1"/>
    <col min="18" max="20" width="9.140625" customWidth="1"/>
    <col min="21" max="21" width="31" bestFit="1" customWidth="1"/>
    <col min="22" max="22" width="29.85546875" style="2" customWidth="1"/>
    <col min="23" max="24" width="9.140625" customWidth="1"/>
    <col min="25" max="25" width="25.28515625" bestFit="1" customWidth="1"/>
    <col min="26" max="26" width="17.5703125" customWidth="1"/>
    <col min="27" max="29" width="9.140625" customWidth="1"/>
    <col min="30" max="30" width="31" bestFit="1" customWidth="1"/>
    <col min="31" max="31" width="28.7109375" customWidth="1"/>
    <col min="32" max="33" width="9.140625" customWidth="1"/>
    <col min="34" max="34" width="25.28515625" bestFit="1" customWidth="1"/>
    <col min="35" max="35" width="13.140625" customWidth="1"/>
    <col min="36" max="36" width="9.140625" customWidth="1"/>
    <col min="37" max="37" width="9.140625" customWidth="1" collapsed="1"/>
    <col min="38" max="38" width="9.140625" customWidth="1"/>
    <col min="39" max="39" width="23.85546875" customWidth="1"/>
    <col min="40" max="40" width="28" customWidth="1"/>
    <col min="41" max="42" width="9.140625" customWidth="1"/>
    <col min="43" max="43" width="25.28515625" bestFit="1" customWidth="1"/>
    <col min="44" max="44" width="12.140625" style="5" customWidth="1"/>
    <col min="45" max="47" width="9.140625" customWidth="1"/>
    <col min="48" max="52" width="9.140625" style="4" customWidth="1"/>
    <col min="53" max="54" width="9.140625" customWidth="1"/>
    <col min="55" max="55" width="9.140625" style="5" customWidth="1"/>
    <col min="56" max="118" width="9.140625" customWidth="1"/>
    <col min="119" max="14035" width="12.7109375" customWidth="1"/>
  </cols>
  <sheetData>
    <row r="1" spans="2:56" x14ac:dyDescent="0.25">
      <c r="H1" s="1"/>
      <c r="I1" s="1"/>
      <c r="Z1" s="1"/>
      <c r="AA1" s="1"/>
      <c r="AC1" s="2"/>
      <c r="AD1" s="2"/>
      <c r="AE1" s="2"/>
      <c r="AF1" s="2"/>
      <c r="AL1" s="2"/>
      <c r="AM1" s="2"/>
      <c r="AN1" s="2"/>
      <c r="AO1" s="2"/>
      <c r="AR1" s="3"/>
      <c r="AS1" s="1"/>
      <c r="AT1" s="1"/>
      <c r="AU1" s="1"/>
    </row>
    <row r="2" spans="2:56" x14ac:dyDescent="0.25">
      <c r="B2" s="6" t="s">
        <v>1</v>
      </c>
      <c r="G2" s="6" t="s">
        <v>199</v>
      </c>
      <c r="H2" s="1"/>
      <c r="I2" s="1"/>
      <c r="K2" s="6"/>
      <c r="P2" s="6" t="s">
        <v>199</v>
      </c>
      <c r="T2" s="6"/>
      <c r="Y2" s="6" t="s">
        <v>199</v>
      </c>
      <c r="Z2" s="1"/>
      <c r="AA2" s="1"/>
      <c r="AH2" s="6" t="s">
        <v>199</v>
      </c>
      <c r="AQ2" s="6" t="s">
        <v>199</v>
      </c>
      <c r="AR2" s="3"/>
      <c r="AS2" s="1"/>
      <c r="AT2" s="1"/>
      <c r="AU2" s="1"/>
    </row>
    <row r="3" spans="2:56" x14ac:dyDescent="0.25">
      <c r="B3" s="9"/>
      <c r="C3" s="10"/>
      <c r="D3" s="10"/>
      <c r="E3" s="11"/>
      <c r="G3" s="78" t="s">
        <v>6</v>
      </c>
      <c r="H3" s="72" t="s">
        <v>7</v>
      </c>
      <c r="I3" s="73" t="s">
        <v>8</v>
      </c>
      <c r="K3" s="9"/>
      <c r="L3" s="10"/>
      <c r="M3" s="10"/>
      <c r="N3" s="11"/>
      <c r="P3" s="153" t="s">
        <v>6</v>
      </c>
      <c r="Q3" s="154" t="s">
        <v>7</v>
      </c>
      <c r="R3" s="155" t="s">
        <v>8</v>
      </c>
      <c r="T3" s="9"/>
      <c r="U3" s="10"/>
      <c r="V3" s="10"/>
      <c r="W3" s="11"/>
      <c r="Y3" s="153" t="s">
        <v>6</v>
      </c>
      <c r="Z3" s="166" t="s">
        <v>7</v>
      </c>
      <c r="AA3" s="167" t="s">
        <v>8</v>
      </c>
      <c r="AC3" s="9"/>
      <c r="AD3" s="10"/>
      <c r="AE3" s="10"/>
      <c r="AF3" s="11"/>
      <c r="AH3" s="172" t="s">
        <v>6</v>
      </c>
      <c r="AI3" s="173" t="s">
        <v>7</v>
      </c>
      <c r="AJ3" s="174" t="s">
        <v>8</v>
      </c>
      <c r="AL3" s="9"/>
      <c r="AM3" s="10"/>
      <c r="AN3" s="10"/>
      <c r="AO3" s="11"/>
      <c r="AQ3" s="172" t="s">
        <v>6</v>
      </c>
      <c r="AR3" s="173" t="s">
        <v>7</v>
      </c>
      <c r="AS3" s="174" t="s">
        <v>8</v>
      </c>
      <c r="AT3" s="1"/>
      <c r="AU3" s="1"/>
    </row>
    <row r="4" spans="2:56" x14ac:dyDescent="0.25">
      <c r="B4" s="12"/>
      <c r="C4" s="13"/>
      <c r="D4" s="14"/>
      <c r="E4" s="15"/>
      <c r="G4" s="79" t="s">
        <v>11</v>
      </c>
      <c r="H4" s="74">
        <v>7.000000000000001E-4</v>
      </c>
      <c r="I4" s="75" t="b">
        <v>1</v>
      </c>
      <c r="K4" s="12"/>
      <c r="L4" s="13"/>
      <c r="M4" s="14"/>
      <c r="N4" s="15"/>
      <c r="P4" s="156" t="s">
        <v>11</v>
      </c>
      <c r="Q4" s="157">
        <v>2.5000000000000001E-3</v>
      </c>
      <c r="R4" s="158" t="b">
        <v>1</v>
      </c>
      <c r="T4" s="12"/>
      <c r="U4" s="13"/>
      <c r="V4" s="14"/>
      <c r="W4" s="15"/>
      <c r="Y4" s="12" t="s">
        <v>11</v>
      </c>
      <c r="Z4" s="71">
        <v>3.2000000000000002E-3</v>
      </c>
      <c r="AA4" s="168" t="b">
        <v>1</v>
      </c>
      <c r="AC4" s="12"/>
      <c r="AD4" s="13"/>
      <c r="AE4" s="14"/>
      <c r="AF4" s="15"/>
      <c r="AH4" s="175" t="s">
        <v>12</v>
      </c>
      <c r="AI4" s="176">
        <v>0.01</v>
      </c>
      <c r="AJ4" s="177" t="b">
        <v>1</v>
      </c>
      <c r="AL4" s="12"/>
      <c r="AM4" s="13"/>
      <c r="AN4" s="14"/>
      <c r="AO4" s="15"/>
      <c r="AQ4" s="175" t="s">
        <v>12</v>
      </c>
      <c r="AR4" s="176">
        <v>3.5000000000000001E-3</v>
      </c>
      <c r="AS4" s="177" t="b">
        <v>1</v>
      </c>
      <c r="AT4" s="1"/>
      <c r="AU4" s="1"/>
    </row>
    <row r="5" spans="2:56" x14ac:dyDescent="0.25">
      <c r="B5" s="12"/>
      <c r="C5" s="17" t="s">
        <v>2</v>
      </c>
      <c r="D5" s="14"/>
      <c r="E5" s="15"/>
      <c r="G5" s="79" t="s">
        <v>15</v>
      </c>
      <c r="H5" s="74">
        <v>1.1999999999999999E-3</v>
      </c>
      <c r="I5" s="75" t="b">
        <v>1</v>
      </c>
      <c r="K5" s="12"/>
      <c r="L5" s="17" t="s">
        <v>3</v>
      </c>
      <c r="M5" s="14"/>
      <c r="N5" s="15"/>
      <c r="P5" s="156" t="s">
        <v>16</v>
      </c>
      <c r="Q5" s="157">
        <v>3.0000000000000001E-3</v>
      </c>
      <c r="R5" s="158" t="b">
        <v>1</v>
      </c>
      <c r="T5" s="12"/>
      <c r="U5" s="17" t="s">
        <v>4</v>
      </c>
      <c r="V5" s="14"/>
      <c r="W5" s="15"/>
      <c r="Y5" s="12" t="s">
        <v>16</v>
      </c>
      <c r="Z5" s="71">
        <v>3.0000000000000001E-3</v>
      </c>
      <c r="AA5" s="168" t="b">
        <v>1</v>
      </c>
      <c r="AC5" s="12"/>
      <c r="AD5" s="17" t="s">
        <v>4</v>
      </c>
      <c r="AE5" s="14"/>
      <c r="AF5" s="15"/>
      <c r="AH5" s="175" t="s">
        <v>17</v>
      </c>
      <c r="AI5" s="176">
        <v>0.01</v>
      </c>
      <c r="AJ5" s="177" t="b">
        <v>1</v>
      </c>
      <c r="AL5" s="12"/>
      <c r="AM5" s="17" t="s">
        <v>4</v>
      </c>
      <c r="AN5" s="14"/>
      <c r="AO5" s="15"/>
      <c r="AQ5" s="175" t="s">
        <v>17</v>
      </c>
      <c r="AR5" s="176">
        <v>3.5000000000000001E-3</v>
      </c>
      <c r="AS5" s="177" t="b">
        <v>1</v>
      </c>
      <c r="AT5" s="1"/>
      <c r="AU5" s="1"/>
    </row>
    <row r="6" spans="2:56" x14ac:dyDescent="0.25">
      <c r="B6" s="12"/>
      <c r="C6" s="19" t="s">
        <v>5</v>
      </c>
      <c r="D6" s="20" t="b">
        <v>1</v>
      </c>
      <c r="E6" s="15"/>
      <c r="G6" s="79" t="s">
        <v>18</v>
      </c>
      <c r="H6" s="74">
        <v>1.6000000000000001E-3</v>
      </c>
      <c r="I6" s="75" t="b">
        <v>1</v>
      </c>
      <c r="K6" s="12"/>
      <c r="L6" s="19" t="s">
        <v>5</v>
      </c>
      <c r="M6" s="20" t="b">
        <v>1</v>
      </c>
      <c r="N6" s="15"/>
      <c r="P6" s="156" t="s">
        <v>19</v>
      </c>
      <c r="Q6" s="157">
        <v>3.4000000000000002E-3</v>
      </c>
      <c r="R6" s="158" t="b">
        <v>1</v>
      </c>
      <c r="T6" s="12"/>
      <c r="U6" s="19" t="s">
        <v>5</v>
      </c>
      <c r="V6" s="20" t="b">
        <v>1</v>
      </c>
      <c r="W6" s="15"/>
      <c r="Y6" s="12" t="s">
        <v>19</v>
      </c>
      <c r="Z6" s="71">
        <v>3.4000000000000002E-3</v>
      </c>
      <c r="AA6" s="168" t="b">
        <v>1</v>
      </c>
      <c r="AC6" s="12"/>
      <c r="AD6" s="19" t="s">
        <v>5</v>
      </c>
      <c r="AE6" s="20" t="b">
        <v>1</v>
      </c>
      <c r="AF6" s="15"/>
      <c r="AH6" s="175" t="s">
        <v>20</v>
      </c>
      <c r="AI6" s="176">
        <v>0.01</v>
      </c>
      <c r="AJ6" s="177" t="b">
        <v>1</v>
      </c>
      <c r="AL6" s="12"/>
      <c r="AM6" s="19" t="s">
        <v>5</v>
      </c>
      <c r="AN6" s="20" t="b">
        <v>1</v>
      </c>
      <c r="AO6" s="15"/>
      <c r="AQ6" s="175" t="s">
        <v>20</v>
      </c>
      <c r="AR6" s="176">
        <v>3.5000000000000001E-3</v>
      </c>
      <c r="AS6" s="177" t="b">
        <v>1</v>
      </c>
      <c r="AT6" s="1"/>
      <c r="AU6" s="1"/>
    </row>
    <row r="7" spans="2:56" x14ac:dyDescent="0.25">
      <c r="B7" s="12"/>
      <c r="C7" s="21" t="s">
        <v>10</v>
      </c>
      <c r="D7" s="22" t="s">
        <v>284</v>
      </c>
      <c r="E7" s="15"/>
      <c r="G7" s="79" t="s">
        <v>16</v>
      </c>
      <c r="H7" s="74">
        <v>1.1999999999999999E-3</v>
      </c>
      <c r="I7" s="75" t="b">
        <v>1</v>
      </c>
      <c r="K7" s="12"/>
      <c r="L7" s="21" t="s">
        <v>10</v>
      </c>
      <c r="M7" s="22" t="s">
        <v>275</v>
      </c>
      <c r="N7" s="15"/>
      <c r="P7" s="156" t="s">
        <v>21</v>
      </c>
      <c r="Q7" s="157">
        <v>3.5999999999999999E-3</v>
      </c>
      <c r="R7" s="158" t="b">
        <v>1</v>
      </c>
      <c r="S7" s="5"/>
      <c r="T7" s="12"/>
      <c r="U7" s="21" t="s">
        <v>10</v>
      </c>
      <c r="V7" s="22" t="s">
        <v>276</v>
      </c>
      <c r="W7" s="15"/>
      <c r="Y7" s="12" t="s">
        <v>191</v>
      </c>
      <c r="Z7" s="71">
        <v>3.4799999999999996E-3</v>
      </c>
      <c r="AA7" s="168" t="b">
        <v>1</v>
      </c>
      <c r="AB7" s="24"/>
      <c r="AC7" s="12"/>
      <c r="AD7" s="21" t="s">
        <v>10</v>
      </c>
      <c r="AE7" s="22" t="s">
        <v>277</v>
      </c>
      <c r="AF7" s="15"/>
      <c r="AH7" s="175" t="s">
        <v>22</v>
      </c>
      <c r="AI7" s="176">
        <v>0.01</v>
      </c>
      <c r="AJ7" s="177" t="b">
        <v>1</v>
      </c>
      <c r="AL7" s="12"/>
      <c r="AM7" s="21" t="s">
        <v>10</v>
      </c>
      <c r="AN7" s="22" t="s">
        <v>278</v>
      </c>
      <c r="AO7" s="15"/>
      <c r="AQ7" s="175" t="s">
        <v>22</v>
      </c>
      <c r="AR7" s="176">
        <v>3.5000000000000001E-3</v>
      </c>
      <c r="AS7" s="177" t="b">
        <v>1</v>
      </c>
      <c r="AT7" s="1"/>
      <c r="AU7" s="23"/>
    </row>
    <row r="8" spans="2:56" x14ac:dyDescent="0.25">
      <c r="B8" s="12"/>
      <c r="C8" s="25" t="s">
        <v>13</v>
      </c>
      <c r="D8" s="26" t="str">
        <f ca="1">IF(D$6,_xll.meLWOCurveGeneratorCreate(D$7,"CURVEPROPERTIES",C12:D18,"OIS",C23:D37),"Disabled")</f>
        <v>EM_CZK_CURVE_OIS:10</v>
      </c>
      <c r="E8" s="15" t="s">
        <v>14</v>
      </c>
      <c r="G8" s="79" t="s">
        <v>24</v>
      </c>
      <c r="H8" s="74">
        <v>1.1999999999999999E-3</v>
      </c>
      <c r="I8" s="75" t="b">
        <v>1</v>
      </c>
      <c r="K8" s="12"/>
      <c r="L8" s="25" t="s">
        <v>13</v>
      </c>
      <c r="M8" s="26" t="str">
        <f ca="1">IF(M$6,_xll.meLWOCurveGeneratorCreate(M$7,"CURVEPROPERTIES",L12:M27,"MONEYMARKET",L30:M32,"LIBORFIXINGS",L35:M39,"FRAS",L42:M45,"SWAPS",L48:M65,"BASISSWAPS",L68:M99),"Disabled")</f>
        <v>EM_CZK_SWAP_6M:9</v>
      </c>
      <c r="N8" s="15" t="s">
        <v>14</v>
      </c>
      <c r="P8" s="156" t="s">
        <v>26</v>
      </c>
      <c r="Q8" s="157">
        <v>3.6800000000000001E-3</v>
      </c>
      <c r="R8" s="158" t="b">
        <v>1</v>
      </c>
      <c r="S8" s="5"/>
      <c r="T8" s="12"/>
      <c r="U8" s="25" t="s">
        <v>13</v>
      </c>
      <c r="V8" s="26" t="str">
        <f ca="1">IF(V$6,_xll.meLWOCurveGeneratorCreate(V$7,"CURVEPROPERTIES",U12:V22,"MONEYMARKET",U25:V27,"LIBORFIXINGS",U30:V34,"FRAS",U37:V41,"BASISSWAPS",U43:V84),"Disabled")</f>
        <v>EM_CZK_BASIS_3M:8</v>
      </c>
      <c r="W8" s="15" t="s">
        <v>14</v>
      </c>
      <c r="Y8" s="12" t="s">
        <v>192</v>
      </c>
      <c r="Z8" s="71">
        <v>3.4799999999999996E-3</v>
      </c>
      <c r="AA8" s="168" t="b">
        <v>1</v>
      </c>
      <c r="AB8" s="24"/>
      <c r="AC8" s="12"/>
      <c r="AD8" s="25" t="s">
        <v>13</v>
      </c>
      <c r="AE8" s="26" t="str">
        <f ca="1">IF(AE$6,_xll.meLWOCurveGeneratorCreate(AE$7,AD11,AD12:AE21,AD26,AD27:AE65),"Disabled")</f>
        <v>EM_CZK_BASIS_12M:7</v>
      </c>
      <c r="AF8" s="15" t="s">
        <v>14</v>
      </c>
      <c r="AH8" s="175" t="s">
        <v>27</v>
      </c>
      <c r="AI8" s="176">
        <v>0.01</v>
      </c>
      <c r="AJ8" s="177" t="b">
        <v>1</v>
      </c>
      <c r="AL8" s="12"/>
      <c r="AM8" s="25" t="s">
        <v>13</v>
      </c>
      <c r="AN8" s="26" t="str">
        <f ca="1">IF(AN$6,_xll.meLWOCurveGeneratorCreate(AN$7,AM11,AM12:AN21,"LIBORFIXINGS",AM32:AN36,"BASISSWAPS",AM39:AN80),"Disabled")</f>
        <v>EM_CZK_BASIS_1M:6</v>
      </c>
      <c r="AO8" s="15" t="s">
        <v>14</v>
      </c>
      <c r="AQ8" s="175" t="s">
        <v>27</v>
      </c>
      <c r="AR8" s="176">
        <v>3.5000000000000001E-3</v>
      </c>
      <c r="AS8" s="177" t="b">
        <v>1</v>
      </c>
      <c r="AT8" s="1"/>
      <c r="AU8" s="23"/>
      <c r="AV8" s="27"/>
      <c r="AW8" s="27"/>
      <c r="AX8" s="27"/>
      <c r="AY8" s="27"/>
      <c r="BA8" s="28"/>
      <c r="BB8" s="28"/>
    </row>
    <row r="9" spans="2:56" x14ac:dyDescent="0.25">
      <c r="B9" s="12"/>
      <c r="C9" s="29"/>
      <c r="D9" s="29"/>
      <c r="E9" s="15" t="s">
        <v>14</v>
      </c>
      <c r="G9" s="79" t="s">
        <v>19</v>
      </c>
      <c r="H9" s="74">
        <v>1.2999999999999999E-3</v>
      </c>
      <c r="I9" s="75" t="b">
        <v>1</v>
      </c>
      <c r="K9" s="12"/>
      <c r="L9" s="16"/>
      <c r="M9" s="29"/>
      <c r="N9" s="15"/>
      <c r="P9" s="156" t="s">
        <v>31</v>
      </c>
      <c r="Q9" s="157">
        <v>3.8E-3</v>
      </c>
      <c r="R9" s="158" t="b">
        <v>1</v>
      </c>
      <c r="S9" s="5"/>
      <c r="T9" s="12"/>
      <c r="U9" s="16"/>
      <c r="V9" s="29"/>
      <c r="W9" s="15"/>
      <c r="Y9" s="12" t="s">
        <v>193</v>
      </c>
      <c r="Z9" s="71">
        <v>3.4999999999999996E-3</v>
      </c>
      <c r="AA9" s="168" t="b">
        <v>1</v>
      </c>
      <c r="AB9" s="24"/>
      <c r="AC9" s="12"/>
      <c r="AD9" s="16"/>
      <c r="AE9" s="29"/>
      <c r="AF9" s="15"/>
      <c r="AH9" s="175" t="s">
        <v>33</v>
      </c>
      <c r="AI9" s="176">
        <v>0.01</v>
      </c>
      <c r="AJ9" s="177" t="b">
        <v>1</v>
      </c>
      <c r="AL9" s="12"/>
      <c r="AM9" s="16"/>
      <c r="AN9" s="29"/>
      <c r="AO9" s="15"/>
      <c r="AQ9" s="175" t="s">
        <v>33</v>
      </c>
      <c r="AR9" s="176">
        <v>3.5000000000000001E-3</v>
      </c>
      <c r="AS9" s="177" t="b">
        <v>1</v>
      </c>
      <c r="AT9" s="1"/>
      <c r="AU9" s="3"/>
      <c r="AV9" s="27"/>
      <c r="AW9" s="27"/>
      <c r="AX9" s="27"/>
      <c r="AY9" s="27"/>
      <c r="BA9" s="28"/>
      <c r="BB9" s="28"/>
    </row>
    <row r="10" spans="2:56" x14ac:dyDescent="0.25">
      <c r="B10" s="12"/>
      <c r="C10" s="29"/>
      <c r="D10" s="29"/>
      <c r="E10" s="15"/>
      <c r="G10" s="79" t="s">
        <v>21</v>
      </c>
      <c r="H10" s="74">
        <v>1.2999999999999999E-3</v>
      </c>
      <c r="I10" s="75" t="b">
        <v>1</v>
      </c>
      <c r="K10" s="12"/>
      <c r="L10" s="16"/>
      <c r="M10" s="16"/>
      <c r="N10" s="15"/>
      <c r="P10" s="156" t="s">
        <v>35</v>
      </c>
      <c r="Q10" s="157">
        <v>4.0000000000000001E-3</v>
      </c>
      <c r="R10" s="158" t="b">
        <v>1</v>
      </c>
      <c r="S10" s="5"/>
      <c r="T10" s="12"/>
      <c r="U10" s="16"/>
      <c r="V10" s="16"/>
      <c r="W10" s="15"/>
      <c r="Y10" s="12" t="s">
        <v>194</v>
      </c>
      <c r="Z10" s="71">
        <v>3.6800000000000001E-3</v>
      </c>
      <c r="AA10" s="168" t="b">
        <v>1</v>
      </c>
      <c r="AB10" s="24"/>
      <c r="AC10" s="12"/>
      <c r="AD10" s="16"/>
      <c r="AE10" s="16"/>
      <c r="AF10" s="15"/>
      <c r="AH10" s="175" t="s">
        <v>37</v>
      </c>
      <c r="AI10" s="176">
        <v>0.01</v>
      </c>
      <c r="AJ10" s="177" t="b">
        <v>1</v>
      </c>
      <c r="AL10" s="12"/>
      <c r="AM10" s="16"/>
      <c r="AN10" s="16"/>
      <c r="AO10" s="15"/>
      <c r="AQ10" s="175" t="s">
        <v>37</v>
      </c>
      <c r="AR10" s="176">
        <v>3.5000000000000001E-3</v>
      </c>
      <c r="AS10" s="177" t="b">
        <v>1</v>
      </c>
      <c r="AT10" s="1"/>
      <c r="AU10" s="3"/>
      <c r="AV10" s="27"/>
      <c r="AW10" s="27"/>
      <c r="AX10" s="27"/>
      <c r="AY10" s="27"/>
      <c r="BA10" s="28"/>
      <c r="BB10" s="28"/>
    </row>
    <row r="11" spans="2:56" x14ac:dyDescent="0.25">
      <c r="B11" s="12"/>
      <c r="C11" s="17" t="s">
        <v>23</v>
      </c>
      <c r="D11" s="16"/>
      <c r="E11" s="15"/>
      <c r="G11" s="79" t="s">
        <v>42</v>
      </c>
      <c r="H11" s="74">
        <v>1.4000000000000002E-3</v>
      </c>
      <c r="I11" s="75" t="b">
        <v>1</v>
      </c>
      <c r="K11" s="12"/>
      <c r="L11" s="17" t="s">
        <v>23</v>
      </c>
      <c r="M11" s="16" t="s">
        <v>25</v>
      </c>
      <c r="N11" s="15"/>
      <c r="P11" s="156" t="s">
        <v>44</v>
      </c>
      <c r="Q11" s="157">
        <v>4.13E-3</v>
      </c>
      <c r="R11" s="158" t="b">
        <v>1</v>
      </c>
      <c r="S11" s="5"/>
      <c r="T11" s="12"/>
      <c r="U11" s="17" t="s">
        <v>23</v>
      </c>
      <c r="V11" s="30" t="s">
        <v>25</v>
      </c>
      <c r="W11" s="15"/>
      <c r="Y11" s="12" t="s">
        <v>12</v>
      </c>
      <c r="Z11" s="71">
        <v>4.4999999999999999E-4</v>
      </c>
      <c r="AA11" s="168" t="b">
        <v>1</v>
      </c>
      <c r="AB11" s="24"/>
      <c r="AC11" s="12"/>
      <c r="AD11" s="17" t="s">
        <v>23</v>
      </c>
      <c r="AE11" s="30" t="s">
        <v>25</v>
      </c>
      <c r="AF11" s="15"/>
      <c r="AH11" s="175" t="s">
        <v>46</v>
      </c>
      <c r="AI11" s="176">
        <v>0.01</v>
      </c>
      <c r="AJ11" s="177" t="b">
        <v>1</v>
      </c>
      <c r="AL11" s="12"/>
      <c r="AM11" s="17" t="s">
        <v>23</v>
      </c>
      <c r="AN11" s="30" t="s">
        <v>25</v>
      </c>
      <c r="AO11" s="15"/>
      <c r="AQ11" s="175" t="s">
        <v>46</v>
      </c>
      <c r="AR11" s="176">
        <v>3.5000000000000001E-3</v>
      </c>
      <c r="AS11" s="177" t="b">
        <v>1</v>
      </c>
      <c r="AT11" s="1"/>
      <c r="AU11" s="3"/>
      <c r="AV11" s="27"/>
      <c r="AW11" s="27"/>
      <c r="AX11" s="27"/>
      <c r="AY11" s="27"/>
      <c r="BA11" s="28"/>
      <c r="BB11" s="28"/>
    </row>
    <row r="12" spans="2:56" x14ac:dyDescent="0.25">
      <c r="B12" s="12"/>
      <c r="C12" s="31" t="s">
        <v>28</v>
      </c>
      <c r="D12" s="32" t="s">
        <v>29</v>
      </c>
      <c r="E12" s="15"/>
      <c r="G12" s="79" t="s">
        <v>12</v>
      </c>
      <c r="H12" s="74">
        <v>1.6000000000000001E-3</v>
      </c>
      <c r="I12" s="75" t="b">
        <v>1</v>
      </c>
      <c r="K12" s="12"/>
      <c r="L12" s="33" t="s">
        <v>28</v>
      </c>
      <c r="M12" s="34" t="s">
        <v>30</v>
      </c>
      <c r="N12" s="15"/>
      <c r="P12" s="156" t="s">
        <v>49</v>
      </c>
      <c r="Q12" s="157">
        <v>4.1799999999999997E-3</v>
      </c>
      <c r="R12" s="158" t="b">
        <v>1</v>
      </c>
      <c r="S12" s="5"/>
      <c r="T12" s="12"/>
      <c r="U12" s="33" t="s">
        <v>32</v>
      </c>
      <c r="V12" s="35" t="s">
        <v>0</v>
      </c>
      <c r="W12" s="15"/>
      <c r="Y12" s="12" t="s">
        <v>17</v>
      </c>
      <c r="Z12" s="71">
        <v>5.2499999999999997E-4</v>
      </c>
      <c r="AA12" s="168" t="b">
        <v>1</v>
      </c>
      <c r="AB12" s="24"/>
      <c r="AC12" s="12"/>
      <c r="AD12" s="33" t="s">
        <v>32</v>
      </c>
      <c r="AE12" s="35" t="s">
        <v>0</v>
      </c>
      <c r="AF12" s="15"/>
      <c r="AH12" s="175" t="s">
        <v>52</v>
      </c>
      <c r="AI12" s="176">
        <v>0.01</v>
      </c>
      <c r="AJ12" s="177" t="b">
        <v>1</v>
      </c>
      <c r="AL12" s="12"/>
      <c r="AM12" s="33" t="s">
        <v>32</v>
      </c>
      <c r="AN12" s="35" t="s">
        <v>0</v>
      </c>
      <c r="AO12" s="15"/>
      <c r="AQ12" s="175" t="s">
        <v>52</v>
      </c>
      <c r="AR12" s="176">
        <v>3.5000000000000001E-3</v>
      </c>
      <c r="AS12" s="177" t="b">
        <v>1</v>
      </c>
      <c r="AT12" s="1"/>
      <c r="AU12" s="3"/>
      <c r="AV12" s="27"/>
      <c r="AW12" s="27"/>
      <c r="AX12" s="27"/>
      <c r="AY12" s="27"/>
      <c r="BA12" s="28"/>
      <c r="BB12" s="28"/>
      <c r="BD12" s="7"/>
    </row>
    <row r="13" spans="2:56" x14ac:dyDescent="0.25">
      <c r="B13" s="12"/>
      <c r="C13" s="36" t="s">
        <v>34</v>
      </c>
      <c r="D13" s="37" t="s">
        <v>40</v>
      </c>
      <c r="E13" s="15"/>
      <c r="G13" s="79" t="s">
        <v>17</v>
      </c>
      <c r="H13" s="74">
        <v>1.4099999999999998E-3</v>
      </c>
      <c r="I13" s="75" t="b">
        <v>1</v>
      </c>
      <c r="K13" s="12"/>
      <c r="L13" s="38" t="s">
        <v>34</v>
      </c>
      <c r="M13" s="39" t="s">
        <v>152</v>
      </c>
      <c r="N13" s="15"/>
      <c r="P13" s="162" t="s">
        <v>12</v>
      </c>
      <c r="Q13" s="163">
        <v>4.4999999999999999E-4</v>
      </c>
      <c r="R13" s="164" t="b">
        <v>1</v>
      </c>
      <c r="S13" s="5"/>
      <c r="T13" s="12"/>
      <c r="U13" s="38" t="s">
        <v>28</v>
      </c>
      <c r="V13" s="40" t="s">
        <v>36</v>
      </c>
      <c r="W13" s="15"/>
      <c r="Y13" s="12" t="s">
        <v>20</v>
      </c>
      <c r="Z13" s="71">
        <v>5.7499999999999999E-4</v>
      </c>
      <c r="AA13" s="168" t="b">
        <v>1</v>
      </c>
      <c r="AB13" s="24"/>
      <c r="AC13" s="12"/>
      <c r="AD13" s="38" t="s">
        <v>28</v>
      </c>
      <c r="AE13" s="40" t="s">
        <v>36</v>
      </c>
      <c r="AF13" s="15"/>
      <c r="AH13" s="175" t="s">
        <v>56</v>
      </c>
      <c r="AI13" s="176">
        <v>0.01</v>
      </c>
      <c r="AJ13" s="177" t="b">
        <v>1</v>
      </c>
      <c r="AL13" s="12"/>
      <c r="AM13" s="38" t="s">
        <v>28</v>
      </c>
      <c r="AN13" s="40" t="s">
        <v>36</v>
      </c>
      <c r="AO13" s="15"/>
      <c r="AQ13" s="175" t="s">
        <v>56</v>
      </c>
      <c r="AR13" s="176">
        <v>3.5000000000000001E-3</v>
      </c>
      <c r="AS13" s="177" t="b">
        <v>1</v>
      </c>
      <c r="AT13" s="1"/>
      <c r="AU13" s="3"/>
      <c r="AV13" s="27"/>
      <c r="AW13" s="27"/>
      <c r="AX13" s="27"/>
      <c r="AY13" s="27"/>
      <c r="BA13" s="28"/>
      <c r="BB13" s="28"/>
    </row>
    <row r="14" spans="2:56" x14ac:dyDescent="0.25">
      <c r="B14" s="12"/>
      <c r="C14" s="36" t="s">
        <v>41</v>
      </c>
      <c r="D14" s="37" t="s">
        <v>29</v>
      </c>
      <c r="E14" s="15"/>
      <c r="G14" s="79" t="s">
        <v>20</v>
      </c>
      <c r="H14" s="74">
        <v>1.3800000000000002E-3</v>
      </c>
      <c r="I14" s="75" t="b">
        <v>1</v>
      </c>
      <c r="K14" s="12"/>
      <c r="L14" s="38" t="s">
        <v>41</v>
      </c>
      <c r="M14" s="39" t="s">
        <v>43</v>
      </c>
      <c r="N14" s="15"/>
      <c r="P14" s="156" t="s">
        <v>17</v>
      </c>
      <c r="Q14" s="157">
        <v>0</v>
      </c>
      <c r="R14" s="158" t="b">
        <v>1</v>
      </c>
      <c r="S14" s="5"/>
      <c r="T14" s="12"/>
      <c r="U14" s="38" t="s">
        <v>34</v>
      </c>
      <c r="V14" s="40" t="s">
        <v>38</v>
      </c>
      <c r="W14" s="15"/>
      <c r="Y14" s="12" t="s">
        <v>22</v>
      </c>
      <c r="Z14" s="71">
        <v>6.7500000000000004E-4</v>
      </c>
      <c r="AA14" s="168" t="b">
        <v>1</v>
      </c>
      <c r="AB14" s="24"/>
      <c r="AC14" s="12"/>
      <c r="AD14" s="38" t="s">
        <v>34</v>
      </c>
      <c r="AE14" s="40" t="s">
        <v>45</v>
      </c>
      <c r="AF14" s="15"/>
      <c r="AH14" s="175" t="s">
        <v>61</v>
      </c>
      <c r="AI14" s="176">
        <v>0.01</v>
      </c>
      <c r="AJ14" s="177" t="b">
        <v>1</v>
      </c>
      <c r="AL14" s="12"/>
      <c r="AM14" s="38" t="s">
        <v>34</v>
      </c>
      <c r="AN14" s="40" t="s">
        <v>47</v>
      </c>
      <c r="AO14" s="15"/>
      <c r="AQ14" s="175" t="s">
        <v>61</v>
      </c>
      <c r="AR14" s="176">
        <v>3.5000000000000001E-3</v>
      </c>
      <c r="AS14" s="177" t="b">
        <v>1</v>
      </c>
      <c r="AT14" s="1"/>
      <c r="AU14" s="3"/>
      <c r="AV14" s="27"/>
      <c r="AW14" s="27"/>
      <c r="AX14" s="27"/>
      <c r="AY14" s="27"/>
      <c r="BA14" s="28"/>
      <c r="BB14" s="28"/>
    </row>
    <row r="15" spans="2:56" x14ac:dyDescent="0.25">
      <c r="B15" s="12"/>
      <c r="C15" s="36" t="s">
        <v>48</v>
      </c>
      <c r="D15" s="37" t="s">
        <v>198</v>
      </c>
      <c r="E15" s="15" t="s">
        <v>14</v>
      </c>
      <c r="G15" s="79" t="s">
        <v>22</v>
      </c>
      <c r="H15" s="74">
        <v>1.5200000000000005E-3</v>
      </c>
      <c r="I15" s="75" t="b">
        <v>1</v>
      </c>
      <c r="K15" s="12"/>
      <c r="L15" s="147" t="s">
        <v>48</v>
      </c>
      <c r="M15" s="42" t="str">
        <f ca="1">"STD:"&amp;"PRB"&amp;"6M"</f>
        <v>STD:PRB6M</v>
      </c>
      <c r="N15" s="15"/>
      <c r="P15" s="156" t="s">
        <v>20</v>
      </c>
      <c r="Q15" s="157">
        <v>0</v>
      </c>
      <c r="R15" s="158" t="b">
        <v>1</v>
      </c>
      <c r="S15" s="5"/>
      <c r="T15" s="12"/>
      <c r="U15" s="38" t="s">
        <v>41</v>
      </c>
      <c r="V15" s="40" t="s">
        <v>50</v>
      </c>
      <c r="W15" s="15"/>
      <c r="Y15" s="12" t="s">
        <v>27</v>
      </c>
      <c r="Z15" s="71">
        <v>7.7499999999999997E-4</v>
      </c>
      <c r="AA15" s="168" t="b">
        <v>1</v>
      </c>
      <c r="AB15" s="24"/>
      <c r="AC15" s="12"/>
      <c r="AD15" s="38" t="s">
        <v>41</v>
      </c>
      <c r="AE15" s="40" t="s">
        <v>51</v>
      </c>
      <c r="AF15" s="15"/>
      <c r="AH15" s="175" t="s">
        <v>64</v>
      </c>
      <c r="AI15" s="176">
        <v>0.01</v>
      </c>
      <c r="AJ15" s="177" t="b">
        <v>1</v>
      </c>
      <c r="AL15" s="12"/>
      <c r="AM15" s="38" t="s">
        <v>41</v>
      </c>
      <c r="AN15" s="40" t="s">
        <v>53</v>
      </c>
      <c r="AO15" s="15"/>
      <c r="AQ15" s="175" t="s">
        <v>64</v>
      </c>
      <c r="AR15" s="176">
        <v>3.5000000000000001E-3</v>
      </c>
      <c r="AS15" s="177" t="b">
        <v>1</v>
      </c>
      <c r="AT15" s="1"/>
      <c r="AU15" s="3"/>
      <c r="AV15" s="27"/>
      <c r="AW15" s="27"/>
      <c r="AX15" s="27"/>
      <c r="AY15" s="27"/>
      <c r="BA15" s="28"/>
      <c r="BB15" s="28"/>
    </row>
    <row r="16" spans="2:56" x14ac:dyDescent="0.25">
      <c r="B16" s="12"/>
      <c r="C16" s="36" t="s">
        <v>32</v>
      </c>
      <c r="D16" s="40" t="s">
        <v>0</v>
      </c>
      <c r="E16" s="15"/>
      <c r="G16" s="79" t="s">
        <v>27</v>
      </c>
      <c r="H16" s="74">
        <v>1.7800000000000003E-3</v>
      </c>
      <c r="I16" s="75" t="b">
        <v>1</v>
      </c>
      <c r="K16" s="12"/>
      <c r="L16" s="38" t="s">
        <v>32</v>
      </c>
      <c r="M16" s="39" t="s">
        <v>0</v>
      </c>
      <c r="N16" s="15"/>
      <c r="P16" s="156" t="s">
        <v>22</v>
      </c>
      <c r="Q16" s="157">
        <v>0</v>
      </c>
      <c r="R16" s="158" t="b">
        <v>1</v>
      </c>
      <c r="S16" s="5"/>
      <c r="T16" s="12"/>
      <c r="U16" s="41" t="s">
        <v>48</v>
      </c>
      <c r="V16" s="42" t="s">
        <v>55</v>
      </c>
      <c r="W16" s="15"/>
      <c r="Y16" s="12" t="s">
        <v>33</v>
      </c>
      <c r="Z16" s="71">
        <v>8.7500000000000002E-4</v>
      </c>
      <c r="AA16" s="168" t="b">
        <v>1</v>
      </c>
      <c r="AB16" s="24"/>
      <c r="AC16" s="12"/>
      <c r="AD16" s="41" t="s">
        <v>48</v>
      </c>
      <c r="AE16" s="42" t="s">
        <v>273</v>
      </c>
      <c r="AF16" s="15"/>
      <c r="AH16" s="175" t="s">
        <v>67</v>
      </c>
      <c r="AI16" s="176">
        <v>0.01</v>
      </c>
      <c r="AJ16" s="177" t="b">
        <v>1</v>
      </c>
      <c r="AL16" s="12"/>
      <c r="AM16" s="41" t="s">
        <v>48</v>
      </c>
      <c r="AN16" s="42" t="s">
        <v>57</v>
      </c>
      <c r="AO16" s="15"/>
      <c r="AQ16" s="175" t="s">
        <v>67</v>
      </c>
      <c r="AR16" s="176">
        <v>3.5000000000000001E-3</v>
      </c>
      <c r="AS16" s="177" t="b">
        <v>1</v>
      </c>
      <c r="AT16" s="1"/>
      <c r="AU16" s="3"/>
      <c r="AV16" s="27"/>
      <c r="AW16" s="27"/>
      <c r="AX16" s="27"/>
      <c r="AY16" s="27"/>
      <c r="BA16" s="28"/>
      <c r="BB16" s="28"/>
    </row>
    <row r="17" spans="2:56" x14ac:dyDescent="0.25">
      <c r="B17" s="12"/>
      <c r="C17" s="44" t="s">
        <v>58</v>
      </c>
      <c r="D17" s="40" t="s">
        <v>59</v>
      </c>
      <c r="E17" s="15"/>
      <c r="G17" s="79" t="s">
        <v>33</v>
      </c>
      <c r="H17" s="74">
        <v>2.1400000000000004E-3</v>
      </c>
      <c r="I17" s="75" t="b">
        <v>1</v>
      </c>
      <c r="K17" s="12"/>
      <c r="L17" s="38" t="s">
        <v>58</v>
      </c>
      <c r="M17" s="39" t="s">
        <v>60</v>
      </c>
      <c r="N17" s="15"/>
      <c r="P17" s="156" t="s">
        <v>27</v>
      </c>
      <c r="Q17" s="157">
        <v>0</v>
      </c>
      <c r="R17" s="158" t="b">
        <v>1</v>
      </c>
      <c r="S17" s="5"/>
      <c r="T17" s="12"/>
      <c r="U17" s="38" t="s">
        <v>58</v>
      </c>
      <c r="V17" s="40" t="s">
        <v>59</v>
      </c>
      <c r="W17" s="15"/>
      <c r="Y17" s="12" t="s">
        <v>37</v>
      </c>
      <c r="Z17" s="71">
        <v>9.9500000000000001E-4</v>
      </c>
      <c r="AA17" s="168" t="b">
        <v>1</v>
      </c>
      <c r="AB17" s="24"/>
      <c r="AC17" s="12"/>
      <c r="AD17" s="38" t="s">
        <v>58</v>
      </c>
      <c r="AE17" s="40" t="s">
        <v>59</v>
      </c>
      <c r="AF17" s="15"/>
      <c r="AH17" s="175"/>
      <c r="AI17" s="176"/>
      <c r="AJ17" s="177"/>
      <c r="AL17" s="12"/>
      <c r="AM17" s="38" t="s">
        <v>58</v>
      </c>
      <c r="AN17" s="40" t="s">
        <v>59</v>
      </c>
      <c r="AO17" s="15"/>
      <c r="AQ17" s="175"/>
      <c r="AR17" s="176"/>
      <c r="AS17" s="177"/>
      <c r="AT17" s="1"/>
      <c r="AU17" s="3"/>
      <c r="AV17" s="45"/>
      <c r="AW17" s="45"/>
      <c r="AX17" s="45"/>
      <c r="AY17" s="45"/>
      <c r="AZ17" s="6"/>
      <c r="BA17" s="28"/>
      <c r="BB17" s="28"/>
      <c r="BD17" s="7"/>
    </row>
    <row r="18" spans="2:56" x14ac:dyDescent="0.25">
      <c r="B18" s="12"/>
      <c r="C18" s="36" t="s">
        <v>63</v>
      </c>
      <c r="D18" s="40" t="s">
        <v>59</v>
      </c>
      <c r="E18" s="15"/>
      <c r="G18" s="79" t="s">
        <v>37</v>
      </c>
      <c r="H18" s="74">
        <v>2.5700000000000002E-3</v>
      </c>
      <c r="I18" s="75" t="b">
        <v>1</v>
      </c>
      <c r="K18" s="12"/>
      <c r="L18" s="38" t="s">
        <v>63</v>
      </c>
      <c r="M18" s="39" t="s">
        <v>60</v>
      </c>
      <c r="N18" s="15"/>
      <c r="P18" s="156" t="s">
        <v>33</v>
      </c>
      <c r="Q18" s="157">
        <v>0</v>
      </c>
      <c r="R18" s="158" t="b">
        <v>1</v>
      </c>
      <c r="S18" s="5"/>
      <c r="T18" s="12"/>
      <c r="U18" s="38" t="s">
        <v>63</v>
      </c>
      <c r="V18" s="40" t="s">
        <v>59</v>
      </c>
      <c r="W18" s="15"/>
      <c r="Y18" s="12" t="s">
        <v>46</v>
      </c>
      <c r="Z18" s="71">
        <v>1.1199999999999999E-3</v>
      </c>
      <c r="AA18" s="168" t="b">
        <v>1</v>
      </c>
      <c r="AB18" s="24"/>
      <c r="AC18" s="12"/>
      <c r="AD18" s="38" t="s">
        <v>63</v>
      </c>
      <c r="AE18" s="40" t="s">
        <v>59</v>
      </c>
      <c r="AF18" s="15"/>
      <c r="AH18" s="175"/>
      <c r="AI18" s="176"/>
      <c r="AJ18" s="177"/>
      <c r="AL18" s="12"/>
      <c r="AM18" s="38" t="s">
        <v>63</v>
      </c>
      <c r="AN18" s="40" t="s">
        <v>59</v>
      </c>
      <c r="AO18" s="15"/>
      <c r="AQ18" s="175"/>
      <c r="AR18" s="176"/>
      <c r="AS18" s="177"/>
      <c r="AT18" s="1"/>
      <c r="AU18" s="3"/>
      <c r="AV18" s="27"/>
      <c r="AW18" s="27"/>
      <c r="AX18" s="27"/>
      <c r="AY18" s="27"/>
      <c r="BA18" s="28"/>
      <c r="BB18" s="28"/>
    </row>
    <row r="19" spans="2:56" x14ac:dyDescent="0.25">
      <c r="B19" s="12"/>
      <c r="C19" s="36"/>
      <c r="D19" s="40"/>
      <c r="E19" s="15"/>
      <c r="G19" s="79" t="s">
        <v>46</v>
      </c>
      <c r="H19" s="74">
        <v>3.0400000000000006E-3</v>
      </c>
      <c r="I19" s="75" t="b">
        <v>1</v>
      </c>
      <c r="K19" s="12"/>
      <c r="L19" s="38" t="s">
        <v>65</v>
      </c>
      <c r="M19" s="39" t="s">
        <v>60</v>
      </c>
      <c r="N19" s="15"/>
      <c r="P19" s="156" t="s">
        <v>37</v>
      </c>
      <c r="Q19" s="157">
        <v>0</v>
      </c>
      <c r="R19" s="158" t="b">
        <v>1</v>
      </c>
      <c r="S19" s="5"/>
      <c r="T19" s="12"/>
      <c r="U19" s="38" t="s">
        <v>66</v>
      </c>
      <c r="V19" s="40" t="s">
        <v>59</v>
      </c>
      <c r="W19" s="15"/>
      <c r="Y19" s="12" t="s">
        <v>52</v>
      </c>
      <c r="Z19" s="71">
        <v>1.2699999999999999E-3</v>
      </c>
      <c r="AA19" s="168" t="b">
        <v>1</v>
      </c>
      <c r="AB19" s="24"/>
      <c r="AC19" s="12"/>
      <c r="AD19" s="38" t="s">
        <v>66</v>
      </c>
      <c r="AE19" s="40" t="s">
        <v>59</v>
      </c>
      <c r="AF19" s="15"/>
      <c r="AH19" s="175"/>
      <c r="AI19" s="176"/>
      <c r="AJ19" s="177"/>
      <c r="AL19" s="12"/>
      <c r="AM19" s="38" t="s">
        <v>66</v>
      </c>
      <c r="AN19" s="40" t="s">
        <v>59</v>
      </c>
      <c r="AO19" s="15"/>
      <c r="AQ19" s="175"/>
      <c r="AR19" s="176"/>
      <c r="AS19" s="177"/>
      <c r="AT19" s="1"/>
      <c r="AU19" s="1"/>
      <c r="AV19" s="27"/>
      <c r="AW19" s="27"/>
      <c r="AX19" s="27"/>
      <c r="AY19" s="27"/>
      <c r="BA19" s="28"/>
      <c r="BB19" s="28"/>
    </row>
    <row r="20" spans="2:56" x14ac:dyDescent="0.25">
      <c r="B20" s="12"/>
      <c r="C20" s="46"/>
      <c r="D20" s="43"/>
      <c r="E20" s="15"/>
      <c r="G20" s="79" t="s">
        <v>52</v>
      </c>
      <c r="H20" s="74">
        <v>3.5100000000000001E-3</v>
      </c>
      <c r="I20" s="75" t="b">
        <v>1</v>
      </c>
      <c r="K20" s="12"/>
      <c r="L20" s="147" t="s">
        <v>68</v>
      </c>
      <c r="M20" s="42" t="s">
        <v>69</v>
      </c>
      <c r="N20" s="15"/>
      <c r="P20" s="156" t="s">
        <v>46</v>
      </c>
      <c r="Q20" s="157">
        <v>0</v>
      </c>
      <c r="R20" s="158" t="b">
        <v>1</v>
      </c>
      <c r="S20" s="5"/>
      <c r="T20" s="12"/>
      <c r="U20" s="38" t="s">
        <v>70</v>
      </c>
      <c r="V20" s="40" t="s">
        <v>71</v>
      </c>
      <c r="W20" s="15"/>
      <c r="Y20" s="12" t="s">
        <v>56</v>
      </c>
      <c r="Z20" s="71">
        <v>1.395E-3</v>
      </c>
      <c r="AA20" s="168" t="b">
        <v>1</v>
      </c>
      <c r="AB20" s="24"/>
      <c r="AC20" s="12"/>
      <c r="AD20" s="38" t="s">
        <v>70</v>
      </c>
      <c r="AE20" s="40" t="s">
        <v>71</v>
      </c>
      <c r="AF20" s="15"/>
      <c r="AH20" s="178"/>
      <c r="AI20" s="179"/>
      <c r="AJ20" s="180"/>
      <c r="AL20" s="12"/>
      <c r="AM20" s="38" t="s">
        <v>70</v>
      </c>
      <c r="AN20" s="40" t="s">
        <v>71</v>
      </c>
      <c r="AO20" s="15"/>
      <c r="AQ20" s="178"/>
      <c r="AR20" s="179"/>
      <c r="AS20" s="180"/>
      <c r="AT20" s="1"/>
      <c r="AU20" s="1"/>
      <c r="AV20" s="27"/>
      <c r="AW20" s="27"/>
      <c r="AX20" s="27"/>
      <c r="AY20" s="27"/>
      <c r="BA20" s="28"/>
      <c r="BB20" s="28"/>
    </row>
    <row r="21" spans="2:56" x14ac:dyDescent="0.25">
      <c r="B21" s="12"/>
      <c r="C21" s="16"/>
      <c r="D21" s="16"/>
      <c r="E21" s="15"/>
      <c r="G21" s="79" t="s">
        <v>56</v>
      </c>
      <c r="H21" s="74">
        <v>4.0099999999999997E-3</v>
      </c>
      <c r="I21" s="75" t="b">
        <v>1</v>
      </c>
      <c r="K21" s="12"/>
      <c r="L21" s="147" t="s">
        <v>75</v>
      </c>
      <c r="M21" s="42" t="b">
        <v>0</v>
      </c>
      <c r="N21" s="15"/>
      <c r="P21" s="156" t="s">
        <v>52</v>
      </c>
      <c r="Q21" s="157">
        <v>0</v>
      </c>
      <c r="R21" s="158" t="b">
        <v>1</v>
      </c>
      <c r="S21" s="5"/>
      <c r="T21" s="12"/>
      <c r="U21" s="38" t="s">
        <v>76</v>
      </c>
      <c r="V21" s="40" t="b">
        <v>1</v>
      </c>
      <c r="W21" s="15"/>
      <c r="Y21" s="12" t="s">
        <v>61</v>
      </c>
      <c r="Z21" s="71">
        <v>1.485E-3</v>
      </c>
      <c r="AA21" s="168" t="b">
        <v>1</v>
      </c>
      <c r="AB21" s="24"/>
      <c r="AC21" s="12"/>
      <c r="AD21" s="47" t="s">
        <v>74</v>
      </c>
      <c r="AE21" s="48" t="s">
        <v>29</v>
      </c>
      <c r="AF21" s="15"/>
      <c r="AL21" s="12"/>
      <c r="AM21" s="47" t="s">
        <v>74</v>
      </c>
      <c r="AN21" s="48" t="s">
        <v>29</v>
      </c>
      <c r="AO21" s="15"/>
      <c r="AR21" s="3"/>
      <c r="AS21" s="1"/>
      <c r="AT21" s="1"/>
      <c r="AU21" s="1"/>
      <c r="AV21" s="27"/>
      <c r="AW21" s="27"/>
      <c r="AX21" s="27"/>
      <c r="AY21" s="27"/>
      <c r="BA21" s="28"/>
      <c r="BB21" s="28"/>
    </row>
    <row r="22" spans="2:56" x14ac:dyDescent="0.25">
      <c r="B22" s="12"/>
      <c r="C22" s="17" t="s">
        <v>29</v>
      </c>
      <c r="D22" s="16"/>
      <c r="E22" s="15"/>
      <c r="G22" s="79" t="s">
        <v>61</v>
      </c>
      <c r="H22" s="74">
        <v>4.9399999999999999E-3</v>
      </c>
      <c r="I22" s="75" t="b">
        <v>1</v>
      </c>
      <c r="K22" s="12"/>
      <c r="L22" s="38" t="s">
        <v>79</v>
      </c>
      <c r="M22" s="39" t="s">
        <v>80</v>
      </c>
      <c r="N22" s="15"/>
      <c r="P22" s="156" t="s">
        <v>56</v>
      </c>
      <c r="Q22" s="157">
        <v>0</v>
      </c>
      <c r="R22" s="158" t="b">
        <v>1</v>
      </c>
      <c r="S22" s="5"/>
      <c r="T22" s="12"/>
      <c r="U22" s="47" t="s">
        <v>74</v>
      </c>
      <c r="V22" s="48" t="s">
        <v>29</v>
      </c>
      <c r="W22" s="15"/>
      <c r="Y22" s="12" t="s">
        <v>64</v>
      </c>
      <c r="Z22" s="71">
        <v>1.31E-3</v>
      </c>
      <c r="AA22" s="168" t="b">
        <v>1</v>
      </c>
      <c r="AB22" s="24"/>
      <c r="AC22" s="12"/>
      <c r="AD22" s="38" t="s">
        <v>25</v>
      </c>
      <c r="AE22" s="40" t="s">
        <v>25</v>
      </c>
      <c r="AF22" s="15"/>
      <c r="AL22" s="12"/>
      <c r="AM22" s="38" t="s">
        <v>25</v>
      </c>
      <c r="AN22" s="40" t="s">
        <v>25</v>
      </c>
      <c r="AO22" s="15"/>
      <c r="AR22" s="3"/>
      <c r="AS22" s="1"/>
      <c r="AT22" s="1"/>
      <c r="AU22" s="1"/>
      <c r="AV22" s="27"/>
      <c r="AW22" s="27"/>
      <c r="AX22" s="27"/>
      <c r="AY22" s="27"/>
      <c r="BA22" s="28"/>
      <c r="BB22" s="28"/>
    </row>
    <row r="23" spans="2:56" x14ac:dyDescent="0.25">
      <c r="B23" s="12"/>
      <c r="C23" s="33" t="s">
        <v>84</v>
      </c>
      <c r="D23" s="34" t="s">
        <v>195</v>
      </c>
      <c r="E23" s="15"/>
      <c r="G23" s="79" t="s">
        <v>64</v>
      </c>
      <c r="H23" s="74">
        <v>6.1000000000000004E-3</v>
      </c>
      <c r="I23" s="75" t="b">
        <v>1</v>
      </c>
      <c r="K23" s="12"/>
      <c r="L23" s="38" t="s">
        <v>85</v>
      </c>
      <c r="M23" s="39" t="b">
        <v>0</v>
      </c>
      <c r="N23" s="15"/>
      <c r="P23" s="156" t="s">
        <v>61</v>
      </c>
      <c r="Q23" s="157">
        <v>0</v>
      </c>
      <c r="R23" s="158" t="b">
        <v>1</v>
      </c>
      <c r="S23" s="5"/>
      <c r="T23" s="12"/>
      <c r="U23" s="30" t="s">
        <v>25</v>
      </c>
      <c r="V23" s="30" t="s">
        <v>25</v>
      </c>
      <c r="W23" s="15"/>
      <c r="Y23" s="65" t="s">
        <v>67</v>
      </c>
      <c r="Z23" s="169">
        <v>1.2099999999999999E-3</v>
      </c>
      <c r="AA23" s="170" t="b">
        <v>1</v>
      </c>
      <c r="AB23" s="24"/>
      <c r="AC23" s="12"/>
      <c r="AD23" s="47" t="s">
        <v>25</v>
      </c>
      <c r="AE23" s="48" t="s">
        <v>25</v>
      </c>
      <c r="AF23" s="15"/>
      <c r="AL23" s="12"/>
      <c r="AM23" s="47" t="s">
        <v>25</v>
      </c>
      <c r="AN23" s="48" t="s">
        <v>25</v>
      </c>
      <c r="AO23" s="15"/>
      <c r="AR23" s="3"/>
      <c r="AS23" s="1"/>
      <c r="AT23" s="1"/>
      <c r="AU23" s="1"/>
      <c r="AV23" s="27"/>
      <c r="AW23" s="27"/>
      <c r="AX23" s="27"/>
      <c r="AY23" s="27"/>
      <c r="BA23" s="28"/>
      <c r="BB23" s="28"/>
    </row>
    <row r="24" spans="2:56" x14ac:dyDescent="0.25">
      <c r="B24" s="12"/>
      <c r="C24" s="38" t="s">
        <v>88</v>
      </c>
      <c r="D24" s="39" t="s">
        <v>108</v>
      </c>
      <c r="E24" s="15"/>
      <c r="G24" s="79" t="s">
        <v>67</v>
      </c>
      <c r="H24" s="74">
        <v>7.0400000000000003E-3</v>
      </c>
      <c r="I24" s="75" t="b">
        <v>1</v>
      </c>
      <c r="K24" s="12"/>
      <c r="L24" s="38" t="s">
        <v>89</v>
      </c>
      <c r="M24" s="39" t="s">
        <v>69</v>
      </c>
      <c r="N24" s="15"/>
      <c r="P24" s="156" t="s">
        <v>64</v>
      </c>
      <c r="Q24" s="157">
        <v>0</v>
      </c>
      <c r="R24" s="158" t="b">
        <v>1</v>
      </c>
      <c r="S24" s="5"/>
      <c r="T24" s="12"/>
      <c r="U24" s="17" t="s">
        <v>90</v>
      </c>
      <c r="V24" s="16" t="s">
        <v>25</v>
      </c>
      <c r="W24" s="15"/>
      <c r="AC24" s="12"/>
      <c r="AD24" s="30" t="s">
        <v>25</v>
      </c>
      <c r="AE24" s="30" t="s">
        <v>25</v>
      </c>
      <c r="AF24" s="15"/>
      <c r="AL24" s="12"/>
      <c r="AM24" s="30" t="s">
        <v>25</v>
      </c>
      <c r="AN24" s="30" t="s">
        <v>25</v>
      </c>
      <c r="AO24" s="15"/>
      <c r="AR24" s="3"/>
      <c r="AS24" s="1"/>
      <c r="AT24" s="1"/>
      <c r="AU24" s="1"/>
      <c r="AV24" s="27"/>
      <c r="AW24" s="27"/>
      <c r="AX24" s="27"/>
      <c r="AY24" s="27"/>
      <c r="BA24" s="28"/>
      <c r="BB24" s="28"/>
    </row>
    <row r="25" spans="2:56" x14ac:dyDescent="0.25">
      <c r="B25" s="12"/>
      <c r="C25" s="38" t="s">
        <v>92</v>
      </c>
      <c r="D25" s="39" t="s">
        <v>45</v>
      </c>
      <c r="E25" s="15"/>
      <c r="G25" s="79" t="s">
        <v>72</v>
      </c>
      <c r="H25" s="74">
        <v>7.1700000000000002E-3</v>
      </c>
      <c r="I25" s="75" t="b">
        <v>1</v>
      </c>
      <c r="K25" s="12"/>
      <c r="L25" s="147" t="s">
        <v>39</v>
      </c>
      <c r="M25" s="42" t="s">
        <v>29</v>
      </c>
      <c r="N25" s="15"/>
      <c r="P25" s="159" t="s">
        <v>67</v>
      </c>
      <c r="Q25" s="160">
        <v>0</v>
      </c>
      <c r="R25" s="161" t="b">
        <v>1</v>
      </c>
      <c r="S25" s="5"/>
      <c r="T25" s="12"/>
      <c r="U25" s="33" t="s">
        <v>84</v>
      </c>
      <c r="V25" s="34" t="s">
        <v>195</v>
      </c>
      <c r="W25" s="15"/>
      <c r="AC25" s="12"/>
      <c r="AD25" s="30" t="s">
        <v>25</v>
      </c>
      <c r="AE25" s="30" t="s">
        <v>25</v>
      </c>
      <c r="AF25" s="15"/>
      <c r="AL25" s="12"/>
      <c r="AM25" s="30" t="s">
        <v>25</v>
      </c>
      <c r="AN25" s="30" t="s">
        <v>25</v>
      </c>
      <c r="AO25" s="15"/>
      <c r="AR25" s="3"/>
      <c r="AS25" s="1"/>
      <c r="AT25" s="1"/>
      <c r="AU25" s="1"/>
      <c r="AV25" s="27"/>
      <c r="AW25" s="27"/>
      <c r="AX25" s="27"/>
      <c r="AY25" s="27"/>
      <c r="BA25" s="28"/>
      <c r="BB25" s="28"/>
    </row>
    <row r="26" spans="2:56" x14ac:dyDescent="0.25">
      <c r="B26" s="12"/>
      <c r="C26" s="38" t="s">
        <v>93</v>
      </c>
      <c r="D26" s="39" t="s">
        <v>94</v>
      </c>
      <c r="E26" s="15"/>
      <c r="G26" s="79" t="s">
        <v>77</v>
      </c>
      <c r="H26" s="74">
        <v>7.0100000000000006E-3</v>
      </c>
      <c r="I26" s="75" t="b">
        <v>1</v>
      </c>
      <c r="K26" s="12"/>
      <c r="L26" s="38" t="s">
        <v>95</v>
      </c>
      <c r="M26" s="149" t="b">
        <v>1</v>
      </c>
      <c r="N26" s="15"/>
      <c r="P26" s="156" t="s">
        <v>12</v>
      </c>
      <c r="Q26" s="157">
        <v>3.65E-3</v>
      </c>
      <c r="R26" s="158" t="b">
        <v>1</v>
      </c>
      <c r="S26" s="5"/>
      <c r="T26" s="12"/>
      <c r="U26" s="38" t="s">
        <v>88</v>
      </c>
      <c r="V26" s="39" t="s">
        <v>108</v>
      </c>
      <c r="W26" s="15"/>
      <c r="Y26" s="7" t="s">
        <v>128</v>
      </c>
      <c r="AC26" s="12"/>
      <c r="AD26" s="17" t="s">
        <v>96</v>
      </c>
      <c r="AE26" s="30" t="s">
        <v>25</v>
      </c>
      <c r="AF26" s="15"/>
      <c r="AH26" s="7" t="s">
        <v>128</v>
      </c>
      <c r="AL26" s="12"/>
      <c r="AM26" s="17" t="s">
        <v>90</v>
      </c>
      <c r="AN26" s="16" t="s">
        <v>25</v>
      </c>
      <c r="AO26" s="15"/>
      <c r="AQ26" s="7" t="s">
        <v>128</v>
      </c>
      <c r="AR26"/>
      <c r="AS26" s="1"/>
      <c r="AT26" s="1"/>
      <c r="AU26" s="1"/>
      <c r="AV26" s="27"/>
      <c r="AW26" s="27"/>
      <c r="AX26" s="27"/>
      <c r="AY26" s="27"/>
      <c r="BA26" s="28"/>
      <c r="BB26" s="28"/>
    </row>
    <row r="27" spans="2:56" x14ac:dyDescent="0.25">
      <c r="B27" s="12"/>
      <c r="C27" s="38" t="s">
        <v>97</v>
      </c>
      <c r="D27" s="39" t="s">
        <v>196</v>
      </c>
      <c r="E27" s="15"/>
      <c r="G27" s="79" t="s">
        <v>81</v>
      </c>
      <c r="H27" s="74">
        <v>6.6300000000000005E-3</v>
      </c>
      <c r="I27" s="75" t="b">
        <v>1</v>
      </c>
      <c r="K27" s="12"/>
      <c r="L27" s="50" t="s">
        <v>98</v>
      </c>
      <c r="M27" s="150" t="s">
        <v>50</v>
      </c>
      <c r="N27" s="15"/>
      <c r="P27" s="156" t="s">
        <v>17</v>
      </c>
      <c r="Q27" s="157">
        <v>5.5000000000000005E-3</v>
      </c>
      <c r="R27" s="158" t="b">
        <v>1</v>
      </c>
      <c r="S27" s="5"/>
      <c r="T27" s="12"/>
      <c r="U27" s="50" t="s">
        <v>99</v>
      </c>
      <c r="V27" s="49" t="s">
        <v>100</v>
      </c>
      <c r="W27" s="15"/>
      <c r="Y27" t="s">
        <v>32</v>
      </c>
      <c r="Z27" s="68" t="s">
        <v>0</v>
      </c>
      <c r="AC27" s="12"/>
      <c r="AD27" s="51" t="s">
        <v>101</v>
      </c>
      <c r="AE27" s="52" t="s">
        <v>51</v>
      </c>
      <c r="AF27" s="15"/>
      <c r="AH27" t="s">
        <v>32</v>
      </c>
      <c r="AI27" s="68" t="s">
        <v>0</v>
      </c>
      <c r="AL27" s="12"/>
      <c r="AM27" s="33" t="s">
        <v>84</v>
      </c>
      <c r="AN27" s="34" t="s">
        <v>195</v>
      </c>
      <c r="AO27" s="15"/>
      <c r="AQ27" t="s">
        <v>32</v>
      </c>
      <c r="AR27" s="68" t="s">
        <v>0</v>
      </c>
      <c r="AS27" s="1"/>
      <c r="AT27" s="1"/>
      <c r="AU27" s="1"/>
      <c r="AV27" s="27"/>
      <c r="AW27" s="27"/>
      <c r="AX27" s="27"/>
      <c r="AY27" s="27"/>
      <c r="BA27" s="28"/>
      <c r="BB27" s="28"/>
    </row>
    <row r="28" spans="2:56" x14ac:dyDescent="0.25">
      <c r="B28" s="12"/>
      <c r="C28" s="38" t="s">
        <v>102</v>
      </c>
      <c r="D28" s="39" t="s">
        <v>103</v>
      </c>
      <c r="E28" s="15"/>
      <c r="G28" s="80" t="s">
        <v>86</v>
      </c>
      <c r="H28" s="76">
        <v>6.28E-3</v>
      </c>
      <c r="I28" s="77" t="b">
        <v>1</v>
      </c>
      <c r="K28" s="12"/>
      <c r="L28" s="16" t="s">
        <v>25</v>
      </c>
      <c r="M28" s="16" t="s">
        <v>25</v>
      </c>
      <c r="N28" s="15"/>
      <c r="P28" s="156" t="s">
        <v>20</v>
      </c>
      <c r="Q28" s="157">
        <v>6.875E-3</v>
      </c>
      <c r="R28" s="158" t="b">
        <v>1</v>
      </c>
      <c r="S28" s="5"/>
      <c r="T28" s="12"/>
      <c r="U28" s="16" t="s">
        <v>25</v>
      </c>
      <c r="V28" s="16" t="s">
        <v>25</v>
      </c>
      <c r="W28" s="15"/>
      <c r="Y28" t="s">
        <v>28</v>
      </c>
      <c r="Z28" s="68" t="s">
        <v>36</v>
      </c>
      <c r="AA28" s="1"/>
      <c r="AC28" s="12"/>
      <c r="AD28" s="41" t="s">
        <v>104</v>
      </c>
      <c r="AE28" s="42" t="s">
        <v>71</v>
      </c>
      <c r="AF28" s="15"/>
      <c r="AH28" t="s">
        <v>28</v>
      </c>
      <c r="AI28" s="68" t="s">
        <v>36</v>
      </c>
      <c r="AL28" s="12"/>
      <c r="AM28" s="38" t="s">
        <v>88</v>
      </c>
      <c r="AN28" s="39" t="s">
        <v>108</v>
      </c>
      <c r="AO28" s="15"/>
      <c r="AQ28" t="s">
        <v>28</v>
      </c>
      <c r="AR28" s="68" t="s">
        <v>36</v>
      </c>
      <c r="AS28" s="1"/>
      <c r="AT28" s="1"/>
      <c r="AU28" s="1"/>
      <c r="AV28" s="27"/>
      <c r="AW28" s="27"/>
      <c r="AX28" s="27"/>
      <c r="AY28" s="27"/>
      <c r="BA28" s="28"/>
      <c r="BB28" s="28"/>
    </row>
    <row r="29" spans="2:56" x14ac:dyDescent="0.25">
      <c r="B29" s="12"/>
      <c r="C29" s="38" t="s">
        <v>99</v>
      </c>
      <c r="D29" s="39" t="s">
        <v>83</v>
      </c>
      <c r="E29" s="15"/>
      <c r="K29" s="12"/>
      <c r="L29" s="17" t="s">
        <v>90</v>
      </c>
      <c r="M29" s="16" t="s">
        <v>25</v>
      </c>
      <c r="N29" s="15"/>
      <c r="P29" s="156" t="s">
        <v>22</v>
      </c>
      <c r="Q29" s="157">
        <v>7.9749999999999995E-3</v>
      </c>
      <c r="R29" s="158" t="b">
        <v>1</v>
      </c>
      <c r="S29" s="5"/>
      <c r="T29" s="12"/>
      <c r="U29" s="17" t="s">
        <v>105</v>
      </c>
      <c r="V29" s="16" t="s">
        <v>25</v>
      </c>
      <c r="W29" s="15"/>
      <c r="Y29" t="s">
        <v>34</v>
      </c>
      <c r="Z29" s="68" t="s">
        <v>38</v>
      </c>
      <c r="AA29" s="1"/>
      <c r="AC29" s="12"/>
      <c r="AD29" s="38" t="s">
        <v>106</v>
      </c>
      <c r="AE29" s="40" t="s">
        <v>195</v>
      </c>
      <c r="AF29" s="15"/>
      <c r="AH29" t="s">
        <v>34</v>
      </c>
      <c r="AI29" s="68" t="s">
        <v>45</v>
      </c>
      <c r="AL29" s="12"/>
      <c r="AM29" s="50" t="s">
        <v>99</v>
      </c>
      <c r="AN29" s="49" t="s">
        <v>100</v>
      </c>
      <c r="AO29" s="15"/>
      <c r="AQ29" t="s">
        <v>34</v>
      </c>
      <c r="AR29" s="68" t="s">
        <v>47</v>
      </c>
      <c r="AS29" s="1"/>
      <c r="AT29" s="1"/>
      <c r="AU29" s="1"/>
      <c r="AV29" s="27"/>
      <c r="AW29" s="27"/>
      <c r="AX29" s="27"/>
      <c r="AY29" s="27"/>
      <c r="BA29" s="28"/>
      <c r="BB29" s="28"/>
    </row>
    <row r="30" spans="2:56" x14ac:dyDescent="0.25">
      <c r="B30" s="12"/>
      <c r="C30" s="38" t="s">
        <v>91</v>
      </c>
      <c r="D30" s="40">
        <v>31</v>
      </c>
      <c r="E30" s="15"/>
      <c r="G30" s="7" t="s">
        <v>128</v>
      </c>
      <c r="K30" s="12"/>
      <c r="L30" s="33" t="s">
        <v>84</v>
      </c>
      <c r="M30" s="34" t="s">
        <v>195</v>
      </c>
      <c r="N30" s="15"/>
      <c r="P30" s="156" t="s">
        <v>27</v>
      </c>
      <c r="Q30" s="157">
        <v>8.9499999999999996E-3</v>
      </c>
      <c r="R30" s="158" t="b">
        <v>1</v>
      </c>
      <c r="S30" s="5"/>
      <c r="T30" s="12"/>
      <c r="U30" s="33" t="s">
        <v>84</v>
      </c>
      <c r="V30" s="34" t="s">
        <v>195</v>
      </c>
      <c r="W30" s="15"/>
      <c r="Y30" t="s">
        <v>138</v>
      </c>
      <c r="Z30" s="69">
        <f ca="1">COB</f>
        <v>44075</v>
      </c>
      <c r="AA30" s="1"/>
      <c r="AC30" s="12"/>
      <c r="AD30" s="38" t="s">
        <v>107</v>
      </c>
      <c r="AE30" s="40" t="s">
        <v>108</v>
      </c>
      <c r="AF30" s="15"/>
      <c r="AH30" t="s">
        <v>138</v>
      </c>
      <c r="AI30" s="69">
        <f ca="1">COB</f>
        <v>44075</v>
      </c>
      <c r="AL30" s="12"/>
      <c r="AM30" s="16" t="s">
        <v>25</v>
      </c>
      <c r="AN30" s="16" t="s">
        <v>25</v>
      </c>
      <c r="AO30" s="15"/>
      <c r="AQ30" t="s">
        <v>138</v>
      </c>
      <c r="AR30" s="69">
        <f ca="1">COB</f>
        <v>44075</v>
      </c>
      <c r="AS30" s="1"/>
      <c r="AT30" s="1"/>
      <c r="AU30" s="1"/>
      <c r="AV30" s="27"/>
      <c r="AW30" s="27"/>
      <c r="AX30" s="27"/>
      <c r="AY30" s="27"/>
      <c r="BA30" s="28"/>
      <c r="BB30" s="28"/>
    </row>
    <row r="31" spans="2:56" x14ac:dyDescent="0.25">
      <c r="B31" s="12"/>
      <c r="C31" s="38" t="s">
        <v>87</v>
      </c>
      <c r="D31" s="53" t="b">
        <v>1</v>
      </c>
      <c r="E31" s="15"/>
      <c r="G31" t="s">
        <v>32</v>
      </c>
      <c r="H31" s="2" t="s">
        <v>0</v>
      </c>
      <c r="K31" s="12"/>
      <c r="L31" s="38" t="s">
        <v>88</v>
      </c>
      <c r="M31" s="39" t="s">
        <v>108</v>
      </c>
      <c r="N31" s="15"/>
      <c r="P31" s="156" t="s">
        <v>33</v>
      </c>
      <c r="Q31" s="157">
        <v>9.6749999999999996E-3</v>
      </c>
      <c r="R31" s="158" t="b">
        <v>1</v>
      </c>
      <c r="S31" s="5"/>
      <c r="T31" s="12"/>
      <c r="U31" s="38" t="s">
        <v>88</v>
      </c>
      <c r="V31" s="39" t="s">
        <v>108</v>
      </c>
      <c r="W31" s="15"/>
      <c r="Z31" s="68"/>
      <c r="AA31" s="1"/>
      <c r="AC31" s="12"/>
      <c r="AD31" s="50" t="s">
        <v>109</v>
      </c>
      <c r="AE31" s="43" t="s">
        <v>45</v>
      </c>
      <c r="AF31" s="15"/>
      <c r="AI31" s="68"/>
      <c r="AL31" s="12"/>
      <c r="AM31" s="17" t="s">
        <v>105</v>
      </c>
      <c r="AN31" s="16" t="s">
        <v>25</v>
      </c>
      <c r="AO31" s="15"/>
      <c r="AR31" s="68"/>
      <c r="AS31" s="1"/>
      <c r="AT31" s="1"/>
      <c r="AU31" s="1"/>
      <c r="AV31" s="27"/>
      <c r="AW31" s="27"/>
      <c r="AX31" s="27"/>
      <c r="AY31" s="27"/>
      <c r="BA31" s="28"/>
      <c r="BB31" s="28"/>
    </row>
    <row r="32" spans="2:56" x14ac:dyDescent="0.25">
      <c r="B32" s="12"/>
      <c r="C32" s="38" t="s">
        <v>111</v>
      </c>
      <c r="D32" s="39" t="s">
        <v>112</v>
      </c>
      <c r="E32" s="15"/>
      <c r="G32" t="s">
        <v>28</v>
      </c>
      <c r="H32" s="2" t="s">
        <v>29</v>
      </c>
      <c r="I32" s="1"/>
      <c r="K32" s="12"/>
      <c r="L32" s="50" t="s">
        <v>99</v>
      </c>
      <c r="M32" s="49" t="s">
        <v>100</v>
      </c>
      <c r="N32" s="15"/>
      <c r="P32" s="156" t="s">
        <v>37</v>
      </c>
      <c r="Q32" s="157">
        <v>1.0125E-2</v>
      </c>
      <c r="R32" s="158" t="b">
        <v>1</v>
      </c>
      <c r="S32" s="5"/>
      <c r="T32" s="12"/>
      <c r="U32" s="38" t="s">
        <v>92</v>
      </c>
      <c r="V32" s="39" t="s">
        <v>113</v>
      </c>
      <c r="W32" s="15"/>
      <c r="Y32" s="7" t="s">
        <v>141</v>
      </c>
      <c r="Z32" s="68"/>
      <c r="AA32" s="1"/>
      <c r="AC32" s="12"/>
      <c r="AD32" s="38" t="s">
        <v>114</v>
      </c>
      <c r="AE32" s="40" t="s">
        <v>83</v>
      </c>
      <c r="AF32" s="15"/>
      <c r="AH32" s="7" t="s">
        <v>141</v>
      </c>
      <c r="AI32" s="68"/>
      <c r="AL32" s="12"/>
      <c r="AM32" s="33" t="s">
        <v>84</v>
      </c>
      <c r="AN32" s="34" t="s">
        <v>195</v>
      </c>
      <c r="AO32" s="15"/>
      <c r="AQ32" s="7" t="s">
        <v>141</v>
      </c>
      <c r="AR32" s="68"/>
      <c r="AS32" s="1"/>
      <c r="AT32" s="1"/>
      <c r="AU32" s="1"/>
      <c r="AV32" s="27"/>
      <c r="AW32" s="27"/>
      <c r="AX32" s="27"/>
      <c r="AY32" s="27"/>
      <c r="BA32" s="28"/>
      <c r="BB32" s="28"/>
    </row>
    <row r="33" spans="2:54" x14ac:dyDescent="0.25">
      <c r="B33" s="12"/>
      <c r="C33" s="38" t="s">
        <v>115</v>
      </c>
      <c r="D33" s="39" t="s">
        <v>116</v>
      </c>
      <c r="E33" s="15"/>
      <c r="G33" t="s">
        <v>34</v>
      </c>
      <c r="H33" s="2" t="s">
        <v>40</v>
      </c>
      <c r="I33" s="1"/>
      <c r="K33" s="12"/>
      <c r="L33" s="16" t="s">
        <v>25</v>
      </c>
      <c r="M33" s="16" t="s">
        <v>25</v>
      </c>
      <c r="N33" s="15"/>
      <c r="P33" s="156" t="s">
        <v>46</v>
      </c>
      <c r="Q33" s="157">
        <v>1.0475000000000002E-2</v>
      </c>
      <c r="R33" s="158" t="b">
        <v>1</v>
      </c>
      <c r="T33" s="12"/>
      <c r="U33" s="38" t="s">
        <v>97</v>
      </c>
      <c r="V33" s="39" t="s">
        <v>196</v>
      </c>
      <c r="W33" s="15"/>
      <c r="Y33" t="s">
        <v>143</v>
      </c>
      <c r="Z33" s="68" t="s">
        <v>266</v>
      </c>
      <c r="AA33" s="1"/>
      <c r="AC33" s="12"/>
      <c r="AD33" s="38" t="s">
        <v>117</v>
      </c>
      <c r="AE33" s="40" t="s">
        <v>196</v>
      </c>
      <c r="AF33" s="15"/>
      <c r="AH33" t="s">
        <v>143</v>
      </c>
      <c r="AI33" s="68" t="s">
        <v>267</v>
      </c>
      <c r="AL33" s="12"/>
      <c r="AM33" s="38" t="s">
        <v>88</v>
      </c>
      <c r="AN33" s="39" t="s">
        <v>108</v>
      </c>
      <c r="AO33" s="15"/>
      <c r="AQ33" t="s">
        <v>143</v>
      </c>
      <c r="AR33" s="68" t="s">
        <v>271</v>
      </c>
      <c r="AS33" s="1"/>
      <c r="AT33" s="1"/>
      <c r="AU33" s="1"/>
      <c r="AV33" s="27"/>
      <c r="AW33" s="27"/>
      <c r="AX33" s="27"/>
      <c r="AY33" s="27"/>
      <c r="BA33" s="28"/>
      <c r="BB33" s="28"/>
    </row>
    <row r="34" spans="2:54" x14ac:dyDescent="0.25">
      <c r="B34" s="12"/>
      <c r="C34" s="38" t="s">
        <v>118</v>
      </c>
      <c r="D34" s="39">
        <v>1E-10</v>
      </c>
      <c r="E34" s="15"/>
      <c r="G34" t="s">
        <v>138</v>
      </c>
      <c r="H34" s="142">
        <v>44075</v>
      </c>
      <c r="I34" s="1"/>
      <c r="K34" s="12"/>
      <c r="L34" s="17" t="s">
        <v>105</v>
      </c>
      <c r="M34" s="16" t="s">
        <v>25</v>
      </c>
      <c r="N34" s="15"/>
      <c r="P34" s="156" t="s">
        <v>52</v>
      </c>
      <c r="Q34" s="157">
        <v>1.085E-2</v>
      </c>
      <c r="R34" s="158" t="b">
        <v>1</v>
      </c>
      <c r="T34" s="12"/>
      <c r="U34" s="50" t="s">
        <v>99</v>
      </c>
      <c r="V34" s="49" t="s">
        <v>83</v>
      </c>
      <c r="W34" s="15"/>
      <c r="Y34" t="s">
        <v>146</v>
      </c>
      <c r="Z34" s="70" t="str">
        <f ca="1">_xll.meLWOCurveMarketDataCreate(Z33,Y26,Y27:Z30,"LIBORFIXINGS",Y6:AA6,"FRAS",Y7:AA10,"BASISSWAPS",Y11:AA23)</f>
        <v>CZK_3M_MKT:1</v>
      </c>
      <c r="AA34" s="1"/>
      <c r="AC34" s="12"/>
      <c r="AD34" s="47" t="s">
        <v>119</v>
      </c>
      <c r="AE34" s="55" t="s">
        <v>252</v>
      </c>
      <c r="AF34" s="54" t="s">
        <v>120</v>
      </c>
      <c r="AH34" t="s">
        <v>146</v>
      </c>
      <c r="AI34" s="70" t="str">
        <f ca="1">_xll.meLWOCurveMarketDataCreate(AI33,AH26,AH27:AI30,"BASISSWAPS",AH4:AJ20)</f>
        <v>CZK_12M_MKT:1</v>
      </c>
      <c r="AL34" s="12"/>
      <c r="AM34" s="38" t="s">
        <v>92</v>
      </c>
      <c r="AN34" s="39" t="s">
        <v>113</v>
      </c>
      <c r="AO34" s="15"/>
      <c r="AQ34" t="s">
        <v>146</v>
      </c>
      <c r="AR34" s="70" t="str">
        <f ca="1">_xll.meLWOCurveMarketDataCreate(AR33,AQ26,AQ27:AR30,"BASISSWAPS",AQ4:AS20)</f>
        <v>CZK_1M_MKT:1</v>
      </c>
      <c r="AS34" s="1"/>
      <c r="AT34" s="1"/>
      <c r="AU34" s="1"/>
      <c r="AV34" s="27"/>
      <c r="AW34" s="27"/>
      <c r="AX34" s="27"/>
      <c r="AY34" s="27"/>
      <c r="BA34" s="28"/>
      <c r="BB34" s="28"/>
    </row>
    <row r="35" spans="2:54" x14ac:dyDescent="0.25">
      <c r="B35" s="12"/>
      <c r="C35" s="38" t="s">
        <v>122</v>
      </c>
      <c r="D35" s="39">
        <v>1000</v>
      </c>
      <c r="E35" s="15"/>
      <c r="H35" s="68"/>
      <c r="I35" s="1"/>
      <c r="K35" s="12"/>
      <c r="L35" s="33" t="s">
        <v>84</v>
      </c>
      <c r="M35" s="34" t="s">
        <v>195</v>
      </c>
      <c r="N35" s="15"/>
      <c r="P35" s="156" t="s">
        <v>56</v>
      </c>
      <c r="Q35" s="157">
        <v>1.11E-2</v>
      </c>
      <c r="R35" s="158" t="b">
        <v>1</v>
      </c>
      <c r="T35" s="12"/>
      <c r="U35" s="16" t="s">
        <v>25</v>
      </c>
      <c r="V35" s="16" t="s">
        <v>25</v>
      </c>
      <c r="W35" s="15"/>
      <c r="Z35" s="68"/>
      <c r="AA35" s="1"/>
      <c r="AC35" s="12"/>
      <c r="AD35" s="47" t="s">
        <v>121</v>
      </c>
      <c r="AE35" s="56" t="s">
        <v>252</v>
      </c>
      <c r="AF35" s="15"/>
      <c r="AI35" s="68"/>
      <c r="AL35" s="12"/>
      <c r="AM35" s="38" t="s">
        <v>97</v>
      </c>
      <c r="AN35" s="39" t="s">
        <v>196</v>
      </c>
      <c r="AO35" s="15"/>
      <c r="AR35" s="68"/>
      <c r="AS35" s="1"/>
      <c r="AT35" s="1"/>
      <c r="AU35" s="1"/>
      <c r="AV35" s="27"/>
      <c r="AW35" s="27"/>
      <c r="AX35" s="27"/>
      <c r="AY35" s="27"/>
      <c r="BA35" s="28"/>
      <c r="BB35" s="28"/>
    </row>
    <row r="36" spans="2:54" x14ac:dyDescent="0.25">
      <c r="B36" s="12"/>
      <c r="C36" s="38" t="s">
        <v>123</v>
      </c>
      <c r="D36" s="39" t="s">
        <v>124</v>
      </c>
      <c r="E36" s="15"/>
      <c r="G36" s="7" t="s">
        <v>141</v>
      </c>
      <c r="H36" s="68"/>
      <c r="K36" s="12"/>
      <c r="L36" s="38" t="s">
        <v>88</v>
      </c>
      <c r="M36" s="39" t="s">
        <v>108</v>
      </c>
      <c r="N36" s="15"/>
      <c r="P36" s="156" t="s">
        <v>61</v>
      </c>
      <c r="Q36" s="157">
        <v>1.1350000000000001E-2</v>
      </c>
      <c r="R36" s="158" t="b">
        <v>1</v>
      </c>
      <c r="T36" s="12"/>
      <c r="U36" s="17" t="s">
        <v>125</v>
      </c>
      <c r="V36" s="16" t="s">
        <v>25</v>
      </c>
      <c r="W36" s="15"/>
      <c r="Y36" s="7" t="s">
        <v>151</v>
      </c>
      <c r="Z36" s="68"/>
      <c r="AC36" s="12"/>
      <c r="AD36" s="51" t="s">
        <v>126</v>
      </c>
      <c r="AE36" s="57" t="s">
        <v>62</v>
      </c>
      <c r="AF36" s="15"/>
      <c r="AH36" s="7" t="s">
        <v>151</v>
      </c>
      <c r="AI36" s="68"/>
      <c r="AL36" s="12"/>
      <c r="AM36" s="50" t="s">
        <v>99</v>
      </c>
      <c r="AN36" s="49" t="s">
        <v>83</v>
      </c>
      <c r="AO36" s="15"/>
      <c r="AQ36" s="7" t="s">
        <v>151</v>
      </c>
      <c r="AR36" s="68"/>
      <c r="AV36" s="27"/>
      <c r="AW36" s="27"/>
      <c r="AX36" s="27"/>
      <c r="AY36" s="27"/>
      <c r="BA36" s="28"/>
      <c r="BB36" s="28"/>
    </row>
    <row r="37" spans="2:54" x14ac:dyDescent="0.25">
      <c r="B37" s="12"/>
      <c r="C37" s="38" t="s">
        <v>127</v>
      </c>
      <c r="D37" s="39" t="b">
        <v>0</v>
      </c>
      <c r="E37" s="15"/>
      <c r="G37" t="s">
        <v>143</v>
      </c>
      <c r="H37" s="2" t="str">
        <f ca="1">H31&amp;"_"&amp;H32&amp;"_MKT"</f>
        <v>CZK_OIS_MKT</v>
      </c>
      <c r="K37" s="12"/>
      <c r="L37" s="38" t="s">
        <v>92</v>
      </c>
      <c r="M37" s="39" t="s">
        <v>113</v>
      </c>
      <c r="N37" s="15"/>
      <c r="P37" s="156" t="s">
        <v>64</v>
      </c>
      <c r="Q37" s="157">
        <v>1.26E-2</v>
      </c>
      <c r="R37" s="158" t="b">
        <v>1</v>
      </c>
      <c r="T37" s="12"/>
      <c r="U37" s="33" t="s">
        <v>73</v>
      </c>
      <c r="V37" s="34" t="s">
        <v>195</v>
      </c>
      <c r="W37" s="15"/>
      <c r="Y37" t="s">
        <v>143</v>
      </c>
      <c r="Z37" s="68" t="s">
        <v>256</v>
      </c>
      <c r="AC37" s="12"/>
      <c r="AD37" s="50" t="s">
        <v>129</v>
      </c>
      <c r="AE37" s="43" t="s">
        <v>195</v>
      </c>
      <c r="AF37" s="15"/>
      <c r="AH37" t="s">
        <v>143</v>
      </c>
      <c r="AI37" s="68" t="s">
        <v>268</v>
      </c>
      <c r="AL37" s="12"/>
      <c r="AM37" s="16" t="s">
        <v>25</v>
      </c>
      <c r="AN37" s="16" t="s">
        <v>25</v>
      </c>
      <c r="AO37" s="15"/>
      <c r="AQ37" t="s">
        <v>143</v>
      </c>
      <c r="AR37" s="68" t="s">
        <v>272</v>
      </c>
      <c r="AV37" s="27"/>
      <c r="AW37" s="27"/>
      <c r="AX37" s="27"/>
      <c r="AY37" s="27"/>
      <c r="BA37" s="28"/>
      <c r="BB37" s="28"/>
    </row>
    <row r="38" spans="2:54" x14ac:dyDescent="0.25">
      <c r="B38" s="12"/>
      <c r="C38" s="38"/>
      <c r="D38" s="39"/>
      <c r="E38" s="15"/>
      <c r="G38" t="s">
        <v>146</v>
      </c>
      <c r="H38" s="143" t="str">
        <f ca="1">_xll.meLWOCurveMarketDataCreate(H37,"MarketDataProperties",G31:H34,"OIS",G4:I28)</f>
        <v>CZK_OIS_MKT:1</v>
      </c>
      <c r="K38" s="12"/>
      <c r="L38" s="38" t="s">
        <v>97</v>
      </c>
      <c r="M38" s="39" t="s">
        <v>196</v>
      </c>
      <c r="N38" s="15"/>
      <c r="P38" s="159" t="s">
        <v>67</v>
      </c>
      <c r="Q38" s="160">
        <v>1.2549999999999999E-2</v>
      </c>
      <c r="R38" s="161" t="b">
        <v>1</v>
      </c>
      <c r="T38" s="12"/>
      <c r="U38" s="38" t="s">
        <v>131</v>
      </c>
      <c r="V38" s="39" t="s">
        <v>108</v>
      </c>
      <c r="W38" s="15"/>
      <c r="Y38" t="s">
        <v>155</v>
      </c>
      <c r="Z38" s="70" t="str">
        <f ca="1">V8</f>
        <v>EM_CZK_BASIS_3M:8</v>
      </c>
      <c r="AC38" s="12"/>
      <c r="AD38" s="50" t="s">
        <v>132</v>
      </c>
      <c r="AE38" s="43" t="s">
        <v>196</v>
      </c>
      <c r="AF38" s="15"/>
      <c r="AH38" t="s">
        <v>155</v>
      </c>
      <c r="AI38" s="70" t="str">
        <f ca="1">AE8</f>
        <v>EM_CZK_BASIS_12M:7</v>
      </c>
      <c r="AL38" s="12"/>
      <c r="AM38" s="17" t="s">
        <v>96</v>
      </c>
      <c r="AN38" s="30" t="s">
        <v>25</v>
      </c>
      <c r="AO38" s="15"/>
      <c r="AQ38" t="s">
        <v>155</v>
      </c>
      <c r="AR38" s="70" t="str">
        <f ca="1">AN8</f>
        <v>EM_CZK_BASIS_1M:6</v>
      </c>
      <c r="AV38" s="27"/>
      <c r="AW38" s="27"/>
      <c r="AX38" s="27"/>
      <c r="AY38" s="27"/>
      <c r="BA38" s="28"/>
      <c r="BB38" s="28"/>
    </row>
    <row r="39" spans="2:54" x14ac:dyDescent="0.25">
      <c r="B39" s="12"/>
      <c r="C39" s="50"/>
      <c r="D39" s="49"/>
      <c r="E39" s="15"/>
      <c r="H39" s="68"/>
      <c r="K39" s="12"/>
      <c r="L39" s="50" t="s">
        <v>99</v>
      </c>
      <c r="M39" s="49" t="s">
        <v>83</v>
      </c>
      <c r="N39" s="15"/>
      <c r="T39" s="12"/>
      <c r="U39" s="38" t="s">
        <v>78</v>
      </c>
      <c r="V39" s="39" t="s">
        <v>134</v>
      </c>
      <c r="W39" s="15"/>
      <c r="Y39" t="s">
        <v>157</v>
      </c>
      <c r="Z39" s="68" t="s">
        <v>161</v>
      </c>
      <c r="AC39" s="12"/>
      <c r="AD39" s="33" t="s">
        <v>135</v>
      </c>
      <c r="AE39" s="35" t="s">
        <v>83</v>
      </c>
      <c r="AF39" s="15"/>
      <c r="AH39" t="s">
        <v>157</v>
      </c>
      <c r="AI39" s="68" t="s">
        <v>161</v>
      </c>
      <c r="AL39" s="12"/>
      <c r="AM39" s="51" t="s">
        <v>101</v>
      </c>
      <c r="AN39" s="52" t="s">
        <v>53</v>
      </c>
      <c r="AO39" s="15"/>
      <c r="AQ39" t="s">
        <v>157</v>
      </c>
      <c r="AR39" s="68" t="s">
        <v>161</v>
      </c>
      <c r="AV39" s="27"/>
      <c r="AW39" s="27"/>
      <c r="AX39" s="27"/>
      <c r="AY39" s="27"/>
      <c r="BA39" s="28"/>
      <c r="BB39" s="28"/>
    </row>
    <row r="40" spans="2:54" x14ac:dyDescent="0.25">
      <c r="B40" s="12"/>
      <c r="C40" s="16"/>
      <c r="D40" s="16"/>
      <c r="E40" s="15"/>
      <c r="G40" s="7" t="s">
        <v>151</v>
      </c>
      <c r="H40" s="68"/>
      <c r="K40" s="12"/>
      <c r="L40" s="16" t="s">
        <v>25</v>
      </c>
      <c r="M40" s="16" t="s">
        <v>25</v>
      </c>
      <c r="N40" s="15"/>
      <c r="P40" s="7" t="s">
        <v>128</v>
      </c>
      <c r="T40" s="12"/>
      <c r="U40" s="50" t="s">
        <v>82</v>
      </c>
      <c r="V40" s="49" t="s">
        <v>83</v>
      </c>
      <c r="W40" s="15"/>
      <c r="Y40" t="s">
        <v>162</v>
      </c>
      <c r="AC40" s="12"/>
      <c r="AD40" s="38" t="s">
        <v>137</v>
      </c>
      <c r="AE40" s="40" t="s">
        <v>195</v>
      </c>
      <c r="AF40" s="15"/>
      <c r="AH40" t="s">
        <v>162</v>
      </c>
      <c r="AL40" s="12"/>
      <c r="AM40" s="41" t="s">
        <v>104</v>
      </c>
      <c r="AN40" s="42" t="s">
        <v>71</v>
      </c>
      <c r="AO40" s="15"/>
      <c r="AQ40" t="s">
        <v>162</v>
      </c>
      <c r="AR40"/>
      <c r="AV40" s="27"/>
      <c r="AW40" s="27"/>
      <c r="AX40" s="27"/>
      <c r="AY40" s="27"/>
      <c r="BA40" s="28"/>
      <c r="BB40" s="28"/>
    </row>
    <row r="41" spans="2:54" x14ac:dyDescent="0.25">
      <c r="B41" s="12"/>
      <c r="C41" s="16"/>
      <c r="D41" s="16"/>
      <c r="E41" s="15"/>
      <c r="G41" t="s">
        <v>143</v>
      </c>
      <c r="H41" s="2" t="str">
        <f ca="1">H31&amp;"_"&amp;H32&amp;"_CURVE"</f>
        <v>CZK_OIS_CURVE</v>
      </c>
      <c r="K41" s="12"/>
      <c r="L41" s="17" t="s">
        <v>125</v>
      </c>
      <c r="M41" s="16" t="s">
        <v>25</v>
      </c>
      <c r="N41" s="15"/>
      <c r="P41" t="s">
        <v>32</v>
      </c>
      <c r="Q41" s="2" t="s">
        <v>0</v>
      </c>
      <c r="T41" s="12"/>
      <c r="U41" s="17"/>
      <c r="V41" s="30"/>
      <c r="W41" s="15"/>
      <c r="AC41" s="12"/>
      <c r="AD41" s="38" t="s">
        <v>139</v>
      </c>
      <c r="AE41" s="40" t="s">
        <v>108</v>
      </c>
      <c r="AF41" s="15"/>
      <c r="AL41" s="12"/>
      <c r="AM41" s="38" t="s">
        <v>106</v>
      </c>
      <c r="AN41" s="40" t="s">
        <v>195</v>
      </c>
      <c r="AO41" s="15"/>
      <c r="AR41"/>
      <c r="AS41" s="28"/>
      <c r="AV41" s="27"/>
      <c r="AW41" s="27"/>
      <c r="AX41" s="27"/>
      <c r="AY41" s="27"/>
      <c r="BA41" s="28"/>
      <c r="BB41" s="28"/>
    </row>
    <row r="42" spans="2:54" x14ac:dyDescent="0.25">
      <c r="B42" s="12"/>
      <c r="C42" s="16"/>
      <c r="D42" s="16"/>
      <c r="E42" s="15"/>
      <c r="G42" t="s">
        <v>155</v>
      </c>
      <c r="H42" s="143" t="str">
        <f ca="1">D8</f>
        <v>EM_CZK_CURVE_OIS:10</v>
      </c>
      <c r="K42" s="12"/>
      <c r="L42" s="33" t="s">
        <v>73</v>
      </c>
      <c r="M42" s="34" t="s">
        <v>195</v>
      </c>
      <c r="N42" s="15"/>
      <c r="P42" t="s">
        <v>28</v>
      </c>
      <c r="Q42" s="2" t="s">
        <v>30</v>
      </c>
      <c r="T42" s="12"/>
      <c r="U42" s="17" t="s">
        <v>96</v>
      </c>
      <c r="V42" s="30" t="s">
        <v>25</v>
      </c>
      <c r="W42" s="15"/>
      <c r="Y42" s="7" t="s">
        <v>166</v>
      </c>
      <c r="AC42" s="12"/>
      <c r="AD42" s="38" t="s">
        <v>140</v>
      </c>
      <c r="AE42" s="40" t="s">
        <v>38</v>
      </c>
      <c r="AF42" s="15"/>
      <c r="AH42" s="7" t="s">
        <v>166</v>
      </c>
      <c r="AL42" s="12"/>
      <c r="AM42" s="38" t="s">
        <v>107</v>
      </c>
      <c r="AN42" s="40" t="s">
        <v>108</v>
      </c>
      <c r="AO42" s="15"/>
      <c r="AQ42" s="7" t="s">
        <v>166</v>
      </c>
      <c r="AR42"/>
      <c r="AV42" s="27"/>
      <c r="AW42" s="27"/>
      <c r="AX42" s="27"/>
      <c r="AY42" s="27"/>
      <c r="BA42" s="28"/>
      <c r="BB42" s="28"/>
    </row>
    <row r="43" spans="2:54" x14ac:dyDescent="0.25">
      <c r="B43" s="12"/>
      <c r="C43" s="16"/>
      <c r="D43" s="16"/>
      <c r="E43" s="15"/>
      <c r="G43" t="s">
        <v>157</v>
      </c>
      <c r="H43" s="2" t="s">
        <v>161</v>
      </c>
      <c r="K43" s="12"/>
      <c r="L43" s="38" t="s">
        <v>131</v>
      </c>
      <c r="M43" s="39" t="s">
        <v>108</v>
      </c>
      <c r="N43" s="15"/>
      <c r="P43" t="s">
        <v>34</v>
      </c>
      <c r="Q43" s="2" t="str">
        <f ca="1">M13</f>
        <v>SEMI-ANNUAL</v>
      </c>
      <c r="T43" s="12"/>
      <c r="U43" s="51" t="s">
        <v>101</v>
      </c>
      <c r="V43" s="52" t="s">
        <v>50</v>
      </c>
      <c r="W43" s="15"/>
      <c r="Y43" t="s">
        <v>143</v>
      </c>
      <c r="Z43" s="87" t="str">
        <f t="array" aca="1" ref="Z43:Z46" ca="1">IF(ExistsCZK6M,_xll.meLWOCurveCalibrate($Z$37,$Z$38,$Z$34,$Z$39),"LOAD CURVE")</f>
        <v>CZK_BASIS_3M_CURVE:1</v>
      </c>
      <c r="AC43" s="12"/>
      <c r="AD43" s="38" t="s">
        <v>142</v>
      </c>
      <c r="AE43" s="40" t="s">
        <v>38</v>
      </c>
      <c r="AF43" s="15"/>
      <c r="AH43" t="s">
        <v>143</v>
      </c>
      <c r="AI43" s="87" t="str">
        <f t="array" aca="1" ref="AI43:AI46" ca="1">IF(ExistsCZK3M,_xll.meLWOCurveCalibrate(AI37,AI38,AI34,AI39),"LOAD CURVE")</f>
        <v>CZK_BASIS_12M_CURVE:1</v>
      </c>
      <c r="AL43" s="12"/>
      <c r="AM43" s="50" t="s">
        <v>109</v>
      </c>
      <c r="AN43" s="43" t="s">
        <v>38</v>
      </c>
      <c r="AO43" s="15"/>
      <c r="AQ43" t="s">
        <v>143</v>
      </c>
      <c r="AR43" s="87" t="str">
        <f t="array" aca="1" ref="AR43:AR46" ca="1">IF(ExistsCZK3M,_xll.meLWOCurveCalibrate(AR37,AR38,AR34,AR39),"LOAD CURVE")</f>
        <v>CZK_BASIS_1M_CURVE:1</v>
      </c>
      <c r="AV43" s="27"/>
      <c r="AW43" s="27"/>
      <c r="AX43" s="27"/>
      <c r="AY43" s="27"/>
      <c r="BA43" s="28"/>
      <c r="BB43" s="28"/>
    </row>
    <row r="44" spans="2:54" x14ac:dyDescent="0.25">
      <c r="B44" s="12"/>
      <c r="C44" s="16"/>
      <c r="D44" s="16"/>
      <c r="E44" s="15"/>
      <c r="G44" t="s">
        <v>162</v>
      </c>
      <c r="H44" s="2"/>
      <c r="K44" s="12"/>
      <c r="L44" s="38" t="s">
        <v>78</v>
      </c>
      <c r="M44" s="39" t="s">
        <v>144</v>
      </c>
      <c r="N44" s="15"/>
      <c r="P44" t="s">
        <v>138</v>
      </c>
      <c r="Q44" s="148">
        <f ca="1">COB</f>
        <v>44075</v>
      </c>
      <c r="T44" s="12"/>
      <c r="U44" s="41" t="s">
        <v>104</v>
      </c>
      <c r="V44" s="42" t="b">
        <v>0</v>
      </c>
      <c r="W44" s="15"/>
      <c r="Y44" t="s">
        <v>171</v>
      </c>
      <c r="Z44" t="str">
        <f ca="1"/>
        <v>CZKYC</v>
      </c>
      <c r="AC44" s="12"/>
      <c r="AD44" s="38" t="s">
        <v>145</v>
      </c>
      <c r="AE44" s="40" t="s">
        <v>83</v>
      </c>
      <c r="AF44" s="15"/>
      <c r="AH44" t="s">
        <v>171</v>
      </c>
      <c r="AI44" t="str">
        <f ca="1"/>
        <v>CZKYC</v>
      </c>
      <c r="AL44" s="12"/>
      <c r="AM44" s="38" t="s">
        <v>114</v>
      </c>
      <c r="AN44" s="40" t="s">
        <v>83</v>
      </c>
      <c r="AO44" s="15"/>
      <c r="AQ44" t="s">
        <v>171</v>
      </c>
      <c r="AR44" t="str">
        <f ca="1"/>
        <v>CZKYC</v>
      </c>
      <c r="AV44" s="27"/>
      <c r="AW44" s="27"/>
      <c r="AX44" s="27"/>
      <c r="AY44" s="27"/>
      <c r="BA44" s="28"/>
      <c r="BB44" s="28"/>
    </row>
    <row r="45" spans="2:54" x14ac:dyDescent="0.25">
      <c r="B45" s="12"/>
      <c r="C45" s="16"/>
      <c r="D45" s="16"/>
      <c r="E45" s="15"/>
      <c r="H45" s="68"/>
      <c r="K45" s="12"/>
      <c r="L45" s="38" t="s">
        <v>82</v>
      </c>
      <c r="M45" s="39" t="s">
        <v>83</v>
      </c>
      <c r="N45" s="15"/>
      <c r="T45" s="12"/>
      <c r="U45" s="38" t="s">
        <v>106</v>
      </c>
      <c r="V45" s="40" t="s">
        <v>195</v>
      </c>
      <c r="W45" s="15"/>
      <c r="Y45" t="s">
        <v>174</v>
      </c>
      <c r="Z45" t="str">
        <f ca="1"/>
        <v>3M6MBasis:PRB3M</v>
      </c>
      <c r="AC45" s="12"/>
      <c r="AD45" s="50" t="s">
        <v>147</v>
      </c>
      <c r="AE45" s="43" t="s">
        <v>196</v>
      </c>
      <c r="AF45" s="15"/>
      <c r="AH45" t="s">
        <v>174</v>
      </c>
      <c r="AI45" t="str">
        <f ca="1"/>
        <v>3M12MBasis:PRB12M</v>
      </c>
      <c r="AL45" s="12"/>
      <c r="AM45" s="38" t="s">
        <v>117</v>
      </c>
      <c r="AN45" s="40" t="s">
        <v>196</v>
      </c>
      <c r="AO45" s="15"/>
      <c r="AQ45" t="s">
        <v>174</v>
      </c>
      <c r="AR45" t="str">
        <f ca="1"/>
        <v>1M3MBasis:PRB1M</v>
      </c>
      <c r="AV45" s="27"/>
      <c r="AW45" s="27"/>
      <c r="AX45" s="27"/>
      <c r="AY45" s="27"/>
      <c r="BA45" s="28"/>
      <c r="BB45" s="28"/>
    </row>
    <row r="46" spans="2:54" x14ac:dyDescent="0.25">
      <c r="B46" s="12"/>
      <c r="C46" s="16"/>
      <c r="D46" s="16"/>
      <c r="E46" s="15"/>
      <c r="G46" s="7" t="s">
        <v>166</v>
      </c>
      <c r="H46" s="68"/>
      <c r="K46" s="12"/>
      <c r="L46" s="16"/>
      <c r="M46" s="16"/>
      <c r="N46" s="15"/>
      <c r="P46" s="7" t="s">
        <v>141</v>
      </c>
      <c r="T46" s="12"/>
      <c r="U46" s="38" t="s">
        <v>107</v>
      </c>
      <c r="V46" s="40" t="s">
        <v>108</v>
      </c>
      <c r="W46" s="15"/>
      <c r="Y46" t="s">
        <v>176</v>
      </c>
      <c r="Z46" t="str">
        <f ca="1"/>
        <v>0.008000 sec</v>
      </c>
      <c r="AC46" s="12"/>
      <c r="AD46" s="47" t="s">
        <v>148</v>
      </c>
      <c r="AE46" s="59" t="s">
        <v>270</v>
      </c>
      <c r="AF46" s="15"/>
      <c r="AH46" t="s">
        <v>176</v>
      </c>
      <c r="AI46" t="str">
        <f ca="1"/>
        <v>0.005000 sec</v>
      </c>
      <c r="AL46" s="12"/>
      <c r="AM46" s="51" t="s">
        <v>119</v>
      </c>
      <c r="AN46" s="57" t="s">
        <v>149</v>
      </c>
      <c r="AO46" s="15"/>
      <c r="AQ46" t="s">
        <v>176</v>
      </c>
      <c r="AR46" t="str">
        <f ca="1"/>
        <v>0.015000 sec</v>
      </c>
      <c r="AV46" s="27"/>
      <c r="AW46" s="27"/>
      <c r="AX46" s="27"/>
      <c r="AY46" s="27"/>
      <c r="BA46" s="28"/>
      <c r="BB46" s="28"/>
    </row>
    <row r="47" spans="2:54" x14ac:dyDescent="0.25">
      <c r="B47" s="12"/>
      <c r="C47" s="16"/>
      <c r="D47" s="16"/>
      <c r="E47" s="15"/>
      <c r="G47" t="s">
        <v>143</v>
      </c>
      <c r="H47" s="144" t="str">
        <f t="array" aca="1" ref="H47:H50" ca="1">_xll.meLWOCurveCalibrate(H41,H42,H38,H43)</f>
        <v>CZK_OIS_CURVE:1</v>
      </c>
      <c r="K47" s="12"/>
      <c r="L47" s="17" t="s">
        <v>150</v>
      </c>
      <c r="M47" s="16" t="s">
        <v>25</v>
      </c>
      <c r="N47" s="15"/>
      <c r="P47" t="s">
        <v>143</v>
      </c>
      <c r="Q47" t="s">
        <v>255</v>
      </c>
      <c r="T47" s="12"/>
      <c r="U47" s="38" t="s">
        <v>109</v>
      </c>
      <c r="V47" s="40" t="s">
        <v>152</v>
      </c>
      <c r="W47" s="15"/>
      <c r="AC47" s="12"/>
      <c r="AD47" s="47" t="s">
        <v>153</v>
      </c>
      <c r="AE47" s="59" t="s">
        <v>269</v>
      </c>
      <c r="AF47" s="15"/>
      <c r="AL47" s="12"/>
      <c r="AM47" s="41" t="s">
        <v>121</v>
      </c>
      <c r="AN47" s="57" t="s">
        <v>29</v>
      </c>
      <c r="AO47" s="15"/>
      <c r="AQ47" s="7"/>
      <c r="AR47"/>
      <c r="AV47" s="27"/>
      <c r="AW47" s="27"/>
      <c r="AX47" s="27"/>
      <c r="AY47" s="27"/>
      <c r="BA47" s="28"/>
      <c r="BB47" s="28"/>
    </row>
    <row r="48" spans="2:54" x14ac:dyDescent="0.25">
      <c r="B48" s="12"/>
      <c r="C48" s="16"/>
      <c r="D48" s="16"/>
      <c r="E48" s="15"/>
      <c r="G48" t="s">
        <v>171</v>
      </c>
      <c r="H48" s="145" t="str">
        <f ca="1"/>
        <v>CZKYC</v>
      </c>
      <c r="K48" s="12"/>
      <c r="L48" s="33" t="s">
        <v>73</v>
      </c>
      <c r="M48" s="34" t="s">
        <v>195</v>
      </c>
      <c r="N48" s="15"/>
      <c r="P48" t="s">
        <v>146</v>
      </c>
      <c r="Q48" s="87" t="str">
        <f ca="1">_xll.meLWOCurveMarketDataCreate(Q47,P40,P41:Q45,"LIBORFIXINGS",P4:Q7,"FRAS",P8:R12,"BASISSWAPS",P13:R25,"SWAPS",P26:R38)</f>
        <v>CZK_6M_MKT:8</v>
      </c>
      <c r="T48" s="12"/>
      <c r="U48" s="38" t="s">
        <v>114</v>
      </c>
      <c r="V48" s="40" t="s">
        <v>83</v>
      </c>
      <c r="W48" s="15"/>
      <c r="Y48" t="s">
        <v>285</v>
      </c>
      <c r="Z48" s="146" t="b">
        <f ca="1">_xll.meLWOExists(Z43,"CURVE")</f>
        <v>1</v>
      </c>
      <c r="AC48" s="12"/>
      <c r="AD48" s="51" t="s">
        <v>154</v>
      </c>
      <c r="AE48" s="57" t="s">
        <v>19</v>
      </c>
      <c r="AF48" s="15"/>
      <c r="AH48" t="s">
        <v>285</v>
      </c>
      <c r="AI48" s="146" t="b">
        <f ca="1">_xll.meLWOExists(AI43,"CURVE")</f>
        <v>1</v>
      </c>
      <c r="AL48" s="12"/>
      <c r="AM48" s="51" t="s">
        <v>126</v>
      </c>
      <c r="AN48" s="57" t="s">
        <v>19</v>
      </c>
      <c r="AO48" s="15"/>
      <c r="AQ48" t="s">
        <v>285</v>
      </c>
      <c r="AR48" s="146" t="b">
        <f ca="1">_xll.meLWOExists(AR43,"CURVE")</f>
        <v>1</v>
      </c>
      <c r="AV48" s="27"/>
      <c r="AW48" s="27"/>
      <c r="AX48" s="27"/>
      <c r="AY48" s="27"/>
      <c r="BA48" s="28"/>
      <c r="BB48" s="28"/>
    </row>
    <row r="49" spans="2:51" x14ac:dyDescent="0.25">
      <c r="B49" s="12"/>
      <c r="C49" s="16"/>
      <c r="D49" s="16"/>
      <c r="E49" s="15"/>
      <c r="G49" t="s">
        <v>174</v>
      </c>
      <c r="H49" s="145" t="str">
        <f ca="1"/>
        <v>OIS:CZKOIS</v>
      </c>
      <c r="K49" s="12"/>
      <c r="L49" s="38" t="s">
        <v>131</v>
      </c>
      <c r="M49" s="39" t="s">
        <v>108</v>
      </c>
      <c r="N49" s="15"/>
      <c r="T49" s="12"/>
      <c r="U49" s="38" t="s">
        <v>117</v>
      </c>
      <c r="V49" s="40" t="s">
        <v>196</v>
      </c>
      <c r="W49" s="15"/>
      <c r="AC49" s="12"/>
      <c r="AD49" s="38" t="s">
        <v>156</v>
      </c>
      <c r="AE49" s="40" t="s">
        <v>108</v>
      </c>
      <c r="AF49" s="15"/>
      <c r="AL49" s="12"/>
      <c r="AM49" s="38" t="s">
        <v>130</v>
      </c>
      <c r="AN49" s="40" t="s">
        <v>108</v>
      </c>
      <c r="AO49" s="15"/>
      <c r="AR49"/>
      <c r="AV49" s="27"/>
      <c r="AW49" s="27"/>
      <c r="AX49" s="27"/>
      <c r="AY49" s="27"/>
    </row>
    <row r="50" spans="2:51" x14ac:dyDescent="0.25">
      <c r="B50" s="12"/>
      <c r="C50" s="16"/>
      <c r="D50" s="16"/>
      <c r="E50" s="15"/>
      <c r="G50" t="s">
        <v>176</v>
      </c>
      <c r="H50" s="145" t="str">
        <f ca="1"/>
        <v>0.086000 sec</v>
      </c>
      <c r="K50" s="12"/>
      <c r="L50" s="38" t="s">
        <v>158</v>
      </c>
      <c r="M50" s="39" t="s">
        <v>108</v>
      </c>
      <c r="N50" s="15"/>
      <c r="P50" s="7" t="s">
        <v>151</v>
      </c>
      <c r="T50" s="12"/>
      <c r="U50" s="41" t="s">
        <v>119</v>
      </c>
      <c r="V50" s="60" t="s">
        <v>159</v>
      </c>
      <c r="W50" s="54"/>
      <c r="AC50" s="12"/>
      <c r="AD50" s="38" t="s">
        <v>160</v>
      </c>
      <c r="AE50" s="40" t="s">
        <v>195</v>
      </c>
      <c r="AF50" s="15"/>
      <c r="AL50" s="12"/>
      <c r="AM50" s="38" t="s">
        <v>133</v>
      </c>
      <c r="AN50" s="40" t="s">
        <v>195</v>
      </c>
      <c r="AO50" s="15"/>
      <c r="AR50"/>
      <c r="AV50" s="27"/>
      <c r="AW50" s="27"/>
      <c r="AX50" s="27"/>
      <c r="AY50" s="27"/>
    </row>
    <row r="51" spans="2:51" x14ac:dyDescent="0.25">
      <c r="B51" s="12"/>
      <c r="C51" s="16"/>
      <c r="D51" s="16"/>
      <c r="E51" s="15"/>
      <c r="K51" s="12"/>
      <c r="L51" s="38" t="s">
        <v>163</v>
      </c>
      <c r="M51" s="39" t="s">
        <v>108</v>
      </c>
      <c r="N51" s="15"/>
      <c r="P51" t="s">
        <v>143</v>
      </c>
      <c r="Q51" t="s">
        <v>197</v>
      </c>
      <c r="T51" s="12"/>
      <c r="U51" s="41" t="s">
        <v>121</v>
      </c>
      <c r="V51" s="56" t="s">
        <v>29</v>
      </c>
      <c r="W51" s="15"/>
      <c r="AC51" s="12"/>
      <c r="AD51" s="38" t="s">
        <v>164</v>
      </c>
      <c r="AE51" s="40" t="s">
        <v>80</v>
      </c>
      <c r="AF51" s="15"/>
      <c r="AL51" s="12"/>
      <c r="AM51" s="50" t="s">
        <v>136</v>
      </c>
      <c r="AN51" s="43" t="s">
        <v>80</v>
      </c>
      <c r="AO51" s="15"/>
      <c r="AR51"/>
      <c r="AV51" s="27"/>
      <c r="AW51" s="27"/>
      <c r="AX51" s="27"/>
      <c r="AY51" s="27"/>
    </row>
    <row r="52" spans="2:51" x14ac:dyDescent="0.25">
      <c r="B52" s="12"/>
      <c r="C52" s="16"/>
      <c r="D52" s="16"/>
      <c r="E52" s="15"/>
      <c r="G52" t="s">
        <v>285</v>
      </c>
      <c r="H52" s="146" t="b">
        <f ca="1">_xll.meLWOExists(H47,"CURVE")</f>
        <v>1</v>
      </c>
      <c r="K52" s="12"/>
      <c r="L52" s="38" t="s">
        <v>79</v>
      </c>
      <c r="M52" s="39" t="s">
        <v>45</v>
      </c>
      <c r="N52" s="15"/>
      <c r="P52" t="s">
        <v>155</v>
      </c>
      <c r="Q52" s="87" t="str">
        <f ca="1">M8</f>
        <v>EM_CZK_SWAP_6M:9</v>
      </c>
      <c r="T52" s="12"/>
      <c r="U52" s="41" t="s">
        <v>126</v>
      </c>
      <c r="V52" s="56" t="s">
        <v>21</v>
      </c>
      <c r="W52" s="15"/>
      <c r="AC52" s="12"/>
      <c r="AD52" s="38" t="s">
        <v>165</v>
      </c>
      <c r="AE52" s="40" t="s">
        <v>195</v>
      </c>
      <c r="AF52" s="15"/>
      <c r="AL52" s="12"/>
      <c r="AM52" s="50" t="s">
        <v>129</v>
      </c>
      <c r="AN52" s="43" t="s">
        <v>195</v>
      </c>
      <c r="AO52" s="15"/>
      <c r="AR52"/>
      <c r="AV52" s="27"/>
      <c r="AW52" s="27"/>
      <c r="AX52" s="27"/>
      <c r="AY52" s="27"/>
    </row>
    <row r="53" spans="2:51" x14ac:dyDescent="0.25">
      <c r="B53" s="12"/>
      <c r="C53" s="16"/>
      <c r="D53" s="16"/>
      <c r="E53" s="15"/>
      <c r="K53" s="12"/>
      <c r="L53" s="38" t="s">
        <v>167</v>
      </c>
      <c r="M53" s="39" t="s">
        <v>45</v>
      </c>
      <c r="N53" s="15"/>
      <c r="P53" t="s">
        <v>157</v>
      </c>
      <c r="Q53" t="s">
        <v>161</v>
      </c>
      <c r="T53" s="12"/>
      <c r="U53" s="38" t="s">
        <v>130</v>
      </c>
      <c r="V53" s="40" t="s">
        <v>108</v>
      </c>
      <c r="W53" s="15"/>
      <c r="AC53" s="12"/>
      <c r="AD53" s="38" t="s">
        <v>168</v>
      </c>
      <c r="AE53" s="40" t="s">
        <v>196</v>
      </c>
      <c r="AF53" s="15"/>
      <c r="AL53" s="12"/>
      <c r="AM53" s="50" t="s">
        <v>132</v>
      </c>
      <c r="AN53" s="43" t="s">
        <v>196</v>
      </c>
      <c r="AO53" s="15"/>
      <c r="AQ53" s="7"/>
      <c r="AR53"/>
      <c r="AV53" s="27"/>
      <c r="AW53" s="27"/>
      <c r="AX53" s="27"/>
      <c r="AY53" s="27"/>
    </row>
    <row r="54" spans="2:51" x14ac:dyDescent="0.25">
      <c r="B54" s="12"/>
      <c r="C54" s="16"/>
      <c r="D54" s="16"/>
      <c r="E54" s="15"/>
      <c r="K54" s="12"/>
      <c r="L54" s="38" t="s">
        <v>169</v>
      </c>
      <c r="M54" s="39" t="s">
        <v>152</v>
      </c>
      <c r="N54" s="15"/>
      <c r="P54" t="s">
        <v>162</v>
      </c>
      <c r="T54" s="12"/>
      <c r="U54" s="38" t="s">
        <v>133</v>
      </c>
      <c r="V54" s="40" t="s">
        <v>195</v>
      </c>
      <c r="W54" s="15"/>
      <c r="AC54" s="12"/>
      <c r="AD54" s="38" t="s">
        <v>170</v>
      </c>
      <c r="AE54" s="40" t="s">
        <v>83</v>
      </c>
      <c r="AF54" s="15"/>
      <c r="AL54" s="12"/>
      <c r="AM54" s="33" t="s">
        <v>135</v>
      </c>
      <c r="AN54" s="35" t="s">
        <v>83</v>
      </c>
      <c r="AO54" s="15"/>
      <c r="AR54"/>
      <c r="AV54" s="27"/>
      <c r="AW54" s="27"/>
      <c r="AX54" s="27"/>
      <c r="AY54" s="27"/>
    </row>
    <row r="55" spans="2:51" x14ac:dyDescent="0.25">
      <c r="B55" s="12"/>
      <c r="C55" s="16"/>
      <c r="D55" s="16"/>
      <c r="E55" s="15"/>
      <c r="K55" s="12"/>
      <c r="L55" s="38" t="s">
        <v>172</v>
      </c>
      <c r="M55" s="39" t="s">
        <v>38</v>
      </c>
      <c r="N55" s="15"/>
      <c r="T55" s="12"/>
      <c r="U55" s="38" t="s">
        <v>136</v>
      </c>
      <c r="V55" s="40" t="s">
        <v>80</v>
      </c>
      <c r="W55" s="15"/>
      <c r="AC55" s="12"/>
      <c r="AD55" s="41" t="s">
        <v>110</v>
      </c>
      <c r="AE55" s="60" t="s">
        <v>173</v>
      </c>
      <c r="AF55" s="15"/>
      <c r="AL55" s="12"/>
      <c r="AM55" s="38" t="s">
        <v>137</v>
      </c>
      <c r="AN55" s="40" t="s">
        <v>195</v>
      </c>
      <c r="AO55" s="15"/>
      <c r="AR55"/>
      <c r="AV55" s="27"/>
      <c r="AW55" s="27"/>
      <c r="AX55" s="27"/>
      <c r="AY55" s="27"/>
    </row>
    <row r="56" spans="2:51" x14ac:dyDescent="0.25">
      <c r="B56" s="12"/>
      <c r="C56" s="16"/>
      <c r="D56" s="16"/>
      <c r="E56" s="15"/>
      <c r="K56" s="12"/>
      <c r="L56" s="38" t="s">
        <v>54</v>
      </c>
      <c r="M56" s="39" t="s">
        <v>60</v>
      </c>
      <c r="N56" s="15"/>
      <c r="P56" s="7" t="s">
        <v>166</v>
      </c>
      <c r="T56" s="12"/>
      <c r="U56" s="38" t="s">
        <v>129</v>
      </c>
      <c r="V56" s="40" t="s">
        <v>195</v>
      </c>
      <c r="W56" s="15"/>
      <c r="AC56" s="12"/>
      <c r="AD56" s="38" t="s">
        <v>175</v>
      </c>
      <c r="AE56" s="40" t="s">
        <v>69</v>
      </c>
      <c r="AF56" s="15"/>
      <c r="AL56" s="12"/>
      <c r="AM56" s="38" t="s">
        <v>139</v>
      </c>
      <c r="AN56" s="40" t="s">
        <v>108</v>
      </c>
      <c r="AO56" s="15"/>
      <c r="AR56"/>
      <c r="AV56" s="27"/>
      <c r="AW56" s="27"/>
      <c r="AX56" s="27"/>
      <c r="AY56" s="27"/>
    </row>
    <row r="57" spans="2:51" x14ac:dyDescent="0.25">
      <c r="B57" s="12"/>
      <c r="C57" s="16"/>
      <c r="D57" s="16"/>
      <c r="E57" s="15"/>
      <c r="K57" s="12"/>
      <c r="L57" s="38" t="s">
        <v>82</v>
      </c>
      <c r="M57" s="39" t="s">
        <v>83</v>
      </c>
      <c r="N57" s="15"/>
      <c r="P57" t="s">
        <v>143</v>
      </c>
      <c r="Q57" s="87" t="str">
        <f t="array" aca="1" ref="Q57:Q60" ca="1">IF(ExistsCZKOIS,_xll.meLWOCurveCalibrate(Q51,Q52,Q48,Q53),"LOAD CURVE")</f>
        <v>CZK_SWAP_6M_CURVE:1</v>
      </c>
      <c r="T57" s="12"/>
      <c r="U57" s="38" t="s">
        <v>132</v>
      </c>
      <c r="V57" s="40" t="s">
        <v>196</v>
      </c>
      <c r="W57" s="15"/>
      <c r="AC57" s="12"/>
      <c r="AD57" s="38" t="s">
        <v>177</v>
      </c>
      <c r="AE57" s="40" t="s">
        <v>59</v>
      </c>
      <c r="AF57" s="15"/>
      <c r="AL57" s="12"/>
      <c r="AM57" s="38" t="s">
        <v>140</v>
      </c>
      <c r="AN57" s="40" t="s">
        <v>47</v>
      </c>
      <c r="AO57" s="15"/>
      <c r="AR57"/>
      <c r="AV57" s="27"/>
      <c r="AW57" s="27"/>
      <c r="AX57" s="27"/>
      <c r="AY57" s="27"/>
    </row>
    <row r="58" spans="2:51" x14ac:dyDescent="0.25">
      <c r="B58" s="12"/>
      <c r="C58" s="16"/>
      <c r="D58" s="16"/>
      <c r="E58" s="15"/>
      <c r="K58" s="12"/>
      <c r="L58" s="38" t="s">
        <v>178</v>
      </c>
      <c r="M58" s="39" t="s">
        <v>69</v>
      </c>
      <c r="N58" s="15"/>
      <c r="P58" t="s">
        <v>171</v>
      </c>
      <c r="Q58" s="8" t="str">
        <f ca="1"/>
        <v>CZKYC</v>
      </c>
      <c r="T58" s="12"/>
      <c r="U58" s="38" t="s">
        <v>135</v>
      </c>
      <c r="V58" s="40" t="s">
        <v>83</v>
      </c>
      <c r="W58" s="15"/>
      <c r="AC58" s="12"/>
      <c r="AD58" s="38" t="s">
        <v>179</v>
      </c>
      <c r="AE58" s="40" t="s">
        <v>69</v>
      </c>
      <c r="AF58" s="15"/>
      <c r="AL58" s="12"/>
      <c r="AM58" s="38" t="s">
        <v>142</v>
      </c>
      <c r="AN58" s="58" t="s">
        <v>47</v>
      </c>
      <c r="AO58" s="15"/>
      <c r="AR58"/>
      <c r="AV58" s="27"/>
      <c r="AW58" s="27"/>
      <c r="AX58" s="27"/>
      <c r="AY58" s="27"/>
    </row>
    <row r="59" spans="2:51" x14ac:dyDescent="0.25">
      <c r="B59" s="12"/>
      <c r="C59" s="16"/>
      <c r="D59" s="16"/>
      <c r="E59" s="15"/>
      <c r="K59" s="12"/>
      <c r="L59" s="38" t="s">
        <v>180</v>
      </c>
      <c r="M59" s="39">
        <v>31</v>
      </c>
      <c r="N59" s="15"/>
      <c r="P59" t="s">
        <v>174</v>
      </c>
      <c r="Q59" s="8" t="str">
        <f ca="1"/>
        <v>STD:PRB6M</v>
      </c>
      <c r="T59" s="12"/>
      <c r="U59" s="38" t="s">
        <v>137</v>
      </c>
      <c r="V59" s="40" t="s">
        <v>195</v>
      </c>
      <c r="W59" s="15"/>
      <c r="AC59" s="12"/>
      <c r="AD59" s="41" t="s">
        <v>181</v>
      </c>
      <c r="AE59" s="61" t="s">
        <v>62</v>
      </c>
      <c r="AF59" s="15"/>
      <c r="AL59" s="12"/>
      <c r="AM59" s="38" t="s">
        <v>145</v>
      </c>
      <c r="AN59" s="40" t="s">
        <v>83</v>
      </c>
      <c r="AO59" s="15"/>
      <c r="AR59"/>
      <c r="AV59" s="27"/>
      <c r="AW59" s="27"/>
      <c r="AX59" s="27"/>
      <c r="AY59" s="27"/>
    </row>
    <row r="60" spans="2:51" x14ac:dyDescent="0.25">
      <c r="B60" s="12"/>
      <c r="C60" s="16"/>
      <c r="D60" s="16"/>
      <c r="E60" s="15"/>
      <c r="K60" s="12"/>
      <c r="L60" s="38" t="s">
        <v>182</v>
      </c>
      <c r="M60" s="39" t="s">
        <v>69</v>
      </c>
      <c r="N60" s="15"/>
      <c r="P60" t="s">
        <v>176</v>
      </c>
      <c r="Q60" s="8" t="str">
        <f ca="1"/>
        <v>0.009000 sec</v>
      </c>
      <c r="T60" s="12"/>
      <c r="U60" s="38" t="s">
        <v>139</v>
      </c>
      <c r="V60" s="40" t="s">
        <v>108</v>
      </c>
      <c r="W60" s="15"/>
      <c r="AC60" s="12"/>
      <c r="AD60" s="38" t="s">
        <v>183</v>
      </c>
      <c r="AE60" s="40" t="s">
        <v>71</v>
      </c>
      <c r="AF60" s="15"/>
      <c r="AL60" s="12"/>
      <c r="AM60" s="50" t="s">
        <v>147</v>
      </c>
      <c r="AN60" s="43" t="s">
        <v>196</v>
      </c>
      <c r="AO60" s="15"/>
      <c r="AR60"/>
      <c r="AV60" s="27"/>
      <c r="AW60" s="27"/>
      <c r="AX60" s="27"/>
      <c r="AY60" s="27"/>
    </row>
    <row r="61" spans="2:51" x14ac:dyDescent="0.25">
      <c r="B61" s="12"/>
      <c r="C61" s="16"/>
      <c r="D61" s="16"/>
      <c r="E61" s="15"/>
      <c r="K61" s="12"/>
      <c r="L61" s="38" t="s">
        <v>184</v>
      </c>
      <c r="M61" s="39" t="s">
        <v>69</v>
      </c>
      <c r="N61" s="15"/>
      <c r="T61" s="12"/>
      <c r="U61" s="38" t="s">
        <v>140</v>
      </c>
      <c r="V61" s="40" t="s">
        <v>38</v>
      </c>
      <c r="W61" s="15"/>
      <c r="AC61" s="12"/>
      <c r="AD61" s="50" t="s">
        <v>118</v>
      </c>
      <c r="AE61" s="62">
        <v>1.0000000000000003E-9</v>
      </c>
      <c r="AF61" s="15"/>
      <c r="AL61" s="12"/>
      <c r="AM61" s="47" t="s">
        <v>148</v>
      </c>
      <c r="AN61" s="63" t="s">
        <v>43</v>
      </c>
      <c r="AO61" s="54" t="s">
        <v>120</v>
      </c>
      <c r="AV61" s="27"/>
      <c r="AW61" s="27"/>
      <c r="AX61" s="27"/>
      <c r="AY61" s="27"/>
    </row>
    <row r="62" spans="2:51" x14ac:dyDescent="0.25">
      <c r="B62" s="12"/>
      <c r="C62" s="16"/>
      <c r="D62" s="16"/>
      <c r="E62" s="15"/>
      <c r="K62" s="12"/>
      <c r="L62" s="38" t="s">
        <v>185</v>
      </c>
      <c r="M62" s="39" t="s">
        <v>196</v>
      </c>
      <c r="N62" s="15"/>
      <c r="P62" t="s">
        <v>285</v>
      </c>
      <c r="Q62" s="146" t="b">
        <f ca="1">_xll.meLWOExists(Q57,"CURVE")</f>
        <v>1</v>
      </c>
      <c r="T62" s="12"/>
      <c r="U62" s="38" t="s">
        <v>142</v>
      </c>
      <c r="V62" s="58" t="str">
        <f ca="1">V61</f>
        <v>QUARTERLY</v>
      </c>
      <c r="W62" s="15"/>
      <c r="AC62" s="12"/>
      <c r="AD62" s="50" t="s">
        <v>122</v>
      </c>
      <c r="AE62" s="43">
        <v>1000</v>
      </c>
      <c r="AF62" s="15"/>
      <c r="AL62" s="12"/>
      <c r="AM62" s="47" t="s">
        <v>153</v>
      </c>
      <c r="AN62" s="59" t="s">
        <v>29</v>
      </c>
      <c r="AO62" s="15"/>
      <c r="AV62" s="27"/>
      <c r="AW62" s="27"/>
      <c r="AX62" s="27"/>
      <c r="AY62" s="27"/>
    </row>
    <row r="63" spans="2:51" x14ac:dyDescent="0.25">
      <c r="B63" s="12"/>
      <c r="C63" s="16"/>
      <c r="D63" s="16"/>
      <c r="E63" s="15"/>
      <c r="K63" s="12"/>
      <c r="L63" s="38" t="s">
        <v>118</v>
      </c>
      <c r="M63" s="53">
        <v>1.0000000000000001E-9</v>
      </c>
      <c r="N63" s="15"/>
      <c r="T63" s="12"/>
      <c r="U63" s="38" t="s">
        <v>145</v>
      </c>
      <c r="V63" s="40" t="s">
        <v>83</v>
      </c>
      <c r="W63" s="15"/>
      <c r="AC63" s="12"/>
      <c r="AD63" s="50" t="s">
        <v>186</v>
      </c>
      <c r="AE63" s="43" t="s">
        <v>71</v>
      </c>
      <c r="AF63" s="15"/>
      <c r="AL63" s="12"/>
      <c r="AM63" s="51" t="s">
        <v>154</v>
      </c>
      <c r="AN63" s="57" t="s">
        <v>16</v>
      </c>
      <c r="AO63" s="15"/>
      <c r="AV63" s="27"/>
      <c r="AW63" s="27"/>
      <c r="AX63" s="27"/>
      <c r="AY63" s="27"/>
    </row>
    <row r="64" spans="2:51" x14ac:dyDescent="0.25">
      <c r="B64" s="12"/>
      <c r="C64" s="16"/>
      <c r="D64" s="16"/>
      <c r="E64" s="15"/>
      <c r="K64" s="12"/>
      <c r="L64" s="38" t="s">
        <v>122</v>
      </c>
      <c r="M64" s="39">
        <v>1000</v>
      </c>
      <c r="N64" s="15"/>
      <c r="T64" s="12"/>
      <c r="U64" s="38" t="s">
        <v>147</v>
      </c>
      <c r="V64" s="40" t="s">
        <v>196</v>
      </c>
      <c r="W64" s="15"/>
      <c r="AC64" s="12"/>
      <c r="AD64" s="50" t="s">
        <v>187</v>
      </c>
      <c r="AE64" s="43" t="s">
        <v>69</v>
      </c>
      <c r="AF64" s="15"/>
      <c r="AL64" s="12"/>
      <c r="AM64" s="38" t="s">
        <v>156</v>
      </c>
      <c r="AN64" s="40" t="s">
        <v>108</v>
      </c>
      <c r="AO64" s="15"/>
      <c r="AV64" s="27"/>
      <c r="AW64" s="27"/>
      <c r="AX64" s="27"/>
      <c r="AY64" s="27"/>
    </row>
    <row r="65" spans="2:51" x14ac:dyDescent="0.25">
      <c r="B65" s="12"/>
      <c r="C65" s="16"/>
      <c r="D65" s="16"/>
      <c r="E65" s="15"/>
      <c r="K65" s="12"/>
      <c r="L65" s="50" t="s">
        <v>188</v>
      </c>
      <c r="M65" s="49" t="s">
        <v>189</v>
      </c>
      <c r="N65" s="15"/>
      <c r="T65" s="12"/>
      <c r="U65" s="41" t="s">
        <v>148</v>
      </c>
      <c r="V65" s="56" t="s">
        <v>43</v>
      </c>
      <c r="W65" s="15"/>
      <c r="AC65" s="12"/>
      <c r="AD65" s="50" t="s">
        <v>91</v>
      </c>
      <c r="AE65" s="43">
        <v>31</v>
      </c>
      <c r="AF65" s="15"/>
      <c r="AL65" s="12"/>
      <c r="AM65" s="38" t="s">
        <v>160</v>
      </c>
      <c r="AN65" s="40" t="s">
        <v>195</v>
      </c>
      <c r="AO65" s="15"/>
      <c r="AV65" s="27"/>
      <c r="AW65" s="27"/>
      <c r="AX65" s="27"/>
      <c r="AY65" s="27"/>
    </row>
    <row r="66" spans="2:51" x14ac:dyDescent="0.25">
      <c r="B66" s="12"/>
      <c r="C66" s="16"/>
      <c r="D66" s="16"/>
      <c r="E66" s="15"/>
      <c r="K66" s="12"/>
      <c r="L66" s="16"/>
      <c r="M66" s="16"/>
      <c r="N66" s="15"/>
      <c r="T66" s="12"/>
      <c r="U66" s="41" t="s">
        <v>153</v>
      </c>
      <c r="V66" s="56" t="s">
        <v>29</v>
      </c>
      <c r="W66" s="15"/>
      <c r="AC66" s="12"/>
      <c r="AD66" s="30"/>
      <c r="AE66" s="30"/>
      <c r="AF66" s="15"/>
      <c r="AL66" s="12"/>
      <c r="AM66" s="38" t="s">
        <v>164</v>
      </c>
      <c r="AN66" s="40" t="s">
        <v>80</v>
      </c>
      <c r="AO66" s="15"/>
      <c r="AV66" s="27"/>
      <c r="AW66" s="27"/>
      <c r="AX66" s="27"/>
      <c r="AY66" s="27"/>
    </row>
    <row r="67" spans="2:51" x14ac:dyDescent="0.25">
      <c r="B67" s="12"/>
      <c r="C67" s="16"/>
      <c r="D67" s="16"/>
      <c r="E67" s="15"/>
      <c r="K67" s="12"/>
      <c r="L67" s="17" t="s">
        <v>96</v>
      </c>
      <c r="M67" s="30" t="s">
        <v>25</v>
      </c>
      <c r="N67" s="15"/>
      <c r="T67" s="12"/>
      <c r="U67" s="41" t="s">
        <v>154</v>
      </c>
      <c r="V67" s="56" t="s">
        <v>19</v>
      </c>
      <c r="W67" s="15"/>
      <c r="AC67" s="12"/>
      <c r="AD67" s="30"/>
      <c r="AE67" s="30"/>
      <c r="AF67" s="15"/>
      <c r="AL67" s="12"/>
      <c r="AM67" s="38" t="s">
        <v>165</v>
      </c>
      <c r="AN67" s="40" t="s">
        <v>195</v>
      </c>
      <c r="AO67" s="15"/>
      <c r="AV67" s="27"/>
      <c r="AW67" s="27"/>
      <c r="AX67" s="27"/>
      <c r="AY67" s="27"/>
    </row>
    <row r="68" spans="2:51" x14ac:dyDescent="0.25">
      <c r="B68" s="12"/>
      <c r="C68" s="16"/>
      <c r="D68" s="16"/>
      <c r="E68" s="15"/>
      <c r="K68" s="12"/>
      <c r="L68" s="51" t="s">
        <v>104</v>
      </c>
      <c r="M68" s="52" t="s">
        <v>71</v>
      </c>
      <c r="N68" s="15"/>
      <c r="T68" s="12"/>
      <c r="U68" s="38" t="s">
        <v>156</v>
      </c>
      <c r="V68" s="40" t="s">
        <v>108</v>
      </c>
      <c r="W68" s="15"/>
      <c r="AC68" s="12"/>
      <c r="AD68" s="30"/>
      <c r="AE68" s="30"/>
      <c r="AF68" s="15"/>
      <c r="AL68" s="12"/>
      <c r="AM68" s="38" t="s">
        <v>168</v>
      </c>
      <c r="AN68" s="40" t="s">
        <v>196</v>
      </c>
      <c r="AO68" s="15"/>
      <c r="AV68" s="27"/>
      <c r="AW68" s="27"/>
      <c r="AX68" s="27"/>
      <c r="AY68" s="27"/>
    </row>
    <row r="69" spans="2:51" x14ac:dyDescent="0.25">
      <c r="B69" s="12"/>
      <c r="C69" s="16"/>
      <c r="D69" s="16"/>
      <c r="E69" s="15"/>
      <c r="K69" s="12"/>
      <c r="L69" s="38" t="s">
        <v>106</v>
      </c>
      <c r="M69" s="40" t="s">
        <v>195</v>
      </c>
      <c r="N69" s="15"/>
      <c r="T69" s="12"/>
      <c r="U69" s="38" t="s">
        <v>160</v>
      </c>
      <c r="V69" s="40" t="s">
        <v>195</v>
      </c>
      <c r="W69" s="15"/>
      <c r="AC69" s="12"/>
      <c r="AD69" s="30"/>
      <c r="AE69" s="30"/>
      <c r="AF69" s="15"/>
      <c r="AL69" s="12"/>
      <c r="AM69" s="38" t="s">
        <v>170</v>
      </c>
      <c r="AN69" s="40" t="s">
        <v>83</v>
      </c>
      <c r="AO69" s="15"/>
      <c r="AV69" s="27"/>
      <c r="AW69" s="27"/>
      <c r="AX69" s="27"/>
      <c r="AY69" s="27"/>
    </row>
    <row r="70" spans="2:51" x14ac:dyDescent="0.25">
      <c r="B70" s="12"/>
      <c r="C70" s="16"/>
      <c r="D70" s="16"/>
      <c r="E70" s="15"/>
      <c r="K70" s="12"/>
      <c r="L70" s="38" t="s">
        <v>107</v>
      </c>
      <c r="M70" s="40" t="s">
        <v>108</v>
      </c>
      <c r="N70" s="15"/>
      <c r="T70" s="12"/>
      <c r="U70" s="38" t="s">
        <v>164</v>
      </c>
      <c r="V70" s="40" t="s">
        <v>80</v>
      </c>
      <c r="W70" s="15"/>
      <c r="AC70" s="12"/>
      <c r="AD70" s="30"/>
      <c r="AE70" s="30"/>
      <c r="AF70" s="15"/>
      <c r="AL70" s="12"/>
      <c r="AM70" s="41" t="s">
        <v>110</v>
      </c>
      <c r="AN70" s="60" t="s">
        <v>190</v>
      </c>
      <c r="AO70" s="15"/>
      <c r="AV70" s="27"/>
      <c r="AW70" s="27"/>
      <c r="AX70" s="27"/>
      <c r="AY70" s="27"/>
    </row>
    <row r="71" spans="2:51" x14ac:dyDescent="0.25">
      <c r="B71" s="12"/>
      <c r="C71" s="16"/>
      <c r="D71" s="16"/>
      <c r="E71" s="15"/>
      <c r="K71" s="12"/>
      <c r="L71" s="38" t="s">
        <v>109</v>
      </c>
      <c r="M71" s="40" t="s">
        <v>152</v>
      </c>
      <c r="N71" s="15"/>
      <c r="T71" s="12"/>
      <c r="U71" s="38" t="s">
        <v>165</v>
      </c>
      <c r="V71" s="40" t="s">
        <v>195</v>
      </c>
      <c r="W71" s="15"/>
      <c r="AC71" s="12"/>
      <c r="AD71" s="30"/>
      <c r="AE71" s="30"/>
      <c r="AF71" s="15"/>
      <c r="AL71" s="12"/>
      <c r="AM71" s="38" t="s">
        <v>175</v>
      </c>
      <c r="AN71" s="40" t="s">
        <v>69</v>
      </c>
      <c r="AO71" s="15"/>
      <c r="AV71" s="27"/>
      <c r="AW71" s="27"/>
      <c r="AX71" s="27"/>
      <c r="AY71" s="27"/>
    </row>
    <row r="72" spans="2:51" x14ac:dyDescent="0.25">
      <c r="B72" s="12"/>
      <c r="C72" s="16"/>
      <c r="D72" s="16"/>
      <c r="E72" s="15"/>
      <c r="K72" s="12"/>
      <c r="L72" s="38" t="s">
        <v>114</v>
      </c>
      <c r="M72" s="40" t="s">
        <v>83</v>
      </c>
      <c r="N72" s="15"/>
      <c r="T72" s="12"/>
      <c r="U72" s="38" t="s">
        <v>168</v>
      </c>
      <c r="V72" s="40" t="s">
        <v>196</v>
      </c>
      <c r="W72" s="15"/>
      <c r="AC72" s="12"/>
      <c r="AD72" s="30"/>
      <c r="AE72" s="30"/>
      <c r="AF72" s="15"/>
      <c r="AL72" s="12"/>
      <c r="AM72" s="38" t="s">
        <v>177</v>
      </c>
      <c r="AN72" s="40" t="s">
        <v>59</v>
      </c>
      <c r="AO72" s="15"/>
      <c r="AV72" s="27"/>
      <c r="AW72" s="27"/>
      <c r="AX72" s="27"/>
      <c r="AY72" s="27"/>
    </row>
    <row r="73" spans="2:51" x14ac:dyDescent="0.25">
      <c r="B73" s="12"/>
      <c r="C73" s="16"/>
      <c r="D73" s="16"/>
      <c r="E73" s="15"/>
      <c r="K73" s="12"/>
      <c r="L73" s="38" t="s">
        <v>117</v>
      </c>
      <c r="M73" s="40" t="s">
        <v>196</v>
      </c>
      <c r="N73" s="15"/>
      <c r="T73" s="12"/>
      <c r="U73" s="38" t="s">
        <v>170</v>
      </c>
      <c r="V73" s="40" t="s">
        <v>83</v>
      </c>
      <c r="W73" s="15"/>
      <c r="AC73" s="12"/>
      <c r="AD73" s="30"/>
      <c r="AE73" s="30"/>
      <c r="AF73" s="15"/>
      <c r="AL73" s="12"/>
      <c r="AM73" s="38" t="s">
        <v>179</v>
      </c>
      <c r="AN73" s="40" t="s">
        <v>69</v>
      </c>
      <c r="AO73" s="15"/>
      <c r="AV73" s="27"/>
      <c r="AW73" s="27"/>
      <c r="AX73" s="27"/>
      <c r="AY73" s="27"/>
    </row>
    <row r="74" spans="2:51" x14ac:dyDescent="0.25">
      <c r="B74" s="12"/>
      <c r="C74" s="16"/>
      <c r="D74" s="16"/>
      <c r="E74" s="15"/>
      <c r="K74" s="12"/>
      <c r="L74" s="41" t="s">
        <v>119</v>
      </c>
      <c r="M74" s="60" t="s">
        <v>43</v>
      </c>
      <c r="N74" s="54"/>
      <c r="T74" s="12"/>
      <c r="U74" s="41" t="s">
        <v>110</v>
      </c>
      <c r="V74" s="60" t="s">
        <v>190</v>
      </c>
      <c r="W74" s="15"/>
      <c r="AC74" s="12"/>
      <c r="AD74" s="30"/>
      <c r="AE74" s="30"/>
      <c r="AF74" s="15"/>
      <c r="AL74" s="12"/>
      <c r="AM74" s="41" t="s">
        <v>181</v>
      </c>
      <c r="AN74" s="61" t="s">
        <v>16</v>
      </c>
      <c r="AO74" s="15"/>
      <c r="AV74" s="27"/>
      <c r="AW74" s="27"/>
      <c r="AX74" s="27"/>
      <c r="AY74" s="27"/>
    </row>
    <row r="75" spans="2:51" x14ac:dyDescent="0.25">
      <c r="B75" s="12"/>
      <c r="C75" s="16"/>
      <c r="D75" s="16"/>
      <c r="E75" s="15"/>
      <c r="K75" s="12"/>
      <c r="L75" s="41" t="s">
        <v>121</v>
      </c>
      <c r="M75" s="56" t="s">
        <v>29</v>
      </c>
      <c r="N75" s="15"/>
      <c r="T75" s="12"/>
      <c r="U75" s="38" t="s">
        <v>175</v>
      </c>
      <c r="V75" s="40" t="s">
        <v>69</v>
      </c>
      <c r="W75" s="15"/>
      <c r="AC75" s="12"/>
      <c r="AD75" s="30"/>
      <c r="AE75" s="30"/>
      <c r="AF75" s="15"/>
      <c r="AL75" s="12"/>
      <c r="AM75" s="38" t="s">
        <v>183</v>
      </c>
      <c r="AN75" s="40" t="s">
        <v>71</v>
      </c>
      <c r="AO75" s="15"/>
      <c r="AV75" s="27"/>
      <c r="AW75" s="27"/>
      <c r="AX75" s="27"/>
      <c r="AY75" s="27"/>
    </row>
    <row r="76" spans="2:51" x14ac:dyDescent="0.25">
      <c r="B76" s="12"/>
      <c r="C76" s="16"/>
      <c r="D76" s="16"/>
      <c r="E76" s="15"/>
      <c r="K76" s="12"/>
      <c r="L76" s="41" t="s">
        <v>126</v>
      </c>
      <c r="M76" s="56" t="s">
        <v>21</v>
      </c>
      <c r="N76" s="15"/>
      <c r="T76" s="12"/>
      <c r="U76" s="38" t="s">
        <v>177</v>
      </c>
      <c r="V76" s="40" t="s">
        <v>59</v>
      </c>
      <c r="W76" s="15"/>
      <c r="AC76" s="12"/>
      <c r="AD76" s="30"/>
      <c r="AE76" s="30"/>
      <c r="AF76" s="15"/>
      <c r="AL76" s="12"/>
      <c r="AM76" s="50" t="s">
        <v>118</v>
      </c>
      <c r="AN76" s="62">
        <v>1.0000000000000003E-9</v>
      </c>
      <c r="AO76" s="15"/>
      <c r="AV76" s="27"/>
      <c r="AW76" s="27"/>
      <c r="AX76" s="27"/>
      <c r="AY76" s="27"/>
    </row>
    <row r="77" spans="2:51" x14ac:dyDescent="0.25">
      <c r="B77" s="12"/>
      <c r="C77" s="16"/>
      <c r="D77" s="16"/>
      <c r="E77" s="15"/>
      <c r="K77" s="12"/>
      <c r="L77" s="38" t="s">
        <v>130</v>
      </c>
      <c r="M77" s="40" t="s">
        <v>108</v>
      </c>
      <c r="N77" s="15"/>
      <c r="T77" s="12"/>
      <c r="U77" s="38" t="s">
        <v>179</v>
      </c>
      <c r="V77" s="40" t="s">
        <v>69</v>
      </c>
      <c r="W77" s="15"/>
      <c r="AC77" s="12"/>
      <c r="AD77" s="30"/>
      <c r="AE77" s="30"/>
      <c r="AF77" s="15"/>
      <c r="AL77" s="12"/>
      <c r="AM77" s="50" t="s">
        <v>122</v>
      </c>
      <c r="AN77" s="43">
        <v>1000</v>
      </c>
      <c r="AO77" s="15"/>
      <c r="AV77" s="27"/>
      <c r="AW77" s="27"/>
      <c r="AX77" s="27"/>
      <c r="AY77" s="27"/>
    </row>
    <row r="78" spans="2:51" x14ac:dyDescent="0.25">
      <c r="B78" s="12"/>
      <c r="C78" s="16"/>
      <c r="D78" s="16"/>
      <c r="E78" s="15"/>
      <c r="K78" s="12"/>
      <c r="L78" s="38" t="s">
        <v>133</v>
      </c>
      <c r="M78" s="40" t="s">
        <v>195</v>
      </c>
      <c r="N78" s="15"/>
      <c r="T78" s="12"/>
      <c r="U78" s="41" t="s">
        <v>181</v>
      </c>
      <c r="V78" s="61" t="s">
        <v>19</v>
      </c>
      <c r="W78" s="15"/>
      <c r="AC78" s="12"/>
      <c r="AD78" s="30"/>
      <c r="AE78" s="30"/>
      <c r="AF78" s="15"/>
      <c r="AL78" s="12"/>
      <c r="AM78" s="50" t="s">
        <v>186</v>
      </c>
      <c r="AN78" s="43" t="s">
        <v>71</v>
      </c>
      <c r="AO78" s="15"/>
      <c r="AV78" s="27"/>
      <c r="AW78" s="27"/>
      <c r="AX78" s="27"/>
      <c r="AY78" s="27"/>
    </row>
    <row r="79" spans="2:51" x14ac:dyDescent="0.25">
      <c r="B79" s="12"/>
      <c r="C79" s="16"/>
      <c r="D79" s="16"/>
      <c r="E79" s="15"/>
      <c r="K79" s="12"/>
      <c r="L79" s="38" t="s">
        <v>136</v>
      </c>
      <c r="M79" s="40" t="s">
        <v>80</v>
      </c>
      <c r="N79" s="15"/>
      <c r="T79" s="12"/>
      <c r="U79" s="38" t="s">
        <v>183</v>
      </c>
      <c r="V79" s="40" t="s">
        <v>71</v>
      </c>
      <c r="W79" s="15"/>
      <c r="AC79" s="12"/>
      <c r="AD79" s="30"/>
      <c r="AE79" s="30"/>
      <c r="AF79" s="15"/>
      <c r="AL79" s="12"/>
      <c r="AM79" s="50" t="s">
        <v>187</v>
      </c>
      <c r="AN79" s="43" t="s">
        <v>69</v>
      </c>
      <c r="AO79" s="15"/>
      <c r="AV79" s="27"/>
      <c r="AW79" s="27"/>
      <c r="AX79" s="27"/>
      <c r="AY79" s="27"/>
    </row>
    <row r="80" spans="2:51" x14ac:dyDescent="0.25">
      <c r="B80" s="12"/>
      <c r="C80" s="16"/>
      <c r="D80" s="16"/>
      <c r="E80" s="15"/>
      <c r="K80" s="12"/>
      <c r="L80" s="38" t="s">
        <v>129</v>
      </c>
      <c r="M80" s="40" t="s">
        <v>195</v>
      </c>
      <c r="N80" s="15"/>
      <c r="T80" s="12"/>
      <c r="U80" s="38" t="s">
        <v>118</v>
      </c>
      <c r="V80" s="165">
        <v>1.0000000000000003E-9</v>
      </c>
      <c r="W80" s="15"/>
      <c r="AC80" s="12"/>
      <c r="AD80" s="30"/>
      <c r="AE80" s="30"/>
      <c r="AF80" s="15"/>
      <c r="AL80" s="12"/>
      <c r="AM80" s="50" t="s">
        <v>91</v>
      </c>
      <c r="AN80" s="43">
        <v>31</v>
      </c>
      <c r="AO80" s="15"/>
      <c r="AV80" s="27"/>
      <c r="AW80" s="27"/>
      <c r="AX80" s="27"/>
      <c r="AY80" s="27"/>
    </row>
    <row r="81" spans="2:51" x14ac:dyDescent="0.25">
      <c r="B81" s="12"/>
      <c r="C81" s="16"/>
      <c r="D81" s="16"/>
      <c r="E81" s="15"/>
      <c r="K81" s="12"/>
      <c r="L81" s="38" t="s">
        <v>132</v>
      </c>
      <c r="M81" s="40" t="s">
        <v>196</v>
      </c>
      <c r="N81" s="15"/>
      <c r="T81" s="12"/>
      <c r="U81" s="38" t="s">
        <v>122</v>
      </c>
      <c r="V81" s="40">
        <v>1000</v>
      </c>
      <c r="W81" s="15"/>
      <c r="AC81" s="12"/>
      <c r="AD81" s="30"/>
      <c r="AE81" s="30"/>
      <c r="AF81" s="15"/>
      <c r="AL81" s="12"/>
      <c r="AM81" s="30"/>
      <c r="AN81" s="30"/>
      <c r="AO81" s="15"/>
      <c r="AV81" s="27"/>
      <c r="AW81" s="27"/>
      <c r="AX81" s="27"/>
      <c r="AY81" s="27"/>
    </row>
    <row r="82" spans="2:51" x14ac:dyDescent="0.25">
      <c r="B82" s="12"/>
      <c r="C82" s="16"/>
      <c r="D82" s="16"/>
      <c r="E82" s="15"/>
      <c r="K82" s="12"/>
      <c r="L82" s="38" t="s">
        <v>135</v>
      </c>
      <c r="M82" s="40" t="s">
        <v>83</v>
      </c>
      <c r="N82" s="15"/>
      <c r="P82" s="64"/>
      <c r="T82" s="12"/>
      <c r="U82" s="38" t="s">
        <v>186</v>
      </c>
      <c r="V82" s="40" t="b">
        <v>0</v>
      </c>
      <c r="W82" s="15"/>
      <c r="AC82" s="12"/>
      <c r="AD82" s="30"/>
      <c r="AE82" s="30"/>
      <c r="AF82" s="15"/>
      <c r="AL82" s="12"/>
      <c r="AM82" s="30"/>
      <c r="AN82" s="30"/>
      <c r="AO82" s="15"/>
      <c r="AV82" s="27"/>
      <c r="AW82" s="27"/>
      <c r="AX82" s="27"/>
      <c r="AY82" s="27"/>
    </row>
    <row r="83" spans="2:51" x14ac:dyDescent="0.25">
      <c r="B83" s="12"/>
      <c r="C83" s="16"/>
      <c r="D83" s="16"/>
      <c r="E83" s="15"/>
      <c r="K83" s="12"/>
      <c r="L83" s="38" t="s">
        <v>137</v>
      </c>
      <c r="M83" s="40" t="s">
        <v>195</v>
      </c>
      <c r="N83" s="15"/>
      <c r="T83" s="12"/>
      <c r="U83" s="38" t="s">
        <v>187</v>
      </c>
      <c r="V83" s="40" t="s">
        <v>69</v>
      </c>
      <c r="W83" s="15"/>
      <c r="AC83" s="12"/>
      <c r="AD83" s="30"/>
      <c r="AE83" s="30"/>
      <c r="AF83" s="15"/>
      <c r="AL83" s="12"/>
      <c r="AM83" s="30"/>
      <c r="AN83" s="30"/>
      <c r="AO83" s="15"/>
      <c r="AV83" s="27"/>
      <c r="AW83" s="27"/>
      <c r="AX83" s="27"/>
      <c r="AY83" s="27"/>
    </row>
    <row r="84" spans="2:51" x14ac:dyDescent="0.25">
      <c r="B84" s="12"/>
      <c r="C84" s="16"/>
      <c r="D84" s="16"/>
      <c r="E84" s="15"/>
      <c r="K84" s="12"/>
      <c r="L84" s="38" t="s">
        <v>139</v>
      </c>
      <c r="M84" s="40" t="s">
        <v>108</v>
      </c>
      <c r="N84" s="15"/>
      <c r="T84" s="12"/>
      <c r="U84" s="50" t="s">
        <v>91</v>
      </c>
      <c r="V84" s="43">
        <v>31</v>
      </c>
      <c r="W84" s="15"/>
      <c r="AC84" s="12"/>
      <c r="AD84" s="30"/>
      <c r="AE84" s="30"/>
      <c r="AF84" s="15"/>
      <c r="AL84" s="12"/>
      <c r="AM84" s="30"/>
      <c r="AN84" s="30"/>
      <c r="AO84" s="15"/>
      <c r="AV84" s="27"/>
      <c r="AW84" s="27"/>
      <c r="AX84" s="27"/>
      <c r="AY84" s="27"/>
    </row>
    <row r="85" spans="2:51" x14ac:dyDescent="0.25">
      <c r="B85" s="12"/>
      <c r="C85" s="16"/>
      <c r="D85" s="16"/>
      <c r="E85" s="15"/>
      <c r="K85" s="12"/>
      <c r="L85" s="38" t="s">
        <v>140</v>
      </c>
      <c r="M85" s="40" t="s">
        <v>38</v>
      </c>
      <c r="N85" s="15"/>
      <c r="T85" s="12"/>
      <c r="U85" s="30"/>
      <c r="V85" s="30"/>
      <c r="W85" s="15"/>
      <c r="AC85" s="12"/>
      <c r="AD85" s="30"/>
      <c r="AE85" s="30"/>
      <c r="AF85" s="15"/>
      <c r="AL85" s="12"/>
      <c r="AM85" s="30"/>
      <c r="AN85" s="30"/>
      <c r="AO85" s="15"/>
      <c r="AV85" s="27"/>
      <c r="AW85" s="27"/>
      <c r="AX85" s="27"/>
      <c r="AY85" s="27"/>
    </row>
    <row r="86" spans="2:51" x14ac:dyDescent="0.25">
      <c r="B86" s="12"/>
      <c r="C86" s="16"/>
      <c r="D86" s="16"/>
      <c r="E86" s="15"/>
      <c r="K86" s="12"/>
      <c r="L86" s="38" t="s">
        <v>145</v>
      </c>
      <c r="M86" s="40" t="s">
        <v>83</v>
      </c>
      <c r="N86" s="15"/>
      <c r="T86" s="12"/>
      <c r="U86" s="30"/>
      <c r="V86" s="30"/>
      <c r="W86" s="15"/>
      <c r="AC86" s="12"/>
      <c r="AD86" s="30"/>
      <c r="AE86" s="30"/>
      <c r="AF86" s="15"/>
      <c r="AL86" s="12"/>
      <c r="AM86" s="30"/>
      <c r="AN86" s="30"/>
      <c r="AO86" s="15"/>
      <c r="AV86" s="27"/>
      <c r="AW86" s="27"/>
      <c r="AX86" s="27"/>
      <c r="AY86" s="27"/>
    </row>
    <row r="87" spans="2:51" x14ac:dyDescent="0.25">
      <c r="B87" s="12"/>
      <c r="C87" s="16"/>
      <c r="D87" s="16"/>
      <c r="E87" s="15"/>
      <c r="K87" s="12"/>
      <c r="L87" s="38" t="s">
        <v>147</v>
      </c>
      <c r="M87" s="40" t="s">
        <v>196</v>
      </c>
      <c r="N87" s="15"/>
      <c r="T87" s="12"/>
      <c r="U87" s="30"/>
      <c r="V87" s="30"/>
      <c r="W87" s="15"/>
      <c r="AC87" s="12"/>
      <c r="AD87" s="30"/>
      <c r="AE87" s="30"/>
      <c r="AF87" s="15"/>
      <c r="AL87" s="12"/>
      <c r="AM87" s="30"/>
      <c r="AN87" s="30"/>
      <c r="AO87" s="15"/>
      <c r="AV87" s="27"/>
      <c r="AW87" s="27"/>
      <c r="AX87" s="27"/>
      <c r="AY87" s="27"/>
    </row>
    <row r="88" spans="2:51" x14ac:dyDescent="0.25">
      <c r="B88" s="12"/>
      <c r="C88" s="16"/>
      <c r="D88" s="16"/>
      <c r="E88" s="15"/>
      <c r="K88" s="12"/>
      <c r="L88" s="41" t="s">
        <v>148</v>
      </c>
      <c r="M88" s="56" t="s">
        <v>43</v>
      </c>
      <c r="N88" s="15"/>
      <c r="T88" s="12"/>
      <c r="U88" s="30"/>
      <c r="V88" s="30"/>
      <c r="W88" s="15"/>
      <c r="AC88" s="12"/>
      <c r="AD88" s="30"/>
      <c r="AE88" s="30"/>
      <c r="AF88" s="15"/>
      <c r="AL88" s="12"/>
      <c r="AM88" s="30"/>
      <c r="AN88" s="30"/>
      <c r="AO88" s="15"/>
      <c r="AV88" s="27"/>
      <c r="AW88" s="27"/>
      <c r="AX88" s="27"/>
      <c r="AY88" s="27"/>
    </row>
    <row r="89" spans="2:51" x14ac:dyDescent="0.25">
      <c r="B89" s="12"/>
      <c r="C89" s="16"/>
      <c r="D89" s="16"/>
      <c r="E89" s="15"/>
      <c r="K89" s="12"/>
      <c r="L89" s="41" t="s">
        <v>153</v>
      </c>
      <c r="M89" s="56" t="s">
        <v>29</v>
      </c>
      <c r="N89" s="15"/>
      <c r="T89" s="12"/>
      <c r="U89" s="30"/>
      <c r="V89" s="30"/>
      <c r="W89" s="15"/>
      <c r="AC89" s="12"/>
      <c r="AD89" s="30"/>
      <c r="AE89" s="30"/>
      <c r="AF89" s="15"/>
      <c r="AL89" s="12"/>
      <c r="AM89" s="30"/>
      <c r="AN89" s="30"/>
      <c r="AO89" s="15"/>
      <c r="AV89" s="27"/>
      <c r="AW89" s="27"/>
      <c r="AX89" s="27"/>
      <c r="AY89" s="27"/>
    </row>
    <row r="90" spans="2:51" x14ac:dyDescent="0.25">
      <c r="B90" s="12"/>
      <c r="C90" s="16"/>
      <c r="D90" s="16"/>
      <c r="E90" s="15"/>
      <c r="K90" s="12"/>
      <c r="L90" s="41" t="s">
        <v>154</v>
      </c>
      <c r="M90" s="56" t="s">
        <v>19</v>
      </c>
      <c r="N90" s="15"/>
      <c r="T90" s="12"/>
      <c r="U90" s="30"/>
      <c r="V90" s="30"/>
      <c r="W90" s="15"/>
      <c r="AC90" s="12"/>
      <c r="AD90" s="30"/>
      <c r="AE90" s="30"/>
      <c r="AF90" s="15"/>
      <c r="AL90" s="12"/>
      <c r="AM90" s="30"/>
      <c r="AN90" s="30"/>
      <c r="AO90" s="15"/>
      <c r="AV90" s="27"/>
      <c r="AW90" s="27"/>
      <c r="AX90" s="27"/>
      <c r="AY90" s="27"/>
    </row>
    <row r="91" spans="2:51" x14ac:dyDescent="0.25">
      <c r="B91" s="65"/>
      <c r="C91" s="66"/>
      <c r="D91" s="66"/>
      <c r="E91" s="67"/>
      <c r="K91" s="12"/>
      <c r="L91" s="38" t="s">
        <v>156</v>
      </c>
      <c r="M91" s="40" t="s">
        <v>108</v>
      </c>
      <c r="N91" s="15"/>
      <c r="T91" s="12"/>
      <c r="U91" s="30"/>
      <c r="V91" s="30"/>
      <c r="W91" s="15"/>
      <c r="AC91" s="12"/>
      <c r="AD91" s="30"/>
      <c r="AE91" s="30"/>
      <c r="AF91" s="15"/>
      <c r="AL91" s="12"/>
      <c r="AM91" s="30"/>
      <c r="AN91" s="30"/>
      <c r="AO91" s="15"/>
      <c r="AV91" s="27"/>
      <c r="AW91" s="27"/>
      <c r="AX91" s="27"/>
      <c r="AY91" s="27"/>
    </row>
    <row r="92" spans="2:51" x14ac:dyDescent="0.25">
      <c r="K92" s="12"/>
      <c r="L92" s="38" t="s">
        <v>160</v>
      </c>
      <c r="M92" s="40" t="s">
        <v>195</v>
      </c>
      <c r="N92" s="15"/>
      <c r="T92" s="12"/>
      <c r="U92" s="30"/>
      <c r="V92" s="30"/>
      <c r="W92" s="15"/>
      <c r="AC92" s="12"/>
      <c r="AD92" s="30"/>
      <c r="AE92" s="30"/>
      <c r="AF92" s="15"/>
      <c r="AL92" s="12"/>
      <c r="AM92" s="30"/>
      <c r="AN92" s="30"/>
      <c r="AO92" s="15"/>
      <c r="AV92" s="27"/>
      <c r="AW92" s="27"/>
      <c r="AX92" s="27"/>
      <c r="AY92" s="27"/>
    </row>
    <row r="93" spans="2:51" x14ac:dyDescent="0.25">
      <c r="K93" s="12"/>
      <c r="L93" s="38" t="s">
        <v>164</v>
      </c>
      <c r="M93" s="40" t="s">
        <v>80</v>
      </c>
      <c r="N93" s="15"/>
      <c r="T93" s="12"/>
      <c r="U93" s="30"/>
      <c r="V93" s="30"/>
      <c r="W93" s="15"/>
      <c r="AC93" s="12"/>
      <c r="AD93" s="30"/>
      <c r="AE93" s="30"/>
      <c r="AF93" s="15"/>
      <c r="AL93" s="12"/>
      <c r="AM93" s="30"/>
      <c r="AN93" s="30"/>
      <c r="AO93" s="15"/>
      <c r="AV93" s="27"/>
      <c r="AW93" s="27"/>
      <c r="AX93" s="27"/>
      <c r="AY93" s="27"/>
    </row>
    <row r="94" spans="2:51" x14ac:dyDescent="0.25">
      <c r="K94" s="12"/>
      <c r="L94" s="38" t="s">
        <v>165</v>
      </c>
      <c r="M94" s="40" t="s">
        <v>195</v>
      </c>
      <c r="N94" s="15"/>
      <c r="T94" s="12"/>
      <c r="U94" s="30"/>
      <c r="V94" s="30"/>
      <c r="W94" s="15"/>
      <c r="AC94" s="12"/>
      <c r="AD94" s="30"/>
      <c r="AE94" s="30"/>
      <c r="AF94" s="15"/>
      <c r="AL94" s="12"/>
      <c r="AM94" s="30"/>
      <c r="AN94" s="30"/>
      <c r="AO94" s="15"/>
      <c r="AV94" s="27"/>
      <c r="AW94" s="27"/>
      <c r="AX94" s="27"/>
      <c r="AY94" s="27"/>
    </row>
    <row r="95" spans="2:51" x14ac:dyDescent="0.25">
      <c r="K95" s="12"/>
      <c r="L95" s="38" t="s">
        <v>168</v>
      </c>
      <c r="M95" s="40" t="s">
        <v>196</v>
      </c>
      <c r="N95" s="15"/>
      <c r="T95" s="12"/>
      <c r="U95" s="30"/>
      <c r="V95" s="30"/>
      <c r="W95" s="15"/>
      <c r="AC95" s="65"/>
      <c r="AD95" s="66"/>
      <c r="AE95" s="66"/>
      <c r="AF95" s="67"/>
      <c r="AL95" s="12"/>
      <c r="AM95" s="30"/>
      <c r="AN95" s="30"/>
      <c r="AO95" s="15"/>
      <c r="AV95" s="27"/>
      <c r="AW95" s="27"/>
      <c r="AX95" s="27"/>
      <c r="AY95" s="27"/>
    </row>
    <row r="96" spans="2:51" x14ac:dyDescent="0.25">
      <c r="K96" s="12"/>
      <c r="L96" s="38" t="s">
        <v>170</v>
      </c>
      <c r="M96" s="40" t="s">
        <v>83</v>
      </c>
      <c r="N96" s="15"/>
      <c r="T96" s="12"/>
      <c r="U96" s="30"/>
      <c r="V96" s="30"/>
      <c r="W96" s="15"/>
      <c r="AL96" s="12"/>
      <c r="AM96" s="30"/>
      <c r="AN96" s="30"/>
      <c r="AO96" s="15"/>
      <c r="AV96" s="27"/>
      <c r="AW96" s="27"/>
      <c r="AX96" s="27"/>
      <c r="AY96" s="27"/>
    </row>
    <row r="97" spans="11:51" x14ac:dyDescent="0.25">
      <c r="K97" s="12"/>
      <c r="L97" s="41" t="s">
        <v>110</v>
      </c>
      <c r="M97" s="60" t="s">
        <v>173</v>
      </c>
      <c r="N97" s="15"/>
      <c r="T97" s="12"/>
      <c r="U97" s="30"/>
      <c r="V97" s="30"/>
      <c r="W97" s="15"/>
      <c r="AL97" s="12"/>
      <c r="AM97" s="30"/>
      <c r="AN97" s="30"/>
      <c r="AO97" s="15"/>
      <c r="AV97" s="27"/>
      <c r="AW97" s="27"/>
      <c r="AX97" s="27"/>
      <c r="AY97" s="27"/>
    </row>
    <row r="98" spans="11:51" x14ac:dyDescent="0.25">
      <c r="K98" s="12"/>
      <c r="L98" s="38" t="s">
        <v>175</v>
      </c>
      <c r="M98" s="40" t="s">
        <v>69</v>
      </c>
      <c r="N98" s="15"/>
      <c r="T98" s="12"/>
      <c r="U98" s="30"/>
      <c r="V98" s="30"/>
      <c r="W98" s="15"/>
      <c r="AL98" s="12"/>
      <c r="AM98" s="30"/>
      <c r="AN98" s="30"/>
      <c r="AO98" s="15"/>
    </row>
    <row r="99" spans="11:51" x14ac:dyDescent="0.25">
      <c r="K99" s="12"/>
      <c r="L99" s="50" t="s">
        <v>179</v>
      </c>
      <c r="M99" s="43" t="s">
        <v>69</v>
      </c>
      <c r="N99" s="15"/>
      <c r="T99" s="12"/>
      <c r="U99" s="30"/>
      <c r="V99" s="30"/>
      <c r="W99" s="15"/>
      <c r="AL99" s="12"/>
      <c r="AM99" s="30"/>
      <c r="AN99" s="30"/>
      <c r="AO99" s="15"/>
    </row>
    <row r="100" spans="11:51" x14ac:dyDescent="0.25">
      <c r="K100" s="12"/>
      <c r="L100" s="30"/>
      <c r="M100" s="30"/>
      <c r="N100" s="15"/>
      <c r="T100" s="12"/>
      <c r="U100" s="30"/>
      <c r="V100" s="30"/>
      <c r="W100" s="15"/>
      <c r="AL100" s="12"/>
      <c r="AM100" s="30"/>
      <c r="AN100" s="30"/>
      <c r="AO100" s="15"/>
    </row>
    <row r="101" spans="11:51" x14ac:dyDescent="0.25">
      <c r="K101" s="12"/>
      <c r="L101" s="16"/>
      <c r="M101" s="16"/>
      <c r="N101" s="15"/>
      <c r="T101" s="12"/>
      <c r="U101" s="30"/>
      <c r="V101" s="30"/>
      <c r="W101" s="15"/>
      <c r="AL101" s="12"/>
      <c r="AM101" s="30"/>
      <c r="AN101" s="30"/>
      <c r="AO101" s="15"/>
    </row>
    <row r="102" spans="11:51" x14ac:dyDescent="0.25">
      <c r="K102" s="12"/>
      <c r="L102" s="16"/>
      <c r="M102" s="16"/>
      <c r="N102" s="15"/>
      <c r="T102" s="12"/>
      <c r="U102" s="30"/>
      <c r="V102" s="30"/>
      <c r="W102" s="15"/>
      <c r="AL102" s="12"/>
      <c r="AM102" s="30"/>
      <c r="AN102" s="30"/>
      <c r="AO102" s="15"/>
    </row>
    <row r="103" spans="11:51" x14ac:dyDescent="0.25">
      <c r="K103" s="65"/>
      <c r="L103" s="66"/>
      <c r="M103" s="66"/>
      <c r="N103" s="67"/>
      <c r="T103" s="12"/>
      <c r="U103" s="30"/>
      <c r="V103" s="30"/>
      <c r="W103" s="15"/>
      <c r="AL103" s="12"/>
      <c r="AM103" s="30"/>
      <c r="AN103" s="30"/>
      <c r="AO103" s="15"/>
    </row>
    <row r="104" spans="11:51" x14ac:dyDescent="0.25">
      <c r="T104" s="12"/>
      <c r="U104" s="30"/>
      <c r="V104" s="30"/>
      <c r="W104" s="15"/>
      <c r="AL104" s="12"/>
      <c r="AM104" s="30"/>
      <c r="AN104" s="30"/>
      <c r="AO104" s="15"/>
    </row>
    <row r="105" spans="11:51" x14ac:dyDescent="0.25">
      <c r="T105" s="12"/>
      <c r="U105" s="30"/>
      <c r="V105" s="30"/>
      <c r="W105" s="15"/>
      <c r="AL105" s="12"/>
      <c r="AM105" s="30"/>
      <c r="AN105" s="30"/>
      <c r="AO105" s="15"/>
    </row>
    <row r="106" spans="11:51" x14ac:dyDescent="0.25">
      <c r="T106" s="12"/>
      <c r="U106" s="30"/>
      <c r="V106" s="30"/>
      <c r="W106" s="15"/>
      <c r="AL106" s="12"/>
      <c r="AM106" s="30"/>
      <c r="AN106" s="30"/>
      <c r="AO106" s="15"/>
    </row>
    <row r="107" spans="11:51" x14ac:dyDescent="0.25">
      <c r="T107" s="12"/>
      <c r="U107" s="30"/>
      <c r="V107" s="30"/>
      <c r="W107" s="15"/>
      <c r="AL107" s="12"/>
      <c r="AM107" s="30"/>
      <c r="AN107" s="30"/>
      <c r="AO107" s="15"/>
    </row>
    <row r="108" spans="11:51" x14ac:dyDescent="0.25">
      <c r="T108" s="12"/>
      <c r="U108" s="30"/>
      <c r="V108" s="30"/>
      <c r="W108" s="15"/>
      <c r="AL108" s="12"/>
      <c r="AM108" s="30"/>
      <c r="AN108" s="30"/>
      <c r="AO108" s="15"/>
    </row>
    <row r="109" spans="11:51" x14ac:dyDescent="0.25">
      <c r="T109" s="12"/>
      <c r="U109" s="30"/>
      <c r="V109" s="30"/>
      <c r="W109" s="15"/>
      <c r="AL109" s="12"/>
      <c r="AM109" s="30"/>
      <c r="AN109" s="30"/>
      <c r="AO109" s="15"/>
    </row>
    <row r="110" spans="11:51" x14ac:dyDescent="0.25">
      <c r="T110" s="12"/>
      <c r="U110" s="30"/>
      <c r="V110" s="30"/>
      <c r="W110" s="15"/>
      <c r="AL110" s="65"/>
      <c r="AM110" s="66"/>
      <c r="AN110" s="66"/>
      <c r="AO110" s="67"/>
    </row>
    <row r="111" spans="11:51" x14ac:dyDescent="0.25">
      <c r="T111" s="12"/>
      <c r="U111" s="30"/>
      <c r="V111" s="30"/>
      <c r="W111" s="15"/>
    </row>
    <row r="112" spans="11:51" x14ac:dyDescent="0.25">
      <c r="T112" s="12"/>
      <c r="U112" s="30"/>
      <c r="V112" s="30"/>
      <c r="W112" s="15"/>
    </row>
    <row r="113" spans="20:23" x14ac:dyDescent="0.25">
      <c r="T113" s="12"/>
      <c r="U113" s="30"/>
      <c r="V113" s="30"/>
      <c r="W113" s="15"/>
    </row>
    <row r="114" spans="20:23" x14ac:dyDescent="0.25">
      <c r="T114" s="65"/>
      <c r="U114" s="66"/>
      <c r="V114" s="66"/>
      <c r="W114" s="67"/>
    </row>
  </sheetData>
  <dataValidations count="1">
    <dataValidation type="list" allowBlank="1" showInputMessage="1" showErrorMessage="1" sqref="D6 M6 V6 AN6 AE6">
      <formula1>"TRUE,FALSE"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B1:U101"/>
  <sheetViews>
    <sheetView showGridLines="0" tabSelected="1" workbookViewId="0"/>
  </sheetViews>
  <sheetFormatPr defaultRowHeight="15" x14ac:dyDescent="0.25"/>
  <cols>
    <col min="1" max="1" width="4.7109375" customWidth="1"/>
    <col min="2" max="2" width="20.7109375" customWidth="1"/>
    <col min="3" max="3" width="12.7109375" customWidth="1"/>
    <col min="4" max="4" width="20.7109375" customWidth="1"/>
    <col min="5" max="5" width="4.7109375" customWidth="1"/>
    <col min="6" max="7" width="15.7109375" customWidth="1"/>
    <col min="8" max="8" width="25.7109375" bestFit="1" customWidth="1"/>
    <col min="9" max="12" width="15.7109375" customWidth="1"/>
    <col min="13" max="13" width="4.7109375" style="81" customWidth="1"/>
    <col min="14" max="14" width="22.42578125" bestFit="1" customWidth="1"/>
    <col min="15" max="16" width="15.7109375" customWidth="1"/>
    <col min="17" max="17" width="4.7109375" customWidth="1"/>
    <col min="19" max="19" width="9.85546875" bestFit="1" customWidth="1"/>
    <col min="20" max="20" width="13.140625" bestFit="1" customWidth="1"/>
  </cols>
  <sheetData>
    <row r="1" spans="2:21" x14ac:dyDescent="0.25">
      <c r="P1" s="85"/>
    </row>
    <row r="2" spans="2:21" x14ac:dyDescent="0.25">
      <c r="P2" s="85"/>
    </row>
    <row r="3" spans="2:21" x14ac:dyDescent="0.25">
      <c r="B3" s="82" t="s">
        <v>200</v>
      </c>
      <c r="C3" s="82"/>
      <c r="F3" s="83" t="s">
        <v>259</v>
      </c>
      <c r="N3" s="82" t="s">
        <v>201</v>
      </c>
      <c r="R3" s="82" t="s">
        <v>202</v>
      </c>
    </row>
    <row r="4" spans="2:21" x14ac:dyDescent="0.25">
      <c r="D4" s="84" t="s">
        <v>203</v>
      </c>
      <c r="H4" s="84" t="s">
        <v>204</v>
      </c>
      <c r="P4" s="85"/>
    </row>
    <row r="5" spans="2:21" x14ac:dyDescent="0.25">
      <c r="B5" s="2" t="s">
        <v>205</v>
      </c>
      <c r="C5" s="2" t="s">
        <v>73</v>
      </c>
      <c r="D5" s="1" t="s">
        <v>206</v>
      </c>
      <c r="E5" s="1"/>
      <c r="F5" s="1" t="s">
        <v>205</v>
      </c>
      <c r="G5" s="2" t="s">
        <v>207</v>
      </c>
      <c r="H5" s="2" t="s">
        <v>208</v>
      </c>
      <c r="I5" s="2" t="s">
        <v>209</v>
      </c>
      <c r="J5" s="2" t="s">
        <v>210</v>
      </c>
      <c r="K5" s="2" t="s">
        <v>211</v>
      </c>
      <c r="L5" s="2" t="s">
        <v>9</v>
      </c>
      <c r="N5" s="2" t="s">
        <v>212</v>
      </c>
      <c r="O5" s="2" t="s">
        <v>213</v>
      </c>
      <c r="P5" s="2" t="s">
        <v>214</v>
      </c>
      <c r="R5" s="2" t="s">
        <v>6</v>
      </c>
      <c r="S5" s="2" t="s">
        <v>7</v>
      </c>
      <c r="T5" s="86" t="s">
        <v>215</v>
      </c>
    </row>
    <row r="6" spans="2:21" x14ac:dyDescent="0.25">
      <c r="B6" s="126">
        <f ca="1">_xll.meDateFromTenor(COB,F6,"MOD_FOLLOWING",$C6,"")</f>
        <v>44075</v>
      </c>
      <c r="C6" s="127" t="s">
        <v>195</v>
      </c>
      <c r="D6" s="128">
        <f ca="1">_xll.meDateFromTenor(B6,G6,)</f>
        <v>44076</v>
      </c>
      <c r="E6" s="125"/>
      <c r="F6" s="171" t="s">
        <v>216</v>
      </c>
      <c r="G6" s="88" t="str">
        <f ca="1">CZK_CURVES!G4</f>
        <v>ON</v>
      </c>
      <c r="H6" s="89" t="str">
        <f>TEMPLATES!$C$3</f>
        <v>EM_CZK_OIS_UNDER_1Y:1</v>
      </c>
      <c r="I6" s="90" t="s">
        <v>217</v>
      </c>
      <c r="J6" s="91">
        <v>1000000</v>
      </c>
      <c r="K6" s="92">
        <v>0.01</v>
      </c>
      <c r="L6" s="93">
        <v>0</v>
      </c>
      <c r="M6" s="135">
        <v>1</v>
      </c>
      <c r="N6" s="94" t="str">
        <f ca="1">_xll.meLWOSwapCreateFromGenerator("CZK_SWAP"&amp;M6,H6,I6,J6,B6,D6,K6,L6)</f>
        <v>CZK_SWAP1:10</v>
      </c>
      <c r="O6" s="95" t="s">
        <v>161</v>
      </c>
      <c r="P6" s="96">
        <f ca="1">_xll.meLWOSwapParRate(N6,O6)</f>
        <v>6.9999999996461781E-4</v>
      </c>
      <c r="Q6" s="122"/>
      <c r="R6" s="97" t="str">
        <f ca="1">CZK_CURVES!G4</f>
        <v>ON</v>
      </c>
      <c r="S6" s="98">
        <f ca="1">CZK_CURVES!H4</f>
        <v>7.000000000000001E-4</v>
      </c>
      <c r="T6" s="99">
        <f t="shared" ref="T6:T30" ca="1" si="0">(P6-S6)*10000</f>
        <v>-3.5382287377760946E-10</v>
      </c>
      <c r="U6" s="7"/>
    </row>
    <row r="7" spans="2:21" x14ac:dyDescent="0.25">
      <c r="B7" s="129">
        <f ca="1">_xll.meDateFromTenor(COB,F7,"MOD_FOLLOWING",$C7,"")</f>
        <v>44077</v>
      </c>
      <c r="C7" s="130" t="s">
        <v>195</v>
      </c>
      <c r="D7" s="131">
        <f ca="1">_xll.meDateFromTenor(B7,G7,)</f>
        <v>44084</v>
      </c>
      <c r="E7" s="125"/>
      <c r="F7" s="138" t="s">
        <v>196</v>
      </c>
      <c r="G7" s="139" t="str">
        <f ca="1">CZK_CURVES!G5</f>
        <v>1W</v>
      </c>
      <c r="H7" s="100" t="str">
        <f>TEMPLATES!$C$3</f>
        <v>EM_CZK_OIS_UNDER_1Y:1</v>
      </c>
      <c r="I7" s="101" t="s">
        <v>217</v>
      </c>
      <c r="J7" s="102">
        <v>1000000</v>
      </c>
      <c r="K7" s="103">
        <v>0.01</v>
      </c>
      <c r="L7" s="104">
        <v>0</v>
      </c>
      <c r="M7" s="135">
        <f t="shared" ref="M7:M30" si="1">M6+1</f>
        <v>2</v>
      </c>
      <c r="N7" s="105" t="str">
        <f ca="1">_xll.meLWOSwapCreateFromGenerator("CZK_SWAP"&amp;M7,H7,I7,J7,B7,D7,K7,L7)</f>
        <v>CZK_SWAP2:10</v>
      </c>
      <c r="O7" s="106" t="s">
        <v>161</v>
      </c>
      <c r="P7" s="107">
        <f ca="1">_xll.meLWOSwapParRate(N7,O7)</f>
        <v>1.199999999996442E-3</v>
      </c>
      <c r="Q7" s="122"/>
      <c r="R7" s="108" t="str">
        <f ca="1">CZK_CURVES!G5</f>
        <v>1W</v>
      </c>
      <c r="S7" s="109">
        <f ca="1">CZK_CURVES!H5</f>
        <v>1.1999999999999999E-3</v>
      </c>
      <c r="T7" s="110">
        <f t="shared" ca="1" si="0"/>
        <v>-3.5579178492284314E-11</v>
      </c>
    </row>
    <row r="8" spans="2:21" x14ac:dyDescent="0.25">
      <c r="B8" s="129">
        <f ca="1">_xll.meDateFromTenor(COB,F8,"MOD_FOLLOWING",$C8,"")</f>
        <v>44077</v>
      </c>
      <c r="C8" s="130" t="s">
        <v>195</v>
      </c>
      <c r="D8" s="131">
        <f ca="1">_xll.meDateFromTenor(B8,G8,)</f>
        <v>44091</v>
      </c>
      <c r="E8" s="125"/>
      <c r="F8" s="138" t="s">
        <v>196</v>
      </c>
      <c r="G8" s="139" t="str">
        <f ca="1">CZK_CURVES!G6</f>
        <v>2W</v>
      </c>
      <c r="H8" s="100" t="str">
        <f>TEMPLATES!$C$3</f>
        <v>EM_CZK_OIS_UNDER_1Y:1</v>
      </c>
      <c r="I8" s="101" t="s">
        <v>217</v>
      </c>
      <c r="J8" s="102">
        <v>1000000</v>
      </c>
      <c r="K8" s="103">
        <v>0.01</v>
      </c>
      <c r="L8" s="104">
        <v>0</v>
      </c>
      <c r="M8" s="135">
        <f t="shared" si="1"/>
        <v>3</v>
      </c>
      <c r="N8" s="105" t="str">
        <f ca="1">_xll.meLWOSwapCreateFromGenerator("CZK_SWAP"&amp;M8,H8,I8,J8,B8,D8,K8,L8)</f>
        <v>CZK_SWAP3:10</v>
      </c>
      <c r="O8" s="106" t="s">
        <v>161</v>
      </c>
      <c r="P8" s="107">
        <f ca="1">_xll.meLWOSwapParRate(N8,O8)</f>
        <v>1.5999999999819336E-3</v>
      </c>
      <c r="Q8" s="122"/>
      <c r="R8" s="108" t="str">
        <f ca="1">CZK_CURVES!G6</f>
        <v>2W</v>
      </c>
      <c r="S8" s="109">
        <f ca="1">CZK_CURVES!H6</f>
        <v>1.6000000000000001E-3</v>
      </c>
      <c r="T8" s="110">
        <f t="shared" ca="1" si="0"/>
        <v>-1.8066494480994955E-10</v>
      </c>
    </row>
    <row r="9" spans="2:21" x14ac:dyDescent="0.25">
      <c r="B9" s="129">
        <f ca="1">_xll.meDateFromTenor(COB,F9,"MOD_FOLLOWING",$C9,"")</f>
        <v>44077</v>
      </c>
      <c r="C9" s="130" t="s">
        <v>195</v>
      </c>
      <c r="D9" s="131">
        <f ca="1">_xll.meDateFromTenor(B9,G9,)</f>
        <v>44107</v>
      </c>
      <c r="E9" s="125"/>
      <c r="F9" s="138" t="s">
        <v>196</v>
      </c>
      <c r="G9" s="139" t="str">
        <f ca="1">CZK_CURVES!G7</f>
        <v>1M</v>
      </c>
      <c r="H9" s="100" t="str">
        <f>TEMPLATES!$C$3</f>
        <v>EM_CZK_OIS_UNDER_1Y:1</v>
      </c>
      <c r="I9" s="101" t="s">
        <v>217</v>
      </c>
      <c r="J9" s="102">
        <v>1000000</v>
      </c>
      <c r="K9" s="103">
        <v>0.01</v>
      </c>
      <c r="L9" s="104">
        <v>0</v>
      </c>
      <c r="M9" s="135">
        <f t="shared" si="1"/>
        <v>4</v>
      </c>
      <c r="N9" s="105" t="str">
        <f ca="1">_xll.meLWOSwapCreateFromGenerator("CZK_SWAP"&amp;M9,H9,I9,J9,B9,D9,K9,L9)</f>
        <v>CZK_SWAP4:10</v>
      </c>
      <c r="O9" s="106" t="s">
        <v>161</v>
      </c>
      <c r="P9" s="107">
        <f ca="1">_xll.meLWOSwapParRate(N9,O9)</f>
        <v>1.1999999999853799E-3</v>
      </c>
      <c r="Q9" s="122"/>
      <c r="R9" s="108" t="str">
        <f ca="1">CZK_CURVES!G7</f>
        <v>1M</v>
      </c>
      <c r="S9" s="109">
        <f ca="1">CZK_CURVES!H7</f>
        <v>1.1999999999999999E-3</v>
      </c>
      <c r="T9" s="110">
        <f t="shared" ca="1" si="0"/>
        <v>-1.4620032615098033E-10</v>
      </c>
    </row>
    <row r="10" spans="2:21" x14ac:dyDescent="0.25">
      <c r="B10" s="129">
        <f ca="1">_xll.meDateFromTenor(COB,F10,"MOD_FOLLOWING",$C10,"")</f>
        <v>44077</v>
      </c>
      <c r="C10" s="130" t="s">
        <v>195</v>
      </c>
      <c r="D10" s="131">
        <f ca="1">_xll.meDateFromTenor(B10,G10,)</f>
        <v>44138</v>
      </c>
      <c r="E10" s="125"/>
      <c r="F10" s="138" t="s">
        <v>196</v>
      </c>
      <c r="G10" s="139" t="str">
        <f ca="1">CZK_CURVES!G8</f>
        <v>2M</v>
      </c>
      <c r="H10" s="100" t="str">
        <f>TEMPLATES!$C$3</f>
        <v>EM_CZK_OIS_UNDER_1Y:1</v>
      </c>
      <c r="I10" s="101" t="s">
        <v>217</v>
      </c>
      <c r="J10" s="102">
        <v>1000000</v>
      </c>
      <c r="K10" s="103">
        <v>0.01</v>
      </c>
      <c r="L10" s="104">
        <v>0</v>
      </c>
      <c r="M10" s="135">
        <f t="shared" si="1"/>
        <v>5</v>
      </c>
      <c r="N10" s="105" t="str">
        <f ca="1">_xll.meLWOSwapCreateFromGenerator("CZK_SWAP"&amp;M10,H10,I10,J10,B10,D10,K10,L10)</f>
        <v>CZK_SWAP5:10</v>
      </c>
      <c r="O10" s="106" t="s">
        <v>161</v>
      </c>
      <c r="P10" s="107">
        <f ca="1">_xll.meLWOSwapParRate(N10,O10)</f>
        <v>1.1999999999908262E-3</v>
      </c>
      <c r="Q10" s="122"/>
      <c r="R10" s="108" t="str">
        <f ca="1">CZK_CURVES!G8</f>
        <v>2M</v>
      </c>
      <c r="S10" s="109">
        <f ca="1">CZK_CURVES!H8</f>
        <v>1.1999999999999999E-3</v>
      </c>
      <c r="T10" s="110">
        <f t="shared" ca="1" si="0"/>
        <v>-9.1736514218343501E-11</v>
      </c>
    </row>
    <row r="11" spans="2:21" x14ac:dyDescent="0.25">
      <c r="B11" s="129">
        <f ca="1">_xll.meDateFromTenor(COB,F11,"MOD_FOLLOWING",$C11,"")</f>
        <v>44077</v>
      </c>
      <c r="C11" s="130" t="s">
        <v>195</v>
      </c>
      <c r="D11" s="131">
        <f ca="1">_xll.meDateFromTenor(B11,G11,)</f>
        <v>44168</v>
      </c>
      <c r="E11" s="125"/>
      <c r="F11" s="138" t="s">
        <v>196</v>
      </c>
      <c r="G11" s="139" t="str">
        <f ca="1">CZK_CURVES!G9</f>
        <v>3M</v>
      </c>
      <c r="H11" s="100" t="str">
        <f>TEMPLATES!$C$3</f>
        <v>EM_CZK_OIS_UNDER_1Y:1</v>
      </c>
      <c r="I11" s="101" t="s">
        <v>217</v>
      </c>
      <c r="J11" s="102">
        <v>1000000</v>
      </c>
      <c r="K11" s="103">
        <v>0.01</v>
      </c>
      <c r="L11" s="104">
        <v>0</v>
      </c>
      <c r="M11" s="135">
        <f t="shared" si="1"/>
        <v>6</v>
      </c>
      <c r="N11" s="105" t="str">
        <f ca="1">_xll.meLWOSwapCreateFromGenerator("CZK_SWAP"&amp;M11,H11,I11,J11,B11,D11,K11,L11)</f>
        <v>CZK_SWAP6:10</v>
      </c>
      <c r="O11" s="106" t="s">
        <v>161</v>
      </c>
      <c r="P11" s="107">
        <f ca="1">_xll.meLWOSwapParRate(N11,O11)</f>
        <v>1.2999999999957807E-3</v>
      </c>
      <c r="Q11" s="122"/>
      <c r="R11" s="108" t="str">
        <f ca="1">CZK_CURVES!G9</f>
        <v>3M</v>
      </c>
      <c r="S11" s="109">
        <f ca="1">CZK_CURVES!H9</f>
        <v>1.2999999999999999E-3</v>
      </c>
      <c r="T11" s="110">
        <f t="shared" ca="1" si="0"/>
        <v>-4.2192811744445891E-11</v>
      </c>
    </row>
    <row r="12" spans="2:21" x14ac:dyDescent="0.25">
      <c r="B12" s="129">
        <f ca="1">_xll.meDateFromTenor(COB,F12,"MOD_FOLLOWING",$C12,"")</f>
        <v>44077</v>
      </c>
      <c r="C12" s="130" t="s">
        <v>195</v>
      </c>
      <c r="D12" s="131">
        <f ca="1">_xll.meDateFromTenor(B12,G12,)</f>
        <v>44258</v>
      </c>
      <c r="E12" s="125"/>
      <c r="F12" s="138" t="s">
        <v>196</v>
      </c>
      <c r="G12" s="139" t="str">
        <f ca="1">CZK_CURVES!G10</f>
        <v>6M</v>
      </c>
      <c r="H12" s="100" t="str">
        <f>TEMPLATES!$C$3</f>
        <v>EM_CZK_OIS_UNDER_1Y:1</v>
      </c>
      <c r="I12" s="101" t="s">
        <v>217</v>
      </c>
      <c r="J12" s="102">
        <v>1000000</v>
      </c>
      <c r="K12" s="103">
        <v>0.01</v>
      </c>
      <c r="L12" s="104">
        <v>0</v>
      </c>
      <c r="M12" s="135">
        <f t="shared" si="1"/>
        <v>7</v>
      </c>
      <c r="N12" s="105" t="str">
        <f ca="1">_xll.meLWOSwapCreateFromGenerator("CZK_SWAP"&amp;M12,H12,I12,J12,B12,D12,K12,L12)</f>
        <v>CZK_SWAP7:10</v>
      </c>
      <c r="O12" s="106" t="s">
        <v>161</v>
      </c>
      <c r="P12" s="107">
        <f ca="1">_xll.meLWOSwapParRate(N12,O12)</f>
        <v>1.2999999999963726E-3</v>
      </c>
      <c r="Q12" s="122"/>
      <c r="R12" s="108" t="str">
        <f ca="1">CZK_CURVES!G10</f>
        <v>6M</v>
      </c>
      <c r="S12" s="109">
        <f ca="1">CZK_CURVES!H10</f>
        <v>1.2999999999999999E-3</v>
      </c>
      <c r="T12" s="110">
        <f t="shared" ca="1" si="0"/>
        <v>-3.6273067882675036E-11</v>
      </c>
    </row>
    <row r="13" spans="2:21" x14ac:dyDescent="0.25">
      <c r="B13" s="129">
        <f ca="1">_xll.meDateFromTenor(COB,F13,"MOD_FOLLOWING",$C13,"")</f>
        <v>44077</v>
      </c>
      <c r="C13" s="130" t="s">
        <v>195</v>
      </c>
      <c r="D13" s="131">
        <f ca="1">_xll.meDateFromTenor(B13,G13,)</f>
        <v>44350</v>
      </c>
      <c r="E13" s="125"/>
      <c r="F13" s="138" t="s">
        <v>196</v>
      </c>
      <c r="G13" s="139" t="str">
        <f ca="1">CZK_CURVES!G11</f>
        <v>9M</v>
      </c>
      <c r="H13" s="100" t="str">
        <f>TEMPLATES!$C$3</f>
        <v>EM_CZK_OIS_UNDER_1Y:1</v>
      </c>
      <c r="I13" s="101" t="s">
        <v>217</v>
      </c>
      <c r="J13" s="102">
        <v>1000000</v>
      </c>
      <c r="K13" s="103">
        <v>0.01</v>
      </c>
      <c r="L13" s="104">
        <v>0</v>
      </c>
      <c r="M13" s="135">
        <f t="shared" si="1"/>
        <v>8</v>
      </c>
      <c r="N13" s="105" t="str">
        <f ca="1">_xll.meLWOSwapCreateFromGenerator("CZK_SWAP"&amp;M13,H13,I13,J13,B13,D13,K13,L13)</f>
        <v>CZK_SWAP8:10</v>
      </c>
      <c r="O13" s="106" t="s">
        <v>161</v>
      </c>
      <c r="P13" s="107">
        <f ca="1">_xll.meLWOSwapParRate(N13,O13)</f>
        <v>1.3999999999965832E-3</v>
      </c>
      <c r="Q13" s="122"/>
      <c r="R13" s="108" t="str">
        <f ca="1">CZK_CURVES!G11</f>
        <v>9M</v>
      </c>
      <c r="S13" s="109">
        <f ca="1">CZK_CURVES!H11</f>
        <v>1.4000000000000002E-3</v>
      </c>
      <c r="T13" s="110">
        <f t="shared" ca="1" si="0"/>
        <v>-3.4169715668053158E-11</v>
      </c>
    </row>
    <row r="14" spans="2:21" x14ac:dyDescent="0.25">
      <c r="B14" s="129">
        <f ca="1">_xll.meDateFromTenor(COB,F14,"MOD_FOLLOWING",$C14,"")</f>
        <v>44077</v>
      </c>
      <c r="C14" s="130" t="s">
        <v>195</v>
      </c>
      <c r="D14" s="131">
        <f ca="1">_xll.meDateFromTenor(B14,G14,)</f>
        <v>44442</v>
      </c>
      <c r="E14" s="125"/>
      <c r="F14" s="138" t="s">
        <v>196</v>
      </c>
      <c r="G14" s="139" t="str">
        <f ca="1">CZK_CURVES!G12</f>
        <v>1Y</v>
      </c>
      <c r="H14" s="100" t="str">
        <f>TEMPLATES!$G$3</f>
        <v>EM_CZK_OIS:1</v>
      </c>
      <c r="I14" s="101" t="s">
        <v>217</v>
      </c>
      <c r="J14" s="102">
        <v>1000000</v>
      </c>
      <c r="K14" s="103">
        <v>0.01</v>
      </c>
      <c r="L14" s="104">
        <v>0</v>
      </c>
      <c r="M14" s="135">
        <f t="shared" si="1"/>
        <v>9</v>
      </c>
      <c r="N14" s="105" t="str">
        <f ca="1">_xll.meLWOSwapCreateFromGenerator("CZK_SWAP"&amp;M14,H14,I14,J14,B14,D14,K14,L14)</f>
        <v>CZK_SWAP9:10</v>
      </c>
      <c r="O14" s="106" t="s">
        <v>161</v>
      </c>
      <c r="P14" s="107">
        <f ca="1">_xll.meLWOSwapParRate(N14,O14)</f>
        <v>1.5999999600030323E-3</v>
      </c>
      <c r="Q14" s="122"/>
      <c r="R14" s="108" t="str">
        <f ca="1">CZK_CURVES!G12</f>
        <v>1Y</v>
      </c>
      <c r="S14" s="109">
        <f ca="1">CZK_CURVES!H12</f>
        <v>1.6000000000000001E-3</v>
      </c>
      <c r="T14" s="110">
        <f t="shared" ca="1" si="0"/>
        <v>-3.9996967760372315E-7</v>
      </c>
    </row>
    <row r="15" spans="2:21" x14ac:dyDescent="0.25">
      <c r="B15" s="129">
        <f ca="1">_xll.meDateFromTenor(COB,F15,"MOD_FOLLOWING",$C15,"")</f>
        <v>44077</v>
      </c>
      <c r="C15" s="130" t="s">
        <v>195</v>
      </c>
      <c r="D15" s="131">
        <f ca="1">_xll.meDateFromTenor(B15,G15,)</f>
        <v>44807</v>
      </c>
      <c r="E15" s="125"/>
      <c r="F15" s="138" t="s">
        <v>196</v>
      </c>
      <c r="G15" s="139" t="str">
        <f ca="1">CZK_CURVES!G13</f>
        <v>2Y</v>
      </c>
      <c r="H15" s="100" t="str">
        <f>TEMPLATES!$G$3</f>
        <v>EM_CZK_OIS:1</v>
      </c>
      <c r="I15" s="101" t="s">
        <v>217</v>
      </c>
      <c r="J15" s="102">
        <v>1000000</v>
      </c>
      <c r="K15" s="103">
        <v>0.01</v>
      </c>
      <c r="L15" s="104">
        <v>0</v>
      </c>
      <c r="M15" s="135">
        <f t="shared" si="1"/>
        <v>10</v>
      </c>
      <c r="N15" s="105" t="str">
        <f ca="1">_xll.meLWOSwapCreateFromGenerator("CZK_SWAP"&amp;M15,H15,I15,J15,B15,D15,K15,L15)</f>
        <v>CZK_SWAP10:10</v>
      </c>
      <c r="O15" s="106" t="s">
        <v>161</v>
      </c>
      <c r="P15" s="107">
        <f ca="1">_xll.meLWOSwapParRate(N15,O15)</f>
        <v>1.4099997575342117E-3</v>
      </c>
      <c r="Q15" s="122"/>
      <c r="R15" s="108" t="str">
        <f ca="1">CZK_CURVES!G13</f>
        <v>2Y</v>
      </c>
      <c r="S15" s="109">
        <f ca="1">CZK_CURVES!H13</f>
        <v>1.4099999999999998E-3</v>
      </c>
      <c r="T15" s="110">
        <f t="shared" ca="1" si="0"/>
        <v>-2.4246578811566721E-6</v>
      </c>
    </row>
    <row r="16" spans="2:21" x14ac:dyDescent="0.25">
      <c r="B16" s="129">
        <f ca="1">_xll.meDateFromTenor(COB,F16,"MOD_FOLLOWING",$C16,"")</f>
        <v>44077</v>
      </c>
      <c r="C16" s="130" t="s">
        <v>195</v>
      </c>
      <c r="D16" s="131">
        <f ca="1">_xll.meDateFromTenor(B16,G16,)</f>
        <v>45172</v>
      </c>
      <c r="E16" s="125"/>
      <c r="F16" s="138" t="s">
        <v>196</v>
      </c>
      <c r="G16" s="139" t="str">
        <f ca="1">CZK_CURVES!G14</f>
        <v>3Y</v>
      </c>
      <c r="H16" s="100" t="str">
        <f>TEMPLATES!$G$3</f>
        <v>EM_CZK_OIS:1</v>
      </c>
      <c r="I16" s="101" t="s">
        <v>217</v>
      </c>
      <c r="J16" s="102">
        <v>1000000</v>
      </c>
      <c r="K16" s="103">
        <v>0.01</v>
      </c>
      <c r="L16" s="104">
        <v>0</v>
      </c>
      <c r="M16" s="135">
        <f t="shared" si="1"/>
        <v>11</v>
      </c>
      <c r="N16" s="105" t="str">
        <f ca="1">_xll.meLWOSwapCreateFromGenerator("CZK_SWAP"&amp;M16,H16,I16,J16,B16,D16,K16,L16)</f>
        <v>CZK_SWAP11:9</v>
      </c>
      <c r="O16" s="106" t="s">
        <v>161</v>
      </c>
      <c r="P16" s="107">
        <f ca="1">_xll.meLWOSwapParRate(N16,O16)</f>
        <v>1.3799997661318314E-3</v>
      </c>
      <c r="Q16" s="122"/>
      <c r="R16" s="108" t="str">
        <f ca="1">CZK_CURVES!G14</f>
        <v>3Y</v>
      </c>
      <c r="S16" s="109">
        <f ca="1">CZK_CURVES!H14</f>
        <v>1.3800000000000002E-3</v>
      </c>
      <c r="T16" s="110">
        <f t="shared" ca="1" si="0"/>
        <v>-2.3386816875442529E-6</v>
      </c>
    </row>
    <row r="17" spans="2:20" x14ac:dyDescent="0.25">
      <c r="B17" s="129">
        <f ca="1">_xll.meDateFromTenor(COB,F17,"MOD_FOLLOWING",$C17,"")</f>
        <v>44077</v>
      </c>
      <c r="C17" s="130" t="s">
        <v>195</v>
      </c>
      <c r="D17" s="131">
        <f ca="1">_xll.meDateFromTenor(B17,G17,)</f>
        <v>45538</v>
      </c>
      <c r="E17" s="125"/>
      <c r="F17" s="138" t="s">
        <v>196</v>
      </c>
      <c r="G17" s="139" t="str">
        <f ca="1">CZK_CURVES!G15</f>
        <v>4Y</v>
      </c>
      <c r="H17" s="100" t="str">
        <f>TEMPLATES!$G$3</f>
        <v>EM_CZK_OIS:1</v>
      </c>
      <c r="I17" s="101" t="s">
        <v>217</v>
      </c>
      <c r="J17" s="102">
        <v>1000000</v>
      </c>
      <c r="K17" s="103">
        <v>0.01</v>
      </c>
      <c r="L17" s="104">
        <v>0</v>
      </c>
      <c r="M17" s="135">
        <f t="shared" si="1"/>
        <v>12</v>
      </c>
      <c r="N17" s="105" t="str">
        <f ca="1">_xll.meLWOSwapCreateFromGenerator("CZK_SWAP"&amp;M17,H17,I17,J17,B17,D17,K17,L17)</f>
        <v>CZK_SWAP12:9</v>
      </c>
      <c r="O17" s="106" t="s">
        <v>161</v>
      </c>
      <c r="P17" s="107">
        <f ca="1">_xll.meLWOSwapParRate(N17,O17)</f>
        <v>1.5199998378320439E-3</v>
      </c>
      <c r="Q17" s="122"/>
      <c r="R17" s="108" t="str">
        <f ca="1">CZK_CURVES!G15</f>
        <v>4Y</v>
      </c>
      <c r="S17" s="109">
        <f ca="1">CZK_CURVES!H15</f>
        <v>1.5200000000000005E-3</v>
      </c>
      <c r="T17" s="110">
        <f t="shared" ca="1" si="0"/>
        <v>-1.6216795658066663E-6</v>
      </c>
    </row>
    <row r="18" spans="2:20" x14ac:dyDescent="0.25">
      <c r="B18" s="129">
        <f ca="1">_xll.meDateFromTenor(COB,F18,"MOD_FOLLOWING",$C18,"")</f>
        <v>44077</v>
      </c>
      <c r="C18" s="130" t="s">
        <v>195</v>
      </c>
      <c r="D18" s="131">
        <f ca="1">_xll.meDateFromTenor(B18,G18,)</f>
        <v>45903</v>
      </c>
      <c r="E18" s="125"/>
      <c r="F18" s="138" t="s">
        <v>196</v>
      </c>
      <c r="G18" s="139" t="str">
        <f ca="1">CZK_CURVES!G16</f>
        <v>5Y</v>
      </c>
      <c r="H18" s="100" t="str">
        <f>TEMPLATES!$G$3</f>
        <v>EM_CZK_OIS:1</v>
      </c>
      <c r="I18" s="101" t="s">
        <v>217</v>
      </c>
      <c r="J18" s="102">
        <v>1000000</v>
      </c>
      <c r="K18" s="103">
        <v>0.01</v>
      </c>
      <c r="L18" s="104">
        <v>0</v>
      </c>
      <c r="M18" s="135">
        <f t="shared" si="1"/>
        <v>13</v>
      </c>
      <c r="N18" s="105" t="str">
        <f ca="1">_xll.meLWOSwapCreateFromGenerator("CZK_SWAP"&amp;M18,H18,I18,J18,B18,D18,K18,L18)</f>
        <v>CZK_SWAP13:9</v>
      </c>
      <c r="O18" s="106" t="s">
        <v>161</v>
      </c>
      <c r="P18" s="107">
        <f ca="1">_xll.meLWOSwapParRate(N18,O18)</f>
        <v>1.7799998634427405E-3</v>
      </c>
      <c r="Q18" s="122"/>
      <c r="R18" s="108" t="str">
        <f ca="1">CZK_CURVES!G16</f>
        <v>5Y</v>
      </c>
      <c r="S18" s="109">
        <f ca="1">CZK_CURVES!H16</f>
        <v>1.7800000000000003E-3</v>
      </c>
      <c r="T18" s="110">
        <f t="shared" ca="1" si="0"/>
        <v>-1.3655725985758926E-6</v>
      </c>
    </row>
    <row r="19" spans="2:20" x14ac:dyDescent="0.25">
      <c r="B19" s="129">
        <f ca="1">_xll.meDateFromTenor(COB,F19,"MOD_FOLLOWING",$C19,"")</f>
        <v>44077</v>
      </c>
      <c r="C19" s="130" t="s">
        <v>195</v>
      </c>
      <c r="D19" s="131">
        <f ca="1">_xll.meDateFromTenor(B19,G19,)</f>
        <v>46268</v>
      </c>
      <c r="E19" s="125"/>
      <c r="F19" s="138" t="s">
        <v>196</v>
      </c>
      <c r="G19" s="139" t="str">
        <f ca="1">CZK_CURVES!G17</f>
        <v>6Y</v>
      </c>
      <c r="H19" s="100" t="str">
        <f>TEMPLATES!$G$3</f>
        <v>EM_CZK_OIS:1</v>
      </c>
      <c r="I19" s="101" t="s">
        <v>217</v>
      </c>
      <c r="J19" s="102">
        <v>1000000</v>
      </c>
      <c r="K19" s="103">
        <v>0.01</v>
      </c>
      <c r="L19" s="104">
        <v>0</v>
      </c>
      <c r="M19" s="135">
        <f t="shared" si="1"/>
        <v>14</v>
      </c>
      <c r="N19" s="105" t="str">
        <f ca="1">_xll.meLWOSwapCreateFromGenerator("CZK_SWAP"&amp;M19,H19,I19,J19,B19,D19,K19,L19)</f>
        <v>CZK_SWAP14:9</v>
      </c>
      <c r="O19" s="106" t="s">
        <v>161</v>
      </c>
      <c r="P19" s="107">
        <f ca="1">_xll.meLWOSwapParRate(N19,O19)</f>
        <v>2.1399998878853044E-3</v>
      </c>
      <c r="Q19" s="122"/>
      <c r="R19" s="108" t="str">
        <f ca="1">CZK_CURVES!G17</f>
        <v>6Y</v>
      </c>
      <c r="S19" s="109">
        <f ca="1">CZK_CURVES!H17</f>
        <v>2.1400000000000004E-3</v>
      </c>
      <c r="T19" s="110">
        <f t="shared" ca="1" si="0"/>
        <v>-1.1211469599925472E-6</v>
      </c>
    </row>
    <row r="20" spans="2:20" x14ac:dyDescent="0.25">
      <c r="B20" s="129">
        <f ca="1">_xll.meDateFromTenor(COB,F20,"MOD_FOLLOWING",$C20,"")</f>
        <v>44077</v>
      </c>
      <c r="C20" s="130" t="s">
        <v>195</v>
      </c>
      <c r="D20" s="131">
        <f ca="1">_xll.meDateFromTenor(B20,G20,)</f>
        <v>46633</v>
      </c>
      <c r="E20" s="125"/>
      <c r="F20" s="138" t="s">
        <v>196</v>
      </c>
      <c r="G20" s="139" t="str">
        <f ca="1">CZK_CURVES!G18</f>
        <v>7Y</v>
      </c>
      <c r="H20" s="100" t="str">
        <f>TEMPLATES!$G$3</f>
        <v>EM_CZK_OIS:1</v>
      </c>
      <c r="I20" s="101" t="s">
        <v>217</v>
      </c>
      <c r="J20" s="102">
        <v>1000000</v>
      </c>
      <c r="K20" s="103">
        <v>0.01</v>
      </c>
      <c r="L20" s="104">
        <v>0</v>
      </c>
      <c r="M20" s="135">
        <f t="shared" si="1"/>
        <v>15</v>
      </c>
      <c r="N20" s="105" t="str">
        <f ca="1">_xll.meLWOSwapCreateFromGenerator("CZK_SWAP"&amp;M20,H20,I20,J20,B20,D20,K20,L20)</f>
        <v>CZK_SWAP15:9</v>
      </c>
      <c r="O20" s="106" t="s">
        <v>161</v>
      </c>
      <c r="P20" s="107">
        <f ca="1">_xll.meLWOSwapParRate(N20,O20)</f>
        <v>2.5699999034153663E-3</v>
      </c>
      <c r="Q20" s="122"/>
      <c r="R20" s="108" t="str">
        <f ca="1">CZK_CURVES!G18</f>
        <v>7Y</v>
      </c>
      <c r="S20" s="109">
        <f ca="1">CZK_CURVES!H18</f>
        <v>2.5700000000000002E-3</v>
      </c>
      <c r="T20" s="110">
        <f t="shared" ca="1" si="0"/>
        <v>-9.658463395387229E-7</v>
      </c>
    </row>
    <row r="21" spans="2:20" x14ac:dyDescent="0.25">
      <c r="B21" s="129">
        <f ca="1">_xll.meDateFromTenor(COB,F21,"MOD_FOLLOWING",$C21,"")</f>
        <v>44077</v>
      </c>
      <c r="C21" s="130" t="s">
        <v>195</v>
      </c>
      <c r="D21" s="131">
        <f ca="1">_xll.meDateFromTenor(B21,G21,)</f>
        <v>46999</v>
      </c>
      <c r="E21" s="125"/>
      <c r="F21" s="138" t="s">
        <v>196</v>
      </c>
      <c r="G21" s="139" t="str">
        <f ca="1">CZK_CURVES!G19</f>
        <v>8Y</v>
      </c>
      <c r="H21" s="100" t="str">
        <f>TEMPLATES!$G$3</f>
        <v>EM_CZK_OIS:1</v>
      </c>
      <c r="I21" s="101" t="s">
        <v>217</v>
      </c>
      <c r="J21" s="102">
        <v>1000000</v>
      </c>
      <c r="K21" s="103">
        <v>0.01</v>
      </c>
      <c r="L21" s="104">
        <v>0</v>
      </c>
      <c r="M21" s="135">
        <f t="shared" si="1"/>
        <v>16</v>
      </c>
      <c r="N21" s="105" t="str">
        <f ca="1">_xll.meLWOSwapCreateFromGenerator("CZK_SWAP"&amp;M21,H21,I21,J21,B21,D21,K21,L21)</f>
        <v>CZK_SWAP16:9</v>
      </c>
      <c r="O21" s="106" t="s">
        <v>161</v>
      </c>
      <c r="P21" s="107">
        <f ca="1">_xll.meLWOSwapParRate(N21,O21)</f>
        <v>3.0399999142480759E-3</v>
      </c>
      <c r="Q21" s="122"/>
      <c r="R21" s="108" t="str">
        <f ca="1">CZK_CURVES!G19</f>
        <v>8Y</v>
      </c>
      <c r="S21" s="109">
        <f ca="1">CZK_CURVES!H19</f>
        <v>3.0400000000000006E-3</v>
      </c>
      <c r="T21" s="110">
        <f t="shared" ca="1" si="0"/>
        <v>-8.5751924658317158E-7</v>
      </c>
    </row>
    <row r="22" spans="2:20" x14ac:dyDescent="0.25">
      <c r="B22" s="129">
        <f ca="1">_xll.meDateFromTenor(COB,F22,"MOD_FOLLOWING",$C22,"")</f>
        <v>44077</v>
      </c>
      <c r="C22" s="130" t="s">
        <v>195</v>
      </c>
      <c r="D22" s="131">
        <f ca="1">_xll.meDateFromTenor(B22,G22,)</f>
        <v>47364</v>
      </c>
      <c r="E22" s="125"/>
      <c r="F22" s="138" t="s">
        <v>196</v>
      </c>
      <c r="G22" s="139" t="str">
        <f ca="1">CZK_CURVES!G20</f>
        <v>9Y</v>
      </c>
      <c r="H22" s="100" t="str">
        <f>TEMPLATES!$G$3</f>
        <v>EM_CZK_OIS:1</v>
      </c>
      <c r="I22" s="101" t="s">
        <v>217</v>
      </c>
      <c r="J22" s="102">
        <v>1000000</v>
      </c>
      <c r="K22" s="103">
        <v>0.01</v>
      </c>
      <c r="L22" s="104">
        <v>0</v>
      </c>
      <c r="M22" s="135">
        <f t="shared" si="1"/>
        <v>17</v>
      </c>
      <c r="N22" s="105" t="str">
        <f ca="1">_xll.meLWOSwapCreateFromGenerator("CZK_SWAP"&amp;M22,H22,I22,J22,B22,D22,K22,L22)</f>
        <v>CZK_SWAP17:9</v>
      </c>
      <c r="O22" s="106" t="s">
        <v>161</v>
      </c>
      <c r="P22" s="107">
        <f ca="1">_xll.meLWOSwapParRate(N22,O22)</f>
        <v>3.5099999251156505E-3</v>
      </c>
      <c r="Q22" s="122"/>
      <c r="R22" s="108" t="str">
        <f ca="1">CZK_CURVES!G20</f>
        <v>9Y</v>
      </c>
      <c r="S22" s="109">
        <f ca="1">CZK_CURVES!H20</f>
        <v>3.5100000000000001E-3</v>
      </c>
      <c r="T22" s="110">
        <f t="shared" ca="1" si="0"/>
        <v>-7.4884349589299237E-7</v>
      </c>
    </row>
    <row r="23" spans="2:20" x14ac:dyDescent="0.25">
      <c r="B23" s="129">
        <f ca="1">_xll.meDateFromTenor(COB,F23,"MOD_FOLLOWING",$C23,"")</f>
        <v>44077</v>
      </c>
      <c r="C23" s="130" t="s">
        <v>195</v>
      </c>
      <c r="D23" s="131">
        <f ca="1">_xll.meDateFromTenor(B23,G23,)</f>
        <v>47729</v>
      </c>
      <c r="E23" s="125"/>
      <c r="F23" s="138" t="s">
        <v>196</v>
      </c>
      <c r="G23" s="139" t="str">
        <f ca="1">CZK_CURVES!G21</f>
        <v>10Y</v>
      </c>
      <c r="H23" s="100" t="str">
        <f>TEMPLATES!$G$3</f>
        <v>EM_CZK_OIS:1</v>
      </c>
      <c r="I23" s="101" t="s">
        <v>217</v>
      </c>
      <c r="J23" s="102">
        <v>1000000</v>
      </c>
      <c r="K23" s="103">
        <v>0.01</v>
      </c>
      <c r="L23" s="104">
        <v>0</v>
      </c>
      <c r="M23" s="135">
        <f t="shared" si="1"/>
        <v>18</v>
      </c>
      <c r="N23" s="105" t="str">
        <f ca="1">_xll.meLWOSwapCreateFromGenerator("CZK_SWAP"&amp;M23,H23,I23,J23,B23,D23,K23,L23)</f>
        <v>CZK_SWAP18:9</v>
      </c>
      <c r="O23" s="106" t="s">
        <v>161</v>
      </c>
      <c r="P23" s="107">
        <f ca="1">_xll.meLWOSwapParRate(N23,O23)</f>
        <v>4.0099999314183628E-3</v>
      </c>
      <c r="Q23" s="122"/>
      <c r="R23" s="108" t="str">
        <f ca="1">CZK_CURVES!G21</f>
        <v>10Y</v>
      </c>
      <c r="S23" s="109">
        <f ca="1">CZK_CURVES!H21</f>
        <v>4.0099999999999997E-3</v>
      </c>
      <c r="T23" s="110">
        <f t="shared" ca="1" si="0"/>
        <v>-6.8581636897269149E-7</v>
      </c>
    </row>
    <row r="24" spans="2:20" x14ac:dyDescent="0.25">
      <c r="B24" s="129">
        <f ca="1">_xll.meDateFromTenor(COB,F24,"MOD_FOLLOWING",$C24,"")</f>
        <v>44077</v>
      </c>
      <c r="C24" s="130" t="s">
        <v>195</v>
      </c>
      <c r="D24" s="131">
        <f ca="1">_xll.meDateFromTenor(B24,G24,)</f>
        <v>48460</v>
      </c>
      <c r="E24" s="125"/>
      <c r="F24" s="138" t="s">
        <v>196</v>
      </c>
      <c r="G24" s="139" t="str">
        <f ca="1">CZK_CURVES!G22</f>
        <v>12Y</v>
      </c>
      <c r="H24" s="100" t="str">
        <f>TEMPLATES!$G$3</f>
        <v>EM_CZK_OIS:1</v>
      </c>
      <c r="I24" s="101" t="s">
        <v>217</v>
      </c>
      <c r="J24" s="102">
        <v>1000000</v>
      </c>
      <c r="K24" s="103">
        <v>0.01</v>
      </c>
      <c r="L24" s="104">
        <v>0</v>
      </c>
      <c r="M24" s="135">
        <f t="shared" si="1"/>
        <v>19</v>
      </c>
      <c r="N24" s="105" t="str">
        <f ca="1">_xll.meLWOSwapCreateFromGenerator("CZK_SWAP"&amp;M24,H24,I24,J24,B24,D24,K24,L24)</f>
        <v>CZK_SWAP19:9</v>
      </c>
      <c r="O24" s="106" t="s">
        <v>161</v>
      </c>
      <c r="P24" s="107">
        <f ca="1">_xll.meLWOSwapParRate(N24,O24)</f>
        <v>4.939999942650374E-3</v>
      </c>
      <c r="Q24" s="122"/>
      <c r="R24" s="108" t="str">
        <f ca="1">CZK_CURVES!G22</f>
        <v>12Y</v>
      </c>
      <c r="S24" s="109">
        <f ca="1">CZK_CURVES!H22</f>
        <v>4.9399999999999999E-3</v>
      </c>
      <c r="T24" s="110">
        <f t="shared" ca="1" si="0"/>
        <v>-5.7349625916247593E-7</v>
      </c>
    </row>
    <row r="25" spans="2:20" x14ac:dyDescent="0.25">
      <c r="B25" s="129">
        <f ca="1">_xll.meDateFromTenor(COB,F25,"MOD_FOLLOWING",$C25,"")</f>
        <v>44077</v>
      </c>
      <c r="C25" s="130" t="s">
        <v>195</v>
      </c>
      <c r="D25" s="131">
        <f ca="1">_xll.meDateFromTenor(B25,G25,)</f>
        <v>49555</v>
      </c>
      <c r="E25" s="125"/>
      <c r="F25" s="138" t="s">
        <v>196</v>
      </c>
      <c r="G25" s="139" t="str">
        <f ca="1">CZK_CURVES!G23</f>
        <v>15Y</v>
      </c>
      <c r="H25" s="100" t="str">
        <f>TEMPLATES!$G$3</f>
        <v>EM_CZK_OIS:1</v>
      </c>
      <c r="I25" s="101" t="s">
        <v>217</v>
      </c>
      <c r="J25" s="102">
        <v>1000000</v>
      </c>
      <c r="K25" s="103">
        <v>0.01</v>
      </c>
      <c r="L25" s="104">
        <v>0</v>
      </c>
      <c r="M25" s="135">
        <f t="shared" si="1"/>
        <v>20</v>
      </c>
      <c r="N25" s="105" t="str">
        <f ca="1">_xll.meLWOSwapCreateFromGenerator("CZK_SWAP"&amp;M25,H25,I25,J25,B25,D25,K25,L25)</f>
        <v>CZK_SWAP20:9</v>
      </c>
      <c r="O25" s="106" t="s">
        <v>161</v>
      </c>
      <c r="P25" s="107">
        <f ca="1">_xll.meLWOSwapParRate(N25,O25)</f>
        <v>6.099999953536891E-3</v>
      </c>
      <c r="Q25" s="122"/>
      <c r="R25" s="108" t="str">
        <f ca="1">CZK_CURVES!G23</f>
        <v>15Y</v>
      </c>
      <c r="S25" s="109">
        <f ca="1">CZK_CURVES!H23</f>
        <v>6.1000000000000004E-3</v>
      </c>
      <c r="T25" s="110">
        <f t="shared" ca="1" si="0"/>
        <v>-4.6463109401595482E-7</v>
      </c>
    </row>
    <row r="26" spans="2:20" x14ac:dyDescent="0.25">
      <c r="B26" s="129">
        <f ca="1">_xll.meDateFromTenor(COB,F26,"MOD_FOLLOWING",$C26,"")</f>
        <v>44077</v>
      </c>
      <c r="C26" s="130" t="s">
        <v>195</v>
      </c>
      <c r="D26" s="131">
        <f ca="1">_xll.meDateFromTenor(B26,G26,)</f>
        <v>51382</v>
      </c>
      <c r="E26" s="125"/>
      <c r="F26" s="138" t="s">
        <v>196</v>
      </c>
      <c r="G26" s="139" t="str">
        <f ca="1">CZK_CURVES!G24</f>
        <v>20Y</v>
      </c>
      <c r="H26" s="100" t="str">
        <f>TEMPLATES!$G$3</f>
        <v>EM_CZK_OIS:1</v>
      </c>
      <c r="I26" s="101" t="s">
        <v>217</v>
      </c>
      <c r="J26" s="102">
        <v>1000000</v>
      </c>
      <c r="K26" s="103">
        <v>0.01</v>
      </c>
      <c r="L26" s="104">
        <v>0</v>
      </c>
      <c r="M26" s="135">
        <f t="shared" si="1"/>
        <v>21</v>
      </c>
      <c r="N26" s="105" t="str">
        <f ca="1">_xll.meLWOSwapCreateFromGenerator("CZK_SWAP"&amp;M26,H26,I26,J26,B26,D26,K26,L26)</f>
        <v>CZK_SWAP21:9</v>
      </c>
      <c r="O26" s="106" t="s">
        <v>161</v>
      </c>
      <c r="P26" s="107">
        <f ca="1">_xll.meLWOSwapParRate(N26,O26)</f>
        <v>7.039999964323757E-3</v>
      </c>
      <c r="Q26" s="122"/>
      <c r="R26" s="108" t="str">
        <f ca="1">CZK_CURVES!G24</f>
        <v>20Y</v>
      </c>
      <c r="S26" s="109">
        <f ca="1">CZK_CURVES!H24</f>
        <v>7.0400000000000003E-3</v>
      </c>
      <c r="T26" s="110">
        <f t="shared" ca="1" si="0"/>
        <v>-3.567624320965912E-7</v>
      </c>
    </row>
    <row r="27" spans="2:20" x14ac:dyDescent="0.25">
      <c r="B27" s="129">
        <f ca="1">_xll.meDateFromTenor(COB,F27,"MOD_FOLLOWING",$C27,"")</f>
        <v>44077</v>
      </c>
      <c r="C27" s="130" t="s">
        <v>195</v>
      </c>
      <c r="D27" s="131">
        <f ca="1">_xll.meDateFromTenor(B27,G27,)</f>
        <v>53208</v>
      </c>
      <c r="E27" s="125"/>
      <c r="F27" s="138" t="s">
        <v>196</v>
      </c>
      <c r="G27" s="139" t="str">
        <f ca="1">CZK_CURVES!G25</f>
        <v>25Y</v>
      </c>
      <c r="H27" s="100" t="str">
        <f>TEMPLATES!$G$3</f>
        <v>EM_CZK_OIS:1</v>
      </c>
      <c r="I27" s="101" t="s">
        <v>217</v>
      </c>
      <c r="J27" s="102">
        <v>1000000</v>
      </c>
      <c r="K27" s="103">
        <v>0.01</v>
      </c>
      <c r="L27" s="104">
        <v>0</v>
      </c>
      <c r="M27" s="135">
        <f t="shared" si="1"/>
        <v>22</v>
      </c>
      <c r="N27" s="105" t="str">
        <f ca="1">_xll.meLWOSwapCreateFromGenerator("CZK_SWAP"&amp;M27,H27,I27,J27,B27,D27,K27,L27)</f>
        <v>CZK_SWAP22:9</v>
      </c>
      <c r="O27" s="106" t="s">
        <v>161</v>
      </c>
      <c r="P27" s="107">
        <f ca="1">_xll.meLWOSwapParRate(N27,O27)</f>
        <v>7.1699999708122299E-3</v>
      </c>
      <c r="Q27" s="122"/>
      <c r="R27" s="108" t="str">
        <f ca="1">CZK_CURVES!G25</f>
        <v>25Y</v>
      </c>
      <c r="S27" s="109">
        <f ca="1">CZK_CURVES!H25</f>
        <v>7.1700000000000002E-3</v>
      </c>
      <c r="T27" s="110">
        <f t="shared" ca="1" si="0"/>
        <v>-2.9187770256289269E-7</v>
      </c>
    </row>
    <row r="28" spans="2:20" x14ac:dyDescent="0.25">
      <c r="B28" s="129">
        <f ca="1">_xll.meDateFromTenor(COB,F28,"MOD_FOLLOWING",$C28,"")</f>
        <v>44077</v>
      </c>
      <c r="C28" s="130" t="s">
        <v>195</v>
      </c>
      <c r="D28" s="131">
        <f ca="1">_xll.meDateFromTenor(B28,G28,)</f>
        <v>55034</v>
      </c>
      <c r="E28" s="125"/>
      <c r="F28" s="138" t="s">
        <v>196</v>
      </c>
      <c r="G28" s="139" t="str">
        <f ca="1">CZK_CURVES!G26</f>
        <v>30Y</v>
      </c>
      <c r="H28" s="100" t="str">
        <f>TEMPLATES!$G$3</f>
        <v>EM_CZK_OIS:1</v>
      </c>
      <c r="I28" s="101" t="s">
        <v>217</v>
      </c>
      <c r="J28" s="102">
        <v>1000000</v>
      </c>
      <c r="K28" s="103">
        <v>0.01</v>
      </c>
      <c r="L28" s="104">
        <v>0</v>
      </c>
      <c r="M28" s="135">
        <f t="shared" si="1"/>
        <v>23</v>
      </c>
      <c r="N28" s="105" t="str">
        <f ca="1">_xll.meLWOSwapCreateFromGenerator("CZK_SWAP"&amp;M28,H28,I28,J28,B28,D28,K28,L28)</f>
        <v>CZK_SWAP23:9</v>
      </c>
      <c r="O28" s="106" t="s">
        <v>161</v>
      </c>
      <c r="P28" s="107">
        <f ca="1">_xll.meLWOSwapParRate(N28,O28)</f>
        <v>7.0099999751847449E-3</v>
      </c>
      <c r="Q28" s="122"/>
      <c r="R28" s="108" t="str">
        <f ca="1">CZK_CURVES!G26</f>
        <v>30Y</v>
      </c>
      <c r="S28" s="109">
        <f ca="1">CZK_CURVES!H26</f>
        <v>7.0100000000000006E-3</v>
      </c>
      <c r="T28" s="110">
        <f t="shared" ca="1" si="0"/>
        <v>-2.4815255753041221E-7</v>
      </c>
    </row>
    <row r="29" spans="2:20" x14ac:dyDescent="0.25">
      <c r="B29" s="129">
        <f ca="1">_xll.meDateFromTenor(COB,F29,"MOD_FOLLOWING",$C29,"")</f>
        <v>44077</v>
      </c>
      <c r="C29" s="130" t="s">
        <v>195</v>
      </c>
      <c r="D29" s="131">
        <f ca="1">_xll.meDateFromTenor(B29,G29,)</f>
        <v>58687</v>
      </c>
      <c r="E29" s="125"/>
      <c r="F29" s="138" t="s">
        <v>196</v>
      </c>
      <c r="G29" s="139" t="str">
        <f ca="1">CZK_CURVES!G27</f>
        <v>40Y</v>
      </c>
      <c r="H29" s="100" t="str">
        <f>TEMPLATES!$G$3</f>
        <v>EM_CZK_OIS:1</v>
      </c>
      <c r="I29" s="101" t="s">
        <v>217</v>
      </c>
      <c r="J29" s="102">
        <v>1000000</v>
      </c>
      <c r="K29" s="103">
        <v>0.01</v>
      </c>
      <c r="L29" s="104">
        <v>0</v>
      </c>
      <c r="M29" s="135">
        <f t="shared" si="1"/>
        <v>24</v>
      </c>
      <c r="N29" s="105" t="str">
        <f ca="1">_xll.meLWOSwapCreateFromGenerator("CZK_SWAP"&amp;M29,H29,I29,J29,B29,D29,K29,L29)</f>
        <v>CZK_SWAP24:9</v>
      </c>
      <c r="O29" s="106" t="s">
        <v>161</v>
      </c>
      <c r="P29" s="107">
        <f ca="1">_xll.meLWOSwapParRate(N29,O29)</f>
        <v>6.6299999807218346E-3</v>
      </c>
      <c r="Q29" s="122"/>
      <c r="R29" s="108" t="str">
        <f ca="1">CZK_CURVES!G27</f>
        <v>40Y</v>
      </c>
      <c r="S29" s="109">
        <f ca="1">CZK_CURVES!H27</f>
        <v>6.6300000000000005E-3</v>
      </c>
      <c r="T29" s="110">
        <f t="shared" ca="1" si="0"/>
        <v>-1.9278165869218711E-7</v>
      </c>
    </row>
    <row r="30" spans="2:20" x14ac:dyDescent="0.25">
      <c r="B30" s="132">
        <f ca="1">_xll.meDateFromTenor(COB,F30,"MOD_FOLLOWING",$C30,"")</f>
        <v>44077</v>
      </c>
      <c r="C30" s="133" t="s">
        <v>195</v>
      </c>
      <c r="D30" s="134">
        <f ca="1">_xll.meDateFromTenor(B30,G30,)</f>
        <v>62339</v>
      </c>
      <c r="E30" s="125"/>
      <c r="F30" s="140" t="s">
        <v>196</v>
      </c>
      <c r="G30" s="141" t="str">
        <f ca="1">CZK_CURVES!G28</f>
        <v>50Y</v>
      </c>
      <c r="H30" s="111" t="str">
        <f>TEMPLATES!$G$3</f>
        <v>EM_CZK_OIS:1</v>
      </c>
      <c r="I30" s="112" t="s">
        <v>217</v>
      </c>
      <c r="J30" s="113">
        <v>1000000</v>
      </c>
      <c r="K30" s="114">
        <v>0.01</v>
      </c>
      <c r="L30" s="115">
        <v>0</v>
      </c>
      <c r="M30" s="135">
        <f t="shared" si="1"/>
        <v>25</v>
      </c>
      <c r="N30" s="116" t="str">
        <f ca="1">_xll.meLWOSwapCreateFromGenerator("CZK_SWAP"&amp;M30,H30,I30,J30,B30,D30,K30,L30)</f>
        <v>CZK_SWAP25:9</v>
      </c>
      <c r="O30" s="117" t="s">
        <v>161</v>
      </c>
      <c r="P30" s="118">
        <f ca="1">_xll.meLWOSwapParRate(N30,O30)</f>
        <v>6.2799999841376469E-3</v>
      </c>
      <c r="Q30" s="122"/>
      <c r="R30" s="119" t="str">
        <f ca="1">CZK_CURVES!G28</f>
        <v>50Y</v>
      </c>
      <c r="S30" s="120">
        <f ca="1">CZK_CURVES!H28</f>
        <v>6.28E-3</v>
      </c>
      <c r="T30" s="121">
        <f t="shared" ca="1" si="0"/>
        <v>-1.5862353097695348E-7</v>
      </c>
    </row>
    <row r="33" spans="2:21" x14ac:dyDescent="0.25">
      <c r="B33" s="82" t="s">
        <v>200</v>
      </c>
      <c r="C33" s="82"/>
      <c r="F33" s="83" t="s">
        <v>260</v>
      </c>
      <c r="N33" s="82" t="s">
        <v>201</v>
      </c>
      <c r="R33" s="82" t="s">
        <v>202</v>
      </c>
    </row>
    <row r="34" spans="2:21" x14ac:dyDescent="0.25">
      <c r="D34" s="84" t="s">
        <v>203</v>
      </c>
      <c r="H34" s="84" t="s">
        <v>204</v>
      </c>
      <c r="P34" s="85"/>
    </row>
    <row r="35" spans="2:21" x14ac:dyDescent="0.25">
      <c r="B35" s="2" t="s">
        <v>205</v>
      </c>
      <c r="C35" s="2" t="s">
        <v>73</v>
      </c>
      <c r="D35" s="1" t="s">
        <v>206</v>
      </c>
      <c r="E35" s="1"/>
      <c r="F35" s="1" t="s">
        <v>205</v>
      </c>
      <c r="G35" s="2" t="s">
        <v>207</v>
      </c>
      <c r="H35" s="2" t="s">
        <v>208</v>
      </c>
      <c r="I35" s="2" t="s">
        <v>209</v>
      </c>
      <c r="J35" s="2" t="s">
        <v>210</v>
      </c>
      <c r="K35" s="2" t="s">
        <v>211</v>
      </c>
      <c r="L35" s="2" t="s">
        <v>9</v>
      </c>
      <c r="N35" s="2" t="s">
        <v>212</v>
      </c>
      <c r="O35" s="2" t="s">
        <v>213</v>
      </c>
      <c r="P35" s="2" t="s">
        <v>214</v>
      </c>
      <c r="R35" s="2" t="s">
        <v>6</v>
      </c>
      <c r="S35" s="2" t="s">
        <v>7</v>
      </c>
      <c r="T35" s="86" t="s">
        <v>215</v>
      </c>
    </row>
    <row r="36" spans="2:21" x14ac:dyDescent="0.25">
      <c r="B36" s="126">
        <f ca="1">_xll.meDateFromTenor(COB,F36,"MOD_FOLLOWING",$C36,"")</f>
        <v>44077</v>
      </c>
      <c r="C36" s="127" t="s">
        <v>195</v>
      </c>
      <c r="D36" s="128">
        <f ca="1">_xll.meDateFromTenor(B36,G36,)</f>
        <v>44807</v>
      </c>
      <c r="E36" s="125"/>
      <c r="F36" s="136" t="s">
        <v>196</v>
      </c>
      <c r="G36" s="137" t="str">
        <f ca="1">CZK_CURVES!P27</f>
        <v>2Y</v>
      </c>
      <c r="H36" s="89" t="str">
        <f>TEMPLATES!$K$3</f>
        <v>EM_CZK_6M:1</v>
      </c>
      <c r="I36" s="90" t="s">
        <v>217</v>
      </c>
      <c r="J36" s="91">
        <v>1000000</v>
      </c>
      <c r="K36" s="92">
        <v>0.01</v>
      </c>
      <c r="L36" s="93">
        <v>0</v>
      </c>
      <c r="M36" s="135">
        <f>M30+1</f>
        <v>26</v>
      </c>
      <c r="N36" s="94" t="str">
        <f ca="1">_xll.meLWOSwapCreateFromGenerator("CZK_SWAP"&amp;M36,H36,I36,J36,B36,D36,K36,L36)</f>
        <v>CZK_SWAP26:9</v>
      </c>
      <c r="O36" s="95" t="s">
        <v>161</v>
      </c>
      <c r="P36" s="96">
        <f ca="1">_xll.meLWOSwapParRate(N36,O36)</f>
        <v>5.4999999978836995E-3</v>
      </c>
      <c r="Q36" s="122"/>
      <c r="R36" s="97" t="str">
        <f ca="1">CZK_CURVES!P27</f>
        <v>2Y</v>
      </c>
      <c r="S36" s="98">
        <f ca="1">CZK_CURVES!Q27</f>
        <v>5.5000000000000005E-3</v>
      </c>
      <c r="T36" s="99">
        <f t="shared" ref="T36:T47" ca="1" si="2">(P36-S36)*10000</f>
        <v>-2.1163010580083075E-8</v>
      </c>
    </row>
    <row r="37" spans="2:21" x14ac:dyDescent="0.25">
      <c r="B37" s="129">
        <f ca="1">_xll.meDateFromTenor(COB,F37,"MOD_FOLLOWING",$C37,"")</f>
        <v>44077</v>
      </c>
      <c r="C37" s="130" t="s">
        <v>195</v>
      </c>
      <c r="D37" s="131">
        <f ca="1">_xll.meDateFromTenor(B37,G37,)</f>
        <v>45172</v>
      </c>
      <c r="E37" s="125"/>
      <c r="F37" s="138" t="s">
        <v>196</v>
      </c>
      <c r="G37" s="139" t="str">
        <f ca="1">CZK_CURVES!P28</f>
        <v>3Y</v>
      </c>
      <c r="H37" s="100" t="str">
        <f>TEMPLATES!$K$3</f>
        <v>EM_CZK_6M:1</v>
      </c>
      <c r="I37" s="101" t="s">
        <v>217</v>
      </c>
      <c r="J37" s="102">
        <v>1000000</v>
      </c>
      <c r="K37" s="103">
        <v>0.01</v>
      </c>
      <c r="L37" s="104">
        <v>0</v>
      </c>
      <c r="M37" s="135">
        <f t="shared" ref="M37:M47" si="3">M36+1</f>
        <v>27</v>
      </c>
      <c r="N37" s="105" t="str">
        <f ca="1">_xll.meLWOSwapCreateFromGenerator("CZK_SWAP"&amp;M37,H37,I37,J37,B37,D37,K37,L37)</f>
        <v>CZK_SWAP27:9</v>
      </c>
      <c r="O37" s="106" t="s">
        <v>161</v>
      </c>
      <c r="P37" s="107">
        <f ca="1">_xll.meLWOSwapParRate(N37,O37)</f>
        <v>6.8750000684273246E-3</v>
      </c>
      <c r="Q37" s="122"/>
      <c r="R37" s="108" t="str">
        <f ca="1">CZK_CURVES!P28</f>
        <v>3Y</v>
      </c>
      <c r="S37" s="109">
        <f ca="1">CZK_CURVES!Q28</f>
        <v>6.875E-3</v>
      </c>
      <c r="T37" s="110">
        <f t="shared" ca="1" si="2"/>
        <v>6.8427324570463632E-7</v>
      </c>
    </row>
    <row r="38" spans="2:21" x14ac:dyDescent="0.25">
      <c r="B38" s="129">
        <f ca="1">_xll.meDateFromTenor(COB,F38,"MOD_FOLLOWING",$C38,"")</f>
        <v>44077</v>
      </c>
      <c r="C38" s="130" t="s">
        <v>195</v>
      </c>
      <c r="D38" s="131">
        <f ca="1">_xll.meDateFromTenor(B38,G38,)</f>
        <v>45538</v>
      </c>
      <c r="E38" s="125"/>
      <c r="F38" s="138" t="s">
        <v>196</v>
      </c>
      <c r="G38" s="139" t="str">
        <f ca="1">CZK_CURVES!P29</f>
        <v>4Y</v>
      </c>
      <c r="H38" s="100" t="str">
        <f>TEMPLATES!$K$3</f>
        <v>EM_CZK_6M:1</v>
      </c>
      <c r="I38" s="101" t="s">
        <v>217</v>
      </c>
      <c r="J38" s="102">
        <v>1000000</v>
      </c>
      <c r="K38" s="103">
        <v>0.01</v>
      </c>
      <c r="L38" s="104">
        <v>0</v>
      </c>
      <c r="M38" s="135">
        <f t="shared" si="3"/>
        <v>28</v>
      </c>
      <c r="N38" s="105" t="str">
        <f ca="1">_xll.meLWOSwapCreateFromGenerator("CZK_SWAP"&amp;M38,H38,I38,J38,B38,D38,K38,L38)</f>
        <v>CZK_SWAP28:9</v>
      </c>
      <c r="O38" s="106" t="s">
        <v>161</v>
      </c>
      <c r="P38" s="107">
        <f ca="1">_xll.meLWOSwapParRate(N38,O38)</f>
        <v>7.9750000520192356E-3</v>
      </c>
      <c r="Q38" s="122"/>
      <c r="R38" s="108" t="str">
        <f ca="1">CZK_CURVES!P29</f>
        <v>4Y</v>
      </c>
      <c r="S38" s="109">
        <f ca="1">CZK_CURVES!Q29</f>
        <v>7.9749999999999995E-3</v>
      </c>
      <c r="T38" s="110">
        <f t="shared" ca="1" si="2"/>
        <v>5.2019236140843361E-7</v>
      </c>
    </row>
    <row r="39" spans="2:21" x14ac:dyDescent="0.25">
      <c r="B39" s="129">
        <f ca="1">_xll.meDateFromTenor(COB,F39,"MOD_FOLLOWING",$C39,"")</f>
        <v>44077</v>
      </c>
      <c r="C39" s="130" t="s">
        <v>195</v>
      </c>
      <c r="D39" s="131">
        <f ca="1">_xll.meDateFromTenor(B39,G39,)</f>
        <v>45903</v>
      </c>
      <c r="E39" s="125"/>
      <c r="F39" s="138" t="s">
        <v>196</v>
      </c>
      <c r="G39" s="139" t="str">
        <f ca="1">CZK_CURVES!P30</f>
        <v>5Y</v>
      </c>
      <c r="H39" s="100" t="str">
        <f>TEMPLATES!$K$3</f>
        <v>EM_CZK_6M:1</v>
      </c>
      <c r="I39" s="101" t="s">
        <v>217</v>
      </c>
      <c r="J39" s="102">
        <v>1000000</v>
      </c>
      <c r="K39" s="103">
        <v>0.01</v>
      </c>
      <c r="L39" s="104">
        <v>0</v>
      </c>
      <c r="M39" s="135">
        <f t="shared" si="3"/>
        <v>29</v>
      </c>
      <c r="N39" s="105" t="str">
        <f ca="1">_xll.meLWOSwapCreateFromGenerator("CZK_SWAP"&amp;M39,H39,I39,J39,B39,D39,K39,L39)</f>
        <v>CZK_SWAP29:9</v>
      </c>
      <c r="O39" s="106" t="s">
        <v>161</v>
      </c>
      <c r="P39" s="107">
        <f ca="1">_xll.meLWOSwapParRate(N39,O39)</f>
        <v>8.9500000416201514E-3</v>
      </c>
      <c r="Q39" s="122"/>
      <c r="R39" s="108" t="str">
        <f ca="1">CZK_CURVES!P30</f>
        <v>5Y</v>
      </c>
      <c r="S39" s="109">
        <f ca="1">CZK_CURVES!Q30</f>
        <v>8.9499999999999996E-3</v>
      </c>
      <c r="T39" s="110">
        <f t="shared" ca="1" si="2"/>
        <v>4.1620151769450331E-7</v>
      </c>
    </row>
    <row r="40" spans="2:21" x14ac:dyDescent="0.25">
      <c r="B40" s="129">
        <f ca="1">_xll.meDateFromTenor(COB,F40,"MOD_FOLLOWING",$C40,"")</f>
        <v>44077</v>
      </c>
      <c r="C40" s="130" t="s">
        <v>195</v>
      </c>
      <c r="D40" s="131">
        <f ca="1">_xll.meDateFromTenor(B40,G40,)</f>
        <v>46268</v>
      </c>
      <c r="E40" s="125"/>
      <c r="F40" s="138" t="s">
        <v>196</v>
      </c>
      <c r="G40" s="139" t="str">
        <f ca="1">CZK_CURVES!P31</f>
        <v>6Y</v>
      </c>
      <c r="H40" s="100" t="str">
        <f>TEMPLATES!$K$3</f>
        <v>EM_CZK_6M:1</v>
      </c>
      <c r="I40" s="101" t="s">
        <v>217</v>
      </c>
      <c r="J40" s="102">
        <v>1000000</v>
      </c>
      <c r="K40" s="103">
        <v>0.01</v>
      </c>
      <c r="L40" s="104">
        <v>0</v>
      </c>
      <c r="M40" s="135">
        <f t="shared" si="3"/>
        <v>30</v>
      </c>
      <c r="N40" s="105" t="str">
        <f ca="1">_xll.meLWOSwapCreateFromGenerator("CZK_SWAP"&amp;M40,H40,I40,J40,B40,D40,K40,L40)</f>
        <v>CZK_SWAP30:9</v>
      </c>
      <c r="O40" s="106" t="s">
        <v>161</v>
      </c>
      <c r="P40" s="107">
        <f ca="1">_xll.meLWOSwapParRate(N40,O40)</f>
        <v>9.6750000347493922E-3</v>
      </c>
      <c r="Q40" s="122"/>
      <c r="R40" s="108" t="str">
        <f ca="1">CZK_CURVES!P31</f>
        <v>6Y</v>
      </c>
      <c r="S40" s="109">
        <f ca="1">CZK_CURVES!Q31</f>
        <v>9.6749999999999996E-3</v>
      </c>
      <c r="T40" s="110">
        <f t="shared" ca="1" si="2"/>
        <v>3.4749392599509044E-7</v>
      </c>
    </row>
    <row r="41" spans="2:21" x14ac:dyDescent="0.25">
      <c r="B41" s="129">
        <f ca="1">_xll.meDateFromTenor(COB,F41,"MOD_FOLLOWING",$C41,"")</f>
        <v>44077</v>
      </c>
      <c r="C41" s="130" t="s">
        <v>195</v>
      </c>
      <c r="D41" s="131">
        <f ca="1">_xll.meDateFromTenor(B41,G41,)</f>
        <v>46633</v>
      </c>
      <c r="E41" s="125"/>
      <c r="F41" s="138" t="s">
        <v>196</v>
      </c>
      <c r="G41" s="139" t="str">
        <f ca="1">CZK_CURVES!P32</f>
        <v>7Y</v>
      </c>
      <c r="H41" s="100" t="str">
        <f>TEMPLATES!$K$3</f>
        <v>EM_CZK_6M:1</v>
      </c>
      <c r="I41" s="101" t="s">
        <v>217</v>
      </c>
      <c r="J41" s="102">
        <v>1000000</v>
      </c>
      <c r="K41" s="103">
        <v>0.01</v>
      </c>
      <c r="L41" s="104">
        <v>0</v>
      </c>
      <c r="M41" s="135">
        <f t="shared" si="3"/>
        <v>31</v>
      </c>
      <c r="N41" s="105" t="str">
        <f ca="1">_xll.meLWOSwapCreateFromGenerator("CZK_SWAP"&amp;M41,H41,I41,J41,B41,D41,K41,L41)</f>
        <v>CZK_SWAP31:9</v>
      </c>
      <c r="O41" s="106" t="s">
        <v>161</v>
      </c>
      <c r="P41" s="107">
        <f ca="1">_xll.meLWOSwapParRate(N41,O41)</f>
        <v>1.012500002944984E-2</v>
      </c>
      <c r="Q41" s="122"/>
      <c r="R41" s="108" t="str">
        <f ca="1">CZK_CURVES!P32</f>
        <v>7Y</v>
      </c>
      <c r="S41" s="109">
        <f ca="1">CZK_CURVES!Q32</f>
        <v>1.0125E-2</v>
      </c>
      <c r="T41" s="110">
        <f t="shared" ca="1" si="2"/>
        <v>2.9449840135975514E-7</v>
      </c>
    </row>
    <row r="42" spans="2:21" x14ac:dyDescent="0.25">
      <c r="B42" s="129">
        <f ca="1">_xll.meDateFromTenor(COB,F42,"MOD_FOLLOWING",$C42,"")</f>
        <v>44077</v>
      </c>
      <c r="C42" s="130" t="s">
        <v>195</v>
      </c>
      <c r="D42" s="131">
        <f ca="1">_xll.meDateFromTenor(B42,G42,)</f>
        <v>46999</v>
      </c>
      <c r="E42" s="125"/>
      <c r="F42" s="138" t="s">
        <v>196</v>
      </c>
      <c r="G42" s="139" t="str">
        <f ca="1">CZK_CURVES!P33</f>
        <v>8Y</v>
      </c>
      <c r="H42" s="100" t="str">
        <f>TEMPLATES!$K$3</f>
        <v>EM_CZK_6M:1</v>
      </c>
      <c r="I42" s="101" t="s">
        <v>217</v>
      </c>
      <c r="J42" s="102">
        <v>1000000</v>
      </c>
      <c r="K42" s="103">
        <v>0.01</v>
      </c>
      <c r="L42" s="104">
        <v>0</v>
      </c>
      <c r="M42" s="135">
        <f t="shared" si="3"/>
        <v>32</v>
      </c>
      <c r="N42" s="105" t="str">
        <f ca="1">_xll.meLWOSwapCreateFromGenerator("CZK_SWAP"&amp;M42,H42,I42,J42,B42,D42,K42,L42)</f>
        <v>CZK_SWAP32:9</v>
      </c>
      <c r="O42" s="106" t="s">
        <v>161</v>
      </c>
      <c r="P42" s="107">
        <f ca="1">_xll.meLWOSwapParRate(N42,O42)</f>
        <v>1.0475000025811171E-2</v>
      </c>
      <c r="Q42" s="122"/>
      <c r="R42" s="108" t="str">
        <f ca="1">CZK_CURVES!P33</f>
        <v>8Y</v>
      </c>
      <c r="S42" s="109">
        <f ca="1">CZK_CURVES!Q33</f>
        <v>1.0475000000000002E-2</v>
      </c>
      <c r="T42" s="110">
        <f t="shared" ca="1" si="2"/>
        <v>2.5811169174216886E-7</v>
      </c>
    </row>
    <row r="43" spans="2:21" x14ac:dyDescent="0.25">
      <c r="B43" s="129">
        <f ca="1">_xll.meDateFromTenor(COB,F43,"MOD_FOLLOWING",$C43,"")</f>
        <v>44077</v>
      </c>
      <c r="C43" s="130" t="s">
        <v>195</v>
      </c>
      <c r="D43" s="131">
        <f ca="1">_xll.meDateFromTenor(B43,G43,)</f>
        <v>47364</v>
      </c>
      <c r="E43" s="125"/>
      <c r="F43" s="138" t="s">
        <v>196</v>
      </c>
      <c r="G43" s="139" t="str">
        <f ca="1">CZK_CURVES!P34</f>
        <v>9Y</v>
      </c>
      <c r="H43" s="100" t="str">
        <f>TEMPLATES!$K$3</f>
        <v>EM_CZK_6M:1</v>
      </c>
      <c r="I43" s="101" t="s">
        <v>217</v>
      </c>
      <c r="J43" s="102">
        <v>1000000</v>
      </c>
      <c r="K43" s="103">
        <v>0.01</v>
      </c>
      <c r="L43" s="104">
        <v>0</v>
      </c>
      <c r="M43" s="135">
        <f t="shared" si="3"/>
        <v>33</v>
      </c>
      <c r="N43" s="105" t="str">
        <f ca="1">_xll.meLWOSwapCreateFromGenerator("CZK_SWAP"&amp;M43,H43,I43,J43,B43,D43,K43,L43)</f>
        <v>CZK_SWAP33:9</v>
      </c>
      <c r="O43" s="106" t="s">
        <v>161</v>
      </c>
      <c r="P43" s="107">
        <f ca="1">_xll.meLWOSwapParRate(N43,O43)</f>
        <v>1.0850000022899471E-2</v>
      </c>
      <c r="Q43" s="122"/>
      <c r="R43" s="108" t="str">
        <f ca="1">CZK_CURVES!P34</f>
        <v>9Y</v>
      </c>
      <c r="S43" s="109">
        <f ca="1">CZK_CURVES!Q34</f>
        <v>1.085E-2</v>
      </c>
      <c r="T43" s="110">
        <f t="shared" ca="1" si="2"/>
        <v>2.2899470514259335E-7</v>
      </c>
    </row>
    <row r="44" spans="2:21" x14ac:dyDescent="0.25">
      <c r="B44" s="129">
        <f ca="1">_xll.meDateFromTenor(COB,F44,"MOD_FOLLOWING",$C44,"")</f>
        <v>44077</v>
      </c>
      <c r="C44" s="130" t="s">
        <v>195</v>
      </c>
      <c r="D44" s="131">
        <f ca="1">_xll.meDateFromTenor(B44,G44,)</f>
        <v>47729</v>
      </c>
      <c r="E44" s="125"/>
      <c r="F44" s="138" t="s">
        <v>196</v>
      </c>
      <c r="G44" s="139" t="str">
        <f ca="1">CZK_CURVES!P35</f>
        <v>10Y</v>
      </c>
      <c r="H44" s="100" t="str">
        <f>TEMPLATES!$K$3</f>
        <v>EM_CZK_6M:1</v>
      </c>
      <c r="I44" s="101" t="s">
        <v>217</v>
      </c>
      <c r="J44" s="102">
        <v>1000000</v>
      </c>
      <c r="K44" s="103">
        <v>0.01</v>
      </c>
      <c r="L44" s="104">
        <v>0</v>
      </c>
      <c r="M44" s="135">
        <f t="shared" si="3"/>
        <v>34</v>
      </c>
      <c r="N44" s="105" t="str">
        <f ca="1">_xll.meLWOSwapCreateFromGenerator("CZK_SWAP"&amp;M44,H44,I44,J44,B44,D44,K44,L44)</f>
        <v>CZK_SWAP34:9</v>
      </c>
      <c r="O44" s="106" t="s">
        <v>161</v>
      </c>
      <c r="P44" s="107">
        <f ca="1">_xll.meLWOSwapParRate(N44,O44)</f>
        <v>1.1100000020476369E-2</v>
      </c>
      <c r="Q44" s="122"/>
      <c r="R44" s="108" t="str">
        <f ca="1">CZK_CURVES!P35</f>
        <v>10Y</v>
      </c>
      <c r="S44" s="109">
        <f ca="1">CZK_CURVES!Q35</f>
        <v>1.11E-2</v>
      </c>
      <c r="T44" s="110">
        <f t="shared" ca="1" si="2"/>
        <v>2.0476368864374983E-7</v>
      </c>
    </row>
    <row r="45" spans="2:21" x14ac:dyDescent="0.25">
      <c r="B45" s="129">
        <f ca="1">_xll.meDateFromTenor(COB,F45,"MOD_FOLLOWING",$C45,"")</f>
        <v>44077</v>
      </c>
      <c r="C45" s="130" t="s">
        <v>195</v>
      </c>
      <c r="D45" s="131">
        <f ca="1">_xll.meDateFromTenor(B45,G45,)</f>
        <v>48460</v>
      </c>
      <c r="E45" s="125"/>
      <c r="F45" s="138" t="s">
        <v>196</v>
      </c>
      <c r="G45" s="139" t="str">
        <f ca="1">CZK_CURVES!P36</f>
        <v>12Y</v>
      </c>
      <c r="H45" s="100" t="str">
        <f>TEMPLATES!$K$3</f>
        <v>EM_CZK_6M:1</v>
      </c>
      <c r="I45" s="101" t="s">
        <v>217</v>
      </c>
      <c r="J45" s="102">
        <v>1000000</v>
      </c>
      <c r="K45" s="103">
        <v>0.01</v>
      </c>
      <c r="L45" s="104">
        <v>0</v>
      </c>
      <c r="M45" s="135">
        <f t="shared" si="3"/>
        <v>35</v>
      </c>
      <c r="N45" s="105" t="str">
        <f ca="1">_xll.meLWOSwapCreateFromGenerator("CZK_SWAP"&amp;M45,H45,I45,J45,B45,D45,K45,L45)</f>
        <v>CZK_SWAP35:9</v>
      </c>
      <c r="O45" s="106" t="s">
        <v>161</v>
      </c>
      <c r="P45" s="107">
        <f ca="1">_xll.meLWOSwapParRate(N45,O45)</f>
        <v>1.1350000017057353E-2</v>
      </c>
      <c r="Q45" s="122"/>
      <c r="R45" s="108" t="str">
        <f ca="1">CZK_CURVES!P36</f>
        <v>12Y</v>
      </c>
      <c r="S45" s="109">
        <f ca="1">CZK_CURVES!Q36</f>
        <v>1.1350000000000001E-2</v>
      </c>
      <c r="T45" s="110">
        <f t="shared" ca="1" si="2"/>
        <v>1.7057352058591491E-7</v>
      </c>
    </row>
    <row r="46" spans="2:21" x14ac:dyDescent="0.25">
      <c r="B46" s="129">
        <f ca="1">_xll.meDateFromTenor(COB,F46,"MOD_FOLLOWING",$C46,"")</f>
        <v>44077</v>
      </c>
      <c r="C46" s="130" t="s">
        <v>195</v>
      </c>
      <c r="D46" s="131">
        <f ca="1">_xll.meDateFromTenor(B46,G46,)</f>
        <v>49555</v>
      </c>
      <c r="E46" s="125"/>
      <c r="F46" s="138" t="s">
        <v>196</v>
      </c>
      <c r="G46" s="139" t="str">
        <f ca="1">CZK_CURVES!P37</f>
        <v>15Y</v>
      </c>
      <c r="H46" s="100" t="str">
        <f>TEMPLATES!$K$3</f>
        <v>EM_CZK_6M:1</v>
      </c>
      <c r="I46" s="101" t="s">
        <v>217</v>
      </c>
      <c r="J46" s="102">
        <v>1000000</v>
      </c>
      <c r="K46" s="103">
        <v>0.01</v>
      </c>
      <c r="L46" s="104">
        <v>0</v>
      </c>
      <c r="M46" s="135">
        <f t="shared" si="3"/>
        <v>36</v>
      </c>
      <c r="N46" s="105" t="str">
        <f ca="1">_xll.meLWOSwapCreateFromGenerator("CZK_SWAP"&amp;M46,H46,I46,J46,B46,D46,K46,L46)</f>
        <v>CZK_SWAP36:9</v>
      </c>
      <c r="O46" s="106" t="s">
        <v>161</v>
      </c>
      <c r="P46" s="107">
        <f ca="1">_xll.meLWOSwapParRate(N46,O46)</f>
        <v>1.2600000013747188E-2</v>
      </c>
      <c r="Q46" s="122"/>
      <c r="R46" s="108" t="str">
        <f ca="1">CZK_CURVES!P37</f>
        <v>15Y</v>
      </c>
      <c r="S46" s="109">
        <f ca="1">CZK_CURVES!Q37</f>
        <v>1.26E-2</v>
      </c>
      <c r="T46" s="110">
        <f t="shared" ca="1" si="2"/>
        <v>1.3747187416202067E-7</v>
      </c>
    </row>
    <row r="47" spans="2:21" x14ac:dyDescent="0.25">
      <c r="B47" s="132">
        <f ca="1">_xll.meDateFromTenor(COB,F47,"MOD_FOLLOWING",$C47,"")</f>
        <v>44077</v>
      </c>
      <c r="C47" s="133" t="s">
        <v>195</v>
      </c>
      <c r="D47" s="134">
        <f ca="1">_xll.meDateFromTenor(B47,G47,)</f>
        <v>51382</v>
      </c>
      <c r="E47" s="125"/>
      <c r="F47" s="140" t="s">
        <v>196</v>
      </c>
      <c r="G47" s="141" t="str">
        <f ca="1">CZK_CURVES!P38</f>
        <v>20Y</v>
      </c>
      <c r="H47" s="111" t="str">
        <f>TEMPLATES!$K$3</f>
        <v>EM_CZK_6M:1</v>
      </c>
      <c r="I47" s="112" t="s">
        <v>217</v>
      </c>
      <c r="J47" s="113">
        <v>1000000</v>
      </c>
      <c r="K47" s="114">
        <v>0.01</v>
      </c>
      <c r="L47" s="115">
        <v>0</v>
      </c>
      <c r="M47" s="135">
        <f t="shared" si="3"/>
        <v>37</v>
      </c>
      <c r="N47" s="116" t="str">
        <f ca="1">_xll.meLWOSwapCreateFromGenerator("CZK_SWAP"&amp;M47,H47,I47,J47,B47,D47,K47,L47)</f>
        <v>CZK_SWAP37:9</v>
      </c>
      <c r="O47" s="117" t="s">
        <v>161</v>
      </c>
      <c r="P47" s="118">
        <f ca="1">_xll.meLWOSwapParRate(N47,O47)</f>
        <v>1.2546776354754563E-2</v>
      </c>
      <c r="Q47" s="122"/>
      <c r="R47" s="119" t="str">
        <f ca="1">CZK_CURVES!P38</f>
        <v>20Y</v>
      </c>
      <c r="S47" s="120">
        <f ca="1">CZK_CURVES!Q38</f>
        <v>1.2549999999999999E-2</v>
      </c>
      <c r="T47" s="152">
        <f t="shared" ca="1" si="2"/>
        <v>-3.223645245435322E-2</v>
      </c>
      <c r="U47" s="7" t="s">
        <v>254</v>
      </c>
    </row>
    <row r="50" spans="2:20" x14ac:dyDescent="0.25">
      <c r="B50" s="82" t="s">
        <v>200</v>
      </c>
      <c r="C50" s="82"/>
      <c r="F50" s="83" t="s">
        <v>261</v>
      </c>
      <c r="N50" s="82" t="s">
        <v>201</v>
      </c>
      <c r="R50" s="82" t="s">
        <v>202</v>
      </c>
    </row>
    <row r="51" spans="2:20" x14ac:dyDescent="0.25">
      <c r="D51" s="84" t="s">
        <v>203</v>
      </c>
      <c r="H51" s="84" t="s">
        <v>204</v>
      </c>
      <c r="P51" s="85"/>
    </row>
    <row r="52" spans="2:20" x14ac:dyDescent="0.25">
      <c r="B52" s="2" t="s">
        <v>205</v>
      </c>
      <c r="C52" s="2" t="s">
        <v>73</v>
      </c>
      <c r="D52" s="1" t="s">
        <v>206</v>
      </c>
      <c r="E52" s="1"/>
      <c r="F52" s="1" t="s">
        <v>205</v>
      </c>
      <c r="G52" s="2" t="s">
        <v>207</v>
      </c>
      <c r="H52" s="2" t="s">
        <v>208</v>
      </c>
      <c r="I52" s="2" t="s">
        <v>209</v>
      </c>
      <c r="J52" s="2" t="s">
        <v>210</v>
      </c>
      <c r="K52" s="2" t="s">
        <v>257</v>
      </c>
      <c r="L52" s="2" t="s">
        <v>258</v>
      </c>
      <c r="N52" s="2" t="s">
        <v>212</v>
      </c>
      <c r="O52" s="2" t="s">
        <v>213</v>
      </c>
      <c r="P52" s="2" t="s">
        <v>9</v>
      </c>
      <c r="R52" s="2" t="s">
        <v>6</v>
      </c>
      <c r="S52" s="2" t="s">
        <v>7</v>
      </c>
      <c r="T52" s="86" t="s">
        <v>215</v>
      </c>
    </row>
    <row r="53" spans="2:20" x14ac:dyDescent="0.25">
      <c r="B53" s="126">
        <f ca="1">_xll.meDateFromTenor(COB,F53,"MOD_FOLLOWING",$C53,"")</f>
        <v>44077</v>
      </c>
      <c r="C53" s="127" t="s">
        <v>195</v>
      </c>
      <c r="D53" s="128">
        <f ca="1">_xll.meDateFromTenor(B53,G53,)</f>
        <v>44442</v>
      </c>
      <c r="E53" s="125"/>
      <c r="F53" s="136" t="s">
        <v>196</v>
      </c>
      <c r="G53" s="137" t="str">
        <f ca="1">CZK_CURVES!Y11</f>
        <v>1Y</v>
      </c>
      <c r="H53" s="89" t="str">
        <f>TEMPLATES!$O$3</f>
        <v>EM_CZK_3M:1</v>
      </c>
      <c r="I53" s="90" t="s">
        <v>217</v>
      </c>
      <c r="J53" s="91">
        <v>1000000</v>
      </c>
      <c r="K53" s="92">
        <v>0</v>
      </c>
      <c r="L53" s="93">
        <v>0</v>
      </c>
      <c r="M53" s="135">
        <f>M47+1</f>
        <v>38</v>
      </c>
      <c r="N53" s="94" t="str">
        <f ca="1">_xll.meLWOSwapCreateFromGenerator("CZK_SWAP"&amp;M53,H53,I53,J53,B53,D53,K53,L53)</f>
        <v>CZK_SWAP38:9</v>
      </c>
      <c r="O53" s="95" t="s">
        <v>161</v>
      </c>
      <c r="P53" s="96">
        <f ca="1">_xll.meLWOSwapParSpread(N53,O53)/10000</f>
        <v>4.5000000001812015E-4</v>
      </c>
      <c r="Q53" s="122"/>
      <c r="R53" s="97" t="str">
        <f ca="1">CZK_CURVES!Y11</f>
        <v>1Y</v>
      </c>
      <c r="S53" s="98">
        <f ca="1">CZK_CURVES!Z11</f>
        <v>4.4999999999999999E-4</v>
      </c>
      <c r="T53" s="99">
        <f t="shared" ref="T53:T63" ca="1" si="4">(P53-S53)*10000</f>
        <v>1.8120162488532987E-10</v>
      </c>
    </row>
    <row r="54" spans="2:20" x14ac:dyDescent="0.25">
      <c r="B54" s="129">
        <f ca="1">_xll.meDateFromTenor(COB,F54,"MOD_FOLLOWING",$C54,"")</f>
        <v>44077</v>
      </c>
      <c r="C54" s="130" t="s">
        <v>195</v>
      </c>
      <c r="D54" s="131">
        <f ca="1">_xll.meDateFromTenor(B54,G54,)</f>
        <v>44807</v>
      </c>
      <c r="E54" s="125"/>
      <c r="F54" s="138" t="s">
        <v>196</v>
      </c>
      <c r="G54" s="139" t="str">
        <f ca="1">CZK_CURVES!Y12</f>
        <v>2Y</v>
      </c>
      <c r="H54" s="100" t="str">
        <f>TEMPLATES!$O$3</f>
        <v>EM_CZK_3M:1</v>
      </c>
      <c r="I54" s="101" t="s">
        <v>217</v>
      </c>
      <c r="J54" s="102">
        <v>1000000</v>
      </c>
      <c r="K54" s="103">
        <v>0</v>
      </c>
      <c r="L54" s="104">
        <v>0</v>
      </c>
      <c r="M54" s="135">
        <f t="shared" ref="M54:M65" si="5">M53+1</f>
        <v>39</v>
      </c>
      <c r="N54" s="105" t="str">
        <f ca="1">_xll.meLWOSwapCreateFromGenerator("CZK_SWAP"&amp;M54,H54,I54,J54,B54,D54,K54,L54)</f>
        <v>CZK_SWAP39:9</v>
      </c>
      <c r="O54" s="106" t="s">
        <v>161</v>
      </c>
      <c r="P54" s="107">
        <f ca="1">_xll.meLWOSwapParSpread(N54,O54)/10000</f>
        <v>5.2499999926281578E-4</v>
      </c>
      <c r="Q54" s="122"/>
      <c r="R54" s="108" t="str">
        <f ca="1">CZK_CURVES!Y12</f>
        <v>2Y</v>
      </c>
      <c r="S54" s="109">
        <f ca="1">CZK_CURVES!Z12</f>
        <v>5.2499999999999997E-4</v>
      </c>
      <c r="T54" s="110">
        <f t="shared" ca="1" si="4"/>
        <v>-7.37184185223283E-9</v>
      </c>
    </row>
    <row r="55" spans="2:20" x14ac:dyDescent="0.25">
      <c r="B55" s="129">
        <f ca="1">_xll.meDateFromTenor(COB,F55,"MOD_FOLLOWING",$C55,"")</f>
        <v>44077</v>
      </c>
      <c r="C55" s="130" t="s">
        <v>195</v>
      </c>
      <c r="D55" s="131">
        <f ca="1">_xll.meDateFromTenor(B55,G55,)</f>
        <v>45172</v>
      </c>
      <c r="E55" s="125"/>
      <c r="F55" s="138" t="s">
        <v>196</v>
      </c>
      <c r="G55" s="139" t="str">
        <f ca="1">CZK_CURVES!Y13</f>
        <v>3Y</v>
      </c>
      <c r="H55" s="100" t="str">
        <f>TEMPLATES!$O$3</f>
        <v>EM_CZK_3M:1</v>
      </c>
      <c r="I55" s="101" t="s">
        <v>217</v>
      </c>
      <c r="J55" s="102">
        <v>1000000</v>
      </c>
      <c r="K55" s="103">
        <v>0</v>
      </c>
      <c r="L55" s="104">
        <v>0</v>
      </c>
      <c r="M55" s="135">
        <f t="shared" si="5"/>
        <v>40</v>
      </c>
      <c r="N55" s="105" t="str">
        <f ca="1">_xll.meLWOSwapCreateFromGenerator("CZK_SWAP"&amp;M55,H55,I55,J55,B55,D55,K55,L55)</f>
        <v>CZK_SWAP40:9</v>
      </c>
      <c r="O55" s="106" t="s">
        <v>161</v>
      </c>
      <c r="P55" s="107">
        <f ca="1">_xll.meLWOSwapParSpread(N55,O55)/10000</f>
        <v>5.7500011941876447E-4</v>
      </c>
      <c r="Q55" s="122"/>
      <c r="R55" s="108" t="str">
        <f ca="1">CZK_CURVES!Y13</f>
        <v>3Y</v>
      </c>
      <c r="S55" s="109">
        <f ca="1">CZK_CURVES!Z13</f>
        <v>5.7499999999999999E-4</v>
      </c>
      <c r="T55" s="110">
        <f t="shared" ca="1" si="4"/>
        <v>1.194187644821057E-6</v>
      </c>
    </row>
    <row r="56" spans="2:20" x14ac:dyDescent="0.25">
      <c r="B56" s="129">
        <f ca="1">_xll.meDateFromTenor(COB,F56,"MOD_FOLLOWING",$C56,"")</f>
        <v>44077</v>
      </c>
      <c r="C56" s="130" t="s">
        <v>195</v>
      </c>
      <c r="D56" s="131">
        <f ca="1">_xll.meDateFromTenor(B56,G56,)</f>
        <v>45538</v>
      </c>
      <c r="E56" s="125"/>
      <c r="F56" s="138" t="s">
        <v>196</v>
      </c>
      <c r="G56" s="139" t="str">
        <f ca="1">CZK_CURVES!Y14</f>
        <v>4Y</v>
      </c>
      <c r="H56" s="100" t="str">
        <f>TEMPLATES!$O$3</f>
        <v>EM_CZK_3M:1</v>
      </c>
      <c r="I56" s="101" t="s">
        <v>217</v>
      </c>
      <c r="J56" s="102">
        <v>1000000</v>
      </c>
      <c r="K56" s="103">
        <v>0</v>
      </c>
      <c r="L56" s="104">
        <v>0</v>
      </c>
      <c r="M56" s="135">
        <f t="shared" si="5"/>
        <v>41</v>
      </c>
      <c r="N56" s="105" t="str">
        <f ca="1">_xll.meLWOSwapCreateFromGenerator("CZK_SWAP"&amp;M56,H56,I56,J56,B56,D56,K56,L56)</f>
        <v>CZK_SWAP41:9</v>
      </c>
      <c r="O56" s="106" t="s">
        <v>161</v>
      </c>
      <c r="P56" s="107">
        <f ca="1">_xll.meLWOSwapParSpread(N56,O56)/10000</f>
        <v>6.7500015699506195E-4</v>
      </c>
      <c r="Q56" s="122"/>
      <c r="R56" s="108" t="str">
        <f ca="1">CZK_CURVES!Y14</f>
        <v>4Y</v>
      </c>
      <c r="S56" s="109">
        <f ca="1">CZK_CURVES!Z14</f>
        <v>6.7500000000000004E-4</v>
      </c>
      <c r="T56" s="110">
        <f t="shared" ca="1" si="4"/>
        <v>1.5699506191596546E-6</v>
      </c>
    </row>
    <row r="57" spans="2:20" x14ac:dyDescent="0.25">
      <c r="B57" s="129">
        <f ca="1">_xll.meDateFromTenor(COB,F57,"MOD_FOLLOWING",$C57,"")</f>
        <v>44077</v>
      </c>
      <c r="C57" s="130" t="s">
        <v>195</v>
      </c>
      <c r="D57" s="131">
        <f ca="1">_xll.meDateFromTenor(B57,G57,)</f>
        <v>45903</v>
      </c>
      <c r="E57" s="125"/>
      <c r="F57" s="138" t="s">
        <v>196</v>
      </c>
      <c r="G57" s="139" t="str">
        <f ca="1">CZK_CURVES!Y15</f>
        <v>5Y</v>
      </c>
      <c r="H57" s="100" t="str">
        <f>TEMPLATES!$O$3</f>
        <v>EM_CZK_3M:1</v>
      </c>
      <c r="I57" s="101" t="s">
        <v>217</v>
      </c>
      <c r="J57" s="102">
        <v>1000000</v>
      </c>
      <c r="K57" s="103">
        <v>0</v>
      </c>
      <c r="L57" s="104">
        <v>0</v>
      </c>
      <c r="M57" s="135">
        <f t="shared" si="5"/>
        <v>42</v>
      </c>
      <c r="N57" s="105" t="str">
        <f ca="1">_xll.meLWOSwapCreateFromGenerator("CZK_SWAP"&amp;M57,H57,I57,J57,B57,D57,K57,L57)</f>
        <v>CZK_SWAP42:9</v>
      </c>
      <c r="O57" s="106" t="s">
        <v>161</v>
      </c>
      <c r="P57" s="107">
        <f ca="1">_xll.meLWOSwapParSpread(N57,O57)/10000</f>
        <v>7.7500011873534477E-4</v>
      </c>
      <c r="Q57" s="122"/>
      <c r="R57" s="108" t="str">
        <f ca="1">CZK_CURVES!Y15</f>
        <v>5Y</v>
      </c>
      <c r="S57" s="109">
        <f ca="1">CZK_CURVES!Z15</f>
        <v>7.7499999999999997E-4</v>
      </c>
      <c r="T57" s="110">
        <f t="shared" ca="1" si="4"/>
        <v>1.187353447984138E-6</v>
      </c>
    </row>
    <row r="58" spans="2:20" x14ac:dyDescent="0.25">
      <c r="B58" s="129">
        <f ca="1">_xll.meDateFromTenor(COB,F58,"MOD_FOLLOWING",$C58,"")</f>
        <v>44077</v>
      </c>
      <c r="C58" s="130" t="s">
        <v>195</v>
      </c>
      <c r="D58" s="131">
        <f ca="1">_xll.meDateFromTenor(B58,G58,)</f>
        <v>46268</v>
      </c>
      <c r="E58" s="125"/>
      <c r="F58" s="138" t="s">
        <v>196</v>
      </c>
      <c r="G58" s="139" t="str">
        <f ca="1">CZK_CURVES!Y16</f>
        <v>6Y</v>
      </c>
      <c r="H58" s="100" t="str">
        <f>TEMPLATES!$O$3</f>
        <v>EM_CZK_3M:1</v>
      </c>
      <c r="I58" s="101" t="s">
        <v>217</v>
      </c>
      <c r="J58" s="102">
        <v>1000000</v>
      </c>
      <c r="K58" s="103">
        <v>0</v>
      </c>
      <c r="L58" s="104">
        <v>0</v>
      </c>
      <c r="M58" s="135">
        <f t="shared" si="5"/>
        <v>43</v>
      </c>
      <c r="N58" s="105" t="str">
        <f ca="1">_xll.meLWOSwapCreateFromGenerator("CZK_SWAP"&amp;M58,H58,I58,J58,B58,D58,K58,L58)</f>
        <v>CZK_SWAP43:9</v>
      </c>
      <c r="O58" s="106" t="s">
        <v>161</v>
      </c>
      <c r="P58" s="107">
        <f ca="1">_xll.meLWOSwapParSpread(N58,O58)/10000</f>
        <v>8.7500010960609863E-4</v>
      </c>
      <c r="Q58" s="122"/>
      <c r="R58" s="108" t="str">
        <f ca="1">CZK_CURVES!Y16</f>
        <v>6Y</v>
      </c>
      <c r="S58" s="109">
        <f ca="1">CZK_CURVES!Z16</f>
        <v>8.7500000000000002E-4</v>
      </c>
      <c r="T58" s="110">
        <f t="shared" ca="1" si="4"/>
        <v>1.0960609861127707E-6</v>
      </c>
    </row>
    <row r="59" spans="2:20" x14ac:dyDescent="0.25">
      <c r="B59" s="129">
        <f ca="1">_xll.meDateFromTenor(COB,F59,"MOD_FOLLOWING",$C59,"")</f>
        <v>44077</v>
      </c>
      <c r="C59" s="130" t="s">
        <v>195</v>
      </c>
      <c r="D59" s="131">
        <f ca="1">_xll.meDateFromTenor(B59,G59,)</f>
        <v>46633</v>
      </c>
      <c r="E59" s="125"/>
      <c r="F59" s="138" t="s">
        <v>196</v>
      </c>
      <c r="G59" s="139" t="str">
        <f ca="1">CZK_CURVES!Y17</f>
        <v>7Y</v>
      </c>
      <c r="H59" s="100" t="str">
        <f>TEMPLATES!$O$3</f>
        <v>EM_CZK_3M:1</v>
      </c>
      <c r="I59" s="101" t="s">
        <v>217</v>
      </c>
      <c r="J59" s="102">
        <v>1000000</v>
      </c>
      <c r="K59" s="103">
        <v>0</v>
      </c>
      <c r="L59" s="104">
        <v>0</v>
      </c>
      <c r="M59" s="135">
        <f t="shared" si="5"/>
        <v>44</v>
      </c>
      <c r="N59" s="105" t="str">
        <f ca="1">_xll.meLWOSwapCreateFromGenerator("CZK_SWAP"&amp;M59,H59,I59,J59,B59,D59,K59,L59)</f>
        <v>CZK_SWAP44:9</v>
      </c>
      <c r="O59" s="106" t="s">
        <v>161</v>
      </c>
      <c r="P59" s="107">
        <f ca="1">_xll.meLWOSwapParSpread(N59,O59)/10000</f>
        <v>9.950000900075663E-4</v>
      </c>
      <c r="Q59" s="122"/>
      <c r="R59" s="108" t="str">
        <f ca="1">CZK_CURVES!Y17</f>
        <v>7Y</v>
      </c>
      <c r="S59" s="109">
        <f ca="1">CZK_CURVES!Z17</f>
        <v>9.9500000000000001E-4</v>
      </c>
      <c r="T59" s="110">
        <f t="shared" ca="1" si="4"/>
        <v>9.0007566287339524E-7</v>
      </c>
    </row>
    <row r="60" spans="2:20" x14ac:dyDescent="0.25">
      <c r="B60" s="129">
        <f ca="1">_xll.meDateFromTenor(COB,F60,"MOD_FOLLOWING",$C60,"")</f>
        <v>44077</v>
      </c>
      <c r="C60" s="130" t="s">
        <v>195</v>
      </c>
      <c r="D60" s="131">
        <f ca="1">_xll.meDateFromTenor(B60,G60,)</f>
        <v>46999</v>
      </c>
      <c r="E60" s="125"/>
      <c r="F60" s="138" t="s">
        <v>196</v>
      </c>
      <c r="G60" s="139" t="str">
        <f ca="1">CZK_CURVES!Y18</f>
        <v>8Y</v>
      </c>
      <c r="H60" s="100" t="str">
        <f>TEMPLATES!$O$3</f>
        <v>EM_CZK_3M:1</v>
      </c>
      <c r="I60" s="101" t="s">
        <v>217</v>
      </c>
      <c r="J60" s="102">
        <v>1000000</v>
      </c>
      <c r="K60" s="103">
        <v>0</v>
      </c>
      <c r="L60" s="104">
        <v>0</v>
      </c>
      <c r="M60" s="135">
        <f t="shared" si="5"/>
        <v>45</v>
      </c>
      <c r="N60" s="105" t="str">
        <f ca="1">_xll.meLWOSwapCreateFromGenerator("CZK_SWAP"&amp;M60,H60,I60,J60,B60,D60,K60,L60)</f>
        <v>CZK_SWAP45:9</v>
      </c>
      <c r="O60" s="106" t="s">
        <v>161</v>
      </c>
      <c r="P60" s="107">
        <f ca="1">_xll.meLWOSwapParSpread(N60,O60)/10000</f>
        <v>1.1200000691431102E-3</v>
      </c>
      <c r="Q60" s="122"/>
      <c r="R60" s="108" t="str">
        <f ca="1">CZK_CURVES!Y18</f>
        <v>8Y</v>
      </c>
      <c r="S60" s="109">
        <f ca="1">CZK_CURVES!Z18</f>
        <v>1.1199999999999999E-3</v>
      </c>
      <c r="T60" s="110">
        <f t="shared" ca="1" si="4"/>
        <v>6.9143110291089438E-7</v>
      </c>
    </row>
    <row r="61" spans="2:20" x14ac:dyDescent="0.25">
      <c r="B61" s="129">
        <f ca="1">_xll.meDateFromTenor(COB,F61,"MOD_FOLLOWING",$C61,"")</f>
        <v>44077</v>
      </c>
      <c r="C61" s="130" t="s">
        <v>195</v>
      </c>
      <c r="D61" s="131">
        <f ca="1">_xll.meDateFromTenor(B61,G61,)</f>
        <v>47364</v>
      </c>
      <c r="E61" s="125"/>
      <c r="F61" s="138" t="s">
        <v>196</v>
      </c>
      <c r="G61" s="139" t="str">
        <f ca="1">CZK_CURVES!Y19</f>
        <v>9Y</v>
      </c>
      <c r="H61" s="100" t="str">
        <f>TEMPLATES!$O$3</f>
        <v>EM_CZK_3M:1</v>
      </c>
      <c r="I61" s="101" t="s">
        <v>217</v>
      </c>
      <c r="J61" s="102">
        <v>1000000</v>
      </c>
      <c r="K61" s="103">
        <v>0</v>
      </c>
      <c r="L61" s="104">
        <v>0</v>
      </c>
      <c r="M61" s="135">
        <f t="shared" si="5"/>
        <v>46</v>
      </c>
      <c r="N61" s="105" t="str">
        <f ca="1">_xll.meLWOSwapCreateFromGenerator("CZK_SWAP"&amp;M61,H61,I61,J61,B61,D61,K61,L61)</f>
        <v>CZK_SWAP46:9</v>
      </c>
      <c r="O61" s="106" t="s">
        <v>161</v>
      </c>
      <c r="P61" s="107">
        <f ca="1">_xll.meLWOSwapParSpread(N61,O61)/10000</f>
        <v>1.2700000281172118E-3</v>
      </c>
      <c r="Q61" s="122"/>
      <c r="R61" s="108" t="str">
        <f ca="1">CZK_CURVES!Y19</f>
        <v>9Y</v>
      </c>
      <c r="S61" s="109">
        <f ca="1">CZK_CURVES!Z19</f>
        <v>1.2699999999999999E-3</v>
      </c>
      <c r="T61" s="110">
        <f t="shared" ca="1" si="4"/>
        <v>2.8117211900782757E-7</v>
      </c>
    </row>
    <row r="62" spans="2:20" x14ac:dyDescent="0.25">
      <c r="B62" s="129">
        <f ca="1">_xll.meDateFromTenor(COB,F62,"MOD_FOLLOWING",$C62,"")</f>
        <v>44077</v>
      </c>
      <c r="C62" s="130" t="s">
        <v>195</v>
      </c>
      <c r="D62" s="131">
        <f ca="1">_xll.meDateFromTenor(B62,G62,)</f>
        <v>47729</v>
      </c>
      <c r="E62" s="125"/>
      <c r="F62" s="138" t="s">
        <v>196</v>
      </c>
      <c r="G62" s="139" t="str">
        <f ca="1">CZK_CURVES!Y20</f>
        <v>10Y</v>
      </c>
      <c r="H62" s="100" t="str">
        <f>TEMPLATES!$O$3</f>
        <v>EM_CZK_3M:1</v>
      </c>
      <c r="I62" s="101" t="s">
        <v>217</v>
      </c>
      <c r="J62" s="102">
        <v>1000000</v>
      </c>
      <c r="K62" s="103">
        <v>0</v>
      </c>
      <c r="L62" s="104">
        <v>0</v>
      </c>
      <c r="M62" s="135">
        <f t="shared" si="5"/>
        <v>47</v>
      </c>
      <c r="N62" s="105" t="str">
        <f ca="1">_xll.meLWOSwapCreateFromGenerator("CZK_SWAP"&amp;M62,H62,I62,J62,B62,D62,K62,L62)</f>
        <v>CZK_SWAP47:9</v>
      </c>
      <c r="O62" s="106" t="s">
        <v>161</v>
      </c>
      <c r="P62" s="107">
        <f ca="1">_xll.meLWOSwapParSpread(N62,O62)/10000</f>
        <v>1.395000001537849E-3</v>
      </c>
      <c r="Q62" s="122"/>
      <c r="R62" s="108" t="str">
        <f ca="1">CZK_CURVES!Y20</f>
        <v>10Y</v>
      </c>
      <c r="S62" s="109">
        <f ca="1">CZK_CURVES!Z20</f>
        <v>1.395E-3</v>
      </c>
      <c r="T62" s="110">
        <f t="shared" ca="1" si="4"/>
        <v>1.5378490581668958E-8</v>
      </c>
    </row>
    <row r="63" spans="2:20" x14ac:dyDescent="0.25">
      <c r="B63" s="129">
        <f ca="1">_xll.meDateFromTenor(COB,F63,"MOD_FOLLOWING",$C63,"")</f>
        <v>44077</v>
      </c>
      <c r="C63" s="130" t="s">
        <v>195</v>
      </c>
      <c r="D63" s="131">
        <f ca="1">_xll.meDateFromTenor(B63,G63,)</f>
        <v>48460</v>
      </c>
      <c r="E63" s="125"/>
      <c r="F63" s="138" t="s">
        <v>196</v>
      </c>
      <c r="G63" s="139" t="str">
        <f ca="1">CZK_CURVES!Y21</f>
        <v>12Y</v>
      </c>
      <c r="H63" s="100" t="str">
        <f>TEMPLATES!$O$3</f>
        <v>EM_CZK_3M:1</v>
      </c>
      <c r="I63" s="101" t="s">
        <v>217</v>
      </c>
      <c r="J63" s="102">
        <v>1000000</v>
      </c>
      <c r="K63" s="103">
        <v>0</v>
      </c>
      <c r="L63" s="104">
        <v>0</v>
      </c>
      <c r="M63" s="135">
        <f t="shared" si="5"/>
        <v>48</v>
      </c>
      <c r="N63" s="105" t="str">
        <f ca="1">_xll.meLWOSwapCreateFromGenerator("CZK_SWAP"&amp;M63,H63,I63,J63,B63,D63,K63,L63)</f>
        <v>CZK_SWAP48:9</v>
      </c>
      <c r="O63" s="106" t="s">
        <v>161</v>
      </c>
      <c r="P63" s="107">
        <f ca="1">_xll.meLWOSwapParSpread(N63,O63)/10000</f>
        <v>1.485000011628057E-3</v>
      </c>
      <c r="Q63" s="122"/>
      <c r="R63" s="108" t="str">
        <f ca="1">CZK_CURVES!Y21</f>
        <v>12Y</v>
      </c>
      <c r="S63" s="109">
        <f ca="1">CZK_CURVES!Z21</f>
        <v>1.485E-3</v>
      </c>
      <c r="T63" s="110">
        <f t="shared" ca="1" si="4"/>
        <v>1.1628057024204441E-7</v>
      </c>
    </row>
    <row r="64" spans="2:20" x14ac:dyDescent="0.25">
      <c r="B64" s="129">
        <f ca="1">_xll.meDateFromTenor(COB,F64,"MOD_FOLLOWING",$C64,"")</f>
        <v>44077</v>
      </c>
      <c r="C64" s="130" t="s">
        <v>195</v>
      </c>
      <c r="D64" s="131">
        <f ca="1">_xll.meDateFromTenor(B64,G64,)</f>
        <v>49555</v>
      </c>
      <c r="E64" s="125"/>
      <c r="F64" s="138" t="s">
        <v>196</v>
      </c>
      <c r="G64" s="139" t="str">
        <f ca="1">CZK_CURVES!Y22</f>
        <v>15Y</v>
      </c>
      <c r="H64" s="100" t="str">
        <f>TEMPLATES!$O$3</f>
        <v>EM_CZK_3M:1</v>
      </c>
      <c r="I64" s="101" t="s">
        <v>217</v>
      </c>
      <c r="J64" s="102">
        <v>1000000</v>
      </c>
      <c r="K64" s="103">
        <v>0</v>
      </c>
      <c r="L64" s="104">
        <v>0</v>
      </c>
      <c r="M64" s="135">
        <f t="shared" si="5"/>
        <v>49</v>
      </c>
      <c r="N64" s="105" t="str">
        <f ca="1">_xll.meLWOSwapCreateFromGenerator("CZK_SWAP"&amp;M64,H64,I64,J64,B64,D64,K64,L64)</f>
        <v>CZK_SWAP49:9</v>
      </c>
      <c r="O64" s="106" t="s">
        <v>161</v>
      </c>
      <c r="P64" s="107">
        <f ca="1">_xll.meLWOSwapParSpread(N64,O64)/10000</f>
        <v>1.3099999900438909E-3</v>
      </c>
      <c r="Q64" s="122"/>
      <c r="R64" s="108" t="str">
        <f ca="1">CZK_CURVES!Y22</f>
        <v>15Y</v>
      </c>
      <c r="S64" s="109">
        <f ca="1">CZK_CURVES!Z22</f>
        <v>1.31E-3</v>
      </c>
      <c r="T64" s="110">
        <f t="shared" ref="T64:T65" ca="1" si="6">(P64-S64)*10000</f>
        <v>-9.9561090708549793E-8</v>
      </c>
    </row>
    <row r="65" spans="2:21" x14ac:dyDescent="0.25">
      <c r="B65" s="132">
        <f ca="1">_xll.meDateFromTenor(COB,F65,"MOD_FOLLOWING",$C65,"")</f>
        <v>44077</v>
      </c>
      <c r="C65" s="133" t="s">
        <v>195</v>
      </c>
      <c r="D65" s="134">
        <f ca="1">_xll.meDateFromTenor(B65,G65,)</f>
        <v>51382</v>
      </c>
      <c r="E65" s="125"/>
      <c r="F65" s="140" t="s">
        <v>196</v>
      </c>
      <c r="G65" s="141" t="str">
        <f ca="1">CZK_CURVES!Y23</f>
        <v>20Y</v>
      </c>
      <c r="H65" s="111" t="str">
        <f>TEMPLATES!$O$3</f>
        <v>EM_CZK_3M:1</v>
      </c>
      <c r="I65" s="112" t="s">
        <v>217</v>
      </c>
      <c r="J65" s="113">
        <v>1000000</v>
      </c>
      <c r="K65" s="114">
        <v>0</v>
      </c>
      <c r="L65" s="115">
        <v>0</v>
      </c>
      <c r="M65" s="135">
        <f t="shared" si="5"/>
        <v>50</v>
      </c>
      <c r="N65" s="116" t="str">
        <f ca="1">_xll.meLWOSwapCreateFromGenerator("CZK_SWAP"&amp;M65,H65,I65,J65,B65,D65,K65,L65)</f>
        <v>CZK_SWAP50:9</v>
      </c>
      <c r="O65" s="117" t="s">
        <v>161</v>
      </c>
      <c r="P65" s="118">
        <f ca="1">_xll.meLWOSwapParSpread(N65,O65)/10000</f>
        <v>1.2099994527444795E-3</v>
      </c>
      <c r="Q65" s="122"/>
      <c r="R65" s="119" t="str">
        <f ca="1">CZK_CURVES!Y23</f>
        <v>20Y</v>
      </c>
      <c r="S65" s="120">
        <f ca="1">CZK_CURVES!Z23</f>
        <v>1.2099999999999999E-3</v>
      </c>
      <c r="T65" s="121">
        <f t="shared" ca="1" si="6"/>
        <v>-5.4725552041390291E-6</v>
      </c>
      <c r="U65" s="7"/>
    </row>
    <row r="68" spans="2:21" x14ac:dyDescent="0.25">
      <c r="B68" s="82" t="s">
        <v>200</v>
      </c>
      <c r="C68" s="82"/>
      <c r="F68" s="83" t="s">
        <v>264</v>
      </c>
      <c r="N68" s="82" t="s">
        <v>201</v>
      </c>
    </row>
    <row r="69" spans="2:21" x14ac:dyDescent="0.25">
      <c r="D69" s="84" t="s">
        <v>203</v>
      </c>
      <c r="H69" s="84" t="s">
        <v>204</v>
      </c>
      <c r="P69" s="85"/>
    </row>
    <row r="70" spans="2:21" x14ac:dyDescent="0.25">
      <c r="B70" s="2" t="s">
        <v>205</v>
      </c>
      <c r="C70" s="2" t="s">
        <v>73</v>
      </c>
      <c r="D70" s="1" t="s">
        <v>206</v>
      </c>
      <c r="E70" s="1"/>
      <c r="F70" s="1" t="s">
        <v>205</v>
      </c>
      <c r="G70" s="2" t="s">
        <v>207</v>
      </c>
      <c r="H70" s="2" t="s">
        <v>208</v>
      </c>
      <c r="I70" s="2" t="s">
        <v>209</v>
      </c>
      <c r="J70" s="2" t="s">
        <v>210</v>
      </c>
      <c r="K70" s="2" t="s">
        <v>257</v>
      </c>
      <c r="L70" s="2" t="s">
        <v>258</v>
      </c>
      <c r="N70" s="2" t="s">
        <v>212</v>
      </c>
      <c r="O70" s="2" t="s">
        <v>213</v>
      </c>
      <c r="P70" s="2" t="s">
        <v>9</v>
      </c>
      <c r="R70" s="2" t="s">
        <v>6</v>
      </c>
      <c r="S70" s="2" t="s">
        <v>7</v>
      </c>
      <c r="T70" s="86" t="s">
        <v>215</v>
      </c>
    </row>
    <row r="71" spans="2:21" x14ac:dyDescent="0.25">
      <c r="B71" s="126">
        <f ca="1">_xll.meDateFromTenor(COB,F71,"MOD_FOLLOWING",$C71,"")</f>
        <v>44077</v>
      </c>
      <c r="C71" s="127" t="s">
        <v>195</v>
      </c>
      <c r="D71" s="128">
        <f ca="1">_xll.meDateFromTenor(B71,G71,)</f>
        <v>44442</v>
      </c>
      <c r="E71" s="125"/>
      <c r="F71" s="136" t="s">
        <v>196</v>
      </c>
      <c r="G71" s="137" t="str">
        <f ca="1">CZK_CURVES!AQ4</f>
        <v>1Y</v>
      </c>
      <c r="H71" s="89" t="str">
        <f>TEMPLATES!$S$3</f>
        <v>EM_CZK_1M:1</v>
      </c>
      <c r="I71" s="90" t="s">
        <v>217</v>
      </c>
      <c r="J71" s="91">
        <v>1000000</v>
      </c>
      <c r="K71" s="92">
        <v>0</v>
      </c>
      <c r="L71" s="93">
        <v>0</v>
      </c>
      <c r="M71" s="135">
        <f>M65+1</f>
        <v>51</v>
      </c>
      <c r="N71" s="94" t="str">
        <f ca="1">_xll.meLWOSwapCreateFromGenerator("CZK_SWAP"&amp;M71,H71,I71,J71,B71,D71,K71,L71)</f>
        <v>CZK_SWAP51:9</v>
      </c>
      <c r="O71" s="95" t="s">
        <v>161</v>
      </c>
      <c r="P71" s="96">
        <f ca="1">_xll.meLWOSwapParSpread(N71,O71)/10000</f>
        <v>3.5000000251856306E-3</v>
      </c>
      <c r="R71" s="97" t="str">
        <f ca="1">CZK_CURVES!AQ4</f>
        <v>1Y</v>
      </c>
      <c r="S71" s="98">
        <f ca="1">CZK_CURVES!AR4</f>
        <v>3.5000000000000001E-3</v>
      </c>
      <c r="T71" s="99">
        <f ca="1">(P71-S71)*10000</f>
        <v>2.5185630490864863E-7</v>
      </c>
    </row>
    <row r="72" spans="2:21" x14ac:dyDescent="0.25">
      <c r="B72" s="129">
        <f ca="1">_xll.meDateFromTenor(COB,F72,"MOD_FOLLOWING",$C72,"")</f>
        <v>44077</v>
      </c>
      <c r="C72" s="130" t="s">
        <v>195</v>
      </c>
      <c r="D72" s="131">
        <f ca="1">_xll.meDateFromTenor(B72,G72,)</f>
        <v>44807</v>
      </c>
      <c r="E72" s="125"/>
      <c r="F72" s="138" t="s">
        <v>196</v>
      </c>
      <c r="G72" s="139" t="str">
        <f ca="1">CZK_CURVES!AQ5</f>
        <v>2Y</v>
      </c>
      <c r="H72" s="100" t="str">
        <f>TEMPLATES!$S$3</f>
        <v>EM_CZK_1M:1</v>
      </c>
      <c r="I72" s="101" t="s">
        <v>217</v>
      </c>
      <c r="J72" s="102">
        <v>1000000</v>
      </c>
      <c r="K72" s="103">
        <v>0</v>
      </c>
      <c r="L72" s="104">
        <v>0</v>
      </c>
      <c r="M72" s="135">
        <f t="shared" ref="M72:M80" si="7">M71+1</f>
        <v>52</v>
      </c>
      <c r="N72" s="105" t="str">
        <f ca="1">_xll.meLWOSwapCreateFromGenerator("CZK_SWAP"&amp;M72,H72,I72,J72,B72,D72,K72,L72)</f>
        <v>CZK_SWAP52:9</v>
      </c>
      <c r="O72" s="106" t="s">
        <v>161</v>
      </c>
      <c r="P72" s="107">
        <f ca="1">_xll.meLWOSwapParSpread(N72,O72)/10000</f>
        <v>3.5000000096705461E-3</v>
      </c>
      <c r="R72" s="108" t="str">
        <f ca="1">CZK_CURVES!AQ5</f>
        <v>2Y</v>
      </c>
      <c r="S72" s="109">
        <f ca="1">CZK_CURVES!AR5</f>
        <v>3.5000000000000001E-3</v>
      </c>
      <c r="T72" s="110">
        <f t="shared" ref="T72:T80" ca="1" si="8">(P72-S72)*10000</f>
        <v>9.6705460479740157E-8</v>
      </c>
    </row>
    <row r="73" spans="2:21" x14ac:dyDescent="0.25">
      <c r="B73" s="129">
        <f ca="1">_xll.meDateFromTenor(COB,F73,"MOD_FOLLOWING",$C73,"")</f>
        <v>44077</v>
      </c>
      <c r="C73" s="130" t="s">
        <v>195</v>
      </c>
      <c r="D73" s="131">
        <f ca="1">_xll.meDateFromTenor(B73,G73,)</f>
        <v>45172</v>
      </c>
      <c r="E73" s="125"/>
      <c r="F73" s="138" t="s">
        <v>196</v>
      </c>
      <c r="G73" s="139" t="str">
        <f ca="1">CZK_CURVES!AQ6</f>
        <v>3Y</v>
      </c>
      <c r="H73" s="100" t="str">
        <f>TEMPLATES!$S$3</f>
        <v>EM_CZK_1M:1</v>
      </c>
      <c r="I73" s="101" t="s">
        <v>217</v>
      </c>
      <c r="J73" s="102">
        <v>1000000</v>
      </c>
      <c r="K73" s="103">
        <v>0</v>
      </c>
      <c r="L73" s="104">
        <v>0</v>
      </c>
      <c r="M73" s="135">
        <f t="shared" si="7"/>
        <v>53</v>
      </c>
      <c r="N73" s="105" t="str">
        <f ca="1">_xll.meLWOSwapCreateFromGenerator("CZK_SWAP"&amp;M73,H73,I73,J73,B73,D73,K73,L73)</f>
        <v>CZK_SWAP53:9</v>
      </c>
      <c r="O73" s="106" t="s">
        <v>161</v>
      </c>
      <c r="P73" s="107">
        <f ca="1">_xll.meLWOSwapParSpread(N73,O73)/10000</f>
        <v>3.4999999975272081E-3</v>
      </c>
      <c r="R73" s="108" t="str">
        <f ca="1">CZK_CURVES!AQ6</f>
        <v>3Y</v>
      </c>
      <c r="S73" s="109">
        <f ca="1">CZK_CURVES!AR6</f>
        <v>3.5000000000000001E-3</v>
      </c>
      <c r="T73" s="110">
        <f t="shared" ca="1" si="8"/>
        <v>-2.4727919364919693E-8</v>
      </c>
    </row>
    <row r="74" spans="2:21" x14ac:dyDescent="0.25">
      <c r="B74" s="129">
        <f ca="1">_xll.meDateFromTenor(COB,F74,"MOD_FOLLOWING",$C74,"")</f>
        <v>44077</v>
      </c>
      <c r="C74" s="130" t="s">
        <v>195</v>
      </c>
      <c r="D74" s="131">
        <f ca="1">_xll.meDateFromTenor(B74,G74,)</f>
        <v>45538</v>
      </c>
      <c r="E74" s="125"/>
      <c r="F74" s="138" t="s">
        <v>196</v>
      </c>
      <c r="G74" s="139" t="str">
        <f ca="1">CZK_CURVES!AQ7</f>
        <v>4Y</v>
      </c>
      <c r="H74" s="100" t="str">
        <f>TEMPLATES!$S$3</f>
        <v>EM_CZK_1M:1</v>
      </c>
      <c r="I74" s="101" t="s">
        <v>217</v>
      </c>
      <c r="J74" s="102">
        <v>1000000</v>
      </c>
      <c r="K74" s="103">
        <v>0</v>
      </c>
      <c r="L74" s="104">
        <v>0</v>
      </c>
      <c r="M74" s="135">
        <f t="shared" si="7"/>
        <v>54</v>
      </c>
      <c r="N74" s="105" t="str">
        <f ca="1">_xll.meLWOSwapCreateFromGenerator("CZK_SWAP"&amp;M74,H74,I74,J74,B74,D74,K74,L74)</f>
        <v>CZK_SWAP54:9</v>
      </c>
      <c r="O74" s="106" t="s">
        <v>161</v>
      </c>
      <c r="P74" s="107">
        <f ca="1">_xll.meLWOSwapParSpread(N74,O74)/10000</f>
        <v>3.5000000082142328E-3</v>
      </c>
      <c r="R74" s="108" t="str">
        <f ca="1">CZK_CURVES!AQ7</f>
        <v>4Y</v>
      </c>
      <c r="S74" s="109">
        <f ca="1">CZK_CURVES!AR7</f>
        <v>3.5000000000000001E-3</v>
      </c>
      <c r="T74" s="110">
        <f t="shared" ca="1" si="8"/>
        <v>8.2142326794654164E-8</v>
      </c>
    </row>
    <row r="75" spans="2:21" x14ac:dyDescent="0.25">
      <c r="B75" s="129">
        <f ca="1">_xll.meDateFromTenor(COB,F75,"MOD_FOLLOWING",$C75,"")</f>
        <v>44077</v>
      </c>
      <c r="C75" s="130" t="s">
        <v>195</v>
      </c>
      <c r="D75" s="131">
        <f ca="1">_xll.meDateFromTenor(B75,G75,)</f>
        <v>45903</v>
      </c>
      <c r="E75" s="125"/>
      <c r="F75" s="138" t="s">
        <v>196</v>
      </c>
      <c r="G75" s="139" t="str">
        <f ca="1">CZK_CURVES!AQ8</f>
        <v>5Y</v>
      </c>
      <c r="H75" s="100" t="str">
        <f>TEMPLATES!$S$3</f>
        <v>EM_CZK_1M:1</v>
      </c>
      <c r="I75" s="101" t="s">
        <v>217</v>
      </c>
      <c r="J75" s="102">
        <v>1000000</v>
      </c>
      <c r="K75" s="103">
        <v>0</v>
      </c>
      <c r="L75" s="104">
        <v>0</v>
      </c>
      <c r="M75" s="135">
        <f t="shared" si="7"/>
        <v>55</v>
      </c>
      <c r="N75" s="105" t="str">
        <f ca="1">_xll.meLWOSwapCreateFromGenerator("CZK_SWAP"&amp;M75,H75,I75,J75,B75,D75,K75,L75)</f>
        <v>CZK_SWAP55:9</v>
      </c>
      <c r="O75" s="106" t="s">
        <v>161</v>
      </c>
      <c r="P75" s="107">
        <f ca="1">_xll.meLWOSwapParSpread(N75,O75)/10000</f>
        <v>3.5000000130026047E-3</v>
      </c>
      <c r="R75" s="108" t="str">
        <f ca="1">CZK_CURVES!AQ8</f>
        <v>5Y</v>
      </c>
      <c r="S75" s="109">
        <f ca="1">CZK_CURVES!AR8</f>
        <v>3.5000000000000001E-3</v>
      </c>
      <c r="T75" s="110">
        <f t="shared" ca="1" si="8"/>
        <v>1.3002604635353743E-7</v>
      </c>
    </row>
    <row r="76" spans="2:21" x14ac:dyDescent="0.25">
      <c r="B76" s="129">
        <f ca="1">_xll.meDateFromTenor(COB,F76,"MOD_FOLLOWING",$C76,"")</f>
        <v>44077</v>
      </c>
      <c r="C76" s="130" t="s">
        <v>195</v>
      </c>
      <c r="D76" s="131">
        <f ca="1">_xll.meDateFromTenor(B76,G76,)</f>
        <v>46268</v>
      </c>
      <c r="E76" s="125"/>
      <c r="F76" s="138" t="s">
        <v>196</v>
      </c>
      <c r="G76" s="139" t="str">
        <f ca="1">CZK_CURVES!AQ9</f>
        <v>6Y</v>
      </c>
      <c r="H76" s="100" t="str">
        <f>TEMPLATES!$S$3</f>
        <v>EM_CZK_1M:1</v>
      </c>
      <c r="I76" s="101" t="s">
        <v>217</v>
      </c>
      <c r="J76" s="102">
        <v>1000000</v>
      </c>
      <c r="K76" s="103">
        <v>0</v>
      </c>
      <c r="L76" s="104">
        <v>0</v>
      </c>
      <c r="M76" s="135">
        <f t="shared" si="7"/>
        <v>56</v>
      </c>
      <c r="N76" s="105" t="str">
        <f ca="1">_xll.meLWOSwapCreateFromGenerator("CZK_SWAP"&amp;M76,H76,I76,J76,B76,D76,K76,L76)</f>
        <v>CZK_SWAP56:9</v>
      </c>
      <c r="O76" s="106" t="s">
        <v>161</v>
      </c>
      <c r="P76" s="107">
        <f ca="1">_xll.meLWOSwapParSpread(N76,O76)/10000</f>
        <v>3.5000000027073375E-3</v>
      </c>
      <c r="R76" s="108" t="str">
        <f ca="1">CZK_CURVES!AQ9</f>
        <v>6Y</v>
      </c>
      <c r="S76" s="109">
        <f ca="1">CZK_CURVES!AR9</f>
        <v>3.5000000000000001E-3</v>
      </c>
      <c r="T76" s="110">
        <f t="shared" ca="1" si="8"/>
        <v>2.7073373924657584E-8</v>
      </c>
    </row>
    <row r="77" spans="2:21" x14ac:dyDescent="0.25">
      <c r="B77" s="129">
        <f ca="1">_xll.meDateFromTenor(COB,F77,"MOD_FOLLOWING",$C77,"")</f>
        <v>44077</v>
      </c>
      <c r="C77" s="130" t="s">
        <v>195</v>
      </c>
      <c r="D77" s="131">
        <f ca="1">_xll.meDateFromTenor(B77,G77,)</f>
        <v>46633</v>
      </c>
      <c r="E77" s="125"/>
      <c r="F77" s="138" t="s">
        <v>196</v>
      </c>
      <c r="G77" s="139" t="str">
        <f ca="1">CZK_CURVES!AQ10</f>
        <v>7Y</v>
      </c>
      <c r="H77" s="100" t="str">
        <f>TEMPLATES!$S$3</f>
        <v>EM_CZK_1M:1</v>
      </c>
      <c r="I77" s="101" t="s">
        <v>217</v>
      </c>
      <c r="J77" s="102">
        <v>1000000</v>
      </c>
      <c r="K77" s="103">
        <v>0</v>
      </c>
      <c r="L77" s="104">
        <v>0</v>
      </c>
      <c r="M77" s="135">
        <f t="shared" si="7"/>
        <v>57</v>
      </c>
      <c r="N77" s="105" t="str">
        <f ca="1">_xll.meLWOSwapCreateFromGenerator("CZK_SWAP"&amp;M77,H77,I77,J77,B77,D77,K77,L77)</f>
        <v>CZK_SWAP57:9</v>
      </c>
      <c r="O77" s="106" t="s">
        <v>161</v>
      </c>
      <c r="P77" s="107">
        <f ca="1">_xll.meLWOSwapParSpread(N77,O77)/10000</f>
        <v>3.5000000070942094E-3</v>
      </c>
      <c r="R77" s="108" t="str">
        <f ca="1">CZK_CURVES!AQ10</f>
        <v>7Y</v>
      </c>
      <c r="S77" s="109">
        <f ca="1">CZK_CURVES!AR10</f>
        <v>3.5000000000000001E-3</v>
      </c>
      <c r="T77" s="110">
        <f t="shared" ca="1" si="8"/>
        <v>7.0942093345627288E-8</v>
      </c>
    </row>
    <row r="78" spans="2:21" x14ac:dyDescent="0.25">
      <c r="B78" s="129">
        <f ca="1">_xll.meDateFromTenor(COB,F78,"MOD_FOLLOWING",$C78,"")</f>
        <v>44077</v>
      </c>
      <c r="C78" s="130" t="s">
        <v>195</v>
      </c>
      <c r="D78" s="131">
        <f ca="1">_xll.meDateFromTenor(B78,G78,)</f>
        <v>46999</v>
      </c>
      <c r="E78" s="125"/>
      <c r="F78" s="138" t="s">
        <v>196</v>
      </c>
      <c r="G78" s="139" t="str">
        <f ca="1">CZK_CURVES!AQ11</f>
        <v>8Y</v>
      </c>
      <c r="H78" s="100" t="str">
        <f>TEMPLATES!$S$3</f>
        <v>EM_CZK_1M:1</v>
      </c>
      <c r="I78" s="101" t="s">
        <v>217</v>
      </c>
      <c r="J78" s="102">
        <v>1000000</v>
      </c>
      <c r="K78" s="103">
        <v>0</v>
      </c>
      <c r="L78" s="104">
        <v>0</v>
      </c>
      <c r="M78" s="135">
        <f t="shared" si="7"/>
        <v>58</v>
      </c>
      <c r="N78" s="105" t="str">
        <f ca="1">_xll.meLWOSwapCreateFromGenerator("CZK_SWAP"&amp;M78,H78,I78,J78,B78,D78,K78,L78)</f>
        <v>CZK_SWAP58:9</v>
      </c>
      <c r="O78" s="106" t="s">
        <v>161</v>
      </c>
      <c r="P78" s="107">
        <f ca="1">_xll.meLWOSwapParSpread(N78,O78)/10000</f>
        <v>3.5000000095951572E-3</v>
      </c>
      <c r="R78" s="108" t="str">
        <f ca="1">CZK_CURVES!AQ11</f>
        <v>8Y</v>
      </c>
      <c r="S78" s="109">
        <f ca="1">CZK_CURVES!AR11</f>
        <v>3.5000000000000001E-3</v>
      </c>
      <c r="T78" s="110">
        <f t="shared" ca="1" si="8"/>
        <v>9.5951571341124087E-8</v>
      </c>
    </row>
    <row r="79" spans="2:21" x14ac:dyDescent="0.25">
      <c r="B79" s="129">
        <f ca="1">_xll.meDateFromTenor(COB,F79,"MOD_FOLLOWING",$C79,"")</f>
        <v>44077</v>
      </c>
      <c r="C79" s="130" t="s">
        <v>195</v>
      </c>
      <c r="D79" s="131">
        <f ca="1">_xll.meDateFromTenor(B79,G79,)</f>
        <v>47364</v>
      </c>
      <c r="E79" s="125"/>
      <c r="F79" s="138" t="s">
        <v>196</v>
      </c>
      <c r="G79" s="139" t="str">
        <f ca="1">CZK_CURVES!AQ12</f>
        <v>9Y</v>
      </c>
      <c r="H79" s="100" t="str">
        <f>TEMPLATES!$S$3</f>
        <v>EM_CZK_1M:1</v>
      </c>
      <c r="I79" s="101" t="s">
        <v>217</v>
      </c>
      <c r="J79" s="102">
        <v>1000000</v>
      </c>
      <c r="K79" s="103">
        <v>0</v>
      </c>
      <c r="L79" s="104">
        <v>0</v>
      </c>
      <c r="M79" s="135">
        <f t="shared" si="7"/>
        <v>59</v>
      </c>
      <c r="N79" s="105" t="str">
        <f ca="1">_xll.meLWOSwapCreateFromGenerator("CZK_SWAP"&amp;M79,H79,I79,J79,B79,D79,K79,L79)</f>
        <v>CZK_SWAP59:9</v>
      </c>
      <c r="O79" s="106" t="s">
        <v>161</v>
      </c>
      <c r="P79" s="107">
        <f ca="1">_xll.meLWOSwapParSpread(N79,O79)/10000</f>
        <v>3.500000009571375E-3</v>
      </c>
      <c r="R79" s="108" t="str">
        <f ca="1">CZK_CURVES!AQ12</f>
        <v>9Y</v>
      </c>
      <c r="S79" s="109">
        <f ca="1">CZK_CURVES!AR12</f>
        <v>3.5000000000000001E-3</v>
      </c>
      <c r="T79" s="110">
        <f t="shared" ca="1" si="8"/>
        <v>9.5713749426185046E-8</v>
      </c>
    </row>
    <row r="80" spans="2:21" x14ac:dyDescent="0.25">
      <c r="B80" s="129">
        <f ca="1">_xll.meDateFromTenor(COB,F80,"MOD_FOLLOWING",$C80,"")</f>
        <v>44077</v>
      </c>
      <c r="C80" s="130" t="s">
        <v>195</v>
      </c>
      <c r="D80" s="131">
        <f ca="1">_xll.meDateFromTenor(B80,G80,)</f>
        <v>47729</v>
      </c>
      <c r="E80" s="125"/>
      <c r="F80" s="138" t="s">
        <v>196</v>
      </c>
      <c r="G80" s="139" t="str">
        <f ca="1">CZK_CURVES!AQ13</f>
        <v>10Y</v>
      </c>
      <c r="H80" s="100" t="str">
        <f>TEMPLATES!$S$3</f>
        <v>EM_CZK_1M:1</v>
      </c>
      <c r="I80" s="101" t="s">
        <v>217</v>
      </c>
      <c r="J80" s="102">
        <v>1000000</v>
      </c>
      <c r="K80" s="103">
        <v>0</v>
      </c>
      <c r="L80" s="104">
        <v>0</v>
      </c>
      <c r="M80" s="135">
        <f t="shared" si="7"/>
        <v>60</v>
      </c>
      <c r="N80" s="105" t="str">
        <f ca="1">_xll.meLWOSwapCreateFromGenerator("CZK_SWAP"&amp;M80,H80,I80,J80,B80,D80,K80,L80)</f>
        <v>CZK_SWAP60:9</v>
      </c>
      <c r="O80" s="106" t="s">
        <v>161</v>
      </c>
      <c r="P80" s="107">
        <f ca="1">_xll.meLWOSwapParSpread(N80,O80)/10000</f>
        <v>3.5000000073389203E-3</v>
      </c>
      <c r="R80" s="108" t="str">
        <f ca="1">CZK_CURVES!AQ13</f>
        <v>10Y</v>
      </c>
      <c r="S80" s="109">
        <f ca="1">CZK_CURVES!AR13</f>
        <v>3.5000000000000001E-3</v>
      </c>
      <c r="T80" s="110">
        <f t="shared" ca="1" si="8"/>
        <v>7.3389202701057421E-8</v>
      </c>
    </row>
    <row r="81" spans="2:20" x14ac:dyDescent="0.25">
      <c r="B81" s="129">
        <f ca="1">_xll.meDateFromTenor(COB,F81,"MOD_FOLLOWING",$C81,"")</f>
        <v>44077</v>
      </c>
      <c r="C81" s="130" t="s">
        <v>195</v>
      </c>
      <c r="D81" s="131">
        <f ca="1">_xll.meDateFromTenor(B81,G81,)</f>
        <v>48460</v>
      </c>
      <c r="E81" s="125"/>
      <c r="F81" s="138" t="s">
        <v>196</v>
      </c>
      <c r="G81" s="139" t="str">
        <f ca="1">CZK_CURVES!AQ14</f>
        <v>12Y</v>
      </c>
      <c r="H81" s="100" t="str">
        <f>TEMPLATES!$S$3</f>
        <v>EM_CZK_1M:1</v>
      </c>
      <c r="I81" s="101" t="s">
        <v>217</v>
      </c>
      <c r="J81" s="102">
        <v>1000000</v>
      </c>
      <c r="K81" s="103">
        <v>0</v>
      </c>
      <c r="L81" s="104">
        <v>0</v>
      </c>
      <c r="M81" s="135">
        <f t="shared" ref="M81" si="9">M80+1</f>
        <v>61</v>
      </c>
      <c r="N81" s="105" t="str">
        <f ca="1">_xll.meLWOSwapCreateFromGenerator("CZK_SWAP"&amp;M81,H81,I81,J81,B81,D81,K81,L81)</f>
        <v>CZK_SWAP61:9</v>
      </c>
      <c r="O81" s="106" t="s">
        <v>161</v>
      </c>
      <c r="P81" s="107">
        <f ca="1">_xll.meLWOSwapParSpread(N81,O81)/10000</f>
        <v>3.5000000093535987E-3</v>
      </c>
      <c r="R81" s="108" t="str">
        <f ca="1">CZK_CURVES!AQ14</f>
        <v>12Y</v>
      </c>
      <c r="S81" s="109">
        <f ca="1">CZK_CURVES!AR14</f>
        <v>3.5000000000000001E-3</v>
      </c>
      <c r="T81" s="110">
        <f t="shared" ref="T81" ca="1" si="10">(P81-S81)*10000</f>
        <v>9.3535986248061143E-8</v>
      </c>
    </row>
    <row r="82" spans="2:20" x14ac:dyDescent="0.25">
      <c r="B82" s="129">
        <f ca="1">_xll.meDateFromTenor(COB,F82,"MOD_FOLLOWING",$C82,"")</f>
        <v>44077</v>
      </c>
      <c r="C82" s="130" t="s">
        <v>195</v>
      </c>
      <c r="D82" s="131">
        <f ca="1">_xll.meDateFromTenor(B82,G82,)</f>
        <v>49555</v>
      </c>
      <c r="E82" s="125"/>
      <c r="F82" s="138" t="s">
        <v>196</v>
      </c>
      <c r="G82" s="139" t="str">
        <f ca="1">CZK_CURVES!AQ15</f>
        <v>15Y</v>
      </c>
      <c r="H82" s="100" t="str">
        <f>TEMPLATES!$S$3</f>
        <v>EM_CZK_1M:1</v>
      </c>
      <c r="I82" s="101" t="s">
        <v>217</v>
      </c>
      <c r="J82" s="102">
        <v>1000000</v>
      </c>
      <c r="K82" s="103">
        <v>0</v>
      </c>
      <c r="L82" s="104">
        <v>0</v>
      </c>
      <c r="M82" s="135">
        <f t="shared" ref="M82:M83" si="11">M81+1</f>
        <v>62</v>
      </c>
      <c r="N82" s="105" t="str">
        <f ca="1">_xll.meLWOSwapCreateFromGenerator("CZK_SWAP"&amp;M82,H82,I82,J82,B82,D82,K82,L82)</f>
        <v>CZK_SWAP62:9</v>
      </c>
      <c r="O82" s="106" t="s">
        <v>161</v>
      </c>
      <c r="P82" s="107">
        <f ca="1">_xll.meLWOSwapParSpread(N82,O82)/10000</f>
        <v>3.4999999981207802E-3</v>
      </c>
      <c r="R82" s="108" t="str">
        <f ca="1">CZK_CURVES!AQ15</f>
        <v>15Y</v>
      </c>
      <c r="S82" s="109">
        <f ca="1">CZK_CURVES!AR15</f>
        <v>3.5000000000000001E-3</v>
      </c>
      <c r="T82" s="110">
        <f t="shared" ref="T82:T83" ca="1" si="12">(P82-S82)*10000</f>
        <v>-1.8792198699935092E-8</v>
      </c>
    </row>
    <row r="83" spans="2:20" x14ac:dyDescent="0.25">
      <c r="B83" s="132">
        <f ca="1">_xll.meDateFromTenor(COB,F83,"MOD_FOLLOWING",$C83,"")</f>
        <v>44077</v>
      </c>
      <c r="C83" s="133" t="s">
        <v>195</v>
      </c>
      <c r="D83" s="134">
        <f ca="1">_xll.meDateFromTenor(B83,G83,)</f>
        <v>51382</v>
      </c>
      <c r="E83" s="125"/>
      <c r="F83" s="140" t="s">
        <v>196</v>
      </c>
      <c r="G83" s="141" t="str">
        <f ca="1">CZK_CURVES!AQ16</f>
        <v>20Y</v>
      </c>
      <c r="H83" s="111" t="str">
        <f>TEMPLATES!$S$3</f>
        <v>EM_CZK_1M:1</v>
      </c>
      <c r="I83" s="112" t="s">
        <v>217</v>
      </c>
      <c r="J83" s="113">
        <v>1000000</v>
      </c>
      <c r="K83" s="114">
        <v>0</v>
      </c>
      <c r="L83" s="115">
        <v>0</v>
      </c>
      <c r="M83" s="135">
        <f t="shared" si="11"/>
        <v>63</v>
      </c>
      <c r="N83" s="116" t="str">
        <f ca="1">_xll.meLWOSwapCreateFromGenerator("CZK_SWAP"&amp;M83,H83,I83,J83,B83,D83,K83,L83)</f>
        <v>CZK_SWAP63:9</v>
      </c>
      <c r="O83" s="117" t="s">
        <v>161</v>
      </c>
      <c r="P83" s="118">
        <f ca="1">_xll.meLWOSwapParSpread(N83,O83)/10000</f>
        <v>3.4999999964377112E-3</v>
      </c>
      <c r="R83" s="119" t="str">
        <f ca="1">CZK_CURVES!AQ16</f>
        <v>20Y</v>
      </c>
      <c r="S83" s="120">
        <f ca="1">CZK_CURVES!AR16</f>
        <v>3.5000000000000001E-3</v>
      </c>
      <c r="T83" s="121">
        <f t="shared" ca="1" si="12"/>
        <v>-3.5622889187070239E-8</v>
      </c>
    </row>
    <row r="86" spans="2:20" x14ac:dyDescent="0.25">
      <c r="B86" s="82" t="s">
        <v>200</v>
      </c>
      <c r="C86" s="82"/>
      <c r="F86" s="83" t="s">
        <v>265</v>
      </c>
      <c r="N86" s="82" t="s">
        <v>201</v>
      </c>
      <c r="P86" s="85"/>
    </row>
    <row r="87" spans="2:20" x14ac:dyDescent="0.25">
      <c r="D87" s="84" t="s">
        <v>203</v>
      </c>
      <c r="H87" s="84" t="s">
        <v>204</v>
      </c>
      <c r="P87" s="85"/>
    </row>
    <row r="88" spans="2:20" x14ac:dyDescent="0.25">
      <c r="B88" s="2" t="s">
        <v>205</v>
      </c>
      <c r="C88" s="2" t="s">
        <v>73</v>
      </c>
      <c r="D88" s="1" t="s">
        <v>206</v>
      </c>
      <c r="E88" s="1"/>
      <c r="F88" s="1" t="s">
        <v>205</v>
      </c>
      <c r="G88" s="2" t="s">
        <v>207</v>
      </c>
      <c r="H88" s="2" t="s">
        <v>208</v>
      </c>
      <c r="I88" s="2" t="s">
        <v>209</v>
      </c>
      <c r="J88" s="2" t="s">
        <v>210</v>
      </c>
      <c r="K88" s="2" t="s">
        <v>257</v>
      </c>
      <c r="L88" s="2" t="s">
        <v>258</v>
      </c>
      <c r="N88" s="2" t="s">
        <v>212</v>
      </c>
      <c r="O88" s="2" t="s">
        <v>213</v>
      </c>
      <c r="P88" s="2" t="s">
        <v>9</v>
      </c>
      <c r="R88" s="2" t="s">
        <v>6</v>
      </c>
      <c r="S88" s="2" t="s">
        <v>7</v>
      </c>
      <c r="T88" s="86" t="s">
        <v>215</v>
      </c>
    </row>
    <row r="89" spans="2:20" x14ac:dyDescent="0.25">
      <c r="B89" s="126">
        <f ca="1">_xll.meDateFromTenor(COB,F89,"MOD_FOLLOWING",$C89,"")</f>
        <v>44077</v>
      </c>
      <c r="C89" s="127" t="s">
        <v>195</v>
      </c>
      <c r="D89" s="128">
        <f ca="1">_xll.meDateFromTenor(B89,G89,)</f>
        <v>44442</v>
      </c>
      <c r="E89" s="125"/>
      <c r="F89" s="136" t="s">
        <v>196</v>
      </c>
      <c r="G89" s="137" t="str">
        <f ca="1">CZK_CURVES!AH4</f>
        <v>1Y</v>
      </c>
      <c r="H89" s="89" t="str">
        <f>TEMPLATES!$W$3</f>
        <v>EM_CZK_12M:1</v>
      </c>
      <c r="I89" s="90" t="s">
        <v>217</v>
      </c>
      <c r="J89" s="91">
        <v>1000000</v>
      </c>
      <c r="K89" s="92">
        <v>0</v>
      </c>
      <c r="L89" s="93">
        <v>0</v>
      </c>
      <c r="M89" s="135">
        <f>M83+1</f>
        <v>64</v>
      </c>
      <c r="N89" s="94" t="str">
        <f ca="1">_xll.meLWOSwapCreateFromGenerator("CZK_SWAP"&amp;M89,H89,I89,J89,B89,D89,K89,L89)</f>
        <v>CZK_SWAP64:9</v>
      </c>
      <c r="O89" s="95" t="s">
        <v>161</v>
      </c>
      <c r="P89" s="96">
        <f ca="1">_xll.meLWOSwapParSpread(N89,O89)/10000</f>
        <v>9.9999999999999152E-3</v>
      </c>
      <c r="R89" s="97" t="str">
        <f ca="1">CZK_CURVES!AH4</f>
        <v>1Y</v>
      </c>
      <c r="S89" s="98">
        <f ca="1">CZK_CURVES!AI4</f>
        <v>0.01</v>
      </c>
      <c r="T89" s="99">
        <f t="shared" ref="T89:T101" ca="1" si="13">(P89-S89)*10000</f>
        <v>-8.5001450322863548E-13</v>
      </c>
    </row>
    <row r="90" spans="2:20" x14ac:dyDescent="0.25">
      <c r="B90" s="129">
        <f ca="1">_xll.meDateFromTenor(COB,F90,"MOD_FOLLOWING",$C90,"")</f>
        <v>44077</v>
      </c>
      <c r="C90" s="130" t="s">
        <v>195</v>
      </c>
      <c r="D90" s="131">
        <f ca="1">_xll.meDateFromTenor(B90,G90,)</f>
        <v>44807</v>
      </c>
      <c r="E90" s="125"/>
      <c r="F90" s="138" t="s">
        <v>196</v>
      </c>
      <c r="G90" s="139" t="str">
        <f ca="1">CZK_CURVES!AH5</f>
        <v>2Y</v>
      </c>
      <c r="H90" s="100" t="str">
        <f>TEMPLATES!$W$3</f>
        <v>EM_CZK_12M:1</v>
      </c>
      <c r="I90" s="101" t="s">
        <v>217</v>
      </c>
      <c r="J90" s="102">
        <v>1000000</v>
      </c>
      <c r="K90" s="103">
        <v>0</v>
      </c>
      <c r="L90" s="104">
        <v>0</v>
      </c>
      <c r="M90" s="135">
        <f t="shared" ref="M90:M101" si="14">M89+1</f>
        <v>65</v>
      </c>
      <c r="N90" s="105" t="str">
        <f ca="1">_xll.meLWOSwapCreateFromGenerator("CZK_SWAP"&amp;M90,H90,I90,J90,B90,D90,K90,L90)</f>
        <v>CZK_SWAP65:9</v>
      </c>
      <c r="O90" s="106" t="s">
        <v>161</v>
      </c>
      <c r="P90" s="107">
        <f ca="1">_xll.meLWOSwapParSpread(N90,O90)/10000</f>
        <v>9.9999999999997105E-3</v>
      </c>
      <c r="R90" s="108" t="str">
        <f ca="1">CZK_CURVES!AH5</f>
        <v>2Y</v>
      </c>
      <c r="S90" s="109">
        <f ca="1">CZK_CURVES!AI5</f>
        <v>0.01</v>
      </c>
      <c r="T90" s="110">
        <f t="shared" ca="1" si="13"/>
        <v>-2.8969882048812678E-12</v>
      </c>
    </row>
    <row r="91" spans="2:20" x14ac:dyDescent="0.25">
      <c r="B91" s="129">
        <f ca="1">_xll.meDateFromTenor(COB,F91,"MOD_FOLLOWING",$C91,"")</f>
        <v>44077</v>
      </c>
      <c r="C91" s="130" t="s">
        <v>195</v>
      </c>
      <c r="D91" s="131">
        <f ca="1">_xll.meDateFromTenor(B91,G91,)</f>
        <v>45172</v>
      </c>
      <c r="E91" s="125"/>
      <c r="F91" s="138" t="s">
        <v>196</v>
      </c>
      <c r="G91" s="139" t="str">
        <f ca="1">CZK_CURVES!AH6</f>
        <v>3Y</v>
      </c>
      <c r="H91" s="100" t="str">
        <f>TEMPLATES!$W$3</f>
        <v>EM_CZK_12M:1</v>
      </c>
      <c r="I91" s="101" t="s">
        <v>217</v>
      </c>
      <c r="J91" s="102">
        <v>1000000</v>
      </c>
      <c r="K91" s="103">
        <v>0</v>
      </c>
      <c r="L91" s="104">
        <v>0</v>
      </c>
      <c r="M91" s="135">
        <f t="shared" si="14"/>
        <v>66</v>
      </c>
      <c r="N91" s="105" t="str">
        <f ca="1">_xll.meLWOSwapCreateFromGenerator("CZK_SWAP"&amp;M91,H91,I91,J91,B91,D91,K91,L91)</f>
        <v>CZK_SWAP66:9</v>
      </c>
      <c r="O91" s="106" t="s">
        <v>161</v>
      </c>
      <c r="P91" s="107">
        <f ca="1">_xll.meLWOSwapParSpread(N91,O91)/10000</f>
        <v>1.0000000000060185E-2</v>
      </c>
      <c r="R91" s="108" t="str">
        <f ca="1">CZK_CURVES!AH6</f>
        <v>3Y</v>
      </c>
      <c r="S91" s="109">
        <f ca="1">CZK_CURVES!AI6</f>
        <v>0.01</v>
      </c>
      <c r="T91" s="110">
        <f t="shared" ca="1" si="13"/>
        <v>6.0184496275539345E-10</v>
      </c>
    </row>
    <row r="92" spans="2:20" x14ac:dyDescent="0.25">
      <c r="B92" s="129">
        <f ca="1">_xll.meDateFromTenor(COB,F92,"MOD_FOLLOWING",$C92,"")</f>
        <v>44077</v>
      </c>
      <c r="C92" s="130" t="s">
        <v>195</v>
      </c>
      <c r="D92" s="131">
        <f ca="1">_xll.meDateFromTenor(B92,G92,)</f>
        <v>45538</v>
      </c>
      <c r="E92" s="125"/>
      <c r="F92" s="138" t="s">
        <v>196</v>
      </c>
      <c r="G92" s="139" t="str">
        <f ca="1">CZK_CURVES!AH7</f>
        <v>4Y</v>
      </c>
      <c r="H92" s="100" t="str">
        <f>TEMPLATES!$W$3</f>
        <v>EM_CZK_12M:1</v>
      </c>
      <c r="I92" s="101" t="s">
        <v>217</v>
      </c>
      <c r="J92" s="102">
        <v>1000000</v>
      </c>
      <c r="K92" s="103">
        <v>0</v>
      </c>
      <c r="L92" s="104">
        <v>0</v>
      </c>
      <c r="M92" s="135">
        <f t="shared" si="14"/>
        <v>67</v>
      </c>
      <c r="N92" s="105" t="str">
        <f ca="1">_xll.meLWOSwapCreateFromGenerator("CZK_SWAP"&amp;M92,H92,I92,J92,B92,D92,K92,L92)</f>
        <v>CZK_SWAP67:9</v>
      </c>
      <c r="O92" s="106" t="s">
        <v>161</v>
      </c>
      <c r="P92" s="107">
        <f ca="1">_xll.meLWOSwapParSpread(N92,O92)/10000</f>
        <v>1.0000000000072578E-2</v>
      </c>
      <c r="R92" s="108" t="str">
        <f ca="1">CZK_CURVES!AH7</f>
        <v>4Y</v>
      </c>
      <c r="S92" s="109">
        <f ca="1">CZK_CURVES!AI7</f>
        <v>0.01</v>
      </c>
      <c r="T92" s="110">
        <f t="shared" ca="1" si="13"/>
        <v>7.2577360787917655E-10</v>
      </c>
    </row>
    <row r="93" spans="2:20" x14ac:dyDescent="0.25">
      <c r="B93" s="129">
        <f ca="1">_xll.meDateFromTenor(COB,F93,"MOD_FOLLOWING",$C93,"")</f>
        <v>44077</v>
      </c>
      <c r="C93" s="130" t="s">
        <v>195</v>
      </c>
      <c r="D93" s="131">
        <f ca="1">_xll.meDateFromTenor(B93,G93,)</f>
        <v>45903</v>
      </c>
      <c r="E93" s="125"/>
      <c r="F93" s="138" t="s">
        <v>196</v>
      </c>
      <c r="G93" s="139" t="str">
        <f ca="1">CZK_CURVES!AH8</f>
        <v>5Y</v>
      </c>
      <c r="H93" s="100" t="str">
        <f>TEMPLATES!$W$3</f>
        <v>EM_CZK_12M:1</v>
      </c>
      <c r="I93" s="101" t="s">
        <v>217</v>
      </c>
      <c r="J93" s="102">
        <v>1000000</v>
      </c>
      <c r="K93" s="103">
        <v>0</v>
      </c>
      <c r="L93" s="104">
        <v>0</v>
      </c>
      <c r="M93" s="135">
        <f t="shared" si="14"/>
        <v>68</v>
      </c>
      <c r="N93" s="105" t="str">
        <f ca="1">_xll.meLWOSwapCreateFromGenerator("CZK_SWAP"&amp;M93,H93,I93,J93,B93,D93,K93,L93)</f>
        <v>CZK_SWAP68:9</v>
      </c>
      <c r="O93" s="106" t="s">
        <v>161</v>
      </c>
      <c r="P93" s="107">
        <f ca="1">_xll.meLWOSwapParSpread(N93,O93)/10000</f>
        <v>1.000000000005785E-2</v>
      </c>
      <c r="R93" s="108" t="str">
        <f ca="1">CZK_CURVES!AH8</f>
        <v>5Y</v>
      </c>
      <c r="S93" s="109">
        <f ca="1">CZK_CURVES!AI8</f>
        <v>0.01</v>
      </c>
      <c r="T93" s="110">
        <f t="shared" ca="1" si="13"/>
        <v>5.7849558476874563E-10</v>
      </c>
    </row>
    <row r="94" spans="2:20" x14ac:dyDescent="0.25">
      <c r="B94" s="129">
        <f ca="1">_xll.meDateFromTenor(COB,F94,"MOD_FOLLOWING",$C94,"")</f>
        <v>44077</v>
      </c>
      <c r="C94" s="130" t="s">
        <v>195</v>
      </c>
      <c r="D94" s="131">
        <f ca="1">_xll.meDateFromTenor(B94,G94,)</f>
        <v>46268</v>
      </c>
      <c r="E94" s="125"/>
      <c r="F94" s="138" t="s">
        <v>196</v>
      </c>
      <c r="G94" s="139" t="str">
        <f ca="1">CZK_CURVES!AH9</f>
        <v>6Y</v>
      </c>
      <c r="H94" s="100" t="str">
        <f>TEMPLATES!$W$3</f>
        <v>EM_CZK_12M:1</v>
      </c>
      <c r="I94" s="101" t="s">
        <v>217</v>
      </c>
      <c r="J94" s="102">
        <v>1000000</v>
      </c>
      <c r="K94" s="103">
        <v>0</v>
      </c>
      <c r="L94" s="104">
        <v>0</v>
      </c>
      <c r="M94" s="135">
        <f t="shared" si="14"/>
        <v>69</v>
      </c>
      <c r="N94" s="105" t="str">
        <f ca="1">_xll.meLWOSwapCreateFromGenerator("CZK_SWAP"&amp;M94,H94,I94,J94,B94,D94,K94,L94)</f>
        <v>CZK_SWAP69:9</v>
      </c>
      <c r="O94" s="106" t="s">
        <v>161</v>
      </c>
      <c r="P94" s="107">
        <f ca="1">_xll.meLWOSwapParSpread(N94,O94)/10000</f>
        <v>1.0000000000048023E-2</v>
      </c>
      <c r="R94" s="108" t="str">
        <f ca="1">CZK_CURVES!AH9</f>
        <v>6Y</v>
      </c>
      <c r="S94" s="109">
        <f ca="1">CZK_CURVES!AI9</f>
        <v>0.01</v>
      </c>
      <c r="T94" s="110">
        <f t="shared" ca="1" si="13"/>
        <v>4.8022349985465951E-10</v>
      </c>
    </row>
    <row r="95" spans="2:20" x14ac:dyDescent="0.25">
      <c r="B95" s="129">
        <f ca="1">_xll.meDateFromTenor(COB,F95,"MOD_FOLLOWING",$C95,"")</f>
        <v>44077</v>
      </c>
      <c r="C95" s="130" t="s">
        <v>195</v>
      </c>
      <c r="D95" s="131">
        <f ca="1">_xll.meDateFromTenor(B95,G95,)</f>
        <v>46633</v>
      </c>
      <c r="E95" s="125"/>
      <c r="F95" s="138" t="s">
        <v>196</v>
      </c>
      <c r="G95" s="139" t="str">
        <f ca="1">CZK_CURVES!AH10</f>
        <v>7Y</v>
      </c>
      <c r="H95" s="100" t="str">
        <f>TEMPLATES!$W$3</f>
        <v>EM_CZK_12M:1</v>
      </c>
      <c r="I95" s="101" t="s">
        <v>217</v>
      </c>
      <c r="J95" s="102">
        <v>1000000</v>
      </c>
      <c r="K95" s="103">
        <v>0</v>
      </c>
      <c r="L95" s="104">
        <v>0</v>
      </c>
      <c r="M95" s="135">
        <f t="shared" si="14"/>
        <v>70</v>
      </c>
      <c r="N95" s="105" t="str">
        <f ca="1">_xll.meLWOSwapCreateFromGenerator("CZK_SWAP"&amp;M95,H95,I95,J95,B95,D95,K95,L95)</f>
        <v>CZK_SWAP70:9</v>
      </c>
      <c r="O95" s="106" t="s">
        <v>161</v>
      </c>
      <c r="P95" s="107">
        <f ca="1">_xll.meLWOSwapParSpread(N95,O95)/10000</f>
        <v>1.0000000000043915E-2</v>
      </c>
      <c r="R95" s="108" t="str">
        <f ca="1">CZK_CURVES!AH10</f>
        <v>7Y</v>
      </c>
      <c r="S95" s="109">
        <f ca="1">CZK_CURVES!AI10</f>
        <v>0.01</v>
      </c>
      <c r="T95" s="110">
        <f t="shared" ca="1" si="13"/>
        <v>4.3914524794352872E-10</v>
      </c>
    </row>
    <row r="96" spans="2:20" x14ac:dyDescent="0.25">
      <c r="B96" s="129">
        <f ca="1">_xll.meDateFromTenor(COB,F96,"MOD_FOLLOWING",$C96,"")</f>
        <v>44077</v>
      </c>
      <c r="C96" s="130" t="s">
        <v>195</v>
      </c>
      <c r="D96" s="131">
        <f ca="1">_xll.meDateFromTenor(B96,G96,)</f>
        <v>46999</v>
      </c>
      <c r="E96" s="125"/>
      <c r="F96" s="138" t="s">
        <v>196</v>
      </c>
      <c r="G96" s="139" t="str">
        <f ca="1">CZK_CURVES!AH11</f>
        <v>8Y</v>
      </c>
      <c r="H96" s="100" t="str">
        <f>TEMPLATES!$W$3</f>
        <v>EM_CZK_12M:1</v>
      </c>
      <c r="I96" s="101" t="s">
        <v>217</v>
      </c>
      <c r="J96" s="102">
        <v>1000000</v>
      </c>
      <c r="K96" s="103">
        <v>0</v>
      </c>
      <c r="L96" s="104">
        <v>0</v>
      </c>
      <c r="M96" s="135">
        <f t="shared" si="14"/>
        <v>71</v>
      </c>
      <c r="N96" s="105" t="str">
        <f ca="1">_xll.meLWOSwapCreateFromGenerator("CZK_SWAP"&amp;M96,H96,I96,J96,B96,D96,K96,L96)</f>
        <v>CZK_SWAP71:9</v>
      </c>
      <c r="O96" s="106" t="s">
        <v>161</v>
      </c>
      <c r="P96" s="107">
        <f ca="1">_xll.meLWOSwapParSpread(N96,O96)/10000</f>
        <v>1.0000000000024439E-2</v>
      </c>
      <c r="R96" s="108" t="str">
        <f ca="1">CZK_CURVES!AH11</f>
        <v>8Y</v>
      </c>
      <c r="S96" s="109">
        <f ca="1">CZK_CURVES!AI11</f>
        <v>0.01</v>
      </c>
      <c r="T96" s="110">
        <f t="shared" ca="1" si="13"/>
        <v>2.4438784329561258E-10</v>
      </c>
    </row>
    <row r="97" spans="2:20" x14ac:dyDescent="0.25">
      <c r="B97" s="129">
        <f ca="1">_xll.meDateFromTenor(COB,F97,"MOD_FOLLOWING",$C97,"")</f>
        <v>44077</v>
      </c>
      <c r="C97" s="130" t="s">
        <v>195</v>
      </c>
      <c r="D97" s="131">
        <f ca="1">_xll.meDateFromTenor(B97,G97,)</f>
        <v>47364</v>
      </c>
      <c r="E97" s="125"/>
      <c r="F97" s="138" t="s">
        <v>196</v>
      </c>
      <c r="G97" s="139" t="str">
        <f ca="1">CZK_CURVES!AH12</f>
        <v>9Y</v>
      </c>
      <c r="H97" s="100" t="str">
        <f>TEMPLATES!$W$3</f>
        <v>EM_CZK_12M:1</v>
      </c>
      <c r="I97" s="101" t="s">
        <v>217</v>
      </c>
      <c r="J97" s="102">
        <v>1000000</v>
      </c>
      <c r="K97" s="103">
        <v>0</v>
      </c>
      <c r="L97" s="104">
        <v>0</v>
      </c>
      <c r="M97" s="135">
        <f t="shared" si="14"/>
        <v>72</v>
      </c>
      <c r="N97" s="105" t="str">
        <f ca="1">_xll.meLWOSwapCreateFromGenerator("CZK_SWAP"&amp;M97,H97,I97,J97,B97,D97,K97,L97)</f>
        <v>CZK_SWAP72:9</v>
      </c>
      <c r="O97" s="106" t="s">
        <v>161</v>
      </c>
      <c r="P97" s="107">
        <f ca="1">_xll.meLWOSwapParSpread(N97,O97)/10000</f>
        <v>1.0000000000104316E-2</v>
      </c>
      <c r="R97" s="108" t="str">
        <f ca="1">CZK_CURVES!AH12</f>
        <v>9Y</v>
      </c>
      <c r="S97" s="109">
        <f ca="1">CZK_CURVES!AI12</f>
        <v>0.01</v>
      </c>
      <c r="T97" s="110">
        <f t="shared" ca="1" si="13"/>
        <v>1.0431586150438932E-9</v>
      </c>
    </row>
    <row r="98" spans="2:20" x14ac:dyDescent="0.25">
      <c r="B98" s="129">
        <f ca="1">_xll.meDateFromTenor(COB,F98,"MOD_FOLLOWING",$C98,"")</f>
        <v>44077</v>
      </c>
      <c r="C98" s="130" t="s">
        <v>195</v>
      </c>
      <c r="D98" s="131">
        <f ca="1">_xll.meDateFromTenor(B98,G98,)</f>
        <v>47729</v>
      </c>
      <c r="E98" s="125"/>
      <c r="F98" s="138" t="s">
        <v>196</v>
      </c>
      <c r="G98" s="139" t="str">
        <f ca="1">CZK_CURVES!AH13</f>
        <v>10Y</v>
      </c>
      <c r="H98" s="100" t="str">
        <f>TEMPLATES!$W$3</f>
        <v>EM_CZK_12M:1</v>
      </c>
      <c r="I98" s="101" t="s">
        <v>217</v>
      </c>
      <c r="J98" s="102">
        <v>1000000</v>
      </c>
      <c r="K98" s="103">
        <v>0</v>
      </c>
      <c r="L98" s="104">
        <v>0</v>
      </c>
      <c r="M98" s="135">
        <f t="shared" si="14"/>
        <v>73</v>
      </c>
      <c r="N98" s="105" t="str">
        <f ca="1">_xll.meLWOSwapCreateFromGenerator("CZK_SWAP"&amp;M98,H98,I98,J98,B98,D98,K98,L98)</f>
        <v>CZK_SWAP73:9</v>
      </c>
      <c r="O98" s="106" t="s">
        <v>161</v>
      </c>
      <c r="P98" s="107">
        <f ca="1">_xll.meLWOSwapParSpread(N98,O98)/10000</f>
        <v>1.0000000000094156E-2</v>
      </c>
      <c r="R98" s="108" t="str">
        <f ca="1">CZK_CURVES!AH13</f>
        <v>10Y</v>
      </c>
      <c r="S98" s="109">
        <f ca="1">CZK_CURVES!AI13</f>
        <v>0.01</v>
      </c>
      <c r="T98" s="110">
        <f t="shared" ca="1" si="13"/>
        <v>9.4155586105593159E-10</v>
      </c>
    </row>
    <row r="99" spans="2:20" x14ac:dyDescent="0.25">
      <c r="B99" s="129">
        <f ca="1">_xll.meDateFromTenor(COB,F99,"MOD_FOLLOWING",$C99,"")</f>
        <v>44077</v>
      </c>
      <c r="C99" s="130" t="s">
        <v>195</v>
      </c>
      <c r="D99" s="131">
        <f ca="1">_xll.meDateFromTenor(B99,G99,)</f>
        <v>48460</v>
      </c>
      <c r="E99" s="125"/>
      <c r="F99" s="138" t="s">
        <v>196</v>
      </c>
      <c r="G99" s="139" t="str">
        <f ca="1">CZK_CURVES!AH14</f>
        <v>12Y</v>
      </c>
      <c r="H99" s="100" t="str">
        <f>TEMPLATES!$W$3</f>
        <v>EM_CZK_12M:1</v>
      </c>
      <c r="I99" s="101" t="s">
        <v>217</v>
      </c>
      <c r="J99" s="102">
        <v>1000000</v>
      </c>
      <c r="K99" s="103">
        <v>0</v>
      </c>
      <c r="L99" s="104">
        <v>0</v>
      </c>
      <c r="M99" s="135">
        <f t="shared" si="14"/>
        <v>74</v>
      </c>
      <c r="N99" s="105" t="str">
        <f ca="1">_xll.meLWOSwapCreateFromGenerator("CZK_SWAP"&amp;M99,H99,I99,J99,B99,D99,K99,L99)</f>
        <v>CZK_SWAP74:9</v>
      </c>
      <c r="O99" s="106" t="s">
        <v>161</v>
      </c>
      <c r="P99" s="107">
        <f ca="1">_xll.meLWOSwapParSpread(N99,O99)/10000</f>
        <v>1.0000000000082474E-2</v>
      </c>
      <c r="R99" s="108" t="str">
        <f ca="1">CZK_CURVES!AH14</f>
        <v>12Y</v>
      </c>
      <c r="S99" s="109">
        <f ca="1">CZK_CURVES!AI14</f>
        <v>0.01</v>
      </c>
      <c r="T99" s="110">
        <f t="shared" ca="1" si="13"/>
        <v>8.247395821836534E-10</v>
      </c>
    </row>
    <row r="100" spans="2:20" x14ac:dyDescent="0.25">
      <c r="B100" s="129">
        <f ca="1">_xll.meDateFromTenor(COB,F100,"MOD_FOLLOWING",$C100,"")</f>
        <v>44077</v>
      </c>
      <c r="C100" s="130" t="s">
        <v>195</v>
      </c>
      <c r="D100" s="131">
        <f ca="1">_xll.meDateFromTenor(B100,G100,)</f>
        <v>49555</v>
      </c>
      <c r="E100" s="125"/>
      <c r="F100" s="138" t="s">
        <v>196</v>
      </c>
      <c r="G100" s="139" t="str">
        <f ca="1">CZK_CURVES!AH15</f>
        <v>15Y</v>
      </c>
      <c r="H100" s="100" t="str">
        <f>TEMPLATES!$W$3</f>
        <v>EM_CZK_12M:1</v>
      </c>
      <c r="I100" s="101" t="s">
        <v>217</v>
      </c>
      <c r="J100" s="102">
        <v>1000000</v>
      </c>
      <c r="K100" s="103">
        <v>0</v>
      </c>
      <c r="L100" s="104">
        <v>0</v>
      </c>
      <c r="M100" s="135">
        <f t="shared" si="14"/>
        <v>75</v>
      </c>
      <c r="N100" s="105" t="str">
        <f ca="1">_xll.meLWOSwapCreateFromGenerator("CZK_SWAP"&amp;M100,H100,I100,J100,B100,D100,K100,L100)</f>
        <v>CZK_SWAP75:9</v>
      </c>
      <c r="O100" s="106" t="s">
        <v>161</v>
      </c>
      <c r="P100" s="107">
        <f ca="1">_xll.meLWOSwapParSpread(N100,O100)/10000</f>
        <v>1.0000000000098029E-2</v>
      </c>
      <c r="R100" s="108" t="str">
        <f ca="1">CZK_CURVES!AH15</f>
        <v>15Y</v>
      </c>
      <c r="S100" s="109">
        <f ca="1">CZK_CURVES!AI15</f>
        <v>0.01</v>
      </c>
      <c r="T100" s="110">
        <f t="shared" ca="1" si="13"/>
        <v>9.8029223627449369E-10</v>
      </c>
    </row>
    <row r="101" spans="2:20" x14ac:dyDescent="0.25">
      <c r="B101" s="132">
        <f ca="1">_xll.meDateFromTenor(COB,F101,"MOD_FOLLOWING",$C101,"")</f>
        <v>44077</v>
      </c>
      <c r="C101" s="133" t="s">
        <v>195</v>
      </c>
      <c r="D101" s="134">
        <f ca="1">_xll.meDateFromTenor(B101,G101,)</f>
        <v>51382</v>
      </c>
      <c r="E101" s="125"/>
      <c r="F101" s="140" t="s">
        <v>196</v>
      </c>
      <c r="G101" s="141" t="str">
        <f ca="1">CZK_CURVES!AH16</f>
        <v>20Y</v>
      </c>
      <c r="H101" s="111" t="str">
        <f>TEMPLATES!$W$3</f>
        <v>EM_CZK_12M:1</v>
      </c>
      <c r="I101" s="112" t="s">
        <v>217</v>
      </c>
      <c r="J101" s="113">
        <v>1000000</v>
      </c>
      <c r="K101" s="114">
        <v>0</v>
      </c>
      <c r="L101" s="115">
        <v>0</v>
      </c>
      <c r="M101" s="135">
        <f t="shared" si="14"/>
        <v>76</v>
      </c>
      <c r="N101" s="116" t="str">
        <f ca="1">_xll.meLWOSwapCreateFromGenerator("CZK_SWAP"&amp;M101,H101,I101,J101,B101,D101,K101,L101)</f>
        <v>CZK_SWAP76:9</v>
      </c>
      <c r="O101" s="117" t="s">
        <v>161</v>
      </c>
      <c r="P101" s="118">
        <f ca="1">_xll.meLWOSwapParSpread(N101,O101)/10000</f>
        <v>1.0000000000026602E-2</v>
      </c>
      <c r="R101" s="119" t="str">
        <f ca="1">CZK_CURVES!AH16</f>
        <v>20Y</v>
      </c>
      <c r="S101" s="120">
        <f ca="1">CZK_CURVES!AI16</f>
        <v>0.01</v>
      </c>
      <c r="T101" s="121">
        <f t="shared" ca="1" si="13"/>
        <v>2.6601984504104337E-10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TEMPLATES</vt:lpstr>
      <vt:lpstr>CZK_CURVES</vt:lpstr>
      <vt:lpstr>CZK SWAPS</vt:lpstr>
      <vt:lpstr>COB</vt:lpstr>
      <vt:lpstr>ExistsCZK12M</vt:lpstr>
      <vt:lpstr>ExistsCZK1M</vt:lpstr>
      <vt:lpstr>ExistsCZK3M</vt:lpstr>
      <vt:lpstr>ExistsCZK6M</vt:lpstr>
      <vt:lpstr>ExistsCZKOIS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2020-09-01T15:09:52Z</dcterms:created>
  <dcterms:modified xsi:type="dcterms:W3CDTF">2020-09-03T16:52:21Z</dcterms:modified>
</cp:coreProperties>
</file>